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Q:\GROUPS\BR_SC_JGS_WAU_PRODUCAO\ENGENHARIA_INDUSTRIAL\03-USUÁRIOS\Aluizio\2026-04-ORION\Especificações orion e similares\"/>
    </mc:Choice>
  </mc:AlternateContent>
  <xr:revisionPtr revIDLastSave="0" documentId="13_ncr:1_{726B0629-527C-47C3-AA16-44D8C68607E1}" xr6:coauthVersionLast="47" xr6:coauthVersionMax="47" xr10:uidLastSave="{00000000-0000-0000-0000-000000000000}"/>
  <bookViews>
    <workbookView xWindow="0" yWindow="360" windowWidth="29040" windowHeight="15720" xr2:uid="{BF46F691-ED74-46EC-896F-FDC4AF358613}"/>
  </bookViews>
  <sheets>
    <sheet name="Planilha1" sheetId="1" r:id="rId1"/>
    <sheet name="Planilha2" sheetId="2" r:id="rId2"/>
  </sheets>
  <definedNames>
    <definedName name="_xlnm._FilterDatabase" localSheetId="0" hidden="1">Planilha1!$A$1:$E$150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5" i="1" l="1"/>
  <c r="C45" i="1"/>
  <c r="D45" i="1"/>
  <c r="B51" i="1"/>
  <c r="C51" i="1"/>
  <c r="D51" i="1"/>
  <c r="B55" i="1"/>
  <c r="C55" i="1"/>
  <c r="D55" i="1"/>
  <c r="B59" i="1"/>
  <c r="C59" i="1"/>
  <c r="D59" i="1"/>
  <c r="B63" i="1"/>
  <c r="C63" i="1"/>
  <c r="D63" i="1"/>
  <c r="B67" i="1"/>
  <c r="C67" i="1"/>
  <c r="D67" i="1"/>
  <c r="B69" i="1"/>
  <c r="C69" i="1"/>
  <c r="D69" i="1"/>
  <c r="B75" i="1"/>
  <c r="C75" i="1"/>
  <c r="D75" i="1"/>
  <c r="B79" i="1"/>
  <c r="C79" i="1"/>
  <c r="D79" i="1"/>
  <c r="B83" i="1"/>
  <c r="C83" i="1"/>
  <c r="D83" i="1"/>
  <c r="B85" i="1"/>
  <c r="C85" i="1"/>
  <c r="D85" i="1"/>
  <c r="B91" i="1"/>
  <c r="C91" i="1"/>
  <c r="D91" i="1"/>
  <c r="B95" i="1"/>
  <c r="C95" i="1"/>
  <c r="D95" i="1"/>
  <c r="B97" i="1"/>
  <c r="C97" i="1"/>
  <c r="D97" i="1"/>
  <c r="B99" i="1"/>
  <c r="C99" i="1"/>
  <c r="D99" i="1"/>
  <c r="B101" i="1"/>
  <c r="C101" i="1"/>
  <c r="D101" i="1"/>
  <c r="B3" i="1"/>
  <c r="C3" i="1"/>
  <c r="D3" i="1"/>
  <c r="B6" i="1"/>
  <c r="C6" i="1"/>
  <c r="D6" i="1"/>
  <c r="B12" i="1"/>
  <c r="C12" i="1"/>
  <c r="D12" i="1"/>
  <c r="B18" i="1"/>
  <c r="C18" i="1"/>
  <c r="D18" i="1"/>
  <c r="B30" i="1"/>
  <c r="C30" i="1"/>
  <c r="D30" i="1"/>
  <c r="B34" i="1"/>
  <c r="C34" i="1"/>
  <c r="D34" i="1"/>
  <c r="B42" i="1"/>
  <c r="C42" i="1"/>
  <c r="D42" i="1"/>
  <c r="B46" i="1"/>
  <c r="C46" i="1"/>
  <c r="D46" i="1"/>
  <c r="B52" i="1"/>
  <c r="C52" i="1"/>
  <c r="D52" i="1"/>
  <c r="B56" i="1"/>
  <c r="C56" i="1"/>
  <c r="D56" i="1"/>
  <c r="B60" i="1"/>
  <c r="C60" i="1"/>
  <c r="D60" i="1"/>
  <c r="B64" i="1"/>
  <c r="C64" i="1"/>
  <c r="D64" i="1"/>
  <c r="B68" i="1"/>
  <c r="C68" i="1"/>
  <c r="D68" i="1"/>
  <c r="B70" i="1"/>
  <c r="C70" i="1"/>
  <c r="D70" i="1"/>
  <c r="B76" i="1"/>
  <c r="C76" i="1"/>
  <c r="D76" i="1"/>
  <c r="B80" i="1"/>
  <c r="C80" i="1"/>
  <c r="D80" i="1"/>
  <c r="B84" i="1"/>
  <c r="C84" i="1"/>
  <c r="D84" i="1"/>
  <c r="B86" i="1"/>
  <c r="C86" i="1"/>
  <c r="D86" i="1"/>
  <c r="B92" i="1"/>
  <c r="C92" i="1"/>
  <c r="D92" i="1"/>
  <c r="B96" i="1"/>
  <c r="C96" i="1"/>
  <c r="D96" i="1"/>
  <c r="B98" i="1"/>
  <c r="C98" i="1"/>
  <c r="D98" i="1"/>
  <c r="B100" i="1"/>
  <c r="C100" i="1"/>
  <c r="D100" i="1"/>
  <c r="B102" i="1"/>
  <c r="C102" i="1"/>
  <c r="D102" i="1"/>
  <c r="B10" i="1"/>
  <c r="C10" i="1"/>
  <c r="D10" i="1"/>
  <c r="B16" i="1"/>
  <c r="C16" i="1"/>
  <c r="D16" i="1"/>
  <c r="B22" i="1"/>
  <c r="C22" i="1"/>
  <c r="D22" i="1"/>
  <c r="B25" i="1"/>
  <c r="C25" i="1"/>
  <c r="D25" i="1"/>
  <c r="B27" i="1"/>
  <c r="C27" i="1"/>
  <c r="D27" i="1"/>
  <c r="B35" i="1"/>
  <c r="C35" i="1"/>
  <c r="D35" i="1"/>
  <c r="B37" i="1"/>
  <c r="C37" i="1"/>
  <c r="D37" i="1"/>
  <c r="B48" i="1"/>
  <c r="C48" i="1"/>
  <c r="D48" i="1"/>
  <c r="B50" i="1"/>
  <c r="C50" i="1"/>
  <c r="D50" i="1"/>
  <c r="B4" i="1"/>
  <c r="C4" i="1"/>
  <c r="D4" i="1"/>
  <c r="B7" i="1"/>
  <c r="C7" i="1"/>
  <c r="D7" i="1"/>
  <c r="B13" i="1"/>
  <c r="C13" i="1"/>
  <c r="D13" i="1"/>
  <c r="B19" i="1"/>
  <c r="C19" i="1"/>
  <c r="D19" i="1"/>
  <c r="B26" i="1"/>
  <c r="C26" i="1"/>
  <c r="D26" i="1"/>
  <c r="B28" i="1"/>
  <c r="C28" i="1"/>
  <c r="D28" i="1"/>
  <c r="B36" i="1"/>
  <c r="C36" i="1"/>
  <c r="D36" i="1"/>
  <c r="B38" i="1"/>
  <c r="C38" i="1"/>
  <c r="D38" i="1"/>
  <c r="B47" i="1"/>
  <c r="C47" i="1"/>
  <c r="D47" i="1"/>
  <c r="B49" i="1"/>
  <c r="C49" i="1"/>
  <c r="D49" i="1"/>
  <c r="D14" i="1"/>
  <c r="D20" i="1"/>
  <c r="D23" i="1"/>
  <c r="D31" i="1"/>
  <c r="D39" i="1"/>
  <c r="D43" i="1"/>
  <c r="D53" i="1"/>
  <c r="D57" i="1"/>
  <c r="D61" i="1"/>
  <c r="D65" i="1"/>
  <c r="D71" i="1"/>
  <c r="D73" i="1"/>
  <c r="D77" i="1"/>
  <c r="D81" i="1"/>
  <c r="D87" i="1"/>
  <c r="D89" i="1"/>
  <c r="D93" i="1"/>
  <c r="D9" i="1"/>
  <c r="D15" i="1"/>
  <c r="D21" i="1"/>
  <c r="D24" i="1"/>
  <c r="D32" i="1"/>
  <c r="D40" i="1"/>
  <c r="D44" i="1"/>
  <c r="D54" i="1"/>
  <c r="D58" i="1"/>
  <c r="D62" i="1"/>
  <c r="D66" i="1"/>
  <c r="D72" i="1"/>
  <c r="D74" i="1"/>
  <c r="D78" i="1"/>
  <c r="D82" i="1"/>
  <c r="D88" i="1"/>
  <c r="D90" i="1"/>
  <c r="D94" i="1"/>
  <c r="D2" i="1"/>
  <c r="D5" i="1"/>
  <c r="D11" i="1"/>
  <c r="D17" i="1"/>
  <c r="D29" i="1"/>
  <c r="D33" i="1"/>
  <c r="D41" i="1"/>
  <c r="D8" i="1"/>
  <c r="C14" i="1"/>
  <c r="C20" i="1"/>
  <c r="C23" i="1"/>
  <c r="C31" i="1"/>
  <c r="C39" i="1"/>
  <c r="C43" i="1"/>
  <c r="C53" i="1"/>
  <c r="C57" i="1"/>
  <c r="C61" i="1"/>
  <c r="C65" i="1"/>
  <c r="C71" i="1"/>
  <c r="C73" i="1"/>
  <c r="C77" i="1"/>
  <c r="C81" i="1"/>
  <c r="C87" i="1"/>
  <c r="C89" i="1"/>
  <c r="C93" i="1"/>
  <c r="C9" i="1"/>
  <c r="C15" i="1"/>
  <c r="C21" i="1"/>
  <c r="C24" i="1"/>
  <c r="C32" i="1"/>
  <c r="C40" i="1"/>
  <c r="C44" i="1"/>
  <c r="C54" i="1"/>
  <c r="C58" i="1"/>
  <c r="C62" i="1"/>
  <c r="C66" i="1"/>
  <c r="C72" i="1"/>
  <c r="C74" i="1"/>
  <c r="C78" i="1"/>
  <c r="C82" i="1"/>
  <c r="C88" i="1"/>
  <c r="C90" i="1"/>
  <c r="C94" i="1"/>
  <c r="C2" i="1"/>
  <c r="C5" i="1"/>
  <c r="C11" i="1"/>
  <c r="C17" i="1"/>
  <c r="C29" i="1"/>
  <c r="C33" i="1"/>
  <c r="C41" i="1"/>
  <c r="C8" i="1"/>
  <c r="B14" i="1"/>
  <c r="B20" i="1"/>
  <c r="B23" i="1"/>
  <c r="B31" i="1"/>
  <c r="B39" i="1"/>
  <c r="B43" i="1"/>
  <c r="B53" i="1"/>
  <c r="B57" i="1"/>
  <c r="B61" i="1"/>
  <c r="B65" i="1"/>
  <c r="B71" i="1"/>
  <c r="B73" i="1"/>
  <c r="B77" i="1"/>
  <c r="B81" i="1"/>
  <c r="B87" i="1"/>
  <c r="B89" i="1"/>
  <c r="B93" i="1"/>
  <c r="B9" i="1"/>
  <c r="B15" i="1"/>
  <c r="B21" i="1"/>
  <c r="B24" i="1"/>
  <c r="B32" i="1"/>
  <c r="B40" i="1"/>
  <c r="B44" i="1"/>
  <c r="B54" i="1"/>
  <c r="B58" i="1"/>
  <c r="B62" i="1"/>
  <c r="B66" i="1"/>
  <c r="B72" i="1"/>
  <c r="B74" i="1"/>
  <c r="B78" i="1"/>
  <c r="B82" i="1"/>
  <c r="B88" i="1"/>
  <c r="B90" i="1"/>
  <c r="B94" i="1"/>
  <c r="B2" i="1"/>
  <c r="B5" i="1"/>
  <c r="B11" i="1"/>
  <c r="B17" i="1"/>
  <c r="B29" i="1"/>
  <c r="B33" i="1"/>
  <c r="B41" i="1"/>
  <c r="B8" i="1"/>
  <c r="L116" i="2"/>
  <c r="K116" i="2"/>
  <c r="J116" i="2"/>
  <c r="I116" i="2"/>
  <c r="H116" i="2"/>
  <c r="G116" i="2"/>
  <c r="F116" i="2"/>
  <c r="E116" i="2"/>
  <c r="D116" i="2"/>
  <c r="U66" i="2"/>
  <c r="U65" i="2"/>
  <c r="U64" i="2"/>
  <c r="U63" i="2"/>
  <c r="U62" i="2"/>
  <c r="U61" i="2"/>
  <c r="U60" i="2"/>
  <c r="U59" i="2"/>
  <c r="U58" i="2"/>
  <c r="U57" i="2"/>
  <c r="U56" i="2"/>
  <c r="U55" i="2"/>
  <c r="U54" i="2"/>
  <c r="U53" i="2"/>
  <c r="U52" i="2"/>
  <c r="U51" i="2"/>
  <c r="P51" i="2"/>
  <c r="U50" i="2"/>
  <c r="P50" i="2"/>
  <c r="U49" i="2"/>
  <c r="P49" i="2"/>
  <c r="U48" i="2"/>
  <c r="P48" i="2"/>
  <c r="U47" i="2"/>
  <c r="P47" i="2"/>
  <c r="U46" i="2"/>
  <c r="P46" i="2"/>
  <c r="U45" i="2"/>
  <c r="P45" i="2"/>
  <c r="U44" i="2"/>
  <c r="P44" i="2"/>
  <c r="U43" i="2"/>
  <c r="P43" i="2"/>
  <c r="U42" i="2"/>
  <c r="P42" i="2"/>
  <c r="U41" i="2"/>
  <c r="P41" i="2"/>
  <c r="U40" i="2"/>
  <c r="P40" i="2"/>
  <c r="U39" i="2"/>
  <c r="P39" i="2"/>
  <c r="U38" i="2"/>
  <c r="P38" i="2"/>
  <c r="U37" i="2"/>
  <c r="P37" i="2"/>
  <c r="U36" i="2"/>
  <c r="P36" i="2"/>
  <c r="U35" i="2"/>
  <c r="P35" i="2"/>
  <c r="U34" i="2"/>
  <c r="P34" i="2"/>
  <c r="U33" i="2"/>
  <c r="P33" i="2"/>
  <c r="U32" i="2"/>
  <c r="P32" i="2"/>
  <c r="U31" i="2"/>
  <c r="P31" i="2"/>
  <c r="U30" i="2"/>
  <c r="P30" i="2"/>
  <c r="U29" i="2"/>
  <c r="P29" i="2"/>
  <c r="U28" i="2"/>
  <c r="P28" i="2"/>
  <c r="U27" i="2"/>
  <c r="P27" i="2"/>
  <c r="U26" i="2"/>
  <c r="P26" i="2"/>
  <c r="U25" i="2"/>
  <c r="P25" i="2"/>
  <c r="U24" i="2"/>
  <c r="P24" i="2"/>
  <c r="U23" i="2"/>
  <c r="P23" i="2"/>
  <c r="U22" i="2"/>
  <c r="P22" i="2"/>
  <c r="U21" i="2"/>
  <c r="P21" i="2"/>
  <c r="U20" i="2"/>
  <c r="P20" i="2"/>
  <c r="U19" i="2"/>
  <c r="P19" i="2"/>
  <c r="U18" i="2"/>
  <c r="P18" i="2"/>
  <c r="U17" i="2"/>
  <c r="P17" i="2"/>
  <c r="U16" i="2"/>
  <c r="P16" i="2"/>
  <c r="U15" i="2"/>
  <c r="P15" i="2"/>
  <c r="U14" i="2"/>
  <c r="P14" i="2"/>
  <c r="U13" i="2"/>
  <c r="P13" i="2"/>
  <c r="U12" i="2"/>
  <c r="P12" i="2"/>
  <c r="U11" i="2"/>
  <c r="P11" i="2"/>
  <c r="U10" i="2"/>
  <c r="P10" i="2"/>
  <c r="U9" i="2"/>
  <c r="P9" i="2"/>
  <c r="U8" i="2"/>
  <c r="P8" i="2"/>
  <c r="U7" i="2"/>
  <c r="P7" i="2"/>
  <c r="U6" i="2"/>
  <c r="P6" i="2"/>
  <c r="U5" i="2"/>
  <c r="P5" i="2"/>
  <c r="U4" i="2"/>
  <c r="P4" i="2"/>
  <c r="U3" i="2"/>
  <c r="P3" i="2"/>
  <c r="E75" i="1" l="1"/>
  <c r="E50" i="1"/>
  <c r="E26" i="1"/>
  <c r="E10" i="1"/>
  <c r="E19" i="1"/>
  <c r="E27" i="1"/>
  <c r="E96" i="1"/>
  <c r="E38" i="1"/>
  <c r="E12" i="1"/>
  <c r="E55" i="1"/>
  <c r="E63" i="1"/>
  <c r="E51" i="1"/>
  <c r="E4" i="1"/>
  <c r="E3" i="1"/>
  <c r="E48" i="1"/>
  <c r="E22" i="1"/>
  <c r="E18" i="1"/>
  <c r="E99" i="1"/>
  <c r="E59" i="1"/>
  <c r="E79" i="1"/>
  <c r="E70" i="1"/>
  <c r="E35" i="1"/>
  <c r="E46" i="1"/>
  <c r="E101" i="1"/>
  <c r="E56" i="1"/>
  <c r="E16" i="1"/>
  <c r="E76" i="1"/>
  <c r="E83" i="1"/>
  <c r="E92" i="1"/>
  <c r="E97" i="1"/>
  <c r="E68" i="1"/>
  <c r="E64" i="1"/>
  <c r="E91" i="1"/>
  <c r="E25" i="1"/>
  <c r="E100" i="1"/>
  <c r="E80" i="1"/>
  <c r="E60" i="1"/>
  <c r="E34" i="1"/>
  <c r="E28" i="1"/>
  <c r="E102" i="1"/>
  <c r="E86" i="1"/>
  <c r="E49" i="1"/>
  <c r="E84" i="1"/>
  <c r="E47" i="1"/>
  <c r="E42" i="1"/>
  <c r="E6" i="1"/>
  <c r="E95" i="1"/>
  <c r="E98" i="1"/>
  <c r="E69" i="1"/>
  <c r="E13" i="1"/>
  <c r="E37" i="1"/>
  <c r="E30" i="1"/>
  <c r="E45" i="1"/>
  <c r="E85" i="1"/>
  <c r="E67" i="1"/>
  <c r="E36" i="1"/>
  <c r="E7" i="1"/>
  <c r="E52" i="1"/>
  <c r="E32" i="1"/>
  <c r="E24" i="1"/>
  <c r="E23" i="1"/>
  <c r="E43" i="1"/>
  <c r="E53" i="1"/>
  <c r="E65" i="1"/>
  <c r="E71" i="1"/>
  <c r="E81" i="1"/>
  <c r="E87" i="1"/>
  <c r="E89" i="1"/>
  <c r="E93" i="1"/>
  <c r="E40" i="1"/>
  <c r="E58" i="1"/>
  <c r="E62" i="1"/>
  <c r="E74" i="1"/>
  <c r="E78" i="1"/>
  <c r="E44" i="1"/>
  <c r="E54" i="1"/>
  <c r="E66" i="1"/>
  <c r="E72" i="1"/>
  <c r="E82" i="1"/>
  <c r="E88" i="1"/>
  <c r="E94" i="1"/>
  <c r="E5" i="1"/>
  <c r="E17" i="1"/>
  <c r="E41" i="1"/>
  <c r="E8" i="1"/>
  <c r="E14" i="1"/>
  <c r="E31" i="1"/>
  <c r="E39" i="1"/>
  <c r="E57" i="1"/>
  <c r="E61" i="1"/>
  <c r="E73" i="1"/>
  <c r="E77" i="1"/>
  <c r="E9" i="1"/>
  <c r="E15" i="1"/>
  <c r="E21" i="1"/>
  <c r="E90" i="1"/>
  <c r="E2" i="1"/>
  <c r="E11" i="1"/>
  <c r="E29" i="1"/>
  <c r="E33" i="1"/>
  <c r="E20" i="1"/>
</calcChain>
</file>

<file path=xl/sharedStrings.xml><?xml version="1.0" encoding="utf-8"?>
<sst xmlns="http://schemas.openxmlformats.org/spreadsheetml/2006/main" count="353" uniqueCount="142">
  <si>
    <t xml:space="preserve">Volume anual dos produtos </t>
  </si>
  <si>
    <t>Descrição</t>
  </si>
  <si>
    <t>1° Ano</t>
  </si>
  <si>
    <t>2° Ano</t>
  </si>
  <si>
    <t>3° Ano</t>
  </si>
  <si>
    <t>4° Ano</t>
  </si>
  <si>
    <t>5° Ano</t>
  </si>
  <si>
    <t>6° Ano</t>
  </si>
  <si>
    <t>7° Ano</t>
  </si>
  <si>
    <t>8° Ano</t>
  </si>
  <si>
    <t>9° Ano</t>
  </si>
  <si>
    <t>CFWn00A5P2T2</t>
  </si>
  <si>
    <t>CFWn00A5P2T2C2</t>
  </si>
  <si>
    <t>CFWn00A10P0T2</t>
  </si>
  <si>
    <t>CFWn00A10P0T2C2</t>
  </si>
  <si>
    <t>CFWn00A13P0T2</t>
  </si>
  <si>
    <t>CFWn00A13P0T2C2</t>
  </si>
  <si>
    <t>CFWn00C28P0T2</t>
  </si>
  <si>
    <t>CFWn00C28P0T2C2</t>
  </si>
  <si>
    <t>CFWn00D42P0T2C3</t>
  </si>
  <si>
    <t>CFWn00D56P0T2C3</t>
  </si>
  <si>
    <t>CFWn00D68P0T2C3</t>
  </si>
  <si>
    <t>CFWn00E80P0T2C3</t>
  </si>
  <si>
    <t>CFWn00E110P0T2C3</t>
  </si>
  <si>
    <t>CFWn00A2P2T4</t>
  </si>
  <si>
    <t>CFWn00A2P2T4C2</t>
  </si>
  <si>
    <t>CFWn00A4P3T4</t>
  </si>
  <si>
    <t>CFWn00A4P3T4C2</t>
  </si>
  <si>
    <t>CFWn00A6P8T4</t>
  </si>
  <si>
    <t>CFWn00A6P8T4C2</t>
  </si>
  <si>
    <t>CFWn00A9P6T4</t>
  </si>
  <si>
    <t>CFWn00A9P6T4C2</t>
  </si>
  <si>
    <t>CFWn00B16P0T4</t>
  </si>
  <si>
    <t>CFWn00B16P0T4C2</t>
  </si>
  <si>
    <t>CFWn00C24P0T4</t>
  </si>
  <si>
    <t>CFWn00C24P0T4C2</t>
  </si>
  <si>
    <t>CFWn00C31P0T4</t>
  </si>
  <si>
    <t>CFWn00C31P0T4C2</t>
  </si>
  <si>
    <t>CFWn00D39P0T4C3</t>
  </si>
  <si>
    <t>CFWn00D50P0T4C3</t>
  </si>
  <si>
    <t>CFWn00D60P0T4C3</t>
  </si>
  <si>
    <t>CFWn00E74P0T4C3</t>
  </si>
  <si>
    <t>CFWn00E90P0T4C3</t>
  </si>
  <si>
    <t>CFWn00E105P0T4C3</t>
  </si>
  <si>
    <t>Soma</t>
  </si>
  <si>
    <t>b</t>
  </si>
  <si>
    <t>a</t>
  </si>
  <si>
    <t>c</t>
  </si>
  <si>
    <t>d</t>
  </si>
  <si>
    <t>e</t>
  </si>
  <si>
    <t>W</t>
  </si>
  <si>
    <t>A</t>
  </si>
  <si>
    <t>V</t>
  </si>
  <si>
    <t>CFWn00A7P3T2</t>
  </si>
  <si>
    <t>CFWn00B16P0T2</t>
  </si>
  <si>
    <t>CFWn00C24P0T2</t>
  </si>
  <si>
    <t>CFWn00D42P0T2</t>
  </si>
  <si>
    <t>CFWn00D56P0T2</t>
  </si>
  <si>
    <t>CFWn00D68P0T2</t>
  </si>
  <si>
    <t>CFWn00E80P0T2</t>
  </si>
  <si>
    <t>CFWn00E110P0T2</t>
  </si>
  <si>
    <t>CFWn00F126P0T2</t>
  </si>
  <si>
    <t>CFWn00F147P0T2</t>
  </si>
  <si>
    <t>CFWn00F197P0T2</t>
  </si>
  <si>
    <t>CFWn00G250P0T2</t>
  </si>
  <si>
    <t>CFWn00G292P0T2</t>
  </si>
  <si>
    <t>CFWn00G356P0T2</t>
  </si>
  <si>
    <t>CFWn00A7P3T2C2</t>
  </si>
  <si>
    <t>CFWn00B16P0T2C2</t>
  </si>
  <si>
    <t>CFWn00C24P0T2C2</t>
  </si>
  <si>
    <t>CFWn00F126P0T2C3</t>
  </si>
  <si>
    <t>CFWn00F147P0T2C3</t>
  </si>
  <si>
    <t>CFWn00F197P0T2C3</t>
  </si>
  <si>
    <t>CFWn00G250P0T2C3</t>
  </si>
  <si>
    <t>CFWn00G292P0T2C3</t>
  </si>
  <si>
    <t>CFWn00G356P0T2C3</t>
  </si>
  <si>
    <t>CFWn00B14P0T4</t>
  </si>
  <si>
    <t>CFWn00D39P0T4</t>
  </si>
  <si>
    <t>CFWn00D50P0T4</t>
  </si>
  <si>
    <t>CFWn00D60P0T4</t>
  </si>
  <si>
    <t>CFWn00E74P0T4</t>
  </si>
  <si>
    <t>CFWn00E90P0T4</t>
  </si>
  <si>
    <t>CFWn00E105P0T4</t>
  </si>
  <si>
    <t>CFWn00F142P0T4</t>
  </si>
  <si>
    <t>CFWn00F180P0T4</t>
  </si>
  <si>
    <t>CFWn00F211P0T4</t>
  </si>
  <si>
    <t>CFWn00G242P0T4</t>
  </si>
  <si>
    <t>CFWn00G300P0T4</t>
  </si>
  <si>
    <t>CFWn00G360P0T4</t>
  </si>
  <si>
    <t>CFWn00H400P0T4</t>
  </si>
  <si>
    <t>CFWn00H480P0T4</t>
  </si>
  <si>
    <t>CFWn00H600P0T4</t>
  </si>
  <si>
    <t>CFWn00B14P0T4C2</t>
  </si>
  <si>
    <t>CFWn00F142P0T4C3</t>
  </si>
  <si>
    <t>CFWn00F180P0T4C3</t>
  </si>
  <si>
    <t>CFWn00F211P0T4C3</t>
  </si>
  <si>
    <t>CFWn00G242P0T4C3</t>
  </si>
  <si>
    <t>CFWn00G300P0T4C3</t>
  </si>
  <si>
    <t>CFWn00G360P0T4C3</t>
  </si>
  <si>
    <t>CFWn00H400P0T4C3</t>
  </si>
  <si>
    <t>CFWn00H480P0T4C3</t>
  </si>
  <si>
    <t>CFWn00H600P0T4C3</t>
  </si>
  <si>
    <t>CFWn00A5P2T2DB66</t>
  </si>
  <si>
    <t>CFWn00A7P3T2DB66</t>
  </si>
  <si>
    <t>CFWn00A10P0T2DB66</t>
  </si>
  <si>
    <t>CFWn00A13P0T2DB66</t>
  </si>
  <si>
    <t>CFWn00A16P0T2DB66</t>
  </si>
  <si>
    <t>CFWn00B24P0T2DB66</t>
  </si>
  <si>
    <t>CFWn00B28P0T2DB66</t>
  </si>
  <si>
    <t>CFWn00C42P0T2DB66</t>
  </si>
  <si>
    <t>CFWn00C56P0T2DB66</t>
  </si>
  <si>
    <t>CFWn00A2P2T4DB66</t>
  </si>
  <si>
    <t>CFWn00A4P3T4DB66</t>
  </si>
  <si>
    <t>CFWn00A6P8T4DB66</t>
  </si>
  <si>
    <t>CFWn00A9P6T4DB66</t>
  </si>
  <si>
    <t>CFWn00A14P0T4DB66</t>
  </si>
  <si>
    <t>CFWn00A16P0T4DB66</t>
  </si>
  <si>
    <t>CFWn00B24P0T4DB66</t>
  </si>
  <si>
    <t>CFWn00B31P0T4DB66</t>
  </si>
  <si>
    <t>CFWn00C39P0T4DB66</t>
  </si>
  <si>
    <t>CFWn00C50P0T4DB66</t>
  </si>
  <si>
    <t>CFWn00Dxx1P0T2XB55</t>
  </si>
  <si>
    <t>CFWn00Dxx2P0T2XB55</t>
  </si>
  <si>
    <t>CFWn00Dxx3P0T2XB55</t>
  </si>
  <si>
    <t>CFWn00Exx1P0T2XB55</t>
  </si>
  <si>
    <t>CFWn00Exx2P0T2XB55</t>
  </si>
  <si>
    <t>CFWn00Exx3P0T2XB55</t>
  </si>
  <si>
    <t>CFWn00Dxx1P0T4XB55</t>
  </si>
  <si>
    <t>CFWn00Dxx2P0T4XB55</t>
  </si>
  <si>
    <t>CFWn00Dxx3P0T4XB55</t>
  </si>
  <si>
    <t>CFWn00Exx1P0T4XB55</t>
  </si>
  <si>
    <t>CFWn00Exx2P0T4XB55</t>
  </si>
  <si>
    <t>CFWn00Exx3P0T4XB55</t>
  </si>
  <si>
    <t>f</t>
  </si>
  <si>
    <t>g</t>
  </si>
  <si>
    <t>h</t>
  </si>
  <si>
    <t>MECÂNICA</t>
  </si>
  <si>
    <t>Corrente</t>
  </si>
  <si>
    <t>Tensão</t>
  </si>
  <si>
    <t>Potência</t>
  </si>
  <si>
    <t>Mecânica</t>
  </si>
  <si>
    <t>D,E,F,G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</si>
</sst>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"/>
  </numFmts>
  <fonts count="5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indexed="12"/>
      <name val="Arial"/>
      <family val="2"/>
    </font>
    <font>
      <b/>
      <sz val="10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23">
    <xf numFmtId="0" fontId="0" fillId="0" borderId="0" xfId="0"/>
    <xf numFmtId="164" fontId="1" fillId="2" borderId="7" xfId="0" applyNumberFormat="1" applyFont="1" applyFill="1" applyBorder="1" applyAlignment="1" applyProtection="1">
      <alignment horizontal="center" vertical="center"/>
      <protection locked="0"/>
    </xf>
    <xf numFmtId="164" fontId="1" fillId="2" borderId="8" xfId="0" applyNumberFormat="1" applyFont="1" applyFill="1" applyBorder="1" applyAlignment="1" applyProtection="1">
      <alignment horizontal="center" vertical="center"/>
      <protection locked="0"/>
    </xf>
    <xf numFmtId="1" fontId="3" fillId="0" borderId="9" xfId="1" applyNumberFormat="1" applyFont="1" applyBorder="1" applyAlignment="1" applyProtection="1">
      <alignment horizontal="center" vertical="center"/>
      <protection locked="0"/>
    </xf>
    <xf numFmtId="1" fontId="3" fillId="0" borderId="7" xfId="1" applyNumberFormat="1" applyFont="1" applyBorder="1" applyAlignment="1" applyProtection="1">
      <alignment horizontal="center" vertical="center"/>
      <protection locked="0"/>
    </xf>
    <xf numFmtId="1" fontId="1" fillId="2" borderId="13" xfId="0" applyNumberFormat="1" applyFont="1" applyFill="1" applyBorder="1" applyAlignment="1">
      <alignment horizontal="center" vertical="center"/>
    </xf>
    <xf numFmtId="164" fontId="1" fillId="2" borderId="0" xfId="0" applyNumberFormat="1" applyFont="1" applyFill="1" applyAlignment="1" applyProtection="1">
      <alignment horizontal="center" vertical="center"/>
      <protection locked="0"/>
    </xf>
    <xf numFmtId="164" fontId="1" fillId="2" borderId="14" xfId="0" applyNumberFormat="1" applyFont="1" applyFill="1" applyBorder="1" applyAlignment="1" applyProtection="1">
      <alignment horizontal="center" vertical="center"/>
      <protection locked="0"/>
    </xf>
    <xf numFmtId="0" fontId="0" fillId="3" borderId="0" xfId="0" applyFill="1"/>
    <xf numFmtId="0" fontId="0" fillId="4" borderId="0" xfId="0" applyFill="1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1" fillId="2" borderId="4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vertical="center" wrapText="1"/>
    </xf>
    <xf numFmtId="0" fontId="1" fillId="2" borderId="6" xfId="0" applyFont="1" applyFill="1" applyBorder="1" applyAlignment="1">
      <alignment vertical="center" wrapText="1"/>
    </xf>
    <xf numFmtId="0" fontId="1" fillId="2" borderId="10" xfId="0" applyFont="1" applyFill="1" applyBorder="1" applyAlignment="1">
      <alignment vertical="center" wrapText="1"/>
    </xf>
    <xf numFmtId="0" fontId="1" fillId="2" borderId="11" xfId="0" applyFont="1" applyFill="1" applyBorder="1" applyAlignment="1">
      <alignment vertical="center" wrapText="1"/>
    </xf>
    <xf numFmtId="0" fontId="1" fillId="2" borderId="12" xfId="0" applyFont="1" applyFill="1" applyBorder="1" applyAlignment="1">
      <alignment vertical="center" wrapText="1"/>
    </xf>
    <xf numFmtId="0" fontId="0" fillId="0" borderId="14" xfId="0" applyBorder="1"/>
    <xf numFmtId="0" fontId="4" fillId="5" borderId="15" xfId="0" applyFont="1" applyFill="1" applyBorder="1" applyAlignment="1">
      <alignment horizontal="center" vertical="center" wrapText="1"/>
    </xf>
    <xf numFmtId="0" fontId="0" fillId="6" borderId="14" xfId="0" applyFill="1" applyBorder="1"/>
    <xf numFmtId="0" fontId="0" fillId="6" borderId="0" xfId="0" applyFill="1"/>
  </cellXfs>
  <cellStyles count="2">
    <cellStyle name="Normal" xfId="0" builtinId="0"/>
    <cellStyle name="Normal 2" xfId="1" xr:uid="{0C26C9AB-A994-4C1D-959E-5FC070968E8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A8B4B-02B4-4F50-B0A8-AF9797E6806B}">
  <sheetPr codeName="Planilha1" filterMode="1"/>
  <dimension ref="A1:I162"/>
  <sheetViews>
    <sheetView tabSelected="1" workbookViewId="0">
      <selection activeCell="D157" sqref="D157"/>
    </sheetView>
  </sheetViews>
  <sheetFormatPr defaultRowHeight="15" x14ac:dyDescent="0.25"/>
  <cols>
    <col min="1" max="1" width="22.42578125" bestFit="1" customWidth="1"/>
    <col min="2" max="2" width="10.7109375" bestFit="1" customWidth="1"/>
  </cols>
  <sheetData>
    <row r="1" spans="1:5" ht="15.75" thickBot="1" x14ac:dyDescent="0.3">
      <c r="A1" s="20" t="s">
        <v>1</v>
      </c>
      <c r="B1" t="s">
        <v>140</v>
      </c>
      <c r="C1" t="s">
        <v>137</v>
      </c>
      <c r="D1" t="s">
        <v>138</v>
      </c>
      <c r="E1" t="s">
        <v>139</v>
      </c>
    </row>
    <row r="2" spans="1:5" ht="15" hidden="1" customHeight="1" thickBot="1" x14ac:dyDescent="0.3">
      <c r="A2" s="20" t="s">
        <v>24</v>
      </c>
      <c r="B2" s="19" t="str">
        <f t="shared" ref="B2:B33" si="0">MID(A2,FIND("n00",A2)+3,1)</f>
        <v>A</v>
      </c>
      <c r="C2">
        <f t="shared" ref="C2:C33" si="1">IFERROR(VALUE(SUBSTITUTE(MID(A2,FIND("n00",A2)+4,FIND("T",A2)-FIND("n00",A2)-4),"P",",")),"")</f>
        <v>2.2000000000000002</v>
      </c>
      <c r="D2">
        <f t="shared" ref="D2:D33" si="2">IFERROR(IF(ISNUMBER(FIND("T2",A2)),220,IF(ISNUMBER(FIND("T4",A2)),440,"")),"")</f>
        <v>440</v>
      </c>
      <c r="E2">
        <f t="shared" ref="E2:E33" si="3">D2*C2</f>
        <v>968.00000000000011</v>
      </c>
    </row>
    <row r="3" spans="1:5" ht="15" hidden="1" customHeight="1" thickBot="1" x14ac:dyDescent="0.3">
      <c r="A3" s="20" t="s">
        <v>25</v>
      </c>
      <c r="B3" s="19" t="str">
        <f t="shared" si="0"/>
        <v>A</v>
      </c>
      <c r="C3">
        <f t="shared" si="1"/>
        <v>2.2000000000000002</v>
      </c>
      <c r="D3">
        <f t="shared" si="2"/>
        <v>440</v>
      </c>
      <c r="E3">
        <f t="shared" si="3"/>
        <v>968.00000000000011</v>
      </c>
    </row>
    <row r="4" spans="1:5" ht="15" hidden="1" customHeight="1" thickBot="1" x14ac:dyDescent="0.3">
      <c r="A4" s="20" t="s">
        <v>111</v>
      </c>
      <c r="B4" s="19" t="str">
        <f t="shared" si="0"/>
        <v>A</v>
      </c>
      <c r="C4">
        <f t="shared" si="1"/>
        <v>2.2000000000000002</v>
      </c>
      <c r="D4">
        <f t="shared" si="2"/>
        <v>440</v>
      </c>
      <c r="E4">
        <f t="shared" si="3"/>
        <v>968.00000000000011</v>
      </c>
    </row>
    <row r="5" spans="1:5" ht="15" hidden="1" customHeight="1" thickBot="1" x14ac:dyDescent="0.3">
      <c r="A5" s="20" t="s">
        <v>26</v>
      </c>
      <c r="B5" s="19" t="str">
        <f t="shared" si="0"/>
        <v>A</v>
      </c>
      <c r="C5">
        <f t="shared" si="1"/>
        <v>4.3</v>
      </c>
      <c r="D5">
        <f t="shared" si="2"/>
        <v>440</v>
      </c>
      <c r="E5">
        <f t="shared" si="3"/>
        <v>1892</v>
      </c>
    </row>
    <row r="6" spans="1:5" ht="15" hidden="1" customHeight="1" thickBot="1" x14ac:dyDescent="0.3">
      <c r="A6" s="20" t="s">
        <v>27</v>
      </c>
      <c r="B6" s="19" t="str">
        <f t="shared" si="0"/>
        <v>A</v>
      </c>
      <c r="C6">
        <f t="shared" si="1"/>
        <v>4.3</v>
      </c>
      <c r="D6">
        <f t="shared" si="2"/>
        <v>440</v>
      </c>
      <c r="E6">
        <f t="shared" si="3"/>
        <v>1892</v>
      </c>
    </row>
    <row r="7" spans="1:5" ht="15" hidden="1" customHeight="1" thickBot="1" x14ac:dyDescent="0.3">
      <c r="A7" s="20" t="s">
        <v>112</v>
      </c>
      <c r="B7" s="19" t="str">
        <f t="shared" si="0"/>
        <v>A</v>
      </c>
      <c r="C7">
        <f t="shared" si="1"/>
        <v>4.3</v>
      </c>
      <c r="D7">
        <f t="shared" si="2"/>
        <v>440</v>
      </c>
      <c r="E7">
        <f t="shared" si="3"/>
        <v>1892</v>
      </c>
    </row>
    <row r="8" spans="1:5" ht="15" hidden="1" customHeight="1" thickBot="1" x14ac:dyDescent="0.3">
      <c r="A8" s="20" t="s">
        <v>11</v>
      </c>
      <c r="B8" s="19" t="str">
        <f t="shared" si="0"/>
        <v>A</v>
      </c>
      <c r="C8">
        <f t="shared" si="1"/>
        <v>5.2</v>
      </c>
      <c r="D8">
        <f t="shared" si="2"/>
        <v>220</v>
      </c>
      <c r="E8">
        <f t="shared" si="3"/>
        <v>1144</v>
      </c>
    </row>
    <row r="9" spans="1:5" ht="15" hidden="1" customHeight="1" thickBot="1" x14ac:dyDescent="0.3">
      <c r="A9" s="20" t="s">
        <v>12</v>
      </c>
      <c r="B9" s="19" t="str">
        <f t="shared" si="0"/>
        <v>A</v>
      </c>
      <c r="C9">
        <f t="shared" si="1"/>
        <v>5.2</v>
      </c>
      <c r="D9">
        <f t="shared" si="2"/>
        <v>220</v>
      </c>
      <c r="E9">
        <f t="shared" si="3"/>
        <v>1144</v>
      </c>
    </row>
    <row r="10" spans="1:5" ht="15" hidden="1" customHeight="1" thickBot="1" x14ac:dyDescent="0.3">
      <c r="A10" s="20" t="s">
        <v>102</v>
      </c>
      <c r="B10" s="19" t="str">
        <f t="shared" si="0"/>
        <v>A</v>
      </c>
      <c r="C10">
        <f t="shared" si="1"/>
        <v>5.2</v>
      </c>
      <c r="D10">
        <f t="shared" si="2"/>
        <v>220</v>
      </c>
      <c r="E10">
        <f t="shared" si="3"/>
        <v>1144</v>
      </c>
    </row>
    <row r="11" spans="1:5" ht="15" hidden="1" customHeight="1" thickBot="1" x14ac:dyDescent="0.3">
      <c r="A11" s="20" t="s">
        <v>28</v>
      </c>
      <c r="B11" s="19" t="str">
        <f t="shared" si="0"/>
        <v>A</v>
      </c>
      <c r="C11">
        <f t="shared" si="1"/>
        <v>6.8</v>
      </c>
      <c r="D11">
        <f t="shared" si="2"/>
        <v>440</v>
      </c>
      <c r="E11">
        <f t="shared" si="3"/>
        <v>2992</v>
      </c>
    </row>
    <row r="12" spans="1:5" ht="15" hidden="1" customHeight="1" thickBot="1" x14ac:dyDescent="0.3">
      <c r="A12" s="20" t="s">
        <v>29</v>
      </c>
      <c r="B12" s="19" t="str">
        <f t="shared" si="0"/>
        <v>A</v>
      </c>
      <c r="C12">
        <f t="shared" si="1"/>
        <v>6.8</v>
      </c>
      <c r="D12">
        <f t="shared" si="2"/>
        <v>440</v>
      </c>
      <c r="E12">
        <f t="shared" si="3"/>
        <v>2992</v>
      </c>
    </row>
    <row r="13" spans="1:5" ht="15" hidden="1" customHeight="1" thickBot="1" x14ac:dyDescent="0.3">
      <c r="A13" s="20" t="s">
        <v>113</v>
      </c>
      <c r="B13" s="19" t="str">
        <f t="shared" si="0"/>
        <v>A</v>
      </c>
      <c r="C13">
        <f t="shared" si="1"/>
        <v>6.8</v>
      </c>
      <c r="D13">
        <f t="shared" si="2"/>
        <v>440</v>
      </c>
      <c r="E13">
        <f t="shared" si="3"/>
        <v>2992</v>
      </c>
    </row>
    <row r="14" spans="1:5" ht="15" hidden="1" customHeight="1" thickBot="1" x14ac:dyDescent="0.3">
      <c r="A14" s="20" t="s">
        <v>53</v>
      </c>
      <c r="B14" s="19" t="str">
        <f t="shared" si="0"/>
        <v>A</v>
      </c>
      <c r="C14">
        <f t="shared" si="1"/>
        <v>7.3</v>
      </c>
      <c r="D14">
        <f t="shared" si="2"/>
        <v>220</v>
      </c>
      <c r="E14">
        <f t="shared" si="3"/>
        <v>1606</v>
      </c>
    </row>
    <row r="15" spans="1:5" ht="15" hidden="1" customHeight="1" thickBot="1" x14ac:dyDescent="0.3">
      <c r="A15" s="20" t="s">
        <v>67</v>
      </c>
      <c r="B15" s="19" t="str">
        <f t="shared" si="0"/>
        <v>A</v>
      </c>
      <c r="C15">
        <f t="shared" si="1"/>
        <v>7.3</v>
      </c>
      <c r="D15">
        <f t="shared" si="2"/>
        <v>220</v>
      </c>
      <c r="E15">
        <f t="shared" si="3"/>
        <v>1606</v>
      </c>
    </row>
    <row r="16" spans="1:5" ht="15" hidden="1" customHeight="1" thickBot="1" x14ac:dyDescent="0.3">
      <c r="A16" s="20" t="s">
        <v>103</v>
      </c>
      <c r="B16" s="19" t="str">
        <f t="shared" si="0"/>
        <v>A</v>
      </c>
      <c r="C16">
        <f t="shared" si="1"/>
        <v>7.3</v>
      </c>
      <c r="D16">
        <f t="shared" si="2"/>
        <v>220</v>
      </c>
      <c r="E16">
        <f t="shared" si="3"/>
        <v>1606</v>
      </c>
    </row>
    <row r="17" spans="1:9" ht="15" hidden="1" customHeight="1" thickBot="1" x14ac:dyDescent="0.3">
      <c r="A17" s="20" t="s">
        <v>30</v>
      </c>
      <c r="B17" s="19" t="str">
        <f t="shared" si="0"/>
        <v>A</v>
      </c>
      <c r="C17">
        <f t="shared" si="1"/>
        <v>9.6</v>
      </c>
      <c r="D17">
        <f t="shared" si="2"/>
        <v>440</v>
      </c>
      <c r="E17">
        <f t="shared" si="3"/>
        <v>4224</v>
      </c>
    </row>
    <row r="18" spans="1:9" ht="15" hidden="1" customHeight="1" thickBot="1" x14ac:dyDescent="0.3">
      <c r="A18" s="20" t="s">
        <v>31</v>
      </c>
      <c r="B18" s="19" t="str">
        <f t="shared" si="0"/>
        <v>A</v>
      </c>
      <c r="C18">
        <f t="shared" si="1"/>
        <v>9.6</v>
      </c>
      <c r="D18">
        <f t="shared" si="2"/>
        <v>440</v>
      </c>
      <c r="E18">
        <f t="shared" si="3"/>
        <v>4224</v>
      </c>
    </row>
    <row r="19" spans="1:9" ht="15" hidden="1" customHeight="1" thickBot="1" x14ac:dyDescent="0.3">
      <c r="A19" s="20" t="s">
        <v>114</v>
      </c>
      <c r="B19" s="19" t="str">
        <f t="shared" si="0"/>
        <v>A</v>
      </c>
      <c r="C19">
        <f t="shared" si="1"/>
        <v>9.6</v>
      </c>
      <c r="D19">
        <f t="shared" si="2"/>
        <v>440</v>
      </c>
      <c r="E19">
        <f t="shared" si="3"/>
        <v>4224</v>
      </c>
    </row>
    <row r="20" spans="1:9" ht="15" hidden="1" customHeight="1" thickBot="1" x14ac:dyDescent="0.3">
      <c r="A20" s="20" t="s">
        <v>13</v>
      </c>
      <c r="B20" s="19" t="str">
        <f t="shared" si="0"/>
        <v>A</v>
      </c>
      <c r="C20">
        <f t="shared" si="1"/>
        <v>10</v>
      </c>
      <c r="D20">
        <f t="shared" si="2"/>
        <v>220</v>
      </c>
      <c r="E20">
        <f t="shared" si="3"/>
        <v>2200</v>
      </c>
      <c r="I20" t="s">
        <v>141</v>
      </c>
    </row>
    <row r="21" spans="1:9" ht="15" hidden="1" customHeight="1" thickBot="1" x14ac:dyDescent="0.3">
      <c r="A21" s="20" t="s">
        <v>14</v>
      </c>
      <c r="B21" s="19" t="str">
        <f t="shared" si="0"/>
        <v>A</v>
      </c>
      <c r="C21">
        <f t="shared" si="1"/>
        <v>10</v>
      </c>
      <c r="D21">
        <f t="shared" si="2"/>
        <v>220</v>
      </c>
      <c r="E21">
        <f t="shared" si="3"/>
        <v>2200</v>
      </c>
    </row>
    <row r="22" spans="1:9" ht="15" hidden="1" customHeight="1" thickBot="1" x14ac:dyDescent="0.3">
      <c r="A22" s="20" t="s">
        <v>104</v>
      </c>
      <c r="B22" s="19" t="str">
        <f t="shared" si="0"/>
        <v>A</v>
      </c>
      <c r="C22">
        <f t="shared" si="1"/>
        <v>10</v>
      </c>
      <c r="D22">
        <f t="shared" si="2"/>
        <v>220</v>
      </c>
      <c r="E22">
        <f t="shared" si="3"/>
        <v>2200</v>
      </c>
    </row>
    <row r="23" spans="1:9" ht="15" hidden="1" customHeight="1" thickBot="1" x14ac:dyDescent="0.3">
      <c r="A23" s="20" t="s">
        <v>15</v>
      </c>
      <c r="B23" s="19" t="str">
        <f t="shared" si="0"/>
        <v>A</v>
      </c>
      <c r="C23">
        <f t="shared" si="1"/>
        <v>13</v>
      </c>
      <c r="D23">
        <f t="shared" si="2"/>
        <v>220</v>
      </c>
      <c r="E23">
        <f t="shared" si="3"/>
        <v>2860</v>
      </c>
    </row>
    <row r="24" spans="1:9" ht="15" hidden="1" customHeight="1" thickBot="1" x14ac:dyDescent="0.3">
      <c r="A24" s="20" t="s">
        <v>16</v>
      </c>
      <c r="B24" s="19" t="str">
        <f t="shared" si="0"/>
        <v>A</v>
      </c>
      <c r="C24">
        <f t="shared" si="1"/>
        <v>13</v>
      </c>
      <c r="D24">
        <f t="shared" si="2"/>
        <v>220</v>
      </c>
      <c r="E24">
        <f t="shared" si="3"/>
        <v>2860</v>
      </c>
    </row>
    <row r="25" spans="1:9" ht="15" hidden="1" customHeight="1" thickBot="1" x14ac:dyDescent="0.3">
      <c r="A25" s="20" t="s">
        <v>105</v>
      </c>
      <c r="B25" s="19" t="str">
        <f t="shared" si="0"/>
        <v>A</v>
      </c>
      <c r="C25">
        <f t="shared" si="1"/>
        <v>13</v>
      </c>
      <c r="D25">
        <f t="shared" si="2"/>
        <v>220</v>
      </c>
      <c r="E25">
        <f t="shared" si="3"/>
        <v>2860</v>
      </c>
    </row>
    <row r="26" spans="1:9" ht="15" hidden="1" customHeight="1" thickBot="1" x14ac:dyDescent="0.3">
      <c r="A26" s="20" t="s">
        <v>115</v>
      </c>
      <c r="B26" s="19" t="str">
        <f t="shared" si="0"/>
        <v>A</v>
      </c>
      <c r="C26">
        <f t="shared" si="1"/>
        <v>14</v>
      </c>
      <c r="D26">
        <f t="shared" si="2"/>
        <v>440</v>
      </c>
      <c r="E26">
        <f t="shared" si="3"/>
        <v>6160</v>
      </c>
    </row>
    <row r="27" spans="1:9" ht="15" hidden="1" customHeight="1" thickBot="1" x14ac:dyDescent="0.3">
      <c r="A27" s="20" t="s">
        <v>106</v>
      </c>
      <c r="B27" s="19" t="str">
        <f t="shared" si="0"/>
        <v>A</v>
      </c>
      <c r="C27">
        <f t="shared" si="1"/>
        <v>16</v>
      </c>
      <c r="D27">
        <f t="shared" si="2"/>
        <v>220</v>
      </c>
      <c r="E27">
        <f t="shared" si="3"/>
        <v>3520</v>
      </c>
    </row>
    <row r="28" spans="1:9" ht="15" hidden="1" customHeight="1" thickBot="1" x14ac:dyDescent="0.3">
      <c r="A28" s="20" t="s">
        <v>116</v>
      </c>
      <c r="B28" s="19" t="str">
        <f t="shared" si="0"/>
        <v>A</v>
      </c>
      <c r="C28">
        <f t="shared" si="1"/>
        <v>16</v>
      </c>
      <c r="D28">
        <f t="shared" si="2"/>
        <v>440</v>
      </c>
      <c r="E28">
        <f t="shared" si="3"/>
        <v>7040</v>
      </c>
    </row>
    <row r="29" spans="1:9" ht="15" hidden="1" customHeight="1" thickBot="1" x14ac:dyDescent="0.3">
      <c r="A29" s="20" t="s">
        <v>76</v>
      </c>
      <c r="B29" s="19" t="str">
        <f t="shared" si="0"/>
        <v>B</v>
      </c>
      <c r="C29">
        <f t="shared" si="1"/>
        <v>14</v>
      </c>
      <c r="D29">
        <f t="shared" si="2"/>
        <v>440</v>
      </c>
      <c r="E29">
        <f t="shared" si="3"/>
        <v>6160</v>
      </c>
    </row>
    <row r="30" spans="1:9" ht="15" hidden="1" customHeight="1" thickBot="1" x14ac:dyDescent="0.3">
      <c r="A30" s="20" t="s">
        <v>92</v>
      </c>
      <c r="B30" s="19" t="str">
        <f t="shared" si="0"/>
        <v>B</v>
      </c>
      <c r="C30">
        <f t="shared" si="1"/>
        <v>14</v>
      </c>
      <c r="D30">
        <f t="shared" si="2"/>
        <v>440</v>
      </c>
      <c r="E30">
        <f t="shared" si="3"/>
        <v>6160</v>
      </c>
    </row>
    <row r="31" spans="1:9" ht="15" hidden="1" customHeight="1" thickBot="1" x14ac:dyDescent="0.3">
      <c r="A31" s="20" t="s">
        <v>54</v>
      </c>
      <c r="B31" s="19" t="str">
        <f t="shared" si="0"/>
        <v>B</v>
      </c>
      <c r="C31">
        <f t="shared" si="1"/>
        <v>16</v>
      </c>
      <c r="D31">
        <f t="shared" si="2"/>
        <v>220</v>
      </c>
      <c r="E31">
        <f t="shared" si="3"/>
        <v>3520</v>
      </c>
    </row>
    <row r="32" spans="1:9" ht="15" hidden="1" customHeight="1" thickBot="1" x14ac:dyDescent="0.3">
      <c r="A32" s="20" t="s">
        <v>68</v>
      </c>
      <c r="B32" s="19" t="str">
        <f t="shared" si="0"/>
        <v>B</v>
      </c>
      <c r="C32">
        <f t="shared" si="1"/>
        <v>16</v>
      </c>
      <c r="D32">
        <f t="shared" si="2"/>
        <v>220</v>
      </c>
      <c r="E32">
        <f t="shared" si="3"/>
        <v>3520</v>
      </c>
    </row>
    <row r="33" spans="1:5" ht="15" hidden="1" customHeight="1" thickBot="1" x14ac:dyDescent="0.3">
      <c r="A33" s="20" t="s">
        <v>32</v>
      </c>
      <c r="B33" s="19" t="str">
        <f t="shared" si="0"/>
        <v>B</v>
      </c>
      <c r="C33">
        <f t="shared" si="1"/>
        <v>16</v>
      </c>
      <c r="D33">
        <f t="shared" si="2"/>
        <v>440</v>
      </c>
      <c r="E33">
        <f t="shared" si="3"/>
        <v>7040</v>
      </c>
    </row>
    <row r="34" spans="1:5" ht="15" hidden="1" customHeight="1" thickBot="1" x14ac:dyDescent="0.3">
      <c r="A34" s="20" t="s">
        <v>33</v>
      </c>
      <c r="B34" s="19" t="str">
        <f t="shared" ref="B34:B65" si="4">MID(A34,FIND("n00",A34)+3,1)</f>
        <v>B</v>
      </c>
      <c r="C34">
        <f t="shared" ref="C34:C65" si="5">IFERROR(VALUE(SUBSTITUTE(MID(A34,FIND("n00",A34)+4,FIND("T",A34)-FIND("n00",A34)-4),"P",",")),"")</f>
        <v>16</v>
      </c>
      <c r="D34">
        <f t="shared" ref="D34:D65" si="6">IFERROR(IF(ISNUMBER(FIND("T2",A34)),220,IF(ISNUMBER(FIND("T4",A34)),440,"")),"")</f>
        <v>440</v>
      </c>
      <c r="E34">
        <f t="shared" ref="E34:E65" si="7">D34*C34</f>
        <v>7040</v>
      </c>
    </row>
    <row r="35" spans="1:5" ht="15" hidden="1" customHeight="1" thickBot="1" x14ac:dyDescent="0.3">
      <c r="A35" s="20" t="s">
        <v>107</v>
      </c>
      <c r="B35" s="19" t="str">
        <f t="shared" si="4"/>
        <v>B</v>
      </c>
      <c r="C35">
        <f t="shared" si="5"/>
        <v>24</v>
      </c>
      <c r="D35">
        <f t="shared" si="6"/>
        <v>220</v>
      </c>
      <c r="E35">
        <f t="shared" si="7"/>
        <v>5280</v>
      </c>
    </row>
    <row r="36" spans="1:5" ht="15" hidden="1" customHeight="1" thickBot="1" x14ac:dyDescent="0.3">
      <c r="A36" s="20" t="s">
        <v>117</v>
      </c>
      <c r="B36" s="19" t="str">
        <f t="shared" si="4"/>
        <v>B</v>
      </c>
      <c r="C36">
        <f t="shared" si="5"/>
        <v>24</v>
      </c>
      <c r="D36">
        <f t="shared" si="6"/>
        <v>440</v>
      </c>
      <c r="E36">
        <f t="shared" si="7"/>
        <v>10560</v>
      </c>
    </row>
    <row r="37" spans="1:5" ht="15" hidden="1" customHeight="1" thickBot="1" x14ac:dyDescent="0.3">
      <c r="A37" s="20" t="s">
        <v>108</v>
      </c>
      <c r="B37" s="19" t="str">
        <f t="shared" si="4"/>
        <v>B</v>
      </c>
      <c r="C37">
        <f t="shared" si="5"/>
        <v>28</v>
      </c>
      <c r="D37">
        <f t="shared" si="6"/>
        <v>220</v>
      </c>
      <c r="E37">
        <f t="shared" si="7"/>
        <v>6160</v>
      </c>
    </row>
    <row r="38" spans="1:5" ht="15" hidden="1" customHeight="1" thickBot="1" x14ac:dyDescent="0.3">
      <c r="A38" s="20" t="s">
        <v>118</v>
      </c>
      <c r="B38" s="19" t="str">
        <f t="shared" si="4"/>
        <v>B</v>
      </c>
      <c r="C38">
        <f t="shared" si="5"/>
        <v>31</v>
      </c>
      <c r="D38">
        <f t="shared" si="6"/>
        <v>440</v>
      </c>
      <c r="E38">
        <f t="shared" si="7"/>
        <v>13640</v>
      </c>
    </row>
    <row r="39" spans="1:5" ht="15" customHeight="1" thickBot="1" x14ac:dyDescent="0.3">
      <c r="A39" s="20" t="s">
        <v>55</v>
      </c>
      <c r="B39" s="19" t="str">
        <f t="shared" si="4"/>
        <v>C</v>
      </c>
      <c r="C39">
        <f t="shared" si="5"/>
        <v>24</v>
      </c>
      <c r="D39">
        <f t="shared" si="6"/>
        <v>220</v>
      </c>
      <c r="E39">
        <f t="shared" si="7"/>
        <v>5280</v>
      </c>
    </row>
    <row r="40" spans="1:5" ht="15" customHeight="1" thickBot="1" x14ac:dyDescent="0.3">
      <c r="A40" s="20" t="s">
        <v>69</v>
      </c>
      <c r="B40" s="19" t="str">
        <f t="shared" si="4"/>
        <v>C</v>
      </c>
      <c r="C40">
        <f t="shared" si="5"/>
        <v>24</v>
      </c>
      <c r="D40">
        <f t="shared" si="6"/>
        <v>220</v>
      </c>
      <c r="E40">
        <f t="shared" si="7"/>
        <v>5280</v>
      </c>
    </row>
    <row r="41" spans="1:5" ht="15" customHeight="1" thickBot="1" x14ac:dyDescent="0.3">
      <c r="A41" s="20" t="s">
        <v>34</v>
      </c>
      <c r="B41" s="19" t="str">
        <f t="shared" si="4"/>
        <v>C</v>
      </c>
      <c r="C41">
        <f t="shared" si="5"/>
        <v>24</v>
      </c>
      <c r="D41">
        <f t="shared" si="6"/>
        <v>440</v>
      </c>
      <c r="E41">
        <f t="shared" si="7"/>
        <v>10560</v>
      </c>
    </row>
    <row r="42" spans="1:5" ht="15" customHeight="1" thickBot="1" x14ac:dyDescent="0.3">
      <c r="A42" s="20" t="s">
        <v>35</v>
      </c>
      <c r="B42" s="19" t="str">
        <f t="shared" si="4"/>
        <v>C</v>
      </c>
      <c r="C42">
        <f t="shared" si="5"/>
        <v>24</v>
      </c>
      <c r="D42">
        <f t="shared" si="6"/>
        <v>440</v>
      </c>
      <c r="E42">
        <f t="shared" si="7"/>
        <v>10560</v>
      </c>
    </row>
    <row r="43" spans="1:5" ht="15" customHeight="1" thickBot="1" x14ac:dyDescent="0.3">
      <c r="A43" s="20" t="s">
        <v>17</v>
      </c>
      <c r="B43" s="19" t="str">
        <f t="shared" si="4"/>
        <v>C</v>
      </c>
      <c r="C43">
        <f t="shared" si="5"/>
        <v>28</v>
      </c>
      <c r="D43">
        <f t="shared" si="6"/>
        <v>220</v>
      </c>
      <c r="E43">
        <f t="shared" si="7"/>
        <v>6160</v>
      </c>
    </row>
    <row r="44" spans="1:5" ht="15" customHeight="1" thickBot="1" x14ac:dyDescent="0.3">
      <c r="A44" s="20" t="s">
        <v>18</v>
      </c>
      <c r="B44" s="19" t="str">
        <f t="shared" si="4"/>
        <v>C</v>
      </c>
      <c r="C44">
        <f t="shared" si="5"/>
        <v>28</v>
      </c>
      <c r="D44">
        <f t="shared" si="6"/>
        <v>220</v>
      </c>
      <c r="E44">
        <f t="shared" si="7"/>
        <v>6160</v>
      </c>
    </row>
    <row r="45" spans="1:5" ht="15" customHeight="1" thickBot="1" x14ac:dyDescent="0.3">
      <c r="A45" s="20" t="s">
        <v>36</v>
      </c>
      <c r="B45" s="19" t="str">
        <f t="shared" si="4"/>
        <v>C</v>
      </c>
      <c r="C45">
        <f t="shared" si="5"/>
        <v>31</v>
      </c>
      <c r="D45">
        <f t="shared" si="6"/>
        <v>440</v>
      </c>
      <c r="E45">
        <f t="shared" si="7"/>
        <v>13640</v>
      </c>
    </row>
    <row r="46" spans="1:5" ht="15.75" thickBot="1" x14ac:dyDescent="0.3">
      <c r="A46" s="20" t="s">
        <v>37</v>
      </c>
      <c r="B46" s="19" t="str">
        <f t="shared" si="4"/>
        <v>C</v>
      </c>
      <c r="C46">
        <f t="shared" si="5"/>
        <v>31</v>
      </c>
      <c r="D46">
        <f t="shared" si="6"/>
        <v>440</v>
      </c>
      <c r="E46">
        <f t="shared" si="7"/>
        <v>13640</v>
      </c>
    </row>
    <row r="47" spans="1:5" ht="15.75" thickBot="1" x14ac:dyDescent="0.3">
      <c r="A47" s="20" t="s">
        <v>119</v>
      </c>
      <c r="B47" s="19" t="str">
        <f t="shared" si="4"/>
        <v>C</v>
      </c>
      <c r="C47">
        <f t="shared" si="5"/>
        <v>39</v>
      </c>
      <c r="D47">
        <f t="shared" si="6"/>
        <v>440</v>
      </c>
      <c r="E47">
        <f t="shared" si="7"/>
        <v>17160</v>
      </c>
    </row>
    <row r="48" spans="1:5" ht="15.75" thickBot="1" x14ac:dyDescent="0.3">
      <c r="A48" s="20" t="s">
        <v>109</v>
      </c>
      <c r="B48" s="19" t="str">
        <f t="shared" si="4"/>
        <v>C</v>
      </c>
      <c r="C48">
        <f t="shared" si="5"/>
        <v>42</v>
      </c>
      <c r="D48">
        <f t="shared" si="6"/>
        <v>220</v>
      </c>
      <c r="E48">
        <f t="shared" si="7"/>
        <v>9240</v>
      </c>
    </row>
    <row r="49" spans="1:5" ht="15" customHeight="1" thickBot="1" x14ac:dyDescent="0.3">
      <c r="A49" s="20" t="s">
        <v>120</v>
      </c>
      <c r="B49" s="19" t="str">
        <f t="shared" si="4"/>
        <v>C</v>
      </c>
      <c r="C49">
        <f t="shared" si="5"/>
        <v>50</v>
      </c>
      <c r="D49">
        <f t="shared" si="6"/>
        <v>440</v>
      </c>
      <c r="E49">
        <f t="shared" si="7"/>
        <v>22000</v>
      </c>
    </row>
    <row r="50" spans="1:5" ht="15" customHeight="1" thickBot="1" x14ac:dyDescent="0.3">
      <c r="A50" s="20" t="s">
        <v>110</v>
      </c>
      <c r="B50" s="19" t="str">
        <f t="shared" si="4"/>
        <v>C</v>
      </c>
      <c r="C50">
        <f t="shared" si="5"/>
        <v>56</v>
      </c>
      <c r="D50">
        <f t="shared" si="6"/>
        <v>220</v>
      </c>
      <c r="E50">
        <f t="shared" si="7"/>
        <v>12320</v>
      </c>
    </row>
    <row r="51" spans="1:5" ht="15" customHeight="1" thickBot="1" x14ac:dyDescent="0.3">
      <c r="A51" s="20" t="s">
        <v>77</v>
      </c>
      <c r="B51" s="21" t="str">
        <f>MID(A51,FIND("n00",A51)+3,1)</f>
        <v>D</v>
      </c>
      <c r="C51" s="22">
        <f>IFERROR(VALUE(SUBSTITUTE(MID(A51,FIND("n00",A51)+4,FIND("T",A51)-FIND("n00",A51)-4),"P",",")),"")</f>
        <v>39</v>
      </c>
      <c r="D51" s="22">
        <f>IFERROR(IF(ISNUMBER(FIND("T2",A51)),220,IF(ISNUMBER(FIND("T4",A51)),440,"")),"")</f>
        <v>440</v>
      </c>
      <c r="E51">
        <f>D51*C51</f>
        <v>17160</v>
      </c>
    </row>
    <row r="52" spans="1:5" ht="15" customHeight="1" thickBot="1" x14ac:dyDescent="0.3">
      <c r="A52" s="20" t="s">
        <v>38</v>
      </c>
      <c r="B52" s="19" t="str">
        <f>MID(A52,FIND("n00",A52)+3,1)</f>
        <v>D</v>
      </c>
      <c r="C52">
        <f>IFERROR(VALUE(SUBSTITUTE(MID(A52,FIND("n00",A52)+4,FIND("T",A52)-FIND("n00",A52)-4),"P",",")),"")</f>
        <v>39</v>
      </c>
      <c r="D52">
        <f>IFERROR(IF(ISNUMBER(FIND("T2",A52)),220,IF(ISNUMBER(FIND("T4",A52)),440,"")),"")</f>
        <v>440</v>
      </c>
      <c r="E52">
        <f>D52*C52</f>
        <v>17160</v>
      </c>
    </row>
    <row r="53" spans="1:5" ht="15" customHeight="1" thickBot="1" x14ac:dyDescent="0.3">
      <c r="A53" s="20" t="s">
        <v>56</v>
      </c>
      <c r="B53" s="19" t="str">
        <f>MID(A53,FIND("n00",A53)+3,1)</f>
        <v>D</v>
      </c>
      <c r="C53">
        <f>IFERROR(VALUE(SUBSTITUTE(MID(A53,FIND("n00",A53)+4,FIND("T",A53)-FIND("n00",A53)-4),"P",",")),"")</f>
        <v>42</v>
      </c>
      <c r="D53">
        <f>IFERROR(IF(ISNUMBER(FIND("T2",A53)),220,IF(ISNUMBER(FIND("T4",A53)),440,"")),"")</f>
        <v>220</v>
      </c>
      <c r="E53">
        <f>D53*C53</f>
        <v>9240</v>
      </c>
    </row>
    <row r="54" spans="1:5" ht="15" customHeight="1" thickBot="1" x14ac:dyDescent="0.3">
      <c r="A54" s="20" t="s">
        <v>19</v>
      </c>
      <c r="B54" s="19" t="str">
        <f>MID(A54,FIND("n00",A54)+3,1)</f>
        <v>D</v>
      </c>
      <c r="C54">
        <f>IFERROR(VALUE(SUBSTITUTE(MID(A54,FIND("n00",A54)+4,FIND("T",A54)-FIND("n00",A54)-4),"P",",")),"")</f>
        <v>42</v>
      </c>
      <c r="D54">
        <f>IFERROR(IF(ISNUMBER(FIND("T2",A54)),220,IF(ISNUMBER(FIND("T4",A54)),440,"")),"")</f>
        <v>220</v>
      </c>
      <c r="E54">
        <f>D54*C54</f>
        <v>9240</v>
      </c>
    </row>
    <row r="55" spans="1:5" ht="15" customHeight="1" thickBot="1" x14ac:dyDescent="0.3">
      <c r="A55" s="20" t="s">
        <v>78</v>
      </c>
      <c r="B55" s="19" t="str">
        <f>MID(A55,FIND("n00",A55)+3,1)</f>
        <v>D</v>
      </c>
      <c r="C55">
        <f>IFERROR(VALUE(SUBSTITUTE(MID(A55,FIND("n00",A55)+4,FIND("T",A55)-FIND("n00",A55)-4),"P",",")),"")</f>
        <v>50</v>
      </c>
      <c r="D55">
        <f>IFERROR(IF(ISNUMBER(FIND("T2",A55)),220,IF(ISNUMBER(FIND("T4",A55)),440,"")),"")</f>
        <v>440</v>
      </c>
      <c r="E55">
        <f>D55*C55</f>
        <v>22000</v>
      </c>
    </row>
    <row r="56" spans="1:5" ht="15" customHeight="1" thickBot="1" x14ac:dyDescent="0.3">
      <c r="A56" s="20" t="s">
        <v>39</v>
      </c>
      <c r="B56" s="19" t="str">
        <f>MID(A56,FIND("n00",A56)+3,1)</f>
        <v>D</v>
      </c>
      <c r="C56">
        <f>IFERROR(VALUE(SUBSTITUTE(MID(A56,FIND("n00",A56)+4,FIND("T",A56)-FIND("n00",A56)-4),"P",",")),"")</f>
        <v>50</v>
      </c>
      <c r="D56">
        <f>IFERROR(IF(ISNUMBER(FIND("T2",A56)),220,IF(ISNUMBER(FIND("T4",A56)),440,"")),"")</f>
        <v>440</v>
      </c>
      <c r="E56">
        <f>D56*C56</f>
        <v>22000</v>
      </c>
    </row>
    <row r="57" spans="1:5" ht="15" customHeight="1" thickBot="1" x14ac:dyDescent="0.3">
      <c r="A57" s="20" t="s">
        <v>57</v>
      </c>
      <c r="B57" s="19" t="str">
        <f>MID(A57,FIND("n00",A57)+3,1)</f>
        <v>D</v>
      </c>
      <c r="C57">
        <f>IFERROR(VALUE(SUBSTITUTE(MID(A57,FIND("n00",A57)+4,FIND("T",A57)-FIND("n00",A57)-4),"P",",")),"")</f>
        <v>56</v>
      </c>
      <c r="D57">
        <f>IFERROR(IF(ISNUMBER(FIND("T2",A57)),220,IF(ISNUMBER(FIND("T4",A57)),440,"")),"")</f>
        <v>220</v>
      </c>
      <c r="E57">
        <f>D57*C57</f>
        <v>12320</v>
      </c>
    </row>
    <row r="58" spans="1:5" ht="15" customHeight="1" thickBot="1" x14ac:dyDescent="0.3">
      <c r="A58" s="20" t="s">
        <v>20</v>
      </c>
      <c r="B58" s="19" t="str">
        <f>MID(A58,FIND("n00",A58)+3,1)</f>
        <v>D</v>
      </c>
      <c r="C58">
        <f>IFERROR(VALUE(SUBSTITUTE(MID(A58,FIND("n00",A58)+4,FIND("T",A58)-FIND("n00",A58)-4),"P",",")),"")</f>
        <v>56</v>
      </c>
      <c r="D58">
        <f>IFERROR(IF(ISNUMBER(FIND("T2",A58)),220,IF(ISNUMBER(FIND("T4",A58)),440,"")),"")</f>
        <v>220</v>
      </c>
      <c r="E58">
        <f>D58*C58</f>
        <v>12320</v>
      </c>
    </row>
    <row r="59" spans="1:5" ht="15" customHeight="1" thickBot="1" x14ac:dyDescent="0.3">
      <c r="A59" s="20" t="s">
        <v>79</v>
      </c>
      <c r="B59" s="19" t="str">
        <f>MID(A59,FIND("n00",A59)+3,1)</f>
        <v>D</v>
      </c>
      <c r="C59">
        <f>IFERROR(VALUE(SUBSTITUTE(MID(A59,FIND("n00",A59)+4,FIND("T",A59)-FIND("n00",A59)-4),"P",",")),"")</f>
        <v>60</v>
      </c>
      <c r="D59">
        <f>IFERROR(IF(ISNUMBER(FIND("T2",A59)),220,IF(ISNUMBER(FIND("T4",A59)),440,"")),"")</f>
        <v>440</v>
      </c>
      <c r="E59">
        <f>D59*C59</f>
        <v>26400</v>
      </c>
    </row>
    <row r="60" spans="1:5" ht="15" customHeight="1" thickBot="1" x14ac:dyDescent="0.3">
      <c r="A60" s="20" t="s">
        <v>40</v>
      </c>
      <c r="B60" s="19" t="str">
        <f>MID(A60,FIND("n00",A60)+3,1)</f>
        <v>D</v>
      </c>
      <c r="C60">
        <f>IFERROR(VALUE(SUBSTITUTE(MID(A60,FIND("n00",A60)+4,FIND("T",A60)-FIND("n00",A60)-4),"P",",")),"")</f>
        <v>60</v>
      </c>
      <c r="D60">
        <f>IFERROR(IF(ISNUMBER(FIND("T2",A60)),220,IF(ISNUMBER(FIND("T4",A60)),440,"")),"")</f>
        <v>440</v>
      </c>
      <c r="E60">
        <f>D60*C60</f>
        <v>26400</v>
      </c>
    </row>
    <row r="61" spans="1:5" ht="15" customHeight="1" thickBot="1" x14ac:dyDescent="0.3">
      <c r="A61" s="20" t="s">
        <v>58</v>
      </c>
      <c r="B61" s="19" t="str">
        <f>MID(A61,FIND("n00",A61)+3,1)</f>
        <v>D</v>
      </c>
      <c r="C61">
        <f>IFERROR(VALUE(SUBSTITUTE(MID(A61,FIND("n00",A61)+4,FIND("T",A61)-FIND("n00",A61)-4),"P",",")),"")</f>
        <v>68</v>
      </c>
      <c r="D61">
        <f>IFERROR(IF(ISNUMBER(FIND("T2",A61)),220,IF(ISNUMBER(FIND("T4",A61)),440,"")),"")</f>
        <v>220</v>
      </c>
      <c r="E61">
        <f>D61*C61</f>
        <v>14960</v>
      </c>
    </row>
    <row r="62" spans="1:5" ht="15" customHeight="1" thickBot="1" x14ac:dyDescent="0.3">
      <c r="A62" s="20" t="s">
        <v>21</v>
      </c>
      <c r="B62" s="19" t="str">
        <f>MID(A62,FIND("n00",A62)+3,1)</f>
        <v>D</v>
      </c>
      <c r="C62">
        <f>IFERROR(VALUE(SUBSTITUTE(MID(A62,FIND("n00",A62)+4,FIND("T",A62)-FIND("n00",A62)-4),"P",",")),"")</f>
        <v>68</v>
      </c>
      <c r="D62">
        <f>IFERROR(IF(ISNUMBER(FIND("T2",A62)),220,IF(ISNUMBER(FIND("T4",A62)),440,"")),"")</f>
        <v>220</v>
      </c>
      <c r="E62">
        <f>D62*C62</f>
        <v>14960</v>
      </c>
    </row>
    <row r="63" spans="1:5" ht="15" hidden="1" customHeight="1" thickBot="1" x14ac:dyDescent="0.3">
      <c r="A63" s="20" t="s">
        <v>80</v>
      </c>
      <c r="B63" s="19" t="str">
        <f>MID(A63,FIND("n00",A63)+3,1)</f>
        <v>E</v>
      </c>
      <c r="C63">
        <f>IFERROR(VALUE(SUBSTITUTE(MID(A63,FIND("n00",A63)+4,FIND("T",A63)-FIND("n00",A63)-4),"P",",")),"")</f>
        <v>74</v>
      </c>
      <c r="D63">
        <f>IFERROR(IF(ISNUMBER(FIND("T2",A63)),220,IF(ISNUMBER(FIND("T4",A63)),440,"")),"")</f>
        <v>440</v>
      </c>
      <c r="E63">
        <f>D63*C63</f>
        <v>32560</v>
      </c>
    </row>
    <row r="64" spans="1:5" ht="15" hidden="1" customHeight="1" thickBot="1" x14ac:dyDescent="0.3">
      <c r="A64" s="20" t="s">
        <v>41</v>
      </c>
      <c r="B64" s="19" t="str">
        <f>MID(A64,FIND("n00",A64)+3,1)</f>
        <v>E</v>
      </c>
      <c r="C64">
        <f>IFERROR(VALUE(SUBSTITUTE(MID(A64,FIND("n00",A64)+4,FIND("T",A64)-FIND("n00",A64)-4),"P",",")),"")</f>
        <v>74</v>
      </c>
      <c r="D64">
        <f>IFERROR(IF(ISNUMBER(FIND("T2",A64)),220,IF(ISNUMBER(FIND("T4",A64)),440,"")),"")</f>
        <v>440</v>
      </c>
      <c r="E64">
        <f>D64*C64</f>
        <v>32560</v>
      </c>
    </row>
    <row r="65" spans="1:5" ht="15" hidden="1" customHeight="1" thickBot="1" x14ac:dyDescent="0.3">
      <c r="A65" s="20" t="s">
        <v>59</v>
      </c>
      <c r="B65" s="19" t="str">
        <f>MID(A65,FIND("n00",A65)+3,1)</f>
        <v>E</v>
      </c>
      <c r="C65">
        <f>IFERROR(VALUE(SUBSTITUTE(MID(A65,FIND("n00",A65)+4,FIND("T",A65)-FIND("n00",A65)-4),"P",",")),"")</f>
        <v>80</v>
      </c>
      <c r="D65">
        <f>IFERROR(IF(ISNUMBER(FIND("T2",A65)),220,IF(ISNUMBER(FIND("T4",A65)),440,"")),"")</f>
        <v>220</v>
      </c>
      <c r="E65">
        <f>D65*C65</f>
        <v>17600</v>
      </c>
    </row>
    <row r="66" spans="1:5" ht="15" hidden="1" customHeight="1" thickBot="1" x14ac:dyDescent="0.3">
      <c r="A66" s="20" t="s">
        <v>22</v>
      </c>
      <c r="B66" s="19" t="str">
        <f>MID(A66,FIND("n00",A66)+3,1)</f>
        <v>E</v>
      </c>
      <c r="C66">
        <f>IFERROR(VALUE(SUBSTITUTE(MID(A66,FIND("n00",A66)+4,FIND("T",A66)-FIND("n00",A66)-4),"P",",")),"")</f>
        <v>80</v>
      </c>
      <c r="D66">
        <f>IFERROR(IF(ISNUMBER(FIND("T2",A66)),220,IF(ISNUMBER(FIND("T4",A66)),440,"")),"")</f>
        <v>220</v>
      </c>
      <c r="E66">
        <f>D66*C66</f>
        <v>17600</v>
      </c>
    </row>
    <row r="67" spans="1:5" ht="15" hidden="1" customHeight="1" thickBot="1" x14ac:dyDescent="0.3">
      <c r="A67" s="20" t="s">
        <v>81</v>
      </c>
      <c r="B67" s="19" t="str">
        <f>MID(A67,FIND("n00",A67)+3,1)</f>
        <v>E</v>
      </c>
      <c r="C67">
        <f>IFERROR(VALUE(SUBSTITUTE(MID(A67,FIND("n00",A67)+4,FIND("T",A67)-FIND("n00",A67)-4),"P",",")),"")</f>
        <v>90</v>
      </c>
      <c r="D67">
        <f>IFERROR(IF(ISNUMBER(FIND("T2",A67)),220,IF(ISNUMBER(FIND("T4",A67)),440,"")),"")</f>
        <v>440</v>
      </c>
      <c r="E67">
        <f>D67*C67</f>
        <v>39600</v>
      </c>
    </row>
    <row r="68" spans="1:5" ht="15" hidden="1" customHeight="1" thickBot="1" x14ac:dyDescent="0.3">
      <c r="A68" s="20" t="s">
        <v>42</v>
      </c>
      <c r="B68" s="19" t="str">
        <f>MID(A68,FIND("n00",A68)+3,1)</f>
        <v>E</v>
      </c>
      <c r="C68">
        <f>IFERROR(VALUE(SUBSTITUTE(MID(A68,FIND("n00",A68)+4,FIND("T",A68)-FIND("n00",A68)-4),"P",",")),"")</f>
        <v>90</v>
      </c>
      <c r="D68">
        <f>IFERROR(IF(ISNUMBER(FIND("T2",A68)),220,IF(ISNUMBER(FIND("T4",A68)),440,"")),"")</f>
        <v>440</v>
      </c>
      <c r="E68">
        <f>D68*C68</f>
        <v>39600</v>
      </c>
    </row>
    <row r="69" spans="1:5" ht="15" hidden="1" customHeight="1" thickBot="1" x14ac:dyDescent="0.3">
      <c r="A69" s="20" t="s">
        <v>82</v>
      </c>
      <c r="B69" s="19" t="str">
        <f>MID(A69,FIND("n00",A69)+3,1)</f>
        <v>E</v>
      </c>
      <c r="C69">
        <f>IFERROR(VALUE(SUBSTITUTE(MID(A69,FIND("n00",A69)+4,FIND("T",A69)-FIND("n00",A69)-4),"P",",")),"")</f>
        <v>105</v>
      </c>
      <c r="D69">
        <f>IFERROR(IF(ISNUMBER(FIND("T2",A69)),220,IF(ISNUMBER(FIND("T4",A69)),440,"")),"")</f>
        <v>440</v>
      </c>
      <c r="E69">
        <f>D69*C69</f>
        <v>46200</v>
      </c>
    </row>
    <row r="70" spans="1:5" ht="15" hidden="1" customHeight="1" thickBot="1" x14ac:dyDescent="0.3">
      <c r="A70" s="20" t="s">
        <v>43</v>
      </c>
      <c r="B70" s="19" t="str">
        <f>MID(A70,FIND("n00",A70)+3,1)</f>
        <v>E</v>
      </c>
      <c r="C70">
        <f>IFERROR(VALUE(SUBSTITUTE(MID(A70,FIND("n00",A70)+4,FIND("T",A70)-FIND("n00",A70)-4),"P",",")),"")</f>
        <v>105</v>
      </c>
      <c r="D70">
        <f>IFERROR(IF(ISNUMBER(FIND("T2",A70)),220,IF(ISNUMBER(FIND("T4",A70)),440,"")),"")</f>
        <v>440</v>
      </c>
      <c r="E70">
        <f>D70*C70</f>
        <v>46200</v>
      </c>
    </row>
    <row r="71" spans="1:5" ht="15" hidden="1" customHeight="1" thickBot="1" x14ac:dyDescent="0.3">
      <c r="A71" s="20" t="s">
        <v>60</v>
      </c>
      <c r="B71" s="19" t="str">
        <f>MID(A71,FIND("n00",A71)+3,1)</f>
        <v>E</v>
      </c>
      <c r="C71">
        <f>IFERROR(VALUE(SUBSTITUTE(MID(A71,FIND("n00",A71)+4,FIND("T",A71)-FIND("n00",A71)-4),"P",",")),"")</f>
        <v>110</v>
      </c>
      <c r="D71">
        <f>IFERROR(IF(ISNUMBER(FIND("T2",A71)),220,IF(ISNUMBER(FIND("T4",A71)),440,"")),"")</f>
        <v>220</v>
      </c>
      <c r="E71">
        <f>D71*C71</f>
        <v>24200</v>
      </c>
    </row>
    <row r="72" spans="1:5" ht="15" hidden="1" customHeight="1" thickBot="1" x14ac:dyDescent="0.3">
      <c r="A72" s="20" t="s">
        <v>23</v>
      </c>
      <c r="B72" s="19" t="str">
        <f>MID(A72,FIND("n00",A72)+3,1)</f>
        <v>E</v>
      </c>
      <c r="C72">
        <f>IFERROR(VALUE(SUBSTITUTE(MID(A72,FIND("n00",A72)+4,FIND("T",A72)-FIND("n00",A72)-4),"P",",")),"")</f>
        <v>110</v>
      </c>
      <c r="D72">
        <f>IFERROR(IF(ISNUMBER(FIND("T2",A72)),220,IF(ISNUMBER(FIND("T4",A72)),440,"")),"")</f>
        <v>220</v>
      </c>
      <c r="E72">
        <f>D72*C72</f>
        <v>24200</v>
      </c>
    </row>
    <row r="73" spans="1:5" ht="15" hidden="1" customHeight="1" thickBot="1" x14ac:dyDescent="0.3">
      <c r="A73" s="20" t="s">
        <v>61</v>
      </c>
      <c r="B73" s="19" t="str">
        <f>MID(A73,FIND("n00",A73)+3,1)</f>
        <v>F</v>
      </c>
      <c r="C73">
        <f>IFERROR(VALUE(SUBSTITUTE(MID(A73,FIND("n00",A73)+4,FIND("T",A73)-FIND("n00",A73)-4),"P",",")),"")</f>
        <v>126</v>
      </c>
      <c r="D73">
        <f>IFERROR(IF(ISNUMBER(FIND("T2",A73)),220,IF(ISNUMBER(FIND("T4",A73)),440,"")),"")</f>
        <v>220</v>
      </c>
      <c r="E73">
        <f>D73*C73</f>
        <v>27720</v>
      </c>
    </row>
    <row r="74" spans="1:5" ht="15" hidden="1" customHeight="1" thickBot="1" x14ac:dyDescent="0.3">
      <c r="A74" s="20" t="s">
        <v>70</v>
      </c>
      <c r="B74" s="19" t="str">
        <f>MID(A74,FIND("n00",A74)+3,1)</f>
        <v>F</v>
      </c>
      <c r="C74">
        <f>IFERROR(VALUE(SUBSTITUTE(MID(A74,FIND("n00",A74)+4,FIND("T",A74)-FIND("n00",A74)-4),"P",",")),"")</f>
        <v>126</v>
      </c>
      <c r="D74">
        <f>IFERROR(IF(ISNUMBER(FIND("T2",A74)),220,IF(ISNUMBER(FIND("T4",A74)),440,"")),"")</f>
        <v>220</v>
      </c>
      <c r="E74">
        <f>D74*C74</f>
        <v>27720</v>
      </c>
    </row>
    <row r="75" spans="1:5" ht="15" hidden="1" customHeight="1" thickBot="1" x14ac:dyDescent="0.3">
      <c r="A75" s="20" t="s">
        <v>83</v>
      </c>
      <c r="B75" s="19" t="str">
        <f>MID(A75,FIND("n00",A75)+3,1)</f>
        <v>F</v>
      </c>
      <c r="C75">
        <f>IFERROR(VALUE(SUBSTITUTE(MID(A75,FIND("n00",A75)+4,FIND("T",A75)-FIND("n00",A75)-4),"P",",")),"")</f>
        <v>142</v>
      </c>
      <c r="D75">
        <f>IFERROR(IF(ISNUMBER(FIND("T2",A75)),220,IF(ISNUMBER(FIND("T4",A75)),440,"")),"")</f>
        <v>440</v>
      </c>
      <c r="E75">
        <f>D75*C75</f>
        <v>62480</v>
      </c>
    </row>
    <row r="76" spans="1:5" ht="15" hidden="1" customHeight="1" thickBot="1" x14ac:dyDescent="0.3">
      <c r="A76" s="20" t="s">
        <v>93</v>
      </c>
      <c r="B76" s="19" t="str">
        <f>MID(A76,FIND("n00",A76)+3,1)</f>
        <v>F</v>
      </c>
      <c r="C76">
        <f>IFERROR(VALUE(SUBSTITUTE(MID(A76,FIND("n00",A76)+4,FIND("T",A76)-FIND("n00",A76)-4),"P",",")),"")</f>
        <v>142</v>
      </c>
      <c r="D76">
        <f>IFERROR(IF(ISNUMBER(FIND("T2",A76)),220,IF(ISNUMBER(FIND("T4",A76)),440,"")),"")</f>
        <v>440</v>
      </c>
      <c r="E76">
        <f>D76*C76</f>
        <v>62480</v>
      </c>
    </row>
    <row r="77" spans="1:5" ht="15" hidden="1" customHeight="1" thickBot="1" x14ac:dyDescent="0.3">
      <c r="A77" s="20" t="s">
        <v>62</v>
      </c>
      <c r="B77" s="19" t="str">
        <f>MID(A77,FIND("n00",A77)+3,1)</f>
        <v>F</v>
      </c>
      <c r="C77">
        <f>IFERROR(VALUE(SUBSTITUTE(MID(A77,FIND("n00",A77)+4,FIND("T",A77)-FIND("n00",A77)-4),"P",",")),"")</f>
        <v>147</v>
      </c>
      <c r="D77">
        <f>IFERROR(IF(ISNUMBER(FIND("T2",A77)),220,IF(ISNUMBER(FIND("T4",A77)),440,"")),"")</f>
        <v>220</v>
      </c>
      <c r="E77">
        <f>D77*C77</f>
        <v>32340</v>
      </c>
    </row>
    <row r="78" spans="1:5" ht="15" hidden="1" customHeight="1" thickBot="1" x14ac:dyDescent="0.3">
      <c r="A78" s="20" t="s">
        <v>71</v>
      </c>
      <c r="B78" s="19" t="str">
        <f>MID(A78,FIND("n00",A78)+3,1)</f>
        <v>F</v>
      </c>
      <c r="C78">
        <f>IFERROR(VALUE(SUBSTITUTE(MID(A78,FIND("n00",A78)+4,FIND("T",A78)-FIND("n00",A78)-4),"P",",")),"")</f>
        <v>147</v>
      </c>
      <c r="D78">
        <f>IFERROR(IF(ISNUMBER(FIND("T2",A78)),220,IF(ISNUMBER(FIND("T4",A78)),440,"")),"")</f>
        <v>220</v>
      </c>
      <c r="E78">
        <f>D78*C78</f>
        <v>32340</v>
      </c>
    </row>
    <row r="79" spans="1:5" ht="15" hidden="1" customHeight="1" thickBot="1" x14ac:dyDescent="0.3">
      <c r="A79" s="20" t="s">
        <v>84</v>
      </c>
      <c r="B79" s="19" t="str">
        <f>MID(A79,FIND("n00",A79)+3,1)</f>
        <v>F</v>
      </c>
      <c r="C79">
        <f>IFERROR(VALUE(SUBSTITUTE(MID(A79,FIND("n00",A79)+4,FIND("T",A79)-FIND("n00",A79)-4),"P",",")),"")</f>
        <v>180</v>
      </c>
      <c r="D79">
        <f>IFERROR(IF(ISNUMBER(FIND("T2",A79)),220,IF(ISNUMBER(FIND("T4",A79)),440,"")),"")</f>
        <v>440</v>
      </c>
      <c r="E79">
        <f>D79*C79</f>
        <v>79200</v>
      </c>
    </row>
    <row r="80" spans="1:5" ht="15" hidden="1" customHeight="1" thickBot="1" x14ac:dyDescent="0.3">
      <c r="A80" s="20" t="s">
        <v>94</v>
      </c>
      <c r="B80" s="19" t="str">
        <f>MID(A80,FIND("n00",A80)+3,1)</f>
        <v>F</v>
      </c>
      <c r="C80">
        <f>IFERROR(VALUE(SUBSTITUTE(MID(A80,FIND("n00",A80)+4,FIND("T",A80)-FIND("n00",A80)-4),"P",",")),"")</f>
        <v>180</v>
      </c>
      <c r="D80">
        <f>IFERROR(IF(ISNUMBER(FIND("T2",A80)),220,IF(ISNUMBER(FIND("T4",A80)),440,"")),"")</f>
        <v>440</v>
      </c>
      <c r="E80">
        <f>D80*C80</f>
        <v>79200</v>
      </c>
    </row>
    <row r="81" spans="1:5" ht="15" hidden="1" customHeight="1" thickBot="1" x14ac:dyDescent="0.3">
      <c r="A81" s="20" t="s">
        <v>63</v>
      </c>
      <c r="B81" s="19" t="str">
        <f>MID(A81,FIND("n00",A81)+3,1)</f>
        <v>F</v>
      </c>
      <c r="C81">
        <f>IFERROR(VALUE(SUBSTITUTE(MID(A81,FIND("n00",A81)+4,FIND("T",A81)-FIND("n00",A81)-4),"P",",")),"")</f>
        <v>197</v>
      </c>
      <c r="D81">
        <f>IFERROR(IF(ISNUMBER(FIND("T2",A81)),220,IF(ISNUMBER(FIND("T4",A81)),440,"")),"")</f>
        <v>220</v>
      </c>
      <c r="E81">
        <f>D81*C81</f>
        <v>43340</v>
      </c>
    </row>
    <row r="82" spans="1:5" ht="15" hidden="1" customHeight="1" thickBot="1" x14ac:dyDescent="0.3">
      <c r="A82" s="20" t="s">
        <v>72</v>
      </c>
      <c r="B82" s="19" t="str">
        <f>MID(A82,FIND("n00",A82)+3,1)</f>
        <v>F</v>
      </c>
      <c r="C82">
        <f>IFERROR(VALUE(SUBSTITUTE(MID(A82,FIND("n00",A82)+4,FIND("T",A82)-FIND("n00",A82)-4),"P",",")),"")</f>
        <v>197</v>
      </c>
      <c r="D82">
        <f>IFERROR(IF(ISNUMBER(FIND("T2",A82)),220,IF(ISNUMBER(FIND("T4",A82)),440,"")),"")</f>
        <v>220</v>
      </c>
      <c r="E82">
        <f>D82*C82</f>
        <v>43340</v>
      </c>
    </row>
    <row r="83" spans="1:5" ht="15" hidden="1" customHeight="1" thickBot="1" x14ac:dyDescent="0.3">
      <c r="A83" s="20" t="s">
        <v>85</v>
      </c>
      <c r="B83" s="19" t="str">
        <f>MID(A83,FIND("n00",A83)+3,1)</f>
        <v>F</v>
      </c>
      <c r="C83">
        <f>IFERROR(VALUE(SUBSTITUTE(MID(A83,FIND("n00",A83)+4,FIND("T",A83)-FIND("n00",A83)-4),"P",",")),"")</f>
        <v>211</v>
      </c>
      <c r="D83">
        <f>IFERROR(IF(ISNUMBER(FIND("T2",A83)),220,IF(ISNUMBER(FIND("T4",A83)),440,"")),"")</f>
        <v>440</v>
      </c>
      <c r="E83">
        <f>D83*C83</f>
        <v>92840</v>
      </c>
    </row>
    <row r="84" spans="1:5" ht="15" hidden="1" customHeight="1" thickBot="1" x14ac:dyDescent="0.3">
      <c r="A84" s="20" t="s">
        <v>95</v>
      </c>
      <c r="B84" s="19" t="str">
        <f>MID(A84,FIND("n00",A84)+3,1)</f>
        <v>F</v>
      </c>
      <c r="C84">
        <f>IFERROR(VALUE(SUBSTITUTE(MID(A84,FIND("n00",A84)+4,FIND("T",A84)-FIND("n00",A84)-4),"P",",")),"")</f>
        <v>211</v>
      </c>
      <c r="D84">
        <f>IFERROR(IF(ISNUMBER(FIND("T2",A84)),220,IF(ISNUMBER(FIND("T4",A84)),440,"")),"")</f>
        <v>440</v>
      </c>
      <c r="E84">
        <f>D84*C84</f>
        <v>92840</v>
      </c>
    </row>
    <row r="85" spans="1:5" ht="15" hidden="1" customHeight="1" thickBot="1" x14ac:dyDescent="0.3">
      <c r="A85" s="20" t="s">
        <v>86</v>
      </c>
      <c r="B85" s="19" t="str">
        <f>MID(A85,FIND("n00",A85)+3,1)</f>
        <v>G</v>
      </c>
      <c r="C85">
        <f>IFERROR(VALUE(SUBSTITUTE(MID(A85,FIND("n00",A85)+4,FIND("T",A85)-FIND("n00",A85)-4),"P",",")),"")</f>
        <v>242</v>
      </c>
      <c r="D85">
        <f>IFERROR(IF(ISNUMBER(FIND("T2",A85)),220,IF(ISNUMBER(FIND("T4",A85)),440,"")),"")</f>
        <v>440</v>
      </c>
      <c r="E85">
        <f>D85*C85</f>
        <v>106480</v>
      </c>
    </row>
    <row r="86" spans="1:5" ht="15" hidden="1" customHeight="1" thickBot="1" x14ac:dyDescent="0.3">
      <c r="A86" s="20" t="s">
        <v>96</v>
      </c>
      <c r="B86" s="19" t="str">
        <f>MID(A86,FIND("n00",A86)+3,1)</f>
        <v>G</v>
      </c>
      <c r="C86">
        <f>IFERROR(VALUE(SUBSTITUTE(MID(A86,FIND("n00",A86)+4,FIND("T",A86)-FIND("n00",A86)-4),"P",",")),"")</f>
        <v>242</v>
      </c>
      <c r="D86">
        <f>IFERROR(IF(ISNUMBER(FIND("T2",A86)),220,IF(ISNUMBER(FIND("T4",A86)),440,"")),"")</f>
        <v>440</v>
      </c>
      <c r="E86">
        <f>D86*C86</f>
        <v>106480</v>
      </c>
    </row>
    <row r="87" spans="1:5" ht="15" hidden="1" customHeight="1" thickBot="1" x14ac:dyDescent="0.3">
      <c r="A87" s="20" t="s">
        <v>64</v>
      </c>
      <c r="B87" s="19" t="str">
        <f>MID(A87,FIND("n00",A87)+3,1)</f>
        <v>G</v>
      </c>
      <c r="C87">
        <f>IFERROR(VALUE(SUBSTITUTE(MID(A87,FIND("n00",A87)+4,FIND("T",A87)-FIND("n00",A87)-4),"P",",")),"")</f>
        <v>250</v>
      </c>
      <c r="D87">
        <f>IFERROR(IF(ISNUMBER(FIND("T2",A87)),220,IF(ISNUMBER(FIND("T4",A87)),440,"")),"")</f>
        <v>220</v>
      </c>
      <c r="E87">
        <f>D87*C87</f>
        <v>55000</v>
      </c>
    </row>
    <row r="88" spans="1:5" ht="15" hidden="1" customHeight="1" thickBot="1" x14ac:dyDescent="0.3">
      <c r="A88" s="20" t="s">
        <v>73</v>
      </c>
      <c r="B88" s="19" t="str">
        <f>MID(A88,FIND("n00",A88)+3,1)</f>
        <v>G</v>
      </c>
      <c r="C88">
        <f>IFERROR(VALUE(SUBSTITUTE(MID(A88,FIND("n00",A88)+4,FIND("T",A88)-FIND("n00",A88)-4),"P",",")),"")</f>
        <v>250</v>
      </c>
      <c r="D88">
        <f>IFERROR(IF(ISNUMBER(FIND("T2",A88)),220,IF(ISNUMBER(FIND("T4",A88)),440,"")),"")</f>
        <v>220</v>
      </c>
      <c r="E88">
        <f>D88*C88</f>
        <v>55000</v>
      </c>
    </row>
    <row r="89" spans="1:5" ht="15" hidden="1" customHeight="1" thickBot="1" x14ac:dyDescent="0.3">
      <c r="A89" s="20" t="s">
        <v>65</v>
      </c>
      <c r="B89" s="19" t="str">
        <f>MID(A89,FIND("n00",A89)+3,1)</f>
        <v>G</v>
      </c>
      <c r="C89">
        <f>IFERROR(VALUE(SUBSTITUTE(MID(A89,FIND("n00",A89)+4,FIND("T",A89)-FIND("n00",A89)-4),"P",",")),"")</f>
        <v>292</v>
      </c>
      <c r="D89">
        <f>IFERROR(IF(ISNUMBER(FIND("T2",A89)),220,IF(ISNUMBER(FIND("T4",A89)),440,"")),"")</f>
        <v>220</v>
      </c>
      <c r="E89">
        <f>D89*C89</f>
        <v>64240</v>
      </c>
    </row>
    <row r="90" spans="1:5" ht="15" hidden="1" customHeight="1" thickBot="1" x14ac:dyDescent="0.3">
      <c r="A90" s="20" t="s">
        <v>74</v>
      </c>
      <c r="B90" s="19" t="str">
        <f>MID(A90,FIND("n00",A90)+3,1)</f>
        <v>G</v>
      </c>
      <c r="C90">
        <f>IFERROR(VALUE(SUBSTITUTE(MID(A90,FIND("n00",A90)+4,FIND("T",A90)-FIND("n00",A90)-4),"P",",")),"")</f>
        <v>292</v>
      </c>
      <c r="D90">
        <f>IFERROR(IF(ISNUMBER(FIND("T2",A90)),220,IF(ISNUMBER(FIND("T4",A90)),440,"")),"")</f>
        <v>220</v>
      </c>
      <c r="E90">
        <f>D90*C90</f>
        <v>64240</v>
      </c>
    </row>
    <row r="91" spans="1:5" ht="15" hidden="1" customHeight="1" thickBot="1" x14ac:dyDescent="0.3">
      <c r="A91" s="20" t="s">
        <v>87</v>
      </c>
      <c r="B91" s="19" t="str">
        <f>MID(A91,FIND("n00",A91)+3,1)</f>
        <v>G</v>
      </c>
      <c r="C91">
        <f>IFERROR(VALUE(SUBSTITUTE(MID(A91,FIND("n00",A91)+4,FIND("T",A91)-FIND("n00",A91)-4),"P",",")),"")</f>
        <v>300</v>
      </c>
      <c r="D91">
        <f>IFERROR(IF(ISNUMBER(FIND("T2",A91)),220,IF(ISNUMBER(FIND("T4",A91)),440,"")),"")</f>
        <v>440</v>
      </c>
      <c r="E91">
        <f>D91*C91</f>
        <v>132000</v>
      </c>
    </row>
    <row r="92" spans="1:5" ht="15" hidden="1" customHeight="1" thickBot="1" x14ac:dyDescent="0.3">
      <c r="A92" s="20" t="s">
        <v>97</v>
      </c>
      <c r="B92" s="19" t="str">
        <f>MID(A92,FIND("n00",A92)+3,1)</f>
        <v>G</v>
      </c>
      <c r="C92">
        <f>IFERROR(VALUE(SUBSTITUTE(MID(A92,FIND("n00",A92)+4,FIND("T",A92)-FIND("n00",A92)-4),"P",",")),"")</f>
        <v>300</v>
      </c>
      <c r="D92">
        <f>IFERROR(IF(ISNUMBER(FIND("T2",A92)),220,IF(ISNUMBER(FIND("T4",A92)),440,"")),"")</f>
        <v>440</v>
      </c>
      <c r="E92">
        <f>D92*C92</f>
        <v>132000</v>
      </c>
    </row>
    <row r="93" spans="1:5" ht="15" hidden="1" customHeight="1" thickBot="1" x14ac:dyDescent="0.3">
      <c r="A93" s="20" t="s">
        <v>66</v>
      </c>
      <c r="B93" s="19" t="str">
        <f>MID(A93,FIND("n00",A93)+3,1)</f>
        <v>G</v>
      </c>
      <c r="C93">
        <f>IFERROR(VALUE(SUBSTITUTE(MID(A93,FIND("n00",A93)+4,FIND("T",A93)-FIND("n00",A93)-4),"P",",")),"")</f>
        <v>356</v>
      </c>
      <c r="D93">
        <f>IFERROR(IF(ISNUMBER(FIND("T2",A93)),220,IF(ISNUMBER(FIND("T4",A93)),440,"")),"")</f>
        <v>220</v>
      </c>
      <c r="E93">
        <f>D93*C93</f>
        <v>78320</v>
      </c>
    </row>
    <row r="94" spans="1:5" ht="15" hidden="1" customHeight="1" thickBot="1" x14ac:dyDescent="0.3">
      <c r="A94" s="20" t="s">
        <v>75</v>
      </c>
      <c r="B94" s="19" t="str">
        <f>MID(A94,FIND("n00",A94)+3,1)</f>
        <v>G</v>
      </c>
      <c r="C94">
        <f>IFERROR(VALUE(SUBSTITUTE(MID(A94,FIND("n00",A94)+4,FIND("T",A94)-FIND("n00",A94)-4),"P",",")),"")</f>
        <v>356</v>
      </c>
      <c r="D94">
        <f>IFERROR(IF(ISNUMBER(FIND("T2",A94)),220,IF(ISNUMBER(FIND("T4",A94)),440,"")),"")</f>
        <v>220</v>
      </c>
      <c r="E94">
        <f>D94*C94</f>
        <v>78320</v>
      </c>
    </row>
    <row r="95" spans="1:5" ht="15" hidden="1" customHeight="1" thickBot="1" x14ac:dyDescent="0.3">
      <c r="A95" s="20" t="s">
        <v>88</v>
      </c>
      <c r="B95" s="19" t="str">
        <f>MID(A95,FIND("n00",A95)+3,1)</f>
        <v>G</v>
      </c>
      <c r="C95">
        <f>IFERROR(VALUE(SUBSTITUTE(MID(A95,FIND("n00",A95)+4,FIND("T",A95)-FIND("n00",A95)-4),"P",",")),"")</f>
        <v>360</v>
      </c>
      <c r="D95">
        <f>IFERROR(IF(ISNUMBER(FIND("T2",A95)),220,IF(ISNUMBER(FIND("T4",A95)),440,"")),"")</f>
        <v>440</v>
      </c>
      <c r="E95">
        <f>D95*C95</f>
        <v>158400</v>
      </c>
    </row>
    <row r="96" spans="1:5" ht="15" hidden="1" customHeight="1" thickBot="1" x14ac:dyDescent="0.3">
      <c r="A96" s="20" t="s">
        <v>98</v>
      </c>
      <c r="B96" s="19" t="str">
        <f>MID(A96,FIND("n00",A96)+3,1)</f>
        <v>G</v>
      </c>
      <c r="C96">
        <f>IFERROR(VALUE(SUBSTITUTE(MID(A96,FIND("n00",A96)+4,FIND("T",A96)-FIND("n00",A96)-4),"P",",")),"")</f>
        <v>360</v>
      </c>
      <c r="D96">
        <f>IFERROR(IF(ISNUMBER(FIND("T2",A96)),220,IF(ISNUMBER(FIND("T4",A96)),440,"")),"")</f>
        <v>440</v>
      </c>
      <c r="E96">
        <f>D96*C96</f>
        <v>158400</v>
      </c>
    </row>
    <row r="97" spans="1:5" ht="15" hidden="1" customHeight="1" thickBot="1" x14ac:dyDescent="0.3">
      <c r="A97" s="20" t="s">
        <v>89</v>
      </c>
      <c r="B97" s="19" t="str">
        <f>MID(A97,FIND("n00",A97)+3,1)</f>
        <v>H</v>
      </c>
      <c r="C97">
        <f>IFERROR(VALUE(SUBSTITUTE(MID(A97,FIND("n00",A97)+4,FIND("T",A97)-FIND("n00",A97)-4),"P",",")),"")</f>
        <v>400</v>
      </c>
      <c r="D97">
        <f>IFERROR(IF(ISNUMBER(FIND("T2",A97)),220,IF(ISNUMBER(FIND("T4",A97)),440,"")),"")</f>
        <v>440</v>
      </c>
      <c r="E97">
        <f>D97*C97</f>
        <v>176000</v>
      </c>
    </row>
    <row r="98" spans="1:5" ht="15" hidden="1" customHeight="1" thickBot="1" x14ac:dyDescent="0.3">
      <c r="A98" s="20" t="s">
        <v>99</v>
      </c>
      <c r="B98" s="19" t="str">
        <f>MID(A98,FIND("n00",A98)+3,1)</f>
        <v>H</v>
      </c>
      <c r="C98">
        <f>IFERROR(VALUE(SUBSTITUTE(MID(A98,FIND("n00",A98)+4,FIND("T",A98)-FIND("n00",A98)-4),"P",",")),"")</f>
        <v>400</v>
      </c>
      <c r="D98">
        <f>IFERROR(IF(ISNUMBER(FIND("T2",A98)),220,IF(ISNUMBER(FIND("T4",A98)),440,"")),"")</f>
        <v>440</v>
      </c>
      <c r="E98">
        <f>D98*C98</f>
        <v>176000</v>
      </c>
    </row>
    <row r="99" spans="1:5" ht="15" hidden="1" customHeight="1" thickBot="1" x14ac:dyDescent="0.3">
      <c r="A99" s="20" t="s">
        <v>90</v>
      </c>
      <c r="B99" s="19" t="str">
        <f>MID(A99,FIND("n00",A99)+3,1)</f>
        <v>H</v>
      </c>
      <c r="C99">
        <f>IFERROR(VALUE(SUBSTITUTE(MID(A99,FIND("n00",A99)+4,FIND("T",A99)-FIND("n00",A99)-4),"P",",")),"")</f>
        <v>480</v>
      </c>
      <c r="D99">
        <f>IFERROR(IF(ISNUMBER(FIND("T2",A99)),220,IF(ISNUMBER(FIND("T4",A99)),440,"")),"")</f>
        <v>440</v>
      </c>
      <c r="E99">
        <f>D99*C99</f>
        <v>211200</v>
      </c>
    </row>
    <row r="100" spans="1:5" ht="15" hidden="1" customHeight="1" thickBot="1" x14ac:dyDescent="0.3">
      <c r="A100" s="20" t="s">
        <v>100</v>
      </c>
      <c r="B100" s="19" t="str">
        <f>MID(A100,FIND("n00",A100)+3,1)</f>
        <v>H</v>
      </c>
      <c r="C100">
        <f>IFERROR(VALUE(SUBSTITUTE(MID(A100,FIND("n00",A100)+4,FIND("T",A100)-FIND("n00",A100)-4),"P",",")),"")</f>
        <v>480</v>
      </c>
      <c r="D100">
        <f>IFERROR(IF(ISNUMBER(FIND("T2",A100)),220,IF(ISNUMBER(FIND("T4",A100)),440,"")),"")</f>
        <v>440</v>
      </c>
      <c r="E100">
        <f>D100*C100</f>
        <v>211200</v>
      </c>
    </row>
    <row r="101" spans="1:5" ht="15" hidden="1" customHeight="1" thickBot="1" x14ac:dyDescent="0.3">
      <c r="A101" s="20" t="s">
        <v>91</v>
      </c>
      <c r="B101" s="19" t="str">
        <f>MID(A101,FIND("n00",A101)+3,1)</f>
        <v>H</v>
      </c>
      <c r="C101">
        <f>IFERROR(VALUE(SUBSTITUTE(MID(A101,FIND("n00",A101)+4,FIND("T",A101)-FIND("n00",A101)-4),"P",",")),"")</f>
        <v>600</v>
      </c>
      <c r="D101">
        <f>IFERROR(IF(ISNUMBER(FIND("T2",A101)),220,IF(ISNUMBER(FIND("T4",A101)),440,"")),"")</f>
        <v>440</v>
      </c>
      <c r="E101">
        <f>D101*C101</f>
        <v>264000</v>
      </c>
    </row>
    <row r="102" spans="1:5" ht="15" hidden="1" customHeight="1" thickBot="1" x14ac:dyDescent="0.3">
      <c r="A102" s="20" t="s">
        <v>101</v>
      </c>
      <c r="B102" s="19" t="str">
        <f>MID(A102,FIND("n00",A102)+3,1)</f>
        <v>H</v>
      </c>
      <c r="C102">
        <f>IFERROR(VALUE(SUBSTITUTE(MID(A102,FIND("n00",A102)+4,FIND("T",A102)-FIND("n00",A102)-4),"P",",")),"")</f>
        <v>600</v>
      </c>
      <c r="D102">
        <f>IFERROR(IF(ISNUMBER(FIND("T2",A102)),220,IF(ISNUMBER(FIND("T4",A102)),440,"")),"")</f>
        <v>440</v>
      </c>
      <c r="E102">
        <f>D102*C102</f>
        <v>264000</v>
      </c>
    </row>
    <row r="103" spans="1:5" ht="15" hidden="1" customHeight="1" x14ac:dyDescent="0.25"/>
    <row r="104" spans="1:5" ht="15" hidden="1" customHeight="1" x14ac:dyDescent="0.25"/>
    <row r="105" spans="1:5" ht="15" hidden="1" customHeight="1" x14ac:dyDescent="0.25"/>
    <row r="106" spans="1:5" ht="15" hidden="1" customHeight="1" x14ac:dyDescent="0.25"/>
    <row r="107" spans="1:5" ht="15" hidden="1" customHeight="1" x14ac:dyDescent="0.25"/>
    <row r="108" spans="1:5" ht="15" hidden="1" customHeight="1" x14ac:dyDescent="0.25"/>
    <row r="109" spans="1:5" ht="15" hidden="1" customHeight="1" x14ac:dyDescent="0.25"/>
    <row r="110" spans="1:5" ht="15" hidden="1" customHeight="1" x14ac:dyDescent="0.25"/>
    <row r="111" spans="1:5" ht="15" hidden="1" customHeight="1" x14ac:dyDescent="0.25"/>
    <row r="112" spans="1:5" ht="15" hidden="1" customHeight="1" x14ac:dyDescent="0.25"/>
    <row r="113" ht="15" hidden="1" customHeight="1" x14ac:dyDescent="0.25"/>
    <row r="114" ht="15" hidden="1" customHeight="1" x14ac:dyDescent="0.25"/>
    <row r="115" ht="15" hidden="1" customHeight="1" x14ac:dyDescent="0.25"/>
    <row r="116" ht="15" hidden="1" customHeight="1" x14ac:dyDescent="0.25"/>
    <row r="117" ht="15" hidden="1" customHeight="1" x14ac:dyDescent="0.25"/>
    <row r="118" ht="15" hidden="1" customHeight="1" x14ac:dyDescent="0.25"/>
    <row r="119" ht="15" hidden="1" customHeight="1" x14ac:dyDescent="0.25"/>
    <row r="120" ht="15" hidden="1" customHeight="1" x14ac:dyDescent="0.25"/>
    <row r="121" ht="15" hidden="1" customHeight="1" x14ac:dyDescent="0.25"/>
    <row r="122" ht="15" hidden="1" customHeight="1" x14ac:dyDescent="0.25"/>
    <row r="123" ht="15" hidden="1" customHeight="1" x14ac:dyDescent="0.25"/>
    <row r="124" ht="15" hidden="1" customHeight="1" x14ac:dyDescent="0.25"/>
    <row r="125" ht="15" hidden="1" customHeight="1" x14ac:dyDescent="0.25"/>
    <row r="126" ht="15" hidden="1" customHeight="1" x14ac:dyDescent="0.25"/>
    <row r="127" ht="15" hidden="1" customHeight="1" x14ac:dyDescent="0.25"/>
    <row r="128" ht="15" hidden="1" customHeight="1" x14ac:dyDescent="0.25"/>
    <row r="129" ht="15" hidden="1" customHeight="1" x14ac:dyDescent="0.25"/>
    <row r="130" ht="15" hidden="1" customHeight="1" x14ac:dyDescent="0.25"/>
    <row r="131" ht="15" hidden="1" customHeight="1" x14ac:dyDescent="0.25"/>
    <row r="132" ht="15" hidden="1" customHeight="1" x14ac:dyDescent="0.25"/>
    <row r="133" ht="15" hidden="1" customHeight="1" x14ac:dyDescent="0.25"/>
    <row r="134" ht="15" hidden="1" customHeight="1" x14ac:dyDescent="0.25"/>
    <row r="135" ht="15" hidden="1" customHeight="1" x14ac:dyDescent="0.25"/>
    <row r="136" ht="15" hidden="1" customHeight="1" x14ac:dyDescent="0.25"/>
    <row r="137" ht="15" hidden="1" customHeight="1" x14ac:dyDescent="0.25"/>
    <row r="138" ht="15" hidden="1" customHeight="1" x14ac:dyDescent="0.25"/>
    <row r="139" ht="15" hidden="1" customHeight="1" x14ac:dyDescent="0.25"/>
    <row r="140" ht="15" hidden="1" customHeight="1" x14ac:dyDescent="0.25"/>
    <row r="141" ht="15" hidden="1" customHeight="1" x14ac:dyDescent="0.25"/>
    <row r="142" ht="15" hidden="1" customHeight="1" x14ac:dyDescent="0.25"/>
    <row r="143" ht="15" hidden="1" customHeight="1" x14ac:dyDescent="0.25"/>
    <row r="144" ht="15" hidden="1" customHeight="1" x14ac:dyDescent="0.25"/>
    <row r="145" ht="15" hidden="1" customHeight="1" x14ac:dyDescent="0.25"/>
    <row r="146" ht="15" hidden="1" customHeight="1" x14ac:dyDescent="0.25"/>
    <row r="147" ht="15" hidden="1" customHeight="1" x14ac:dyDescent="0.25"/>
    <row r="148" ht="15" hidden="1" customHeight="1" x14ac:dyDescent="0.25"/>
    <row r="149" ht="15" hidden="1" customHeight="1" x14ac:dyDescent="0.25"/>
    <row r="150" ht="15" hidden="1" customHeight="1" x14ac:dyDescent="0.25"/>
    <row r="151" ht="15" customHeight="1" x14ac:dyDescent="0.25"/>
    <row r="152" ht="15" customHeight="1" x14ac:dyDescent="0.25"/>
    <row r="153" ht="15" customHeight="1" x14ac:dyDescent="0.25"/>
    <row r="154" ht="15" customHeight="1" x14ac:dyDescent="0.25"/>
    <row r="155" ht="15" customHeight="1" x14ac:dyDescent="0.25"/>
    <row r="156" ht="15" customHeight="1" x14ac:dyDescent="0.25"/>
    <row r="157" ht="15" customHeight="1" x14ac:dyDescent="0.25"/>
    <row r="158" ht="15" customHeight="1" x14ac:dyDescent="0.25"/>
    <row r="159" ht="15" customHeight="1" x14ac:dyDescent="0.25"/>
    <row r="160" ht="15" customHeight="1" x14ac:dyDescent="0.25"/>
    <row r="161" ht="15" customHeight="1" x14ac:dyDescent="0.25"/>
    <row r="162" ht="15" customHeight="1" x14ac:dyDescent="0.25"/>
  </sheetData>
  <autoFilter ref="A1:E150" xr:uid="{633A8B4B-02B4-4F50-B0A8-AF9797E6806B}">
    <filterColumn colId="1">
      <filters>
        <filter val="C"/>
        <filter val="D"/>
      </filters>
    </filterColumn>
    <sortState xmlns:xlrd2="http://schemas.microsoft.com/office/spreadsheetml/2017/richdata2" ref="A51:E102">
      <sortCondition ref="C1:C150"/>
    </sortState>
  </autoFilter>
  <pageMargins left="0.511811024" right="0.511811024" top="0.78740157499999996" bottom="0.78740157499999996" header="0.31496062000000002" footer="0.31496062000000002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7FA9E-0B22-4B16-BFE0-9303CE2B7656}">
  <dimension ref="A1:U116"/>
  <sheetViews>
    <sheetView workbookViewId="0">
      <selection activeCell="Z13" sqref="Z13"/>
    </sheetView>
  </sheetViews>
  <sheetFormatPr defaultRowHeight="15" x14ac:dyDescent="0.25"/>
  <cols>
    <col min="1" max="1" width="27" bestFit="1" customWidth="1"/>
  </cols>
  <sheetData>
    <row r="1" spans="1:21" x14ac:dyDescent="0.25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2"/>
    </row>
    <row r="2" spans="1:21" x14ac:dyDescent="0.25">
      <c r="A2" s="13" t="s">
        <v>1</v>
      </c>
      <c r="B2" s="14"/>
      <c r="C2" s="15"/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2" t="s">
        <v>10</v>
      </c>
      <c r="M2" s="7" t="s">
        <v>136</v>
      </c>
      <c r="N2" s="6" t="s">
        <v>51</v>
      </c>
      <c r="O2" s="6" t="s">
        <v>52</v>
      </c>
      <c r="P2" s="6" t="s">
        <v>50</v>
      </c>
      <c r="R2" s="6" t="s">
        <v>136</v>
      </c>
      <c r="S2" s="6" t="s">
        <v>51</v>
      </c>
      <c r="T2" s="6" t="s">
        <v>52</v>
      </c>
      <c r="U2" s="6" t="s">
        <v>50</v>
      </c>
    </row>
    <row r="3" spans="1:21" ht="25.5" x14ac:dyDescent="0.25">
      <c r="A3" s="13" t="s">
        <v>11</v>
      </c>
      <c r="B3" s="14"/>
      <c r="C3" s="15"/>
      <c r="D3" s="3">
        <v>368</v>
      </c>
      <c r="E3" s="3">
        <v>1091</v>
      </c>
      <c r="F3" s="3">
        <v>2510</v>
      </c>
      <c r="G3" s="3">
        <v>4082</v>
      </c>
      <c r="H3" s="4">
        <v>5144</v>
      </c>
      <c r="I3" s="4"/>
      <c r="J3" s="4"/>
      <c r="K3" s="4"/>
      <c r="L3" s="4"/>
      <c r="M3" s="8" t="s">
        <v>46</v>
      </c>
      <c r="N3" s="8">
        <v>5.2</v>
      </c>
      <c r="O3" s="8">
        <v>220</v>
      </c>
      <c r="P3" s="8">
        <f t="shared" ref="P3:P34" si="0">O3*N3</f>
        <v>1144</v>
      </c>
      <c r="R3" s="9" t="s">
        <v>48</v>
      </c>
      <c r="S3" s="9">
        <v>42</v>
      </c>
      <c r="T3" s="9">
        <v>220</v>
      </c>
      <c r="U3" s="9">
        <f t="shared" ref="U3:U34" si="1">T3*S3</f>
        <v>9240</v>
      </c>
    </row>
    <row r="4" spans="1:21" ht="25.5" x14ac:dyDescent="0.25">
      <c r="A4" s="13" t="s">
        <v>53</v>
      </c>
      <c r="B4" s="14"/>
      <c r="C4" s="15"/>
      <c r="D4" s="3">
        <v>480</v>
      </c>
      <c r="E4" s="3">
        <v>1286</v>
      </c>
      <c r="F4" s="3">
        <v>2970</v>
      </c>
      <c r="G4" s="3">
        <v>4868</v>
      </c>
      <c r="H4" s="4">
        <v>6151</v>
      </c>
      <c r="I4" s="4"/>
      <c r="J4" s="4"/>
      <c r="K4" s="4"/>
      <c r="L4" s="4"/>
      <c r="M4" s="8" t="s">
        <v>46</v>
      </c>
      <c r="N4" s="8">
        <v>7.3</v>
      </c>
      <c r="O4" s="8">
        <v>220</v>
      </c>
      <c r="P4" s="8">
        <f t="shared" si="0"/>
        <v>1606</v>
      </c>
      <c r="R4" s="9" t="s">
        <v>48</v>
      </c>
      <c r="S4" s="9">
        <v>56</v>
      </c>
      <c r="T4" s="9">
        <v>220</v>
      </c>
      <c r="U4" s="9">
        <f t="shared" si="1"/>
        <v>12320</v>
      </c>
    </row>
    <row r="5" spans="1:21" ht="25.5" x14ac:dyDescent="0.25">
      <c r="A5" s="13" t="s">
        <v>13</v>
      </c>
      <c r="B5" s="14"/>
      <c r="C5" s="15"/>
      <c r="D5" s="3">
        <v>855</v>
      </c>
      <c r="E5" s="3">
        <v>2240</v>
      </c>
      <c r="F5" s="3">
        <v>4621</v>
      </c>
      <c r="G5" s="3">
        <v>7275</v>
      </c>
      <c r="H5" s="4">
        <v>9298</v>
      </c>
      <c r="I5" s="4"/>
      <c r="J5" s="4"/>
      <c r="K5" s="4"/>
      <c r="L5" s="4"/>
      <c r="M5" s="8" t="s">
        <v>46</v>
      </c>
      <c r="N5" s="8">
        <v>10</v>
      </c>
      <c r="O5" s="8">
        <v>220</v>
      </c>
      <c r="P5" s="8">
        <f t="shared" si="0"/>
        <v>2200</v>
      </c>
      <c r="R5" s="9" t="s">
        <v>48</v>
      </c>
      <c r="S5" s="9">
        <v>68</v>
      </c>
      <c r="T5" s="9">
        <v>220</v>
      </c>
      <c r="U5" s="9">
        <f t="shared" si="1"/>
        <v>14960</v>
      </c>
    </row>
    <row r="6" spans="1:21" ht="25.5" x14ac:dyDescent="0.25">
      <c r="A6" s="13" t="s">
        <v>15</v>
      </c>
      <c r="B6" s="14"/>
      <c r="C6" s="15"/>
      <c r="D6" s="3">
        <v>1070</v>
      </c>
      <c r="E6" s="3">
        <v>2606</v>
      </c>
      <c r="F6" s="3">
        <v>4971</v>
      </c>
      <c r="G6" s="3">
        <v>7607</v>
      </c>
      <c r="H6" s="4">
        <v>9835</v>
      </c>
      <c r="I6" s="4"/>
      <c r="J6" s="4"/>
      <c r="K6" s="4"/>
      <c r="L6" s="4"/>
      <c r="M6" s="8" t="s">
        <v>46</v>
      </c>
      <c r="N6" s="8">
        <v>13</v>
      </c>
      <c r="O6" s="8">
        <v>220</v>
      </c>
      <c r="P6" s="8">
        <f t="shared" si="0"/>
        <v>2860</v>
      </c>
      <c r="R6" s="8" t="s">
        <v>49</v>
      </c>
      <c r="S6" s="8">
        <v>80</v>
      </c>
      <c r="T6" s="8">
        <v>220</v>
      </c>
      <c r="U6" s="8">
        <f t="shared" si="1"/>
        <v>17600</v>
      </c>
    </row>
    <row r="7" spans="1:21" ht="25.5" x14ac:dyDescent="0.25">
      <c r="A7" s="13" t="s">
        <v>54</v>
      </c>
      <c r="B7" s="14"/>
      <c r="C7" s="15"/>
      <c r="D7" s="3">
        <v>1000</v>
      </c>
      <c r="E7" s="3">
        <v>2376</v>
      </c>
      <c r="F7" s="3">
        <v>4395</v>
      </c>
      <c r="G7" s="3">
        <v>6657</v>
      </c>
      <c r="H7" s="4">
        <v>8646</v>
      </c>
      <c r="I7" s="4"/>
      <c r="J7" s="4"/>
      <c r="K7" s="4"/>
      <c r="L7" s="4"/>
      <c r="M7" s="9" t="s">
        <v>45</v>
      </c>
      <c r="N7" s="9">
        <v>16</v>
      </c>
      <c r="O7" s="9">
        <v>220</v>
      </c>
      <c r="P7" s="9">
        <f t="shared" si="0"/>
        <v>3520</v>
      </c>
      <c r="R7" s="8" t="s">
        <v>49</v>
      </c>
      <c r="S7" s="8">
        <v>110</v>
      </c>
      <c r="T7" s="8">
        <v>220</v>
      </c>
      <c r="U7" s="8">
        <f t="shared" si="1"/>
        <v>24200</v>
      </c>
    </row>
    <row r="8" spans="1:21" ht="25.5" x14ac:dyDescent="0.25">
      <c r="A8" s="13" t="s">
        <v>55</v>
      </c>
      <c r="B8" s="14"/>
      <c r="C8" s="15"/>
      <c r="D8" s="3">
        <v>486</v>
      </c>
      <c r="E8" s="3">
        <v>1011</v>
      </c>
      <c r="F8" s="3">
        <v>2042</v>
      </c>
      <c r="G8" s="3">
        <v>3240</v>
      </c>
      <c r="H8" s="4">
        <v>4180</v>
      </c>
      <c r="I8" s="4"/>
      <c r="J8" s="4"/>
      <c r="K8" s="4"/>
      <c r="L8" s="4"/>
      <c r="M8" s="8" t="s">
        <v>47</v>
      </c>
      <c r="N8" s="8">
        <v>24</v>
      </c>
      <c r="O8" s="8">
        <v>220</v>
      </c>
      <c r="P8" s="8">
        <f t="shared" si="0"/>
        <v>5280</v>
      </c>
      <c r="R8" s="9" t="s">
        <v>133</v>
      </c>
      <c r="S8" s="9">
        <v>126</v>
      </c>
      <c r="T8" s="9">
        <v>220</v>
      </c>
      <c r="U8" s="9">
        <f t="shared" si="1"/>
        <v>27720</v>
      </c>
    </row>
    <row r="9" spans="1:21" ht="25.5" x14ac:dyDescent="0.25">
      <c r="A9" s="13" t="s">
        <v>17</v>
      </c>
      <c r="B9" s="14"/>
      <c r="C9" s="15"/>
      <c r="D9" s="3">
        <v>633</v>
      </c>
      <c r="E9" s="3">
        <v>1467</v>
      </c>
      <c r="F9" s="3">
        <v>2628</v>
      </c>
      <c r="G9" s="3">
        <v>3934</v>
      </c>
      <c r="H9" s="4">
        <v>5137</v>
      </c>
      <c r="I9" s="4"/>
      <c r="J9" s="4"/>
      <c r="K9" s="4"/>
      <c r="L9" s="4"/>
      <c r="M9" s="8" t="s">
        <v>47</v>
      </c>
      <c r="N9" s="8">
        <v>28</v>
      </c>
      <c r="O9" s="8">
        <v>220</v>
      </c>
      <c r="P9" s="8">
        <f t="shared" si="0"/>
        <v>6160</v>
      </c>
      <c r="R9" s="9" t="s">
        <v>133</v>
      </c>
      <c r="S9" s="9">
        <v>147</v>
      </c>
      <c r="T9" s="9">
        <v>220</v>
      </c>
      <c r="U9" s="9">
        <f t="shared" si="1"/>
        <v>32340</v>
      </c>
    </row>
    <row r="10" spans="1:21" x14ac:dyDescent="0.25">
      <c r="A10" s="13" t="s">
        <v>56</v>
      </c>
      <c r="B10" s="14"/>
      <c r="C10" s="15"/>
      <c r="D10" s="3">
        <v>520</v>
      </c>
      <c r="E10" s="3">
        <v>1185</v>
      </c>
      <c r="F10" s="3">
        <v>2089</v>
      </c>
      <c r="G10" s="3">
        <v>3099</v>
      </c>
      <c r="H10" s="4">
        <v>4061</v>
      </c>
      <c r="I10" s="4"/>
      <c r="J10" s="4"/>
      <c r="K10" s="4"/>
      <c r="L10" s="4"/>
      <c r="M10" s="9" t="s">
        <v>46</v>
      </c>
      <c r="N10" s="9">
        <v>5.2</v>
      </c>
      <c r="O10" s="9">
        <v>220</v>
      </c>
      <c r="P10" s="9">
        <f t="shared" si="0"/>
        <v>1144</v>
      </c>
      <c r="R10" s="9" t="s">
        <v>133</v>
      </c>
      <c r="S10" s="9">
        <v>197</v>
      </c>
      <c r="T10" s="9">
        <v>220</v>
      </c>
      <c r="U10" s="9">
        <f t="shared" si="1"/>
        <v>43340</v>
      </c>
    </row>
    <row r="11" spans="1:21" x14ac:dyDescent="0.25">
      <c r="A11" s="13" t="s">
        <v>57</v>
      </c>
      <c r="B11" s="14"/>
      <c r="C11" s="15"/>
      <c r="D11" s="3">
        <v>368</v>
      </c>
      <c r="E11" s="3">
        <v>821</v>
      </c>
      <c r="F11" s="3">
        <v>1394</v>
      </c>
      <c r="G11" s="3">
        <v>2036</v>
      </c>
      <c r="H11" s="4">
        <v>2680</v>
      </c>
      <c r="I11" s="4"/>
      <c r="J11" s="4"/>
      <c r="K11" s="4"/>
      <c r="L11" s="4"/>
      <c r="M11" s="9" t="s">
        <v>46</v>
      </c>
      <c r="N11" s="9">
        <v>7.3</v>
      </c>
      <c r="O11" s="9">
        <v>220</v>
      </c>
      <c r="P11" s="9">
        <f t="shared" si="0"/>
        <v>1606</v>
      </c>
      <c r="R11" s="8" t="s">
        <v>134</v>
      </c>
      <c r="S11" s="8">
        <v>250</v>
      </c>
      <c r="T11" s="8">
        <v>220</v>
      </c>
      <c r="U11" s="8">
        <f t="shared" si="1"/>
        <v>55000</v>
      </c>
    </row>
    <row r="12" spans="1:21" x14ac:dyDescent="0.25">
      <c r="A12" s="13" t="s">
        <v>58</v>
      </c>
      <c r="B12" s="14"/>
      <c r="C12" s="15"/>
      <c r="D12" s="3">
        <v>173</v>
      </c>
      <c r="E12" s="3">
        <v>398</v>
      </c>
      <c r="F12" s="3">
        <v>704</v>
      </c>
      <c r="G12" s="3">
        <v>1041</v>
      </c>
      <c r="H12" s="4">
        <v>1366</v>
      </c>
      <c r="I12" s="4"/>
      <c r="J12" s="4"/>
      <c r="K12" s="4"/>
      <c r="L12" s="4"/>
      <c r="M12" s="9" t="s">
        <v>46</v>
      </c>
      <c r="N12" s="9">
        <v>10</v>
      </c>
      <c r="O12" s="9">
        <v>220</v>
      </c>
      <c r="P12" s="9">
        <f t="shared" si="0"/>
        <v>2200</v>
      </c>
      <c r="R12" s="8" t="s">
        <v>134</v>
      </c>
      <c r="S12" s="8">
        <v>292</v>
      </c>
      <c r="T12" s="8">
        <v>220</v>
      </c>
      <c r="U12" s="8">
        <f t="shared" si="1"/>
        <v>64240</v>
      </c>
    </row>
    <row r="13" spans="1:21" x14ac:dyDescent="0.25">
      <c r="A13" s="13" t="s">
        <v>59</v>
      </c>
      <c r="B13" s="14"/>
      <c r="C13" s="15"/>
      <c r="D13" s="3">
        <v>278</v>
      </c>
      <c r="E13" s="3">
        <v>618</v>
      </c>
      <c r="F13" s="3">
        <v>1035</v>
      </c>
      <c r="G13" s="3">
        <v>1508</v>
      </c>
      <c r="H13" s="4">
        <v>1995</v>
      </c>
      <c r="I13" s="4"/>
      <c r="J13" s="4"/>
      <c r="K13" s="4"/>
      <c r="L13" s="4"/>
      <c r="M13" s="9" t="s">
        <v>46</v>
      </c>
      <c r="N13" s="9">
        <v>13</v>
      </c>
      <c r="O13" s="9">
        <v>220</v>
      </c>
      <c r="P13" s="9">
        <f t="shared" si="0"/>
        <v>2860</v>
      </c>
      <c r="R13" s="8" t="s">
        <v>134</v>
      </c>
      <c r="S13" s="8">
        <v>356</v>
      </c>
      <c r="T13" s="8">
        <v>220</v>
      </c>
      <c r="U13" s="8">
        <f t="shared" si="1"/>
        <v>78320</v>
      </c>
    </row>
    <row r="14" spans="1:21" x14ac:dyDescent="0.25">
      <c r="A14" s="13" t="s">
        <v>60</v>
      </c>
      <c r="B14" s="14"/>
      <c r="C14" s="15"/>
      <c r="D14" s="3">
        <v>20</v>
      </c>
      <c r="E14" s="3">
        <v>60</v>
      </c>
      <c r="F14" s="3">
        <v>133</v>
      </c>
      <c r="G14" s="3">
        <v>220</v>
      </c>
      <c r="H14" s="4">
        <v>277</v>
      </c>
      <c r="I14" s="4"/>
      <c r="J14" s="4"/>
      <c r="K14" s="4"/>
      <c r="L14" s="4"/>
      <c r="M14" s="8" t="s">
        <v>45</v>
      </c>
      <c r="N14" s="8">
        <v>16</v>
      </c>
      <c r="O14" s="8">
        <v>220</v>
      </c>
      <c r="P14" s="8">
        <f t="shared" si="0"/>
        <v>3520</v>
      </c>
      <c r="R14" s="8" t="s">
        <v>48</v>
      </c>
      <c r="S14" s="8">
        <v>42</v>
      </c>
      <c r="T14" s="8">
        <v>220</v>
      </c>
      <c r="U14" s="8">
        <f t="shared" si="1"/>
        <v>9240</v>
      </c>
    </row>
    <row r="15" spans="1:21" x14ac:dyDescent="0.25">
      <c r="A15" s="13" t="s">
        <v>61</v>
      </c>
      <c r="B15" s="14"/>
      <c r="C15" s="15"/>
      <c r="D15" s="3">
        <v>16</v>
      </c>
      <c r="E15" s="3">
        <v>43</v>
      </c>
      <c r="F15" s="3">
        <v>96</v>
      </c>
      <c r="G15" s="3">
        <v>156</v>
      </c>
      <c r="H15" s="3">
        <v>198</v>
      </c>
      <c r="I15" s="4"/>
      <c r="J15" s="4"/>
      <c r="K15" s="4"/>
      <c r="L15" s="4"/>
      <c r="M15" s="9" t="s">
        <v>47</v>
      </c>
      <c r="N15" s="9">
        <v>24</v>
      </c>
      <c r="O15" s="9">
        <v>220</v>
      </c>
      <c r="P15" s="9">
        <f t="shared" si="0"/>
        <v>5280</v>
      </c>
      <c r="R15" s="8" t="s">
        <v>48</v>
      </c>
      <c r="S15" s="8">
        <v>56</v>
      </c>
      <c r="T15" s="8">
        <v>220</v>
      </c>
      <c r="U15" s="8">
        <f t="shared" si="1"/>
        <v>12320</v>
      </c>
    </row>
    <row r="16" spans="1:21" x14ac:dyDescent="0.25">
      <c r="A16" s="13" t="s">
        <v>62</v>
      </c>
      <c r="B16" s="14"/>
      <c r="C16" s="15"/>
      <c r="D16" s="3">
        <v>18</v>
      </c>
      <c r="E16" s="3">
        <v>50</v>
      </c>
      <c r="F16" s="3">
        <v>109</v>
      </c>
      <c r="G16" s="3">
        <v>175</v>
      </c>
      <c r="H16" s="3">
        <v>222</v>
      </c>
      <c r="I16" s="4"/>
      <c r="J16" s="4"/>
      <c r="K16" s="4"/>
      <c r="L16" s="4"/>
      <c r="M16" s="9" t="s">
        <v>47</v>
      </c>
      <c r="N16" s="9">
        <v>28</v>
      </c>
      <c r="O16" s="9">
        <v>220</v>
      </c>
      <c r="P16" s="9">
        <f t="shared" si="0"/>
        <v>6160</v>
      </c>
      <c r="R16" s="8" t="s">
        <v>48</v>
      </c>
      <c r="S16" s="8">
        <v>68</v>
      </c>
      <c r="T16" s="8">
        <v>220</v>
      </c>
      <c r="U16" s="8">
        <f t="shared" si="1"/>
        <v>14960</v>
      </c>
    </row>
    <row r="17" spans="1:21" x14ac:dyDescent="0.25">
      <c r="A17" s="13" t="s">
        <v>63</v>
      </c>
      <c r="B17" s="14"/>
      <c r="C17" s="15"/>
      <c r="D17" s="3">
        <v>9</v>
      </c>
      <c r="E17" s="3">
        <v>32</v>
      </c>
      <c r="F17" s="3">
        <v>80</v>
      </c>
      <c r="G17" s="3">
        <v>129</v>
      </c>
      <c r="H17" s="3">
        <v>159</v>
      </c>
      <c r="I17" s="4"/>
      <c r="J17" s="4"/>
      <c r="K17" s="4"/>
      <c r="L17" s="4"/>
      <c r="M17" s="8" t="s">
        <v>46</v>
      </c>
      <c r="N17" s="8">
        <v>2.2000000000000002</v>
      </c>
      <c r="O17" s="8">
        <v>440</v>
      </c>
      <c r="P17" s="8">
        <f t="shared" si="0"/>
        <v>968.00000000000011</v>
      </c>
      <c r="R17" s="9" t="s">
        <v>49</v>
      </c>
      <c r="S17" s="9">
        <v>80</v>
      </c>
      <c r="T17" s="9">
        <v>220</v>
      </c>
      <c r="U17" s="9">
        <f t="shared" si="1"/>
        <v>17600</v>
      </c>
    </row>
    <row r="18" spans="1:21" x14ac:dyDescent="0.25">
      <c r="A18" s="13" t="s">
        <v>64</v>
      </c>
      <c r="B18" s="14"/>
      <c r="C18" s="15"/>
      <c r="D18" s="3">
        <v>9</v>
      </c>
      <c r="E18" s="3">
        <v>32</v>
      </c>
      <c r="F18" s="3">
        <v>80</v>
      </c>
      <c r="G18" s="3">
        <v>129</v>
      </c>
      <c r="H18" s="3">
        <v>159</v>
      </c>
      <c r="I18" s="4"/>
      <c r="J18" s="4"/>
      <c r="K18" s="4"/>
      <c r="L18" s="4"/>
      <c r="M18" s="8" t="s">
        <v>46</v>
      </c>
      <c r="N18" s="8">
        <v>4.3</v>
      </c>
      <c r="O18" s="8">
        <v>440</v>
      </c>
      <c r="P18" s="8">
        <f t="shared" si="0"/>
        <v>1892</v>
      </c>
      <c r="R18" s="9" t="s">
        <v>49</v>
      </c>
      <c r="S18" s="9">
        <v>110</v>
      </c>
      <c r="T18" s="9">
        <v>220</v>
      </c>
      <c r="U18" s="9">
        <f t="shared" si="1"/>
        <v>24200</v>
      </c>
    </row>
    <row r="19" spans="1:21" x14ac:dyDescent="0.25">
      <c r="A19" s="13" t="s">
        <v>65</v>
      </c>
      <c r="B19" s="14"/>
      <c r="C19" s="15"/>
      <c r="D19" s="3">
        <v>9</v>
      </c>
      <c r="E19" s="3">
        <v>25</v>
      </c>
      <c r="F19" s="3">
        <v>54</v>
      </c>
      <c r="G19" s="3">
        <v>84</v>
      </c>
      <c r="H19" s="3">
        <v>108</v>
      </c>
      <c r="I19" s="4"/>
      <c r="J19" s="4"/>
      <c r="K19" s="4"/>
      <c r="L19" s="4"/>
      <c r="M19" s="8" t="s">
        <v>46</v>
      </c>
      <c r="N19" s="8">
        <v>6.8</v>
      </c>
      <c r="O19" s="8">
        <v>440</v>
      </c>
      <c r="P19" s="8">
        <f t="shared" si="0"/>
        <v>2992</v>
      </c>
      <c r="R19" s="8" t="s">
        <v>133</v>
      </c>
      <c r="S19" s="8">
        <v>126</v>
      </c>
      <c r="T19" s="8">
        <v>220</v>
      </c>
      <c r="U19" s="8">
        <f t="shared" si="1"/>
        <v>27720</v>
      </c>
    </row>
    <row r="20" spans="1:21" x14ac:dyDescent="0.25">
      <c r="A20" s="13" t="s">
        <v>66</v>
      </c>
      <c r="B20" s="14"/>
      <c r="C20" s="15"/>
      <c r="D20" s="3">
        <v>9</v>
      </c>
      <c r="E20" s="3">
        <v>16</v>
      </c>
      <c r="F20" s="3">
        <v>37</v>
      </c>
      <c r="G20" s="3">
        <v>65</v>
      </c>
      <c r="H20" s="3">
        <v>80</v>
      </c>
      <c r="I20" s="4"/>
      <c r="J20" s="4"/>
      <c r="K20" s="4"/>
      <c r="L20" s="4"/>
      <c r="M20" s="8" t="s">
        <v>46</v>
      </c>
      <c r="N20" s="8">
        <v>9.6</v>
      </c>
      <c r="O20" s="8">
        <v>440</v>
      </c>
      <c r="P20" s="8">
        <f t="shared" si="0"/>
        <v>4224</v>
      </c>
      <c r="R20" s="8" t="s">
        <v>133</v>
      </c>
      <c r="S20" s="8">
        <v>147</v>
      </c>
      <c r="T20" s="8">
        <v>220</v>
      </c>
      <c r="U20" s="8">
        <f t="shared" si="1"/>
        <v>32340</v>
      </c>
    </row>
    <row r="21" spans="1:21" x14ac:dyDescent="0.25">
      <c r="A21" s="13" t="s">
        <v>12</v>
      </c>
      <c r="B21" s="14"/>
      <c r="C21" s="15"/>
      <c r="D21" s="3">
        <v>92</v>
      </c>
      <c r="E21" s="3">
        <v>273</v>
      </c>
      <c r="F21" s="3">
        <v>627</v>
      </c>
      <c r="G21" s="3">
        <v>1021</v>
      </c>
      <c r="H21" s="4">
        <v>1286</v>
      </c>
      <c r="I21" s="4"/>
      <c r="J21" s="4"/>
      <c r="K21" s="4"/>
      <c r="L21" s="4"/>
      <c r="M21" s="9" t="s">
        <v>45</v>
      </c>
      <c r="N21" s="9">
        <v>14</v>
      </c>
      <c r="O21" s="9">
        <v>440</v>
      </c>
      <c r="P21" s="9">
        <f t="shared" si="0"/>
        <v>6160</v>
      </c>
      <c r="R21" s="8" t="s">
        <v>133</v>
      </c>
      <c r="S21" s="8">
        <v>197</v>
      </c>
      <c r="T21" s="8">
        <v>220</v>
      </c>
      <c r="U21" s="8">
        <f t="shared" si="1"/>
        <v>43340</v>
      </c>
    </row>
    <row r="22" spans="1:21" x14ac:dyDescent="0.25">
      <c r="A22" s="13" t="s">
        <v>67</v>
      </c>
      <c r="B22" s="14"/>
      <c r="C22" s="15"/>
      <c r="D22" s="3">
        <v>120</v>
      </c>
      <c r="E22" s="3">
        <v>322</v>
      </c>
      <c r="F22" s="3">
        <v>742</v>
      </c>
      <c r="G22" s="3">
        <v>1217</v>
      </c>
      <c r="H22" s="4">
        <v>1538</v>
      </c>
      <c r="I22" s="4"/>
      <c r="J22" s="4"/>
      <c r="K22" s="4"/>
      <c r="L22" s="4"/>
      <c r="M22" s="9" t="s">
        <v>45</v>
      </c>
      <c r="N22" s="9">
        <v>16</v>
      </c>
      <c r="O22" s="9">
        <v>440</v>
      </c>
      <c r="P22" s="9">
        <f t="shared" si="0"/>
        <v>7040</v>
      </c>
      <c r="R22" s="9" t="s">
        <v>134</v>
      </c>
      <c r="S22" s="9">
        <v>250</v>
      </c>
      <c r="T22" s="9">
        <v>220</v>
      </c>
      <c r="U22" s="9">
        <f t="shared" si="1"/>
        <v>55000</v>
      </c>
    </row>
    <row r="23" spans="1:21" x14ac:dyDescent="0.25">
      <c r="A23" s="13" t="s">
        <v>14</v>
      </c>
      <c r="B23" s="14"/>
      <c r="C23" s="15"/>
      <c r="D23" s="3">
        <v>214</v>
      </c>
      <c r="E23" s="3">
        <v>560</v>
      </c>
      <c r="F23" s="3">
        <v>1155</v>
      </c>
      <c r="G23" s="3">
        <v>1819</v>
      </c>
      <c r="H23" s="4">
        <v>2324</v>
      </c>
      <c r="I23" s="4"/>
      <c r="J23" s="4"/>
      <c r="K23" s="4"/>
      <c r="L23" s="4"/>
      <c r="M23" s="8" t="s">
        <v>47</v>
      </c>
      <c r="N23" s="8">
        <v>24</v>
      </c>
      <c r="O23" s="8">
        <v>440</v>
      </c>
      <c r="P23" s="8">
        <f t="shared" si="0"/>
        <v>10560</v>
      </c>
      <c r="R23" s="9" t="s">
        <v>134</v>
      </c>
      <c r="S23" s="9">
        <v>292</v>
      </c>
      <c r="T23" s="9">
        <v>220</v>
      </c>
      <c r="U23" s="9">
        <f t="shared" si="1"/>
        <v>64240</v>
      </c>
    </row>
    <row r="24" spans="1:21" x14ac:dyDescent="0.25">
      <c r="A24" s="13" t="s">
        <v>16</v>
      </c>
      <c r="B24" s="14"/>
      <c r="C24" s="15"/>
      <c r="D24" s="3">
        <v>267</v>
      </c>
      <c r="E24" s="3">
        <v>651</v>
      </c>
      <c r="F24" s="3">
        <v>1243</v>
      </c>
      <c r="G24" s="3">
        <v>1902</v>
      </c>
      <c r="H24" s="4">
        <v>2459</v>
      </c>
      <c r="I24" s="4"/>
      <c r="J24" s="4"/>
      <c r="K24" s="4"/>
      <c r="L24" s="4"/>
      <c r="M24" s="8" t="s">
        <v>47</v>
      </c>
      <c r="N24" s="8">
        <v>31</v>
      </c>
      <c r="O24" s="8">
        <v>440</v>
      </c>
      <c r="P24" s="8">
        <f t="shared" si="0"/>
        <v>13640</v>
      </c>
      <c r="R24" s="9" t="s">
        <v>134</v>
      </c>
      <c r="S24" s="9">
        <v>356</v>
      </c>
      <c r="T24" s="9">
        <v>220</v>
      </c>
      <c r="U24" s="9">
        <f t="shared" si="1"/>
        <v>78320</v>
      </c>
    </row>
    <row r="25" spans="1:21" x14ac:dyDescent="0.25">
      <c r="A25" s="13" t="s">
        <v>68</v>
      </c>
      <c r="B25" s="14"/>
      <c r="C25" s="15"/>
      <c r="D25" s="3">
        <v>250</v>
      </c>
      <c r="E25" s="3">
        <v>594</v>
      </c>
      <c r="F25" s="3">
        <v>1099</v>
      </c>
      <c r="G25" s="3">
        <v>1664</v>
      </c>
      <c r="H25" s="4">
        <v>2162</v>
      </c>
      <c r="I25" s="4"/>
      <c r="J25" s="4"/>
      <c r="K25" s="4"/>
      <c r="L25" s="4"/>
      <c r="M25" s="8" t="s">
        <v>46</v>
      </c>
      <c r="N25" s="8">
        <v>2.2000000000000002</v>
      </c>
      <c r="O25" s="8">
        <v>440</v>
      </c>
      <c r="P25" s="8">
        <f t="shared" si="0"/>
        <v>968.00000000000011</v>
      </c>
      <c r="R25" s="9" t="s">
        <v>48</v>
      </c>
      <c r="S25" s="9">
        <v>39</v>
      </c>
      <c r="T25" s="9">
        <v>440</v>
      </c>
      <c r="U25" s="9">
        <f t="shared" si="1"/>
        <v>17160</v>
      </c>
    </row>
    <row r="26" spans="1:21" x14ac:dyDescent="0.25">
      <c r="A26" s="13" t="s">
        <v>69</v>
      </c>
      <c r="B26" s="14"/>
      <c r="C26" s="15"/>
      <c r="D26" s="3">
        <v>122</v>
      </c>
      <c r="E26" s="3">
        <v>253</v>
      </c>
      <c r="F26" s="3">
        <v>510</v>
      </c>
      <c r="G26" s="3">
        <v>810</v>
      </c>
      <c r="H26" s="4">
        <v>1045</v>
      </c>
      <c r="I26" s="4"/>
      <c r="J26" s="4"/>
      <c r="K26" s="4"/>
      <c r="L26" s="4"/>
      <c r="M26" s="8" t="s">
        <v>46</v>
      </c>
      <c r="N26" s="8">
        <v>4.3</v>
      </c>
      <c r="O26" s="8">
        <v>440</v>
      </c>
      <c r="P26" s="8">
        <f t="shared" si="0"/>
        <v>1892</v>
      </c>
      <c r="R26" s="9" t="s">
        <v>48</v>
      </c>
      <c r="S26" s="9">
        <v>50</v>
      </c>
      <c r="T26" s="9">
        <v>440</v>
      </c>
      <c r="U26" s="9">
        <f t="shared" si="1"/>
        <v>22000</v>
      </c>
    </row>
    <row r="27" spans="1:21" x14ac:dyDescent="0.25">
      <c r="A27" s="13" t="s">
        <v>18</v>
      </c>
      <c r="B27" s="14"/>
      <c r="C27" s="15"/>
      <c r="D27" s="3">
        <v>158</v>
      </c>
      <c r="E27" s="3">
        <v>367</v>
      </c>
      <c r="F27" s="3">
        <v>657</v>
      </c>
      <c r="G27" s="3">
        <v>983</v>
      </c>
      <c r="H27" s="4">
        <v>1284</v>
      </c>
      <c r="I27" s="4"/>
      <c r="J27" s="4"/>
      <c r="K27" s="4"/>
      <c r="L27" s="4"/>
      <c r="M27" s="8" t="s">
        <v>46</v>
      </c>
      <c r="N27" s="8">
        <v>6.8</v>
      </c>
      <c r="O27" s="8">
        <v>440</v>
      </c>
      <c r="P27" s="8">
        <f t="shared" si="0"/>
        <v>2992</v>
      </c>
      <c r="R27" s="9" t="s">
        <v>48</v>
      </c>
      <c r="S27" s="9">
        <v>60</v>
      </c>
      <c r="T27" s="9">
        <v>440</v>
      </c>
      <c r="U27" s="9">
        <f t="shared" si="1"/>
        <v>26400</v>
      </c>
    </row>
    <row r="28" spans="1:21" x14ac:dyDescent="0.25">
      <c r="A28" s="13" t="s">
        <v>19</v>
      </c>
      <c r="B28" s="14"/>
      <c r="C28" s="15"/>
      <c r="D28" s="3">
        <v>130</v>
      </c>
      <c r="E28" s="3">
        <v>296</v>
      </c>
      <c r="F28" s="3">
        <v>522</v>
      </c>
      <c r="G28" s="3">
        <v>775</v>
      </c>
      <c r="H28" s="4">
        <v>1015</v>
      </c>
      <c r="I28" s="4"/>
      <c r="J28" s="4"/>
      <c r="K28" s="4"/>
      <c r="L28" s="4"/>
      <c r="M28" s="8" t="s">
        <v>46</v>
      </c>
      <c r="N28" s="8">
        <v>9.6</v>
      </c>
      <c r="O28" s="8">
        <v>440</v>
      </c>
      <c r="P28" s="8">
        <f t="shared" si="0"/>
        <v>4224</v>
      </c>
      <c r="R28" s="8" t="s">
        <v>49</v>
      </c>
      <c r="S28" s="8">
        <v>74</v>
      </c>
      <c r="T28" s="8">
        <v>440</v>
      </c>
      <c r="U28" s="8">
        <f t="shared" si="1"/>
        <v>32560</v>
      </c>
    </row>
    <row r="29" spans="1:21" x14ac:dyDescent="0.25">
      <c r="A29" s="13" t="s">
        <v>20</v>
      </c>
      <c r="B29" s="14"/>
      <c r="C29" s="15"/>
      <c r="D29" s="3">
        <v>92</v>
      </c>
      <c r="E29" s="3">
        <v>205</v>
      </c>
      <c r="F29" s="3">
        <v>349</v>
      </c>
      <c r="G29" s="3">
        <v>509</v>
      </c>
      <c r="H29" s="4">
        <v>670</v>
      </c>
      <c r="I29" s="4"/>
      <c r="J29" s="4"/>
      <c r="K29" s="4"/>
      <c r="L29" s="4"/>
      <c r="M29" s="9" t="s">
        <v>45</v>
      </c>
      <c r="N29" s="9">
        <v>14</v>
      </c>
      <c r="O29" s="9">
        <v>440</v>
      </c>
      <c r="P29" s="9">
        <f t="shared" si="0"/>
        <v>6160</v>
      </c>
      <c r="R29" s="8" t="s">
        <v>49</v>
      </c>
      <c r="S29" s="8">
        <v>90</v>
      </c>
      <c r="T29" s="8">
        <v>440</v>
      </c>
      <c r="U29" s="8">
        <f t="shared" si="1"/>
        <v>39600</v>
      </c>
    </row>
    <row r="30" spans="1:21" x14ac:dyDescent="0.25">
      <c r="A30" s="13" t="s">
        <v>21</v>
      </c>
      <c r="B30" s="14"/>
      <c r="C30" s="15"/>
      <c r="D30" s="3">
        <v>43</v>
      </c>
      <c r="E30" s="3">
        <v>100</v>
      </c>
      <c r="F30" s="3">
        <v>176</v>
      </c>
      <c r="G30" s="3">
        <v>260</v>
      </c>
      <c r="H30" s="4">
        <v>342</v>
      </c>
      <c r="I30" s="4"/>
      <c r="J30" s="4"/>
      <c r="K30" s="4"/>
      <c r="L30" s="4"/>
      <c r="M30" s="9" t="s">
        <v>45</v>
      </c>
      <c r="N30" s="9">
        <v>16</v>
      </c>
      <c r="O30" s="9">
        <v>440</v>
      </c>
      <c r="P30" s="9">
        <f t="shared" si="0"/>
        <v>7040</v>
      </c>
      <c r="R30" s="8" t="s">
        <v>49</v>
      </c>
      <c r="S30" s="8">
        <v>105</v>
      </c>
      <c r="T30" s="8">
        <v>440</v>
      </c>
      <c r="U30" s="8">
        <f t="shared" si="1"/>
        <v>46200</v>
      </c>
    </row>
    <row r="31" spans="1:21" x14ac:dyDescent="0.25">
      <c r="A31" s="13" t="s">
        <v>22</v>
      </c>
      <c r="B31" s="14"/>
      <c r="C31" s="15"/>
      <c r="D31" s="3">
        <v>70</v>
      </c>
      <c r="E31" s="3">
        <v>155</v>
      </c>
      <c r="F31" s="3">
        <v>259</v>
      </c>
      <c r="G31" s="3">
        <v>377</v>
      </c>
      <c r="H31" s="4">
        <v>499</v>
      </c>
      <c r="I31" s="4"/>
      <c r="J31" s="4"/>
      <c r="K31" s="4"/>
      <c r="L31" s="4"/>
      <c r="M31" s="8" t="s">
        <v>47</v>
      </c>
      <c r="N31" s="8">
        <v>24</v>
      </c>
      <c r="O31" s="8">
        <v>440</v>
      </c>
      <c r="P31" s="8">
        <f t="shared" si="0"/>
        <v>10560</v>
      </c>
      <c r="R31" s="9" t="s">
        <v>133</v>
      </c>
      <c r="S31" s="9">
        <v>142</v>
      </c>
      <c r="T31" s="9">
        <v>440</v>
      </c>
      <c r="U31" s="9">
        <f t="shared" si="1"/>
        <v>62480</v>
      </c>
    </row>
    <row r="32" spans="1:21" x14ac:dyDescent="0.25">
      <c r="A32" s="13" t="s">
        <v>23</v>
      </c>
      <c r="B32" s="14"/>
      <c r="C32" s="15"/>
      <c r="D32" s="3">
        <v>5</v>
      </c>
      <c r="E32" s="3">
        <v>15</v>
      </c>
      <c r="F32" s="3">
        <v>33</v>
      </c>
      <c r="G32" s="3">
        <v>55</v>
      </c>
      <c r="H32" s="4">
        <v>69</v>
      </c>
      <c r="I32" s="4"/>
      <c r="J32" s="4"/>
      <c r="K32" s="4"/>
      <c r="L32" s="4"/>
      <c r="M32" s="8" t="s">
        <v>47</v>
      </c>
      <c r="N32" s="8">
        <v>31</v>
      </c>
      <c r="O32" s="8">
        <v>440</v>
      </c>
      <c r="P32" s="8">
        <f t="shared" si="0"/>
        <v>13640</v>
      </c>
      <c r="R32" s="9" t="s">
        <v>133</v>
      </c>
      <c r="S32" s="9">
        <v>180</v>
      </c>
      <c r="T32" s="9">
        <v>440</v>
      </c>
      <c r="U32" s="9">
        <f t="shared" si="1"/>
        <v>79200</v>
      </c>
    </row>
    <row r="33" spans="1:21" x14ac:dyDescent="0.25">
      <c r="A33" s="13" t="s">
        <v>70</v>
      </c>
      <c r="B33" s="14"/>
      <c r="C33" s="15"/>
      <c r="D33" s="3">
        <v>4</v>
      </c>
      <c r="E33" s="3">
        <v>11</v>
      </c>
      <c r="F33" s="3">
        <v>24</v>
      </c>
      <c r="G33" s="3">
        <v>39</v>
      </c>
      <c r="H33" s="3">
        <v>49</v>
      </c>
      <c r="I33" s="4"/>
      <c r="J33" s="4"/>
      <c r="K33" s="4"/>
      <c r="L33" s="4"/>
      <c r="M33" s="8" t="s">
        <v>46</v>
      </c>
      <c r="N33" s="8">
        <v>5.2</v>
      </c>
      <c r="O33" s="8">
        <v>220</v>
      </c>
      <c r="P33" s="8">
        <f t="shared" si="0"/>
        <v>1144</v>
      </c>
      <c r="R33" s="9" t="s">
        <v>133</v>
      </c>
      <c r="S33" s="9">
        <v>211</v>
      </c>
      <c r="T33" s="9">
        <v>440</v>
      </c>
      <c r="U33" s="9">
        <f t="shared" si="1"/>
        <v>92840</v>
      </c>
    </row>
    <row r="34" spans="1:21" x14ac:dyDescent="0.25">
      <c r="A34" s="13" t="s">
        <v>71</v>
      </c>
      <c r="B34" s="14"/>
      <c r="C34" s="15"/>
      <c r="D34" s="3">
        <v>5</v>
      </c>
      <c r="E34" s="3">
        <v>13</v>
      </c>
      <c r="F34" s="3">
        <v>27</v>
      </c>
      <c r="G34" s="3">
        <v>44</v>
      </c>
      <c r="H34" s="3">
        <v>56</v>
      </c>
      <c r="I34" s="4"/>
      <c r="J34" s="4"/>
      <c r="K34" s="4"/>
      <c r="L34" s="4"/>
      <c r="M34" s="8" t="s">
        <v>46</v>
      </c>
      <c r="N34" s="8">
        <v>7.3</v>
      </c>
      <c r="O34" s="8">
        <v>220</v>
      </c>
      <c r="P34" s="8">
        <f t="shared" si="0"/>
        <v>1606</v>
      </c>
      <c r="R34" s="8" t="s">
        <v>134</v>
      </c>
      <c r="S34" s="8">
        <v>242</v>
      </c>
      <c r="T34" s="8">
        <v>440</v>
      </c>
      <c r="U34" s="8">
        <f t="shared" si="1"/>
        <v>106480</v>
      </c>
    </row>
    <row r="35" spans="1:21" x14ac:dyDescent="0.25">
      <c r="A35" s="13" t="s">
        <v>72</v>
      </c>
      <c r="B35" s="14"/>
      <c r="C35" s="15"/>
      <c r="D35" s="3">
        <v>2</v>
      </c>
      <c r="E35" s="3">
        <v>8</v>
      </c>
      <c r="F35" s="3">
        <v>20</v>
      </c>
      <c r="G35" s="3">
        <v>32</v>
      </c>
      <c r="H35" s="3">
        <v>40</v>
      </c>
      <c r="I35" s="4"/>
      <c r="J35" s="4"/>
      <c r="K35" s="4"/>
      <c r="L35" s="4"/>
      <c r="M35" s="8" t="s">
        <v>46</v>
      </c>
      <c r="N35" s="8">
        <v>10</v>
      </c>
      <c r="O35" s="8">
        <v>220</v>
      </c>
      <c r="P35" s="8">
        <f t="shared" ref="P35:P51" si="2">O35*N35</f>
        <v>2200</v>
      </c>
      <c r="R35" s="8" t="s">
        <v>134</v>
      </c>
      <c r="S35" s="8">
        <v>300</v>
      </c>
      <c r="T35" s="8">
        <v>440</v>
      </c>
      <c r="U35" s="8">
        <f t="shared" ref="U35:U66" si="3">T35*S35</f>
        <v>132000</v>
      </c>
    </row>
    <row r="36" spans="1:21" x14ac:dyDescent="0.25">
      <c r="A36" s="13" t="s">
        <v>73</v>
      </c>
      <c r="B36" s="14"/>
      <c r="C36" s="15"/>
      <c r="D36" s="3">
        <v>2</v>
      </c>
      <c r="E36" s="3">
        <v>8</v>
      </c>
      <c r="F36" s="3">
        <v>20</v>
      </c>
      <c r="G36" s="3">
        <v>32</v>
      </c>
      <c r="H36" s="3">
        <v>40</v>
      </c>
      <c r="I36" s="4"/>
      <c r="J36" s="4"/>
      <c r="K36" s="4"/>
      <c r="L36" s="4"/>
      <c r="M36" s="8" t="s">
        <v>46</v>
      </c>
      <c r="N36" s="8">
        <v>13</v>
      </c>
      <c r="O36" s="8">
        <v>220</v>
      </c>
      <c r="P36" s="8">
        <f t="shared" si="2"/>
        <v>2860</v>
      </c>
      <c r="R36" s="8" t="s">
        <v>134</v>
      </c>
      <c r="S36" s="8">
        <v>360</v>
      </c>
      <c r="T36" s="8">
        <v>440</v>
      </c>
      <c r="U36" s="8">
        <f t="shared" si="3"/>
        <v>158400</v>
      </c>
    </row>
    <row r="37" spans="1:21" x14ac:dyDescent="0.25">
      <c r="A37" s="13" t="s">
        <v>74</v>
      </c>
      <c r="B37" s="14"/>
      <c r="C37" s="15"/>
      <c r="D37" s="3">
        <v>2</v>
      </c>
      <c r="E37" s="3">
        <v>6</v>
      </c>
      <c r="F37" s="3">
        <v>14</v>
      </c>
      <c r="G37" s="3">
        <v>21</v>
      </c>
      <c r="H37" s="3">
        <v>27</v>
      </c>
      <c r="I37" s="4"/>
      <c r="J37" s="4"/>
      <c r="K37" s="4"/>
      <c r="L37" s="4"/>
      <c r="M37" s="8" t="s">
        <v>46</v>
      </c>
      <c r="N37" s="8">
        <v>16</v>
      </c>
      <c r="O37" s="8">
        <v>220</v>
      </c>
      <c r="P37" s="8">
        <f t="shared" si="2"/>
        <v>3520</v>
      </c>
      <c r="R37" s="9" t="s">
        <v>135</v>
      </c>
      <c r="S37" s="9">
        <v>400</v>
      </c>
      <c r="T37" s="9">
        <v>440</v>
      </c>
      <c r="U37" s="9">
        <f t="shared" si="3"/>
        <v>176000</v>
      </c>
    </row>
    <row r="38" spans="1:21" x14ac:dyDescent="0.25">
      <c r="A38" s="13" t="s">
        <v>75</v>
      </c>
      <c r="B38" s="14"/>
      <c r="C38" s="15"/>
      <c r="D38" s="3">
        <v>2</v>
      </c>
      <c r="E38" s="3">
        <v>4</v>
      </c>
      <c r="F38" s="3">
        <v>9</v>
      </c>
      <c r="G38" s="3">
        <v>16</v>
      </c>
      <c r="H38" s="3">
        <v>20</v>
      </c>
      <c r="I38" s="4"/>
      <c r="J38" s="4"/>
      <c r="K38" s="4"/>
      <c r="L38" s="4"/>
      <c r="M38" s="9" t="s">
        <v>45</v>
      </c>
      <c r="N38" s="9">
        <v>24</v>
      </c>
      <c r="O38" s="9">
        <v>220</v>
      </c>
      <c r="P38" s="9">
        <f t="shared" si="2"/>
        <v>5280</v>
      </c>
      <c r="R38" s="9" t="s">
        <v>135</v>
      </c>
      <c r="S38" s="9">
        <v>480</v>
      </c>
      <c r="T38" s="9">
        <v>440</v>
      </c>
      <c r="U38" s="9">
        <f t="shared" si="3"/>
        <v>211200</v>
      </c>
    </row>
    <row r="39" spans="1:21" x14ac:dyDescent="0.25">
      <c r="A39" s="13" t="s">
        <v>24</v>
      </c>
      <c r="B39" s="14"/>
      <c r="C39" s="15"/>
      <c r="D39" s="3">
        <v>338</v>
      </c>
      <c r="E39" s="3">
        <v>830</v>
      </c>
      <c r="F39" s="3">
        <v>1607</v>
      </c>
      <c r="G39" s="3">
        <v>2475</v>
      </c>
      <c r="H39" s="4">
        <v>3193</v>
      </c>
      <c r="I39" s="4"/>
      <c r="J39" s="4"/>
      <c r="K39" s="4"/>
      <c r="L39" s="4"/>
      <c r="M39" s="9" t="s">
        <v>45</v>
      </c>
      <c r="N39" s="9">
        <v>28</v>
      </c>
      <c r="O39" s="9">
        <v>220</v>
      </c>
      <c r="P39" s="9">
        <f t="shared" si="2"/>
        <v>6160</v>
      </c>
      <c r="R39" s="9" t="s">
        <v>135</v>
      </c>
      <c r="S39" s="9">
        <v>600</v>
      </c>
      <c r="T39" s="9">
        <v>440</v>
      </c>
      <c r="U39" s="9">
        <f t="shared" si="3"/>
        <v>264000</v>
      </c>
    </row>
    <row r="40" spans="1:21" x14ac:dyDescent="0.25">
      <c r="A40" s="13" t="s">
        <v>26</v>
      </c>
      <c r="B40" s="14"/>
      <c r="C40" s="15"/>
      <c r="D40" s="3">
        <v>1043</v>
      </c>
      <c r="E40" s="3">
        <v>2748</v>
      </c>
      <c r="F40" s="3">
        <v>5945</v>
      </c>
      <c r="G40" s="3">
        <v>9528</v>
      </c>
      <c r="H40" s="4">
        <v>12117</v>
      </c>
      <c r="I40" s="4"/>
      <c r="J40" s="4"/>
      <c r="K40" s="4"/>
      <c r="L40" s="4"/>
      <c r="M40" s="8" t="s">
        <v>47</v>
      </c>
      <c r="N40" s="8">
        <v>42</v>
      </c>
      <c r="O40" s="8">
        <v>220</v>
      </c>
      <c r="P40" s="8">
        <f t="shared" si="2"/>
        <v>9240</v>
      </c>
      <c r="R40" s="9" t="s">
        <v>48</v>
      </c>
      <c r="S40" s="9">
        <v>39</v>
      </c>
      <c r="T40" s="9">
        <v>440</v>
      </c>
      <c r="U40" s="9">
        <f t="shared" si="3"/>
        <v>17160</v>
      </c>
    </row>
    <row r="41" spans="1:21" x14ac:dyDescent="0.25">
      <c r="A41" s="13" t="s">
        <v>28</v>
      </c>
      <c r="B41" s="14"/>
      <c r="C41" s="15"/>
      <c r="D41" s="3">
        <v>1961</v>
      </c>
      <c r="E41" s="3">
        <v>5337</v>
      </c>
      <c r="F41" s="3">
        <v>11403</v>
      </c>
      <c r="G41" s="3">
        <v>18157</v>
      </c>
      <c r="H41" s="4">
        <v>23106</v>
      </c>
      <c r="I41" s="4"/>
      <c r="J41" s="4"/>
      <c r="K41" s="4"/>
      <c r="L41" s="4"/>
      <c r="M41" s="8" t="s">
        <v>47</v>
      </c>
      <c r="N41" s="8">
        <v>56</v>
      </c>
      <c r="O41" s="8">
        <v>220</v>
      </c>
      <c r="P41" s="8">
        <f t="shared" si="2"/>
        <v>12320</v>
      </c>
      <c r="R41" s="9" t="s">
        <v>48</v>
      </c>
      <c r="S41" s="9">
        <v>50</v>
      </c>
      <c r="T41" s="9">
        <v>440</v>
      </c>
      <c r="U41" s="9">
        <f t="shared" si="3"/>
        <v>22000</v>
      </c>
    </row>
    <row r="42" spans="1:21" x14ac:dyDescent="0.25">
      <c r="A42" s="13" t="s">
        <v>30</v>
      </c>
      <c r="B42" s="14"/>
      <c r="C42" s="15"/>
      <c r="D42" s="3">
        <v>1351</v>
      </c>
      <c r="E42" s="3">
        <v>3746</v>
      </c>
      <c r="F42" s="3">
        <v>8148</v>
      </c>
      <c r="G42" s="3">
        <v>13055</v>
      </c>
      <c r="H42" s="4">
        <v>16578</v>
      </c>
      <c r="I42" s="4"/>
      <c r="J42" s="4"/>
      <c r="K42" s="4"/>
      <c r="L42" s="4"/>
      <c r="M42" s="9" t="s">
        <v>46</v>
      </c>
      <c r="N42" s="9">
        <v>2.2000000000000002</v>
      </c>
      <c r="O42" s="9">
        <v>440</v>
      </c>
      <c r="P42" s="9">
        <f t="shared" si="2"/>
        <v>968.00000000000011</v>
      </c>
      <c r="R42" s="9" t="s">
        <v>48</v>
      </c>
      <c r="S42" s="9">
        <v>60</v>
      </c>
      <c r="T42" s="9">
        <v>440</v>
      </c>
      <c r="U42" s="9">
        <f t="shared" si="3"/>
        <v>26400</v>
      </c>
    </row>
    <row r="43" spans="1:21" x14ac:dyDescent="0.25">
      <c r="A43" s="13" t="s">
        <v>76</v>
      </c>
      <c r="B43" s="14"/>
      <c r="C43" s="15"/>
      <c r="D43" s="3">
        <v>919</v>
      </c>
      <c r="E43" s="3">
        <v>2825</v>
      </c>
      <c r="F43" s="3">
        <v>6674</v>
      </c>
      <c r="G43" s="3">
        <v>10959</v>
      </c>
      <c r="H43" s="4">
        <v>13782</v>
      </c>
      <c r="I43" s="4"/>
      <c r="J43" s="4"/>
      <c r="K43" s="4"/>
      <c r="L43" s="4"/>
      <c r="M43" s="9" t="s">
        <v>46</v>
      </c>
      <c r="N43" s="9">
        <v>4.3</v>
      </c>
      <c r="O43" s="9">
        <v>440</v>
      </c>
      <c r="P43" s="9">
        <f t="shared" si="2"/>
        <v>1892</v>
      </c>
      <c r="R43" s="8" t="s">
        <v>49</v>
      </c>
      <c r="S43" s="8">
        <v>74</v>
      </c>
      <c r="T43" s="8">
        <v>440</v>
      </c>
      <c r="U43" s="8">
        <f t="shared" si="3"/>
        <v>32560</v>
      </c>
    </row>
    <row r="44" spans="1:21" x14ac:dyDescent="0.25">
      <c r="A44" s="13" t="s">
        <v>32</v>
      </c>
      <c r="B44" s="14"/>
      <c r="C44" s="15"/>
      <c r="D44" s="3">
        <v>1013</v>
      </c>
      <c r="E44" s="3">
        <v>2715</v>
      </c>
      <c r="F44" s="3">
        <v>5708</v>
      </c>
      <c r="G44" s="3">
        <v>9048</v>
      </c>
      <c r="H44" s="4">
        <v>11532</v>
      </c>
      <c r="I44" s="4"/>
      <c r="J44" s="4"/>
      <c r="K44" s="4"/>
      <c r="L44" s="4"/>
      <c r="M44" s="9" t="s">
        <v>46</v>
      </c>
      <c r="N44" s="9">
        <v>6.8</v>
      </c>
      <c r="O44" s="9">
        <v>440</v>
      </c>
      <c r="P44" s="9">
        <f t="shared" si="2"/>
        <v>2992</v>
      </c>
      <c r="R44" s="8" t="s">
        <v>49</v>
      </c>
      <c r="S44" s="8">
        <v>90</v>
      </c>
      <c r="T44" s="8">
        <v>440</v>
      </c>
      <c r="U44" s="8">
        <f t="shared" si="3"/>
        <v>39600</v>
      </c>
    </row>
    <row r="45" spans="1:21" x14ac:dyDescent="0.25">
      <c r="A45" s="13" t="s">
        <v>34</v>
      </c>
      <c r="B45" s="14"/>
      <c r="C45" s="15"/>
      <c r="D45" s="3">
        <v>546</v>
      </c>
      <c r="E45" s="3">
        <v>1538</v>
      </c>
      <c r="F45" s="3">
        <v>3397</v>
      </c>
      <c r="G45" s="3">
        <v>5465</v>
      </c>
      <c r="H45" s="4">
        <v>6929</v>
      </c>
      <c r="I45" s="4"/>
      <c r="J45" s="4"/>
      <c r="K45" s="4"/>
      <c r="L45" s="4"/>
      <c r="M45" s="9" t="s">
        <v>46</v>
      </c>
      <c r="N45" s="9">
        <v>9.6</v>
      </c>
      <c r="O45" s="9">
        <v>440</v>
      </c>
      <c r="P45" s="9">
        <f t="shared" si="2"/>
        <v>4224</v>
      </c>
      <c r="R45" s="8" t="s">
        <v>49</v>
      </c>
      <c r="S45" s="8">
        <v>105</v>
      </c>
      <c r="T45" s="8">
        <v>440</v>
      </c>
      <c r="U45" s="8">
        <f t="shared" si="3"/>
        <v>46200</v>
      </c>
    </row>
    <row r="46" spans="1:21" x14ac:dyDescent="0.25">
      <c r="A46" s="13" t="s">
        <v>36</v>
      </c>
      <c r="B46" s="14"/>
      <c r="C46" s="15"/>
      <c r="D46" s="3">
        <v>444</v>
      </c>
      <c r="E46" s="3">
        <v>1246</v>
      </c>
      <c r="F46" s="3">
        <v>2743</v>
      </c>
      <c r="G46" s="3">
        <v>4412</v>
      </c>
      <c r="H46" s="4">
        <v>5597</v>
      </c>
      <c r="I46" s="4"/>
      <c r="J46" s="4"/>
      <c r="K46" s="4"/>
      <c r="L46" s="4"/>
      <c r="M46" s="9" t="s">
        <v>46</v>
      </c>
      <c r="N46" s="9">
        <v>14</v>
      </c>
      <c r="O46" s="9">
        <v>440</v>
      </c>
      <c r="P46" s="9">
        <f t="shared" si="2"/>
        <v>6160</v>
      </c>
      <c r="R46" s="9" t="s">
        <v>133</v>
      </c>
      <c r="S46" s="9">
        <v>142</v>
      </c>
      <c r="T46" s="9">
        <v>440</v>
      </c>
      <c r="U46" s="9">
        <f t="shared" si="3"/>
        <v>62480</v>
      </c>
    </row>
    <row r="47" spans="1:21" x14ac:dyDescent="0.25">
      <c r="A47" s="13" t="s">
        <v>77</v>
      </c>
      <c r="B47" s="14"/>
      <c r="C47" s="15"/>
      <c r="D47" s="3">
        <v>255</v>
      </c>
      <c r="E47" s="3">
        <v>776</v>
      </c>
      <c r="F47" s="3">
        <v>1800</v>
      </c>
      <c r="G47" s="3">
        <v>2944</v>
      </c>
      <c r="H47" s="4">
        <v>3709</v>
      </c>
      <c r="I47" s="4"/>
      <c r="J47" s="4"/>
      <c r="K47" s="4"/>
      <c r="L47" s="4"/>
      <c r="M47" s="9" t="s">
        <v>46</v>
      </c>
      <c r="N47" s="9">
        <v>16</v>
      </c>
      <c r="O47" s="9">
        <v>440</v>
      </c>
      <c r="P47" s="9">
        <f t="shared" si="2"/>
        <v>7040</v>
      </c>
      <c r="R47" s="9" t="s">
        <v>133</v>
      </c>
      <c r="S47" s="9">
        <v>180</v>
      </c>
      <c r="T47" s="9">
        <v>440</v>
      </c>
      <c r="U47" s="9">
        <f t="shared" si="3"/>
        <v>79200</v>
      </c>
    </row>
    <row r="48" spans="1:21" x14ac:dyDescent="0.25">
      <c r="A48" s="13" t="s">
        <v>78</v>
      </c>
      <c r="B48" s="14"/>
      <c r="C48" s="15"/>
      <c r="D48" s="3">
        <v>225</v>
      </c>
      <c r="E48" s="3">
        <v>671</v>
      </c>
      <c r="F48" s="3">
        <v>1543</v>
      </c>
      <c r="G48" s="3">
        <v>2517</v>
      </c>
      <c r="H48" s="4">
        <v>3176</v>
      </c>
      <c r="I48" s="4"/>
      <c r="J48" s="4"/>
      <c r="K48" s="4"/>
      <c r="L48" s="4"/>
      <c r="M48" s="8" t="s">
        <v>45</v>
      </c>
      <c r="N48" s="8">
        <v>24</v>
      </c>
      <c r="O48" s="8">
        <v>440</v>
      </c>
      <c r="P48" s="8">
        <f t="shared" si="2"/>
        <v>10560</v>
      </c>
      <c r="R48" s="9" t="s">
        <v>133</v>
      </c>
      <c r="S48" s="9">
        <v>211</v>
      </c>
      <c r="T48" s="9">
        <v>440</v>
      </c>
      <c r="U48" s="9">
        <f t="shared" si="3"/>
        <v>92840</v>
      </c>
    </row>
    <row r="49" spans="1:21" x14ac:dyDescent="0.25">
      <c r="A49" s="13" t="s">
        <v>79</v>
      </c>
      <c r="B49" s="14"/>
      <c r="C49" s="15"/>
      <c r="D49" s="3">
        <v>208</v>
      </c>
      <c r="E49" s="3">
        <v>634</v>
      </c>
      <c r="F49" s="3">
        <v>1484</v>
      </c>
      <c r="G49" s="3">
        <v>2432</v>
      </c>
      <c r="H49" s="4">
        <v>3064</v>
      </c>
      <c r="I49" s="4"/>
      <c r="J49" s="4"/>
      <c r="K49" s="4"/>
      <c r="L49" s="4"/>
      <c r="M49" s="8" t="s">
        <v>45</v>
      </c>
      <c r="N49" s="8">
        <v>31</v>
      </c>
      <c r="O49" s="8">
        <v>440</v>
      </c>
      <c r="P49" s="8">
        <f t="shared" si="2"/>
        <v>13640</v>
      </c>
      <c r="R49" s="8" t="s">
        <v>134</v>
      </c>
      <c r="S49" s="8">
        <v>242</v>
      </c>
      <c r="T49" s="8">
        <v>440</v>
      </c>
      <c r="U49" s="8">
        <f t="shared" si="3"/>
        <v>106480</v>
      </c>
    </row>
    <row r="50" spans="1:21" x14ac:dyDescent="0.25">
      <c r="A50" s="13" t="s">
        <v>80</v>
      </c>
      <c r="B50" s="14"/>
      <c r="C50" s="15"/>
      <c r="D50" s="3">
        <v>205</v>
      </c>
      <c r="E50" s="3">
        <v>557</v>
      </c>
      <c r="F50" s="3">
        <v>1297</v>
      </c>
      <c r="G50" s="3">
        <v>2128</v>
      </c>
      <c r="H50" s="4">
        <v>2684</v>
      </c>
      <c r="I50" s="4"/>
      <c r="J50" s="4"/>
      <c r="K50" s="4"/>
      <c r="L50" s="4"/>
      <c r="M50" s="9" t="s">
        <v>47</v>
      </c>
      <c r="N50" s="9">
        <v>39</v>
      </c>
      <c r="O50" s="9">
        <v>440</v>
      </c>
      <c r="P50" s="9">
        <f t="shared" si="2"/>
        <v>17160</v>
      </c>
      <c r="R50" s="8" t="s">
        <v>134</v>
      </c>
      <c r="S50" s="8">
        <v>300</v>
      </c>
      <c r="T50" s="8">
        <v>440</v>
      </c>
      <c r="U50" s="8">
        <f t="shared" si="3"/>
        <v>132000</v>
      </c>
    </row>
    <row r="51" spans="1:21" x14ac:dyDescent="0.25">
      <c r="A51" s="13" t="s">
        <v>81</v>
      </c>
      <c r="B51" s="14"/>
      <c r="C51" s="15"/>
      <c r="D51" s="3">
        <v>162</v>
      </c>
      <c r="E51" s="3">
        <v>488</v>
      </c>
      <c r="F51" s="3">
        <v>1159</v>
      </c>
      <c r="G51" s="3">
        <v>1899</v>
      </c>
      <c r="H51" s="4">
        <v>2389</v>
      </c>
      <c r="I51" s="4"/>
      <c r="J51" s="4"/>
      <c r="K51" s="4"/>
      <c r="L51" s="4"/>
      <c r="M51" s="9" t="s">
        <v>47</v>
      </c>
      <c r="N51" s="9">
        <v>50</v>
      </c>
      <c r="O51" s="9">
        <v>440</v>
      </c>
      <c r="P51" s="9">
        <f t="shared" si="2"/>
        <v>22000</v>
      </c>
      <c r="R51" s="8" t="s">
        <v>134</v>
      </c>
      <c r="S51" s="8">
        <v>360</v>
      </c>
      <c r="T51" s="8">
        <v>440</v>
      </c>
      <c r="U51" s="8">
        <f t="shared" si="3"/>
        <v>158400</v>
      </c>
    </row>
    <row r="52" spans="1:21" x14ac:dyDescent="0.25">
      <c r="A52" s="13" t="s">
        <v>82</v>
      </c>
      <c r="B52" s="14"/>
      <c r="C52" s="15"/>
      <c r="D52" s="3">
        <v>149</v>
      </c>
      <c r="E52" s="3">
        <v>454</v>
      </c>
      <c r="F52" s="3">
        <v>1084</v>
      </c>
      <c r="G52" s="3">
        <v>1782</v>
      </c>
      <c r="H52" s="4">
        <v>2235</v>
      </c>
      <c r="I52" s="4"/>
      <c r="J52" s="4"/>
      <c r="K52" s="4"/>
      <c r="L52" s="4"/>
      <c r="R52" s="9" t="s">
        <v>135</v>
      </c>
      <c r="S52" s="9">
        <v>400</v>
      </c>
      <c r="T52" s="9">
        <v>440</v>
      </c>
      <c r="U52" s="9">
        <f t="shared" si="3"/>
        <v>176000</v>
      </c>
    </row>
    <row r="53" spans="1:21" x14ac:dyDescent="0.25">
      <c r="A53" s="13" t="s">
        <v>83</v>
      </c>
      <c r="B53" s="14"/>
      <c r="C53" s="15"/>
      <c r="D53" s="3">
        <v>96</v>
      </c>
      <c r="E53" s="3">
        <v>308</v>
      </c>
      <c r="F53" s="3">
        <v>751</v>
      </c>
      <c r="G53" s="3">
        <v>1246</v>
      </c>
      <c r="H53" s="3">
        <v>1557</v>
      </c>
      <c r="I53" s="4"/>
      <c r="J53" s="4"/>
      <c r="K53" s="4"/>
      <c r="L53" s="4"/>
      <c r="R53" s="9" t="s">
        <v>135</v>
      </c>
      <c r="S53" s="9">
        <v>480</v>
      </c>
      <c r="T53" s="9">
        <v>440</v>
      </c>
      <c r="U53" s="9">
        <f t="shared" si="3"/>
        <v>211200</v>
      </c>
    </row>
    <row r="54" spans="1:21" x14ac:dyDescent="0.25">
      <c r="A54" s="13" t="s">
        <v>84</v>
      </c>
      <c r="B54" s="14"/>
      <c r="C54" s="15"/>
      <c r="D54" s="3">
        <v>127</v>
      </c>
      <c r="E54" s="3">
        <v>375</v>
      </c>
      <c r="F54" s="3">
        <v>858</v>
      </c>
      <c r="G54" s="3">
        <v>1399</v>
      </c>
      <c r="H54" s="3">
        <v>1761</v>
      </c>
      <c r="I54" s="4"/>
      <c r="J54" s="4"/>
      <c r="K54" s="4"/>
      <c r="L54" s="4"/>
      <c r="R54" s="9" t="s">
        <v>135</v>
      </c>
      <c r="S54" s="9">
        <v>600</v>
      </c>
      <c r="T54" s="9">
        <v>440</v>
      </c>
      <c r="U54" s="9">
        <f t="shared" si="3"/>
        <v>264000</v>
      </c>
    </row>
    <row r="55" spans="1:21" x14ac:dyDescent="0.25">
      <c r="A55" s="13" t="s">
        <v>85</v>
      </c>
      <c r="B55" s="14"/>
      <c r="C55" s="15"/>
      <c r="D55" s="3">
        <v>128</v>
      </c>
      <c r="E55" s="3">
        <v>348</v>
      </c>
      <c r="F55" s="3">
        <v>805</v>
      </c>
      <c r="G55" s="3">
        <v>1321</v>
      </c>
      <c r="H55" s="3">
        <v>1664</v>
      </c>
      <c r="I55" s="4"/>
      <c r="J55" s="4"/>
      <c r="K55" s="4"/>
      <c r="L55" s="4"/>
      <c r="R55" s="8" t="s">
        <v>48</v>
      </c>
      <c r="S55" s="8">
        <v>1</v>
      </c>
      <c r="T55" s="8">
        <v>220</v>
      </c>
      <c r="U55" s="8">
        <f t="shared" si="3"/>
        <v>220</v>
      </c>
    </row>
    <row r="56" spans="1:21" x14ac:dyDescent="0.25">
      <c r="A56" s="13" t="s">
        <v>86</v>
      </c>
      <c r="B56" s="14"/>
      <c r="C56" s="15"/>
      <c r="D56" s="3">
        <v>129</v>
      </c>
      <c r="E56" s="3">
        <v>366</v>
      </c>
      <c r="F56" s="3">
        <v>834</v>
      </c>
      <c r="G56" s="3">
        <v>1348</v>
      </c>
      <c r="H56" s="3">
        <v>1703</v>
      </c>
      <c r="I56" s="4"/>
      <c r="J56" s="4"/>
      <c r="K56" s="4"/>
      <c r="L56" s="4"/>
      <c r="R56" s="8" t="s">
        <v>48</v>
      </c>
      <c r="S56" s="8">
        <v>2</v>
      </c>
      <c r="T56" s="8">
        <v>220</v>
      </c>
      <c r="U56" s="8">
        <f t="shared" si="3"/>
        <v>440</v>
      </c>
    </row>
    <row r="57" spans="1:21" x14ac:dyDescent="0.25">
      <c r="A57" s="13" t="s">
        <v>87</v>
      </c>
      <c r="B57" s="14"/>
      <c r="C57" s="15"/>
      <c r="D57" s="3">
        <v>98</v>
      </c>
      <c r="E57" s="3">
        <v>284</v>
      </c>
      <c r="F57" s="3">
        <v>641</v>
      </c>
      <c r="G57" s="3">
        <v>1035</v>
      </c>
      <c r="H57" s="3">
        <v>1308</v>
      </c>
      <c r="I57" s="4"/>
      <c r="J57" s="4"/>
      <c r="K57" s="4"/>
      <c r="L57" s="4"/>
      <c r="R57" s="8" t="s">
        <v>48</v>
      </c>
      <c r="S57" s="8">
        <v>3</v>
      </c>
      <c r="T57" s="8">
        <v>220</v>
      </c>
      <c r="U57" s="8">
        <f t="shared" si="3"/>
        <v>660</v>
      </c>
    </row>
    <row r="58" spans="1:21" x14ac:dyDescent="0.25">
      <c r="A58" s="13" t="s">
        <v>88</v>
      </c>
      <c r="B58" s="14"/>
      <c r="C58" s="15"/>
      <c r="D58" s="3">
        <v>93</v>
      </c>
      <c r="E58" s="3">
        <v>261</v>
      </c>
      <c r="F58" s="3">
        <v>588</v>
      </c>
      <c r="G58" s="3">
        <v>953</v>
      </c>
      <c r="H58" s="3">
        <v>1209</v>
      </c>
      <c r="I58" s="4"/>
      <c r="J58" s="4"/>
      <c r="K58" s="4"/>
      <c r="L58" s="4"/>
      <c r="R58" s="9" t="s">
        <v>49</v>
      </c>
      <c r="S58" s="9">
        <v>1</v>
      </c>
      <c r="T58" s="9">
        <v>220</v>
      </c>
      <c r="U58" s="9">
        <f t="shared" si="3"/>
        <v>220</v>
      </c>
    </row>
    <row r="59" spans="1:21" x14ac:dyDescent="0.25">
      <c r="A59" s="13" t="s">
        <v>89</v>
      </c>
      <c r="B59" s="14"/>
      <c r="C59" s="15"/>
      <c r="D59" s="3">
        <v>61</v>
      </c>
      <c r="E59" s="3">
        <v>176</v>
      </c>
      <c r="F59" s="3">
        <v>422</v>
      </c>
      <c r="G59" s="3">
        <v>697</v>
      </c>
      <c r="H59" s="3">
        <v>874</v>
      </c>
      <c r="I59" s="4"/>
      <c r="J59" s="4"/>
      <c r="K59" s="4"/>
      <c r="L59" s="4"/>
      <c r="R59" s="9" t="s">
        <v>49</v>
      </c>
      <c r="S59" s="9">
        <v>2</v>
      </c>
      <c r="T59" s="9">
        <v>220</v>
      </c>
      <c r="U59" s="9">
        <f t="shared" si="3"/>
        <v>440</v>
      </c>
    </row>
    <row r="60" spans="1:21" x14ac:dyDescent="0.25">
      <c r="A60" s="13" t="s">
        <v>90</v>
      </c>
      <c r="B60" s="14"/>
      <c r="C60" s="15"/>
      <c r="D60" s="3">
        <v>75</v>
      </c>
      <c r="E60" s="3">
        <v>206</v>
      </c>
      <c r="F60" s="3">
        <v>438</v>
      </c>
      <c r="G60" s="3">
        <v>701</v>
      </c>
      <c r="H60" s="3">
        <v>888</v>
      </c>
      <c r="I60" s="4"/>
      <c r="J60" s="4"/>
      <c r="K60" s="4"/>
      <c r="L60" s="4"/>
      <c r="R60" s="9" t="s">
        <v>49</v>
      </c>
      <c r="S60" s="9">
        <v>3</v>
      </c>
      <c r="T60" s="9">
        <v>220</v>
      </c>
      <c r="U60" s="9">
        <f t="shared" si="3"/>
        <v>660</v>
      </c>
    </row>
    <row r="61" spans="1:21" x14ac:dyDescent="0.25">
      <c r="A61" s="13" t="s">
        <v>91</v>
      </c>
      <c r="B61" s="14"/>
      <c r="C61" s="15"/>
      <c r="D61" s="3">
        <v>57</v>
      </c>
      <c r="E61" s="3">
        <v>167</v>
      </c>
      <c r="F61" s="3">
        <v>375</v>
      </c>
      <c r="G61" s="3">
        <v>613</v>
      </c>
      <c r="H61" s="3">
        <v>770</v>
      </c>
      <c r="I61" s="4"/>
      <c r="J61" s="4"/>
      <c r="K61" s="4"/>
      <c r="L61" s="4"/>
      <c r="R61" s="8" t="s">
        <v>48</v>
      </c>
      <c r="S61" s="8">
        <v>1</v>
      </c>
      <c r="T61" s="8">
        <v>440</v>
      </c>
      <c r="U61" s="8">
        <f t="shared" si="3"/>
        <v>440</v>
      </c>
    </row>
    <row r="62" spans="1:21" x14ac:dyDescent="0.25">
      <c r="A62" s="13" t="s">
        <v>25</v>
      </c>
      <c r="B62" s="14"/>
      <c r="C62" s="15"/>
      <c r="D62" s="3">
        <v>85</v>
      </c>
      <c r="E62" s="3">
        <v>208</v>
      </c>
      <c r="F62" s="3">
        <v>402</v>
      </c>
      <c r="G62" s="3">
        <v>619</v>
      </c>
      <c r="H62" s="4">
        <v>798</v>
      </c>
      <c r="I62" s="4"/>
      <c r="J62" s="4"/>
      <c r="K62" s="4"/>
      <c r="L62" s="4"/>
      <c r="R62" s="8" t="s">
        <v>48</v>
      </c>
      <c r="S62" s="8">
        <v>2</v>
      </c>
      <c r="T62" s="8">
        <v>440</v>
      </c>
      <c r="U62" s="8">
        <f t="shared" si="3"/>
        <v>880</v>
      </c>
    </row>
    <row r="63" spans="1:21" x14ac:dyDescent="0.25">
      <c r="A63" s="13" t="s">
        <v>27</v>
      </c>
      <c r="B63" s="14"/>
      <c r="C63" s="15"/>
      <c r="D63" s="3">
        <v>261</v>
      </c>
      <c r="E63" s="3">
        <v>687</v>
      </c>
      <c r="F63" s="3">
        <v>1486</v>
      </c>
      <c r="G63" s="3">
        <v>2382</v>
      </c>
      <c r="H63" s="4">
        <v>3029</v>
      </c>
      <c r="I63" s="4"/>
      <c r="J63" s="4"/>
      <c r="K63" s="4"/>
      <c r="L63" s="4"/>
      <c r="R63" s="8" t="s">
        <v>48</v>
      </c>
      <c r="S63" s="8">
        <v>3</v>
      </c>
      <c r="T63" s="8">
        <v>440</v>
      </c>
      <c r="U63" s="8">
        <f t="shared" si="3"/>
        <v>1320</v>
      </c>
    </row>
    <row r="64" spans="1:21" x14ac:dyDescent="0.25">
      <c r="A64" s="13" t="s">
        <v>29</v>
      </c>
      <c r="B64" s="14"/>
      <c r="C64" s="15"/>
      <c r="D64" s="3">
        <v>490</v>
      </c>
      <c r="E64" s="3">
        <v>1334</v>
      </c>
      <c r="F64" s="3">
        <v>2851</v>
      </c>
      <c r="G64" s="3">
        <v>4539</v>
      </c>
      <c r="H64" s="4">
        <v>5777</v>
      </c>
      <c r="I64" s="4"/>
      <c r="J64" s="4"/>
      <c r="K64" s="4"/>
      <c r="L64" s="4"/>
      <c r="R64" s="9" t="s">
        <v>49</v>
      </c>
      <c r="S64" s="9">
        <v>1</v>
      </c>
      <c r="T64" s="9">
        <v>440</v>
      </c>
      <c r="U64" s="9">
        <f t="shared" si="3"/>
        <v>440</v>
      </c>
    </row>
    <row r="65" spans="1:21" x14ac:dyDescent="0.25">
      <c r="A65" s="13" t="s">
        <v>31</v>
      </c>
      <c r="B65" s="14"/>
      <c r="C65" s="15"/>
      <c r="D65" s="3">
        <v>338</v>
      </c>
      <c r="E65" s="3">
        <v>937</v>
      </c>
      <c r="F65" s="3">
        <v>2037</v>
      </c>
      <c r="G65" s="3">
        <v>3264</v>
      </c>
      <c r="H65" s="4">
        <v>4144</v>
      </c>
      <c r="I65" s="4"/>
      <c r="J65" s="4"/>
      <c r="K65" s="4"/>
      <c r="L65" s="4"/>
      <c r="R65" s="9" t="s">
        <v>49</v>
      </c>
      <c r="S65" s="9">
        <v>2</v>
      </c>
      <c r="T65" s="9">
        <v>440</v>
      </c>
      <c r="U65" s="9">
        <f t="shared" si="3"/>
        <v>880</v>
      </c>
    </row>
    <row r="66" spans="1:21" x14ac:dyDescent="0.25">
      <c r="A66" s="13" t="s">
        <v>92</v>
      </c>
      <c r="B66" s="14"/>
      <c r="C66" s="15"/>
      <c r="D66" s="3">
        <v>230</v>
      </c>
      <c r="E66" s="3">
        <v>706</v>
      </c>
      <c r="F66" s="3">
        <v>1669</v>
      </c>
      <c r="G66" s="3">
        <v>2740</v>
      </c>
      <c r="H66" s="4">
        <v>3446</v>
      </c>
      <c r="I66" s="4"/>
      <c r="J66" s="4"/>
      <c r="K66" s="4"/>
      <c r="L66" s="4"/>
      <c r="R66" s="9" t="s">
        <v>49</v>
      </c>
      <c r="S66" s="9">
        <v>3</v>
      </c>
      <c r="T66" s="9">
        <v>440</v>
      </c>
      <c r="U66" s="9">
        <f t="shared" si="3"/>
        <v>1320</v>
      </c>
    </row>
    <row r="67" spans="1:21" x14ac:dyDescent="0.25">
      <c r="A67" s="13" t="s">
        <v>33</v>
      </c>
      <c r="B67" s="14"/>
      <c r="C67" s="15"/>
      <c r="D67" s="3">
        <v>253</v>
      </c>
      <c r="E67" s="3">
        <v>679</v>
      </c>
      <c r="F67" s="3">
        <v>1427</v>
      </c>
      <c r="G67" s="3">
        <v>2262</v>
      </c>
      <c r="H67" s="4">
        <v>2883</v>
      </c>
      <c r="I67" s="4"/>
      <c r="J67" s="4"/>
      <c r="K67" s="4"/>
      <c r="L67" s="4"/>
    </row>
    <row r="68" spans="1:21" x14ac:dyDescent="0.25">
      <c r="A68" s="13" t="s">
        <v>35</v>
      </c>
      <c r="B68" s="14"/>
      <c r="C68" s="15"/>
      <c r="D68" s="3">
        <v>136</v>
      </c>
      <c r="E68" s="3">
        <v>385</v>
      </c>
      <c r="F68" s="3">
        <v>849</v>
      </c>
      <c r="G68" s="3">
        <v>1366</v>
      </c>
      <c r="H68" s="4">
        <v>1732</v>
      </c>
      <c r="I68" s="4"/>
      <c r="J68" s="4"/>
      <c r="K68" s="4"/>
      <c r="L68" s="4"/>
    </row>
    <row r="69" spans="1:21" x14ac:dyDescent="0.25">
      <c r="A69" s="13" t="s">
        <v>37</v>
      </c>
      <c r="B69" s="14"/>
      <c r="C69" s="15"/>
      <c r="D69" s="3">
        <v>111</v>
      </c>
      <c r="E69" s="3">
        <v>312</v>
      </c>
      <c r="F69" s="3">
        <v>686</v>
      </c>
      <c r="G69" s="3">
        <v>1103</v>
      </c>
      <c r="H69" s="4">
        <v>1399</v>
      </c>
      <c r="I69" s="4"/>
      <c r="J69" s="4"/>
      <c r="K69" s="4"/>
      <c r="L69" s="4"/>
    </row>
    <row r="70" spans="1:21" x14ac:dyDescent="0.25">
      <c r="A70" s="13" t="s">
        <v>38</v>
      </c>
      <c r="B70" s="14"/>
      <c r="C70" s="15"/>
      <c r="D70" s="3">
        <v>64</v>
      </c>
      <c r="E70" s="3">
        <v>194</v>
      </c>
      <c r="F70" s="3">
        <v>450</v>
      </c>
      <c r="G70" s="3">
        <v>736</v>
      </c>
      <c r="H70" s="4">
        <v>927</v>
      </c>
      <c r="I70" s="4"/>
      <c r="J70" s="4"/>
      <c r="K70" s="4"/>
      <c r="L70" s="4"/>
    </row>
    <row r="71" spans="1:21" x14ac:dyDescent="0.25">
      <c r="A71" s="13" t="s">
        <v>39</v>
      </c>
      <c r="B71" s="14"/>
      <c r="C71" s="15"/>
      <c r="D71" s="3">
        <v>56</v>
      </c>
      <c r="E71" s="3">
        <v>168</v>
      </c>
      <c r="F71" s="3">
        <v>386</v>
      </c>
      <c r="G71" s="3">
        <v>629</v>
      </c>
      <c r="H71" s="4">
        <v>794</v>
      </c>
      <c r="I71" s="4"/>
      <c r="J71" s="4"/>
      <c r="K71" s="4"/>
      <c r="L71" s="4"/>
    </row>
    <row r="72" spans="1:21" x14ac:dyDescent="0.25">
      <c r="A72" s="13" t="s">
        <v>40</v>
      </c>
      <c r="B72" s="14"/>
      <c r="C72" s="15"/>
      <c r="D72" s="3">
        <v>52</v>
      </c>
      <c r="E72" s="3">
        <v>158</v>
      </c>
      <c r="F72" s="3">
        <v>371</v>
      </c>
      <c r="G72" s="3">
        <v>608</v>
      </c>
      <c r="H72" s="4">
        <v>766</v>
      </c>
      <c r="I72" s="4"/>
      <c r="J72" s="4"/>
      <c r="K72" s="4"/>
      <c r="L72" s="4"/>
    </row>
    <row r="73" spans="1:21" x14ac:dyDescent="0.25">
      <c r="A73" s="13" t="s">
        <v>41</v>
      </c>
      <c r="B73" s="14"/>
      <c r="C73" s="15"/>
      <c r="D73" s="3">
        <v>51</v>
      </c>
      <c r="E73" s="3">
        <v>139</v>
      </c>
      <c r="F73" s="3">
        <v>324</v>
      </c>
      <c r="G73" s="3">
        <v>532</v>
      </c>
      <c r="H73" s="4">
        <v>671</v>
      </c>
      <c r="I73" s="4"/>
      <c r="J73" s="4"/>
      <c r="K73" s="4"/>
      <c r="L73" s="4"/>
    </row>
    <row r="74" spans="1:21" x14ac:dyDescent="0.25">
      <c r="A74" s="13" t="s">
        <v>42</v>
      </c>
      <c r="B74" s="14"/>
      <c r="C74" s="15"/>
      <c r="D74" s="3">
        <v>40</v>
      </c>
      <c r="E74" s="3">
        <v>122</v>
      </c>
      <c r="F74" s="3">
        <v>290</v>
      </c>
      <c r="G74" s="3">
        <v>475</v>
      </c>
      <c r="H74" s="4">
        <v>597</v>
      </c>
      <c r="I74" s="4"/>
      <c r="J74" s="4"/>
      <c r="K74" s="4"/>
      <c r="L74" s="4"/>
    </row>
    <row r="75" spans="1:21" x14ac:dyDescent="0.25">
      <c r="A75" s="13" t="s">
        <v>43</v>
      </c>
      <c r="B75" s="14"/>
      <c r="C75" s="15"/>
      <c r="D75" s="3">
        <v>37</v>
      </c>
      <c r="E75" s="3">
        <v>114</v>
      </c>
      <c r="F75" s="3">
        <v>271</v>
      </c>
      <c r="G75" s="3">
        <v>446</v>
      </c>
      <c r="H75" s="4">
        <v>559</v>
      </c>
      <c r="I75" s="4"/>
      <c r="J75" s="4"/>
      <c r="K75" s="4"/>
      <c r="L75" s="4"/>
    </row>
    <row r="76" spans="1:21" x14ac:dyDescent="0.25">
      <c r="A76" s="13" t="s">
        <v>93</v>
      </c>
      <c r="B76" s="14"/>
      <c r="C76" s="15"/>
      <c r="D76" s="3">
        <v>24</v>
      </c>
      <c r="E76" s="3">
        <v>77</v>
      </c>
      <c r="F76" s="3">
        <v>188</v>
      </c>
      <c r="G76" s="3">
        <v>312</v>
      </c>
      <c r="H76" s="3">
        <v>389</v>
      </c>
      <c r="I76" s="4"/>
      <c r="J76" s="4"/>
      <c r="K76" s="4"/>
      <c r="L76" s="4"/>
    </row>
    <row r="77" spans="1:21" x14ac:dyDescent="0.25">
      <c r="A77" s="13" t="s">
        <v>94</v>
      </c>
      <c r="B77" s="14"/>
      <c r="C77" s="15"/>
      <c r="D77" s="3">
        <v>32</v>
      </c>
      <c r="E77" s="3">
        <v>94</v>
      </c>
      <c r="F77" s="3">
        <v>215</v>
      </c>
      <c r="G77" s="3">
        <v>350</v>
      </c>
      <c r="H77" s="3">
        <v>440</v>
      </c>
      <c r="I77" s="4"/>
      <c r="J77" s="4"/>
      <c r="K77" s="4"/>
      <c r="L77" s="4"/>
    </row>
    <row r="78" spans="1:21" x14ac:dyDescent="0.25">
      <c r="A78" s="13" t="s">
        <v>95</v>
      </c>
      <c r="B78" s="14"/>
      <c r="C78" s="15"/>
      <c r="D78" s="3">
        <v>32</v>
      </c>
      <c r="E78" s="3">
        <v>87</v>
      </c>
      <c r="F78" s="3">
        <v>201</v>
      </c>
      <c r="G78" s="3">
        <v>330</v>
      </c>
      <c r="H78" s="3">
        <v>416</v>
      </c>
      <c r="I78" s="4"/>
      <c r="J78" s="4"/>
      <c r="K78" s="4"/>
      <c r="L78" s="4"/>
    </row>
    <row r="79" spans="1:21" x14ac:dyDescent="0.25">
      <c r="A79" s="13" t="s">
        <v>96</v>
      </c>
      <c r="B79" s="14"/>
      <c r="C79" s="15"/>
      <c r="D79" s="3">
        <v>32</v>
      </c>
      <c r="E79" s="3">
        <v>92</v>
      </c>
      <c r="F79" s="3">
        <v>209</v>
      </c>
      <c r="G79" s="3">
        <v>337</v>
      </c>
      <c r="H79" s="3">
        <v>426</v>
      </c>
      <c r="I79" s="4"/>
      <c r="J79" s="4"/>
      <c r="K79" s="4"/>
      <c r="L79" s="4"/>
    </row>
    <row r="80" spans="1:21" x14ac:dyDescent="0.25">
      <c r="A80" s="13" t="s">
        <v>97</v>
      </c>
      <c r="B80" s="14"/>
      <c r="C80" s="15"/>
      <c r="D80" s="3">
        <v>24</v>
      </c>
      <c r="E80" s="3">
        <v>71</v>
      </c>
      <c r="F80" s="3">
        <v>160</v>
      </c>
      <c r="G80" s="3">
        <v>259</v>
      </c>
      <c r="H80" s="3">
        <v>327</v>
      </c>
      <c r="I80" s="4"/>
      <c r="J80" s="4"/>
      <c r="K80" s="4"/>
      <c r="L80" s="4"/>
    </row>
    <row r="81" spans="1:12" x14ac:dyDescent="0.25">
      <c r="A81" s="13" t="s">
        <v>98</v>
      </c>
      <c r="B81" s="14"/>
      <c r="C81" s="15"/>
      <c r="D81" s="3">
        <v>23</v>
      </c>
      <c r="E81" s="3">
        <v>65</v>
      </c>
      <c r="F81" s="3">
        <v>147</v>
      </c>
      <c r="G81" s="3">
        <v>238</v>
      </c>
      <c r="H81" s="3">
        <v>302</v>
      </c>
      <c r="I81" s="4"/>
      <c r="J81" s="4"/>
      <c r="K81" s="4"/>
      <c r="L81" s="4"/>
    </row>
    <row r="82" spans="1:12" x14ac:dyDescent="0.25">
      <c r="A82" s="13" t="s">
        <v>99</v>
      </c>
      <c r="B82" s="14"/>
      <c r="C82" s="15"/>
      <c r="D82" s="3">
        <v>15</v>
      </c>
      <c r="E82" s="3">
        <v>44</v>
      </c>
      <c r="F82" s="3">
        <v>105</v>
      </c>
      <c r="G82" s="3">
        <v>174</v>
      </c>
      <c r="H82" s="3">
        <v>219</v>
      </c>
      <c r="I82" s="4"/>
      <c r="J82" s="4"/>
      <c r="K82" s="4"/>
      <c r="L82" s="4"/>
    </row>
    <row r="83" spans="1:12" x14ac:dyDescent="0.25">
      <c r="A83" s="13" t="s">
        <v>100</v>
      </c>
      <c r="B83" s="14"/>
      <c r="C83" s="15"/>
      <c r="D83" s="3">
        <v>19</v>
      </c>
      <c r="E83" s="3">
        <v>51</v>
      </c>
      <c r="F83" s="3">
        <v>109</v>
      </c>
      <c r="G83" s="3">
        <v>175</v>
      </c>
      <c r="H83" s="3">
        <v>222</v>
      </c>
      <c r="I83" s="4"/>
      <c r="J83" s="4"/>
      <c r="K83" s="4"/>
      <c r="L83" s="4"/>
    </row>
    <row r="84" spans="1:12" x14ac:dyDescent="0.25">
      <c r="A84" s="13" t="s">
        <v>101</v>
      </c>
      <c r="B84" s="14"/>
      <c r="C84" s="15"/>
      <c r="D84" s="3">
        <v>14</v>
      </c>
      <c r="E84" s="3">
        <v>42</v>
      </c>
      <c r="F84" s="3">
        <v>94</v>
      </c>
      <c r="G84" s="3">
        <v>153</v>
      </c>
      <c r="H84" s="3">
        <v>192</v>
      </c>
      <c r="I84" s="4"/>
      <c r="J84" s="4"/>
      <c r="K84" s="4"/>
      <c r="L84" s="4"/>
    </row>
    <row r="85" spans="1:12" x14ac:dyDescent="0.25">
      <c r="A85" s="13" t="s">
        <v>102</v>
      </c>
      <c r="B85" s="14"/>
      <c r="C85" s="15"/>
      <c r="D85" s="3">
        <v>62</v>
      </c>
      <c r="E85" s="3">
        <v>65</v>
      </c>
      <c r="F85" s="3">
        <v>68</v>
      </c>
      <c r="G85" s="3">
        <v>72</v>
      </c>
      <c r="H85" s="3">
        <v>75</v>
      </c>
      <c r="I85" s="4"/>
      <c r="J85" s="4"/>
      <c r="K85" s="4"/>
      <c r="L85" s="4"/>
    </row>
    <row r="86" spans="1:12" x14ac:dyDescent="0.25">
      <c r="A86" s="13" t="s">
        <v>103</v>
      </c>
      <c r="B86" s="14"/>
      <c r="C86" s="15"/>
      <c r="D86" s="3">
        <v>80</v>
      </c>
      <c r="E86" s="3">
        <v>84</v>
      </c>
      <c r="F86" s="3">
        <v>88</v>
      </c>
      <c r="G86" s="3">
        <v>93</v>
      </c>
      <c r="H86" s="3">
        <v>97</v>
      </c>
      <c r="I86" s="4"/>
      <c r="J86" s="4"/>
      <c r="K86" s="4"/>
      <c r="L86" s="4"/>
    </row>
    <row r="87" spans="1:12" x14ac:dyDescent="0.25">
      <c r="A87" s="13" t="s">
        <v>104</v>
      </c>
      <c r="B87" s="14"/>
      <c r="C87" s="15"/>
      <c r="D87" s="3">
        <v>92</v>
      </c>
      <c r="E87" s="3">
        <v>97</v>
      </c>
      <c r="F87" s="3">
        <v>101</v>
      </c>
      <c r="G87" s="3">
        <v>107</v>
      </c>
      <c r="H87" s="3">
        <v>112</v>
      </c>
      <c r="I87" s="4"/>
      <c r="J87" s="4"/>
      <c r="K87" s="4"/>
      <c r="L87" s="4"/>
    </row>
    <row r="88" spans="1:12" x14ac:dyDescent="0.25">
      <c r="A88" s="13" t="s">
        <v>105</v>
      </c>
      <c r="B88" s="14"/>
      <c r="C88" s="15"/>
      <c r="D88" s="3">
        <v>250</v>
      </c>
      <c r="E88" s="3">
        <v>263</v>
      </c>
      <c r="F88" s="3">
        <v>276</v>
      </c>
      <c r="G88" s="3">
        <v>289</v>
      </c>
      <c r="H88" s="3">
        <v>304</v>
      </c>
      <c r="I88" s="4"/>
      <c r="J88" s="4"/>
      <c r="K88" s="4"/>
      <c r="L88" s="4"/>
    </row>
    <row r="89" spans="1:12" x14ac:dyDescent="0.25">
      <c r="A89" s="13" t="s">
        <v>106</v>
      </c>
      <c r="B89" s="14"/>
      <c r="C89" s="15"/>
      <c r="D89" s="3">
        <v>92</v>
      </c>
      <c r="E89" s="3">
        <v>97</v>
      </c>
      <c r="F89" s="3">
        <v>101</v>
      </c>
      <c r="G89" s="3">
        <v>107</v>
      </c>
      <c r="H89" s="3">
        <v>112</v>
      </c>
      <c r="I89" s="4"/>
      <c r="J89" s="4"/>
      <c r="K89" s="4"/>
      <c r="L89" s="4"/>
    </row>
    <row r="90" spans="1:12" x14ac:dyDescent="0.25">
      <c r="A90" s="13" t="s">
        <v>107</v>
      </c>
      <c r="B90" s="14"/>
      <c r="C90" s="15"/>
      <c r="D90" s="3">
        <v>105</v>
      </c>
      <c r="E90" s="3">
        <v>110</v>
      </c>
      <c r="F90" s="3">
        <v>116</v>
      </c>
      <c r="G90" s="3">
        <v>122</v>
      </c>
      <c r="H90" s="3">
        <v>128</v>
      </c>
      <c r="I90" s="4"/>
      <c r="J90" s="4"/>
      <c r="K90" s="4"/>
      <c r="L90" s="4"/>
    </row>
    <row r="91" spans="1:12" x14ac:dyDescent="0.25">
      <c r="A91" s="13" t="s">
        <v>108</v>
      </c>
      <c r="B91" s="14"/>
      <c r="C91" s="15"/>
      <c r="D91" s="3">
        <v>47</v>
      </c>
      <c r="E91" s="3">
        <v>49</v>
      </c>
      <c r="F91" s="3">
        <v>52</v>
      </c>
      <c r="G91" s="3">
        <v>54</v>
      </c>
      <c r="H91" s="3">
        <v>57</v>
      </c>
      <c r="I91" s="4"/>
      <c r="J91" s="4"/>
      <c r="K91" s="4"/>
      <c r="L91" s="4"/>
    </row>
    <row r="92" spans="1:12" x14ac:dyDescent="0.25">
      <c r="A92" s="13" t="s">
        <v>109</v>
      </c>
      <c r="B92" s="14"/>
      <c r="C92" s="15"/>
      <c r="D92" s="3">
        <v>10</v>
      </c>
      <c r="E92" s="3">
        <v>11</v>
      </c>
      <c r="F92" s="3">
        <v>11</v>
      </c>
      <c r="G92" s="3">
        <v>12</v>
      </c>
      <c r="H92" s="3">
        <v>12</v>
      </c>
      <c r="I92" s="4"/>
      <c r="J92" s="4"/>
      <c r="K92" s="4"/>
      <c r="L92" s="4"/>
    </row>
    <row r="93" spans="1:12" x14ac:dyDescent="0.25">
      <c r="A93" s="13" t="s">
        <v>110</v>
      </c>
      <c r="B93" s="14"/>
      <c r="C93" s="15"/>
      <c r="D93" s="3">
        <v>6</v>
      </c>
      <c r="E93" s="3">
        <v>6</v>
      </c>
      <c r="F93" s="3">
        <v>7</v>
      </c>
      <c r="G93" s="3">
        <v>7</v>
      </c>
      <c r="H93" s="3">
        <v>7</v>
      </c>
      <c r="I93" s="4"/>
      <c r="J93" s="4"/>
      <c r="K93" s="4"/>
      <c r="L93" s="4"/>
    </row>
    <row r="94" spans="1:12" x14ac:dyDescent="0.25">
      <c r="A94" s="13" t="s">
        <v>111</v>
      </c>
      <c r="B94" s="14"/>
      <c r="C94" s="15"/>
      <c r="D94" s="3">
        <v>431</v>
      </c>
      <c r="E94" s="3">
        <v>453</v>
      </c>
      <c r="F94" s="3">
        <v>475</v>
      </c>
      <c r="G94" s="3">
        <v>499</v>
      </c>
      <c r="H94" s="3">
        <v>524</v>
      </c>
      <c r="I94" s="4"/>
      <c r="J94" s="4"/>
      <c r="K94" s="4"/>
      <c r="L94" s="4"/>
    </row>
    <row r="95" spans="1:12" x14ac:dyDescent="0.25">
      <c r="A95" s="13" t="s">
        <v>112</v>
      </c>
      <c r="B95" s="14"/>
      <c r="C95" s="15"/>
      <c r="D95" s="3">
        <v>390</v>
      </c>
      <c r="E95" s="3">
        <v>410</v>
      </c>
      <c r="F95" s="3">
        <v>430</v>
      </c>
      <c r="G95" s="3">
        <v>451</v>
      </c>
      <c r="H95" s="3">
        <v>474</v>
      </c>
      <c r="I95" s="4"/>
      <c r="J95" s="4"/>
      <c r="K95" s="4"/>
      <c r="L95" s="4"/>
    </row>
    <row r="96" spans="1:12" x14ac:dyDescent="0.25">
      <c r="A96" s="13" t="s">
        <v>113</v>
      </c>
      <c r="B96" s="14"/>
      <c r="C96" s="15"/>
      <c r="D96" s="3">
        <v>517</v>
      </c>
      <c r="E96" s="3">
        <v>543</v>
      </c>
      <c r="F96" s="3">
        <v>570</v>
      </c>
      <c r="G96" s="3">
        <v>598</v>
      </c>
      <c r="H96" s="3">
        <v>628</v>
      </c>
      <c r="I96" s="4"/>
      <c r="J96" s="4"/>
      <c r="K96" s="4"/>
      <c r="L96" s="4"/>
    </row>
    <row r="97" spans="1:12" x14ac:dyDescent="0.25">
      <c r="A97" s="13" t="s">
        <v>114</v>
      </c>
      <c r="B97" s="14"/>
      <c r="C97" s="15"/>
      <c r="D97" s="3">
        <v>417</v>
      </c>
      <c r="E97" s="3">
        <v>438</v>
      </c>
      <c r="F97" s="3">
        <v>460</v>
      </c>
      <c r="G97" s="3">
        <v>483</v>
      </c>
      <c r="H97" s="3">
        <v>507</v>
      </c>
      <c r="I97" s="4"/>
      <c r="J97" s="4"/>
      <c r="K97" s="4"/>
      <c r="L97" s="4"/>
    </row>
    <row r="98" spans="1:12" x14ac:dyDescent="0.25">
      <c r="A98" s="13" t="s">
        <v>115</v>
      </c>
      <c r="B98" s="14"/>
      <c r="C98" s="15"/>
      <c r="D98" s="3">
        <v>357</v>
      </c>
      <c r="E98" s="3">
        <v>375</v>
      </c>
      <c r="F98" s="3">
        <v>394</v>
      </c>
      <c r="G98" s="3">
        <v>413</v>
      </c>
      <c r="H98" s="3">
        <v>434</v>
      </c>
      <c r="I98" s="4"/>
      <c r="J98" s="4"/>
      <c r="K98" s="4"/>
      <c r="L98" s="4"/>
    </row>
    <row r="99" spans="1:12" x14ac:dyDescent="0.25">
      <c r="A99" s="13" t="s">
        <v>116</v>
      </c>
      <c r="B99" s="14"/>
      <c r="C99" s="15"/>
      <c r="D99" s="3">
        <v>338</v>
      </c>
      <c r="E99" s="3">
        <v>355</v>
      </c>
      <c r="F99" s="3">
        <v>373</v>
      </c>
      <c r="G99" s="3">
        <v>391</v>
      </c>
      <c r="H99" s="3">
        <v>411</v>
      </c>
      <c r="I99" s="4"/>
      <c r="J99" s="4"/>
      <c r="K99" s="4"/>
      <c r="L99" s="4"/>
    </row>
    <row r="100" spans="1:12" x14ac:dyDescent="0.25">
      <c r="A100" s="13" t="s">
        <v>117</v>
      </c>
      <c r="B100" s="14"/>
      <c r="C100" s="15"/>
      <c r="D100" s="3">
        <v>339</v>
      </c>
      <c r="E100" s="3">
        <v>356</v>
      </c>
      <c r="F100" s="3">
        <v>374</v>
      </c>
      <c r="G100" s="3">
        <v>392</v>
      </c>
      <c r="H100" s="3">
        <v>412</v>
      </c>
      <c r="I100" s="4"/>
      <c r="J100" s="4"/>
      <c r="K100" s="4"/>
      <c r="L100" s="4"/>
    </row>
    <row r="101" spans="1:12" x14ac:dyDescent="0.25">
      <c r="A101" s="13" t="s">
        <v>118</v>
      </c>
      <c r="B101" s="14"/>
      <c r="C101" s="15"/>
      <c r="D101" s="3">
        <v>452</v>
      </c>
      <c r="E101" s="3">
        <v>475</v>
      </c>
      <c r="F101" s="3">
        <v>498</v>
      </c>
      <c r="G101" s="3">
        <v>523</v>
      </c>
      <c r="H101" s="3">
        <v>549</v>
      </c>
      <c r="I101" s="4"/>
      <c r="J101" s="4"/>
      <c r="K101" s="4"/>
      <c r="L101" s="4"/>
    </row>
    <row r="102" spans="1:12" x14ac:dyDescent="0.25">
      <c r="A102" s="13" t="s">
        <v>119</v>
      </c>
      <c r="B102" s="14"/>
      <c r="C102" s="15"/>
      <c r="D102" s="3">
        <v>24</v>
      </c>
      <c r="E102" s="3">
        <v>25</v>
      </c>
      <c r="F102" s="3">
        <v>26</v>
      </c>
      <c r="G102" s="3">
        <v>28</v>
      </c>
      <c r="H102" s="3">
        <v>29</v>
      </c>
      <c r="I102" s="4"/>
      <c r="J102" s="4"/>
      <c r="K102" s="4"/>
      <c r="L102" s="4"/>
    </row>
    <row r="103" spans="1:12" x14ac:dyDescent="0.25">
      <c r="A103" s="13" t="s">
        <v>120</v>
      </c>
      <c r="B103" s="14"/>
      <c r="C103" s="15"/>
      <c r="D103" s="3">
        <v>31</v>
      </c>
      <c r="E103" s="3">
        <v>33</v>
      </c>
      <c r="F103" s="3">
        <v>34</v>
      </c>
      <c r="G103" s="3">
        <v>36</v>
      </c>
      <c r="H103" s="3">
        <v>38</v>
      </c>
      <c r="I103" s="4"/>
      <c r="J103" s="4"/>
      <c r="K103" s="4"/>
      <c r="L103" s="4"/>
    </row>
    <row r="104" spans="1:12" x14ac:dyDescent="0.25">
      <c r="A104" s="13" t="s">
        <v>121</v>
      </c>
      <c r="B104" s="14"/>
      <c r="C104" s="15"/>
      <c r="D104" s="3">
        <v>20</v>
      </c>
      <c r="E104" s="3">
        <v>21</v>
      </c>
      <c r="F104" s="3">
        <v>22</v>
      </c>
      <c r="G104" s="3">
        <v>23</v>
      </c>
      <c r="H104" s="3">
        <v>24</v>
      </c>
      <c r="I104" s="4"/>
      <c r="J104" s="4"/>
      <c r="K104" s="4"/>
      <c r="L104" s="4"/>
    </row>
    <row r="105" spans="1:12" x14ac:dyDescent="0.25">
      <c r="A105" s="13" t="s">
        <v>122</v>
      </c>
      <c r="B105" s="14"/>
      <c r="C105" s="15"/>
      <c r="D105" s="3">
        <v>56</v>
      </c>
      <c r="E105" s="3">
        <v>59</v>
      </c>
      <c r="F105" s="3">
        <v>62</v>
      </c>
      <c r="G105" s="3">
        <v>65</v>
      </c>
      <c r="H105" s="3">
        <v>68</v>
      </c>
      <c r="I105" s="4"/>
      <c r="J105" s="4"/>
      <c r="K105" s="4"/>
      <c r="L105" s="4"/>
    </row>
    <row r="106" spans="1:12" x14ac:dyDescent="0.25">
      <c r="A106" s="13" t="s">
        <v>123</v>
      </c>
      <c r="B106" s="14"/>
      <c r="C106" s="15"/>
      <c r="D106" s="3">
        <v>25</v>
      </c>
      <c r="E106" s="3">
        <v>26</v>
      </c>
      <c r="F106" s="3">
        <v>28</v>
      </c>
      <c r="G106" s="3">
        <v>29</v>
      </c>
      <c r="H106" s="3">
        <v>30</v>
      </c>
      <c r="I106" s="4"/>
      <c r="J106" s="4"/>
      <c r="K106" s="4"/>
      <c r="L106" s="4"/>
    </row>
    <row r="107" spans="1:12" x14ac:dyDescent="0.25">
      <c r="A107" s="13" t="s">
        <v>124</v>
      </c>
      <c r="B107" s="14"/>
      <c r="C107" s="15"/>
      <c r="D107" s="3">
        <v>12</v>
      </c>
      <c r="E107" s="3">
        <v>13</v>
      </c>
      <c r="F107" s="3">
        <v>13</v>
      </c>
      <c r="G107" s="3">
        <v>14</v>
      </c>
      <c r="H107" s="3">
        <v>15</v>
      </c>
      <c r="I107" s="4"/>
      <c r="J107" s="4"/>
      <c r="K107" s="4"/>
      <c r="L107" s="4"/>
    </row>
    <row r="108" spans="1:12" x14ac:dyDescent="0.25">
      <c r="A108" s="13" t="s">
        <v>125</v>
      </c>
      <c r="B108" s="14"/>
      <c r="C108" s="15"/>
      <c r="D108" s="3">
        <v>11</v>
      </c>
      <c r="E108" s="3">
        <v>12</v>
      </c>
      <c r="F108" s="3">
        <v>12</v>
      </c>
      <c r="G108" s="3">
        <v>13</v>
      </c>
      <c r="H108" s="3">
        <v>13</v>
      </c>
      <c r="I108" s="4"/>
      <c r="J108" s="4"/>
      <c r="K108" s="4"/>
      <c r="L108" s="4"/>
    </row>
    <row r="109" spans="1:12" x14ac:dyDescent="0.25">
      <c r="A109" s="13" t="s">
        <v>126</v>
      </c>
      <c r="B109" s="14"/>
      <c r="C109" s="15"/>
      <c r="D109" s="3">
        <v>10</v>
      </c>
      <c r="E109" s="3">
        <v>11</v>
      </c>
      <c r="F109" s="3">
        <v>11</v>
      </c>
      <c r="G109" s="3">
        <v>12</v>
      </c>
      <c r="H109" s="3">
        <v>12</v>
      </c>
      <c r="I109" s="4"/>
      <c r="J109" s="4"/>
      <c r="K109" s="4"/>
      <c r="L109" s="4"/>
    </row>
    <row r="110" spans="1:12" x14ac:dyDescent="0.25">
      <c r="A110" s="13" t="s">
        <v>127</v>
      </c>
      <c r="B110" s="14"/>
      <c r="C110" s="15"/>
      <c r="D110" s="3">
        <v>20</v>
      </c>
      <c r="E110" s="3">
        <v>21</v>
      </c>
      <c r="F110" s="3">
        <v>22</v>
      </c>
      <c r="G110" s="3">
        <v>23</v>
      </c>
      <c r="H110" s="3">
        <v>24</v>
      </c>
      <c r="I110" s="4"/>
      <c r="J110" s="4"/>
      <c r="K110" s="4"/>
      <c r="L110" s="4"/>
    </row>
    <row r="111" spans="1:12" x14ac:dyDescent="0.25">
      <c r="A111" s="13" t="s">
        <v>128</v>
      </c>
      <c r="B111" s="14"/>
      <c r="C111" s="15"/>
      <c r="D111" s="3">
        <v>10</v>
      </c>
      <c r="E111" s="3">
        <v>11</v>
      </c>
      <c r="F111" s="3">
        <v>11</v>
      </c>
      <c r="G111" s="3">
        <v>12</v>
      </c>
      <c r="H111" s="3">
        <v>12</v>
      </c>
      <c r="I111" s="4"/>
      <c r="J111" s="4"/>
      <c r="K111" s="4"/>
      <c r="L111" s="4"/>
    </row>
    <row r="112" spans="1:12" x14ac:dyDescent="0.25">
      <c r="A112" s="13" t="s">
        <v>129</v>
      </c>
      <c r="B112" s="14"/>
      <c r="C112" s="15"/>
      <c r="D112" s="3">
        <v>10</v>
      </c>
      <c r="E112" s="3">
        <v>11</v>
      </c>
      <c r="F112" s="3">
        <v>11</v>
      </c>
      <c r="G112" s="3">
        <v>12</v>
      </c>
      <c r="H112" s="3">
        <v>12</v>
      </c>
      <c r="I112" s="4"/>
      <c r="J112" s="4"/>
      <c r="K112" s="4"/>
      <c r="L112" s="4"/>
    </row>
    <row r="113" spans="1:12" x14ac:dyDescent="0.25">
      <c r="A113" s="13" t="s">
        <v>130</v>
      </c>
      <c r="B113" s="14"/>
      <c r="C113" s="15"/>
      <c r="D113" s="3">
        <v>8</v>
      </c>
      <c r="E113" s="3">
        <v>8</v>
      </c>
      <c r="F113" s="3">
        <v>9</v>
      </c>
      <c r="G113" s="3">
        <v>9</v>
      </c>
      <c r="H113" s="3">
        <v>10</v>
      </c>
      <c r="I113" s="4"/>
      <c r="J113" s="4"/>
      <c r="K113" s="4"/>
      <c r="L113" s="4"/>
    </row>
    <row r="114" spans="1:12" x14ac:dyDescent="0.25">
      <c r="A114" s="13" t="s">
        <v>131</v>
      </c>
      <c r="B114" s="14"/>
      <c r="C114" s="15"/>
      <c r="D114" s="3">
        <v>6</v>
      </c>
      <c r="E114" s="3">
        <v>6</v>
      </c>
      <c r="F114" s="3">
        <v>7</v>
      </c>
      <c r="G114" s="3">
        <v>7</v>
      </c>
      <c r="H114" s="3">
        <v>7</v>
      </c>
      <c r="I114" s="4"/>
      <c r="J114" s="4"/>
      <c r="K114" s="4"/>
      <c r="L114" s="4"/>
    </row>
    <row r="115" spans="1:12" x14ac:dyDescent="0.25">
      <c r="A115" s="13" t="s">
        <v>132</v>
      </c>
      <c r="B115" s="14"/>
      <c r="C115" s="15"/>
      <c r="D115" s="3">
        <v>23</v>
      </c>
      <c r="E115" s="3">
        <v>24</v>
      </c>
      <c r="F115" s="3">
        <v>25</v>
      </c>
      <c r="G115" s="3">
        <v>27</v>
      </c>
      <c r="H115" s="3">
        <v>28</v>
      </c>
      <c r="I115" s="4"/>
      <c r="J115" s="4"/>
      <c r="K115" s="4"/>
      <c r="L115" s="4"/>
    </row>
    <row r="116" spans="1:12" ht="15.75" thickBot="1" x14ac:dyDescent="0.3">
      <c r="A116" s="16" t="s">
        <v>44</v>
      </c>
      <c r="B116" s="17"/>
      <c r="C116" s="18"/>
      <c r="D116" s="5">
        <f>SUM(D3:D115)</f>
        <v>24254</v>
      </c>
      <c r="E116" s="5">
        <f>SUM(E3:E115)</f>
        <v>57488</v>
      </c>
      <c r="F116" s="5">
        <f>SUM(F3:F115)</f>
        <v>116752</v>
      </c>
      <c r="G116" s="5">
        <f>SUM(G3:G115)</f>
        <v>182947</v>
      </c>
      <c r="H116" s="5">
        <f>SUM(H3:H115)</f>
        <v>232066</v>
      </c>
      <c r="I116" s="5">
        <f>SUM(I3:I84)</f>
        <v>0</v>
      </c>
      <c r="J116" s="5">
        <f>SUM(J3:J84)</f>
        <v>0</v>
      </c>
      <c r="K116" s="5">
        <f>SUM(K3:K84)</f>
        <v>0</v>
      </c>
      <c r="L116" s="5">
        <f>SUM(L3:L84)</f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Aluizio Augusto Kleine Kirschner</dc:creator>
  <cp:lastModifiedBy>Aluizio Augusto Kleine Kirschner</cp:lastModifiedBy>
  <dcterms:created xsi:type="dcterms:W3CDTF">2026-04-07T17:05:45Z</dcterms:created>
  <dcterms:modified xsi:type="dcterms:W3CDTF">2026-05-21T20:16:34Z</dcterms:modified>
</cp:coreProperties>
</file>