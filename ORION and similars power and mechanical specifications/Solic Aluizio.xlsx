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2026-04-ORION\"/>
    </mc:Choice>
  </mc:AlternateContent>
  <xr:revisionPtr revIDLastSave="0" documentId="13_ncr:1_{C35D8E89-448B-44BE-B7AC-14CECA5A0271}" xr6:coauthVersionLast="47" xr6:coauthVersionMax="47" xr10:uidLastSave="{00000000-0000-0000-0000-000000000000}"/>
  <bookViews>
    <workbookView xWindow="28680" yWindow="-120" windowWidth="29040" windowHeight="15720" xr2:uid="{68A99800-0D1E-40B2-AF8E-35AC1FB7ED3B}"/>
  </bookViews>
  <sheets>
    <sheet name="Planilha1" sheetId="1" r:id="rId1"/>
    <sheet name="Planilha2" sheetId="2" r:id="rId2"/>
  </sheets>
  <definedNames>
    <definedName name="_xlnm._FilterDatabase" localSheetId="0" hidden="1">Planilha1!$F$1:$G$3152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G2082" i="1" s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G2107" i="1" s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G2134" i="1" s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G2163" i="1" s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G2185" i="1" s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G2210" i="1" s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G2233" i="1" s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G2258" i="1" s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G2282" i="1" s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G2307" i="1" s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G2330" i="1" s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G2355" i="1" s="1"/>
  <c r="B2356" i="1"/>
  <c r="B2357" i="1"/>
  <c r="B2358" i="1"/>
  <c r="B2359" i="1"/>
  <c r="G2359" i="1" s="1"/>
  <c r="B2360" i="1"/>
  <c r="G2360" i="1" s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G2377" i="1" s="1"/>
  <c r="B2378" i="1"/>
  <c r="B2379" i="1"/>
  <c r="G2379" i="1" s="1"/>
  <c r="B2380" i="1"/>
  <c r="G2380" i="1" s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G2397" i="1" s="1"/>
  <c r="B2398" i="1"/>
  <c r="B2399" i="1"/>
  <c r="B2400" i="1"/>
  <c r="B2401" i="1"/>
  <c r="B2402" i="1"/>
  <c r="G2402" i="1" s="1"/>
  <c r="B2403" i="1"/>
  <c r="G2403" i="1" s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G2420" i="1" s="1"/>
  <c r="B2421" i="1"/>
  <c r="B2422" i="1"/>
  <c r="G2422" i="1" s="1"/>
  <c r="B2423" i="1"/>
  <c r="G2423" i="1" s="1"/>
  <c r="B2424" i="1"/>
  <c r="B2425" i="1"/>
  <c r="B2426" i="1"/>
  <c r="B2427" i="1"/>
  <c r="G2427" i="1" s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G2440" i="1" s="1"/>
  <c r="B2441" i="1"/>
  <c r="B2442" i="1"/>
  <c r="G2442" i="1" s="1"/>
  <c r="B2443" i="1"/>
  <c r="G2443" i="1" s="1"/>
  <c r="B2444" i="1"/>
  <c r="B2445" i="1"/>
  <c r="B2446" i="1"/>
  <c r="B2447" i="1"/>
  <c r="B2448" i="1"/>
  <c r="B2449" i="1"/>
  <c r="B2450" i="1"/>
  <c r="G2450" i="1" s="1"/>
  <c r="B2451" i="1"/>
  <c r="B2452" i="1"/>
  <c r="B2453" i="1"/>
  <c r="B2454" i="1"/>
  <c r="B2455" i="1"/>
  <c r="B2456" i="1"/>
  <c r="B2457" i="1"/>
  <c r="B2458" i="1"/>
  <c r="B2459" i="1"/>
  <c r="B2460" i="1"/>
  <c r="G2460" i="1" s="1"/>
  <c r="B2461" i="1"/>
  <c r="B2462" i="1"/>
  <c r="B2463" i="1"/>
  <c r="B2464" i="1"/>
  <c r="B2465" i="1"/>
  <c r="B2466" i="1"/>
  <c r="G2466" i="1" s="1"/>
  <c r="B2467" i="1"/>
  <c r="B2468" i="1"/>
  <c r="B2469" i="1"/>
  <c r="B2470" i="1"/>
  <c r="G2470" i="1" s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G2483" i="1" s="1"/>
  <c r="B2484" i="1"/>
  <c r="B2485" i="1"/>
  <c r="G2485" i="1" s="1"/>
  <c r="B2486" i="1"/>
  <c r="B2487" i="1"/>
  <c r="G2487" i="1" s="1"/>
  <c r="B2488" i="1"/>
  <c r="B2489" i="1"/>
  <c r="B2490" i="1"/>
  <c r="G2490" i="1" s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G2503" i="1" s="1"/>
  <c r="B2504" i="1"/>
  <c r="B2505" i="1"/>
  <c r="B2506" i="1"/>
  <c r="G2506" i="1" s="1"/>
  <c r="B2507" i="1"/>
  <c r="G2507" i="1" s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G2523" i="1" s="1"/>
  <c r="B2524" i="1"/>
  <c r="B2525" i="1"/>
  <c r="B2526" i="1"/>
  <c r="B2527" i="1"/>
  <c r="B2528" i="1"/>
  <c r="B2529" i="1"/>
  <c r="B2530" i="1"/>
  <c r="G2530" i="1" s="1"/>
  <c r="B2531" i="1"/>
  <c r="B2532" i="1"/>
  <c r="B2533" i="1"/>
  <c r="G2533" i="1" s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G2547" i="1" s="1"/>
  <c r="B2548" i="1"/>
  <c r="B2549" i="1"/>
  <c r="G2549" i="1" s="1"/>
  <c r="B2550" i="1"/>
  <c r="G2550" i="1" s="1"/>
  <c r="B2551" i="1"/>
  <c r="B2552" i="1"/>
  <c r="B2553" i="1"/>
  <c r="G2553" i="1" s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G2567" i="1" s="1"/>
  <c r="B2568" i="1"/>
  <c r="B2569" i="1"/>
  <c r="G2569" i="1" s="1"/>
  <c r="B2570" i="1"/>
  <c r="G2570" i="1" s="1"/>
  <c r="B2571" i="1"/>
  <c r="B2572" i="1"/>
  <c r="B2573" i="1"/>
  <c r="G2573" i="1" s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G2586" i="1" s="1"/>
  <c r="B2587" i="1"/>
  <c r="B2588" i="1"/>
  <c r="G2588" i="1" s="1"/>
  <c r="B2589" i="1"/>
  <c r="G2589" i="1" s="1"/>
  <c r="B2590" i="1"/>
  <c r="B2591" i="1"/>
  <c r="B2592" i="1"/>
  <c r="B2593" i="1"/>
  <c r="B2594" i="1"/>
  <c r="G2594" i="1" s="1"/>
  <c r="B2595" i="1"/>
  <c r="B2596" i="1"/>
  <c r="B2597" i="1"/>
  <c r="B2598" i="1"/>
  <c r="B2599" i="1"/>
  <c r="B2600" i="1"/>
  <c r="B2601" i="1"/>
  <c r="B2602" i="1"/>
  <c r="B2603" i="1"/>
  <c r="B2604" i="1"/>
  <c r="B2605" i="1"/>
  <c r="G2605" i="1" s="1"/>
  <c r="B2606" i="1"/>
  <c r="B2607" i="1"/>
  <c r="B2608" i="1"/>
  <c r="B2609" i="1"/>
  <c r="B2610" i="1"/>
  <c r="G2610" i="1" s="1"/>
  <c r="B2611" i="1"/>
  <c r="B2612" i="1"/>
  <c r="B2613" i="1"/>
  <c r="G2613" i="1" s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G2626" i="1" s="1"/>
  <c r="B2627" i="1"/>
  <c r="B2628" i="1"/>
  <c r="G2628" i="1" s="1"/>
  <c r="B2629" i="1"/>
  <c r="G2629" i="1" s="1"/>
  <c r="B2630" i="1"/>
  <c r="B2631" i="1"/>
  <c r="B2632" i="1"/>
  <c r="G2632" i="1" s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G2645" i="1" s="1"/>
  <c r="B2646" i="1"/>
  <c r="B2647" i="1"/>
  <c r="G2647" i="1" s="1"/>
  <c r="B2648" i="1"/>
  <c r="G2648" i="1" s="1"/>
  <c r="B2649" i="1"/>
  <c r="B2650" i="1"/>
  <c r="B2651" i="1"/>
  <c r="G2651" i="1" s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G2664" i="1" s="1"/>
  <c r="B2665" i="1"/>
  <c r="B2666" i="1"/>
  <c r="G2666" i="1" s="1"/>
  <c r="B2667" i="1"/>
  <c r="G2667" i="1" s="1"/>
  <c r="B2668" i="1"/>
  <c r="B2669" i="1"/>
  <c r="B2670" i="1"/>
  <c r="G2670" i="1" s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G2683" i="1" s="1"/>
  <c r="B2684" i="1"/>
  <c r="B2685" i="1"/>
  <c r="G2685" i="1" s="1"/>
  <c r="B2686" i="1"/>
  <c r="G2686" i="1" s="1"/>
  <c r="B2687" i="1"/>
  <c r="B2688" i="1"/>
  <c r="B2689" i="1"/>
  <c r="B2690" i="1"/>
  <c r="B2691" i="1"/>
  <c r="G2691" i="1" s="1"/>
  <c r="B2692" i="1"/>
  <c r="B2693" i="1"/>
  <c r="B2694" i="1"/>
  <c r="B2695" i="1"/>
  <c r="B2696" i="1"/>
  <c r="B2697" i="1"/>
  <c r="B2698" i="1"/>
  <c r="B2699" i="1"/>
  <c r="B2700" i="1"/>
  <c r="B2701" i="1"/>
  <c r="B2702" i="1"/>
  <c r="G2702" i="1" s="1"/>
  <c r="B2703" i="1"/>
  <c r="B2704" i="1"/>
  <c r="B2705" i="1"/>
  <c r="B2706" i="1"/>
  <c r="G2706" i="1" s="1"/>
  <c r="B2707" i="1"/>
  <c r="G2707" i="1" s="1"/>
  <c r="B2708" i="1"/>
  <c r="B2709" i="1"/>
  <c r="B2710" i="1"/>
  <c r="G2710" i="1" s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G2723" i="1" s="1"/>
  <c r="B2724" i="1"/>
  <c r="B2725" i="1"/>
  <c r="G2725" i="1" s="1"/>
  <c r="B2726" i="1"/>
  <c r="G2726" i="1" s="1"/>
  <c r="B2727" i="1"/>
  <c r="B2728" i="1"/>
  <c r="B2729" i="1"/>
  <c r="B2730" i="1"/>
  <c r="G2730" i="1" s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G2742" i="1" s="1"/>
  <c r="B2743" i="1"/>
  <c r="B2744" i="1"/>
  <c r="G2744" i="1" s="1"/>
  <c r="B2745" i="1"/>
  <c r="G2745" i="1" s="1"/>
  <c r="B2746" i="1"/>
  <c r="B2747" i="1"/>
  <c r="B2748" i="1"/>
  <c r="B2749" i="1"/>
  <c r="G2749" i="1" s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G2761" i="1" s="1"/>
  <c r="B2762" i="1"/>
  <c r="B2763" i="1"/>
  <c r="G2763" i="1" s="1"/>
  <c r="B2764" i="1"/>
  <c r="G2764" i="1" s="1"/>
  <c r="B2765" i="1"/>
  <c r="B2766" i="1"/>
  <c r="B2767" i="1"/>
  <c r="B2768" i="1"/>
  <c r="B2769" i="1"/>
  <c r="B2770" i="1"/>
  <c r="G2770" i="1" s="1"/>
  <c r="B2771" i="1"/>
  <c r="B2772" i="1"/>
  <c r="B2773" i="1"/>
  <c r="B2774" i="1"/>
  <c r="B2775" i="1"/>
  <c r="B2776" i="1"/>
  <c r="B2777" i="1"/>
  <c r="B2778" i="1"/>
  <c r="B2779" i="1"/>
  <c r="B2780" i="1"/>
  <c r="G2780" i="1" s="1"/>
  <c r="B2781" i="1"/>
  <c r="B2782" i="1"/>
  <c r="G2782" i="1" s="1"/>
  <c r="B2783" i="1"/>
  <c r="B2784" i="1"/>
  <c r="B2785" i="1"/>
  <c r="B2786" i="1"/>
  <c r="G2786" i="1" s="1"/>
  <c r="B2787" i="1"/>
  <c r="B2788" i="1"/>
  <c r="B2789" i="1"/>
  <c r="G2789" i="1" s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G2804" i="1" s="1"/>
  <c r="B2805" i="1"/>
  <c r="G2805" i="1" s="1"/>
  <c r="B2806" i="1"/>
  <c r="B2807" i="1"/>
  <c r="B2808" i="1"/>
  <c r="G2808" i="1" s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G2820" i="1" s="1"/>
  <c r="B2821" i="1"/>
  <c r="B2822" i="1"/>
  <c r="B2823" i="1"/>
  <c r="G2823" i="1" s="1"/>
  <c r="B2824" i="1"/>
  <c r="G2824" i="1" s="1"/>
  <c r="B2825" i="1"/>
  <c r="B2826" i="1"/>
  <c r="B2827" i="1"/>
  <c r="G2827" i="1" s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G2840" i="1" s="1"/>
  <c r="B2841" i="1"/>
  <c r="B2842" i="1"/>
  <c r="G2842" i="1" s="1"/>
  <c r="B2843" i="1"/>
  <c r="G2843" i="1" s="1"/>
  <c r="B2844" i="1"/>
  <c r="B2845" i="1"/>
  <c r="B2846" i="1"/>
  <c r="G2846" i="1" s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G2859" i="1" s="1"/>
  <c r="B2860" i="1"/>
  <c r="B2861" i="1"/>
  <c r="G2861" i="1" s="1"/>
  <c r="B2862" i="1"/>
  <c r="G2862" i="1" s="1"/>
  <c r="B2863" i="1"/>
  <c r="B2864" i="1"/>
  <c r="B2865" i="1"/>
  <c r="B2866" i="1"/>
  <c r="B2867" i="1"/>
  <c r="G2867" i="1" s="1"/>
  <c r="B2868" i="1"/>
  <c r="B2869" i="1"/>
  <c r="B2870" i="1"/>
  <c r="B2871" i="1"/>
  <c r="B2872" i="1"/>
  <c r="B2873" i="1"/>
  <c r="B2874" i="1"/>
  <c r="B2875" i="1"/>
  <c r="B2876" i="1"/>
  <c r="B2877" i="1"/>
  <c r="B2878" i="1"/>
  <c r="G2878" i="1" s="1"/>
  <c r="B2879" i="1"/>
  <c r="B2880" i="1"/>
  <c r="B2881" i="1"/>
  <c r="B2882" i="1"/>
  <c r="G2882" i="1" s="1"/>
  <c r="B2883" i="1"/>
  <c r="G2883" i="1" s="1"/>
  <c r="B2884" i="1"/>
  <c r="B2885" i="1"/>
  <c r="B2886" i="1"/>
  <c r="G2886" i="1" s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G2899" i="1" s="1"/>
  <c r="B2900" i="1"/>
  <c r="B2901" i="1"/>
  <c r="G2901" i="1" s="1"/>
  <c r="B2902" i="1"/>
  <c r="G2902" i="1" s="1"/>
  <c r="B2903" i="1"/>
  <c r="B2904" i="1"/>
  <c r="B2905" i="1"/>
  <c r="G2905" i="1" s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G2918" i="1" s="1"/>
  <c r="B2919" i="1"/>
  <c r="B2920" i="1"/>
  <c r="G2920" i="1" s="1"/>
  <c r="B2921" i="1"/>
  <c r="G2921" i="1" s="1"/>
  <c r="B2922" i="1"/>
  <c r="B2923" i="1"/>
  <c r="B2924" i="1"/>
  <c r="G2924" i="1" s="1"/>
  <c r="B2925" i="1"/>
  <c r="B2926" i="1"/>
  <c r="B2927" i="1"/>
  <c r="B2928" i="1"/>
  <c r="B2929" i="1"/>
  <c r="B2930" i="1"/>
  <c r="B2931" i="1"/>
  <c r="B2932" i="1"/>
  <c r="G2932" i="1" s="1"/>
  <c r="B2933" i="1"/>
  <c r="B2934" i="1"/>
  <c r="B2935" i="1"/>
  <c r="G2935" i="1" s="1"/>
  <c r="B2936" i="1"/>
  <c r="B2937" i="1"/>
  <c r="G2937" i="1" s="1"/>
  <c r="B2938" i="1"/>
  <c r="G2938" i="1" s="1"/>
  <c r="B2939" i="1"/>
  <c r="B2940" i="1"/>
  <c r="B2941" i="1"/>
  <c r="G2941" i="1" s="1"/>
  <c r="B2942" i="1"/>
  <c r="B2943" i="1"/>
  <c r="B2944" i="1"/>
  <c r="B2945" i="1"/>
  <c r="B2946" i="1"/>
  <c r="B2947" i="1"/>
  <c r="B2948" i="1"/>
  <c r="G2948" i="1" s="1"/>
  <c r="B2949" i="1"/>
  <c r="G2949" i="1" s="1"/>
  <c r="B2950" i="1"/>
  <c r="B2951" i="1"/>
  <c r="B2952" i="1"/>
  <c r="G2952" i="1" s="1"/>
  <c r="B2953" i="1"/>
  <c r="B2954" i="1"/>
  <c r="G2954" i="1" s="1"/>
  <c r="B2955" i="1"/>
  <c r="G2955" i="1" s="1"/>
  <c r="B2956" i="1"/>
  <c r="B2957" i="1"/>
  <c r="B2958" i="1"/>
  <c r="G2958" i="1" s="1"/>
  <c r="B2959" i="1"/>
  <c r="B2960" i="1"/>
  <c r="B2961" i="1"/>
  <c r="B2962" i="1"/>
  <c r="B2963" i="1"/>
  <c r="B2964" i="1"/>
  <c r="B2965" i="1"/>
  <c r="G2965" i="1" s="1"/>
  <c r="B2966" i="1"/>
  <c r="G2966" i="1" s="1"/>
  <c r="B2967" i="1"/>
  <c r="B2968" i="1"/>
  <c r="B2969" i="1"/>
  <c r="G2969" i="1" s="1"/>
  <c r="B2970" i="1"/>
  <c r="B2971" i="1"/>
  <c r="G2971" i="1" s="1"/>
  <c r="B2972" i="1"/>
  <c r="G2972" i="1" s="1"/>
  <c r="B2973" i="1"/>
  <c r="B2974" i="1"/>
  <c r="B2975" i="1"/>
  <c r="G2975" i="1" s="1"/>
  <c r="B2976" i="1"/>
  <c r="B2977" i="1"/>
  <c r="B2978" i="1"/>
  <c r="B2979" i="1"/>
  <c r="B2980" i="1"/>
  <c r="B2981" i="1"/>
  <c r="B2982" i="1"/>
  <c r="G2982" i="1" s="1"/>
  <c r="B2983" i="1"/>
  <c r="G2983" i="1" s="1"/>
  <c r="B2984" i="1"/>
  <c r="B2985" i="1"/>
  <c r="B2986" i="1"/>
  <c r="G2986" i="1" s="1"/>
  <c r="B2987" i="1"/>
  <c r="B2988" i="1"/>
  <c r="G2988" i="1" s="1"/>
  <c r="B2989" i="1"/>
  <c r="G2989" i="1" s="1"/>
  <c r="B2990" i="1"/>
  <c r="B2991" i="1"/>
  <c r="B2992" i="1"/>
  <c r="G2992" i="1" s="1"/>
  <c r="B2993" i="1"/>
  <c r="B2994" i="1"/>
  <c r="B2995" i="1"/>
  <c r="B2996" i="1"/>
  <c r="B2997" i="1"/>
  <c r="B2998" i="1"/>
  <c r="B2999" i="1"/>
  <c r="G2999" i="1" s="1"/>
  <c r="B3000" i="1"/>
  <c r="G3000" i="1" s="1"/>
  <c r="B3001" i="1"/>
  <c r="B3002" i="1"/>
  <c r="B3003" i="1"/>
  <c r="G3003" i="1" s="1"/>
  <c r="B3004" i="1"/>
  <c r="B3005" i="1"/>
  <c r="G3005" i="1" s="1"/>
  <c r="B3006" i="1"/>
  <c r="G3006" i="1" s="1"/>
  <c r="B3007" i="1"/>
  <c r="B3008" i="1"/>
  <c r="B3009" i="1"/>
  <c r="B3010" i="1"/>
  <c r="G3010" i="1" s="1"/>
  <c r="B3011" i="1"/>
  <c r="B3012" i="1"/>
  <c r="B3013" i="1"/>
  <c r="B3014" i="1"/>
  <c r="B3015" i="1"/>
  <c r="B3016" i="1"/>
  <c r="G3016" i="1" s="1"/>
  <c r="B3017" i="1"/>
  <c r="G3017" i="1" s="1"/>
  <c r="B3018" i="1"/>
  <c r="B3019" i="1"/>
  <c r="B3020" i="1"/>
  <c r="G3020" i="1" s="1"/>
  <c r="B3021" i="1"/>
  <c r="B3022" i="1"/>
  <c r="G3022" i="1" s="1"/>
  <c r="B3023" i="1"/>
  <c r="G3023" i="1" s="1"/>
  <c r="B3024" i="1"/>
  <c r="B3025" i="1"/>
  <c r="B3026" i="1"/>
  <c r="B3027" i="1"/>
  <c r="G3027" i="1" s="1"/>
  <c r="B3028" i="1"/>
  <c r="B3029" i="1"/>
  <c r="B3030" i="1"/>
  <c r="B3031" i="1"/>
  <c r="B3032" i="1"/>
  <c r="B3033" i="1"/>
  <c r="G3033" i="1" s="1"/>
  <c r="B3034" i="1"/>
  <c r="G3034" i="1" s="1"/>
  <c r="B3035" i="1"/>
  <c r="B3036" i="1"/>
  <c r="B3037" i="1"/>
  <c r="G3037" i="1" s="1"/>
  <c r="B3038" i="1"/>
  <c r="B3039" i="1"/>
  <c r="G3039" i="1" s="1"/>
  <c r="B3040" i="1"/>
  <c r="G3040" i="1" s="1"/>
  <c r="B3041" i="1"/>
  <c r="B3042" i="1"/>
  <c r="B3043" i="1"/>
  <c r="B3044" i="1"/>
  <c r="G3044" i="1" s="1"/>
  <c r="B3045" i="1"/>
  <c r="B3046" i="1"/>
  <c r="B3047" i="1"/>
  <c r="B3048" i="1"/>
  <c r="B3049" i="1"/>
  <c r="B3050" i="1"/>
  <c r="G3050" i="1" s="1"/>
  <c r="B3051" i="1"/>
  <c r="G3051" i="1" s="1"/>
  <c r="B3052" i="1"/>
  <c r="B3053" i="1"/>
  <c r="B3054" i="1"/>
  <c r="G3054" i="1" s="1"/>
  <c r="B3055" i="1"/>
  <c r="B3056" i="1"/>
  <c r="G3056" i="1" s="1"/>
  <c r="B3057" i="1"/>
  <c r="B3058" i="1"/>
  <c r="G3058" i="1" s="1"/>
  <c r="B3059" i="1"/>
  <c r="B3060" i="1"/>
  <c r="B3061" i="1"/>
  <c r="G3061" i="1" s="1"/>
  <c r="B3062" i="1"/>
  <c r="B3063" i="1"/>
  <c r="B3064" i="1"/>
  <c r="B3065" i="1"/>
  <c r="B3066" i="1"/>
  <c r="B3067" i="1"/>
  <c r="G3067" i="1" s="1"/>
  <c r="B3068" i="1"/>
  <c r="G3068" i="1" s="1"/>
  <c r="B3069" i="1"/>
  <c r="B3070" i="1"/>
  <c r="B3071" i="1"/>
  <c r="G3071" i="1" s="1"/>
  <c r="B3072" i="1"/>
  <c r="B3073" i="1"/>
  <c r="B3074" i="1"/>
  <c r="G3074" i="1" s="1"/>
  <c r="B3075" i="1"/>
  <c r="G3075" i="1" s="1"/>
  <c r="B3076" i="1"/>
  <c r="B3077" i="1"/>
  <c r="B3078" i="1"/>
  <c r="G3078" i="1" s="1"/>
  <c r="B3079" i="1"/>
  <c r="B3080" i="1"/>
  <c r="B3081" i="1"/>
  <c r="B3082" i="1"/>
  <c r="B3083" i="1"/>
  <c r="B3084" i="1"/>
  <c r="G3084" i="1" s="1"/>
  <c r="B3085" i="1"/>
  <c r="G3085" i="1" s="1"/>
  <c r="B3086" i="1"/>
  <c r="B3087" i="1"/>
  <c r="B3088" i="1"/>
  <c r="G3088" i="1" s="1"/>
  <c r="B3089" i="1"/>
  <c r="B3090" i="1"/>
  <c r="B3091" i="1"/>
  <c r="G3091" i="1" s="1"/>
  <c r="B3092" i="1"/>
  <c r="G3092" i="1" s="1"/>
  <c r="B3093" i="1"/>
  <c r="B3094" i="1"/>
  <c r="B3095" i="1"/>
  <c r="G3095" i="1" s="1"/>
  <c r="B3096" i="1"/>
  <c r="B3097" i="1"/>
  <c r="B3098" i="1"/>
  <c r="B3099" i="1"/>
  <c r="B3100" i="1"/>
  <c r="B3101" i="1"/>
  <c r="G3101" i="1" s="1"/>
  <c r="B3102" i="1"/>
  <c r="G3102" i="1" s="1"/>
  <c r="B3103" i="1"/>
  <c r="B3104" i="1"/>
  <c r="B3105" i="1"/>
  <c r="B3106" i="1"/>
  <c r="B3107" i="1"/>
  <c r="G3107" i="1" s="1"/>
  <c r="B3108" i="1"/>
  <c r="G3108" i="1" s="1"/>
  <c r="B3109" i="1"/>
  <c r="B3110" i="1"/>
  <c r="B3111" i="1"/>
  <c r="G3111" i="1" s="1"/>
  <c r="B3112" i="1"/>
  <c r="B3113" i="1"/>
  <c r="B3114" i="1"/>
  <c r="B3115" i="1"/>
  <c r="B3116" i="1"/>
  <c r="B3117" i="1"/>
  <c r="G3117" i="1" s="1"/>
  <c r="B3118" i="1"/>
  <c r="G3118" i="1" s="1"/>
  <c r="B3119" i="1"/>
  <c r="B3120" i="1"/>
  <c r="B3121" i="1"/>
  <c r="B3122" i="1"/>
  <c r="B3123" i="1"/>
  <c r="G3123" i="1" s="1"/>
  <c r="B3124" i="1"/>
  <c r="G3124" i="1" s="1"/>
  <c r="B3125" i="1"/>
  <c r="B3126" i="1"/>
  <c r="B3127" i="1"/>
  <c r="G3127" i="1" s="1"/>
  <c r="B3128" i="1"/>
  <c r="B3129" i="1"/>
  <c r="B3130" i="1"/>
  <c r="B3131" i="1"/>
  <c r="B3132" i="1"/>
  <c r="B3133" i="1"/>
  <c r="G3133" i="1" s="1"/>
  <c r="B3134" i="1"/>
  <c r="G3134" i="1" s="1"/>
  <c r="B3135" i="1"/>
  <c r="B3136" i="1"/>
  <c r="B3137" i="1"/>
  <c r="B3138" i="1"/>
  <c r="B3139" i="1"/>
  <c r="G3139" i="1" s="1"/>
  <c r="B3140" i="1"/>
  <c r="G3140" i="1" s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2" i="1"/>
  <c r="G1139" i="1" l="1"/>
  <c r="F1139" i="1"/>
  <c r="G947" i="1"/>
  <c r="F947" i="1"/>
  <c r="G787" i="1"/>
  <c r="F787" i="1"/>
  <c r="G595" i="1"/>
  <c r="F595" i="1"/>
  <c r="G355" i="1"/>
  <c r="F355" i="1"/>
  <c r="G131" i="1"/>
  <c r="F131" i="1"/>
  <c r="G3041" i="1"/>
  <c r="F3041" i="1"/>
  <c r="G2817" i="1"/>
  <c r="F2817" i="1"/>
  <c r="G2641" i="1"/>
  <c r="F2641" i="1"/>
  <c r="G2449" i="1"/>
  <c r="F2449" i="1"/>
  <c r="G2209" i="1"/>
  <c r="F2209" i="1"/>
  <c r="G2033" i="1"/>
  <c r="F2033" i="1"/>
  <c r="G1921" i="1"/>
  <c r="F1921" i="1"/>
  <c r="G1697" i="1"/>
  <c r="F1697" i="1"/>
  <c r="G1505" i="1"/>
  <c r="F1505" i="1"/>
  <c r="G1313" i="1"/>
  <c r="F1313" i="1"/>
  <c r="G1118" i="1"/>
  <c r="F1118" i="1"/>
  <c r="G1283" i="1"/>
  <c r="F1283" i="1"/>
  <c r="G1091" i="1"/>
  <c r="F1091" i="1"/>
  <c r="G883" i="1"/>
  <c r="F883" i="1"/>
  <c r="G675" i="1"/>
  <c r="F675" i="1"/>
  <c r="G515" i="1"/>
  <c r="F515" i="1"/>
  <c r="G339" i="1"/>
  <c r="F339" i="1"/>
  <c r="G195" i="1"/>
  <c r="F195" i="1"/>
  <c r="G3137" i="1"/>
  <c r="F3137" i="1"/>
  <c r="G2929" i="1"/>
  <c r="F2929" i="1"/>
  <c r="G2753" i="1"/>
  <c r="F2753" i="1"/>
  <c r="G2545" i="1"/>
  <c r="F2545" i="1"/>
  <c r="G2289" i="1"/>
  <c r="F2289" i="1"/>
  <c r="G1825" i="1"/>
  <c r="F1825" i="1"/>
  <c r="G1665" i="1"/>
  <c r="F1665" i="1"/>
  <c r="G1521" i="1"/>
  <c r="F1521" i="1"/>
  <c r="G1393" i="1"/>
  <c r="F1393" i="1"/>
  <c r="G3" i="1"/>
  <c r="F3" i="1"/>
  <c r="G1251" i="1"/>
  <c r="F1251" i="1"/>
  <c r="G1107" i="1"/>
  <c r="F1107" i="1"/>
  <c r="G931" i="1"/>
  <c r="F931" i="1"/>
  <c r="G771" i="1"/>
  <c r="F771" i="1"/>
  <c r="G611" i="1"/>
  <c r="F611" i="1"/>
  <c r="G435" i="1"/>
  <c r="F435" i="1"/>
  <c r="G211" i="1"/>
  <c r="F211" i="1"/>
  <c r="G51" i="1"/>
  <c r="F51" i="1"/>
  <c r="G2945" i="1"/>
  <c r="F2945" i="1"/>
  <c r="G2609" i="1"/>
  <c r="F2609" i="1"/>
  <c r="G2417" i="1"/>
  <c r="F2417" i="1"/>
  <c r="G2129" i="1"/>
  <c r="F2129" i="1"/>
  <c r="G1777" i="1"/>
  <c r="F1777" i="1"/>
  <c r="G1585" i="1"/>
  <c r="F1585" i="1"/>
  <c r="G1425" i="1"/>
  <c r="F1425" i="1"/>
  <c r="G1235" i="1"/>
  <c r="F1235" i="1"/>
  <c r="G1075" i="1"/>
  <c r="F1075" i="1"/>
  <c r="G915" i="1"/>
  <c r="F915" i="1"/>
  <c r="G803" i="1"/>
  <c r="F803" i="1"/>
  <c r="G627" i="1"/>
  <c r="F627" i="1"/>
  <c r="G387" i="1"/>
  <c r="F387" i="1"/>
  <c r="G243" i="1"/>
  <c r="F243" i="1"/>
  <c r="G35" i="1"/>
  <c r="F35" i="1"/>
  <c r="G2961" i="1"/>
  <c r="F2961" i="1"/>
  <c r="G2785" i="1"/>
  <c r="F2785" i="1"/>
  <c r="G2625" i="1"/>
  <c r="F2625" i="1"/>
  <c r="G2465" i="1"/>
  <c r="F2465" i="1"/>
  <c r="G2145" i="1"/>
  <c r="F2145" i="1"/>
  <c r="G2017" i="1"/>
  <c r="F2017" i="1"/>
  <c r="G1905" i="1"/>
  <c r="F1905" i="1"/>
  <c r="G1745" i="1"/>
  <c r="F1745" i="1"/>
  <c r="G1569" i="1"/>
  <c r="F1569" i="1"/>
  <c r="G1441" i="1"/>
  <c r="F1441" i="1"/>
  <c r="G1171" i="1"/>
  <c r="F1171" i="1"/>
  <c r="G963" i="1"/>
  <c r="F963" i="1"/>
  <c r="G755" i="1"/>
  <c r="F755" i="1"/>
  <c r="G579" i="1"/>
  <c r="F579" i="1"/>
  <c r="G371" i="1"/>
  <c r="F371" i="1"/>
  <c r="G179" i="1"/>
  <c r="F179" i="1"/>
  <c r="G3105" i="1"/>
  <c r="F3105" i="1"/>
  <c r="G2881" i="1"/>
  <c r="F2881" i="1"/>
  <c r="G2689" i="1"/>
  <c r="F2689" i="1"/>
  <c r="G2513" i="1"/>
  <c r="F2513" i="1"/>
  <c r="G2321" i="1"/>
  <c r="F2321" i="1"/>
  <c r="G2161" i="1"/>
  <c r="F2161" i="1"/>
  <c r="G2001" i="1"/>
  <c r="F2001" i="1"/>
  <c r="G1809" i="1"/>
  <c r="F1809" i="1"/>
  <c r="G1617" i="1"/>
  <c r="F1617" i="1"/>
  <c r="G1409" i="1"/>
  <c r="F1409" i="1"/>
  <c r="G1203" i="1"/>
  <c r="F1203" i="1"/>
  <c r="G1059" i="1"/>
  <c r="F1059" i="1"/>
  <c r="G899" i="1"/>
  <c r="F899" i="1"/>
  <c r="G659" i="1"/>
  <c r="F659" i="1"/>
  <c r="G499" i="1"/>
  <c r="F499" i="1"/>
  <c r="G323" i="1"/>
  <c r="F323" i="1"/>
  <c r="G147" i="1"/>
  <c r="F147" i="1"/>
  <c r="G19" i="1"/>
  <c r="F19" i="1"/>
  <c r="G2977" i="1"/>
  <c r="F2977" i="1"/>
  <c r="G2801" i="1"/>
  <c r="F2801" i="1"/>
  <c r="G2657" i="1"/>
  <c r="F2657" i="1"/>
  <c r="G2481" i="1"/>
  <c r="F2481" i="1"/>
  <c r="G2337" i="1"/>
  <c r="F2337" i="1"/>
  <c r="G2177" i="1"/>
  <c r="F2177" i="1"/>
  <c r="G1793" i="1"/>
  <c r="F1793" i="1"/>
  <c r="G1649" i="1"/>
  <c r="F1649" i="1"/>
  <c r="G1457" i="1"/>
  <c r="F1457" i="1"/>
  <c r="G1219" i="1"/>
  <c r="F1219" i="1"/>
  <c r="G1043" i="1"/>
  <c r="F1043" i="1"/>
  <c r="G867" i="1"/>
  <c r="F867" i="1"/>
  <c r="G691" i="1"/>
  <c r="F691" i="1"/>
  <c r="G467" i="1"/>
  <c r="F467" i="1"/>
  <c r="G291" i="1"/>
  <c r="F291" i="1"/>
  <c r="G99" i="1"/>
  <c r="F99" i="1"/>
  <c r="G3089" i="1"/>
  <c r="F3089" i="1"/>
  <c r="G2897" i="1"/>
  <c r="F2897" i="1"/>
  <c r="G2737" i="1"/>
  <c r="F2737" i="1"/>
  <c r="G2561" i="1"/>
  <c r="F2561" i="1"/>
  <c r="G2369" i="1"/>
  <c r="F2369" i="1"/>
  <c r="G2225" i="1"/>
  <c r="F2225" i="1"/>
  <c r="G2081" i="1"/>
  <c r="F2081" i="1"/>
  <c r="G1937" i="1"/>
  <c r="F1937" i="1"/>
  <c r="G1761" i="1"/>
  <c r="F1761" i="1"/>
  <c r="G1601" i="1"/>
  <c r="F1601" i="1"/>
  <c r="G1473" i="1"/>
  <c r="F1473" i="1"/>
  <c r="G1267" i="1"/>
  <c r="F1267" i="1"/>
  <c r="G1027" i="1"/>
  <c r="F1027" i="1"/>
  <c r="G707" i="1"/>
  <c r="F707" i="1"/>
  <c r="G451" i="1"/>
  <c r="F451" i="1"/>
  <c r="G163" i="1"/>
  <c r="F163" i="1"/>
  <c r="G3073" i="1"/>
  <c r="F3073" i="1"/>
  <c r="G2833" i="1"/>
  <c r="F2833" i="1"/>
  <c r="G2593" i="1"/>
  <c r="F2593" i="1"/>
  <c r="G2433" i="1"/>
  <c r="F2433" i="1"/>
  <c r="G2257" i="1"/>
  <c r="F2257" i="1"/>
  <c r="G2049" i="1"/>
  <c r="F2049" i="1"/>
  <c r="G1857" i="1"/>
  <c r="F1857" i="1"/>
  <c r="G1633" i="1"/>
  <c r="F1633" i="1"/>
  <c r="G1329" i="1"/>
  <c r="F1329" i="1"/>
  <c r="G1155" i="1"/>
  <c r="F1155" i="1"/>
  <c r="G995" i="1"/>
  <c r="F995" i="1"/>
  <c r="G851" i="1"/>
  <c r="F851" i="1"/>
  <c r="G739" i="1"/>
  <c r="F739" i="1"/>
  <c r="G563" i="1"/>
  <c r="F563" i="1"/>
  <c r="G403" i="1"/>
  <c r="F403" i="1"/>
  <c r="G275" i="1"/>
  <c r="F275" i="1"/>
  <c r="G83" i="1"/>
  <c r="F83" i="1"/>
  <c r="G3009" i="1"/>
  <c r="F3009" i="1"/>
  <c r="G2865" i="1"/>
  <c r="F2865" i="1"/>
  <c r="G2673" i="1"/>
  <c r="F2673" i="1"/>
  <c r="G2529" i="1"/>
  <c r="F2529" i="1"/>
  <c r="G2401" i="1"/>
  <c r="F2401" i="1"/>
  <c r="G2273" i="1"/>
  <c r="F2273" i="1"/>
  <c r="G2097" i="1"/>
  <c r="F2097" i="1"/>
  <c r="G1969" i="1"/>
  <c r="F1969" i="1"/>
  <c r="G1873" i="1"/>
  <c r="F1873" i="1"/>
  <c r="G1729" i="1"/>
  <c r="F1729" i="1"/>
  <c r="G1553" i="1"/>
  <c r="F1553" i="1"/>
  <c r="G1377" i="1"/>
  <c r="F1377" i="1"/>
  <c r="G1278" i="1"/>
  <c r="F1278" i="1"/>
  <c r="G1246" i="1"/>
  <c r="F1246" i="1"/>
  <c r="G1166" i="1"/>
  <c r="F1166" i="1"/>
  <c r="G1070" i="1"/>
  <c r="F1070" i="1"/>
  <c r="G974" i="1"/>
  <c r="F974" i="1"/>
  <c r="G1299" i="1"/>
  <c r="F1299" i="1"/>
  <c r="G1123" i="1"/>
  <c r="F1123" i="1"/>
  <c r="G979" i="1"/>
  <c r="F979" i="1"/>
  <c r="G835" i="1"/>
  <c r="F835" i="1"/>
  <c r="G723" i="1"/>
  <c r="F723" i="1"/>
  <c r="G547" i="1"/>
  <c r="F547" i="1"/>
  <c r="G419" i="1"/>
  <c r="F419" i="1"/>
  <c r="G259" i="1"/>
  <c r="F259" i="1"/>
  <c r="G67" i="1"/>
  <c r="F67" i="1"/>
  <c r="G2993" i="1"/>
  <c r="F2993" i="1"/>
  <c r="G2849" i="1"/>
  <c r="F2849" i="1"/>
  <c r="G2721" i="1"/>
  <c r="F2721" i="1"/>
  <c r="G2497" i="1"/>
  <c r="F2497" i="1"/>
  <c r="G2353" i="1"/>
  <c r="F2353" i="1"/>
  <c r="G2241" i="1"/>
  <c r="F2241" i="1"/>
  <c r="G2113" i="1"/>
  <c r="F2113" i="1"/>
  <c r="G1985" i="1"/>
  <c r="F1985" i="1"/>
  <c r="G1889" i="1"/>
  <c r="F1889" i="1"/>
  <c r="G1713" i="1"/>
  <c r="F1713" i="1"/>
  <c r="G1537" i="1"/>
  <c r="F1537" i="1"/>
  <c r="G1345" i="1"/>
  <c r="F1345" i="1"/>
  <c r="G1262" i="1"/>
  <c r="F1262" i="1"/>
  <c r="G1182" i="1"/>
  <c r="F1182" i="1"/>
  <c r="G1102" i="1"/>
  <c r="F1102" i="1"/>
  <c r="G1054" i="1"/>
  <c r="F1054" i="1"/>
  <c r="G990" i="1"/>
  <c r="F990" i="1"/>
  <c r="G1187" i="1"/>
  <c r="F1187" i="1"/>
  <c r="G1011" i="1"/>
  <c r="F1011" i="1"/>
  <c r="G819" i="1"/>
  <c r="F819" i="1"/>
  <c r="G531" i="1"/>
  <c r="F531" i="1"/>
  <c r="G227" i="1"/>
  <c r="F227" i="1"/>
  <c r="G3025" i="1"/>
  <c r="F3025" i="1"/>
  <c r="G2705" i="1"/>
  <c r="F2705" i="1"/>
  <c r="G2305" i="1"/>
  <c r="F2305" i="1"/>
  <c r="G1294" i="1"/>
  <c r="F1294" i="1"/>
  <c r="G1214" i="1"/>
  <c r="F1214" i="1"/>
  <c r="G1134" i="1"/>
  <c r="F1134" i="1"/>
  <c r="G1086" i="1"/>
  <c r="F1086" i="1"/>
  <c r="G1006" i="1"/>
  <c r="F1006" i="1"/>
  <c r="G3057" i="1"/>
  <c r="F3057" i="1"/>
  <c r="G1198" i="1"/>
  <c r="F1198" i="1"/>
  <c r="G1022" i="1"/>
  <c r="F1022" i="1"/>
  <c r="G643" i="1"/>
  <c r="F643" i="1"/>
  <c r="G483" i="1"/>
  <c r="F483" i="1"/>
  <c r="G307" i="1"/>
  <c r="F307" i="1"/>
  <c r="G115" i="1"/>
  <c r="F115" i="1"/>
  <c r="G3121" i="1"/>
  <c r="F3121" i="1"/>
  <c r="G2913" i="1"/>
  <c r="F2913" i="1"/>
  <c r="G2769" i="1"/>
  <c r="F2769" i="1"/>
  <c r="G2577" i="1"/>
  <c r="F2577" i="1"/>
  <c r="G2385" i="1"/>
  <c r="F2385" i="1"/>
  <c r="G2193" i="1"/>
  <c r="F2193" i="1"/>
  <c r="G2065" i="1"/>
  <c r="F2065" i="1"/>
  <c r="G1953" i="1"/>
  <c r="F1953" i="1"/>
  <c r="G1841" i="1"/>
  <c r="F1841" i="1"/>
  <c r="G1681" i="1"/>
  <c r="F1681" i="1"/>
  <c r="G1489" i="1"/>
  <c r="F1489" i="1"/>
  <c r="G1361" i="1"/>
  <c r="F1361" i="1"/>
  <c r="G1230" i="1"/>
  <c r="F1230" i="1"/>
  <c r="G1150" i="1"/>
  <c r="F1150" i="1"/>
  <c r="G1038" i="1"/>
  <c r="F1038" i="1"/>
  <c r="G1282" i="1"/>
  <c r="F1282" i="1"/>
  <c r="G1218" i="1"/>
  <c r="F1218" i="1"/>
  <c r="G1138" i="1"/>
  <c r="F1138" i="1"/>
  <c r="G1010" i="1"/>
  <c r="F1010" i="1"/>
  <c r="G770" i="1"/>
  <c r="F770" i="1"/>
  <c r="G434" i="1"/>
  <c r="F434" i="1"/>
  <c r="G370" i="1"/>
  <c r="F370" i="1"/>
  <c r="G306" i="1"/>
  <c r="F306" i="1"/>
  <c r="G242" i="1"/>
  <c r="F242" i="1"/>
  <c r="G178" i="1"/>
  <c r="F178" i="1"/>
  <c r="G114" i="1"/>
  <c r="F114" i="1"/>
  <c r="G50" i="1"/>
  <c r="F50" i="1"/>
  <c r="G3136" i="1"/>
  <c r="F3136" i="1"/>
  <c r="G2976" i="1"/>
  <c r="F2976" i="1"/>
  <c r="F2912" i="1"/>
  <c r="G2912" i="1"/>
  <c r="G2848" i="1"/>
  <c r="F2848" i="1"/>
  <c r="G2784" i="1"/>
  <c r="F2784" i="1"/>
  <c r="F2720" i="1"/>
  <c r="G2720" i="1"/>
  <c r="G2656" i="1"/>
  <c r="F2656" i="1"/>
  <c r="G2592" i="1"/>
  <c r="F2592" i="1"/>
  <c r="G2512" i="1"/>
  <c r="F2512" i="1"/>
  <c r="G2448" i="1"/>
  <c r="F2448" i="1"/>
  <c r="G2384" i="1"/>
  <c r="F2384" i="1"/>
  <c r="G2320" i="1"/>
  <c r="F2320" i="1"/>
  <c r="G2240" i="1"/>
  <c r="F2240" i="1"/>
  <c r="G2176" i="1"/>
  <c r="F2176" i="1"/>
  <c r="G2112" i="1"/>
  <c r="F2112" i="1"/>
  <c r="G2048" i="1"/>
  <c r="F2048" i="1"/>
  <c r="G1984" i="1"/>
  <c r="F1984" i="1"/>
  <c r="G1936" i="1"/>
  <c r="F1936" i="1"/>
  <c r="G1872" i="1"/>
  <c r="F1872" i="1"/>
  <c r="G1808" i="1"/>
  <c r="F1808" i="1"/>
  <c r="G1744" i="1"/>
  <c r="F1744" i="1"/>
  <c r="G1680" i="1"/>
  <c r="F1680" i="1"/>
  <c r="G1616" i="1"/>
  <c r="F1616" i="1"/>
  <c r="G1552" i="1"/>
  <c r="F1552" i="1"/>
  <c r="G1504" i="1"/>
  <c r="F1504" i="1"/>
  <c r="G1456" i="1"/>
  <c r="F1456" i="1"/>
  <c r="G1408" i="1"/>
  <c r="F1408" i="1"/>
  <c r="G1249" i="1"/>
  <c r="F1249" i="1"/>
  <c r="G1185" i="1"/>
  <c r="F1185" i="1"/>
  <c r="G1137" i="1"/>
  <c r="F1137" i="1"/>
  <c r="G1089" i="1"/>
  <c r="F1089" i="1"/>
  <c r="G1041" i="1"/>
  <c r="F1041" i="1"/>
  <c r="G993" i="1"/>
  <c r="F993" i="1"/>
  <c r="G945" i="1"/>
  <c r="F945" i="1"/>
  <c r="G897" i="1"/>
  <c r="F897" i="1"/>
  <c r="G849" i="1"/>
  <c r="F849" i="1"/>
  <c r="G801" i="1"/>
  <c r="F801" i="1"/>
  <c r="G753" i="1"/>
  <c r="F753" i="1"/>
  <c r="G705" i="1"/>
  <c r="F705" i="1"/>
  <c r="G657" i="1"/>
  <c r="F657" i="1"/>
  <c r="G625" i="1"/>
  <c r="F625" i="1"/>
  <c r="G609" i="1"/>
  <c r="F609" i="1"/>
  <c r="G577" i="1"/>
  <c r="F577" i="1"/>
  <c r="G545" i="1"/>
  <c r="F545" i="1"/>
  <c r="G513" i="1"/>
  <c r="F513" i="1"/>
  <c r="G481" i="1"/>
  <c r="F481" i="1"/>
  <c r="G449" i="1"/>
  <c r="F449" i="1"/>
  <c r="G417" i="1"/>
  <c r="F417" i="1"/>
  <c r="G385" i="1"/>
  <c r="F385" i="1"/>
  <c r="G353" i="1"/>
  <c r="F353" i="1"/>
  <c r="G321" i="1"/>
  <c r="F321" i="1"/>
  <c r="G289" i="1"/>
  <c r="F289" i="1"/>
  <c r="G257" i="1"/>
  <c r="F257" i="1"/>
  <c r="G225" i="1"/>
  <c r="F225" i="1"/>
  <c r="G193" i="1"/>
  <c r="F193" i="1"/>
  <c r="G161" i="1"/>
  <c r="F161" i="1"/>
  <c r="G129" i="1"/>
  <c r="F129" i="1"/>
  <c r="G97" i="1"/>
  <c r="F97" i="1"/>
  <c r="G65" i="1"/>
  <c r="F65" i="1"/>
  <c r="G33" i="1"/>
  <c r="F33" i="1"/>
  <c r="G3119" i="1"/>
  <c r="F3119" i="1"/>
  <c r="G2991" i="1"/>
  <c r="F2991" i="1"/>
  <c r="G2959" i="1"/>
  <c r="F2959" i="1"/>
  <c r="G2927" i="1"/>
  <c r="F2927" i="1"/>
  <c r="G2895" i="1"/>
  <c r="F2895" i="1"/>
  <c r="F2863" i="1"/>
  <c r="G2863" i="1"/>
  <c r="F2831" i="1"/>
  <c r="G2831" i="1"/>
  <c r="G2799" i="1"/>
  <c r="F2799" i="1"/>
  <c r="F2751" i="1"/>
  <c r="G2751" i="1"/>
  <c r="F2719" i="1"/>
  <c r="G2719" i="1"/>
  <c r="G2703" i="1"/>
  <c r="F2703" i="1"/>
  <c r="G2671" i="1"/>
  <c r="F2671" i="1"/>
  <c r="G2639" i="1"/>
  <c r="F2639" i="1"/>
  <c r="G2607" i="1"/>
  <c r="F2607" i="1"/>
  <c r="G2575" i="1"/>
  <c r="F2575" i="1"/>
  <c r="G2543" i="1"/>
  <c r="F2543" i="1"/>
  <c r="G2511" i="1"/>
  <c r="F2511" i="1"/>
  <c r="G2479" i="1"/>
  <c r="F2479" i="1"/>
  <c r="G2447" i="1"/>
  <c r="F2447" i="1"/>
  <c r="G2415" i="1"/>
  <c r="F2415" i="1"/>
  <c r="G2399" i="1"/>
  <c r="F2399" i="1"/>
  <c r="G2367" i="1"/>
  <c r="F2367" i="1"/>
  <c r="G2351" i="1"/>
  <c r="F2351" i="1"/>
  <c r="G2335" i="1"/>
  <c r="F2335" i="1"/>
  <c r="G2319" i="1"/>
  <c r="F2319" i="1"/>
  <c r="G2303" i="1"/>
  <c r="F2303" i="1"/>
  <c r="F2287" i="1"/>
  <c r="G2287" i="1"/>
  <c r="G2271" i="1"/>
  <c r="F2271" i="1"/>
  <c r="G2255" i="1"/>
  <c r="F2255" i="1"/>
  <c r="G2239" i="1"/>
  <c r="F2239" i="1"/>
  <c r="G2223" i="1"/>
  <c r="F2223" i="1"/>
  <c r="G2207" i="1"/>
  <c r="F2207" i="1"/>
  <c r="G2191" i="1"/>
  <c r="F2191" i="1"/>
  <c r="G2175" i="1"/>
  <c r="F2175" i="1"/>
  <c r="G2143" i="1"/>
  <c r="F2143" i="1"/>
  <c r="G2127" i="1"/>
  <c r="F2127" i="1"/>
  <c r="G2111" i="1"/>
  <c r="F2111" i="1"/>
  <c r="G2095" i="1"/>
  <c r="F2095" i="1"/>
  <c r="G2079" i="1"/>
  <c r="F2079" i="1"/>
  <c r="G2063" i="1"/>
  <c r="F2063" i="1"/>
  <c r="G2047" i="1"/>
  <c r="F2047" i="1"/>
  <c r="G2031" i="1"/>
  <c r="F2031" i="1"/>
  <c r="G2015" i="1"/>
  <c r="F2015" i="1"/>
  <c r="G1999" i="1"/>
  <c r="F1999" i="1"/>
  <c r="G1983" i="1"/>
  <c r="F1983" i="1"/>
  <c r="G1967" i="1"/>
  <c r="F1967" i="1"/>
  <c r="G1951" i="1"/>
  <c r="F1951" i="1"/>
  <c r="G1935" i="1"/>
  <c r="F1935" i="1"/>
  <c r="G1919" i="1"/>
  <c r="F1919" i="1"/>
  <c r="G1903" i="1"/>
  <c r="F1903" i="1"/>
  <c r="G1887" i="1"/>
  <c r="F1887" i="1"/>
  <c r="G1871" i="1"/>
  <c r="F1871" i="1"/>
  <c r="F1855" i="1"/>
  <c r="G1855" i="1"/>
  <c r="G1839" i="1"/>
  <c r="F1839" i="1"/>
  <c r="G1823" i="1"/>
  <c r="F1823" i="1"/>
  <c r="G1807" i="1"/>
  <c r="F1807" i="1"/>
  <c r="G1791" i="1"/>
  <c r="F1791" i="1"/>
  <c r="F1775" i="1"/>
  <c r="G1775" i="1"/>
  <c r="F1759" i="1"/>
  <c r="G1759" i="1"/>
  <c r="G1743" i="1"/>
  <c r="F1743" i="1"/>
  <c r="G1727" i="1"/>
  <c r="F1727" i="1"/>
  <c r="G1711" i="1"/>
  <c r="F1711" i="1"/>
  <c r="G1695" i="1"/>
  <c r="F1695" i="1"/>
  <c r="G1679" i="1"/>
  <c r="F1679" i="1"/>
  <c r="G1663" i="1"/>
  <c r="F1663" i="1"/>
  <c r="G1647" i="1"/>
  <c r="F1647" i="1"/>
  <c r="G1631" i="1"/>
  <c r="F1631" i="1"/>
  <c r="G1615" i="1"/>
  <c r="F1615" i="1"/>
  <c r="G1599" i="1"/>
  <c r="F1599" i="1"/>
  <c r="G1583" i="1"/>
  <c r="F1583" i="1"/>
  <c r="F1567" i="1"/>
  <c r="G1567" i="1"/>
  <c r="G1551" i="1"/>
  <c r="F1551" i="1"/>
  <c r="G1535" i="1"/>
  <c r="F1535" i="1"/>
  <c r="G1519" i="1"/>
  <c r="F1519" i="1"/>
  <c r="G1503" i="1"/>
  <c r="F1503" i="1"/>
  <c r="G1487" i="1"/>
  <c r="F1487" i="1"/>
  <c r="F1471" i="1"/>
  <c r="G1471" i="1"/>
  <c r="G1455" i="1"/>
  <c r="F1455" i="1"/>
  <c r="G1439" i="1"/>
  <c r="F1439" i="1"/>
  <c r="G1423" i="1"/>
  <c r="F1423" i="1"/>
  <c r="G1407" i="1"/>
  <c r="F1407" i="1"/>
  <c r="G1391" i="1"/>
  <c r="F1391" i="1"/>
  <c r="G1375" i="1"/>
  <c r="F1375" i="1"/>
  <c r="F1359" i="1"/>
  <c r="G1359" i="1"/>
  <c r="G1343" i="1"/>
  <c r="F1343" i="1"/>
  <c r="G1327" i="1"/>
  <c r="F1327" i="1"/>
  <c r="G1311" i="1"/>
  <c r="F1311" i="1"/>
  <c r="F3075" i="1"/>
  <c r="F3033" i="1"/>
  <c r="F2986" i="1"/>
  <c r="F2938" i="1"/>
  <c r="F2867" i="1"/>
  <c r="F2789" i="1"/>
  <c r="F2710" i="1"/>
  <c r="F2632" i="1"/>
  <c r="F2553" i="1"/>
  <c r="F2470" i="1"/>
  <c r="F2379" i="1"/>
  <c r="G1250" i="1"/>
  <c r="F1250" i="1"/>
  <c r="G1186" i="1"/>
  <c r="F1186" i="1"/>
  <c r="G1122" i="1"/>
  <c r="F1122" i="1"/>
  <c r="G1074" i="1"/>
  <c r="F1074" i="1"/>
  <c r="G1026" i="1"/>
  <c r="F1026" i="1"/>
  <c r="G962" i="1"/>
  <c r="F962" i="1"/>
  <c r="G914" i="1"/>
  <c r="F914" i="1"/>
  <c r="G866" i="1"/>
  <c r="F866" i="1"/>
  <c r="G818" i="1"/>
  <c r="F818" i="1"/>
  <c r="G754" i="1"/>
  <c r="F754" i="1"/>
  <c r="G722" i="1"/>
  <c r="F722" i="1"/>
  <c r="G658" i="1"/>
  <c r="F658" i="1"/>
  <c r="G610" i="1"/>
  <c r="F610" i="1"/>
  <c r="G562" i="1"/>
  <c r="F562" i="1"/>
  <c r="G514" i="1"/>
  <c r="F514" i="1"/>
  <c r="G466" i="1"/>
  <c r="F466" i="1"/>
  <c r="G402" i="1"/>
  <c r="F402" i="1"/>
  <c r="G338" i="1"/>
  <c r="F338" i="1"/>
  <c r="G274" i="1"/>
  <c r="F274" i="1"/>
  <c r="G210" i="1"/>
  <c r="F210" i="1"/>
  <c r="G146" i="1"/>
  <c r="F146" i="1"/>
  <c r="G82" i="1"/>
  <c r="F82" i="1"/>
  <c r="G18" i="1"/>
  <c r="F18" i="1"/>
  <c r="G3120" i="1"/>
  <c r="F3120" i="1"/>
  <c r="G2928" i="1"/>
  <c r="F2928" i="1"/>
  <c r="F2864" i="1"/>
  <c r="G2864" i="1"/>
  <c r="F2816" i="1"/>
  <c r="G2816" i="1"/>
  <c r="G2752" i="1"/>
  <c r="F2752" i="1"/>
  <c r="G2688" i="1"/>
  <c r="F2688" i="1"/>
  <c r="G2624" i="1"/>
  <c r="F2624" i="1"/>
  <c r="G2560" i="1"/>
  <c r="F2560" i="1"/>
  <c r="G2496" i="1"/>
  <c r="F2496" i="1"/>
  <c r="G2432" i="1"/>
  <c r="F2432" i="1"/>
  <c r="G2368" i="1"/>
  <c r="F2368" i="1"/>
  <c r="G2304" i="1"/>
  <c r="F2304" i="1"/>
  <c r="G2256" i="1"/>
  <c r="F2256" i="1"/>
  <c r="G2192" i="1"/>
  <c r="F2192" i="1"/>
  <c r="G2128" i="1"/>
  <c r="F2128" i="1"/>
  <c r="G2064" i="1"/>
  <c r="F2064" i="1"/>
  <c r="G2016" i="1"/>
  <c r="F2016" i="1"/>
  <c r="G1952" i="1"/>
  <c r="F1952" i="1"/>
  <c r="G1888" i="1"/>
  <c r="F1888" i="1"/>
  <c r="G1824" i="1"/>
  <c r="F1824" i="1"/>
  <c r="G1760" i="1"/>
  <c r="F1760" i="1"/>
  <c r="G1696" i="1"/>
  <c r="F1696" i="1"/>
  <c r="G1632" i="1"/>
  <c r="F1632" i="1"/>
  <c r="G1584" i="1"/>
  <c r="F1584" i="1"/>
  <c r="G1536" i="1"/>
  <c r="F1536" i="1"/>
  <c r="G1488" i="1"/>
  <c r="F1488" i="1"/>
  <c r="G1424" i="1"/>
  <c r="F1424" i="1"/>
  <c r="G1297" i="1"/>
  <c r="F1297" i="1"/>
  <c r="G1265" i="1"/>
  <c r="F1265" i="1"/>
  <c r="G1217" i="1"/>
  <c r="F1217" i="1"/>
  <c r="G1153" i="1"/>
  <c r="F1153" i="1"/>
  <c r="G1105" i="1"/>
  <c r="F1105" i="1"/>
  <c r="G1057" i="1"/>
  <c r="F1057" i="1"/>
  <c r="G1009" i="1"/>
  <c r="F1009" i="1"/>
  <c r="G961" i="1"/>
  <c r="F961" i="1"/>
  <c r="G913" i="1"/>
  <c r="F913" i="1"/>
  <c r="G865" i="1"/>
  <c r="F865" i="1"/>
  <c r="G817" i="1"/>
  <c r="F817" i="1"/>
  <c r="G769" i="1"/>
  <c r="F769" i="1"/>
  <c r="G721" i="1"/>
  <c r="F721" i="1"/>
  <c r="G689" i="1"/>
  <c r="F689" i="1"/>
  <c r="G641" i="1"/>
  <c r="F641" i="1"/>
  <c r="G593" i="1"/>
  <c r="F593" i="1"/>
  <c r="G561" i="1"/>
  <c r="F561" i="1"/>
  <c r="G529" i="1"/>
  <c r="F529" i="1"/>
  <c r="G497" i="1"/>
  <c r="F497" i="1"/>
  <c r="G465" i="1"/>
  <c r="F465" i="1"/>
  <c r="G433" i="1"/>
  <c r="F433" i="1"/>
  <c r="G401" i="1"/>
  <c r="F401" i="1"/>
  <c r="G369" i="1"/>
  <c r="F369" i="1"/>
  <c r="G337" i="1"/>
  <c r="F337" i="1"/>
  <c r="G305" i="1"/>
  <c r="F305" i="1"/>
  <c r="G273" i="1"/>
  <c r="F273" i="1"/>
  <c r="G241" i="1"/>
  <c r="F241" i="1"/>
  <c r="G209" i="1"/>
  <c r="F209" i="1"/>
  <c r="G177" i="1"/>
  <c r="F177" i="1"/>
  <c r="G145" i="1"/>
  <c r="F145" i="1"/>
  <c r="G113" i="1"/>
  <c r="F113" i="1"/>
  <c r="G81" i="1"/>
  <c r="F81" i="1"/>
  <c r="G49" i="1"/>
  <c r="F49" i="1"/>
  <c r="G17" i="1"/>
  <c r="F17" i="1"/>
  <c r="G3135" i="1"/>
  <c r="F3135" i="1"/>
  <c r="G3103" i="1"/>
  <c r="F3103" i="1"/>
  <c r="G3087" i="1"/>
  <c r="F3087" i="1"/>
  <c r="G3055" i="1"/>
  <c r="F3055" i="1"/>
  <c r="G3007" i="1"/>
  <c r="F3007" i="1"/>
  <c r="G2943" i="1"/>
  <c r="F2943" i="1"/>
  <c r="G2911" i="1"/>
  <c r="F2911" i="1"/>
  <c r="G2879" i="1"/>
  <c r="F2879" i="1"/>
  <c r="F2847" i="1"/>
  <c r="G2847" i="1"/>
  <c r="G2815" i="1"/>
  <c r="F2815" i="1"/>
  <c r="G2783" i="1"/>
  <c r="F2783" i="1"/>
  <c r="G2767" i="1"/>
  <c r="F2767" i="1"/>
  <c r="G2735" i="1"/>
  <c r="F2735" i="1"/>
  <c r="G2687" i="1"/>
  <c r="F2687" i="1"/>
  <c r="G2655" i="1"/>
  <c r="F2655" i="1"/>
  <c r="G2623" i="1"/>
  <c r="F2623" i="1"/>
  <c r="G2591" i="1"/>
  <c r="F2591" i="1"/>
  <c r="G2559" i="1"/>
  <c r="F2559" i="1"/>
  <c r="G2527" i="1"/>
  <c r="F2527" i="1"/>
  <c r="G2495" i="1"/>
  <c r="F2495" i="1"/>
  <c r="G2463" i="1"/>
  <c r="F2463" i="1"/>
  <c r="G2431" i="1"/>
  <c r="F2431" i="1"/>
  <c r="G2383" i="1"/>
  <c r="F2383" i="1"/>
  <c r="G2159" i="1"/>
  <c r="F2159" i="1"/>
  <c r="G1296" i="1"/>
  <c r="F1296" i="1"/>
  <c r="G1280" i="1"/>
  <c r="F1280" i="1"/>
  <c r="G1264" i="1"/>
  <c r="F1264" i="1"/>
  <c r="G1248" i="1"/>
  <c r="F1248" i="1"/>
  <c r="G1232" i="1"/>
  <c r="F1232" i="1"/>
  <c r="G1216" i="1"/>
  <c r="F1216" i="1"/>
  <c r="G1200" i="1"/>
  <c r="F1200" i="1"/>
  <c r="G1184" i="1"/>
  <c r="F1184" i="1"/>
  <c r="G1168" i="1"/>
  <c r="F1168" i="1"/>
  <c r="G1152" i="1"/>
  <c r="F1152" i="1"/>
  <c r="G1136" i="1"/>
  <c r="F1136" i="1"/>
  <c r="G1120" i="1"/>
  <c r="F1120" i="1"/>
  <c r="G1104" i="1"/>
  <c r="F1104" i="1"/>
  <c r="G1088" i="1"/>
  <c r="F1088" i="1"/>
  <c r="G1072" i="1"/>
  <c r="F1072" i="1"/>
  <c r="G1056" i="1"/>
  <c r="F1056" i="1"/>
  <c r="G1040" i="1"/>
  <c r="F1040" i="1"/>
  <c r="G1024" i="1"/>
  <c r="F1024" i="1"/>
  <c r="G1008" i="1"/>
  <c r="F1008" i="1"/>
  <c r="G992" i="1"/>
  <c r="F992" i="1"/>
  <c r="G976" i="1"/>
  <c r="F976" i="1"/>
  <c r="G960" i="1"/>
  <c r="F960" i="1"/>
  <c r="G944" i="1"/>
  <c r="F944" i="1"/>
  <c r="G928" i="1"/>
  <c r="F928" i="1"/>
  <c r="G912" i="1"/>
  <c r="F912" i="1"/>
  <c r="G896" i="1"/>
  <c r="F896" i="1"/>
  <c r="G880" i="1"/>
  <c r="F880" i="1"/>
  <c r="G864" i="1"/>
  <c r="F864" i="1"/>
  <c r="G848" i="1"/>
  <c r="F848" i="1"/>
  <c r="G832" i="1"/>
  <c r="F832" i="1"/>
  <c r="G816" i="1"/>
  <c r="F816" i="1"/>
  <c r="G800" i="1"/>
  <c r="F800" i="1"/>
  <c r="G784" i="1"/>
  <c r="F784" i="1"/>
  <c r="G768" i="1"/>
  <c r="F768" i="1"/>
  <c r="G752" i="1"/>
  <c r="F752" i="1"/>
  <c r="G736" i="1"/>
  <c r="F736" i="1"/>
  <c r="G720" i="1"/>
  <c r="F720" i="1"/>
  <c r="G704" i="1"/>
  <c r="F704" i="1"/>
  <c r="G688" i="1"/>
  <c r="F688" i="1"/>
  <c r="G672" i="1"/>
  <c r="F672" i="1"/>
  <c r="G656" i="1"/>
  <c r="F656" i="1"/>
  <c r="G640" i="1"/>
  <c r="F640" i="1"/>
  <c r="G624" i="1"/>
  <c r="F624" i="1"/>
  <c r="G608" i="1"/>
  <c r="F608" i="1"/>
  <c r="G592" i="1"/>
  <c r="F592" i="1"/>
  <c r="G576" i="1"/>
  <c r="F576" i="1"/>
  <c r="G560" i="1"/>
  <c r="F560" i="1"/>
  <c r="G544" i="1"/>
  <c r="F544" i="1"/>
  <c r="G528" i="1"/>
  <c r="F528" i="1"/>
  <c r="G512" i="1"/>
  <c r="F512" i="1"/>
  <c r="G496" i="1"/>
  <c r="F496" i="1"/>
  <c r="G480" i="1"/>
  <c r="F480" i="1"/>
  <c r="G464" i="1"/>
  <c r="F464" i="1"/>
  <c r="G448" i="1"/>
  <c r="F448" i="1"/>
  <c r="G432" i="1"/>
  <c r="F432" i="1"/>
  <c r="G416" i="1"/>
  <c r="F416" i="1"/>
  <c r="G400" i="1"/>
  <c r="F400" i="1"/>
  <c r="G384" i="1"/>
  <c r="F384" i="1"/>
  <c r="G368" i="1"/>
  <c r="F368" i="1"/>
  <c r="G352" i="1"/>
  <c r="F352" i="1"/>
  <c r="G336" i="1"/>
  <c r="F336" i="1"/>
  <c r="G320" i="1"/>
  <c r="F320" i="1"/>
  <c r="G304" i="1"/>
  <c r="F304" i="1"/>
  <c r="G288" i="1"/>
  <c r="F288" i="1"/>
  <c r="G272" i="1"/>
  <c r="F272" i="1"/>
  <c r="G256" i="1"/>
  <c r="F256" i="1"/>
  <c r="G240" i="1"/>
  <c r="F240" i="1"/>
  <c r="G224" i="1"/>
  <c r="F224" i="1"/>
  <c r="G208" i="1"/>
  <c r="F208" i="1"/>
  <c r="G192" i="1"/>
  <c r="F192" i="1"/>
  <c r="G176" i="1"/>
  <c r="F176" i="1"/>
  <c r="G160" i="1"/>
  <c r="F160" i="1"/>
  <c r="G144" i="1"/>
  <c r="F144" i="1"/>
  <c r="G128" i="1"/>
  <c r="F128" i="1"/>
  <c r="G112" i="1"/>
  <c r="F112" i="1"/>
  <c r="G96" i="1"/>
  <c r="F96" i="1"/>
  <c r="G80" i="1"/>
  <c r="F80" i="1"/>
  <c r="G64" i="1"/>
  <c r="F64" i="1"/>
  <c r="G48" i="1"/>
  <c r="F48" i="1"/>
  <c r="G32" i="1"/>
  <c r="F32" i="1"/>
  <c r="G16" i="1"/>
  <c r="F16" i="1"/>
  <c r="G3086" i="1"/>
  <c r="F3086" i="1"/>
  <c r="F3070" i="1"/>
  <c r="G3070" i="1"/>
  <c r="G3038" i="1"/>
  <c r="F3038" i="1"/>
  <c r="G2990" i="1"/>
  <c r="F2990" i="1"/>
  <c r="G2974" i="1"/>
  <c r="F2974" i="1"/>
  <c r="G2942" i="1"/>
  <c r="F2942" i="1"/>
  <c r="G2926" i="1"/>
  <c r="F2926" i="1"/>
  <c r="G2910" i="1"/>
  <c r="F2910" i="1"/>
  <c r="G2894" i="1"/>
  <c r="F2894" i="1"/>
  <c r="G2830" i="1"/>
  <c r="F2830" i="1"/>
  <c r="G2814" i="1"/>
  <c r="F2814" i="1"/>
  <c r="G2798" i="1"/>
  <c r="F2798" i="1"/>
  <c r="G2766" i="1"/>
  <c r="F2766" i="1"/>
  <c r="G2750" i="1"/>
  <c r="F2750" i="1"/>
  <c r="G2734" i="1"/>
  <c r="F2734" i="1"/>
  <c r="G2718" i="1"/>
  <c r="F2718" i="1"/>
  <c r="G2654" i="1"/>
  <c r="F2654" i="1"/>
  <c r="G2638" i="1"/>
  <c r="F2638" i="1"/>
  <c r="G2622" i="1"/>
  <c r="F2622" i="1"/>
  <c r="G2606" i="1"/>
  <c r="F2606" i="1"/>
  <c r="G2590" i="1"/>
  <c r="F2590" i="1"/>
  <c r="G2574" i="1"/>
  <c r="F2574" i="1"/>
  <c r="G2558" i="1"/>
  <c r="F2558" i="1"/>
  <c r="G2542" i="1"/>
  <c r="F2542" i="1"/>
  <c r="F2526" i="1"/>
  <c r="G2526" i="1"/>
  <c r="G2510" i="1"/>
  <c r="F2510" i="1"/>
  <c r="G2494" i="1"/>
  <c r="F2494" i="1"/>
  <c r="G2478" i="1"/>
  <c r="F2478" i="1"/>
  <c r="G2462" i="1"/>
  <c r="F2462" i="1"/>
  <c r="G2446" i="1"/>
  <c r="F2446" i="1"/>
  <c r="G2430" i="1"/>
  <c r="F2430" i="1"/>
  <c r="F2414" i="1"/>
  <c r="G2414" i="1"/>
  <c r="G2398" i="1"/>
  <c r="F2398" i="1"/>
  <c r="G2382" i="1"/>
  <c r="F2382" i="1"/>
  <c r="G2366" i="1"/>
  <c r="F2366" i="1"/>
  <c r="G2350" i="1"/>
  <c r="F2350" i="1"/>
  <c r="G2334" i="1"/>
  <c r="F2334" i="1"/>
  <c r="G2318" i="1"/>
  <c r="F2318" i="1"/>
  <c r="G2302" i="1"/>
  <c r="F2302" i="1"/>
  <c r="G2286" i="1"/>
  <c r="F2286" i="1"/>
  <c r="G2270" i="1"/>
  <c r="F2270" i="1"/>
  <c r="G2254" i="1"/>
  <c r="F2254" i="1"/>
  <c r="G2238" i="1"/>
  <c r="F2238" i="1"/>
  <c r="G2222" i="1"/>
  <c r="F2222" i="1"/>
  <c r="G2206" i="1"/>
  <c r="F2206" i="1"/>
  <c r="G2190" i="1"/>
  <c r="F2190" i="1"/>
  <c r="G2174" i="1"/>
  <c r="F2174" i="1"/>
  <c r="G2158" i="1"/>
  <c r="F2158" i="1"/>
  <c r="G2142" i="1"/>
  <c r="F2142" i="1"/>
  <c r="G2126" i="1"/>
  <c r="F2126" i="1"/>
  <c r="G2110" i="1"/>
  <c r="F2110" i="1"/>
  <c r="G2094" i="1"/>
  <c r="F2094" i="1"/>
  <c r="G2078" i="1"/>
  <c r="F2078" i="1"/>
  <c r="G2062" i="1"/>
  <c r="F2062" i="1"/>
  <c r="G2046" i="1"/>
  <c r="F2046" i="1"/>
  <c r="F2030" i="1"/>
  <c r="G2030" i="1"/>
  <c r="G2014" i="1"/>
  <c r="F2014" i="1"/>
  <c r="G1998" i="1"/>
  <c r="F1998" i="1"/>
  <c r="G1982" i="1"/>
  <c r="F1982" i="1"/>
  <c r="G1966" i="1"/>
  <c r="F1966" i="1"/>
  <c r="G1950" i="1"/>
  <c r="F1950" i="1"/>
  <c r="G1934" i="1"/>
  <c r="F1934" i="1"/>
  <c r="G1918" i="1"/>
  <c r="F1918" i="1"/>
  <c r="G1902" i="1"/>
  <c r="F1902" i="1"/>
  <c r="G1886" i="1"/>
  <c r="F1886" i="1"/>
  <c r="G1870" i="1"/>
  <c r="F1870" i="1"/>
  <c r="G1854" i="1"/>
  <c r="F1854" i="1"/>
  <c r="G1838" i="1"/>
  <c r="F1838" i="1"/>
  <c r="G1822" i="1"/>
  <c r="F1822" i="1"/>
  <c r="G1806" i="1"/>
  <c r="F1806" i="1"/>
  <c r="G1790" i="1"/>
  <c r="F1790" i="1"/>
  <c r="G1774" i="1"/>
  <c r="F1774" i="1"/>
  <c r="G1758" i="1"/>
  <c r="F1758" i="1"/>
  <c r="G1742" i="1"/>
  <c r="F1742" i="1"/>
  <c r="G1726" i="1"/>
  <c r="F1726" i="1"/>
  <c r="G1710" i="1"/>
  <c r="F1710" i="1"/>
  <c r="G1694" i="1"/>
  <c r="F1694" i="1"/>
  <c r="G1678" i="1"/>
  <c r="F1678" i="1"/>
  <c r="G1662" i="1"/>
  <c r="F1662" i="1"/>
  <c r="G1646" i="1"/>
  <c r="F1646" i="1"/>
  <c r="G1630" i="1"/>
  <c r="F1630" i="1"/>
  <c r="G1614" i="1"/>
  <c r="F1614" i="1"/>
  <c r="G1598" i="1"/>
  <c r="F1598" i="1"/>
  <c r="G1582" i="1"/>
  <c r="F1582" i="1"/>
  <c r="G1566" i="1"/>
  <c r="F1566" i="1"/>
  <c r="G1550" i="1"/>
  <c r="F1550" i="1"/>
  <c r="G1534" i="1"/>
  <c r="F1534" i="1"/>
  <c r="G1518" i="1"/>
  <c r="F1518" i="1"/>
  <c r="G1502" i="1"/>
  <c r="F1502" i="1"/>
  <c r="G1486" i="1"/>
  <c r="F1486" i="1"/>
  <c r="G1470" i="1"/>
  <c r="F1470" i="1"/>
  <c r="G1454" i="1"/>
  <c r="F1454" i="1"/>
  <c r="G1438" i="1"/>
  <c r="F1438" i="1"/>
  <c r="G1422" i="1"/>
  <c r="F1422" i="1"/>
  <c r="G1406" i="1"/>
  <c r="F1406" i="1"/>
  <c r="G1390" i="1"/>
  <c r="F1390" i="1"/>
  <c r="G1374" i="1"/>
  <c r="F1374" i="1"/>
  <c r="G1358" i="1"/>
  <c r="F1358" i="1"/>
  <c r="G1342" i="1"/>
  <c r="F1342" i="1"/>
  <c r="G1326" i="1"/>
  <c r="F1326" i="1"/>
  <c r="G1310" i="1"/>
  <c r="F1310" i="1"/>
  <c r="F3118" i="1"/>
  <c r="F3074" i="1"/>
  <c r="F3027" i="1"/>
  <c r="F2983" i="1"/>
  <c r="F2937" i="1"/>
  <c r="F2862" i="1"/>
  <c r="F2786" i="1"/>
  <c r="F2707" i="1"/>
  <c r="F2629" i="1"/>
  <c r="F2550" i="1"/>
  <c r="F2466" i="1"/>
  <c r="F2377" i="1"/>
  <c r="G1266" i="1"/>
  <c r="F1266" i="1"/>
  <c r="G1202" i="1"/>
  <c r="F1202" i="1"/>
  <c r="G1154" i="1"/>
  <c r="F1154" i="1"/>
  <c r="G1090" i="1"/>
  <c r="F1090" i="1"/>
  <c r="G1042" i="1"/>
  <c r="F1042" i="1"/>
  <c r="G978" i="1"/>
  <c r="F978" i="1"/>
  <c r="G946" i="1"/>
  <c r="F946" i="1"/>
  <c r="G882" i="1"/>
  <c r="F882" i="1"/>
  <c r="G834" i="1"/>
  <c r="F834" i="1"/>
  <c r="G786" i="1"/>
  <c r="F786" i="1"/>
  <c r="G690" i="1"/>
  <c r="F690" i="1"/>
  <c r="G674" i="1"/>
  <c r="F674" i="1"/>
  <c r="G626" i="1"/>
  <c r="F626" i="1"/>
  <c r="G578" i="1"/>
  <c r="F578" i="1"/>
  <c r="G530" i="1"/>
  <c r="F530" i="1"/>
  <c r="G482" i="1"/>
  <c r="F482" i="1"/>
  <c r="G418" i="1"/>
  <c r="F418" i="1"/>
  <c r="G354" i="1"/>
  <c r="F354" i="1"/>
  <c r="G290" i="1"/>
  <c r="F290" i="1"/>
  <c r="G226" i="1"/>
  <c r="F226" i="1"/>
  <c r="G162" i="1"/>
  <c r="F162" i="1"/>
  <c r="G98" i="1"/>
  <c r="F98" i="1"/>
  <c r="G34" i="1"/>
  <c r="F34" i="1"/>
  <c r="G3024" i="1"/>
  <c r="F3024" i="1"/>
  <c r="G2960" i="1"/>
  <c r="F2960" i="1"/>
  <c r="G2896" i="1"/>
  <c r="F2896" i="1"/>
  <c r="G2832" i="1"/>
  <c r="F2832" i="1"/>
  <c r="G2768" i="1"/>
  <c r="F2768" i="1"/>
  <c r="G2704" i="1"/>
  <c r="F2704" i="1"/>
  <c r="G2640" i="1"/>
  <c r="F2640" i="1"/>
  <c r="G2576" i="1"/>
  <c r="F2576" i="1"/>
  <c r="G2528" i="1"/>
  <c r="F2528" i="1"/>
  <c r="G2464" i="1"/>
  <c r="F2464" i="1"/>
  <c r="G2400" i="1"/>
  <c r="F2400" i="1"/>
  <c r="G2336" i="1"/>
  <c r="F2336" i="1"/>
  <c r="G2272" i="1"/>
  <c r="F2272" i="1"/>
  <c r="G2208" i="1"/>
  <c r="F2208" i="1"/>
  <c r="G2160" i="1"/>
  <c r="F2160" i="1"/>
  <c r="G2096" i="1"/>
  <c r="F2096" i="1"/>
  <c r="G2032" i="1"/>
  <c r="F2032" i="1"/>
  <c r="G1968" i="1"/>
  <c r="F1968" i="1"/>
  <c r="G1904" i="1"/>
  <c r="F1904" i="1"/>
  <c r="G1840" i="1"/>
  <c r="F1840" i="1"/>
  <c r="G1792" i="1"/>
  <c r="F1792" i="1"/>
  <c r="G1728" i="1"/>
  <c r="F1728" i="1"/>
  <c r="G1664" i="1"/>
  <c r="F1664" i="1"/>
  <c r="G1568" i="1"/>
  <c r="F1568" i="1"/>
  <c r="G1281" i="1"/>
  <c r="F1281" i="1"/>
  <c r="G1233" i="1"/>
  <c r="F1233" i="1"/>
  <c r="G1201" i="1"/>
  <c r="F1201" i="1"/>
  <c r="G1169" i="1"/>
  <c r="F1169" i="1"/>
  <c r="G1121" i="1"/>
  <c r="F1121" i="1"/>
  <c r="G1073" i="1"/>
  <c r="F1073" i="1"/>
  <c r="G1025" i="1"/>
  <c r="F1025" i="1"/>
  <c r="G977" i="1"/>
  <c r="F977" i="1"/>
  <c r="G929" i="1"/>
  <c r="F929" i="1"/>
  <c r="G881" i="1"/>
  <c r="F881" i="1"/>
  <c r="G833" i="1"/>
  <c r="F833" i="1"/>
  <c r="G785" i="1"/>
  <c r="F785" i="1"/>
  <c r="G737" i="1"/>
  <c r="F737" i="1"/>
  <c r="G673" i="1"/>
  <c r="F673" i="1"/>
  <c r="G1295" i="1"/>
  <c r="F1295" i="1"/>
  <c r="F1279" i="1"/>
  <c r="G1279" i="1"/>
  <c r="G1263" i="1"/>
  <c r="F1263" i="1"/>
  <c r="G1247" i="1"/>
  <c r="F1247" i="1"/>
  <c r="G1231" i="1"/>
  <c r="F1231" i="1"/>
  <c r="G1215" i="1"/>
  <c r="F1215" i="1"/>
  <c r="G1199" i="1"/>
  <c r="F1199" i="1"/>
  <c r="G1183" i="1"/>
  <c r="F1183" i="1"/>
  <c r="G1167" i="1"/>
  <c r="F1167" i="1"/>
  <c r="G1151" i="1"/>
  <c r="F1151" i="1"/>
  <c r="G1135" i="1"/>
  <c r="F1135" i="1"/>
  <c r="G1119" i="1"/>
  <c r="F1119" i="1"/>
  <c r="G1103" i="1"/>
  <c r="F1103" i="1"/>
  <c r="G1087" i="1"/>
  <c r="F1087" i="1"/>
  <c r="G1071" i="1"/>
  <c r="F1071" i="1"/>
  <c r="G1055" i="1"/>
  <c r="F1055" i="1"/>
  <c r="G1039" i="1"/>
  <c r="F1039" i="1"/>
  <c r="G1023" i="1"/>
  <c r="F1023" i="1"/>
  <c r="G1007" i="1"/>
  <c r="F1007" i="1"/>
  <c r="G991" i="1"/>
  <c r="F991" i="1"/>
  <c r="G975" i="1"/>
  <c r="F975" i="1"/>
  <c r="G959" i="1"/>
  <c r="F959" i="1"/>
  <c r="G943" i="1"/>
  <c r="F943" i="1"/>
  <c r="G927" i="1"/>
  <c r="F927" i="1"/>
  <c r="G911" i="1"/>
  <c r="F911" i="1"/>
  <c r="G895" i="1"/>
  <c r="F895" i="1"/>
  <c r="G879" i="1"/>
  <c r="F879" i="1"/>
  <c r="G863" i="1"/>
  <c r="F863" i="1"/>
  <c r="G847" i="1"/>
  <c r="F847" i="1"/>
  <c r="G831" i="1"/>
  <c r="F831" i="1"/>
  <c r="G815" i="1"/>
  <c r="F815" i="1"/>
  <c r="G799" i="1"/>
  <c r="F799" i="1"/>
  <c r="G783" i="1"/>
  <c r="F783" i="1"/>
  <c r="G767" i="1"/>
  <c r="F767" i="1"/>
  <c r="G751" i="1"/>
  <c r="F751" i="1"/>
  <c r="G735" i="1"/>
  <c r="F735" i="1"/>
  <c r="G719" i="1"/>
  <c r="F719" i="1"/>
  <c r="G703" i="1"/>
  <c r="F703" i="1"/>
  <c r="G687" i="1"/>
  <c r="F687" i="1"/>
  <c r="G671" i="1"/>
  <c r="F671" i="1"/>
  <c r="G655" i="1"/>
  <c r="F655" i="1"/>
  <c r="G639" i="1"/>
  <c r="F639" i="1"/>
  <c r="G623" i="1"/>
  <c r="F623" i="1"/>
  <c r="G607" i="1"/>
  <c r="F607" i="1"/>
  <c r="G591" i="1"/>
  <c r="F591" i="1"/>
  <c r="G575" i="1"/>
  <c r="F575" i="1"/>
  <c r="G559" i="1"/>
  <c r="F559" i="1"/>
  <c r="G543" i="1"/>
  <c r="F543" i="1"/>
  <c r="G527" i="1"/>
  <c r="F527" i="1"/>
  <c r="G511" i="1"/>
  <c r="F511" i="1"/>
  <c r="G495" i="1"/>
  <c r="F495" i="1"/>
  <c r="G479" i="1"/>
  <c r="F479" i="1"/>
  <c r="G463" i="1"/>
  <c r="F463" i="1"/>
  <c r="G447" i="1"/>
  <c r="F447" i="1"/>
  <c r="G431" i="1"/>
  <c r="F431" i="1"/>
  <c r="G415" i="1"/>
  <c r="F415" i="1"/>
  <c r="G399" i="1"/>
  <c r="F399" i="1"/>
  <c r="G383" i="1"/>
  <c r="F383" i="1"/>
  <c r="G367" i="1"/>
  <c r="F367" i="1"/>
  <c r="G351" i="1"/>
  <c r="F351" i="1"/>
  <c r="G335" i="1"/>
  <c r="F335" i="1"/>
  <c r="G319" i="1"/>
  <c r="F319" i="1"/>
  <c r="G303" i="1"/>
  <c r="F303" i="1"/>
  <c r="G287" i="1"/>
  <c r="F287" i="1"/>
  <c r="G271" i="1"/>
  <c r="F271" i="1"/>
  <c r="G255" i="1"/>
  <c r="F255" i="1"/>
  <c r="G239" i="1"/>
  <c r="F239" i="1"/>
  <c r="G223" i="1"/>
  <c r="F223" i="1"/>
  <c r="G207" i="1"/>
  <c r="F207" i="1"/>
  <c r="G191" i="1"/>
  <c r="F191" i="1"/>
  <c r="G175" i="1"/>
  <c r="F175" i="1"/>
  <c r="G159" i="1"/>
  <c r="F159" i="1"/>
  <c r="G143" i="1"/>
  <c r="F143" i="1"/>
  <c r="G127" i="1"/>
  <c r="F127" i="1"/>
  <c r="G111" i="1"/>
  <c r="F111" i="1"/>
  <c r="G95" i="1"/>
  <c r="F95" i="1"/>
  <c r="G79" i="1"/>
  <c r="F79" i="1"/>
  <c r="G63" i="1"/>
  <c r="F63" i="1"/>
  <c r="G47" i="1"/>
  <c r="F47" i="1"/>
  <c r="G31" i="1"/>
  <c r="F31" i="1"/>
  <c r="G15" i="1"/>
  <c r="F15" i="1"/>
  <c r="G3069" i="1"/>
  <c r="F3069" i="1"/>
  <c r="G3053" i="1"/>
  <c r="F3053" i="1"/>
  <c r="G3021" i="1"/>
  <c r="F3021" i="1"/>
  <c r="G2973" i="1"/>
  <c r="F2973" i="1"/>
  <c r="G2957" i="1"/>
  <c r="F2957" i="1"/>
  <c r="G2925" i="1"/>
  <c r="F2925" i="1"/>
  <c r="G2909" i="1"/>
  <c r="F2909" i="1"/>
  <c r="G2893" i="1"/>
  <c r="F2893" i="1"/>
  <c r="G2877" i="1"/>
  <c r="F2877" i="1"/>
  <c r="G2845" i="1"/>
  <c r="F2845" i="1"/>
  <c r="G2829" i="1"/>
  <c r="F2829" i="1"/>
  <c r="G2813" i="1"/>
  <c r="F2813" i="1"/>
  <c r="G2797" i="1"/>
  <c r="F2797" i="1"/>
  <c r="G2781" i="1"/>
  <c r="F2781" i="1"/>
  <c r="G2765" i="1"/>
  <c r="F2765" i="1"/>
  <c r="G2733" i="1"/>
  <c r="F2733" i="1"/>
  <c r="G2717" i="1"/>
  <c r="F2717" i="1"/>
  <c r="G2701" i="1"/>
  <c r="F2701" i="1"/>
  <c r="G2669" i="1"/>
  <c r="F2669" i="1"/>
  <c r="G2653" i="1"/>
  <c r="F2653" i="1"/>
  <c r="G2637" i="1"/>
  <c r="F2637" i="1"/>
  <c r="G2621" i="1"/>
  <c r="F2621" i="1"/>
  <c r="G2557" i="1"/>
  <c r="F2557" i="1"/>
  <c r="G2541" i="1"/>
  <c r="F2541" i="1"/>
  <c r="G2525" i="1"/>
  <c r="F2525" i="1"/>
  <c r="G2509" i="1"/>
  <c r="F2509" i="1"/>
  <c r="G2493" i="1"/>
  <c r="F2493" i="1"/>
  <c r="G2477" i="1"/>
  <c r="F2477" i="1"/>
  <c r="G2461" i="1"/>
  <c r="F2461" i="1"/>
  <c r="G2445" i="1"/>
  <c r="F2445" i="1"/>
  <c r="G2429" i="1"/>
  <c r="F2429" i="1"/>
  <c r="G2413" i="1"/>
  <c r="F2413" i="1"/>
  <c r="G2381" i="1"/>
  <c r="F2381" i="1"/>
  <c r="G2365" i="1"/>
  <c r="F2365" i="1"/>
  <c r="G2349" i="1"/>
  <c r="F2349" i="1"/>
  <c r="G2333" i="1"/>
  <c r="F2333" i="1"/>
  <c r="G2317" i="1"/>
  <c r="F2317" i="1"/>
  <c r="G2301" i="1"/>
  <c r="F2301" i="1"/>
  <c r="G2285" i="1"/>
  <c r="F2285" i="1"/>
  <c r="G2269" i="1"/>
  <c r="F2269" i="1"/>
  <c r="G2253" i="1"/>
  <c r="F2253" i="1"/>
  <c r="G2237" i="1"/>
  <c r="F2237" i="1"/>
  <c r="G2221" i="1"/>
  <c r="F2221" i="1"/>
  <c r="G2205" i="1"/>
  <c r="F2205" i="1"/>
  <c r="G2189" i="1"/>
  <c r="F2189" i="1"/>
  <c r="G2173" i="1"/>
  <c r="F2173" i="1"/>
  <c r="G2157" i="1"/>
  <c r="F2157" i="1"/>
  <c r="G2141" i="1"/>
  <c r="F2141" i="1"/>
  <c r="G2125" i="1"/>
  <c r="F2125" i="1"/>
  <c r="G2109" i="1"/>
  <c r="F2109" i="1"/>
  <c r="G2093" i="1"/>
  <c r="F2093" i="1"/>
  <c r="G2077" i="1"/>
  <c r="F2077" i="1"/>
  <c r="G2061" i="1"/>
  <c r="F2061" i="1"/>
  <c r="G2045" i="1"/>
  <c r="F2045" i="1"/>
  <c r="F2029" i="1"/>
  <c r="G2029" i="1"/>
  <c r="G2013" i="1"/>
  <c r="F2013" i="1"/>
  <c r="G1997" i="1"/>
  <c r="F1997" i="1"/>
  <c r="G1981" i="1"/>
  <c r="F1981" i="1"/>
  <c r="G1965" i="1"/>
  <c r="F1965" i="1"/>
  <c r="G1949" i="1"/>
  <c r="F1949" i="1"/>
  <c r="G1933" i="1"/>
  <c r="F1933" i="1"/>
  <c r="G1917" i="1"/>
  <c r="F1917" i="1"/>
  <c r="G1901" i="1"/>
  <c r="F1901" i="1"/>
  <c r="G1885" i="1"/>
  <c r="F1885" i="1"/>
  <c r="G1869" i="1"/>
  <c r="F1869" i="1"/>
  <c r="G1853" i="1"/>
  <c r="F1853" i="1"/>
  <c r="G1837" i="1"/>
  <c r="F1837" i="1"/>
  <c r="G1821" i="1"/>
  <c r="F1821" i="1"/>
  <c r="G1805" i="1"/>
  <c r="F1805" i="1"/>
  <c r="G1789" i="1"/>
  <c r="F1789" i="1"/>
  <c r="G1773" i="1"/>
  <c r="F1773" i="1"/>
  <c r="G1757" i="1"/>
  <c r="F1757" i="1"/>
  <c r="G1741" i="1"/>
  <c r="F1741" i="1"/>
  <c r="G1725" i="1"/>
  <c r="F1725" i="1"/>
  <c r="G1709" i="1"/>
  <c r="F1709" i="1"/>
  <c r="G1693" i="1"/>
  <c r="F1693" i="1"/>
  <c r="G1677" i="1"/>
  <c r="F1677" i="1"/>
  <c r="G1661" i="1"/>
  <c r="F1661" i="1"/>
  <c r="G1645" i="1"/>
  <c r="F1645" i="1"/>
  <c r="G1629" i="1"/>
  <c r="F1629" i="1"/>
  <c r="G1613" i="1"/>
  <c r="F1613" i="1"/>
  <c r="G1597" i="1"/>
  <c r="F1597" i="1"/>
  <c r="G1581" i="1"/>
  <c r="F1581" i="1"/>
  <c r="G1565" i="1"/>
  <c r="F1565" i="1"/>
  <c r="G1549" i="1"/>
  <c r="F1549" i="1"/>
  <c r="G1533" i="1"/>
  <c r="F1533" i="1"/>
  <c r="G1517" i="1"/>
  <c r="F1517" i="1"/>
  <c r="G1501" i="1"/>
  <c r="F1501" i="1"/>
  <c r="G1485" i="1"/>
  <c r="F1485" i="1"/>
  <c r="G1469" i="1"/>
  <c r="F1469" i="1"/>
  <c r="G1453" i="1"/>
  <c r="F1453" i="1"/>
  <c r="G1437" i="1"/>
  <c r="F1437" i="1"/>
  <c r="G1421" i="1"/>
  <c r="F1421" i="1"/>
  <c r="G1405" i="1"/>
  <c r="F1405" i="1"/>
  <c r="G1389" i="1"/>
  <c r="F1389" i="1"/>
  <c r="G1373" i="1"/>
  <c r="F1373" i="1"/>
  <c r="G1357" i="1"/>
  <c r="F1357" i="1"/>
  <c r="G1341" i="1"/>
  <c r="F1341" i="1"/>
  <c r="G1325" i="1"/>
  <c r="F1325" i="1"/>
  <c r="G1309" i="1"/>
  <c r="F1309" i="1"/>
  <c r="F3117" i="1"/>
  <c r="F3071" i="1"/>
  <c r="F3023" i="1"/>
  <c r="F2982" i="1"/>
  <c r="F2935" i="1"/>
  <c r="F2861" i="1"/>
  <c r="F2782" i="1"/>
  <c r="F2706" i="1"/>
  <c r="F2628" i="1"/>
  <c r="F2549" i="1"/>
  <c r="F2360" i="1"/>
  <c r="F3111" i="1"/>
  <c r="F3068" i="1"/>
  <c r="F3022" i="1"/>
  <c r="F2975" i="1"/>
  <c r="F2932" i="1"/>
  <c r="F2859" i="1"/>
  <c r="F2780" i="1"/>
  <c r="F2702" i="1"/>
  <c r="F2626" i="1"/>
  <c r="F2547" i="1"/>
  <c r="F2460" i="1"/>
  <c r="F2359" i="1"/>
  <c r="G878" i="1"/>
  <c r="F878" i="1"/>
  <c r="G766" i="1"/>
  <c r="F766" i="1"/>
  <c r="G622" i="1"/>
  <c r="F622" i="1"/>
  <c r="G494" i="1"/>
  <c r="F494" i="1"/>
  <c r="G382" i="1"/>
  <c r="F382" i="1"/>
  <c r="G270" i="1"/>
  <c r="F270" i="1"/>
  <c r="G126" i="1"/>
  <c r="F126" i="1"/>
  <c r="G2668" i="1"/>
  <c r="F2668" i="1"/>
  <c r="G2332" i="1"/>
  <c r="F2332" i="1"/>
  <c r="G2220" i="1"/>
  <c r="F2220" i="1"/>
  <c r="G2092" i="1"/>
  <c r="F2092" i="1"/>
  <c r="G1964" i="1"/>
  <c r="F1964" i="1"/>
  <c r="G1900" i="1"/>
  <c r="F1900" i="1"/>
  <c r="G1756" i="1"/>
  <c r="F1756" i="1"/>
  <c r="G1644" i="1"/>
  <c r="F1644" i="1"/>
  <c r="G1516" i="1"/>
  <c r="F1516" i="1"/>
  <c r="G1420" i="1"/>
  <c r="F1420" i="1"/>
  <c r="G1308" i="1"/>
  <c r="F1308" i="1"/>
  <c r="G1293" i="1"/>
  <c r="F1293" i="1"/>
  <c r="G1261" i="1"/>
  <c r="F1261" i="1"/>
  <c r="G1229" i="1"/>
  <c r="F1229" i="1"/>
  <c r="G1181" i="1"/>
  <c r="F1181" i="1"/>
  <c r="G1149" i="1"/>
  <c r="F1149" i="1"/>
  <c r="G1117" i="1"/>
  <c r="F1117" i="1"/>
  <c r="G1085" i="1"/>
  <c r="F1085" i="1"/>
  <c r="G1053" i="1"/>
  <c r="F1053" i="1"/>
  <c r="G1021" i="1"/>
  <c r="F1021" i="1"/>
  <c r="G989" i="1"/>
  <c r="F989" i="1"/>
  <c r="G957" i="1"/>
  <c r="F957" i="1"/>
  <c r="G925" i="1"/>
  <c r="F925" i="1"/>
  <c r="G893" i="1"/>
  <c r="F893" i="1"/>
  <c r="G861" i="1"/>
  <c r="F861" i="1"/>
  <c r="G829" i="1"/>
  <c r="F829" i="1"/>
  <c r="G797" i="1"/>
  <c r="F797" i="1"/>
  <c r="G765" i="1"/>
  <c r="F765" i="1"/>
  <c r="G733" i="1"/>
  <c r="F733" i="1"/>
  <c r="G701" i="1"/>
  <c r="F701" i="1"/>
  <c r="G669" i="1"/>
  <c r="F669" i="1"/>
  <c r="G637" i="1"/>
  <c r="F637" i="1"/>
  <c r="G621" i="1"/>
  <c r="F621" i="1"/>
  <c r="G589" i="1"/>
  <c r="F589" i="1"/>
  <c r="G573" i="1"/>
  <c r="F573" i="1"/>
  <c r="G557" i="1"/>
  <c r="F557" i="1"/>
  <c r="G541" i="1"/>
  <c r="F541" i="1"/>
  <c r="G525" i="1"/>
  <c r="F525" i="1"/>
  <c r="G509" i="1"/>
  <c r="F509" i="1"/>
  <c r="G493" i="1"/>
  <c r="F493" i="1"/>
  <c r="G477" i="1"/>
  <c r="F477" i="1"/>
  <c r="G461" i="1"/>
  <c r="F461" i="1"/>
  <c r="G445" i="1"/>
  <c r="F445" i="1"/>
  <c r="G429" i="1"/>
  <c r="F429" i="1"/>
  <c r="G413" i="1"/>
  <c r="F413" i="1"/>
  <c r="G397" i="1"/>
  <c r="F397" i="1"/>
  <c r="G381" i="1"/>
  <c r="F381" i="1"/>
  <c r="G365" i="1"/>
  <c r="F365" i="1"/>
  <c r="G349" i="1"/>
  <c r="F349" i="1"/>
  <c r="G333" i="1"/>
  <c r="F333" i="1"/>
  <c r="G317" i="1"/>
  <c r="F317" i="1"/>
  <c r="G301" i="1"/>
  <c r="F301" i="1"/>
  <c r="G285" i="1"/>
  <c r="F285" i="1"/>
  <c r="G269" i="1"/>
  <c r="F269" i="1"/>
  <c r="G253" i="1"/>
  <c r="F253" i="1"/>
  <c r="G237" i="1"/>
  <c r="F237" i="1"/>
  <c r="G221" i="1"/>
  <c r="F221" i="1"/>
  <c r="G205" i="1"/>
  <c r="F205" i="1"/>
  <c r="G189" i="1"/>
  <c r="F189" i="1"/>
  <c r="G173" i="1"/>
  <c r="F173" i="1"/>
  <c r="G157" i="1"/>
  <c r="F157" i="1"/>
  <c r="G141" i="1"/>
  <c r="F141" i="1"/>
  <c r="G125" i="1"/>
  <c r="F125" i="1"/>
  <c r="G109" i="1"/>
  <c r="F109" i="1"/>
  <c r="G93" i="1"/>
  <c r="F93" i="1"/>
  <c r="G77" i="1"/>
  <c r="F77" i="1"/>
  <c r="G61" i="1"/>
  <c r="F61" i="1"/>
  <c r="G45" i="1"/>
  <c r="F45" i="1"/>
  <c r="G29" i="1"/>
  <c r="F29" i="1"/>
  <c r="G13" i="1"/>
  <c r="F13" i="1"/>
  <c r="G3131" i="1"/>
  <c r="F3131" i="1"/>
  <c r="F3115" i="1"/>
  <c r="G3115" i="1"/>
  <c r="G3099" i="1"/>
  <c r="F3099" i="1"/>
  <c r="G3083" i="1"/>
  <c r="F3083" i="1"/>
  <c r="G3035" i="1"/>
  <c r="F3035" i="1"/>
  <c r="G3019" i="1"/>
  <c r="F3019" i="1"/>
  <c r="G2987" i="1"/>
  <c r="F2987" i="1"/>
  <c r="G2939" i="1"/>
  <c r="F2939" i="1"/>
  <c r="G2923" i="1"/>
  <c r="F2923" i="1"/>
  <c r="G2907" i="1"/>
  <c r="F2907" i="1"/>
  <c r="G2891" i="1"/>
  <c r="F2891" i="1"/>
  <c r="G2875" i="1"/>
  <c r="F2875" i="1"/>
  <c r="G2811" i="1"/>
  <c r="F2811" i="1"/>
  <c r="G2795" i="1"/>
  <c r="F2795" i="1"/>
  <c r="G2779" i="1"/>
  <c r="F2779" i="1"/>
  <c r="G2747" i="1"/>
  <c r="F2747" i="1"/>
  <c r="G2731" i="1"/>
  <c r="F2731" i="1"/>
  <c r="G2715" i="1"/>
  <c r="F2715" i="1"/>
  <c r="G2699" i="1"/>
  <c r="F2699" i="1"/>
  <c r="G2635" i="1"/>
  <c r="F2635" i="1"/>
  <c r="G2619" i="1"/>
  <c r="F2619" i="1"/>
  <c r="G2603" i="1"/>
  <c r="F2603" i="1"/>
  <c r="G2587" i="1"/>
  <c r="F2587" i="1"/>
  <c r="G2571" i="1"/>
  <c r="F2571" i="1"/>
  <c r="G2555" i="1"/>
  <c r="F2555" i="1"/>
  <c r="G2539" i="1"/>
  <c r="F2539" i="1"/>
  <c r="G2491" i="1"/>
  <c r="F2491" i="1"/>
  <c r="G2475" i="1"/>
  <c r="F2475" i="1"/>
  <c r="G2459" i="1"/>
  <c r="F2459" i="1"/>
  <c r="G2411" i="1"/>
  <c r="F2411" i="1"/>
  <c r="G2395" i="1"/>
  <c r="F2395" i="1"/>
  <c r="G2363" i="1"/>
  <c r="F2363" i="1"/>
  <c r="G2347" i="1"/>
  <c r="F2347" i="1"/>
  <c r="G2331" i="1"/>
  <c r="F2331" i="1"/>
  <c r="G2315" i="1"/>
  <c r="F2315" i="1"/>
  <c r="G2299" i="1"/>
  <c r="F2299" i="1"/>
  <c r="G2283" i="1"/>
  <c r="F2283" i="1"/>
  <c r="G2267" i="1"/>
  <c r="F2267" i="1"/>
  <c r="G2251" i="1"/>
  <c r="F2251" i="1"/>
  <c r="G2235" i="1"/>
  <c r="F2235" i="1"/>
  <c r="G2219" i="1"/>
  <c r="F2219" i="1"/>
  <c r="G2203" i="1"/>
  <c r="F2203" i="1"/>
  <c r="G2187" i="1"/>
  <c r="F2187" i="1"/>
  <c r="G2171" i="1"/>
  <c r="F2171" i="1"/>
  <c r="G2155" i="1"/>
  <c r="F2155" i="1"/>
  <c r="G2139" i="1"/>
  <c r="F2139" i="1"/>
  <c r="G2123" i="1"/>
  <c r="F2123" i="1"/>
  <c r="G2091" i="1"/>
  <c r="F2091" i="1"/>
  <c r="G2075" i="1"/>
  <c r="F2075" i="1"/>
  <c r="G2059" i="1"/>
  <c r="F2059" i="1"/>
  <c r="G2043" i="1"/>
  <c r="F2043" i="1"/>
  <c r="G2027" i="1"/>
  <c r="F2027" i="1"/>
  <c r="G2011" i="1"/>
  <c r="F2011" i="1"/>
  <c r="G1995" i="1"/>
  <c r="F1995" i="1"/>
  <c r="G1979" i="1"/>
  <c r="F1979" i="1"/>
  <c r="G1963" i="1"/>
  <c r="F1963" i="1"/>
  <c r="G1947" i="1"/>
  <c r="F1947" i="1"/>
  <c r="G1931" i="1"/>
  <c r="F1931" i="1"/>
  <c r="G1915" i="1"/>
  <c r="F1915" i="1"/>
  <c r="G1899" i="1"/>
  <c r="F1899" i="1"/>
  <c r="G1883" i="1"/>
  <c r="F1883" i="1"/>
  <c r="G1867" i="1"/>
  <c r="F1867" i="1"/>
  <c r="G1851" i="1"/>
  <c r="F1851" i="1"/>
  <c r="G1835" i="1"/>
  <c r="F1835" i="1"/>
  <c r="G1819" i="1"/>
  <c r="F1819" i="1"/>
  <c r="G1803" i="1"/>
  <c r="F1803" i="1"/>
  <c r="G1787" i="1"/>
  <c r="F1787" i="1"/>
  <c r="G1771" i="1"/>
  <c r="F1771" i="1"/>
  <c r="G1755" i="1"/>
  <c r="F1755" i="1"/>
  <c r="G1739" i="1"/>
  <c r="F1739" i="1"/>
  <c r="G1723" i="1"/>
  <c r="F1723" i="1"/>
  <c r="G1707" i="1"/>
  <c r="F1707" i="1"/>
  <c r="G1691" i="1"/>
  <c r="F1691" i="1"/>
  <c r="G1675" i="1"/>
  <c r="F1675" i="1"/>
  <c r="G1659" i="1"/>
  <c r="F1659" i="1"/>
  <c r="G1643" i="1"/>
  <c r="F1643" i="1"/>
  <c r="G1627" i="1"/>
  <c r="F1627" i="1"/>
  <c r="G1611" i="1"/>
  <c r="F1611" i="1"/>
  <c r="G1595" i="1"/>
  <c r="F1595" i="1"/>
  <c r="G1579" i="1"/>
  <c r="F1579" i="1"/>
  <c r="G1563" i="1"/>
  <c r="F1563" i="1"/>
  <c r="G1547" i="1"/>
  <c r="F1547" i="1"/>
  <c r="G1531" i="1"/>
  <c r="F1531" i="1"/>
  <c r="G1515" i="1"/>
  <c r="F1515" i="1"/>
  <c r="G1499" i="1"/>
  <c r="F1499" i="1"/>
  <c r="G1483" i="1"/>
  <c r="F1483" i="1"/>
  <c r="G1467" i="1"/>
  <c r="F1467" i="1"/>
  <c r="G1451" i="1"/>
  <c r="F1451" i="1"/>
  <c r="G1435" i="1"/>
  <c r="F1435" i="1"/>
  <c r="G1419" i="1"/>
  <c r="F1419" i="1"/>
  <c r="G1403" i="1"/>
  <c r="F1403" i="1"/>
  <c r="G1387" i="1"/>
  <c r="F1387" i="1"/>
  <c r="G1371" i="1"/>
  <c r="F1371" i="1"/>
  <c r="G1355" i="1"/>
  <c r="F1355" i="1"/>
  <c r="G1339" i="1"/>
  <c r="F1339" i="1"/>
  <c r="G1323" i="1"/>
  <c r="F1323" i="1"/>
  <c r="G1307" i="1"/>
  <c r="F1307" i="1"/>
  <c r="F3108" i="1"/>
  <c r="F3067" i="1"/>
  <c r="F3020" i="1"/>
  <c r="F2972" i="1"/>
  <c r="F2924" i="1"/>
  <c r="F2846" i="1"/>
  <c r="F2770" i="1"/>
  <c r="F2691" i="1"/>
  <c r="F2613" i="1"/>
  <c r="F2533" i="1"/>
  <c r="F2450" i="1"/>
  <c r="F2355" i="1"/>
  <c r="G798" i="1"/>
  <c r="F798" i="1"/>
  <c r="G638" i="1"/>
  <c r="F638" i="1"/>
  <c r="G526" i="1"/>
  <c r="F526" i="1"/>
  <c r="G366" i="1"/>
  <c r="F366" i="1"/>
  <c r="G238" i="1"/>
  <c r="F238" i="1"/>
  <c r="G94" i="1"/>
  <c r="F94" i="1"/>
  <c r="G3116" i="1"/>
  <c r="F3116" i="1"/>
  <c r="G3004" i="1"/>
  <c r="F3004" i="1"/>
  <c r="G2140" i="1"/>
  <c r="F2140" i="1"/>
  <c r="G2012" i="1"/>
  <c r="F2012" i="1"/>
  <c r="G1868" i="1"/>
  <c r="F1868" i="1"/>
  <c r="G1708" i="1"/>
  <c r="F1708" i="1"/>
  <c r="G1564" i="1"/>
  <c r="F1564" i="1"/>
  <c r="G1436" i="1"/>
  <c r="F1436" i="1"/>
  <c r="G1324" i="1"/>
  <c r="F1324" i="1"/>
  <c r="G1277" i="1"/>
  <c r="F1277" i="1"/>
  <c r="G1245" i="1"/>
  <c r="F1245" i="1"/>
  <c r="G1213" i="1"/>
  <c r="F1213" i="1"/>
  <c r="G1197" i="1"/>
  <c r="F1197" i="1"/>
  <c r="G1165" i="1"/>
  <c r="F1165" i="1"/>
  <c r="G1133" i="1"/>
  <c r="F1133" i="1"/>
  <c r="G1101" i="1"/>
  <c r="F1101" i="1"/>
  <c r="G1069" i="1"/>
  <c r="F1069" i="1"/>
  <c r="G1037" i="1"/>
  <c r="F1037" i="1"/>
  <c r="G1005" i="1"/>
  <c r="F1005" i="1"/>
  <c r="G973" i="1"/>
  <c r="F973" i="1"/>
  <c r="G941" i="1"/>
  <c r="F941" i="1"/>
  <c r="G909" i="1"/>
  <c r="F909" i="1"/>
  <c r="G877" i="1"/>
  <c r="F877" i="1"/>
  <c r="G845" i="1"/>
  <c r="F845" i="1"/>
  <c r="G813" i="1"/>
  <c r="F813" i="1"/>
  <c r="G781" i="1"/>
  <c r="F781" i="1"/>
  <c r="G749" i="1"/>
  <c r="F749" i="1"/>
  <c r="G717" i="1"/>
  <c r="F717" i="1"/>
  <c r="G685" i="1"/>
  <c r="F685" i="1"/>
  <c r="G653" i="1"/>
  <c r="F653" i="1"/>
  <c r="G605" i="1"/>
  <c r="F605" i="1"/>
  <c r="G1292" i="1"/>
  <c r="F1292" i="1"/>
  <c r="G1276" i="1"/>
  <c r="F1276" i="1"/>
  <c r="G1260" i="1"/>
  <c r="F1260" i="1"/>
  <c r="G1244" i="1"/>
  <c r="F1244" i="1"/>
  <c r="G1228" i="1"/>
  <c r="F1228" i="1"/>
  <c r="G1212" i="1"/>
  <c r="F1212" i="1"/>
  <c r="G1196" i="1"/>
  <c r="F1196" i="1"/>
  <c r="G1180" i="1"/>
  <c r="F1180" i="1"/>
  <c r="G1164" i="1"/>
  <c r="F1164" i="1"/>
  <c r="G1148" i="1"/>
  <c r="F1148" i="1"/>
  <c r="G1132" i="1"/>
  <c r="F1132" i="1"/>
  <c r="G1116" i="1"/>
  <c r="F1116" i="1"/>
  <c r="G1100" i="1"/>
  <c r="F1100" i="1"/>
  <c r="G1084" i="1"/>
  <c r="F1084" i="1"/>
  <c r="G1068" i="1"/>
  <c r="F1068" i="1"/>
  <c r="G1052" i="1"/>
  <c r="F1052" i="1"/>
  <c r="G1036" i="1"/>
  <c r="F1036" i="1"/>
  <c r="G1020" i="1"/>
  <c r="F1020" i="1"/>
  <c r="G1004" i="1"/>
  <c r="F1004" i="1"/>
  <c r="G988" i="1"/>
  <c r="F988" i="1"/>
  <c r="G972" i="1"/>
  <c r="F972" i="1"/>
  <c r="G956" i="1"/>
  <c r="F956" i="1"/>
  <c r="G940" i="1"/>
  <c r="F940" i="1"/>
  <c r="G924" i="1"/>
  <c r="F924" i="1"/>
  <c r="G908" i="1"/>
  <c r="F908" i="1"/>
  <c r="G892" i="1"/>
  <c r="F892" i="1"/>
  <c r="G876" i="1"/>
  <c r="F876" i="1"/>
  <c r="G860" i="1"/>
  <c r="F860" i="1"/>
  <c r="G844" i="1"/>
  <c r="F844" i="1"/>
  <c r="G828" i="1"/>
  <c r="F828" i="1"/>
  <c r="G812" i="1"/>
  <c r="F812" i="1"/>
  <c r="G796" i="1"/>
  <c r="F796" i="1"/>
  <c r="G780" i="1"/>
  <c r="F780" i="1"/>
  <c r="G764" i="1"/>
  <c r="F764" i="1"/>
  <c r="G748" i="1"/>
  <c r="F748" i="1"/>
  <c r="G732" i="1"/>
  <c r="F732" i="1"/>
  <c r="G716" i="1"/>
  <c r="F716" i="1"/>
  <c r="G700" i="1"/>
  <c r="F700" i="1"/>
  <c r="G684" i="1"/>
  <c r="F684" i="1"/>
  <c r="G668" i="1"/>
  <c r="F668" i="1"/>
  <c r="G652" i="1"/>
  <c r="F652" i="1"/>
  <c r="G636" i="1"/>
  <c r="F636" i="1"/>
  <c r="G620" i="1"/>
  <c r="F620" i="1"/>
  <c r="G604" i="1"/>
  <c r="F604" i="1"/>
  <c r="G588" i="1"/>
  <c r="F588" i="1"/>
  <c r="G572" i="1"/>
  <c r="F572" i="1"/>
  <c r="G556" i="1"/>
  <c r="F556" i="1"/>
  <c r="G540" i="1"/>
  <c r="F540" i="1"/>
  <c r="G524" i="1"/>
  <c r="F524" i="1"/>
  <c r="G508" i="1"/>
  <c r="F508" i="1"/>
  <c r="G492" i="1"/>
  <c r="F492" i="1"/>
  <c r="G476" i="1"/>
  <c r="F476" i="1"/>
  <c r="G460" i="1"/>
  <c r="F460" i="1"/>
  <c r="G444" i="1"/>
  <c r="F444" i="1"/>
  <c r="G428" i="1"/>
  <c r="F428" i="1"/>
  <c r="G412" i="1"/>
  <c r="F412" i="1"/>
  <c r="G396" i="1"/>
  <c r="F396" i="1"/>
  <c r="G380" i="1"/>
  <c r="F380" i="1"/>
  <c r="G364" i="1"/>
  <c r="F364" i="1"/>
  <c r="G348" i="1"/>
  <c r="F348" i="1"/>
  <c r="G332" i="1"/>
  <c r="F332" i="1"/>
  <c r="G316" i="1"/>
  <c r="F316" i="1"/>
  <c r="G300" i="1"/>
  <c r="F300" i="1"/>
  <c r="G284" i="1"/>
  <c r="F284" i="1"/>
  <c r="G268" i="1"/>
  <c r="F268" i="1"/>
  <c r="G252" i="1"/>
  <c r="F252" i="1"/>
  <c r="G236" i="1"/>
  <c r="F236" i="1"/>
  <c r="G220" i="1"/>
  <c r="F220" i="1"/>
  <c r="G204" i="1"/>
  <c r="F204" i="1"/>
  <c r="G188" i="1"/>
  <c r="F188" i="1"/>
  <c r="G172" i="1"/>
  <c r="F172" i="1"/>
  <c r="G156" i="1"/>
  <c r="F156" i="1"/>
  <c r="G140" i="1"/>
  <c r="F140" i="1"/>
  <c r="G124" i="1"/>
  <c r="F124" i="1"/>
  <c r="G108" i="1"/>
  <c r="F108" i="1"/>
  <c r="G92" i="1"/>
  <c r="F92" i="1"/>
  <c r="G76" i="1"/>
  <c r="F76" i="1"/>
  <c r="G60" i="1"/>
  <c r="F60" i="1"/>
  <c r="G44" i="1"/>
  <c r="F44" i="1"/>
  <c r="G28" i="1"/>
  <c r="F28" i="1"/>
  <c r="G12" i="1"/>
  <c r="F12" i="1"/>
  <c r="G3130" i="1"/>
  <c r="F3130" i="1"/>
  <c r="F3114" i="1"/>
  <c r="G3114" i="1"/>
  <c r="G3098" i="1"/>
  <c r="F3098" i="1"/>
  <c r="G3082" i="1"/>
  <c r="F3082" i="1"/>
  <c r="G3066" i="1"/>
  <c r="F3066" i="1"/>
  <c r="G3018" i="1"/>
  <c r="F3018" i="1"/>
  <c r="G3002" i="1"/>
  <c r="F3002" i="1"/>
  <c r="G2970" i="1"/>
  <c r="F2970" i="1"/>
  <c r="G2922" i="1"/>
  <c r="F2922" i="1"/>
  <c r="G2906" i="1"/>
  <c r="F2906" i="1"/>
  <c r="G2890" i="1"/>
  <c r="F2890" i="1"/>
  <c r="G2874" i="1"/>
  <c r="F2874" i="1"/>
  <c r="G2858" i="1"/>
  <c r="F2858" i="1"/>
  <c r="G2826" i="1"/>
  <c r="F2826" i="1"/>
  <c r="G2810" i="1"/>
  <c r="F2810" i="1"/>
  <c r="G2794" i="1"/>
  <c r="F2794" i="1"/>
  <c r="G2778" i="1"/>
  <c r="F2778" i="1"/>
  <c r="G2762" i="1"/>
  <c r="F2762" i="1"/>
  <c r="G2746" i="1"/>
  <c r="F2746" i="1"/>
  <c r="G2714" i="1"/>
  <c r="F2714" i="1"/>
  <c r="G2698" i="1"/>
  <c r="F2698" i="1"/>
  <c r="G2682" i="1"/>
  <c r="F2682" i="1"/>
  <c r="G2650" i="1"/>
  <c r="F2650" i="1"/>
  <c r="G2634" i="1"/>
  <c r="F2634" i="1"/>
  <c r="G2618" i="1"/>
  <c r="F2618" i="1"/>
  <c r="G2602" i="1"/>
  <c r="F2602" i="1"/>
  <c r="G2554" i="1"/>
  <c r="F2554" i="1"/>
  <c r="G2538" i="1"/>
  <c r="F2538" i="1"/>
  <c r="G2522" i="1"/>
  <c r="F2522" i="1"/>
  <c r="G2474" i="1"/>
  <c r="F2474" i="1"/>
  <c r="G2458" i="1"/>
  <c r="F2458" i="1"/>
  <c r="G2426" i="1"/>
  <c r="F2426" i="1"/>
  <c r="G2410" i="1"/>
  <c r="F2410" i="1"/>
  <c r="G2394" i="1"/>
  <c r="F2394" i="1"/>
  <c r="G2378" i="1"/>
  <c r="F2378" i="1"/>
  <c r="G2362" i="1"/>
  <c r="F2362" i="1"/>
  <c r="G2346" i="1"/>
  <c r="F2346" i="1"/>
  <c r="G2314" i="1"/>
  <c r="F2314" i="1"/>
  <c r="G2298" i="1"/>
  <c r="F2298" i="1"/>
  <c r="G2266" i="1"/>
  <c r="F2266" i="1"/>
  <c r="G2250" i="1"/>
  <c r="F2250" i="1"/>
  <c r="G2234" i="1"/>
  <c r="F2234" i="1"/>
  <c r="G2218" i="1"/>
  <c r="F2218" i="1"/>
  <c r="G2202" i="1"/>
  <c r="F2202" i="1"/>
  <c r="G2186" i="1"/>
  <c r="F2186" i="1"/>
  <c r="G2170" i="1"/>
  <c r="F2170" i="1"/>
  <c r="G2154" i="1"/>
  <c r="F2154" i="1"/>
  <c r="G2138" i="1"/>
  <c r="F2138" i="1"/>
  <c r="G2122" i="1"/>
  <c r="F2122" i="1"/>
  <c r="G2106" i="1"/>
  <c r="F2106" i="1"/>
  <c r="G2090" i="1"/>
  <c r="F2090" i="1"/>
  <c r="G2074" i="1"/>
  <c r="F2074" i="1"/>
  <c r="G2058" i="1"/>
  <c r="F2058" i="1"/>
  <c r="G2042" i="1"/>
  <c r="F2042" i="1"/>
  <c r="G2026" i="1"/>
  <c r="F2026" i="1"/>
  <c r="G2010" i="1"/>
  <c r="F2010" i="1"/>
  <c r="G1994" i="1"/>
  <c r="F1994" i="1"/>
  <c r="G1978" i="1"/>
  <c r="F1978" i="1"/>
  <c r="G1962" i="1"/>
  <c r="F1962" i="1"/>
  <c r="G1946" i="1"/>
  <c r="F1946" i="1"/>
  <c r="G1930" i="1"/>
  <c r="F1930" i="1"/>
  <c r="G1914" i="1"/>
  <c r="F1914" i="1"/>
  <c r="G1898" i="1"/>
  <c r="F1898" i="1"/>
  <c r="G1882" i="1"/>
  <c r="F1882" i="1"/>
  <c r="G1866" i="1"/>
  <c r="F1866" i="1"/>
  <c r="G1850" i="1"/>
  <c r="F1850" i="1"/>
  <c r="G1834" i="1"/>
  <c r="F1834" i="1"/>
  <c r="G1818" i="1"/>
  <c r="F1818" i="1"/>
  <c r="G1802" i="1"/>
  <c r="F1802" i="1"/>
  <c r="G1786" i="1"/>
  <c r="F1786" i="1"/>
  <c r="G1770" i="1"/>
  <c r="F1770" i="1"/>
  <c r="G1754" i="1"/>
  <c r="F1754" i="1"/>
  <c r="G1738" i="1"/>
  <c r="F1738" i="1"/>
  <c r="G1722" i="1"/>
  <c r="F1722" i="1"/>
  <c r="G1706" i="1"/>
  <c r="F1706" i="1"/>
  <c r="G1690" i="1"/>
  <c r="F1690" i="1"/>
  <c r="G1674" i="1"/>
  <c r="F1674" i="1"/>
  <c r="G1658" i="1"/>
  <c r="F1658" i="1"/>
  <c r="G1642" i="1"/>
  <c r="F1642" i="1"/>
  <c r="G1626" i="1"/>
  <c r="F1626" i="1"/>
  <c r="G1610" i="1"/>
  <c r="F1610" i="1"/>
  <c r="G1594" i="1"/>
  <c r="F1594" i="1"/>
  <c r="G1578" i="1"/>
  <c r="F1578" i="1"/>
  <c r="G1562" i="1"/>
  <c r="F1562" i="1"/>
  <c r="G1546" i="1"/>
  <c r="F1546" i="1"/>
  <c r="G1530" i="1"/>
  <c r="F1530" i="1"/>
  <c r="G1514" i="1"/>
  <c r="F1514" i="1"/>
  <c r="G1498" i="1"/>
  <c r="F1498" i="1"/>
  <c r="G1482" i="1"/>
  <c r="F1482" i="1"/>
  <c r="G1466" i="1"/>
  <c r="F1466" i="1"/>
  <c r="G1450" i="1"/>
  <c r="F1450" i="1"/>
  <c r="G1434" i="1"/>
  <c r="F1434" i="1"/>
  <c r="G1418" i="1"/>
  <c r="F1418" i="1"/>
  <c r="G1402" i="1"/>
  <c r="F1402" i="1"/>
  <c r="G1386" i="1"/>
  <c r="F1386" i="1"/>
  <c r="G1370" i="1"/>
  <c r="F1370" i="1"/>
  <c r="G1354" i="1"/>
  <c r="F1354" i="1"/>
  <c r="G1338" i="1"/>
  <c r="F1338" i="1"/>
  <c r="G1322" i="1"/>
  <c r="F1322" i="1"/>
  <c r="G1306" i="1"/>
  <c r="F1306" i="1"/>
  <c r="F3107" i="1"/>
  <c r="F3061" i="1"/>
  <c r="F3017" i="1"/>
  <c r="F2971" i="1"/>
  <c r="F2921" i="1"/>
  <c r="F2843" i="1"/>
  <c r="F2764" i="1"/>
  <c r="F2686" i="1"/>
  <c r="F2610" i="1"/>
  <c r="F2530" i="1"/>
  <c r="F2443" i="1"/>
  <c r="F2330" i="1"/>
  <c r="F3058" i="1"/>
  <c r="F3016" i="1"/>
  <c r="F2969" i="1"/>
  <c r="F2920" i="1"/>
  <c r="F2842" i="1"/>
  <c r="F2763" i="1"/>
  <c r="F2685" i="1"/>
  <c r="F2442" i="1"/>
  <c r="F2307" i="1"/>
  <c r="G862" i="1"/>
  <c r="F862" i="1"/>
  <c r="G734" i="1"/>
  <c r="F734" i="1"/>
  <c r="G574" i="1"/>
  <c r="F574" i="1"/>
  <c r="G430" i="1"/>
  <c r="F430" i="1"/>
  <c r="G286" i="1"/>
  <c r="F286" i="1"/>
  <c r="G142" i="1"/>
  <c r="F142" i="1"/>
  <c r="G30" i="1"/>
  <c r="F30" i="1"/>
  <c r="G3052" i="1"/>
  <c r="F3052" i="1"/>
  <c r="G2908" i="1"/>
  <c r="F2908" i="1"/>
  <c r="G2796" i="1"/>
  <c r="F2796" i="1"/>
  <c r="G2684" i="1"/>
  <c r="F2684" i="1"/>
  <c r="G2540" i="1"/>
  <c r="F2540" i="1"/>
  <c r="G2396" i="1"/>
  <c r="F2396" i="1"/>
  <c r="G2236" i="1"/>
  <c r="F2236" i="1"/>
  <c r="G2044" i="1"/>
  <c r="F2044" i="1"/>
  <c r="G1916" i="1"/>
  <c r="F1916" i="1"/>
  <c r="G1772" i="1"/>
  <c r="F1772" i="1"/>
  <c r="G1628" i="1"/>
  <c r="F1628" i="1"/>
  <c r="G1452" i="1"/>
  <c r="F1452" i="1"/>
  <c r="G1291" i="1"/>
  <c r="F1291" i="1"/>
  <c r="G1195" i="1"/>
  <c r="F1195" i="1"/>
  <c r="G1083" i="1"/>
  <c r="F1083" i="1"/>
  <c r="G971" i="1"/>
  <c r="F971" i="1"/>
  <c r="G859" i="1"/>
  <c r="F859" i="1"/>
  <c r="G763" i="1"/>
  <c r="F763" i="1"/>
  <c r="G667" i="1"/>
  <c r="F667" i="1"/>
  <c r="G587" i="1"/>
  <c r="F587" i="1"/>
  <c r="G475" i="1"/>
  <c r="F475" i="1"/>
  <c r="G331" i="1"/>
  <c r="F331" i="1"/>
  <c r="G187" i="1"/>
  <c r="F187" i="1"/>
  <c r="G75" i="1"/>
  <c r="F75" i="1"/>
  <c r="G3113" i="1"/>
  <c r="F3113" i="1"/>
  <c r="G2825" i="1"/>
  <c r="F2825" i="1"/>
  <c r="G2713" i="1"/>
  <c r="F2713" i="1"/>
  <c r="G2105" i="1"/>
  <c r="F2105" i="1"/>
  <c r="G2009" i="1"/>
  <c r="F2009" i="1"/>
  <c r="G1897" i="1"/>
  <c r="F1897" i="1"/>
  <c r="G1817" i="1"/>
  <c r="F1817" i="1"/>
  <c r="G1721" i="1"/>
  <c r="F1721" i="1"/>
  <c r="G1609" i="1"/>
  <c r="F1609" i="1"/>
  <c r="G1513" i="1"/>
  <c r="F1513" i="1"/>
  <c r="G1417" i="1"/>
  <c r="F1417" i="1"/>
  <c r="G1321" i="1"/>
  <c r="F1321" i="1"/>
  <c r="G1258" i="1"/>
  <c r="F1258" i="1"/>
  <c r="G1114" i="1"/>
  <c r="F1114" i="1"/>
  <c r="G1002" i="1"/>
  <c r="F1002" i="1"/>
  <c r="G890" i="1"/>
  <c r="F890" i="1"/>
  <c r="G778" i="1"/>
  <c r="F778" i="1"/>
  <c r="G730" i="1"/>
  <c r="F730" i="1"/>
  <c r="G666" i="1"/>
  <c r="F666" i="1"/>
  <c r="G586" i="1"/>
  <c r="F586" i="1"/>
  <c r="G570" i="1"/>
  <c r="F570" i="1"/>
  <c r="G554" i="1"/>
  <c r="F554" i="1"/>
  <c r="G474" i="1"/>
  <c r="F474" i="1"/>
  <c r="G458" i="1"/>
  <c r="F458" i="1"/>
  <c r="G442" i="1"/>
  <c r="F442" i="1"/>
  <c r="G426" i="1"/>
  <c r="F426" i="1"/>
  <c r="G410" i="1"/>
  <c r="F410" i="1"/>
  <c r="G394" i="1"/>
  <c r="F394" i="1"/>
  <c r="G378" i="1"/>
  <c r="F378" i="1"/>
  <c r="G362" i="1"/>
  <c r="F362" i="1"/>
  <c r="G346" i="1"/>
  <c r="F346" i="1"/>
  <c r="G330" i="1"/>
  <c r="F330" i="1"/>
  <c r="G314" i="1"/>
  <c r="F314" i="1"/>
  <c r="G298" i="1"/>
  <c r="F298" i="1"/>
  <c r="G282" i="1"/>
  <c r="F282" i="1"/>
  <c r="G266" i="1"/>
  <c r="F266" i="1"/>
  <c r="G250" i="1"/>
  <c r="F250" i="1"/>
  <c r="G234" i="1"/>
  <c r="F234" i="1"/>
  <c r="G218" i="1"/>
  <c r="F218" i="1"/>
  <c r="G202" i="1"/>
  <c r="F202" i="1"/>
  <c r="G186" i="1"/>
  <c r="F186" i="1"/>
  <c r="G170" i="1"/>
  <c r="F170" i="1"/>
  <c r="G154" i="1"/>
  <c r="F154" i="1"/>
  <c r="G138" i="1"/>
  <c r="F138" i="1"/>
  <c r="G122" i="1"/>
  <c r="F122" i="1"/>
  <c r="G106" i="1"/>
  <c r="F106" i="1"/>
  <c r="G90" i="1"/>
  <c r="F90" i="1"/>
  <c r="G74" i="1"/>
  <c r="F74" i="1"/>
  <c r="G58" i="1"/>
  <c r="F58" i="1"/>
  <c r="G42" i="1"/>
  <c r="F42" i="1"/>
  <c r="G26" i="1"/>
  <c r="F26" i="1"/>
  <c r="G10" i="1"/>
  <c r="F10" i="1"/>
  <c r="G3128" i="1"/>
  <c r="F3128" i="1"/>
  <c r="G3112" i="1"/>
  <c r="F3112" i="1"/>
  <c r="G3096" i="1"/>
  <c r="F3096" i="1"/>
  <c r="G3080" i="1"/>
  <c r="F3080" i="1"/>
  <c r="G3064" i="1"/>
  <c r="F3064" i="1"/>
  <c r="G3048" i="1"/>
  <c r="F3048" i="1"/>
  <c r="G3032" i="1"/>
  <c r="F3032" i="1"/>
  <c r="G2984" i="1"/>
  <c r="F2984" i="1"/>
  <c r="G2968" i="1"/>
  <c r="F2968" i="1"/>
  <c r="G2936" i="1"/>
  <c r="F2936" i="1"/>
  <c r="G2904" i="1"/>
  <c r="F2904" i="1"/>
  <c r="G2888" i="1"/>
  <c r="F2888" i="1"/>
  <c r="G2872" i="1"/>
  <c r="F2872" i="1"/>
  <c r="G2856" i="1"/>
  <c r="F2856" i="1"/>
  <c r="G2792" i="1"/>
  <c r="F2792" i="1"/>
  <c r="G2776" i="1"/>
  <c r="F2776" i="1"/>
  <c r="G2760" i="1"/>
  <c r="F2760" i="1"/>
  <c r="G2728" i="1"/>
  <c r="F2728" i="1"/>
  <c r="G2712" i="1"/>
  <c r="F2712" i="1"/>
  <c r="G2696" i="1"/>
  <c r="F2696" i="1"/>
  <c r="G2680" i="1"/>
  <c r="F2680" i="1"/>
  <c r="G2616" i="1"/>
  <c r="F2616" i="1"/>
  <c r="G2600" i="1"/>
  <c r="F2600" i="1"/>
  <c r="G2584" i="1"/>
  <c r="F2584" i="1"/>
  <c r="G2568" i="1"/>
  <c r="F2568" i="1"/>
  <c r="G2552" i="1"/>
  <c r="F2552" i="1"/>
  <c r="G2536" i="1"/>
  <c r="F2536" i="1"/>
  <c r="G2520" i="1"/>
  <c r="F2520" i="1"/>
  <c r="G2504" i="1"/>
  <c r="F2504" i="1"/>
  <c r="G2488" i="1"/>
  <c r="F2488" i="1"/>
  <c r="G2472" i="1"/>
  <c r="F2472" i="1"/>
  <c r="G2456" i="1"/>
  <c r="F2456" i="1"/>
  <c r="G2424" i="1"/>
  <c r="F2424" i="1"/>
  <c r="G2408" i="1"/>
  <c r="F2408" i="1"/>
  <c r="G2392" i="1"/>
  <c r="F2392" i="1"/>
  <c r="G2376" i="1"/>
  <c r="F2376" i="1"/>
  <c r="G2344" i="1"/>
  <c r="F2344" i="1"/>
  <c r="F2328" i="1"/>
  <c r="G2328" i="1"/>
  <c r="G2312" i="1"/>
  <c r="F2312" i="1"/>
  <c r="G2296" i="1"/>
  <c r="F2296" i="1"/>
  <c r="G2280" i="1"/>
  <c r="F2280" i="1"/>
  <c r="G2264" i="1"/>
  <c r="F2264" i="1"/>
  <c r="G2248" i="1"/>
  <c r="F2248" i="1"/>
  <c r="G2232" i="1"/>
  <c r="F2232" i="1"/>
  <c r="G2216" i="1"/>
  <c r="F2216" i="1"/>
  <c r="G2200" i="1"/>
  <c r="F2200" i="1"/>
  <c r="G2184" i="1"/>
  <c r="F2184" i="1"/>
  <c r="G2168" i="1"/>
  <c r="F2168" i="1"/>
  <c r="G2152" i="1"/>
  <c r="F2152" i="1"/>
  <c r="G2136" i="1"/>
  <c r="F2136" i="1"/>
  <c r="G2120" i="1"/>
  <c r="F2120" i="1"/>
  <c r="G2104" i="1"/>
  <c r="F2104" i="1"/>
  <c r="G2088" i="1"/>
  <c r="F2088" i="1"/>
  <c r="G2072" i="1"/>
  <c r="F2072" i="1"/>
  <c r="G2056" i="1"/>
  <c r="F2056" i="1"/>
  <c r="G2040" i="1"/>
  <c r="F2040" i="1"/>
  <c r="G2024" i="1"/>
  <c r="F2024" i="1"/>
  <c r="G2008" i="1"/>
  <c r="F2008" i="1"/>
  <c r="G1992" i="1"/>
  <c r="F1992" i="1"/>
  <c r="G1976" i="1"/>
  <c r="F1976" i="1"/>
  <c r="G1960" i="1"/>
  <c r="F1960" i="1"/>
  <c r="G1944" i="1"/>
  <c r="F1944" i="1"/>
  <c r="G1928" i="1"/>
  <c r="F1928" i="1"/>
  <c r="G1912" i="1"/>
  <c r="F1912" i="1"/>
  <c r="G1896" i="1"/>
  <c r="F1896" i="1"/>
  <c r="G1880" i="1"/>
  <c r="F1880" i="1"/>
  <c r="G1864" i="1"/>
  <c r="F1864" i="1"/>
  <c r="G1848" i="1"/>
  <c r="F1848" i="1"/>
  <c r="G1832" i="1"/>
  <c r="F1832" i="1"/>
  <c r="G1816" i="1"/>
  <c r="F1816" i="1"/>
  <c r="G1800" i="1"/>
  <c r="F1800" i="1"/>
  <c r="G1784" i="1"/>
  <c r="F1784" i="1"/>
  <c r="G1768" i="1"/>
  <c r="F1768" i="1"/>
  <c r="G1752" i="1"/>
  <c r="F1752" i="1"/>
  <c r="G1736" i="1"/>
  <c r="F1736" i="1"/>
  <c r="G1720" i="1"/>
  <c r="F1720" i="1"/>
  <c r="G1704" i="1"/>
  <c r="F1704" i="1"/>
  <c r="G1688" i="1"/>
  <c r="F1688" i="1"/>
  <c r="G1672" i="1"/>
  <c r="F1672" i="1"/>
  <c r="G1656" i="1"/>
  <c r="F1656" i="1"/>
  <c r="G1640" i="1"/>
  <c r="F1640" i="1"/>
  <c r="G1624" i="1"/>
  <c r="F1624" i="1"/>
  <c r="G1608" i="1"/>
  <c r="F1608" i="1"/>
  <c r="G1592" i="1"/>
  <c r="F1592" i="1"/>
  <c r="G1576" i="1"/>
  <c r="F1576" i="1"/>
  <c r="G1560" i="1"/>
  <c r="F1560" i="1"/>
  <c r="G1544" i="1"/>
  <c r="F1544" i="1"/>
  <c r="G1528" i="1"/>
  <c r="F1528" i="1"/>
  <c r="G1512" i="1"/>
  <c r="F1512" i="1"/>
  <c r="G1496" i="1"/>
  <c r="F1496" i="1"/>
  <c r="G1480" i="1"/>
  <c r="F1480" i="1"/>
  <c r="G1464" i="1"/>
  <c r="F1464" i="1"/>
  <c r="G1448" i="1"/>
  <c r="F1448" i="1"/>
  <c r="G1432" i="1"/>
  <c r="F1432" i="1"/>
  <c r="G1416" i="1"/>
  <c r="F1416" i="1"/>
  <c r="G1400" i="1"/>
  <c r="F1400" i="1"/>
  <c r="G1384" i="1"/>
  <c r="F1384" i="1"/>
  <c r="G1368" i="1"/>
  <c r="F1368" i="1"/>
  <c r="G1352" i="1"/>
  <c r="F1352" i="1"/>
  <c r="G1336" i="1"/>
  <c r="F1336" i="1"/>
  <c r="G1320" i="1"/>
  <c r="F1320" i="1"/>
  <c r="G1304" i="1"/>
  <c r="F1304" i="1"/>
  <c r="F3102" i="1"/>
  <c r="F3056" i="1"/>
  <c r="F3010" i="1"/>
  <c r="F2966" i="1"/>
  <c r="F2918" i="1"/>
  <c r="F2840" i="1"/>
  <c r="F2761" i="1"/>
  <c r="F2683" i="1"/>
  <c r="F2605" i="1"/>
  <c r="F2523" i="1"/>
  <c r="F2440" i="1"/>
  <c r="F2282" i="1"/>
  <c r="G958" i="1"/>
  <c r="F958" i="1"/>
  <c r="G830" i="1"/>
  <c r="F830" i="1"/>
  <c r="G750" i="1"/>
  <c r="F750" i="1"/>
  <c r="G606" i="1"/>
  <c r="F606" i="1"/>
  <c r="G462" i="1"/>
  <c r="F462" i="1"/>
  <c r="G334" i="1"/>
  <c r="F334" i="1"/>
  <c r="G206" i="1"/>
  <c r="F206" i="1"/>
  <c r="G62" i="1"/>
  <c r="F62" i="1"/>
  <c r="G3100" i="1"/>
  <c r="F3100" i="1"/>
  <c r="G2956" i="1"/>
  <c r="F2956" i="1"/>
  <c r="G2860" i="1"/>
  <c r="F2860" i="1"/>
  <c r="G2732" i="1"/>
  <c r="F2732" i="1"/>
  <c r="G2620" i="1"/>
  <c r="F2620" i="1"/>
  <c r="G2492" i="1"/>
  <c r="F2492" i="1"/>
  <c r="G2364" i="1"/>
  <c r="F2364" i="1"/>
  <c r="G2252" i="1"/>
  <c r="F2252" i="1"/>
  <c r="G2108" i="1"/>
  <c r="F2108" i="1"/>
  <c r="G1932" i="1"/>
  <c r="F1932" i="1"/>
  <c r="G1852" i="1"/>
  <c r="F1852" i="1"/>
  <c r="G1724" i="1"/>
  <c r="F1724" i="1"/>
  <c r="G1596" i="1"/>
  <c r="F1596" i="1"/>
  <c r="G1500" i="1"/>
  <c r="F1500" i="1"/>
  <c r="G1356" i="1"/>
  <c r="F1356" i="1"/>
  <c r="G1227" i="1"/>
  <c r="F1227" i="1"/>
  <c r="G1115" i="1"/>
  <c r="F1115" i="1"/>
  <c r="G1003" i="1"/>
  <c r="F1003" i="1"/>
  <c r="G907" i="1"/>
  <c r="F907" i="1"/>
  <c r="G811" i="1"/>
  <c r="F811" i="1"/>
  <c r="G715" i="1"/>
  <c r="F715" i="1"/>
  <c r="G603" i="1"/>
  <c r="F603" i="1"/>
  <c r="G491" i="1"/>
  <c r="F491" i="1"/>
  <c r="G379" i="1"/>
  <c r="F379" i="1"/>
  <c r="G299" i="1"/>
  <c r="F299" i="1"/>
  <c r="G203" i="1"/>
  <c r="F203" i="1"/>
  <c r="G91" i="1"/>
  <c r="F91" i="1"/>
  <c r="G3129" i="1"/>
  <c r="F3129" i="1"/>
  <c r="G2649" i="1"/>
  <c r="F2649" i="1"/>
  <c r="G2537" i="1"/>
  <c r="F2537" i="1"/>
  <c r="G2457" i="1"/>
  <c r="F2457" i="1"/>
  <c r="G2345" i="1"/>
  <c r="F2345" i="1"/>
  <c r="G2025" i="1"/>
  <c r="F2025" i="1"/>
  <c r="G1913" i="1"/>
  <c r="F1913" i="1"/>
  <c r="G1769" i="1"/>
  <c r="F1769" i="1"/>
  <c r="G1657" i="1"/>
  <c r="F1657" i="1"/>
  <c r="G1561" i="1"/>
  <c r="F1561" i="1"/>
  <c r="G1449" i="1"/>
  <c r="F1449" i="1"/>
  <c r="G1337" i="1"/>
  <c r="F1337" i="1"/>
  <c r="G1210" i="1"/>
  <c r="F1210" i="1"/>
  <c r="G1098" i="1"/>
  <c r="F1098" i="1"/>
  <c r="G986" i="1"/>
  <c r="F986" i="1"/>
  <c r="G826" i="1"/>
  <c r="F826" i="1"/>
  <c r="G1001" i="1"/>
  <c r="F1001" i="1"/>
  <c r="G921" i="1"/>
  <c r="F921" i="1"/>
  <c r="G857" i="1"/>
  <c r="F857" i="1"/>
  <c r="G761" i="1"/>
  <c r="F761" i="1"/>
  <c r="G617" i="1"/>
  <c r="F617" i="1"/>
  <c r="G521" i="1"/>
  <c r="F521" i="1"/>
  <c r="G425" i="1"/>
  <c r="F425" i="1"/>
  <c r="G313" i="1"/>
  <c r="F313" i="1"/>
  <c r="G217" i="1"/>
  <c r="F217" i="1"/>
  <c r="G153" i="1"/>
  <c r="F153" i="1"/>
  <c r="G89" i="1"/>
  <c r="F89" i="1"/>
  <c r="G73" i="1"/>
  <c r="F73" i="1"/>
  <c r="G57" i="1"/>
  <c r="F57" i="1"/>
  <c r="G41" i="1"/>
  <c r="F41" i="1"/>
  <c r="G25" i="1"/>
  <c r="F25" i="1"/>
  <c r="G9" i="1"/>
  <c r="F9" i="1"/>
  <c r="G3079" i="1"/>
  <c r="F3079" i="1"/>
  <c r="G3063" i="1"/>
  <c r="F3063" i="1"/>
  <c r="G3047" i="1"/>
  <c r="F3047" i="1"/>
  <c r="G3031" i="1"/>
  <c r="F3031" i="1"/>
  <c r="G3015" i="1"/>
  <c r="F3015" i="1"/>
  <c r="G2967" i="1"/>
  <c r="F2967" i="1"/>
  <c r="G2951" i="1"/>
  <c r="F2951" i="1"/>
  <c r="G2919" i="1"/>
  <c r="F2919" i="1"/>
  <c r="G2903" i="1"/>
  <c r="F2903" i="1"/>
  <c r="G2887" i="1"/>
  <c r="F2887" i="1"/>
  <c r="G2871" i="1"/>
  <c r="F2871" i="1"/>
  <c r="G2855" i="1"/>
  <c r="F2855" i="1"/>
  <c r="G2839" i="1"/>
  <c r="F2839" i="1"/>
  <c r="G2807" i="1"/>
  <c r="F2807" i="1"/>
  <c r="G2791" i="1"/>
  <c r="F2791" i="1"/>
  <c r="G2775" i="1"/>
  <c r="F2775" i="1"/>
  <c r="G2759" i="1"/>
  <c r="F2759" i="1"/>
  <c r="G2743" i="1"/>
  <c r="F2743" i="1"/>
  <c r="G2727" i="1"/>
  <c r="F2727" i="1"/>
  <c r="G2711" i="1"/>
  <c r="F2711" i="1"/>
  <c r="G2695" i="1"/>
  <c r="F2695" i="1"/>
  <c r="G2679" i="1"/>
  <c r="F2679" i="1"/>
  <c r="G2663" i="1"/>
  <c r="F2663" i="1"/>
  <c r="G2631" i="1"/>
  <c r="F2631" i="1"/>
  <c r="G2615" i="1"/>
  <c r="F2615" i="1"/>
  <c r="G2599" i="1"/>
  <c r="F2599" i="1"/>
  <c r="G2583" i="1"/>
  <c r="F2583" i="1"/>
  <c r="G2551" i="1"/>
  <c r="F2551" i="1"/>
  <c r="G2535" i="1"/>
  <c r="F2535" i="1"/>
  <c r="G2519" i="1"/>
  <c r="F2519" i="1"/>
  <c r="G2471" i="1"/>
  <c r="F2471" i="1"/>
  <c r="G2455" i="1"/>
  <c r="F2455" i="1"/>
  <c r="G2439" i="1"/>
  <c r="F2439" i="1"/>
  <c r="G2407" i="1"/>
  <c r="F2407" i="1"/>
  <c r="G2391" i="1"/>
  <c r="F2391" i="1"/>
  <c r="G2375" i="1"/>
  <c r="F2375" i="1"/>
  <c r="G2343" i="1"/>
  <c r="F2343" i="1"/>
  <c r="G2327" i="1"/>
  <c r="F2327" i="1"/>
  <c r="G2311" i="1"/>
  <c r="F2311" i="1"/>
  <c r="G2295" i="1"/>
  <c r="F2295" i="1"/>
  <c r="G2279" i="1"/>
  <c r="F2279" i="1"/>
  <c r="G2263" i="1"/>
  <c r="F2263" i="1"/>
  <c r="G2247" i="1"/>
  <c r="F2247" i="1"/>
  <c r="G2231" i="1"/>
  <c r="F2231" i="1"/>
  <c r="G2215" i="1"/>
  <c r="F2215" i="1"/>
  <c r="G2199" i="1"/>
  <c r="F2199" i="1"/>
  <c r="G2183" i="1"/>
  <c r="F2183" i="1"/>
  <c r="G2167" i="1"/>
  <c r="F2167" i="1"/>
  <c r="G2151" i="1"/>
  <c r="F2151" i="1"/>
  <c r="G2135" i="1"/>
  <c r="F2135" i="1"/>
  <c r="G2119" i="1"/>
  <c r="F2119" i="1"/>
  <c r="G2103" i="1"/>
  <c r="F2103" i="1"/>
  <c r="G2087" i="1"/>
  <c r="F2087" i="1"/>
  <c r="G2071" i="1"/>
  <c r="F2071" i="1"/>
  <c r="G2055" i="1"/>
  <c r="F2055" i="1"/>
  <c r="G2039" i="1"/>
  <c r="F2039" i="1"/>
  <c r="G2023" i="1"/>
  <c r="F2023" i="1"/>
  <c r="G2007" i="1"/>
  <c r="F2007" i="1"/>
  <c r="G1991" i="1"/>
  <c r="F1991" i="1"/>
  <c r="G1975" i="1"/>
  <c r="F1975" i="1"/>
  <c r="G1959" i="1"/>
  <c r="F1959" i="1"/>
  <c r="G1943" i="1"/>
  <c r="F1943" i="1"/>
  <c r="G1927" i="1"/>
  <c r="F1927" i="1"/>
  <c r="G1911" i="1"/>
  <c r="F1911" i="1"/>
  <c r="G1895" i="1"/>
  <c r="F1895" i="1"/>
  <c r="G1879" i="1"/>
  <c r="F1879" i="1"/>
  <c r="G1863" i="1"/>
  <c r="F1863" i="1"/>
  <c r="G1847" i="1"/>
  <c r="F1847" i="1"/>
  <c r="G1831" i="1"/>
  <c r="F1831" i="1"/>
  <c r="G1815" i="1"/>
  <c r="F1815" i="1"/>
  <c r="G1799" i="1"/>
  <c r="F1799" i="1"/>
  <c r="G1783" i="1"/>
  <c r="F1783" i="1"/>
  <c r="G1767" i="1"/>
  <c r="F1767" i="1"/>
  <c r="G1751" i="1"/>
  <c r="F1751" i="1"/>
  <c r="G1735" i="1"/>
  <c r="F1735" i="1"/>
  <c r="G1719" i="1"/>
  <c r="F1719" i="1"/>
  <c r="G1703" i="1"/>
  <c r="F1703" i="1"/>
  <c r="G1687" i="1"/>
  <c r="F1687" i="1"/>
  <c r="G1671" i="1"/>
  <c r="F1671" i="1"/>
  <c r="G1655" i="1"/>
  <c r="F1655" i="1"/>
  <c r="G1639" i="1"/>
  <c r="F1639" i="1"/>
  <c r="G1623" i="1"/>
  <c r="F1623" i="1"/>
  <c r="G1607" i="1"/>
  <c r="F1607" i="1"/>
  <c r="G1591" i="1"/>
  <c r="F1591" i="1"/>
  <c r="G1575" i="1"/>
  <c r="F1575" i="1"/>
  <c r="G1559" i="1"/>
  <c r="F1559" i="1"/>
  <c r="G1543" i="1"/>
  <c r="F1543" i="1"/>
  <c r="G1527" i="1"/>
  <c r="F1527" i="1"/>
  <c r="G1511" i="1"/>
  <c r="F1511" i="1"/>
  <c r="G1495" i="1"/>
  <c r="F1495" i="1"/>
  <c r="G1479" i="1"/>
  <c r="F1479" i="1"/>
  <c r="G1463" i="1"/>
  <c r="F1463" i="1"/>
  <c r="G1447" i="1"/>
  <c r="F1447" i="1"/>
  <c r="G1431" i="1"/>
  <c r="F1431" i="1"/>
  <c r="G1415" i="1"/>
  <c r="F1415" i="1"/>
  <c r="G1399" i="1"/>
  <c r="F1399" i="1"/>
  <c r="G1383" i="1"/>
  <c r="F1383" i="1"/>
  <c r="G1367" i="1"/>
  <c r="F1367" i="1"/>
  <c r="G1351" i="1"/>
  <c r="F1351" i="1"/>
  <c r="G1335" i="1"/>
  <c r="F1335" i="1"/>
  <c r="G1319" i="1"/>
  <c r="F1319" i="1"/>
  <c r="G1303" i="1"/>
  <c r="F1303" i="1"/>
  <c r="F3140" i="1"/>
  <c r="F3101" i="1"/>
  <c r="F3054" i="1"/>
  <c r="F3006" i="1"/>
  <c r="F2965" i="1"/>
  <c r="F2905" i="1"/>
  <c r="F2827" i="1"/>
  <c r="F2749" i="1"/>
  <c r="F2670" i="1"/>
  <c r="F2594" i="1"/>
  <c r="F2427" i="1"/>
  <c r="F2258" i="1"/>
  <c r="G910" i="1"/>
  <c r="F910" i="1"/>
  <c r="G782" i="1"/>
  <c r="F782" i="1"/>
  <c r="G654" i="1"/>
  <c r="F654" i="1"/>
  <c r="G446" i="1"/>
  <c r="F446" i="1"/>
  <c r="G190" i="1"/>
  <c r="F190" i="1"/>
  <c r="G2940" i="1"/>
  <c r="F2940" i="1"/>
  <c r="G2828" i="1"/>
  <c r="F2828" i="1"/>
  <c r="G2652" i="1"/>
  <c r="F2652" i="1"/>
  <c r="G2508" i="1"/>
  <c r="F2508" i="1"/>
  <c r="G2316" i="1"/>
  <c r="F2316" i="1"/>
  <c r="G2156" i="1"/>
  <c r="F2156" i="1"/>
  <c r="G1980" i="1"/>
  <c r="F1980" i="1"/>
  <c r="G1820" i="1"/>
  <c r="F1820" i="1"/>
  <c r="G1660" i="1"/>
  <c r="F1660" i="1"/>
  <c r="G1484" i="1"/>
  <c r="F1484" i="1"/>
  <c r="G1211" i="1"/>
  <c r="F1211" i="1"/>
  <c r="G1099" i="1"/>
  <c r="F1099" i="1"/>
  <c r="G987" i="1"/>
  <c r="F987" i="1"/>
  <c r="G891" i="1"/>
  <c r="F891" i="1"/>
  <c r="G779" i="1"/>
  <c r="F779" i="1"/>
  <c r="G699" i="1"/>
  <c r="F699" i="1"/>
  <c r="G571" i="1"/>
  <c r="F571" i="1"/>
  <c r="G427" i="1"/>
  <c r="F427" i="1"/>
  <c r="G283" i="1"/>
  <c r="F283" i="1"/>
  <c r="G139" i="1"/>
  <c r="F139" i="1"/>
  <c r="G27" i="1"/>
  <c r="F27" i="1"/>
  <c r="G3065" i="1"/>
  <c r="F3065" i="1"/>
  <c r="G2809" i="1"/>
  <c r="F2809" i="1"/>
  <c r="G2697" i="1"/>
  <c r="F2697" i="1"/>
  <c r="G2585" i="1"/>
  <c r="F2585" i="1"/>
  <c r="G2473" i="1"/>
  <c r="F2473" i="1"/>
  <c r="G2361" i="1"/>
  <c r="F2361" i="1"/>
  <c r="G2265" i="1"/>
  <c r="F2265" i="1"/>
  <c r="G2153" i="1"/>
  <c r="F2153" i="1"/>
  <c r="G2041" i="1"/>
  <c r="F2041" i="1"/>
  <c r="G1929" i="1"/>
  <c r="F1929" i="1"/>
  <c r="G1849" i="1"/>
  <c r="F1849" i="1"/>
  <c r="G1737" i="1"/>
  <c r="F1737" i="1"/>
  <c r="G1641" i="1"/>
  <c r="F1641" i="1"/>
  <c r="G1529" i="1"/>
  <c r="F1529" i="1"/>
  <c r="G1433" i="1"/>
  <c r="F1433" i="1"/>
  <c r="G1305" i="1"/>
  <c r="F1305" i="1"/>
  <c r="G1226" i="1"/>
  <c r="F1226" i="1"/>
  <c r="G1130" i="1"/>
  <c r="F1130" i="1"/>
  <c r="G1034" i="1"/>
  <c r="F1034" i="1"/>
  <c r="G906" i="1"/>
  <c r="F906" i="1"/>
  <c r="G794" i="1"/>
  <c r="F794" i="1"/>
  <c r="G650" i="1"/>
  <c r="F650" i="1"/>
  <c r="G1241" i="1"/>
  <c r="F1241" i="1"/>
  <c r="G649" i="1"/>
  <c r="F649" i="1"/>
  <c r="G489" i="1"/>
  <c r="F489" i="1"/>
  <c r="G441" i="1"/>
  <c r="F441" i="1"/>
  <c r="G377" i="1"/>
  <c r="F377" i="1"/>
  <c r="G329" i="1"/>
  <c r="F329" i="1"/>
  <c r="G265" i="1"/>
  <c r="F265" i="1"/>
  <c r="G201" i="1"/>
  <c r="F201" i="1"/>
  <c r="G137" i="1"/>
  <c r="F137" i="1"/>
  <c r="G105" i="1"/>
  <c r="F105" i="1"/>
  <c r="G1256" i="1"/>
  <c r="F1256" i="1"/>
  <c r="G1192" i="1"/>
  <c r="F1192" i="1"/>
  <c r="G1112" i="1"/>
  <c r="F1112" i="1"/>
  <c r="G1064" i="1"/>
  <c r="F1064" i="1"/>
  <c r="G1016" i="1"/>
  <c r="F1016" i="1"/>
  <c r="G968" i="1"/>
  <c r="F968" i="1"/>
  <c r="G920" i="1"/>
  <c r="F920" i="1"/>
  <c r="G888" i="1"/>
  <c r="F888" i="1"/>
  <c r="G840" i="1"/>
  <c r="F840" i="1"/>
  <c r="G824" i="1"/>
  <c r="F824" i="1"/>
  <c r="G792" i="1"/>
  <c r="F792" i="1"/>
  <c r="G760" i="1"/>
  <c r="F760" i="1"/>
  <c r="G744" i="1"/>
  <c r="F744" i="1"/>
  <c r="G728" i="1"/>
  <c r="F728" i="1"/>
  <c r="G712" i="1"/>
  <c r="F712" i="1"/>
  <c r="G696" i="1"/>
  <c r="F696" i="1"/>
  <c r="G680" i="1"/>
  <c r="F680" i="1"/>
  <c r="G664" i="1"/>
  <c r="F664" i="1"/>
  <c r="G648" i="1"/>
  <c r="F648" i="1"/>
  <c r="G632" i="1"/>
  <c r="F632" i="1"/>
  <c r="G616" i="1"/>
  <c r="F616" i="1"/>
  <c r="G600" i="1"/>
  <c r="F600" i="1"/>
  <c r="G584" i="1"/>
  <c r="F584" i="1"/>
  <c r="G568" i="1"/>
  <c r="F568" i="1"/>
  <c r="G552" i="1"/>
  <c r="F552" i="1"/>
  <c r="G536" i="1"/>
  <c r="F536" i="1"/>
  <c r="G520" i="1"/>
  <c r="F520" i="1"/>
  <c r="G504" i="1"/>
  <c r="F504" i="1"/>
  <c r="G488" i="1"/>
  <c r="F488" i="1"/>
  <c r="G472" i="1"/>
  <c r="F472" i="1"/>
  <c r="G456" i="1"/>
  <c r="F456" i="1"/>
  <c r="G440" i="1"/>
  <c r="F440" i="1"/>
  <c r="G424" i="1"/>
  <c r="F424" i="1"/>
  <c r="G408" i="1"/>
  <c r="F408" i="1"/>
  <c r="G392" i="1"/>
  <c r="F392" i="1"/>
  <c r="G376" i="1"/>
  <c r="F376" i="1"/>
  <c r="G360" i="1"/>
  <c r="F360" i="1"/>
  <c r="G344" i="1"/>
  <c r="F344" i="1"/>
  <c r="G328" i="1"/>
  <c r="F328" i="1"/>
  <c r="G312" i="1"/>
  <c r="F312" i="1"/>
  <c r="G296" i="1"/>
  <c r="F296" i="1"/>
  <c r="G280" i="1"/>
  <c r="F280" i="1"/>
  <c r="G264" i="1"/>
  <c r="F264" i="1"/>
  <c r="G248" i="1"/>
  <c r="F248" i="1"/>
  <c r="G232" i="1"/>
  <c r="F232" i="1"/>
  <c r="G216" i="1"/>
  <c r="F216" i="1"/>
  <c r="G200" i="1"/>
  <c r="F200" i="1"/>
  <c r="G184" i="1"/>
  <c r="F184" i="1"/>
  <c r="G168" i="1"/>
  <c r="F168" i="1"/>
  <c r="G152" i="1"/>
  <c r="F152" i="1"/>
  <c r="G136" i="1"/>
  <c r="F136" i="1"/>
  <c r="G120" i="1"/>
  <c r="F120" i="1"/>
  <c r="G104" i="1"/>
  <c r="F104" i="1"/>
  <c r="G88" i="1"/>
  <c r="F88" i="1"/>
  <c r="G72" i="1"/>
  <c r="F72" i="1"/>
  <c r="G56" i="1"/>
  <c r="F56" i="1"/>
  <c r="G40" i="1"/>
  <c r="F40" i="1"/>
  <c r="G24" i="1"/>
  <c r="F24" i="1"/>
  <c r="G8" i="1"/>
  <c r="F8" i="1"/>
  <c r="G3126" i="1"/>
  <c r="F3126" i="1"/>
  <c r="G3110" i="1"/>
  <c r="F3110" i="1"/>
  <c r="G3094" i="1"/>
  <c r="F3094" i="1"/>
  <c r="G3062" i="1"/>
  <c r="F3062" i="1"/>
  <c r="G3046" i="1"/>
  <c r="F3046" i="1"/>
  <c r="G3030" i="1"/>
  <c r="F3030" i="1"/>
  <c r="G3014" i="1"/>
  <c r="F3014" i="1"/>
  <c r="G2998" i="1"/>
  <c r="F2998" i="1"/>
  <c r="G2950" i="1"/>
  <c r="F2950" i="1"/>
  <c r="G2934" i="1"/>
  <c r="F2934" i="1"/>
  <c r="G2870" i="1"/>
  <c r="F2870" i="1"/>
  <c r="G2854" i="1"/>
  <c r="F2854" i="1"/>
  <c r="G2838" i="1"/>
  <c r="F2838" i="1"/>
  <c r="G2822" i="1"/>
  <c r="F2822" i="1"/>
  <c r="G2806" i="1"/>
  <c r="F2806" i="1"/>
  <c r="G2790" i="1"/>
  <c r="F2790" i="1"/>
  <c r="G2774" i="1"/>
  <c r="F2774" i="1"/>
  <c r="G2758" i="1"/>
  <c r="F2758" i="1"/>
  <c r="G2694" i="1"/>
  <c r="F2694" i="1"/>
  <c r="G2678" i="1"/>
  <c r="F2678" i="1"/>
  <c r="G2662" i="1"/>
  <c r="F2662" i="1"/>
  <c r="G2646" i="1"/>
  <c r="F2646" i="1"/>
  <c r="G2630" i="1"/>
  <c r="F2630" i="1"/>
  <c r="G2614" i="1"/>
  <c r="F2614" i="1"/>
  <c r="G2598" i="1"/>
  <c r="F2598" i="1"/>
  <c r="G2582" i="1"/>
  <c r="F2582" i="1"/>
  <c r="G2566" i="1"/>
  <c r="F2566" i="1"/>
  <c r="G2534" i="1"/>
  <c r="F2534" i="1"/>
  <c r="G2518" i="1"/>
  <c r="F2518" i="1"/>
  <c r="G2502" i="1"/>
  <c r="F2502" i="1"/>
  <c r="G2486" i="1"/>
  <c r="F2486" i="1"/>
  <c r="G2454" i="1"/>
  <c r="F2454" i="1"/>
  <c r="G2438" i="1"/>
  <c r="F2438" i="1"/>
  <c r="G2406" i="1"/>
  <c r="F2406" i="1"/>
  <c r="G2390" i="1"/>
  <c r="F2390" i="1"/>
  <c r="G2374" i="1"/>
  <c r="F2374" i="1"/>
  <c r="G2358" i="1"/>
  <c r="F2358" i="1"/>
  <c r="G2342" i="1"/>
  <c r="F2342" i="1"/>
  <c r="G2326" i="1"/>
  <c r="F2326" i="1"/>
  <c r="G2310" i="1"/>
  <c r="F2310" i="1"/>
  <c r="G2294" i="1"/>
  <c r="F2294" i="1"/>
  <c r="G2278" i="1"/>
  <c r="F2278" i="1"/>
  <c r="G2262" i="1"/>
  <c r="F2262" i="1"/>
  <c r="G2246" i="1"/>
  <c r="F2246" i="1"/>
  <c r="G2230" i="1"/>
  <c r="F2230" i="1"/>
  <c r="G2214" i="1"/>
  <c r="F2214" i="1"/>
  <c r="G2198" i="1"/>
  <c r="F2198" i="1"/>
  <c r="G2182" i="1"/>
  <c r="F2182" i="1"/>
  <c r="G2166" i="1"/>
  <c r="F2166" i="1"/>
  <c r="G2150" i="1"/>
  <c r="F2150" i="1"/>
  <c r="G2118" i="1"/>
  <c r="F2118" i="1"/>
  <c r="G2102" i="1"/>
  <c r="F2102" i="1"/>
  <c r="G2086" i="1"/>
  <c r="F2086" i="1"/>
  <c r="G2070" i="1"/>
  <c r="F2070" i="1"/>
  <c r="G2054" i="1"/>
  <c r="F2054" i="1"/>
  <c r="G2038" i="1"/>
  <c r="F2038" i="1"/>
  <c r="G2022" i="1"/>
  <c r="F2022" i="1"/>
  <c r="G2006" i="1"/>
  <c r="F2006" i="1"/>
  <c r="G1990" i="1"/>
  <c r="F1990" i="1"/>
  <c r="G1974" i="1"/>
  <c r="F1974" i="1"/>
  <c r="G1958" i="1"/>
  <c r="F1958" i="1"/>
  <c r="G1942" i="1"/>
  <c r="F1942" i="1"/>
  <c r="G1926" i="1"/>
  <c r="F1926" i="1"/>
  <c r="G1910" i="1"/>
  <c r="F1910" i="1"/>
  <c r="G1894" i="1"/>
  <c r="F1894" i="1"/>
  <c r="G1878" i="1"/>
  <c r="F1878" i="1"/>
  <c r="G1862" i="1"/>
  <c r="F1862" i="1"/>
  <c r="G1846" i="1"/>
  <c r="F1846" i="1"/>
  <c r="G1830" i="1"/>
  <c r="F1830" i="1"/>
  <c r="G1814" i="1"/>
  <c r="F1814" i="1"/>
  <c r="G1798" i="1"/>
  <c r="F1798" i="1"/>
  <c r="G1782" i="1"/>
  <c r="F1782" i="1"/>
  <c r="G1766" i="1"/>
  <c r="F1766" i="1"/>
  <c r="G1750" i="1"/>
  <c r="F1750" i="1"/>
  <c r="G1734" i="1"/>
  <c r="F1734" i="1"/>
  <c r="G1718" i="1"/>
  <c r="F1718" i="1"/>
  <c r="G1702" i="1"/>
  <c r="F1702" i="1"/>
  <c r="G1686" i="1"/>
  <c r="F1686" i="1"/>
  <c r="G1670" i="1"/>
  <c r="F1670" i="1"/>
  <c r="G1654" i="1"/>
  <c r="F1654" i="1"/>
  <c r="G1638" i="1"/>
  <c r="F1638" i="1"/>
  <c r="G1622" i="1"/>
  <c r="F1622" i="1"/>
  <c r="G1606" i="1"/>
  <c r="F1606" i="1"/>
  <c r="G1590" i="1"/>
  <c r="F1590" i="1"/>
  <c r="G1574" i="1"/>
  <c r="F1574" i="1"/>
  <c r="G1558" i="1"/>
  <c r="F1558" i="1"/>
  <c r="G1542" i="1"/>
  <c r="F1542" i="1"/>
  <c r="G1526" i="1"/>
  <c r="F1526" i="1"/>
  <c r="G1510" i="1"/>
  <c r="F1510" i="1"/>
  <c r="G1494" i="1"/>
  <c r="F1494" i="1"/>
  <c r="G1478" i="1"/>
  <c r="F1478" i="1"/>
  <c r="G1462" i="1"/>
  <c r="F1462" i="1"/>
  <c r="G1446" i="1"/>
  <c r="F1446" i="1"/>
  <c r="G1430" i="1"/>
  <c r="F1430" i="1"/>
  <c r="G1414" i="1"/>
  <c r="F1414" i="1"/>
  <c r="G1398" i="1"/>
  <c r="F1398" i="1"/>
  <c r="G1382" i="1"/>
  <c r="F1382" i="1"/>
  <c r="G1366" i="1"/>
  <c r="F1366" i="1"/>
  <c r="G1350" i="1"/>
  <c r="F1350" i="1"/>
  <c r="G1334" i="1"/>
  <c r="F1334" i="1"/>
  <c r="G1318" i="1"/>
  <c r="F1318" i="1"/>
  <c r="F3139" i="1"/>
  <c r="F3095" i="1"/>
  <c r="F3051" i="1"/>
  <c r="F3005" i="1"/>
  <c r="F2958" i="1"/>
  <c r="F2902" i="1"/>
  <c r="F2824" i="1"/>
  <c r="F2745" i="1"/>
  <c r="F2667" i="1"/>
  <c r="F2589" i="1"/>
  <c r="F2507" i="1"/>
  <c r="F2423" i="1"/>
  <c r="F2233" i="1"/>
  <c r="G926" i="1"/>
  <c r="F926" i="1"/>
  <c r="G814" i="1"/>
  <c r="F814" i="1"/>
  <c r="G718" i="1"/>
  <c r="F718" i="1"/>
  <c r="G558" i="1"/>
  <c r="F558" i="1"/>
  <c r="G398" i="1"/>
  <c r="F398" i="1"/>
  <c r="G254" i="1"/>
  <c r="F254" i="1"/>
  <c r="G110" i="1"/>
  <c r="F110" i="1"/>
  <c r="G3132" i="1"/>
  <c r="F3132" i="1"/>
  <c r="G3036" i="1"/>
  <c r="F3036" i="1"/>
  <c r="G2892" i="1"/>
  <c r="F2892" i="1"/>
  <c r="G2748" i="1"/>
  <c r="F2748" i="1"/>
  <c r="G2636" i="1"/>
  <c r="F2636" i="1"/>
  <c r="G2524" i="1"/>
  <c r="F2524" i="1"/>
  <c r="G2428" i="1"/>
  <c r="F2428" i="1"/>
  <c r="G2284" i="1"/>
  <c r="F2284" i="1"/>
  <c r="G2188" i="1"/>
  <c r="F2188" i="1"/>
  <c r="G2076" i="1"/>
  <c r="F2076" i="1"/>
  <c r="G1948" i="1"/>
  <c r="F1948" i="1"/>
  <c r="G1836" i="1"/>
  <c r="F1836" i="1"/>
  <c r="G1612" i="1"/>
  <c r="F1612" i="1"/>
  <c r="G1372" i="1"/>
  <c r="F1372" i="1"/>
  <c r="G1275" i="1"/>
  <c r="F1275" i="1"/>
  <c r="G1147" i="1"/>
  <c r="F1147" i="1"/>
  <c r="G1019" i="1"/>
  <c r="F1019" i="1"/>
  <c r="G875" i="1"/>
  <c r="F875" i="1"/>
  <c r="G683" i="1"/>
  <c r="F683" i="1"/>
  <c r="G555" i="1"/>
  <c r="F555" i="1"/>
  <c r="G395" i="1"/>
  <c r="F395" i="1"/>
  <c r="G267" i="1"/>
  <c r="F267" i="1"/>
  <c r="G123" i="1"/>
  <c r="F123" i="1"/>
  <c r="G3049" i="1"/>
  <c r="F3049" i="1"/>
  <c r="G2953" i="1"/>
  <c r="F2953" i="1"/>
  <c r="G2841" i="1"/>
  <c r="F2841" i="1"/>
  <c r="G2729" i="1"/>
  <c r="F2729" i="1"/>
  <c r="G2441" i="1"/>
  <c r="F2441" i="1"/>
  <c r="G2329" i="1"/>
  <c r="F2329" i="1"/>
  <c r="G2137" i="1"/>
  <c r="F2137" i="1"/>
  <c r="G1993" i="1"/>
  <c r="F1993" i="1"/>
  <c r="G1801" i="1"/>
  <c r="F1801" i="1"/>
  <c r="G1689" i="1"/>
  <c r="F1689" i="1"/>
  <c r="G1577" i="1"/>
  <c r="F1577" i="1"/>
  <c r="G1481" i="1"/>
  <c r="F1481" i="1"/>
  <c r="G1401" i="1"/>
  <c r="F1401" i="1"/>
  <c r="G1274" i="1"/>
  <c r="F1274" i="1"/>
  <c r="G1162" i="1"/>
  <c r="F1162" i="1"/>
  <c r="G1066" i="1"/>
  <c r="F1066" i="1"/>
  <c r="G954" i="1"/>
  <c r="F954" i="1"/>
  <c r="G874" i="1"/>
  <c r="F874" i="1"/>
  <c r="G698" i="1"/>
  <c r="F698" i="1"/>
  <c r="G602" i="1"/>
  <c r="F602" i="1"/>
  <c r="G490" i="1"/>
  <c r="F490" i="1"/>
  <c r="G1225" i="1"/>
  <c r="F1225" i="1"/>
  <c r="G1161" i="1"/>
  <c r="F1161" i="1"/>
  <c r="G1097" i="1"/>
  <c r="F1097" i="1"/>
  <c r="G1033" i="1"/>
  <c r="F1033" i="1"/>
  <c r="G937" i="1"/>
  <c r="F937" i="1"/>
  <c r="G841" i="1"/>
  <c r="F841" i="1"/>
  <c r="G697" i="1"/>
  <c r="F697" i="1"/>
  <c r="G601" i="1"/>
  <c r="F601" i="1"/>
  <c r="G553" i="1"/>
  <c r="F553" i="1"/>
  <c r="G473" i="1"/>
  <c r="F473" i="1"/>
  <c r="G409" i="1"/>
  <c r="F409" i="1"/>
  <c r="G345" i="1"/>
  <c r="F345" i="1"/>
  <c r="G281" i="1"/>
  <c r="F281" i="1"/>
  <c r="G185" i="1"/>
  <c r="F185" i="1"/>
  <c r="G121" i="1"/>
  <c r="F121" i="1"/>
  <c r="G1288" i="1"/>
  <c r="F1288" i="1"/>
  <c r="G1208" i="1"/>
  <c r="F1208" i="1"/>
  <c r="G1160" i="1"/>
  <c r="F1160" i="1"/>
  <c r="G1128" i="1"/>
  <c r="F1128" i="1"/>
  <c r="G1080" i="1"/>
  <c r="F1080" i="1"/>
  <c r="G1048" i="1"/>
  <c r="F1048" i="1"/>
  <c r="G1000" i="1"/>
  <c r="F1000" i="1"/>
  <c r="G952" i="1"/>
  <c r="F952" i="1"/>
  <c r="G904" i="1"/>
  <c r="F904" i="1"/>
  <c r="G856" i="1"/>
  <c r="F856" i="1"/>
  <c r="G808" i="1"/>
  <c r="F808" i="1"/>
  <c r="G1287" i="1"/>
  <c r="F1287" i="1"/>
  <c r="G1255" i="1"/>
  <c r="F1255" i="1"/>
  <c r="G1223" i="1"/>
  <c r="F1223" i="1"/>
  <c r="G1207" i="1"/>
  <c r="F1207" i="1"/>
  <c r="G1191" i="1"/>
  <c r="F1191" i="1"/>
  <c r="G1175" i="1"/>
  <c r="F1175" i="1"/>
  <c r="G1159" i="1"/>
  <c r="F1159" i="1"/>
  <c r="G1143" i="1"/>
  <c r="F1143" i="1"/>
  <c r="G1127" i="1"/>
  <c r="F1127" i="1"/>
  <c r="G1111" i="1"/>
  <c r="F1111" i="1"/>
  <c r="G1095" i="1"/>
  <c r="F1095" i="1"/>
  <c r="G1079" i="1"/>
  <c r="F1079" i="1"/>
  <c r="G1063" i="1"/>
  <c r="F1063" i="1"/>
  <c r="G1047" i="1"/>
  <c r="F1047" i="1"/>
  <c r="G1031" i="1"/>
  <c r="F1031" i="1"/>
  <c r="G1015" i="1"/>
  <c r="F1015" i="1"/>
  <c r="G999" i="1"/>
  <c r="F999" i="1"/>
  <c r="G983" i="1"/>
  <c r="F983" i="1"/>
  <c r="G967" i="1"/>
  <c r="F967" i="1"/>
  <c r="G951" i="1"/>
  <c r="F951" i="1"/>
  <c r="G935" i="1"/>
  <c r="F935" i="1"/>
  <c r="G919" i="1"/>
  <c r="F919" i="1"/>
  <c r="G903" i="1"/>
  <c r="F903" i="1"/>
  <c r="G887" i="1"/>
  <c r="F887" i="1"/>
  <c r="G871" i="1"/>
  <c r="F871" i="1"/>
  <c r="G855" i="1"/>
  <c r="F855" i="1"/>
  <c r="G839" i="1"/>
  <c r="F839" i="1"/>
  <c r="G823" i="1"/>
  <c r="F823" i="1"/>
  <c r="G807" i="1"/>
  <c r="F807" i="1"/>
  <c r="G791" i="1"/>
  <c r="F791" i="1"/>
  <c r="G775" i="1"/>
  <c r="F775" i="1"/>
  <c r="G759" i="1"/>
  <c r="F759" i="1"/>
  <c r="G743" i="1"/>
  <c r="F743" i="1"/>
  <c r="G727" i="1"/>
  <c r="F727" i="1"/>
  <c r="G711" i="1"/>
  <c r="F711" i="1"/>
  <c r="G695" i="1"/>
  <c r="F695" i="1"/>
  <c r="G679" i="1"/>
  <c r="F679" i="1"/>
  <c r="G663" i="1"/>
  <c r="F663" i="1"/>
  <c r="G647" i="1"/>
  <c r="F647" i="1"/>
  <c r="G631" i="1"/>
  <c r="F631" i="1"/>
  <c r="G615" i="1"/>
  <c r="F615" i="1"/>
  <c r="G599" i="1"/>
  <c r="F599" i="1"/>
  <c r="G583" i="1"/>
  <c r="F583" i="1"/>
  <c r="G567" i="1"/>
  <c r="F567" i="1"/>
  <c r="G551" i="1"/>
  <c r="F551" i="1"/>
  <c r="G535" i="1"/>
  <c r="F535" i="1"/>
  <c r="G519" i="1"/>
  <c r="F519" i="1"/>
  <c r="G503" i="1"/>
  <c r="F503" i="1"/>
  <c r="G487" i="1"/>
  <c r="F487" i="1"/>
  <c r="G471" i="1"/>
  <c r="F471" i="1"/>
  <c r="G455" i="1"/>
  <c r="F455" i="1"/>
  <c r="G439" i="1"/>
  <c r="F439" i="1"/>
  <c r="G423" i="1"/>
  <c r="F423" i="1"/>
  <c r="G407" i="1"/>
  <c r="F407" i="1"/>
  <c r="G391" i="1"/>
  <c r="F391" i="1"/>
  <c r="G375" i="1"/>
  <c r="F375" i="1"/>
  <c r="G359" i="1"/>
  <c r="F359" i="1"/>
  <c r="G343" i="1"/>
  <c r="F343" i="1"/>
  <c r="G327" i="1"/>
  <c r="F327" i="1"/>
  <c r="G311" i="1"/>
  <c r="F311" i="1"/>
  <c r="G295" i="1"/>
  <c r="F295" i="1"/>
  <c r="G279" i="1"/>
  <c r="F279" i="1"/>
  <c r="G263" i="1"/>
  <c r="F263" i="1"/>
  <c r="G247" i="1"/>
  <c r="F247" i="1"/>
  <c r="G231" i="1"/>
  <c r="F231" i="1"/>
  <c r="G215" i="1"/>
  <c r="F215" i="1"/>
  <c r="G199" i="1"/>
  <c r="F199" i="1"/>
  <c r="G183" i="1"/>
  <c r="F183" i="1"/>
  <c r="G167" i="1"/>
  <c r="F167" i="1"/>
  <c r="G151" i="1"/>
  <c r="F151" i="1"/>
  <c r="G135" i="1"/>
  <c r="F135" i="1"/>
  <c r="G119" i="1"/>
  <c r="F119" i="1"/>
  <c r="G103" i="1"/>
  <c r="F103" i="1"/>
  <c r="G87" i="1"/>
  <c r="F87" i="1"/>
  <c r="G71" i="1"/>
  <c r="F71" i="1"/>
  <c r="G55" i="1"/>
  <c r="F55" i="1"/>
  <c r="G39" i="1"/>
  <c r="F39" i="1"/>
  <c r="G23" i="1"/>
  <c r="F23" i="1"/>
  <c r="G7" i="1"/>
  <c r="F7" i="1"/>
  <c r="G3125" i="1"/>
  <c r="F3125" i="1"/>
  <c r="G3109" i="1"/>
  <c r="F3109" i="1"/>
  <c r="G3093" i="1"/>
  <c r="F3093" i="1"/>
  <c r="G3077" i="1"/>
  <c r="F3077" i="1"/>
  <c r="G3045" i="1"/>
  <c r="F3045" i="1"/>
  <c r="G3029" i="1"/>
  <c r="F3029" i="1"/>
  <c r="G3013" i="1"/>
  <c r="F3013" i="1"/>
  <c r="G2997" i="1"/>
  <c r="F2997" i="1"/>
  <c r="G2981" i="1"/>
  <c r="F2981" i="1"/>
  <c r="G2933" i="1"/>
  <c r="F2933" i="1"/>
  <c r="G2917" i="1"/>
  <c r="F2917" i="1"/>
  <c r="G2885" i="1"/>
  <c r="F2885" i="1"/>
  <c r="G2869" i="1"/>
  <c r="F2869" i="1"/>
  <c r="G2853" i="1"/>
  <c r="F2853" i="1"/>
  <c r="G2837" i="1"/>
  <c r="F2837" i="1"/>
  <c r="G2821" i="1"/>
  <c r="F2821" i="1"/>
  <c r="G2773" i="1"/>
  <c r="F2773" i="1"/>
  <c r="G2757" i="1"/>
  <c r="F2757" i="1"/>
  <c r="G2741" i="1"/>
  <c r="F2741" i="1"/>
  <c r="G2709" i="1"/>
  <c r="F2709" i="1"/>
  <c r="G2693" i="1"/>
  <c r="F2693" i="1"/>
  <c r="G2677" i="1"/>
  <c r="F2677" i="1"/>
  <c r="G2661" i="1"/>
  <c r="F2661" i="1"/>
  <c r="G2597" i="1"/>
  <c r="F2597" i="1"/>
  <c r="G2581" i="1"/>
  <c r="F2581" i="1"/>
  <c r="G2565" i="1"/>
  <c r="F2565" i="1"/>
  <c r="G2517" i="1"/>
  <c r="F2517" i="1"/>
  <c r="G2501" i="1"/>
  <c r="F2501" i="1"/>
  <c r="G2469" i="1"/>
  <c r="F2469" i="1"/>
  <c r="G2453" i="1"/>
  <c r="F2453" i="1"/>
  <c r="G2437" i="1"/>
  <c r="F2437" i="1"/>
  <c r="G2421" i="1"/>
  <c r="F2421" i="1"/>
  <c r="G2405" i="1"/>
  <c r="F2405" i="1"/>
  <c r="G2389" i="1"/>
  <c r="F2389" i="1"/>
  <c r="G2373" i="1"/>
  <c r="F2373" i="1"/>
  <c r="G2357" i="1"/>
  <c r="F2357" i="1"/>
  <c r="G2341" i="1"/>
  <c r="F2341" i="1"/>
  <c r="G2325" i="1"/>
  <c r="F2325" i="1"/>
  <c r="G2309" i="1"/>
  <c r="F2309" i="1"/>
  <c r="G2293" i="1"/>
  <c r="F2293" i="1"/>
  <c r="G2277" i="1"/>
  <c r="F2277" i="1"/>
  <c r="G2261" i="1"/>
  <c r="F2261" i="1"/>
  <c r="G2245" i="1"/>
  <c r="F2245" i="1"/>
  <c r="G2229" i="1"/>
  <c r="F2229" i="1"/>
  <c r="G2213" i="1"/>
  <c r="F2213" i="1"/>
  <c r="G2197" i="1"/>
  <c r="F2197" i="1"/>
  <c r="G2181" i="1"/>
  <c r="F2181" i="1"/>
  <c r="G2165" i="1"/>
  <c r="F2165" i="1"/>
  <c r="G2149" i="1"/>
  <c r="F2149" i="1"/>
  <c r="G2133" i="1"/>
  <c r="F2133" i="1"/>
  <c r="G2117" i="1"/>
  <c r="F2117" i="1"/>
  <c r="G2101" i="1"/>
  <c r="F2101" i="1"/>
  <c r="G2085" i="1"/>
  <c r="F2085" i="1"/>
  <c r="G2069" i="1"/>
  <c r="F2069" i="1"/>
  <c r="G2053" i="1"/>
  <c r="F2053" i="1"/>
  <c r="G2037" i="1"/>
  <c r="F2037" i="1"/>
  <c r="G2021" i="1"/>
  <c r="F2021" i="1"/>
  <c r="G2005" i="1"/>
  <c r="F2005" i="1"/>
  <c r="G1989" i="1"/>
  <c r="F1989" i="1"/>
  <c r="G1973" i="1"/>
  <c r="F1973" i="1"/>
  <c r="G1957" i="1"/>
  <c r="F1957" i="1"/>
  <c r="G1941" i="1"/>
  <c r="F1941" i="1"/>
  <c r="G1925" i="1"/>
  <c r="F1925" i="1"/>
  <c r="G1909" i="1"/>
  <c r="F1909" i="1"/>
  <c r="G1893" i="1"/>
  <c r="F1893" i="1"/>
  <c r="G1877" i="1"/>
  <c r="F1877" i="1"/>
  <c r="G1861" i="1"/>
  <c r="F1861" i="1"/>
  <c r="G1845" i="1"/>
  <c r="F1845" i="1"/>
  <c r="G1829" i="1"/>
  <c r="F1829" i="1"/>
  <c r="G1813" i="1"/>
  <c r="F1813" i="1"/>
  <c r="G1797" i="1"/>
  <c r="F1797" i="1"/>
  <c r="G1781" i="1"/>
  <c r="F1781" i="1"/>
  <c r="G1765" i="1"/>
  <c r="F1765" i="1"/>
  <c r="G1749" i="1"/>
  <c r="F1749" i="1"/>
  <c r="G1733" i="1"/>
  <c r="F1733" i="1"/>
  <c r="G1717" i="1"/>
  <c r="F1717" i="1"/>
  <c r="G1701" i="1"/>
  <c r="F1701" i="1"/>
  <c r="G1685" i="1"/>
  <c r="F1685" i="1"/>
  <c r="G1669" i="1"/>
  <c r="F1669" i="1"/>
  <c r="G1653" i="1"/>
  <c r="F1653" i="1"/>
  <c r="G1637" i="1"/>
  <c r="F1637" i="1"/>
  <c r="G1621" i="1"/>
  <c r="F1621" i="1"/>
  <c r="G1605" i="1"/>
  <c r="F1605" i="1"/>
  <c r="G1589" i="1"/>
  <c r="F1589" i="1"/>
  <c r="G1573" i="1"/>
  <c r="F1573" i="1"/>
  <c r="G1557" i="1"/>
  <c r="F1557" i="1"/>
  <c r="G1541" i="1"/>
  <c r="F1541" i="1"/>
  <c r="G1525" i="1"/>
  <c r="F1525" i="1"/>
  <c r="G1509" i="1"/>
  <c r="F1509" i="1"/>
  <c r="G1493" i="1"/>
  <c r="F1493" i="1"/>
  <c r="G1477" i="1"/>
  <c r="F1477" i="1"/>
  <c r="G1461" i="1"/>
  <c r="F1461" i="1"/>
  <c r="G1445" i="1"/>
  <c r="F1445" i="1"/>
  <c r="G1429" i="1"/>
  <c r="F1429" i="1"/>
  <c r="G1413" i="1"/>
  <c r="F1413" i="1"/>
  <c r="G1397" i="1"/>
  <c r="F1397" i="1"/>
  <c r="G1381" i="1"/>
  <c r="F1381" i="1"/>
  <c r="G1365" i="1"/>
  <c r="F1365" i="1"/>
  <c r="G1349" i="1"/>
  <c r="F1349" i="1"/>
  <c r="G1333" i="1"/>
  <c r="F1333" i="1"/>
  <c r="G1317" i="1"/>
  <c r="F1317" i="1"/>
  <c r="F3092" i="1"/>
  <c r="F3050" i="1"/>
  <c r="F3003" i="1"/>
  <c r="F2955" i="1"/>
  <c r="F2901" i="1"/>
  <c r="F2823" i="1"/>
  <c r="F2744" i="1"/>
  <c r="F2666" i="1"/>
  <c r="F2588" i="1"/>
  <c r="F2506" i="1"/>
  <c r="F2422" i="1"/>
  <c r="F2210" i="1"/>
  <c r="G942" i="1"/>
  <c r="F942" i="1"/>
  <c r="G702" i="1"/>
  <c r="F702" i="1"/>
  <c r="G590" i="1"/>
  <c r="F590" i="1"/>
  <c r="G478" i="1"/>
  <c r="F478" i="1"/>
  <c r="G302" i="1"/>
  <c r="F302" i="1"/>
  <c r="G158" i="1"/>
  <c r="F158" i="1"/>
  <c r="G14" i="1"/>
  <c r="F14" i="1"/>
  <c r="G2844" i="1"/>
  <c r="F2844" i="1"/>
  <c r="G2604" i="1"/>
  <c r="F2604" i="1"/>
  <c r="G2476" i="1"/>
  <c r="F2476" i="1"/>
  <c r="G2348" i="1"/>
  <c r="F2348" i="1"/>
  <c r="G2204" i="1"/>
  <c r="F2204" i="1"/>
  <c r="G2060" i="1"/>
  <c r="F2060" i="1"/>
  <c r="G1804" i="1"/>
  <c r="F1804" i="1"/>
  <c r="G1692" i="1"/>
  <c r="F1692" i="1"/>
  <c r="G1532" i="1"/>
  <c r="F1532" i="1"/>
  <c r="G1388" i="1"/>
  <c r="F1388" i="1"/>
  <c r="G1259" i="1"/>
  <c r="F1259" i="1"/>
  <c r="G1163" i="1"/>
  <c r="F1163" i="1"/>
  <c r="G1051" i="1"/>
  <c r="F1051" i="1"/>
  <c r="G939" i="1"/>
  <c r="F939" i="1"/>
  <c r="G843" i="1"/>
  <c r="F843" i="1"/>
  <c r="G747" i="1"/>
  <c r="F747" i="1"/>
  <c r="G619" i="1"/>
  <c r="F619" i="1"/>
  <c r="G523" i="1"/>
  <c r="F523" i="1"/>
  <c r="G459" i="1"/>
  <c r="F459" i="1"/>
  <c r="G347" i="1"/>
  <c r="F347" i="1"/>
  <c r="G235" i="1"/>
  <c r="F235" i="1"/>
  <c r="G155" i="1"/>
  <c r="F155" i="1"/>
  <c r="G43" i="1"/>
  <c r="F43" i="1"/>
  <c r="G3097" i="1"/>
  <c r="F3097" i="1"/>
  <c r="G2873" i="1"/>
  <c r="F2873" i="1"/>
  <c r="G2777" i="1"/>
  <c r="F2777" i="1"/>
  <c r="G2665" i="1"/>
  <c r="F2665" i="1"/>
  <c r="G2617" i="1"/>
  <c r="F2617" i="1"/>
  <c r="G2505" i="1"/>
  <c r="F2505" i="1"/>
  <c r="G2409" i="1"/>
  <c r="F2409" i="1"/>
  <c r="G2297" i="1"/>
  <c r="F2297" i="1"/>
  <c r="G2217" i="1"/>
  <c r="F2217" i="1"/>
  <c r="G2121" i="1"/>
  <c r="F2121" i="1"/>
  <c r="G2057" i="1"/>
  <c r="F2057" i="1"/>
  <c r="G1945" i="1"/>
  <c r="F1945" i="1"/>
  <c r="G1785" i="1"/>
  <c r="F1785" i="1"/>
  <c r="G1673" i="1"/>
  <c r="F1673" i="1"/>
  <c r="G1545" i="1"/>
  <c r="F1545" i="1"/>
  <c r="G1369" i="1"/>
  <c r="F1369" i="1"/>
  <c r="G1290" i="1"/>
  <c r="F1290" i="1"/>
  <c r="G1194" i="1"/>
  <c r="F1194" i="1"/>
  <c r="G1082" i="1"/>
  <c r="F1082" i="1"/>
  <c r="G970" i="1"/>
  <c r="F970" i="1"/>
  <c r="G858" i="1"/>
  <c r="F858" i="1"/>
  <c r="G762" i="1"/>
  <c r="F762" i="1"/>
  <c r="G634" i="1"/>
  <c r="F634" i="1"/>
  <c r="G506" i="1"/>
  <c r="F506" i="1"/>
  <c r="G1257" i="1"/>
  <c r="F1257" i="1"/>
  <c r="G1193" i="1"/>
  <c r="F1193" i="1"/>
  <c r="G1129" i="1"/>
  <c r="F1129" i="1"/>
  <c r="G1065" i="1"/>
  <c r="F1065" i="1"/>
  <c r="G969" i="1"/>
  <c r="F969" i="1"/>
  <c r="G873" i="1"/>
  <c r="F873" i="1"/>
  <c r="G793" i="1"/>
  <c r="F793" i="1"/>
  <c r="G745" i="1"/>
  <c r="F745" i="1"/>
  <c r="G681" i="1"/>
  <c r="F681" i="1"/>
  <c r="G585" i="1"/>
  <c r="F585" i="1"/>
  <c r="G505" i="1"/>
  <c r="F505" i="1"/>
  <c r="G457" i="1"/>
  <c r="F457" i="1"/>
  <c r="G393" i="1"/>
  <c r="F393" i="1"/>
  <c r="G361" i="1"/>
  <c r="F361" i="1"/>
  <c r="G297" i="1"/>
  <c r="F297" i="1"/>
  <c r="G169" i="1"/>
  <c r="F169" i="1"/>
  <c r="G1272" i="1"/>
  <c r="F1272" i="1"/>
  <c r="G1240" i="1"/>
  <c r="F1240" i="1"/>
  <c r="G1224" i="1"/>
  <c r="F1224" i="1"/>
  <c r="G1176" i="1"/>
  <c r="F1176" i="1"/>
  <c r="G1144" i="1"/>
  <c r="F1144" i="1"/>
  <c r="G1096" i="1"/>
  <c r="F1096" i="1"/>
  <c r="G1032" i="1"/>
  <c r="F1032" i="1"/>
  <c r="G984" i="1"/>
  <c r="F984" i="1"/>
  <c r="G936" i="1"/>
  <c r="F936" i="1"/>
  <c r="G872" i="1"/>
  <c r="F872" i="1"/>
  <c r="G776" i="1"/>
  <c r="F776" i="1"/>
  <c r="G2" i="1"/>
  <c r="F2" i="1"/>
  <c r="G1271" i="1"/>
  <c r="F1271" i="1"/>
  <c r="G1239" i="1"/>
  <c r="F1239" i="1"/>
  <c r="G1302" i="1"/>
  <c r="F1302" i="1"/>
  <c r="G1286" i="1"/>
  <c r="F1286" i="1"/>
  <c r="G1270" i="1"/>
  <c r="F1270" i="1"/>
  <c r="G1254" i="1"/>
  <c r="F1254" i="1"/>
  <c r="G1238" i="1"/>
  <c r="F1238" i="1"/>
  <c r="G1222" i="1"/>
  <c r="F1222" i="1"/>
  <c r="G1206" i="1"/>
  <c r="F1206" i="1"/>
  <c r="G1190" i="1"/>
  <c r="F1190" i="1"/>
  <c r="G1174" i="1"/>
  <c r="F1174" i="1"/>
  <c r="G1158" i="1"/>
  <c r="F1158" i="1"/>
  <c r="G1142" i="1"/>
  <c r="F1142" i="1"/>
  <c r="G1126" i="1"/>
  <c r="F1126" i="1"/>
  <c r="G1110" i="1"/>
  <c r="F1110" i="1"/>
  <c r="G1094" i="1"/>
  <c r="F1094" i="1"/>
  <c r="G1078" i="1"/>
  <c r="F1078" i="1"/>
  <c r="G1062" i="1"/>
  <c r="F1062" i="1"/>
  <c r="G1046" i="1"/>
  <c r="F1046" i="1"/>
  <c r="G1030" i="1"/>
  <c r="F1030" i="1"/>
  <c r="G1014" i="1"/>
  <c r="F1014" i="1"/>
  <c r="G998" i="1"/>
  <c r="F998" i="1"/>
  <c r="G982" i="1"/>
  <c r="F982" i="1"/>
  <c r="G966" i="1"/>
  <c r="F966" i="1"/>
  <c r="G950" i="1"/>
  <c r="F950" i="1"/>
  <c r="G934" i="1"/>
  <c r="F934" i="1"/>
  <c r="G918" i="1"/>
  <c r="F918" i="1"/>
  <c r="G902" i="1"/>
  <c r="F902" i="1"/>
  <c r="G886" i="1"/>
  <c r="F886" i="1"/>
  <c r="G870" i="1"/>
  <c r="F870" i="1"/>
  <c r="G854" i="1"/>
  <c r="F854" i="1"/>
  <c r="G838" i="1"/>
  <c r="F838" i="1"/>
  <c r="G822" i="1"/>
  <c r="F822" i="1"/>
  <c r="G806" i="1"/>
  <c r="F806" i="1"/>
  <c r="G790" i="1"/>
  <c r="F790" i="1"/>
  <c r="G774" i="1"/>
  <c r="F774" i="1"/>
  <c r="G758" i="1"/>
  <c r="F758" i="1"/>
  <c r="G742" i="1"/>
  <c r="F742" i="1"/>
  <c r="G726" i="1"/>
  <c r="F726" i="1"/>
  <c r="G710" i="1"/>
  <c r="F710" i="1"/>
  <c r="G694" i="1"/>
  <c r="F694" i="1"/>
  <c r="G678" i="1"/>
  <c r="F678" i="1"/>
  <c r="G662" i="1"/>
  <c r="F662" i="1"/>
  <c r="G646" i="1"/>
  <c r="F646" i="1"/>
  <c r="G630" i="1"/>
  <c r="F630" i="1"/>
  <c r="G614" i="1"/>
  <c r="F614" i="1"/>
  <c r="G598" i="1"/>
  <c r="F598" i="1"/>
  <c r="G582" i="1"/>
  <c r="F582" i="1"/>
  <c r="G566" i="1"/>
  <c r="F566" i="1"/>
  <c r="G550" i="1"/>
  <c r="F550" i="1"/>
  <c r="G534" i="1"/>
  <c r="F534" i="1"/>
  <c r="G518" i="1"/>
  <c r="F518" i="1"/>
  <c r="G502" i="1"/>
  <c r="F502" i="1"/>
  <c r="G486" i="1"/>
  <c r="F486" i="1"/>
  <c r="G470" i="1"/>
  <c r="F470" i="1"/>
  <c r="G454" i="1"/>
  <c r="F454" i="1"/>
  <c r="G438" i="1"/>
  <c r="F438" i="1"/>
  <c r="G422" i="1"/>
  <c r="F422" i="1"/>
  <c r="G406" i="1"/>
  <c r="F406" i="1"/>
  <c r="G390" i="1"/>
  <c r="F390" i="1"/>
  <c r="G374" i="1"/>
  <c r="F374" i="1"/>
  <c r="G358" i="1"/>
  <c r="F358" i="1"/>
  <c r="G342" i="1"/>
  <c r="F342" i="1"/>
  <c r="G326" i="1"/>
  <c r="F326" i="1"/>
  <c r="G310" i="1"/>
  <c r="F310" i="1"/>
  <c r="G294" i="1"/>
  <c r="F294" i="1"/>
  <c r="G278" i="1"/>
  <c r="F278" i="1"/>
  <c r="G262" i="1"/>
  <c r="F262" i="1"/>
  <c r="G246" i="1"/>
  <c r="F246" i="1"/>
  <c r="G230" i="1"/>
  <c r="F230" i="1"/>
  <c r="G214" i="1"/>
  <c r="F214" i="1"/>
  <c r="G198" i="1"/>
  <c r="F198" i="1"/>
  <c r="G182" i="1"/>
  <c r="F182" i="1"/>
  <c r="G166" i="1"/>
  <c r="F166" i="1"/>
  <c r="G150" i="1"/>
  <c r="F150" i="1"/>
  <c r="G134" i="1"/>
  <c r="F134" i="1"/>
  <c r="G118" i="1"/>
  <c r="F118" i="1"/>
  <c r="G102" i="1"/>
  <c r="F102" i="1"/>
  <c r="G86" i="1"/>
  <c r="F86" i="1"/>
  <c r="G70" i="1"/>
  <c r="F70" i="1"/>
  <c r="G54" i="1"/>
  <c r="F54" i="1"/>
  <c r="G38" i="1"/>
  <c r="F38" i="1"/>
  <c r="G22" i="1"/>
  <c r="F22" i="1"/>
  <c r="G6" i="1"/>
  <c r="F6" i="1"/>
  <c r="G3076" i="1"/>
  <c r="F3076" i="1"/>
  <c r="G3060" i="1"/>
  <c r="F3060" i="1"/>
  <c r="G3028" i="1"/>
  <c r="F3028" i="1"/>
  <c r="G3012" i="1"/>
  <c r="F3012" i="1"/>
  <c r="G2996" i="1"/>
  <c r="F2996" i="1"/>
  <c r="G2980" i="1"/>
  <c r="F2980" i="1"/>
  <c r="G2964" i="1"/>
  <c r="F2964" i="1"/>
  <c r="G2916" i="1"/>
  <c r="F2916" i="1"/>
  <c r="G2900" i="1"/>
  <c r="F2900" i="1"/>
  <c r="G2884" i="1"/>
  <c r="F2884" i="1"/>
  <c r="G2868" i="1"/>
  <c r="F2868" i="1"/>
  <c r="G2852" i="1"/>
  <c r="F2852" i="1"/>
  <c r="G2836" i="1"/>
  <c r="F2836" i="1"/>
  <c r="G2788" i="1"/>
  <c r="F2788" i="1"/>
  <c r="G2772" i="1"/>
  <c r="F2772" i="1"/>
  <c r="G2756" i="1"/>
  <c r="F2756" i="1"/>
  <c r="G2740" i="1"/>
  <c r="F2740" i="1"/>
  <c r="G2724" i="1"/>
  <c r="F2724" i="1"/>
  <c r="G2708" i="1"/>
  <c r="F2708" i="1"/>
  <c r="G2692" i="1"/>
  <c r="F2692" i="1"/>
  <c r="G2676" i="1"/>
  <c r="F2676" i="1"/>
  <c r="G2660" i="1"/>
  <c r="F2660" i="1"/>
  <c r="G2644" i="1"/>
  <c r="F2644" i="1"/>
  <c r="G2612" i="1"/>
  <c r="F2612" i="1"/>
  <c r="G2596" i="1"/>
  <c r="F2596" i="1"/>
  <c r="G2580" i="1"/>
  <c r="F2580" i="1"/>
  <c r="G2564" i="1"/>
  <c r="F2564" i="1"/>
  <c r="G2548" i="1"/>
  <c r="F2548" i="1"/>
  <c r="G2532" i="1"/>
  <c r="F2532" i="1"/>
  <c r="G2516" i="1"/>
  <c r="F2516" i="1"/>
  <c r="G2500" i="1"/>
  <c r="F2500" i="1"/>
  <c r="G2484" i="1"/>
  <c r="F2484" i="1"/>
  <c r="G2468" i="1"/>
  <c r="F2468" i="1"/>
  <c r="G2452" i="1"/>
  <c r="F2452" i="1"/>
  <c r="G2436" i="1"/>
  <c r="F2436" i="1"/>
  <c r="G2404" i="1"/>
  <c r="F2404" i="1"/>
  <c r="G2388" i="1"/>
  <c r="F2388" i="1"/>
  <c r="G2372" i="1"/>
  <c r="F2372" i="1"/>
  <c r="G2356" i="1"/>
  <c r="F2356" i="1"/>
  <c r="G2340" i="1"/>
  <c r="F2340" i="1"/>
  <c r="G2324" i="1"/>
  <c r="F2324" i="1"/>
  <c r="G2308" i="1"/>
  <c r="F2308" i="1"/>
  <c r="G2292" i="1"/>
  <c r="F2292" i="1"/>
  <c r="G2276" i="1"/>
  <c r="F2276" i="1"/>
  <c r="G2260" i="1"/>
  <c r="F2260" i="1"/>
  <c r="G2244" i="1"/>
  <c r="F2244" i="1"/>
  <c r="G2228" i="1"/>
  <c r="F2228" i="1"/>
  <c r="G2212" i="1"/>
  <c r="F2212" i="1"/>
  <c r="G2196" i="1"/>
  <c r="F2196" i="1"/>
  <c r="G2180" i="1"/>
  <c r="F2180" i="1"/>
  <c r="G2164" i="1"/>
  <c r="F2164" i="1"/>
  <c r="G2148" i="1"/>
  <c r="F2148" i="1"/>
  <c r="G2132" i="1"/>
  <c r="F2132" i="1"/>
  <c r="G2116" i="1"/>
  <c r="F2116" i="1"/>
  <c r="G2100" i="1"/>
  <c r="F2100" i="1"/>
  <c r="G2084" i="1"/>
  <c r="F2084" i="1"/>
  <c r="G2068" i="1"/>
  <c r="F2068" i="1"/>
  <c r="G2052" i="1"/>
  <c r="F2052" i="1"/>
  <c r="G2036" i="1"/>
  <c r="F2036" i="1"/>
  <c r="G2020" i="1"/>
  <c r="F2020" i="1"/>
  <c r="G2004" i="1"/>
  <c r="F2004" i="1"/>
  <c r="G1988" i="1"/>
  <c r="F1988" i="1"/>
  <c r="G1972" i="1"/>
  <c r="F1972" i="1"/>
  <c r="G1956" i="1"/>
  <c r="F1956" i="1"/>
  <c r="G1940" i="1"/>
  <c r="F1940" i="1"/>
  <c r="G1924" i="1"/>
  <c r="F1924" i="1"/>
  <c r="G1908" i="1"/>
  <c r="F1908" i="1"/>
  <c r="G1892" i="1"/>
  <c r="F1892" i="1"/>
  <c r="G1876" i="1"/>
  <c r="F1876" i="1"/>
  <c r="G1860" i="1"/>
  <c r="F1860" i="1"/>
  <c r="G1844" i="1"/>
  <c r="F1844" i="1"/>
  <c r="G1828" i="1"/>
  <c r="F1828" i="1"/>
  <c r="G1812" i="1"/>
  <c r="F1812" i="1"/>
  <c r="G1796" i="1"/>
  <c r="F1796" i="1"/>
  <c r="G1780" i="1"/>
  <c r="F1780" i="1"/>
  <c r="G1764" i="1"/>
  <c r="F1764" i="1"/>
  <c r="G1748" i="1"/>
  <c r="F1748" i="1"/>
  <c r="G1732" i="1"/>
  <c r="F1732" i="1"/>
  <c r="G1716" i="1"/>
  <c r="F1716" i="1"/>
  <c r="G1700" i="1"/>
  <c r="F1700" i="1"/>
  <c r="G1684" i="1"/>
  <c r="F1684" i="1"/>
  <c r="G1668" i="1"/>
  <c r="F1668" i="1"/>
  <c r="G1652" i="1"/>
  <c r="F1652" i="1"/>
  <c r="G1636" i="1"/>
  <c r="F1636" i="1"/>
  <c r="G1620" i="1"/>
  <c r="F1620" i="1"/>
  <c r="G1604" i="1"/>
  <c r="F1604" i="1"/>
  <c r="G1588" i="1"/>
  <c r="F1588" i="1"/>
  <c r="G1572" i="1"/>
  <c r="F1572" i="1"/>
  <c r="G1556" i="1"/>
  <c r="F1556" i="1"/>
  <c r="G1540" i="1"/>
  <c r="F1540" i="1"/>
  <c r="G1524" i="1"/>
  <c r="F1524" i="1"/>
  <c r="G1508" i="1"/>
  <c r="F1508" i="1"/>
  <c r="G1492" i="1"/>
  <c r="F1492" i="1"/>
  <c r="G1476" i="1"/>
  <c r="F1476" i="1"/>
  <c r="G1460" i="1"/>
  <c r="F1460" i="1"/>
  <c r="G1444" i="1"/>
  <c r="F1444" i="1"/>
  <c r="G1428" i="1"/>
  <c r="F1428" i="1"/>
  <c r="G1412" i="1"/>
  <c r="F1412" i="1"/>
  <c r="G1396" i="1"/>
  <c r="F1396" i="1"/>
  <c r="G1380" i="1"/>
  <c r="F1380" i="1"/>
  <c r="G1364" i="1"/>
  <c r="F1364" i="1"/>
  <c r="G1348" i="1"/>
  <c r="F1348" i="1"/>
  <c r="G1332" i="1"/>
  <c r="F1332" i="1"/>
  <c r="G1316" i="1"/>
  <c r="F1316" i="1"/>
  <c r="F3134" i="1"/>
  <c r="F3091" i="1"/>
  <c r="F3044" i="1"/>
  <c r="F3000" i="1"/>
  <c r="F2954" i="1"/>
  <c r="F2899" i="1"/>
  <c r="F2820" i="1"/>
  <c r="F2742" i="1"/>
  <c r="F2664" i="1"/>
  <c r="F2586" i="1"/>
  <c r="F2503" i="1"/>
  <c r="F2420" i="1"/>
  <c r="F2185" i="1"/>
  <c r="G846" i="1"/>
  <c r="F846" i="1"/>
  <c r="G670" i="1"/>
  <c r="F670" i="1"/>
  <c r="G510" i="1"/>
  <c r="F510" i="1"/>
  <c r="G350" i="1"/>
  <c r="F350" i="1"/>
  <c r="G222" i="1"/>
  <c r="F222" i="1"/>
  <c r="G78" i="1"/>
  <c r="F78" i="1"/>
  <c r="G2812" i="1"/>
  <c r="F2812" i="1"/>
  <c r="G2700" i="1"/>
  <c r="F2700" i="1"/>
  <c r="G2556" i="1"/>
  <c r="F2556" i="1"/>
  <c r="G2412" i="1"/>
  <c r="F2412" i="1"/>
  <c r="G2268" i="1"/>
  <c r="F2268" i="1"/>
  <c r="G2124" i="1"/>
  <c r="F2124" i="1"/>
  <c r="G1996" i="1"/>
  <c r="F1996" i="1"/>
  <c r="G1884" i="1"/>
  <c r="F1884" i="1"/>
  <c r="G1740" i="1"/>
  <c r="F1740" i="1"/>
  <c r="G1580" i="1"/>
  <c r="F1580" i="1"/>
  <c r="G1468" i="1"/>
  <c r="F1468" i="1"/>
  <c r="G1340" i="1"/>
  <c r="F1340" i="1"/>
  <c r="G1179" i="1"/>
  <c r="F1179" i="1"/>
  <c r="G1067" i="1"/>
  <c r="F1067" i="1"/>
  <c r="G955" i="1"/>
  <c r="F955" i="1"/>
  <c r="G795" i="1"/>
  <c r="F795" i="1"/>
  <c r="G651" i="1"/>
  <c r="F651" i="1"/>
  <c r="G507" i="1"/>
  <c r="F507" i="1"/>
  <c r="G411" i="1"/>
  <c r="F411" i="1"/>
  <c r="G315" i="1"/>
  <c r="F315" i="1"/>
  <c r="G219" i="1"/>
  <c r="F219" i="1"/>
  <c r="G107" i="1"/>
  <c r="F107" i="1"/>
  <c r="G11" i="1"/>
  <c r="F11" i="1"/>
  <c r="G3081" i="1"/>
  <c r="F3081" i="1"/>
  <c r="G3001" i="1"/>
  <c r="F3001" i="1"/>
  <c r="G2857" i="1"/>
  <c r="F2857" i="1"/>
  <c r="G2633" i="1"/>
  <c r="F2633" i="1"/>
  <c r="G2521" i="1"/>
  <c r="F2521" i="1"/>
  <c r="G2393" i="1"/>
  <c r="F2393" i="1"/>
  <c r="G2281" i="1"/>
  <c r="F2281" i="1"/>
  <c r="G2201" i="1"/>
  <c r="F2201" i="1"/>
  <c r="G2089" i="1"/>
  <c r="F2089" i="1"/>
  <c r="G1977" i="1"/>
  <c r="F1977" i="1"/>
  <c r="G1881" i="1"/>
  <c r="F1881" i="1"/>
  <c r="G1833" i="1"/>
  <c r="F1833" i="1"/>
  <c r="G1705" i="1"/>
  <c r="F1705" i="1"/>
  <c r="G1593" i="1"/>
  <c r="F1593" i="1"/>
  <c r="G1465" i="1"/>
  <c r="F1465" i="1"/>
  <c r="G1353" i="1"/>
  <c r="F1353" i="1"/>
  <c r="G1242" i="1"/>
  <c r="F1242" i="1"/>
  <c r="G1146" i="1"/>
  <c r="F1146" i="1"/>
  <c r="G1018" i="1"/>
  <c r="F1018" i="1"/>
  <c r="G922" i="1"/>
  <c r="F922" i="1"/>
  <c r="G842" i="1"/>
  <c r="F842" i="1"/>
  <c r="G746" i="1"/>
  <c r="F746" i="1"/>
  <c r="G714" i="1"/>
  <c r="F714" i="1"/>
  <c r="G618" i="1"/>
  <c r="F618" i="1"/>
  <c r="G538" i="1"/>
  <c r="F538" i="1"/>
  <c r="G1273" i="1"/>
  <c r="F1273" i="1"/>
  <c r="G1177" i="1"/>
  <c r="F1177" i="1"/>
  <c r="G1113" i="1"/>
  <c r="F1113" i="1"/>
  <c r="G1049" i="1"/>
  <c r="F1049" i="1"/>
  <c r="G985" i="1"/>
  <c r="F985" i="1"/>
  <c r="G905" i="1"/>
  <c r="F905" i="1"/>
  <c r="G825" i="1"/>
  <c r="F825" i="1"/>
  <c r="G777" i="1"/>
  <c r="F777" i="1"/>
  <c r="G713" i="1"/>
  <c r="F713" i="1"/>
  <c r="G665" i="1"/>
  <c r="F665" i="1"/>
  <c r="G537" i="1"/>
  <c r="F537" i="1"/>
  <c r="G233" i="1"/>
  <c r="F233" i="1"/>
  <c r="G1301" i="1"/>
  <c r="F1301" i="1"/>
  <c r="G1285" i="1"/>
  <c r="F1285" i="1"/>
  <c r="G1269" i="1"/>
  <c r="F1269" i="1"/>
  <c r="G1253" i="1"/>
  <c r="F1253" i="1"/>
  <c r="G1237" i="1"/>
  <c r="F1237" i="1"/>
  <c r="G1221" i="1"/>
  <c r="F1221" i="1"/>
  <c r="G1205" i="1"/>
  <c r="F1205" i="1"/>
  <c r="G1189" i="1"/>
  <c r="F1189" i="1"/>
  <c r="G1173" i="1"/>
  <c r="F1173" i="1"/>
  <c r="G1157" i="1"/>
  <c r="F1157" i="1"/>
  <c r="G1141" i="1"/>
  <c r="F1141" i="1"/>
  <c r="G1125" i="1"/>
  <c r="F1125" i="1"/>
  <c r="G1109" i="1"/>
  <c r="F1109" i="1"/>
  <c r="G1093" i="1"/>
  <c r="F1093" i="1"/>
  <c r="G1077" i="1"/>
  <c r="F1077" i="1"/>
  <c r="G1061" i="1"/>
  <c r="F1061" i="1"/>
  <c r="G1045" i="1"/>
  <c r="F1045" i="1"/>
  <c r="G1029" i="1"/>
  <c r="F1029" i="1"/>
  <c r="G1013" i="1"/>
  <c r="F1013" i="1"/>
  <c r="G997" i="1"/>
  <c r="F997" i="1"/>
  <c r="G981" i="1"/>
  <c r="F981" i="1"/>
  <c r="G965" i="1"/>
  <c r="F965" i="1"/>
  <c r="G949" i="1"/>
  <c r="F949" i="1"/>
  <c r="G933" i="1"/>
  <c r="F933" i="1"/>
  <c r="G917" i="1"/>
  <c r="F917" i="1"/>
  <c r="G901" i="1"/>
  <c r="F901" i="1"/>
  <c r="G885" i="1"/>
  <c r="F885" i="1"/>
  <c r="G869" i="1"/>
  <c r="F869" i="1"/>
  <c r="G853" i="1"/>
  <c r="F853" i="1"/>
  <c r="G837" i="1"/>
  <c r="F837" i="1"/>
  <c r="G821" i="1"/>
  <c r="F821" i="1"/>
  <c r="G805" i="1"/>
  <c r="F805" i="1"/>
  <c r="G789" i="1"/>
  <c r="F789" i="1"/>
  <c r="G773" i="1"/>
  <c r="F773" i="1"/>
  <c r="G757" i="1"/>
  <c r="F757" i="1"/>
  <c r="G741" i="1"/>
  <c r="F741" i="1"/>
  <c r="G725" i="1"/>
  <c r="F725" i="1"/>
  <c r="G709" i="1"/>
  <c r="F709" i="1"/>
  <c r="G693" i="1"/>
  <c r="F693" i="1"/>
  <c r="G677" i="1"/>
  <c r="F677" i="1"/>
  <c r="G661" i="1"/>
  <c r="F661" i="1"/>
  <c r="G645" i="1"/>
  <c r="F645" i="1"/>
  <c r="G629" i="1"/>
  <c r="F629" i="1"/>
  <c r="G613" i="1"/>
  <c r="F613" i="1"/>
  <c r="G597" i="1"/>
  <c r="F597" i="1"/>
  <c r="G581" i="1"/>
  <c r="F581" i="1"/>
  <c r="G565" i="1"/>
  <c r="F565" i="1"/>
  <c r="G549" i="1"/>
  <c r="F549" i="1"/>
  <c r="G533" i="1"/>
  <c r="F533" i="1"/>
  <c r="G517" i="1"/>
  <c r="F517" i="1"/>
  <c r="G501" i="1"/>
  <c r="F501" i="1"/>
  <c r="G485" i="1"/>
  <c r="F485" i="1"/>
  <c r="G469" i="1"/>
  <c r="F469" i="1"/>
  <c r="G453" i="1"/>
  <c r="F453" i="1"/>
  <c r="G437" i="1"/>
  <c r="F437" i="1"/>
  <c r="G421" i="1"/>
  <c r="F421" i="1"/>
  <c r="G405" i="1"/>
  <c r="F405" i="1"/>
  <c r="G389" i="1"/>
  <c r="F389" i="1"/>
  <c r="G373" i="1"/>
  <c r="F373" i="1"/>
  <c r="G357" i="1"/>
  <c r="F357" i="1"/>
  <c r="G341" i="1"/>
  <c r="F341" i="1"/>
  <c r="G325" i="1"/>
  <c r="F325" i="1"/>
  <c r="G309" i="1"/>
  <c r="F309" i="1"/>
  <c r="G293" i="1"/>
  <c r="F293" i="1"/>
  <c r="G277" i="1"/>
  <c r="F277" i="1"/>
  <c r="G261" i="1"/>
  <c r="F261" i="1"/>
  <c r="G245" i="1"/>
  <c r="F245" i="1"/>
  <c r="G229" i="1"/>
  <c r="F229" i="1"/>
  <c r="G213" i="1"/>
  <c r="F213" i="1"/>
  <c r="G197" i="1"/>
  <c r="F197" i="1"/>
  <c r="G181" i="1"/>
  <c r="F181" i="1"/>
  <c r="G165" i="1"/>
  <c r="F165" i="1"/>
  <c r="G149" i="1"/>
  <c r="F149" i="1"/>
  <c r="G133" i="1"/>
  <c r="F133" i="1"/>
  <c r="G117" i="1"/>
  <c r="F117" i="1"/>
  <c r="G101" i="1"/>
  <c r="F101" i="1"/>
  <c r="G85" i="1"/>
  <c r="F85" i="1"/>
  <c r="G69" i="1"/>
  <c r="F69" i="1"/>
  <c r="G53" i="1"/>
  <c r="F53" i="1"/>
  <c r="G37" i="1"/>
  <c r="F37" i="1"/>
  <c r="G21" i="1"/>
  <c r="F21" i="1"/>
  <c r="G5" i="1"/>
  <c r="F5" i="1"/>
  <c r="G3059" i="1"/>
  <c r="F3059" i="1"/>
  <c r="G3043" i="1"/>
  <c r="F3043" i="1"/>
  <c r="G3011" i="1"/>
  <c r="F3011" i="1"/>
  <c r="G2995" i="1"/>
  <c r="F2995" i="1"/>
  <c r="G2979" i="1"/>
  <c r="F2979" i="1"/>
  <c r="G2963" i="1"/>
  <c r="F2963" i="1"/>
  <c r="G2947" i="1"/>
  <c r="F2947" i="1"/>
  <c r="G2931" i="1"/>
  <c r="F2931" i="1"/>
  <c r="G2915" i="1"/>
  <c r="F2915" i="1"/>
  <c r="G2851" i="1"/>
  <c r="F2851" i="1"/>
  <c r="G2835" i="1"/>
  <c r="F2835" i="1"/>
  <c r="G2819" i="1"/>
  <c r="F2819" i="1"/>
  <c r="F2803" i="1"/>
  <c r="G2803" i="1"/>
  <c r="G2787" i="1"/>
  <c r="F2787" i="1"/>
  <c r="G2771" i="1"/>
  <c r="F2771" i="1"/>
  <c r="G2755" i="1"/>
  <c r="F2755" i="1"/>
  <c r="G2739" i="1"/>
  <c r="F2739" i="1"/>
  <c r="G2675" i="1"/>
  <c r="F2675" i="1"/>
  <c r="G2659" i="1"/>
  <c r="F2659" i="1"/>
  <c r="G2643" i="1"/>
  <c r="F2643" i="1"/>
  <c r="G2627" i="1"/>
  <c r="F2627" i="1"/>
  <c r="G2611" i="1"/>
  <c r="F2611" i="1"/>
  <c r="G2595" i="1"/>
  <c r="F2595" i="1"/>
  <c r="G2579" i="1"/>
  <c r="F2579" i="1"/>
  <c r="G2563" i="1"/>
  <c r="F2563" i="1"/>
  <c r="G2531" i="1"/>
  <c r="F2531" i="1"/>
  <c r="G2515" i="1"/>
  <c r="F2515" i="1"/>
  <c r="G2499" i="1"/>
  <c r="F2499" i="1"/>
  <c r="G2467" i="1"/>
  <c r="F2467" i="1"/>
  <c r="G2451" i="1"/>
  <c r="F2451" i="1"/>
  <c r="G2435" i="1"/>
  <c r="F2435" i="1"/>
  <c r="G2419" i="1"/>
  <c r="F2419" i="1"/>
  <c r="G2387" i="1"/>
  <c r="F2387" i="1"/>
  <c r="G2371" i="1"/>
  <c r="F2371" i="1"/>
  <c r="G2339" i="1"/>
  <c r="F2339" i="1"/>
  <c r="G2323" i="1"/>
  <c r="F2323" i="1"/>
  <c r="G2291" i="1"/>
  <c r="F2291" i="1"/>
  <c r="G2275" i="1"/>
  <c r="F2275" i="1"/>
  <c r="G2259" i="1"/>
  <c r="F2259" i="1"/>
  <c r="G2243" i="1"/>
  <c r="F2243" i="1"/>
  <c r="G2227" i="1"/>
  <c r="F2227" i="1"/>
  <c r="G2211" i="1"/>
  <c r="F2211" i="1"/>
  <c r="G2195" i="1"/>
  <c r="F2195" i="1"/>
  <c r="G2179" i="1"/>
  <c r="F2179" i="1"/>
  <c r="G2147" i="1"/>
  <c r="F2147" i="1"/>
  <c r="G2131" i="1"/>
  <c r="F2131" i="1"/>
  <c r="G2115" i="1"/>
  <c r="F2115" i="1"/>
  <c r="G2099" i="1"/>
  <c r="F2099" i="1"/>
  <c r="G2083" i="1"/>
  <c r="F2083" i="1"/>
  <c r="G2067" i="1"/>
  <c r="F2067" i="1"/>
  <c r="G2051" i="1"/>
  <c r="F2051" i="1"/>
  <c r="G2035" i="1"/>
  <c r="F2035" i="1"/>
  <c r="G2019" i="1"/>
  <c r="F2019" i="1"/>
  <c r="G2003" i="1"/>
  <c r="F2003" i="1"/>
  <c r="G1987" i="1"/>
  <c r="F1987" i="1"/>
  <c r="G1971" i="1"/>
  <c r="F1971" i="1"/>
  <c r="G1955" i="1"/>
  <c r="F1955" i="1"/>
  <c r="G1939" i="1"/>
  <c r="F1939" i="1"/>
  <c r="G1923" i="1"/>
  <c r="F1923" i="1"/>
  <c r="G1907" i="1"/>
  <c r="F1907" i="1"/>
  <c r="G1891" i="1"/>
  <c r="F1891" i="1"/>
  <c r="G1875" i="1"/>
  <c r="F1875" i="1"/>
  <c r="G1859" i="1"/>
  <c r="F1859" i="1"/>
  <c r="G1843" i="1"/>
  <c r="F1843" i="1"/>
  <c r="G1827" i="1"/>
  <c r="F1827" i="1"/>
  <c r="G1811" i="1"/>
  <c r="F1811" i="1"/>
  <c r="G1795" i="1"/>
  <c r="F1795" i="1"/>
  <c r="G1779" i="1"/>
  <c r="F1779" i="1"/>
  <c r="G1763" i="1"/>
  <c r="F1763" i="1"/>
  <c r="G1747" i="1"/>
  <c r="F1747" i="1"/>
  <c r="G1731" i="1"/>
  <c r="F1731" i="1"/>
  <c r="G1715" i="1"/>
  <c r="F1715" i="1"/>
  <c r="G1699" i="1"/>
  <c r="F1699" i="1"/>
  <c r="G1683" i="1"/>
  <c r="F1683" i="1"/>
  <c r="G1667" i="1"/>
  <c r="F1667" i="1"/>
  <c r="G1651" i="1"/>
  <c r="F1651" i="1"/>
  <c r="G1635" i="1"/>
  <c r="F1635" i="1"/>
  <c r="G1619" i="1"/>
  <c r="F1619" i="1"/>
  <c r="G1603" i="1"/>
  <c r="F1603" i="1"/>
  <c r="G1587" i="1"/>
  <c r="F1587" i="1"/>
  <c r="G1571" i="1"/>
  <c r="F1571" i="1"/>
  <c r="G1555" i="1"/>
  <c r="F1555" i="1"/>
  <c r="G1539" i="1"/>
  <c r="F1539" i="1"/>
  <c r="G1523" i="1"/>
  <c r="F1523" i="1"/>
  <c r="G1507" i="1"/>
  <c r="F1507" i="1"/>
  <c r="G1491" i="1"/>
  <c r="F1491" i="1"/>
  <c r="G1475" i="1"/>
  <c r="F1475" i="1"/>
  <c r="G1459" i="1"/>
  <c r="F1459" i="1"/>
  <c r="G1443" i="1"/>
  <c r="F1443" i="1"/>
  <c r="G1427" i="1"/>
  <c r="F1427" i="1"/>
  <c r="G1411" i="1"/>
  <c r="F1411" i="1"/>
  <c r="G1395" i="1"/>
  <c r="F1395" i="1"/>
  <c r="G1379" i="1"/>
  <c r="F1379" i="1"/>
  <c r="G1363" i="1"/>
  <c r="F1363" i="1"/>
  <c r="G1347" i="1"/>
  <c r="F1347" i="1"/>
  <c r="G1331" i="1"/>
  <c r="F1331" i="1"/>
  <c r="G1315" i="1"/>
  <c r="F1315" i="1"/>
  <c r="F3133" i="1"/>
  <c r="F3088" i="1"/>
  <c r="F3040" i="1"/>
  <c r="F2999" i="1"/>
  <c r="F2952" i="1"/>
  <c r="F2886" i="1"/>
  <c r="F2808" i="1"/>
  <c r="F2730" i="1"/>
  <c r="F2651" i="1"/>
  <c r="F2573" i="1"/>
  <c r="F2490" i="1"/>
  <c r="F2403" i="1"/>
  <c r="F2163" i="1"/>
  <c r="G894" i="1"/>
  <c r="F894" i="1"/>
  <c r="G686" i="1"/>
  <c r="F686" i="1"/>
  <c r="G542" i="1"/>
  <c r="F542" i="1"/>
  <c r="G414" i="1"/>
  <c r="F414" i="1"/>
  <c r="G318" i="1"/>
  <c r="F318" i="1"/>
  <c r="G174" i="1"/>
  <c r="F174" i="1"/>
  <c r="G46" i="1"/>
  <c r="F46" i="1"/>
  <c r="G2876" i="1"/>
  <c r="F2876" i="1"/>
  <c r="G2716" i="1"/>
  <c r="F2716" i="1"/>
  <c r="G2572" i="1"/>
  <c r="F2572" i="1"/>
  <c r="G2444" i="1"/>
  <c r="F2444" i="1"/>
  <c r="G2300" i="1"/>
  <c r="F2300" i="1"/>
  <c r="G2172" i="1"/>
  <c r="F2172" i="1"/>
  <c r="G2028" i="1"/>
  <c r="F2028" i="1"/>
  <c r="G1788" i="1"/>
  <c r="F1788" i="1"/>
  <c r="G1676" i="1"/>
  <c r="F1676" i="1"/>
  <c r="G1548" i="1"/>
  <c r="F1548" i="1"/>
  <c r="G1404" i="1"/>
  <c r="F1404" i="1"/>
  <c r="G1243" i="1"/>
  <c r="F1243" i="1"/>
  <c r="G1131" i="1"/>
  <c r="F1131" i="1"/>
  <c r="G1035" i="1"/>
  <c r="F1035" i="1"/>
  <c r="G923" i="1"/>
  <c r="F923" i="1"/>
  <c r="G827" i="1"/>
  <c r="F827" i="1"/>
  <c r="G731" i="1"/>
  <c r="F731" i="1"/>
  <c r="G635" i="1"/>
  <c r="F635" i="1"/>
  <c r="G539" i="1"/>
  <c r="F539" i="1"/>
  <c r="G443" i="1"/>
  <c r="F443" i="1"/>
  <c r="G363" i="1"/>
  <c r="F363" i="1"/>
  <c r="G251" i="1"/>
  <c r="F251" i="1"/>
  <c r="G171" i="1"/>
  <c r="F171" i="1"/>
  <c r="G59" i="1"/>
  <c r="F59" i="1"/>
  <c r="G2985" i="1"/>
  <c r="F2985" i="1"/>
  <c r="G2889" i="1"/>
  <c r="F2889" i="1"/>
  <c r="G2793" i="1"/>
  <c r="F2793" i="1"/>
  <c r="G2681" i="1"/>
  <c r="F2681" i="1"/>
  <c r="G2601" i="1"/>
  <c r="F2601" i="1"/>
  <c r="G2489" i="1"/>
  <c r="F2489" i="1"/>
  <c r="G2425" i="1"/>
  <c r="F2425" i="1"/>
  <c r="G2313" i="1"/>
  <c r="F2313" i="1"/>
  <c r="G2249" i="1"/>
  <c r="F2249" i="1"/>
  <c r="G2169" i="1"/>
  <c r="F2169" i="1"/>
  <c r="G2073" i="1"/>
  <c r="F2073" i="1"/>
  <c r="G1961" i="1"/>
  <c r="F1961" i="1"/>
  <c r="G1865" i="1"/>
  <c r="F1865" i="1"/>
  <c r="G1753" i="1"/>
  <c r="F1753" i="1"/>
  <c r="G1625" i="1"/>
  <c r="F1625" i="1"/>
  <c r="G1497" i="1"/>
  <c r="F1497" i="1"/>
  <c r="G1385" i="1"/>
  <c r="F1385" i="1"/>
  <c r="G1178" i="1"/>
  <c r="F1178" i="1"/>
  <c r="G1050" i="1"/>
  <c r="F1050" i="1"/>
  <c r="G938" i="1"/>
  <c r="F938" i="1"/>
  <c r="G810" i="1"/>
  <c r="F810" i="1"/>
  <c r="G682" i="1"/>
  <c r="F682" i="1"/>
  <c r="G522" i="1"/>
  <c r="F522" i="1"/>
  <c r="G1289" i="1"/>
  <c r="F1289" i="1"/>
  <c r="G1209" i="1"/>
  <c r="F1209" i="1"/>
  <c r="G1145" i="1"/>
  <c r="F1145" i="1"/>
  <c r="G1081" i="1"/>
  <c r="F1081" i="1"/>
  <c r="G1017" i="1"/>
  <c r="F1017" i="1"/>
  <c r="G953" i="1"/>
  <c r="F953" i="1"/>
  <c r="G889" i="1"/>
  <c r="F889" i="1"/>
  <c r="G809" i="1"/>
  <c r="F809" i="1"/>
  <c r="G729" i="1"/>
  <c r="F729" i="1"/>
  <c r="G633" i="1"/>
  <c r="F633" i="1"/>
  <c r="G569" i="1"/>
  <c r="F569" i="1"/>
  <c r="G249" i="1"/>
  <c r="F249" i="1"/>
  <c r="G1300" i="1"/>
  <c r="F1300" i="1"/>
  <c r="G1284" i="1"/>
  <c r="F1284" i="1"/>
  <c r="G1268" i="1"/>
  <c r="F1268" i="1"/>
  <c r="G1252" i="1"/>
  <c r="F1252" i="1"/>
  <c r="G1236" i="1"/>
  <c r="F1236" i="1"/>
  <c r="G1220" i="1"/>
  <c r="F1220" i="1"/>
  <c r="G1204" i="1"/>
  <c r="F1204" i="1"/>
  <c r="G1188" i="1"/>
  <c r="F1188" i="1"/>
  <c r="G1172" i="1"/>
  <c r="F1172" i="1"/>
  <c r="G1156" i="1"/>
  <c r="F1156" i="1"/>
  <c r="G1140" i="1"/>
  <c r="F1140" i="1"/>
  <c r="G1124" i="1"/>
  <c r="F1124" i="1"/>
  <c r="G1108" i="1"/>
  <c r="F1108" i="1"/>
  <c r="G1092" i="1"/>
  <c r="F1092" i="1"/>
  <c r="G1076" i="1"/>
  <c r="F1076" i="1"/>
  <c r="G1060" i="1"/>
  <c r="F1060" i="1"/>
  <c r="G1044" i="1"/>
  <c r="F1044" i="1"/>
  <c r="G1028" i="1"/>
  <c r="F1028" i="1"/>
  <c r="G1012" i="1"/>
  <c r="F1012" i="1"/>
  <c r="G996" i="1"/>
  <c r="F996" i="1"/>
  <c r="G980" i="1"/>
  <c r="F980" i="1"/>
  <c r="G964" i="1"/>
  <c r="F964" i="1"/>
  <c r="G948" i="1"/>
  <c r="F948" i="1"/>
  <c r="G932" i="1"/>
  <c r="F932" i="1"/>
  <c r="G916" i="1"/>
  <c r="F916" i="1"/>
  <c r="G900" i="1"/>
  <c r="F900" i="1"/>
  <c r="G884" i="1"/>
  <c r="F884" i="1"/>
  <c r="G868" i="1"/>
  <c r="F868" i="1"/>
  <c r="G852" i="1"/>
  <c r="F852" i="1"/>
  <c r="G836" i="1"/>
  <c r="F836" i="1"/>
  <c r="G820" i="1"/>
  <c r="F820" i="1"/>
  <c r="G804" i="1"/>
  <c r="F804" i="1"/>
  <c r="G788" i="1"/>
  <c r="F788" i="1"/>
  <c r="G772" i="1"/>
  <c r="F772" i="1"/>
  <c r="G756" i="1"/>
  <c r="F756" i="1"/>
  <c r="G740" i="1"/>
  <c r="F740" i="1"/>
  <c r="G724" i="1"/>
  <c r="F724" i="1"/>
  <c r="G708" i="1"/>
  <c r="F708" i="1"/>
  <c r="G692" i="1"/>
  <c r="F692" i="1"/>
  <c r="G676" i="1"/>
  <c r="F676" i="1"/>
  <c r="G660" i="1"/>
  <c r="F660" i="1"/>
  <c r="G644" i="1"/>
  <c r="F644" i="1"/>
  <c r="G628" i="1"/>
  <c r="F628" i="1"/>
  <c r="G612" i="1"/>
  <c r="F612" i="1"/>
  <c r="G596" i="1"/>
  <c r="F596" i="1"/>
  <c r="G580" i="1"/>
  <c r="F580" i="1"/>
  <c r="G564" i="1"/>
  <c r="F564" i="1"/>
  <c r="G548" i="1"/>
  <c r="F548" i="1"/>
  <c r="G532" i="1"/>
  <c r="F532" i="1"/>
  <c r="G516" i="1"/>
  <c r="F516" i="1"/>
  <c r="G500" i="1"/>
  <c r="F500" i="1"/>
  <c r="G484" i="1"/>
  <c r="F484" i="1"/>
  <c r="G468" i="1"/>
  <c r="F468" i="1"/>
  <c r="G452" i="1"/>
  <c r="F452" i="1"/>
  <c r="G436" i="1"/>
  <c r="F436" i="1"/>
  <c r="G420" i="1"/>
  <c r="F420" i="1"/>
  <c r="G404" i="1"/>
  <c r="F404" i="1"/>
  <c r="G388" i="1"/>
  <c r="F388" i="1"/>
  <c r="G372" i="1"/>
  <c r="F372" i="1"/>
  <c r="G356" i="1"/>
  <c r="F356" i="1"/>
  <c r="G340" i="1"/>
  <c r="F340" i="1"/>
  <c r="G324" i="1"/>
  <c r="F324" i="1"/>
  <c r="G308" i="1"/>
  <c r="F308" i="1"/>
  <c r="G292" i="1"/>
  <c r="F292" i="1"/>
  <c r="G276" i="1"/>
  <c r="F276" i="1"/>
  <c r="G260" i="1"/>
  <c r="F260" i="1"/>
  <c r="G244" i="1"/>
  <c r="F244" i="1"/>
  <c r="G228" i="1"/>
  <c r="F228" i="1"/>
  <c r="G212" i="1"/>
  <c r="F212" i="1"/>
  <c r="G196" i="1"/>
  <c r="F196" i="1"/>
  <c r="G180" i="1"/>
  <c r="F180" i="1"/>
  <c r="G164" i="1"/>
  <c r="F164" i="1"/>
  <c r="G148" i="1"/>
  <c r="F148" i="1"/>
  <c r="G132" i="1"/>
  <c r="F132" i="1"/>
  <c r="G116" i="1"/>
  <c r="F116" i="1"/>
  <c r="G100" i="1"/>
  <c r="F100" i="1"/>
  <c r="G84" i="1"/>
  <c r="F84" i="1"/>
  <c r="G68" i="1"/>
  <c r="F68" i="1"/>
  <c r="G52" i="1"/>
  <c r="F52" i="1"/>
  <c r="G36" i="1"/>
  <c r="F36" i="1"/>
  <c r="G20" i="1"/>
  <c r="F20" i="1"/>
  <c r="G4" i="1"/>
  <c r="F4" i="1"/>
  <c r="G3138" i="1"/>
  <c r="F3138" i="1"/>
  <c r="G3122" i="1"/>
  <c r="F3122" i="1"/>
  <c r="G3106" i="1"/>
  <c r="F3106" i="1"/>
  <c r="G3090" i="1"/>
  <c r="F3090" i="1"/>
  <c r="G3042" i="1"/>
  <c r="F3042" i="1"/>
  <c r="G3026" i="1"/>
  <c r="F3026" i="1"/>
  <c r="G2994" i="1"/>
  <c r="F2994" i="1"/>
  <c r="G2978" i="1"/>
  <c r="F2978" i="1"/>
  <c r="G2962" i="1"/>
  <c r="F2962" i="1"/>
  <c r="G2946" i="1"/>
  <c r="F2946" i="1"/>
  <c r="G2930" i="1"/>
  <c r="F2930" i="1"/>
  <c r="G2914" i="1"/>
  <c r="F2914" i="1"/>
  <c r="G2898" i="1"/>
  <c r="F2898" i="1"/>
  <c r="G2866" i="1"/>
  <c r="F2866" i="1"/>
  <c r="G2850" i="1"/>
  <c r="F2850" i="1"/>
  <c r="G2834" i="1"/>
  <c r="F2834" i="1"/>
  <c r="G2818" i="1"/>
  <c r="F2818" i="1"/>
  <c r="G2802" i="1"/>
  <c r="F2802" i="1"/>
  <c r="G2754" i="1"/>
  <c r="F2754" i="1"/>
  <c r="G2738" i="1"/>
  <c r="F2738" i="1"/>
  <c r="G2722" i="1"/>
  <c r="F2722" i="1"/>
  <c r="G2690" i="1"/>
  <c r="F2690" i="1"/>
  <c r="G2674" i="1"/>
  <c r="F2674" i="1"/>
  <c r="G2658" i="1"/>
  <c r="F2658" i="1"/>
  <c r="G2642" i="1"/>
  <c r="F2642" i="1"/>
  <c r="G2578" i="1"/>
  <c r="F2578" i="1"/>
  <c r="G2562" i="1"/>
  <c r="F2562" i="1"/>
  <c r="G2546" i="1"/>
  <c r="F2546" i="1"/>
  <c r="G2514" i="1"/>
  <c r="F2514" i="1"/>
  <c r="G2498" i="1"/>
  <c r="F2498" i="1"/>
  <c r="G2482" i="1"/>
  <c r="F2482" i="1"/>
  <c r="G2434" i="1"/>
  <c r="F2434" i="1"/>
  <c r="G2418" i="1"/>
  <c r="F2418" i="1"/>
  <c r="G2386" i="1"/>
  <c r="F2386" i="1"/>
  <c r="G2370" i="1"/>
  <c r="F2370" i="1"/>
  <c r="G2354" i="1"/>
  <c r="F2354" i="1"/>
  <c r="G2338" i="1"/>
  <c r="F2338" i="1"/>
  <c r="G2322" i="1"/>
  <c r="F2322" i="1"/>
  <c r="G2306" i="1"/>
  <c r="F2306" i="1"/>
  <c r="G2290" i="1"/>
  <c r="F2290" i="1"/>
  <c r="G2274" i="1"/>
  <c r="F2274" i="1"/>
  <c r="G2242" i="1"/>
  <c r="F2242" i="1"/>
  <c r="G2226" i="1"/>
  <c r="F2226" i="1"/>
  <c r="G2194" i="1"/>
  <c r="F2194" i="1"/>
  <c r="G2178" i="1"/>
  <c r="F2178" i="1"/>
  <c r="G2162" i="1"/>
  <c r="F2162" i="1"/>
  <c r="G2146" i="1"/>
  <c r="F2146" i="1"/>
  <c r="F2130" i="1"/>
  <c r="G2130" i="1"/>
  <c r="G2114" i="1"/>
  <c r="F2114" i="1"/>
  <c r="G2098" i="1"/>
  <c r="F2098" i="1"/>
  <c r="G2066" i="1"/>
  <c r="F2066" i="1"/>
  <c r="G2050" i="1"/>
  <c r="F2050" i="1"/>
  <c r="G2034" i="1"/>
  <c r="F2034" i="1"/>
  <c r="G2018" i="1"/>
  <c r="F2018" i="1"/>
  <c r="G2002" i="1"/>
  <c r="F2002" i="1"/>
  <c r="G1986" i="1"/>
  <c r="F1986" i="1"/>
  <c r="G1970" i="1"/>
  <c r="F1970" i="1"/>
  <c r="G1954" i="1"/>
  <c r="F1954" i="1"/>
  <c r="G1938" i="1"/>
  <c r="F1938" i="1"/>
  <c r="G1922" i="1"/>
  <c r="F1922" i="1"/>
  <c r="G1906" i="1"/>
  <c r="F1906" i="1"/>
  <c r="G1890" i="1"/>
  <c r="F1890" i="1"/>
  <c r="G1874" i="1"/>
  <c r="F1874" i="1"/>
  <c r="G1858" i="1"/>
  <c r="F1858" i="1"/>
  <c r="G1842" i="1"/>
  <c r="F1842" i="1"/>
  <c r="G1826" i="1"/>
  <c r="F1826" i="1"/>
  <c r="G1810" i="1"/>
  <c r="F1810" i="1"/>
  <c r="G1794" i="1"/>
  <c r="F1794" i="1"/>
  <c r="G1778" i="1"/>
  <c r="F1778" i="1"/>
  <c r="G1762" i="1"/>
  <c r="F1762" i="1"/>
  <c r="G1746" i="1"/>
  <c r="F1746" i="1"/>
  <c r="G1730" i="1"/>
  <c r="F1730" i="1"/>
  <c r="G1714" i="1"/>
  <c r="F1714" i="1"/>
  <c r="G1698" i="1"/>
  <c r="F1698" i="1"/>
  <c r="G1682" i="1"/>
  <c r="F1682" i="1"/>
  <c r="G1666" i="1"/>
  <c r="F1666" i="1"/>
  <c r="G1650" i="1"/>
  <c r="F1650" i="1"/>
  <c r="G1634" i="1"/>
  <c r="F1634" i="1"/>
  <c r="G1618" i="1"/>
  <c r="F1618" i="1"/>
  <c r="G1602" i="1"/>
  <c r="F1602" i="1"/>
  <c r="G1586" i="1"/>
  <c r="F1586" i="1"/>
  <c r="G1570" i="1"/>
  <c r="F1570" i="1"/>
  <c r="G1554" i="1"/>
  <c r="F1554" i="1"/>
  <c r="G1538" i="1"/>
  <c r="F1538" i="1"/>
  <c r="G1522" i="1"/>
  <c r="F1522" i="1"/>
  <c r="G1506" i="1"/>
  <c r="F1506" i="1"/>
  <c r="G1490" i="1"/>
  <c r="F1490" i="1"/>
  <c r="G1474" i="1"/>
  <c r="F1474" i="1"/>
  <c r="G1458" i="1"/>
  <c r="F1458" i="1"/>
  <c r="G1442" i="1"/>
  <c r="F1442" i="1"/>
  <c r="G1426" i="1"/>
  <c r="F1426" i="1"/>
  <c r="G1410" i="1"/>
  <c r="F1410" i="1"/>
  <c r="G1394" i="1"/>
  <c r="F1394" i="1"/>
  <c r="G1378" i="1"/>
  <c r="F1378" i="1"/>
  <c r="G1362" i="1"/>
  <c r="F1362" i="1"/>
  <c r="G1346" i="1"/>
  <c r="F1346" i="1"/>
  <c r="G1330" i="1"/>
  <c r="F1330" i="1"/>
  <c r="G1314" i="1"/>
  <c r="F1314" i="1"/>
  <c r="F3127" i="1"/>
  <c r="F3085" i="1"/>
  <c r="F3039" i="1"/>
  <c r="F2992" i="1"/>
  <c r="F2949" i="1"/>
  <c r="F2883" i="1"/>
  <c r="F2805" i="1"/>
  <c r="F2726" i="1"/>
  <c r="F2648" i="1"/>
  <c r="F2570" i="1"/>
  <c r="F2487" i="1"/>
  <c r="F2402" i="1"/>
  <c r="F2134" i="1"/>
  <c r="F3124" i="1"/>
  <c r="F3084" i="1"/>
  <c r="F3037" i="1"/>
  <c r="F2989" i="1"/>
  <c r="F2948" i="1"/>
  <c r="F2882" i="1"/>
  <c r="F2804" i="1"/>
  <c r="F2725" i="1"/>
  <c r="F2647" i="1"/>
  <c r="F2569" i="1"/>
  <c r="F2485" i="1"/>
  <c r="F2397" i="1"/>
  <c r="F2107" i="1"/>
  <c r="G1298" i="1"/>
  <c r="F1298" i="1"/>
  <c r="G1234" i="1"/>
  <c r="F1234" i="1"/>
  <c r="G1170" i="1"/>
  <c r="F1170" i="1"/>
  <c r="G1106" i="1"/>
  <c r="F1106" i="1"/>
  <c r="G1058" i="1"/>
  <c r="F1058" i="1"/>
  <c r="G994" i="1"/>
  <c r="F994" i="1"/>
  <c r="G930" i="1"/>
  <c r="F930" i="1"/>
  <c r="G898" i="1"/>
  <c r="F898" i="1"/>
  <c r="G850" i="1"/>
  <c r="F850" i="1"/>
  <c r="G802" i="1"/>
  <c r="F802" i="1"/>
  <c r="G738" i="1"/>
  <c r="F738" i="1"/>
  <c r="G706" i="1"/>
  <c r="F706" i="1"/>
  <c r="G642" i="1"/>
  <c r="F642" i="1"/>
  <c r="G594" i="1"/>
  <c r="F594" i="1"/>
  <c r="G546" i="1"/>
  <c r="F546" i="1"/>
  <c r="G498" i="1"/>
  <c r="F498" i="1"/>
  <c r="G450" i="1"/>
  <c r="F450" i="1"/>
  <c r="G386" i="1"/>
  <c r="F386" i="1"/>
  <c r="G322" i="1"/>
  <c r="F322" i="1"/>
  <c r="G258" i="1"/>
  <c r="F258" i="1"/>
  <c r="G194" i="1"/>
  <c r="F194" i="1"/>
  <c r="G130" i="1"/>
  <c r="F130" i="1"/>
  <c r="G66" i="1"/>
  <c r="F66" i="1"/>
  <c r="G3104" i="1"/>
  <c r="F3104" i="1"/>
  <c r="G3072" i="1"/>
  <c r="F3072" i="1"/>
  <c r="G3008" i="1"/>
  <c r="F3008" i="1"/>
  <c r="G2944" i="1"/>
  <c r="F2944" i="1"/>
  <c r="G2880" i="1"/>
  <c r="F2880" i="1"/>
  <c r="G2800" i="1"/>
  <c r="F2800" i="1"/>
  <c r="G2736" i="1"/>
  <c r="F2736" i="1"/>
  <c r="G2672" i="1"/>
  <c r="F2672" i="1"/>
  <c r="G2608" i="1"/>
  <c r="F2608" i="1"/>
  <c r="G2544" i="1"/>
  <c r="F2544" i="1"/>
  <c r="G2480" i="1"/>
  <c r="F2480" i="1"/>
  <c r="F2416" i="1"/>
  <c r="G2416" i="1"/>
  <c r="G2352" i="1"/>
  <c r="F2352" i="1"/>
  <c r="G2288" i="1"/>
  <c r="F2288" i="1"/>
  <c r="G2224" i="1"/>
  <c r="F2224" i="1"/>
  <c r="G2144" i="1"/>
  <c r="F2144" i="1"/>
  <c r="G2080" i="1"/>
  <c r="F2080" i="1"/>
  <c r="G2000" i="1"/>
  <c r="F2000" i="1"/>
  <c r="G1920" i="1"/>
  <c r="F1920" i="1"/>
  <c r="G1856" i="1"/>
  <c r="F1856" i="1"/>
  <c r="G1776" i="1"/>
  <c r="F1776" i="1"/>
  <c r="G1712" i="1"/>
  <c r="F1712" i="1"/>
  <c r="G1648" i="1"/>
  <c r="F1648" i="1"/>
  <c r="G1600" i="1"/>
  <c r="F1600" i="1"/>
  <c r="G1520" i="1"/>
  <c r="F1520" i="1"/>
  <c r="G1472" i="1"/>
  <c r="F1472" i="1"/>
  <c r="G1440" i="1"/>
  <c r="F1440" i="1"/>
  <c r="G1392" i="1"/>
  <c r="F1392" i="1"/>
  <c r="G1376" i="1"/>
  <c r="F1376" i="1"/>
  <c r="G1360" i="1"/>
  <c r="F1360" i="1"/>
  <c r="G1344" i="1"/>
  <c r="F1344" i="1"/>
  <c r="G1328" i="1"/>
  <c r="F1328" i="1"/>
  <c r="G1312" i="1"/>
  <c r="F1312" i="1"/>
  <c r="F3123" i="1"/>
  <c r="F3078" i="1"/>
  <c r="F3034" i="1"/>
  <c r="F2988" i="1"/>
  <c r="F2941" i="1"/>
  <c r="F2878" i="1"/>
  <c r="F2723" i="1"/>
  <c r="F2645" i="1"/>
  <c r="F2567" i="1"/>
  <c r="F2483" i="1"/>
  <c r="F2380" i="1"/>
  <c r="F2082" i="1"/>
</calcChain>
</file>

<file path=xl/sharedStrings.xml><?xml version="1.0" encoding="utf-8"?>
<sst xmlns="http://schemas.openxmlformats.org/spreadsheetml/2006/main" count="41048" uniqueCount="3176">
  <si>
    <t>Material</t>
  </si>
  <si>
    <t>F13</t>
  </si>
  <si>
    <t>Cen.</t>
  </si>
  <si>
    <t>TxtBreveMaterial</t>
  </si>
  <si>
    <t>TMat</t>
  </si>
  <si>
    <t>Dpst</t>
  </si>
  <si>
    <t>DpSuE</t>
  </si>
  <si>
    <t>PlMRP</t>
  </si>
  <si>
    <t>Nome</t>
  </si>
  <si>
    <t>R</t>
  </si>
  <si>
    <t>SuE</t>
  </si>
  <si>
    <t>Perfil</t>
  </si>
  <si>
    <t>Estq.segurança</t>
  </si>
  <si>
    <t>TipSupr.</t>
  </si>
  <si>
    <t>L</t>
  </si>
  <si>
    <t>TamanhMínLot</t>
  </si>
  <si>
    <t>Tam.máx.lote</t>
  </si>
  <si>
    <t>ValArredond.</t>
  </si>
  <si>
    <t>1320</t>
  </si>
  <si>
    <t>INVERSOR BRCFW110045T2SZ</t>
  </si>
  <si>
    <t>FERT</t>
  </si>
  <si>
    <t>FA01</t>
  </si>
  <si>
    <t>072</t>
  </si>
  <si>
    <t>LINHA M1</t>
  </si>
  <si>
    <t/>
  </si>
  <si>
    <t>ZWEG</t>
  </si>
  <si>
    <t>E</t>
  </si>
  <si>
    <t>INVERSOR BRCFW110054T2SZ</t>
  </si>
  <si>
    <t>INVERSOR BRCFW110070T2SZ</t>
  </si>
  <si>
    <t>INVERSOR BRCFW110013T4SZ</t>
  </si>
  <si>
    <t>051</t>
  </si>
  <si>
    <t>LINHA P5</t>
  </si>
  <si>
    <t>INVERSOR BRCFW110038T4SZ</t>
  </si>
  <si>
    <t>INVERSOR BRCFW110045T4SZ</t>
  </si>
  <si>
    <t>INVERSOR BRCFW110058T4SZ</t>
  </si>
  <si>
    <t>INVERSOR BRCFW110070T4SZ</t>
  </si>
  <si>
    <t>073</t>
  </si>
  <si>
    <t>LINHA M3</t>
  </si>
  <si>
    <t>INVERSOR BRCFW110088T4SZ</t>
  </si>
  <si>
    <t>INVERSOR BRCFW110070T2OFAZ</t>
  </si>
  <si>
    <t>INVERSOR BRCFW110013T4OFAZ</t>
  </si>
  <si>
    <t>INVERSOR BRCFW110031T4OFAZ</t>
  </si>
  <si>
    <t>071</t>
  </si>
  <si>
    <t>LINHA P7</t>
  </si>
  <si>
    <t>INVERSOR BRCFW110038T4OFAZ</t>
  </si>
  <si>
    <t>INVERSOR BRCFW110058T4OFAZ</t>
  </si>
  <si>
    <t>INVERSOR BRCFW110002B2SZ</t>
  </si>
  <si>
    <t>INVERSOR BRCFW110006B2SZ</t>
  </si>
  <si>
    <t>INVERSOR BRCFW110007B2SZ</t>
  </si>
  <si>
    <t>INVERSOR BRCFW110010S2SZ</t>
  </si>
  <si>
    <t>INVERSOR BRCFW110010T2SZ</t>
  </si>
  <si>
    <t>INVERSOR BRCFW110016T2SZ</t>
  </si>
  <si>
    <t>INVERSOR BRCFW110028T2SZ</t>
  </si>
  <si>
    <t>INVERSOR BRCFW110033T2SZ</t>
  </si>
  <si>
    <t>INVERSOR BRCFW110105T2SZ</t>
  </si>
  <si>
    <t>INVERSOR BRCFW110003T4SZ</t>
  </si>
  <si>
    <t>INVERSOR BRCFW110005T4SZ</t>
  </si>
  <si>
    <t>INVERSOR BRCFW110010T4SZ</t>
  </si>
  <si>
    <t>INVERSOR BRCFW110017T4SZ</t>
  </si>
  <si>
    <t>INVERSOR BRCFW110024T4SZ</t>
  </si>
  <si>
    <t>INVERSOR BRCFW110031T4SZ</t>
  </si>
  <si>
    <t>INVERSOR BRCFW110010T2OFAZ</t>
  </si>
  <si>
    <t>INVERSOR BRCFW110013T2OFAZ</t>
  </si>
  <si>
    <t>INVERSOR BRCFW110028T2OFAZ</t>
  </si>
  <si>
    <t>INVERSOR BRCFW110086T2OFAZ</t>
  </si>
  <si>
    <t>INVERSOR BRCFW110105T2OFAZ</t>
  </si>
  <si>
    <t>INVERSOR BRCFW110005T4OFAZ</t>
  </si>
  <si>
    <t>INVERSOR BRCFW110007T4OFAZ</t>
  </si>
  <si>
    <t>INVERSOR BRCFW110088T4OFAYWZ</t>
  </si>
  <si>
    <t>INVERSOR BRCFW110007T2SZ</t>
  </si>
  <si>
    <t>INVERSOR BRCFW110013T2SZ</t>
  </si>
  <si>
    <t>INVERSOR BRCFW110024T2SZ</t>
  </si>
  <si>
    <t>INVERSOR BRCFW110086T2SZ</t>
  </si>
  <si>
    <t>INVERSOR BRCFW110007T4SZ</t>
  </si>
  <si>
    <t>INVERSOR EUCFW110070T4OFAZ</t>
  </si>
  <si>
    <t>INVERSOR EUCFW110088T4OFAZ</t>
  </si>
  <si>
    <t>INVERSOR NACFW110002B2SZ</t>
  </si>
  <si>
    <t>INVERSOR NACFW110006B2SZ</t>
  </si>
  <si>
    <t>INVERSOR NACFW110007B2SZ</t>
  </si>
  <si>
    <t>INVERSOR NACFW110010S2SZ</t>
  </si>
  <si>
    <t>INVERSOR NACFW110007T2SZ</t>
  </si>
  <si>
    <t>INVERSOR NACFW110010T2SZ</t>
  </si>
  <si>
    <t>INVERSOR NACFW110013T2SZ</t>
  </si>
  <si>
    <t>INVERSOR NACFW110016T2SZ</t>
  </si>
  <si>
    <t>INVERSOR NACFW110024T2SZ</t>
  </si>
  <si>
    <t>INVERSOR NACFW110028T2SZ</t>
  </si>
  <si>
    <t>INVERSOR NACFW110033T2SZ</t>
  </si>
  <si>
    <t>INVERSOR NACFW110045T2SZ</t>
  </si>
  <si>
    <t>INVERSOR NACFW110054T2SZ</t>
  </si>
  <si>
    <t>INVERSOR NACFW110070T2SZ</t>
  </si>
  <si>
    <t>INVERSOR NACFW110086T2SZ</t>
  </si>
  <si>
    <t>INVERSOR NACFW110105T2SZ</t>
  </si>
  <si>
    <t>INVERSOR NACFW110003T4SZ</t>
  </si>
  <si>
    <t>INVERSOR NACFW110005T4SZ</t>
  </si>
  <si>
    <t>INVERSOR NACFW110007T4SZ</t>
  </si>
  <si>
    <t>INVERSOR NACFW110010T4SZ</t>
  </si>
  <si>
    <t>INVERSOR NACFW110013T4SZ</t>
  </si>
  <si>
    <t>INVERSOR NACFW110017T4SZ</t>
  </si>
  <si>
    <t>INVERSOR NACFW110024T4SZ</t>
  </si>
  <si>
    <t>INVERSOR NACFW110031T4SZ</t>
  </si>
  <si>
    <t>INVERSOR NACFW110038T4SZ</t>
  </si>
  <si>
    <t>INVERSOR NACFW110045T4SZ</t>
  </si>
  <si>
    <t>INVERSOR NACFW110058T4SZ</t>
  </si>
  <si>
    <t>INVERSOR NACFW110070T4SZ</t>
  </si>
  <si>
    <t>INVERSOR NACFW110088T4SZ</t>
  </si>
  <si>
    <t>INVERSOR NACFW110006B2ON1Z</t>
  </si>
  <si>
    <t>INVERSOR NACFW110007B2ON1Z</t>
  </si>
  <si>
    <t>INVERSOR NACFW110010S2ON1Z</t>
  </si>
  <si>
    <t>INVERSOR NACFW110007T2ON1Z</t>
  </si>
  <si>
    <t>INVERSOR NACFW110010T2ON1Z</t>
  </si>
  <si>
    <t>INVERSOR NACFW110013T2ON1Z</t>
  </si>
  <si>
    <t>INVERSOR NACFW110016T2ON1Z</t>
  </si>
  <si>
    <t>INVERSOR NACFW110024T2ON1Z</t>
  </si>
  <si>
    <t>INVERSOR NACFW110028T2ON1Z</t>
  </si>
  <si>
    <t>INVERSOR NACFW110033T2ON1Z</t>
  </si>
  <si>
    <t>INVERSOR NACFW110045T2ON1Z</t>
  </si>
  <si>
    <t>INVERSOR NACFW110054T2ON1Z</t>
  </si>
  <si>
    <t>INVERSOR NACFW110070T2ON1Z</t>
  </si>
  <si>
    <t>INVERSOR NACFW110003T4ON1Z</t>
  </si>
  <si>
    <t>INVERSOR NACFW110005T4ON1Z</t>
  </si>
  <si>
    <t>INVERSOR NACFW110007T4ON1Z</t>
  </si>
  <si>
    <t>INVERSOR NACFW110010T4ON1Z</t>
  </si>
  <si>
    <t>INVERSOR NACFW110013T4ON1Z</t>
  </si>
  <si>
    <t>INVERSOR NACFW110017T4ON1Z</t>
  </si>
  <si>
    <t>INVERSOR NACFW110024T4ON1Z</t>
  </si>
  <si>
    <t>INVERSOR NACFW110031T4ON1Z</t>
  </si>
  <si>
    <t>INVERSOR NACFW110038T4ON1Z</t>
  </si>
  <si>
    <t>INVERSOR NACFW110045T4ON1Z</t>
  </si>
  <si>
    <t>INVERSOR NACFW110058T4ON1Z</t>
  </si>
  <si>
    <t>INVERSOR SACFW110002B2SZ</t>
  </si>
  <si>
    <t>INVERSOR SACFW110006B2SZ</t>
  </si>
  <si>
    <t>INVERSOR SACFW110007B2SZ</t>
  </si>
  <si>
    <t>INVERSOR SACFW110010S2SZ</t>
  </si>
  <si>
    <t>INVERSOR SACFW110007T2SZ</t>
  </si>
  <si>
    <t>INVERSOR SACFW110010T2SZ</t>
  </si>
  <si>
    <t>INVERSOR SACFW110013T2SZ</t>
  </si>
  <si>
    <t>INVERSOR SACFW110016T2SZ</t>
  </si>
  <si>
    <t>INVERSOR SACFW110024T2SZ</t>
  </si>
  <si>
    <t>INVERSOR SACFW110028T2SZ</t>
  </si>
  <si>
    <t>INVERSOR SACFW110033T2SZ</t>
  </si>
  <si>
    <t>INVERSOR SACFW110003T4SZ</t>
  </si>
  <si>
    <t>INVERSOR SACFW110005T4SZ</t>
  </si>
  <si>
    <t>INVERSOR SACFW110007T4SZ</t>
  </si>
  <si>
    <t>INVERSOR SACFW110010T4SZ</t>
  </si>
  <si>
    <t>INVERSOR SACFW110013T4SZ</t>
  </si>
  <si>
    <t>INVERSOR SACFW110017T4SZ</t>
  </si>
  <si>
    <t>INVERSOR SACFW110024T4SZ</t>
  </si>
  <si>
    <t>INVERSOR SACFW110031T4SZ</t>
  </si>
  <si>
    <t>INVERSOR SACFW110038T4SZ</t>
  </si>
  <si>
    <t>INVERSOR SACFW110045T4SZ</t>
  </si>
  <si>
    <t>INVERSOR SACFW110058T4SZ</t>
  </si>
  <si>
    <t>INVERSOR SACFW110070T4SZ</t>
  </si>
  <si>
    <t>INVERSOR SACFW110088T4SZ</t>
  </si>
  <si>
    <t>INVERSOR EUCFW110002B2SZ</t>
  </si>
  <si>
    <t>INVERSOR EUCFW110006S2OFAZ</t>
  </si>
  <si>
    <t>INVERSOR EUCFW110007S2OFAZ</t>
  </si>
  <si>
    <t>INVERSOR EUCFW110010S2OFAZ</t>
  </si>
  <si>
    <t>INVERSOR EUCFW110007T2OFAZ</t>
  </si>
  <si>
    <t>INVERSOR EUCFW110010T2OFAZ</t>
  </si>
  <si>
    <t>INVERSOR EUCFW110013T2OFAZ</t>
  </si>
  <si>
    <t>INVERSOR EUCFW110016T2OFAZ</t>
  </si>
  <si>
    <t>INVERSOR EUCFW110024T2OFAZ</t>
  </si>
  <si>
    <t>INVERSOR EUCFW110028T2OFAZ</t>
  </si>
  <si>
    <t>INVERSOR EUCFW110033T2OFAZ</t>
  </si>
  <si>
    <t>INVERSOR EUCFW110045T2OFAZ</t>
  </si>
  <si>
    <t>INVERSOR EUCFW110054T2OFAZ</t>
  </si>
  <si>
    <t>INVERSOR EUCFW110070T2OFAZ</t>
  </si>
  <si>
    <t>INVERSOR EUCFW110086T2OFAZ</t>
  </si>
  <si>
    <t>INVERSOR EUCFW110105T2OFAZ</t>
  </si>
  <si>
    <t>INVERSOR EUCFW110003T4OFAZ</t>
  </si>
  <si>
    <t>INVERSOR EUCFW110005T4OFAZ</t>
  </si>
  <si>
    <t>INVERSOR EUCFW110007T4OFAZ</t>
  </si>
  <si>
    <t>INVERSOR EUCFW110010T4OFAZ</t>
  </si>
  <si>
    <t>INVERSOR EUCFW110013T4OFAZ</t>
  </si>
  <si>
    <t>INVERSOR EUCFW110017T4OFAZ</t>
  </si>
  <si>
    <t>INVERSOR EUCFW110024T4OFAZ</t>
  </si>
  <si>
    <t>INVERSOR EUCFW110031T4OFAZ</t>
  </si>
  <si>
    <t>INVERSOR EUCFW110038T4OFAZ</t>
  </si>
  <si>
    <t>INVERSOR EUCFW110045T4OFAZ</t>
  </si>
  <si>
    <t>INVERSOR EUCFW110058T4OFAZ</t>
  </si>
  <si>
    <t>INVERSOR MSCFW110002B2SZ</t>
  </si>
  <si>
    <t>INVERSOR MSCFW110006B2SZ</t>
  </si>
  <si>
    <t>INVERSOR MSCFW110007B2SZ</t>
  </si>
  <si>
    <t>INVERSOR MSCFW110010S2SZ</t>
  </si>
  <si>
    <t>INVERSOR MSCFW110007T2SZ</t>
  </si>
  <si>
    <t>INVERSOR MSCFW110010T2SZ</t>
  </si>
  <si>
    <t>INVERSOR MSCFW110013T2SZ</t>
  </si>
  <si>
    <t>INVERSOR MSCFW110016T2SZ</t>
  </si>
  <si>
    <t>INVERSOR MSCFW110024T2SZ</t>
  </si>
  <si>
    <t>INVERSOR MSCFW110028T2SZ</t>
  </si>
  <si>
    <t>INVERSOR MSCFW110033T2SZ</t>
  </si>
  <si>
    <t>INVERSOR MSCFW110045T2SZ</t>
  </si>
  <si>
    <t>INVERSOR MSCFW110054T2SZ</t>
  </si>
  <si>
    <t>INVERSOR MSCFW110070T2SZ</t>
  </si>
  <si>
    <t>INVERSOR MSCFW110086T2SZ</t>
  </si>
  <si>
    <t>INVERSOR MSCFW110105T2SZ</t>
  </si>
  <si>
    <t>INVERSOR MSCFW110003T4SZ</t>
  </si>
  <si>
    <t>INVERSOR MSCFW110005T4SZ</t>
  </si>
  <si>
    <t>INVERSOR MSCFW110007T4SZ</t>
  </si>
  <si>
    <t>INVERSOR MSCFW110010T4SZ</t>
  </si>
  <si>
    <t>INVERSOR MSCFW110013T4SZ</t>
  </si>
  <si>
    <t>INVERSOR MSCFW110017T4SZ</t>
  </si>
  <si>
    <t>INVERSOR MSCFW110024T4SZ</t>
  </si>
  <si>
    <t>INVERSOR MSCFW110031T4SZ</t>
  </si>
  <si>
    <t>INVERSOR MSCFW110038T4SZ</t>
  </si>
  <si>
    <t>INVERSOR MSCFW110045T4SZ</t>
  </si>
  <si>
    <t>INVERSOR MSCFW110058T4SZ</t>
  </si>
  <si>
    <t>INVERSOR MSCFW110070T4SZ</t>
  </si>
  <si>
    <t>INVERSOR MSCFW110088T4SZ</t>
  </si>
  <si>
    <t>INVERSOR EUCFW110006B2SZ</t>
  </si>
  <si>
    <t>INVERSOR EUCFW110024T2SZ</t>
  </si>
  <si>
    <t>INVERSOR EUCFW110028T2SZ</t>
  </si>
  <si>
    <t>INVERSOR EUCFW110033T2SZ</t>
  </si>
  <si>
    <t>INVERSOR EUCFW110010S2SZ</t>
  </si>
  <si>
    <t>INVERSOR EUCFW110007T2SZ</t>
  </si>
  <si>
    <t>INVERSOR EUCFW110007B2SZ</t>
  </si>
  <si>
    <t>INVERSOR EUCFW110010T2SZ</t>
  </si>
  <si>
    <t>INVERSOR EUCFW110013T2SZ</t>
  </si>
  <si>
    <t>INVERSOR EUCFW110016T2SZ</t>
  </si>
  <si>
    <t>INVERSOR EUCFW110003T4SZ</t>
  </si>
  <si>
    <t>INVERSOR EUCFW110005T4SZ</t>
  </si>
  <si>
    <t>INVERSOR EUCFW110007T4SZ</t>
  </si>
  <si>
    <t>INVERSOR EUCFW110010T4SZ</t>
  </si>
  <si>
    <t>INVERSOR EUCFW110013T4SZ</t>
  </si>
  <si>
    <t>INVERSOR EUCFW110017T4SZ</t>
  </si>
  <si>
    <t>INVERSOR EUCFW110024T4SZ</t>
  </si>
  <si>
    <t>INVERSOR EUCFW110031T4SZ</t>
  </si>
  <si>
    <t>INVERSOR EUCFW110038T4SZ</t>
  </si>
  <si>
    <t>INVERSOR EUCFW110045T4SZ</t>
  </si>
  <si>
    <t>INVERSOR EUCFW110058T4SZ</t>
  </si>
  <si>
    <t>INVERSOR EUCFW110070T4SZ</t>
  </si>
  <si>
    <t>INVERSOR EUCFW110088T4SZ</t>
  </si>
  <si>
    <t>INVERSOR BRCFW110105T4SZ</t>
  </si>
  <si>
    <t>083</t>
  </si>
  <si>
    <t>LINHA G1</t>
  </si>
  <si>
    <t>INVERSOR BRCFW110142T4SZ</t>
  </si>
  <si>
    <t>INVERSOR BRCFW110180T4SZ</t>
  </si>
  <si>
    <t>INVERSOR BRCFW110211T4SZ</t>
  </si>
  <si>
    <t>INVERSOR BRCFW110142T2SZ</t>
  </si>
  <si>
    <t>INVERSOR BRCFW110180T2SZ</t>
  </si>
  <si>
    <t>INVERSOR BRCFW110211T2SZ</t>
  </si>
  <si>
    <t>INVERSOR BRCFW110142T4ODBZ</t>
  </si>
  <si>
    <t>INVERSOR BRCFW110180T4ODBZ</t>
  </si>
  <si>
    <t>INVERSOR BRCFW110211T4ODBZ</t>
  </si>
  <si>
    <t>INVERSOR BRCFW110142T2ODBZ</t>
  </si>
  <si>
    <t>INVERSOR BRCFW110180T2ODBZ</t>
  </si>
  <si>
    <t>INVERSOR BRCFW110211T2ODBZ</t>
  </si>
  <si>
    <t>INVERSOR BRCFW110105T4ODBZ</t>
  </si>
  <si>
    <t>INVERSOR BRCFW110024T4OWZ</t>
  </si>
  <si>
    <t>INVERSOR BRCFW110058T4OWZ</t>
  </si>
  <si>
    <t>INVERSOR BRCFW110070T4OWZ</t>
  </si>
  <si>
    <t>INVERSOR BRCFW110005T4OWZ</t>
  </si>
  <si>
    <t>INVERSOR BRCFW110003T4OYZ</t>
  </si>
  <si>
    <t>INVERSOR BRCFW110003T4OWZ</t>
  </si>
  <si>
    <t>INVERSOR BRCFW110010T4OWZ</t>
  </si>
  <si>
    <t>INVERSOR BRCFW110013T4OWZ</t>
  </si>
  <si>
    <t>INVERSOR BRCFW110017T4OWZ</t>
  </si>
  <si>
    <t>INVERSOR EUCFW110142T4SZ</t>
  </si>
  <si>
    <t>INVERSOR EUCFW110142T4OYZ</t>
  </si>
  <si>
    <t>INVERSOR BRCFW110045T4OFAZ</t>
  </si>
  <si>
    <t>INVERSOR EUCFW110180T4SZ</t>
  </si>
  <si>
    <t>INVERSOR EUCFW110088T4OFAYWZ</t>
  </si>
  <si>
    <t>INVERSOR EUCFW110088T4OFAYZ</t>
  </si>
  <si>
    <t>INVERSOR NACFW110142T2SZ</t>
  </si>
  <si>
    <t>INVERSOR NACFW110180T2SZ</t>
  </si>
  <si>
    <t>INVERSOR NACFW110211T2SZ</t>
  </si>
  <si>
    <t>INVERSOR NACFW110105T4SZ</t>
  </si>
  <si>
    <t>INVERSOR NACFW110142T4SZ</t>
  </si>
  <si>
    <t>INVERSOR NACFW110180T4SZ</t>
  </si>
  <si>
    <t>INVERSOR NACFW110211T4SZ</t>
  </si>
  <si>
    <t>INVERSOR NACFW110142T2ODBZ</t>
  </si>
  <si>
    <t>INVERSOR NACFW110180T2ODBZ</t>
  </si>
  <si>
    <t>INVERSOR NACFW110211T2ODBZ</t>
  </si>
  <si>
    <t>INVERSOR NACFW110105T4ODBZ</t>
  </si>
  <si>
    <t>INVERSOR NACFW110142T4ODBZ</t>
  </si>
  <si>
    <t>INVERSOR NACFW110180T4ODBZ</t>
  </si>
  <si>
    <t>INVERSOR NACFW110211T4ODBZ</t>
  </si>
  <si>
    <t>INVERSOR NACFW110142T2ON1Z</t>
  </si>
  <si>
    <t>INVERSOR NACFW110180T2ON1Z</t>
  </si>
  <si>
    <t>INVERSOR NACFW110211T2ON1Z</t>
  </si>
  <si>
    <t>INVERSOR NACFW110105T4ON1Z</t>
  </si>
  <si>
    <t>INVERSOR NACFW110142T4ON1Z</t>
  </si>
  <si>
    <t>INVERSOR NACFW110180T4ON1Z</t>
  </si>
  <si>
    <t>INVERSOR NACFW110211T4ON1Z</t>
  </si>
  <si>
    <t>INVERSOR SACFW110142T2SZ</t>
  </si>
  <si>
    <t>INVERSOR SACFW110180T2SZ</t>
  </si>
  <si>
    <t>INVERSOR SACFW110211T2SZ</t>
  </si>
  <si>
    <t>INVERSOR SACFW110105T4SZ</t>
  </si>
  <si>
    <t>INVERSOR SACFW110142T4SZ</t>
  </si>
  <si>
    <t>INVERSOR SACFW110180T4SZ</t>
  </si>
  <si>
    <t>INVERSOR SACFW110211T4SZ</t>
  </si>
  <si>
    <t>INVERSOR SACFW110142T2ODBZ</t>
  </si>
  <si>
    <t>INVERSOR SACFW110180T2ODBZ</t>
  </si>
  <si>
    <t>INVERSOR SACFW110211T2ODBZ</t>
  </si>
  <si>
    <t>INVERSOR SACFW110105T4ODBZ</t>
  </si>
  <si>
    <t>INVERSOR SACFW110142T4ODBZ</t>
  </si>
  <si>
    <t>INVERSOR SACFW110180T4ODBZ</t>
  </si>
  <si>
    <t>INVERSOR SACFW110211T4ODBZ</t>
  </si>
  <si>
    <t>INVERSOR EUCFW110142T2SZ</t>
  </si>
  <si>
    <t>INVERSOR EUCFW110180T2SZ</t>
  </si>
  <si>
    <t>INVERSOR EUCFW110211T2SZ</t>
  </si>
  <si>
    <t>INVERSOR EUCFW110105T4SZ</t>
  </si>
  <si>
    <t>INVERSOR EUCFW110211T4SZ</t>
  </si>
  <si>
    <t>INVERSOR EUCFW110142T2ODBZ</t>
  </si>
  <si>
    <t>INVERSOR EUCFW110180T2ODBZ</t>
  </si>
  <si>
    <t>INVERSOR EUCFW110211T2ODBZ</t>
  </si>
  <si>
    <t>INVERSOR EUCFW110105T4ODBZ</t>
  </si>
  <si>
    <t>INVERSOR EUCFW110142T4ODBZ</t>
  </si>
  <si>
    <t>INVERSOR EUCFW110180T4ODBZ</t>
  </si>
  <si>
    <t>INVERSOR EUCFW110211T4ODBZ</t>
  </si>
  <si>
    <t>INVERSOR MSCFW110142T2SZ</t>
  </si>
  <si>
    <t>INVERSOR MSCFW110180T2SZ</t>
  </si>
  <si>
    <t>INVERSOR MSCFW110211T2SZ</t>
  </si>
  <si>
    <t>INVERSOR MSCFW110105T4SZ</t>
  </si>
  <si>
    <t>INVERSOR MSCFW110142T4SZ</t>
  </si>
  <si>
    <t>INVERSOR MSCFW110180T4SZ</t>
  </si>
  <si>
    <t>INVERSOR MSCFW110211T4SZ</t>
  </si>
  <si>
    <t>INVERSOR MSCFW110142T2ODBZ</t>
  </si>
  <si>
    <t>INVERSOR MSCFW110180T2ODBZ</t>
  </si>
  <si>
    <t>INVERSOR MSCFW110211T2ODBZ</t>
  </si>
  <si>
    <t>INVERSOR MSCFW110105T4ODBZ</t>
  </si>
  <si>
    <t>INVERSOR MSCFW110142T4ODBZ</t>
  </si>
  <si>
    <t>INVERSOR MSCFW110180T4ODBZ</t>
  </si>
  <si>
    <t>INVERSOR MSCFW110211T4ODBZ</t>
  </si>
  <si>
    <t>INVERSOR NACFW110142T2ON1DBZ</t>
  </si>
  <si>
    <t>INVERSOR NACFW110180T2ON1DBZ</t>
  </si>
  <si>
    <t>INVERSOR NACFW110211T2ON1DBZ</t>
  </si>
  <si>
    <t>INVERSOR NACFW110105T4ON1DBZ</t>
  </si>
  <si>
    <t>INVERSOR NACFW110142T4ON1DBZ</t>
  </si>
  <si>
    <t>INVERSOR NACFW110180T4ON1DBZ</t>
  </si>
  <si>
    <t>INVERSOR NACFW110211T4ON1DBZ</t>
  </si>
  <si>
    <t>INVERSOR BRCFW110088T4OWZ</t>
  </si>
  <si>
    <t>INVERSOR BRCFW110045T4OWZ</t>
  </si>
  <si>
    <t>INVERSOR BRCFW110038T4OWZ</t>
  </si>
  <si>
    <t>INVERSOR BRCFW110031T4OWZ</t>
  </si>
  <si>
    <t>INVERSOR BRCFW110142T4OWZ</t>
  </si>
  <si>
    <t>INVERSOR BRCFW110211T4OWZ</t>
  </si>
  <si>
    <t>INVERSOR BRCFW110010S2O54Z</t>
  </si>
  <si>
    <t>INVERSOR BRCFW110006B2O54Z</t>
  </si>
  <si>
    <t>INVERSOR BRCFW110007B2O54Z</t>
  </si>
  <si>
    <t>INVERSOR BRCFW110007T2O54Z</t>
  </si>
  <si>
    <t>INVERSOR BRCFW110010T2O54Z</t>
  </si>
  <si>
    <t>INVERSOR BRCFW110013T2O54Z</t>
  </si>
  <si>
    <t>INVERSOR BRCFW110016T2O54Z</t>
  </si>
  <si>
    <t>INVERSOR BRCFW110024T2O54Z</t>
  </si>
  <si>
    <t>INVERSOR BRCFW110028T2O54Z</t>
  </si>
  <si>
    <t>INVERSOR BRCFW110033T2O54Z</t>
  </si>
  <si>
    <t>INVERSOR BRCFW110003T4O54Z</t>
  </si>
  <si>
    <t>INVERSOR BRCFW110005T4O54Z</t>
  </si>
  <si>
    <t>INVERSOR BRCFW110007T4O54Z</t>
  </si>
  <si>
    <t>INVERSOR BRCFW110045T2O54Z</t>
  </si>
  <si>
    <t>INVERSOR BRCFW110010T4O54Z</t>
  </si>
  <si>
    <t>INVERSOR EUCFW110031T4OFAYZ</t>
  </si>
  <si>
    <t>INVERSOR EUCFW110038T4OFAYZ</t>
  </si>
  <si>
    <t>INVERSOR EUCFW110045T4OFAYZ</t>
  </si>
  <si>
    <t>INVERSOR EUCFW110105T4OYZ</t>
  </si>
  <si>
    <t>INVERSOR BRCFW110017T4O54Z</t>
  </si>
  <si>
    <t>INVERSOR BRCFW110054T2O54Z</t>
  </si>
  <si>
    <t>INVERSOR BRCFW110105T2O54Z</t>
  </si>
  <si>
    <t>INVERSOR BRCFW110038T4O54Z</t>
  </si>
  <si>
    <t>INVERSOR BRCFW110088T4O54Z</t>
  </si>
  <si>
    <t>INVERSOR BRCFW110142T2O54Z</t>
  </si>
  <si>
    <t>012</t>
  </si>
  <si>
    <t>LINHA E1</t>
  </si>
  <si>
    <t>INVERSOR EUCFW110013T4O54FAZ</t>
  </si>
  <si>
    <t>INVERSOR EUCFW110017T4O54FAZ</t>
  </si>
  <si>
    <t>INVERSOR EUCFW110038T4O54FAZ</t>
  </si>
  <si>
    <t>INVERSOR EUCFW110088T4O54FAZ</t>
  </si>
  <si>
    <t>INVERSOR EUCFW110105T4O54Z</t>
  </si>
  <si>
    <t>INVERSOR EUCFW110142T4O54Z</t>
  </si>
  <si>
    <t>INVERSOR EUCFW110105T4O54DBZ</t>
  </si>
  <si>
    <t>INVERSOR EUCFW110142T4O54DBZ</t>
  </si>
  <si>
    <t>INVERSOR EUCFW110006S2O54FAZ</t>
  </si>
  <si>
    <t>INVERSOR EUCFW110007S2O54FAZ</t>
  </si>
  <si>
    <t>INVERSOR EUCFW110010S2O54FAZ</t>
  </si>
  <si>
    <t>INVERSOR BRCFW110013T4O54Z</t>
  </si>
  <si>
    <t>INVERSOR BRCFW110024T4O54Z</t>
  </si>
  <si>
    <t>INVERSOR BRCFW110031T4O54Z</t>
  </si>
  <si>
    <t>INVERSOR BRCFW110070T2O54Z</t>
  </si>
  <si>
    <t>INVERSOR BRCFW110086T2O54Z</t>
  </si>
  <si>
    <t>INVERSOR BRCFW110045T4O54Z</t>
  </si>
  <si>
    <t>INVERSOR BRCFW110058T4O54Z</t>
  </si>
  <si>
    <t>INVERSOR BRCFW110070T4O54Z</t>
  </si>
  <si>
    <t>INVERSOR BRCFW110105T4O54Z</t>
  </si>
  <si>
    <t>INVERSOR BRCFW110142T4O54Z</t>
  </si>
  <si>
    <t>INVERSOR BRCFW110142T2O54DBZ</t>
  </si>
  <si>
    <t>INVERSOR BRCFW110105T4O54DBZ</t>
  </si>
  <si>
    <t>INVERSOR BRCFW110142T4O54DBZ</t>
  </si>
  <si>
    <t>INVERSOR EUCFW110003T4O54FAZ</t>
  </si>
  <si>
    <t>INVERSOR EUCFW110005T4O54FAZ</t>
  </si>
  <si>
    <t>INVERSOR EUCFW110007T4O54FAZ</t>
  </si>
  <si>
    <t>INVERSOR EUCFW110010T4O54FAZ</t>
  </si>
  <si>
    <t>INVERSOR EUCFW110024T4O54FAZ</t>
  </si>
  <si>
    <t>INVERSOR EUCFW110031T4O54FAZ</t>
  </si>
  <si>
    <t>INVERSOR EUCFW110045T4O54FAZ</t>
  </si>
  <si>
    <t>INVERSOR EUCFW110058T4O54FAZ</t>
  </si>
  <si>
    <t>INVERSOR EUCFW110070T4O54FAZ</t>
  </si>
  <si>
    <t>INVERSOR EUCFW110002B2O54Z</t>
  </si>
  <si>
    <t>INVERSOR BRCFW110003T4OFAYZ</t>
  </si>
  <si>
    <t>INVERSOR BRCFW110005T4OFAYZ</t>
  </si>
  <si>
    <t>INVERSOR BRCFW110070T4OFAYZ</t>
  </si>
  <si>
    <t>INVERSOR BRCFW110088T4OFAYZ</t>
  </si>
  <si>
    <t>INVERSOR BRCFW110105T4OYZ</t>
  </si>
  <si>
    <t>INVERSOR BRCFW110142T4OYZ</t>
  </si>
  <si>
    <t>INVERSOR BRCFW110180T4OYZ</t>
  </si>
  <si>
    <t>INVERSOR BRCFW110211T4OYZ</t>
  </si>
  <si>
    <t>INVERSOR EUCFW110211T4OYZ</t>
  </si>
  <si>
    <t>INVERSOR EUCFW110058T4OFAYZ</t>
  </si>
  <si>
    <t>INVERSOR BRCFW110070T4OYZ</t>
  </si>
  <si>
    <t>INVERSOR CFW700A07P0T4DB20C3</t>
  </si>
  <si>
    <t>033</t>
  </si>
  <si>
    <t>OBSOLETOS DRIVES</t>
  </si>
  <si>
    <t>INVERSOR EUCFW110007T4OFAYZ</t>
  </si>
  <si>
    <t>INVERSOR EUCFW110010T4OFAYZ</t>
  </si>
  <si>
    <t>INVERSOR EUCFW110003T4OFAYZ</t>
  </si>
  <si>
    <t>INVERSOR EUCFW110105T4ODBYZ</t>
  </si>
  <si>
    <t>INVERSOR EUCFW110180T4ODBYZ</t>
  </si>
  <si>
    <t>INVERSOR EUCFW110211T4ODBYZ</t>
  </si>
  <si>
    <t>INVERSOR EUCFW110005T4OFAYZ</t>
  </si>
  <si>
    <t>INVERSOR EUCFW110013T4OFAYZ</t>
  </si>
  <si>
    <t>INVERSOR EUCFW110017T4OFAYZ</t>
  </si>
  <si>
    <t>INVERSOR EUCFW110024T4OFAYZ</t>
  </si>
  <si>
    <t>INVERSOR EUCFW110070T4OFAYZ</t>
  </si>
  <si>
    <t>INVERSOR EUCFW110180T4OYZ</t>
  </si>
  <si>
    <t>INVERSOR CFW700A06P0B2DB20</t>
  </si>
  <si>
    <t>INVERSOR CFW700A10P0S2DB20</t>
  </si>
  <si>
    <t>INVERSOR CFW700A10P0T2DB20</t>
  </si>
  <si>
    <t>INVERSOR CFW700A16P0T2DB20</t>
  </si>
  <si>
    <t>INVERSOR CFW700B24P0T2DB20</t>
  </si>
  <si>
    <t>INVERSOR CFW700B28P0T2DB20</t>
  </si>
  <si>
    <t>INVERSOR CFW700B33P5T2DB20</t>
  </si>
  <si>
    <t>INVERSOR CFW700C45P0T2DB20</t>
  </si>
  <si>
    <t>INVERSOR CFW700C54P0T2DB20</t>
  </si>
  <si>
    <t>INVERSOR CFW700C70P0T2DB20</t>
  </si>
  <si>
    <t>INVERSOR CFW700D86P0T2DBN1</t>
  </si>
  <si>
    <t>INVERSOR CFW700A03P6T4DB20</t>
  </si>
  <si>
    <t>INVERSOR CFW700A05P0T4DB20</t>
  </si>
  <si>
    <t>INVERSOR CFW700A07P0T4DB20</t>
  </si>
  <si>
    <t>INVERSOR CFW700A10P0T4DB20</t>
  </si>
  <si>
    <t>INVERSOR CFW700A13P5T4DB20</t>
  </si>
  <si>
    <t>INVERSOR CFW700B17P0T4DB20</t>
  </si>
  <si>
    <t>INVERSOR CFW700B24P0T4DB20</t>
  </si>
  <si>
    <t>INVERSOR CFW700B31P0T4DB20</t>
  </si>
  <si>
    <t>INVERSOR CFW700C38P0T4DB20</t>
  </si>
  <si>
    <t>INVERSOR CFW700C45P0T4DB20</t>
  </si>
  <si>
    <t>INVERSOR CFW700C58P5T4DB20</t>
  </si>
  <si>
    <t>INVERSOR CFW700D70P5T4DBN1</t>
  </si>
  <si>
    <t>INVERSOR CFW700D88P0T4DBN1</t>
  </si>
  <si>
    <t>INVERSOR CFW700E0105T4NB20C3</t>
  </si>
  <si>
    <t>INVERSOR CFW700E0142T4NB20C3</t>
  </si>
  <si>
    <t>INVERSOR CFW700E0180T4NB20C3</t>
  </si>
  <si>
    <t>INVERSOR CFW700E0211T4NB20C3</t>
  </si>
  <si>
    <t>INVERSOR CFW700E0142T2NB20C3</t>
  </si>
  <si>
    <t>INVERSOR CFW700E0180T2NB20C3</t>
  </si>
  <si>
    <t>INVERSOR CFW700E0211T2NB20C3</t>
  </si>
  <si>
    <t>INVERSOR CFW700A13P0T2DB20</t>
  </si>
  <si>
    <t>INVERSOR CFW700D0105T2DBN1</t>
  </si>
  <si>
    <t>INVERSOR BRCFW110142T4ODBYZ</t>
  </si>
  <si>
    <t>INVERSOR BRCFW110088T4OFAZ</t>
  </si>
  <si>
    <t>INVERSOR EUCFW110045T2OFAWZ</t>
  </si>
  <si>
    <t>INVERSOR BRCFW110105T4OWZ</t>
  </si>
  <si>
    <t>INVERSOR CFW700B31P0T4DB20C3Y1</t>
  </si>
  <si>
    <t>INVERSOR CFW700D88P0T4DBN1C3Y1</t>
  </si>
  <si>
    <t>INVERSOR BRCFW110010T4OFAZ</t>
  </si>
  <si>
    <t>INVERSOR BRCFW110045T4OYZ</t>
  </si>
  <si>
    <t>INVERSOR EUCFW110003T4OFAWZ</t>
  </si>
  <si>
    <t>INVERSOR EUCFW110006S2OFAYZ</t>
  </si>
  <si>
    <t>INVERSOR BRCFW110054T2OFAZ</t>
  </si>
  <si>
    <t>INVERSOR BRCFW110070T4OFAZ</t>
  </si>
  <si>
    <t>INVERSOR BRCFW110024T4OFAZ</t>
  </si>
  <si>
    <t>INVERSOR CFW700A13P5T4DB20C3</t>
  </si>
  <si>
    <t>INVERSOR CFW700A16P0T2DB20C3</t>
  </si>
  <si>
    <t>INVERSOR CFW700B24P0T4DB20C3</t>
  </si>
  <si>
    <t>INVERSOR BRCFW110105T4ODBWZ</t>
  </si>
  <si>
    <t>INVERSOR CFW700A13P5T4DB20C3Y1</t>
  </si>
  <si>
    <t>INVERSOR BRCFW110003T4OFAZ</t>
  </si>
  <si>
    <t>INVERSOR BRCFW110720T4ORBZ</t>
  </si>
  <si>
    <t>024</t>
  </si>
  <si>
    <t>LINHA G5</t>
  </si>
  <si>
    <t>INVERSOR BRCFW110013T4OYZ</t>
  </si>
  <si>
    <t>INVERSOR BRCFW110005T4OFAYWZ</t>
  </si>
  <si>
    <t>INVERSOR BRCFW110010T4OFAYWZ</t>
  </si>
  <si>
    <t>INVERSOR BRCFW110017T4OFAYWZ</t>
  </si>
  <si>
    <t>INVERSOR BRCFW110024T4OFAYWZ</t>
  </si>
  <si>
    <t>INVERSOR BRCFW110038T4OFAYWZ</t>
  </si>
  <si>
    <t>INVERSOR BRCFW110180T4OYWZ</t>
  </si>
  <si>
    <t>INVERSOR BRCFW110242T4ORBZ</t>
  </si>
  <si>
    <t>082</t>
  </si>
  <si>
    <t>LINHA G3</t>
  </si>
  <si>
    <t>INVERSOR BRCFW110312T4ORBZ</t>
  </si>
  <si>
    <t>INVERSOR BRCFW110370T4ORBZ</t>
  </si>
  <si>
    <t>INVERSOR BRCFW110477T4ORBZ</t>
  </si>
  <si>
    <t>INVERSOR BRCFW110515T4ORBZ</t>
  </si>
  <si>
    <t>INVERSOR BRCFW110601T4ORBZ</t>
  </si>
  <si>
    <t>INVERSOR BRCFW110038T4OYWZ</t>
  </si>
  <si>
    <t>INVERSOR BRCFW110024T4OYWZ</t>
  </si>
  <si>
    <t>INVERSOR BRCFW110017T4OYWZ</t>
  </si>
  <si>
    <t>INVERSOR BRCFW110010T4OYWZ</t>
  </si>
  <si>
    <t>INVERSOR BRCFW110005T4OYWZ</t>
  </si>
  <si>
    <t>INVERSOR EWCFW110038T4OFAZ</t>
  </si>
  <si>
    <t>INVERSOR EWCFW110045T4OFAZ</t>
  </si>
  <si>
    <t>INVERSOR BRCFW110088T4OYWZ</t>
  </si>
  <si>
    <t>INVERSOR BRCFW110017T4OFAYZ</t>
  </si>
  <si>
    <t>INVERSOR BRCFW110003T4OFAYWZ</t>
  </si>
  <si>
    <t>INVERSOR BRCFW110031T4OFAYWZ</t>
  </si>
  <si>
    <t>INVERSOR BRCFW110211T4OYWZ</t>
  </si>
  <si>
    <t>INVERSOR BRCFW110010S2OFAZ</t>
  </si>
  <si>
    <t>INVERSOR BRCFW110006S2OFAZ</t>
  </si>
  <si>
    <t>INVERSOR BRCFW110007S2OFAZ</t>
  </si>
  <si>
    <t>INVERSOR BRCFW110007T2OFAZ</t>
  </si>
  <si>
    <t>INVERSOR BRCFW110016T2OFAZ</t>
  </si>
  <si>
    <t>INVERSOR BRCFW110024T2OFAZ</t>
  </si>
  <si>
    <t>INVERSOR BRCFW110033T2OFAZ</t>
  </si>
  <si>
    <t>INVERSOR BRCFW110045T2OFAZ</t>
  </si>
  <si>
    <t>INVERSOR BRCFW110017T4OFAZ</t>
  </si>
  <si>
    <t>INVERSOR CFW700A03P6T4DB20C3</t>
  </si>
  <si>
    <t>INVERSOR CFW700A05P0T4DB20C3</t>
  </si>
  <si>
    <t>INVERSOR CFW700A10P0T4DB20C3</t>
  </si>
  <si>
    <t>INVERSOR CFW700B17P0T4DB20C3</t>
  </si>
  <si>
    <t>INVERSOR CFW700B24P0T2DB20C3</t>
  </si>
  <si>
    <t>INVERSOR CFW700B31P0T4DB20C3</t>
  </si>
  <si>
    <t>INVERSOR CFW700B28P0T2DB20C3</t>
  </si>
  <si>
    <t>INVERSOR CFW700C38P0T4DB20C3</t>
  </si>
  <si>
    <t>INVERSOR CFW700C45P0T2DB20C3</t>
  </si>
  <si>
    <t>INVERSOR CFW700C45P0T4DB20C3</t>
  </si>
  <si>
    <t>INVERSOR CFW700C54P0T2DB20C3</t>
  </si>
  <si>
    <t>INVERSOR CFW700C58P5T4DB20C3</t>
  </si>
  <si>
    <t>INVERSOR CFW700C70P0T2DB20C3</t>
  </si>
  <si>
    <t>INVERSOR CFW700D70P5T4DBN1C3</t>
  </si>
  <si>
    <t>INVERSOR CFW700D88P0T4DBN1C3</t>
  </si>
  <si>
    <t>INVERSOR CFW700E0105T4DB20C3</t>
  </si>
  <si>
    <t>INVERSOR CFW700E0142T2DB20C3</t>
  </si>
  <si>
    <t>INVERSOR CFW700E0142T4DB20C3</t>
  </si>
  <si>
    <t>INVERSOR CFW700E0180T2DB20C3</t>
  </si>
  <si>
    <t>INVERSOR CFW700E0180T4DB20C3</t>
  </si>
  <si>
    <t>INVERSOR CFW700E0211T4DB20C3</t>
  </si>
  <si>
    <t>INVERSOR EUCFW110045T4OFAWZ</t>
  </si>
  <si>
    <t>INVERSOR CFW700E0180T2NBN1C3</t>
  </si>
  <si>
    <t>INVERSOR CFW700A03P6T4DBN1</t>
  </si>
  <si>
    <t>INVERSOR CFW700B17P0T4DBN1</t>
  </si>
  <si>
    <t>INVERSOR CFW700E0211T4DBN1C3</t>
  </si>
  <si>
    <t>INVERSOR BCCFW110031T4OHESEZ</t>
  </si>
  <si>
    <t>INVERSOR BCCFW110045T4OHESEZ</t>
  </si>
  <si>
    <t>INVERSOR BCCFW110058T4OHESEZ</t>
  </si>
  <si>
    <t>INVERSOR BCCFW110070T4OHESEZ</t>
  </si>
  <si>
    <t>INVERSOR BCCFW110088T4OHESEZ</t>
  </si>
  <si>
    <t>INVERSOR BCCFW110142T4OHESEZ</t>
  </si>
  <si>
    <t>INVERSOR BCCFW110180T4OHESEZ</t>
  </si>
  <si>
    <t>INVERSOR SACFW110010T4OYWZ</t>
  </si>
  <si>
    <t>INVERSOR SACFW110024T4OYWZ</t>
  </si>
  <si>
    <t>INVERSOR SACFW110038T4OYWZ</t>
  </si>
  <si>
    <t>INVERSOR SACFW110058T4OYWZ</t>
  </si>
  <si>
    <t>INVERSOR SACFW110180T4OYWZ</t>
  </si>
  <si>
    <t>INVERSOR BRCFW110180T4ODBYWZ</t>
  </si>
  <si>
    <t>INVERSOR BRCFW110105T4ODBYWZ</t>
  </si>
  <si>
    <t>INVERSOR BRCFW110142T4ODBYWZ</t>
  </si>
  <si>
    <t>INVERSOR BRCFW110211T4ODBYWZ</t>
  </si>
  <si>
    <t>INVERSOR BCCFW110017T4OHESEZ</t>
  </si>
  <si>
    <t>INVERSOR BCCFW110024T4OHESEZ</t>
  </si>
  <si>
    <t>INVERSOR BCCFW110038T4OHESEZ</t>
  </si>
  <si>
    <t>INVERSOR BCCFW110211T4OHESEZ</t>
  </si>
  <si>
    <t>INVERSOR BRCFW110058T4OFAYWZ</t>
  </si>
  <si>
    <t>INVERSOR BRCFW110024T4OYZ</t>
  </si>
  <si>
    <t>INVERSOR BRCFW110045T2OYZ</t>
  </si>
  <si>
    <t>INVERSOR BRCFW110031T4OYZ</t>
  </si>
  <si>
    <t>INVERSOR BRCFW110054T2OYZ</t>
  </si>
  <si>
    <t>INVERSOR BRCFW110086T2OYZ</t>
  </si>
  <si>
    <t>INVERSOR BRCFW110142T2OYZ</t>
  </si>
  <si>
    <t>INVERSOR BRCFW110088T4OYZ</t>
  </si>
  <si>
    <t>INVERSOR BRCFW110180T2OYZ</t>
  </si>
  <si>
    <t>INVERSOR BRCFW110180T4OWZ</t>
  </si>
  <si>
    <t>INVERSOR BRCFW110007T4OWZ</t>
  </si>
  <si>
    <t>INVERSOR BRCFW110010T4OFAWZ</t>
  </si>
  <si>
    <t>INVERSOR BRCFW110003T4OFAWZ</t>
  </si>
  <si>
    <t>INVERSOR BRCFW110142T4ODBWZ</t>
  </si>
  <si>
    <t>INVERSOR BRCFW110024T4OFAWZ</t>
  </si>
  <si>
    <t>INVERSOR BRCFW110088T4OFAWZ</t>
  </si>
  <si>
    <t>INVERSOR BRCFW110105T2OYZ</t>
  </si>
  <si>
    <t>INVERSOR BRCFW110058T4OYZ</t>
  </si>
  <si>
    <t>INVERSOR BRCFW110150T6OYZ</t>
  </si>
  <si>
    <t>INVERSOR EUCFW110007T4OFAWZ</t>
  </si>
  <si>
    <t>INVERSOR EUCFW110013T4OFAWZ</t>
  </si>
  <si>
    <t>INVERSOR EUCFW110024T4OFAWZ</t>
  </si>
  <si>
    <t>INVERSOR BRCFW110070T2OYZ</t>
  </si>
  <si>
    <t>INVERSOR BRCFW110024T2OYZ</t>
  </si>
  <si>
    <t>INVERSOR SACFW110031T4OYWZ</t>
  </si>
  <si>
    <t>INVERSOR SACFW110211T4OYZ</t>
  </si>
  <si>
    <t>INVERSOR BRCFW110033T2O54FAZ</t>
  </si>
  <si>
    <t>INVERSOR BRCFW110054T2O54FAZ</t>
  </si>
  <si>
    <t>INVERSOR BRCFW110016T2O54FAZ</t>
  </si>
  <si>
    <t>INVERSOR EUCFW110211T4OYWZ</t>
  </si>
  <si>
    <t>INVERSOR BRCFW110038T4OFAWZ</t>
  </si>
  <si>
    <t>INVERSOR BRCFW110002T6OYZ</t>
  </si>
  <si>
    <t>INVERSOR BRCFW110004T6OYZ</t>
  </si>
  <si>
    <t>INVERSOR BRCFW110007T6OYZ</t>
  </si>
  <si>
    <t>INVERSOR BRCFW110010T6OYZ</t>
  </si>
  <si>
    <t>INVERSOR BRCFW110012T6OYZ</t>
  </si>
  <si>
    <t>INVERSOR BRCFW110017T6OYZ</t>
  </si>
  <si>
    <t>INVERSOR BRCFW110022T6OYZ</t>
  </si>
  <si>
    <t>INVERSOR BRCFW110027T6OYZ</t>
  </si>
  <si>
    <t>INVERSOR BRCFW110032T6OYZ</t>
  </si>
  <si>
    <t>INVERSOR BRCFW110044T6OYZ</t>
  </si>
  <si>
    <t>INVERSOR BRCFW110053T6OYZ</t>
  </si>
  <si>
    <t>INVERSOR BRCFW110063T6OYZ</t>
  </si>
  <si>
    <t>INVERSOR BRCFW110080T6OYZ</t>
  </si>
  <si>
    <t>INVERSOR BRCFW110107T6OYZ</t>
  </si>
  <si>
    <t>INVERSOR BRCFW110125T6OYZ</t>
  </si>
  <si>
    <t>INVERSOR CFW701A06P0S2DB20C3</t>
  </si>
  <si>
    <t>INVERSOR CFW701A07P0S2DB20C3</t>
  </si>
  <si>
    <t>INVERSOR CFW701A10P0S2DB20C3</t>
  </si>
  <si>
    <t>INVERSOR CFW701A03P6T4DB20C3</t>
  </si>
  <si>
    <t>INVERSOR CFW701A05P0T4DB20C3</t>
  </si>
  <si>
    <t>INVERSOR CFW701A07P0T4DB20C3</t>
  </si>
  <si>
    <t>INVERSOR CFW701A10P0T4DB20C3</t>
  </si>
  <si>
    <t>INVERSOR CFW701A13P5T4DB20C3</t>
  </si>
  <si>
    <t>INVERSOR CFW701A07P0T2DB20C3</t>
  </si>
  <si>
    <t>INVERSOR CFW701A10P0T2DB20C3</t>
  </si>
  <si>
    <t>INVERSOR CFW701A13P0T2DB20C3</t>
  </si>
  <si>
    <t>INVERSOR CFW701A16P0T2DB20C3</t>
  </si>
  <si>
    <t>INVERSOR CFW701B24P0T2DB20C3</t>
  </si>
  <si>
    <t>INVERSOR CFW701B28P0T2DB20C3</t>
  </si>
  <si>
    <t>INVERSOR CFW701B33P5T2DB20C3</t>
  </si>
  <si>
    <t>INVERSOR CFW701B17P0T4DB20C3</t>
  </si>
  <si>
    <t>INVERSOR CFW701B24P0T4DB20C3</t>
  </si>
  <si>
    <t>INVERSOR CFW701B31P0T4DB20C3</t>
  </si>
  <si>
    <t>INVERSOR CFW701C45P0T2DB20C3</t>
  </si>
  <si>
    <t>INVERSOR CFW701C54P0T2DB20C3</t>
  </si>
  <si>
    <t>INVERSOR CFW701C70P0T2DB20C3</t>
  </si>
  <si>
    <t>INVERSOR CFW701C38P0T4DB20C3</t>
  </si>
  <si>
    <t>INVERSOR CFW701C45P0T4DB20C3</t>
  </si>
  <si>
    <t>INVERSOR CFW701C58P5T4DB20C3</t>
  </si>
  <si>
    <t>INVERSOR CFW701D86P0T2DBN1C3</t>
  </si>
  <si>
    <t>INVERSOR CFW701D0105T2DBN1C3</t>
  </si>
  <si>
    <t>INVERSOR CFW701D70P5T4DBN1C3</t>
  </si>
  <si>
    <t>INVERSOR CFW701D88P0T4DBN1C3</t>
  </si>
  <si>
    <t>INVERSOR CFW701E0142T2NB20C3</t>
  </si>
  <si>
    <t>INVERSOR CFW701E0180T2NB20C3</t>
  </si>
  <si>
    <t>INVERSOR CFW701E0211T2NB20C3</t>
  </si>
  <si>
    <t>INVERSOR CFW701E0142T2DB20C3</t>
  </si>
  <si>
    <t>INVERSOR CFW701E0180T2DB20C3</t>
  </si>
  <si>
    <t>INVERSOR CFW701E0211T2DB20C3</t>
  </si>
  <si>
    <t>INVERSOR CFW701E0105T4NB20C3</t>
  </si>
  <si>
    <t>INVERSOR CFW701E0142T4NB20C3</t>
  </si>
  <si>
    <t>INVERSOR CFW701E0180T4NB20C3</t>
  </si>
  <si>
    <t>INVERSOR CFW701E0211T4NB20C3</t>
  </si>
  <si>
    <t>INVERSOR CFW701E0105T4DB20C3</t>
  </si>
  <si>
    <t>INVERSOR CFW701E0142T4DB20C3</t>
  </si>
  <si>
    <t>INVERSOR CFW701E0180T4DB20C3</t>
  </si>
  <si>
    <t>INVERSOR CFW701E0211T4DB20C3</t>
  </si>
  <si>
    <t>INVERSOR SACFW110211T4OYWZ</t>
  </si>
  <si>
    <t>INVERSOR SACFW110013T4OYWZ</t>
  </si>
  <si>
    <t>INVERSOR SACFW110088T4OYWZ</t>
  </si>
  <si>
    <t>INVERSOR CFW700A03P6T4DB20C3Y1</t>
  </si>
  <si>
    <t>INVERSOR CFW700A05P0T4DB20C3Y1</t>
  </si>
  <si>
    <t>INVERSOR CFW700B17P0T4DB20C3Y1</t>
  </si>
  <si>
    <t>INVERSOR CFW700C38P0T4DB20C3Y1</t>
  </si>
  <si>
    <t>INVERSOR EUCFW110211T4OYHASCZ</t>
  </si>
  <si>
    <t>INVERSOR BRCFW110211T4ODBYZ</t>
  </si>
  <si>
    <t>INVERSOR EUCFW110007S2OFAYZ</t>
  </si>
  <si>
    <t>INVERSOR EUCFW110010S2OFAYZ</t>
  </si>
  <si>
    <t>INVERSOR EUCFW110007T2OFAYZ</t>
  </si>
  <si>
    <t>INVERSOR EUCFW110010T2OFAYZ</t>
  </si>
  <si>
    <t>INVERSOR EUCFW110013T2OFAYZ</t>
  </si>
  <si>
    <t>INVERSOR EUCFW110016T2OFAYZ</t>
  </si>
  <si>
    <t>INVERSOR EUCFW110024T2OFAYZ</t>
  </si>
  <si>
    <t>INVERSOR EUCFW110028T2OFAYZ</t>
  </si>
  <si>
    <t>INVERSOR EUCFW110033T2OFAYZ</t>
  </si>
  <si>
    <t>INVERSOR EUCFW110045T2OFAYZ</t>
  </si>
  <si>
    <t>INVERSOR EUCFW110054T2OFAYZ</t>
  </si>
  <si>
    <t>INVERSOR EUCFW110070T2OFAYZ</t>
  </si>
  <si>
    <t>INVERSOR EUCFW110086T2OFAYZ</t>
  </si>
  <si>
    <t>INVERSOR EUCFW110105T2OFAYZ</t>
  </si>
  <si>
    <t>INVERSOR EUCFW110142T2OYZ</t>
  </si>
  <si>
    <t>INVERSOR EUCFW110180T2OYZ</t>
  </si>
  <si>
    <t>INVERSOR EUCFW110211T2OYZ</t>
  </si>
  <si>
    <t>INVERSOR MSCFW110007T2OYZ</t>
  </si>
  <si>
    <t>INVERSOR MSCFW110010T2OYZ</t>
  </si>
  <si>
    <t>INVERSOR MSCFW110013T2OYZ</t>
  </si>
  <si>
    <t>INVERSOR MSCFW110016T2OYZ</t>
  </si>
  <si>
    <t>INVERSOR MSCFW110003T4OYZ</t>
  </si>
  <si>
    <t>INVERSOR MSCFW110005T4OYZ</t>
  </si>
  <si>
    <t>INVERSOR MSCFW110007T4OYZ</t>
  </si>
  <si>
    <t>INVERSOR MSCFW110010T4OYZ</t>
  </si>
  <si>
    <t>INVERSOR MSCFW110013T4OYZ</t>
  </si>
  <si>
    <t>INVERSOR MSCFW110024T2OYZ</t>
  </si>
  <si>
    <t>INVERSOR MSCFW110028T2OYZ</t>
  </si>
  <si>
    <t>INVERSOR MSCFW110033T2OYZ</t>
  </si>
  <si>
    <t>INVERSOR MSCFW110017T4OYZ</t>
  </si>
  <si>
    <t>INVERSOR MSCFW110024T4OYZ</t>
  </si>
  <si>
    <t>INVERSOR MSCFW110031T4OYZ</t>
  </si>
  <si>
    <t>INVERSOR MSCFW110045T2OYZ</t>
  </si>
  <si>
    <t>INVERSOR MSCFW110054T2OYZ</t>
  </si>
  <si>
    <t>INVERSOR MSCFW110070T2OYZ</t>
  </si>
  <si>
    <t>INVERSOR MSCFW110038T4OYZ</t>
  </si>
  <si>
    <t>INVERSOR MSCFW110045T4OYZ</t>
  </si>
  <si>
    <t>INVERSOR MSCFW110058T4OYZ</t>
  </si>
  <si>
    <t>INVERSOR MSCFW110086T2OYZ</t>
  </si>
  <si>
    <t>INVERSOR MSCFW110105T2OYZ</t>
  </si>
  <si>
    <t>INVERSOR MSCFW110070T4OYZ</t>
  </si>
  <si>
    <t>INVERSOR MSCFW110088T4OYZ</t>
  </si>
  <si>
    <t>INVERSOR MSCFW110142T2OYZ</t>
  </si>
  <si>
    <t>INVERSOR MSCFW110180T2OYZ</t>
  </si>
  <si>
    <t>INVERSOR MSCFW110211T2OYZ</t>
  </si>
  <si>
    <t>INVERSOR MSCFW110105T4OYZ</t>
  </si>
  <si>
    <t>INVERSOR MSCFW110142T4OYZ</t>
  </si>
  <si>
    <t>INVERSOR MSCFW110180T4OYZ</t>
  </si>
  <si>
    <t>INVERSOR MSCFW110211T4OYZ</t>
  </si>
  <si>
    <t>INVERSOR NACFW110007T2OYZ</t>
  </si>
  <si>
    <t>INVERSOR NACFW110010T2OYZ</t>
  </si>
  <si>
    <t>INVERSOR NACFW110013T2OYZ</t>
  </si>
  <si>
    <t>INVERSOR NACFW110016T2OYZ</t>
  </si>
  <si>
    <t>INVERSOR NACFW110003T4OYZ</t>
  </si>
  <si>
    <t>INVERSOR NACFW110005T4OYZ</t>
  </si>
  <si>
    <t>INVERSOR NACFW110007T4OYZ</t>
  </si>
  <si>
    <t>INVERSOR NACFW110010T4OYZ</t>
  </si>
  <si>
    <t>INVERSOR NACFW110013T4OYZ</t>
  </si>
  <si>
    <t>INVERSOR NACFW110024T2OYZ</t>
  </si>
  <si>
    <t>INVERSOR NACFW110028T2OYZ</t>
  </si>
  <si>
    <t>INVERSOR NACFW110033T2OYZ</t>
  </si>
  <si>
    <t>INVERSOR NACFW110017T4OYZ</t>
  </si>
  <si>
    <t>INVERSOR NACFW110024T4OYZ</t>
  </si>
  <si>
    <t>INVERSOR NACFW110031T4OYZ</t>
  </si>
  <si>
    <t>INVERSOR NACFW110045T2OYZ</t>
  </si>
  <si>
    <t>INVERSOR NACFW110054T2OYZ</t>
  </si>
  <si>
    <t>INVERSOR NACFW110070T2OYZ</t>
  </si>
  <si>
    <t>INVERSOR NACFW110038T4OYZ</t>
  </si>
  <si>
    <t>INVERSOR NACFW110045T4OYZ</t>
  </si>
  <si>
    <t>INVERSOR NACFW110058T4OYZ</t>
  </si>
  <si>
    <t>INVERSOR NACFW110086T2OYZ</t>
  </si>
  <si>
    <t>INVERSOR NACFW110105T2OYZ</t>
  </si>
  <si>
    <t>INVERSOR NACFW110070T4OYZ</t>
  </si>
  <si>
    <t>INVERSOR NACFW110088T4OYZ</t>
  </si>
  <si>
    <t>INVERSOR NACFW110142T2OYZ</t>
  </si>
  <si>
    <t>INVERSOR NACFW110180T2OYZ</t>
  </si>
  <si>
    <t>INVERSOR NACFW110211T2OYZ</t>
  </si>
  <si>
    <t>INVERSOR NACFW110105T4OYZ</t>
  </si>
  <si>
    <t>INVERSOR NACFW110142T4OYZ</t>
  </si>
  <si>
    <t>INVERSOR NACFW110180T4OYZ</t>
  </si>
  <si>
    <t>INVERSOR NACFW110211T4OYZ</t>
  </si>
  <si>
    <t>INVERSOR SACFW110007T2OYZ</t>
  </si>
  <si>
    <t>INVERSOR SACFW110010T2OYZ</t>
  </si>
  <si>
    <t>INVERSOR SACFW110013T2OYZ</t>
  </si>
  <si>
    <t>INVERSOR SACFW110016T2OYZ</t>
  </si>
  <si>
    <t>INVERSOR SACFW110003T4OYZ</t>
  </si>
  <si>
    <t>INVERSOR SACFW110005T4OYZ</t>
  </si>
  <si>
    <t>INVERSOR SACFW110007T4OYZ</t>
  </si>
  <si>
    <t>INVERSOR SACFW110010T4OYZ</t>
  </si>
  <si>
    <t>INVERSOR SACFW110013T4OYZ</t>
  </si>
  <si>
    <t>INVERSOR SACFW110024T2OYZ</t>
  </si>
  <si>
    <t>INVERSOR SACFW110028T2OYZ</t>
  </si>
  <si>
    <t>INVERSOR SACFW110033T2OYZ</t>
  </si>
  <si>
    <t>INVERSOR SACFW110017T4OYZ</t>
  </si>
  <si>
    <t>INVERSOR SACFW110024T4OYZ</t>
  </si>
  <si>
    <t>INVERSOR SACFW110031T4OYZ</t>
  </si>
  <si>
    <t>INVERSOR SACFW110045T2OYZ</t>
  </si>
  <si>
    <t>INVERSOR SACFW110054T2OYZ</t>
  </si>
  <si>
    <t>INVERSOR SACFW110070T2OYZ</t>
  </si>
  <si>
    <t>INVERSOR SACFW110038T4OYZ</t>
  </si>
  <si>
    <t>INVERSOR SACFW110045T4OYZ</t>
  </si>
  <si>
    <t>INVERSOR SACFW110058T4OYZ</t>
  </si>
  <si>
    <t>INVERSOR SACFW110086T2OYZ</t>
  </si>
  <si>
    <t>INVERSOR SACFW110105T2OYZ</t>
  </si>
  <si>
    <t>INVERSOR SACFW110070T4OYZ</t>
  </si>
  <si>
    <t>INVERSOR SACFW110088T4OYZ</t>
  </si>
  <si>
    <t>INVERSOR SACFW110142T2OYZ</t>
  </si>
  <si>
    <t>INVERSOR SACFW110180T2OYZ</t>
  </si>
  <si>
    <t>INVERSOR SACFW110211T2OYZ</t>
  </si>
  <si>
    <t>INVERSOR SACFW110105T4OYZ</t>
  </si>
  <si>
    <t>INVERSOR SACFW110142T4OYZ</t>
  </si>
  <si>
    <t>INVERSOR SACFW110180T4OYZ</t>
  </si>
  <si>
    <t>INVERSOR CFW700A07P0T4DB20Y1</t>
  </si>
  <si>
    <t>INVERSOR CFW700A07P0T4DB20C3Y1</t>
  </si>
  <si>
    <t>INVERSOR CFW700A10P0T4DB20C3Y1</t>
  </si>
  <si>
    <t>INVERSOR CFW700B24P0T4DB20Y1</t>
  </si>
  <si>
    <t>INVERSOR CFW700B24P0T2DB20C3Y1</t>
  </si>
  <si>
    <t>INVERSOR CFW700B24P0T4DB20C3Y1</t>
  </si>
  <si>
    <t>INVERSOR CFW700C54P0T2DB20Y1</t>
  </si>
  <si>
    <t>INVERSOR CFW700C45P0T4DB20Y1</t>
  </si>
  <si>
    <t>INVERSOR CFW700C58P5T4DB20Y1</t>
  </si>
  <si>
    <t>INVERSOR CFW700C70P0T2DB20C3Y1</t>
  </si>
  <si>
    <t>INVERSOR CFW700C45P0T4DB20C3Y1</t>
  </si>
  <si>
    <t>INVERSOR CFW700C58P5T4DB20C3Y1</t>
  </si>
  <si>
    <t>INVERSOR CFW700D0105T2DBN1Y1</t>
  </si>
  <si>
    <t>INVERSOR CFW700D70P5T4DBN1Y1</t>
  </si>
  <si>
    <t>INVERSOR CFW700D0105T2DBN1C3Y1</t>
  </si>
  <si>
    <t>INVERSOR CFW700D70P5T4DBN1C3Y1</t>
  </si>
  <si>
    <t>INVERSOR CFW700E0142T2NB20C3Y1</t>
  </si>
  <si>
    <t>INVERSOR CFW700E0180T2NB20C3Y1</t>
  </si>
  <si>
    <t>INVERSOR CFW700E0105T4NB20C3Y1</t>
  </si>
  <si>
    <t>INVERSOR CFW700E0142T4NB20C3Y1</t>
  </si>
  <si>
    <t>INVERSOR CFW700E0180T4NB20C3Y1</t>
  </si>
  <si>
    <t>INVERSOR CFW700E0211T4NB20C3Y1</t>
  </si>
  <si>
    <t>INVERSOR BRCFW110031T4OFAYZ</t>
  </si>
  <si>
    <t>INVERSOR BRCFW110010T4OFAYZ</t>
  </si>
  <si>
    <t>INVERSOR CFW700A07P0B2DB20</t>
  </si>
  <si>
    <t>INVERSOR CFW700A07P0T2DB20</t>
  </si>
  <si>
    <t>INVERSOR SACFW110370T4ORBZ</t>
  </si>
  <si>
    <t>INVERSOR EUCFW110720T4ORBZ</t>
  </si>
  <si>
    <t>INVERSOR EUCFW110720T4ORBWZ</t>
  </si>
  <si>
    <t>INVERSOR EUCFW110142T4OYWZ</t>
  </si>
  <si>
    <t>INVERSOR EUCFW110180T4OYWZ</t>
  </si>
  <si>
    <t>INVERSOR SACFW110002T6ONBZ</t>
  </si>
  <si>
    <t>INVERSOR SACFW110004T6ONBZ</t>
  </si>
  <si>
    <t>INVERSOR SACFW110012T6OYZ</t>
  </si>
  <si>
    <t>INVERSOR SACFW110053T6OYZ</t>
  </si>
  <si>
    <t>INVERSOR SACFW110063T6OYZ</t>
  </si>
  <si>
    <t>INVERSOR SACFW110017T6OYZ</t>
  </si>
  <si>
    <t>INVERSOR SACFW110007T6ONBZ</t>
  </si>
  <si>
    <t>INVERSOR SACFW110022T6OYZ</t>
  </si>
  <si>
    <t>INVERSOR SACFW110010T6ONBZ</t>
  </si>
  <si>
    <t>INVERSOR SACFW110027T6OYZ</t>
  </si>
  <si>
    <t>INVERSOR SACFW110053T6ONBZ</t>
  </si>
  <si>
    <t>INVERSOR SACFW110080T6OYZ</t>
  </si>
  <si>
    <t>INVERSOR SACFW110063T6ONBZ</t>
  </si>
  <si>
    <t>INVERSOR SACFW110107T6OYZ</t>
  </si>
  <si>
    <t>INVERSOR SACFW110125T6OYZ</t>
  </si>
  <si>
    <t>INVERSOR SACFW110080T6ONBZ</t>
  </si>
  <si>
    <t>INVERSOR SACFW110012T6ONBZ</t>
  </si>
  <si>
    <t>INVERSOR SACFW110032T6OYZ</t>
  </si>
  <si>
    <t>INVERSOR SACFW110017T6ONBZ</t>
  </si>
  <si>
    <t>INVERSOR SACFW110044T6OYZ</t>
  </si>
  <si>
    <t>INVERSOR SACFW110022T6ONBZ</t>
  </si>
  <si>
    <t>INVERSOR SACFW110150T6OYZ</t>
  </si>
  <si>
    <t>INVERSOR SACFW110027T6ONBZ</t>
  </si>
  <si>
    <t>INVERSOR SACFW110032T6ONBZ</t>
  </si>
  <si>
    <t>INVERSOR SACFW110044T6ONBZ</t>
  </si>
  <si>
    <t>INVERSOR SACFW110002T6OYZ</t>
  </si>
  <si>
    <t>INVERSOR SACFW110053T6ONBYZ</t>
  </si>
  <si>
    <t>INVERSOR SACFW110004T6OYZ</t>
  </si>
  <si>
    <t>INVERSOR SACFW110007T6OYZ</t>
  </si>
  <si>
    <t>INVERSOR SACFW110010T6OYZ</t>
  </si>
  <si>
    <t>INVERSOR SACFW110063T6ONBYZ</t>
  </si>
  <si>
    <t>INVERSOR SACFW110080T6ONBYZ</t>
  </si>
  <si>
    <t>INVERSOR SACFW110107T6ONBYZ</t>
  </si>
  <si>
    <t>INVERSOR SACFW110125T6ONBYZ</t>
  </si>
  <si>
    <t>INVERSOR SACFW110150T6ONBYZ</t>
  </si>
  <si>
    <t>INVERSOR EUCFW110002T6OYZ</t>
  </si>
  <si>
    <t>INVERSOR EUCFW110004T6OYZ</t>
  </si>
  <si>
    <t>INVERSOR EUCFW110007T6OYZ</t>
  </si>
  <si>
    <t>INVERSOR EUCFW110010T6OYZ</t>
  </si>
  <si>
    <t>INVERSOR EUCFW110012T6OYZ</t>
  </si>
  <si>
    <t>INVERSOR EUCFW110017T6OYZ</t>
  </si>
  <si>
    <t>INVERSOR EUCFW110022T6OYZ</t>
  </si>
  <si>
    <t>INVERSOR EUCFW110027T6OYZ</t>
  </si>
  <si>
    <t>INVERSOR EUCFW110032T6OYZ</t>
  </si>
  <si>
    <t>INVERSOR EUCFW110044T6OYZ</t>
  </si>
  <si>
    <t>INVERSOR EUCFW110053T6OYZ</t>
  </si>
  <si>
    <t>INVERSOR EUCFW110063T6OYZ</t>
  </si>
  <si>
    <t>INVERSOR EUCFW110080T6OYZ</t>
  </si>
  <si>
    <t>INVERSOR EUCFW110107T6OYZ</t>
  </si>
  <si>
    <t>INVERSOR EUCFW110125T6OYZ</t>
  </si>
  <si>
    <t>INVERSOR EUCFW110150T6OYZ</t>
  </si>
  <si>
    <t>INVERSOR NACFW110053T6ON1NBYZ</t>
  </si>
  <si>
    <t>INVERSOR NACFW110063T6ON1NBYZ</t>
  </si>
  <si>
    <t>INVERSOR NACFW110080T6ON1NBYZ</t>
  </si>
  <si>
    <t>INVERSOR NACFW110107T6ON1NBYZ</t>
  </si>
  <si>
    <t>INVERSOR NACFW110125T6ON1NBYZ</t>
  </si>
  <si>
    <t>INVERSOR NACFW110150T6ON1NBYZ</t>
  </si>
  <si>
    <t>INVERSOR NACFW110053T6ON1YZ</t>
  </si>
  <si>
    <t>INVERSOR NACFW110022T6ONBZ</t>
  </si>
  <si>
    <t>INVERSOR NACFW110027T6ONBZ</t>
  </si>
  <si>
    <t>INVERSOR NACFW110032T6ON1NBZ</t>
  </si>
  <si>
    <t>INVERSOR NACFW110044T6ON1NBZ</t>
  </si>
  <si>
    <t>INVERSOR NACFW110063T6ON1YZ</t>
  </si>
  <si>
    <t>INVERSOR NACFW110080T6ON1YZ</t>
  </si>
  <si>
    <t>INVERSOR NACFW110107T6ON1YZ</t>
  </si>
  <si>
    <t>INVERSOR NACFW110150T6ON1YZ</t>
  </si>
  <si>
    <t>INVERSOR BRCFW110002T6ONBZ</t>
  </si>
  <si>
    <t>INVERSOR BRCFW110004T6ONBZ</t>
  </si>
  <si>
    <t>INVERSOR BRCFW110007T6ONBZ</t>
  </si>
  <si>
    <t>INVERSOR BRCFW110010T6ONBZ</t>
  </si>
  <si>
    <t>INVERSOR BRCFW110012T6ONBZ</t>
  </si>
  <si>
    <t>INVERSOR BRCFW110017T6ONBZ</t>
  </si>
  <si>
    <t>INVERSOR BRCFW110022T6ONBZ</t>
  </si>
  <si>
    <t>INVERSOR BRCFW110027T6ONBZ</t>
  </si>
  <si>
    <t>INVERSOR BRCFW110032T6ONBZ</t>
  </si>
  <si>
    <t>INVERSOR BRCFW110044T6ONBZ</t>
  </si>
  <si>
    <t>INVERSOR BRCFW110053T6ONBZ</t>
  </si>
  <si>
    <t>INVERSOR BRCFW110063T6ONBZ</t>
  </si>
  <si>
    <t>INVERSOR BRCFW110080T6ONBZ</t>
  </si>
  <si>
    <t>INVERSOR BRCFW110107T6ONBYZ</t>
  </si>
  <si>
    <t>INVERSOR BRCFW110125T6ONBYZ</t>
  </si>
  <si>
    <t>INVERSOR BRCFW110150T6ONBYZ</t>
  </si>
  <si>
    <t>INVERSOR SACFW110002T5ONFZ</t>
  </si>
  <si>
    <t>INVERSOR SACFW110004T5ONFZ</t>
  </si>
  <si>
    <t>INVERSOR NACFW110002T5ON1NFZ</t>
  </si>
  <si>
    <t>INVERSOR NACFW110004T5ON1NFZ</t>
  </si>
  <si>
    <t>INVERSOR NACFW110007T5ON1NFZ</t>
  </si>
  <si>
    <t>INVERSOR NACFW110010T5ON1NFZ</t>
  </si>
  <si>
    <t>INVERSOR NACFW110012T5ON1NFZ</t>
  </si>
  <si>
    <t>INVERSOR SACFW110007T5ONFZ</t>
  </si>
  <si>
    <t>INVERSOR SACFW110010T5ONFZ</t>
  </si>
  <si>
    <t>INVERSOR SACFW110012T5ONFZ</t>
  </si>
  <si>
    <t>INVERSOR SACFW110017T5ONFZ</t>
  </si>
  <si>
    <t>INVERSOR SACFW110002T5ONFYZ</t>
  </si>
  <si>
    <t>INVERSOR SACFW110004T5ONFYZ</t>
  </si>
  <si>
    <t>INVERSOR SACFW110007T5ONFYZ</t>
  </si>
  <si>
    <t>INVERSOR SACFW110010T5ONFYZ</t>
  </si>
  <si>
    <t>INVERSOR SACFW110012T5ONFYZ</t>
  </si>
  <si>
    <t>INVERSOR SACFW110017T5ONFYZ</t>
  </si>
  <si>
    <t>INVERSOR EUCFW110010T5OYZ</t>
  </si>
  <si>
    <t>INVERSOR NACFW110017T5ON1NFZ</t>
  </si>
  <si>
    <t>INVERSOR NACFW110004T5ON1NFYZ</t>
  </si>
  <si>
    <t>INVERSOR NACFW110007T5ON1NFYZ</t>
  </si>
  <si>
    <t>INVERSOR NACFW110010T5ON1NFYZ</t>
  </si>
  <si>
    <t>INVERSOR NACFW110012T5ON1NFYZ</t>
  </si>
  <si>
    <t>INVERSOR BRCFW110002T5ONFZ</t>
  </si>
  <si>
    <t>INVERSOR BRCFW110004T5ONFZ</t>
  </si>
  <si>
    <t>INVERSOR BRCFW110007T5ONFZ</t>
  </si>
  <si>
    <t>INVERSOR BRCFW110010T5ONFZ</t>
  </si>
  <si>
    <t>INVERSOR BRCFW110012T5ONFZ</t>
  </si>
  <si>
    <t>INVERSOR BRCFW110017T5ONFZ</t>
  </si>
  <si>
    <t>INVERSOR EUCFW110003T4OYWZ</t>
  </si>
  <si>
    <t>INVERSOR EUCFW110005T4OYWZ</t>
  </si>
  <si>
    <t>INVERSOR EUCFW110007T4OYWZ</t>
  </si>
  <si>
    <t>INVERSOR EUCFW110010T4OYWZ</t>
  </si>
  <si>
    <t>INVERSOR EUCFW110013T4OYWZ</t>
  </si>
  <si>
    <t>INVERSOR EUCFW110017T4OYWZ</t>
  </si>
  <si>
    <t>INVERSOR EUCFW110024T4OYWZ</t>
  </si>
  <si>
    <t>INVERSOR EUCFW110031T4OYWZ</t>
  </si>
  <si>
    <t>INVERSOR EUCFW110038T4OYWZ</t>
  </si>
  <si>
    <t>INVERSOR EUCFW110045T4OYWZ</t>
  </si>
  <si>
    <t>INVERSOR EUCFW110058T4OYWZ</t>
  </si>
  <si>
    <t>INVERSOR EUCFW110070T4OYWZ</t>
  </si>
  <si>
    <t>INVERSOR EUCFW110088T4OYWZ</t>
  </si>
  <si>
    <t>INVERSOR EUCFW110105T4OYWZ</t>
  </si>
  <si>
    <t>INVERSOR EUCFW110010T4OFAYWZ</t>
  </si>
  <si>
    <t>INVERSOR EUCFW110058T4O54FAYZ</t>
  </si>
  <si>
    <t>INVERSOR BRCFW110080T6SZ</t>
  </si>
  <si>
    <t>INVERSOR SACFW110080T6ONBYWZ</t>
  </si>
  <si>
    <t>INVERSOR EUCFW110003T4OFAYWZ</t>
  </si>
  <si>
    <t>INVERSOR EUCFW110013T4OFAYWZ</t>
  </si>
  <si>
    <t>INVERSOR EUCFW110017T4OFAYWZ</t>
  </si>
  <si>
    <t>INVERSOR EUCFW110024T4OFAYWZ</t>
  </si>
  <si>
    <t>INVERSOR EUCFW110031T4OFAYWZ </t>
  </si>
  <si>
    <t>INVERSOR EUCFW110045T4OFAYWZ</t>
  </si>
  <si>
    <t>INVERSOR EUCFW110058T4OFAYWZ</t>
  </si>
  <si>
    <t>INVERSOR CFW11T0599D4SZ</t>
  </si>
  <si>
    <t>078</t>
  </si>
  <si>
    <t>LINHA E5</t>
  </si>
  <si>
    <t>INVERSOR SACFW110003T4OYWZ</t>
  </si>
  <si>
    <t>INVERSOR SACFW110005T4OYWZ</t>
  </si>
  <si>
    <t>INVERSOR SACFW110007T4OYWZ</t>
  </si>
  <si>
    <t>INVERSOR SACFW110017T4OYWZ</t>
  </si>
  <si>
    <t>INVERSOR SACFW110045T4OYWZ</t>
  </si>
  <si>
    <t>INVERSOR SACFW110070T4OYWZ</t>
  </si>
  <si>
    <t>INVERSOR SACFW110105T4OYWZ</t>
  </si>
  <si>
    <t>INVERSOR SACFW110142T4OYWZ</t>
  </si>
  <si>
    <t>INVERSOR EUCFW110005T4OFAYWZ</t>
  </si>
  <si>
    <t>INVERSOR EUCFW110007T4OFAYWZ</t>
  </si>
  <si>
    <t>INVERSOR EUCFW110038T4OFAYWZ</t>
  </si>
  <si>
    <t>INVERSOR EUCFW110070T4OFAYWZ</t>
  </si>
  <si>
    <t>INVERSOR CFW700A10P0S2DB20C3Y1</t>
  </si>
  <si>
    <t>INVERSOR CFW700A10P0S2DB20Y1</t>
  </si>
  <si>
    <t>INVERSOR CFW701B24P0T2DBN1C3</t>
  </si>
  <si>
    <t>INVERSOR CFW701B28P0T2DBN1C3</t>
  </si>
  <si>
    <t>INVERSOR CFW701B33P5T2DBN1C3</t>
  </si>
  <si>
    <t>INVERSOR CFW701C45P0T2DBN1C3</t>
  </si>
  <si>
    <t>INVERSOR CFW701C54P0T2DBN1C3</t>
  </si>
  <si>
    <t>INVERSOR CFW701C70P0T2DBN1C3</t>
  </si>
  <si>
    <t>INVERSOR CFW701E0142T2NBN1C3</t>
  </si>
  <si>
    <t>INVERSOR CFW701E0180T2NBN1C3</t>
  </si>
  <si>
    <t>INVERSOR CFW701E0211T2NBN1C3</t>
  </si>
  <si>
    <t>INVERSOR CFW701B17P0T4DBN1C3</t>
  </si>
  <si>
    <t>INVERSOR CFW701B24P0T4DBN1C3</t>
  </si>
  <si>
    <t>INVERSOR CFW701B31P0T4DBN1C3</t>
  </si>
  <si>
    <t>INVERSOR CFW701C38P0T4DBN1C3</t>
  </si>
  <si>
    <t>INVERSOR CFW701C45P0T4DBN1C3</t>
  </si>
  <si>
    <t>INVERSOR CFW701C58P5T4DBN1C3</t>
  </si>
  <si>
    <t>INVERSOR CFW701E0105T4NBN1C3</t>
  </si>
  <si>
    <t>INVERSOR CFW701E0142T4NBN1C3</t>
  </si>
  <si>
    <t>INVERSOR CFW701E0180T4NBN1C3</t>
  </si>
  <si>
    <t>INVERSOR CFW701E0211T4NBN1C3</t>
  </si>
  <si>
    <t>INVERSOR NACFW110007B2OYZ</t>
  </si>
  <si>
    <t>INVERSOR NACFW110017T4ON1YZ</t>
  </si>
  <si>
    <t>INVERSOR NACFW110031T4ON1YZ</t>
  </si>
  <si>
    <t>INVERSOR NACFW110045T4ON1YZ</t>
  </si>
  <si>
    <t>INVERSOR NACFW110058T4ON1YZ</t>
  </si>
  <si>
    <t>INVERSOR NACFW110180T4ON1YZ</t>
  </si>
  <si>
    <t>INVERSOR NACFW110211T4ON1YZ</t>
  </si>
  <si>
    <t>INVERSOR CFW701A06P0S2DBN1C3</t>
  </si>
  <si>
    <t>INVERSOR CFW701A07P0S2DBN1C3</t>
  </si>
  <si>
    <t>INVERSOR CFW701A10P0S2DBN1C3</t>
  </si>
  <si>
    <t>INVERSOR CFW701A07P0T2DBN1C3</t>
  </si>
  <si>
    <t>INVERSOR CFW701A10P0T2DBN1C3</t>
  </si>
  <si>
    <t>INVERSOR CFW701A13P0T2DBN1C3</t>
  </si>
  <si>
    <t>INVERSOR CFW701A16P0T2DBN1C3</t>
  </si>
  <si>
    <t>INVERSOR CFW701A03P6T4DBN1C3</t>
  </si>
  <si>
    <t>INVERSOR CFW701A05P0T4DBN1C3</t>
  </si>
  <si>
    <t>INVERSOR CFW701A07P0T4DBN1C3</t>
  </si>
  <si>
    <t>INVERSOR CFW701A10P0T4DBN1C3</t>
  </si>
  <si>
    <t>INVERSOR CFW701A13P5T4DBN1C3</t>
  </si>
  <si>
    <t>INVERSOR BRCFW110211T4OYS4Z</t>
  </si>
  <si>
    <t>INVERSOR BRCFW110142T4ORBZ</t>
  </si>
  <si>
    <t>INVERSOR BRCFW110031T4OFAWZ</t>
  </si>
  <si>
    <t>INVERSOR BRCFW110211T2OYZ</t>
  </si>
  <si>
    <t>INVERSOR SACFW110002T5SZ</t>
  </si>
  <si>
    <t>INVERSOR SACFW110004T5SZ</t>
  </si>
  <si>
    <t>INVERSOR SACFW110007T5SZ</t>
  </si>
  <si>
    <t>INVERSOR SACFW110010T5SZ</t>
  </si>
  <si>
    <t>INVERSOR SACFW110012T5SZ</t>
  </si>
  <si>
    <t>INVERSOR SACFW110017T5SZ</t>
  </si>
  <si>
    <t>INVERSOR EUCFW110003T4O54FAYZ</t>
  </si>
  <si>
    <t>INVERSOR EUCFW110005T4O54FAYZ</t>
  </si>
  <si>
    <t>INVERSOR EUCFW110007T4O54FAYZ</t>
  </si>
  <si>
    <t>INVERSOR EUCFW110010T4O54FAYZ</t>
  </si>
  <si>
    <t>INVERSOR EUCFW110013T4O54FAYZ</t>
  </si>
  <si>
    <t>INVERSOR EUCFW110017T4O54FAYZ</t>
  </si>
  <si>
    <t>INVERSOR EUCFW110024T4O54FAYZ</t>
  </si>
  <si>
    <t>INVERSOR EUCFW110031T4O54FAYZ</t>
  </si>
  <si>
    <t>INVERSOR EUCFW110038T4O54FAYZ</t>
  </si>
  <si>
    <t>INVERSOR EUCFW110045T4O54FAYZ</t>
  </si>
  <si>
    <t>INVERSOR EUCFW110070T4O54FAYZ</t>
  </si>
  <si>
    <t>INVERSOR EUCFW110088T4O54FAYZ</t>
  </si>
  <si>
    <t>INVERSOR EUCFW110105T4O54YZ</t>
  </si>
  <si>
    <t>INVERSOR EUCFW110142T4O54YZ</t>
  </si>
  <si>
    <t>INVERSOR CFW700A13P5T4DB20SA</t>
  </si>
  <si>
    <t>INVERSOR CFW700B24P0T4DB20SA</t>
  </si>
  <si>
    <t>INVERSOR EUCFW110142T4ODBYZ</t>
  </si>
  <si>
    <t>INVERSOR CFW701B12P0T5DB20C3</t>
  </si>
  <si>
    <t>INVERSOR CFW701B17P0T5DB20C3</t>
  </si>
  <si>
    <t>INVERSOR CFW701A02P0B2DB20</t>
  </si>
  <si>
    <t>INVERSOR MSCFW110477T4ORBZ</t>
  </si>
  <si>
    <t>INVERSOR MSCFW110088T4OFAYWZ</t>
  </si>
  <si>
    <t>INVERSOR CFW11T0599D4OH1Z</t>
  </si>
  <si>
    <t>INVERSOR MSCFW110142T4OYWZ</t>
  </si>
  <si>
    <t>INVERSOR CFW11T0599D4OWZ</t>
  </si>
  <si>
    <t>INVERSOR BRCFW110150T6OYWZ</t>
  </si>
  <si>
    <t>INVERSOR BRCFW110107T6OYWZ</t>
  </si>
  <si>
    <t>INVERSOR CFW700B17P0T5DB20</t>
  </si>
  <si>
    <t>INVERSOR CFW701B02P9T5DB20C3</t>
  </si>
  <si>
    <t>INVERSOR CFW701B04P2T5DB20C3</t>
  </si>
  <si>
    <t>INVERSOR CFW701B07P0T5DB20C3</t>
  </si>
  <si>
    <t>INVERSOR CFW701B10P0T5DB20C3</t>
  </si>
  <si>
    <t>INVERSOR CFW701B02P9T5DBN1C3</t>
  </si>
  <si>
    <t>INVERSOR CFW701B04P2T5DBN1C3</t>
  </si>
  <si>
    <t>INVERSOR CFW701B07P0T5DBN1C3</t>
  </si>
  <si>
    <t>INVERSOR CFW701B10P0T5DBN1C3</t>
  </si>
  <si>
    <t>INVERSOR CFW701B12P0T5DBN1C3</t>
  </si>
  <si>
    <t>INVERSOR CFW701D22P0T5NBN1C3</t>
  </si>
  <si>
    <t>INVERSOR CFW701D27P0T5NBN1C3</t>
  </si>
  <si>
    <t>INVERSOR CFW701D32P0T5NBN1C3</t>
  </si>
  <si>
    <t>INVERSOR CFW701D44P0T5NBN1C3</t>
  </si>
  <si>
    <t>INVERSOR CFW701E53P0T5NBN1C3</t>
  </si>
  <si>
    <t>INVERSOR CFW701E63P0T5NBN1C3</t>
  </si>
  <si>
    <t>INVERSOR CFW701E80P0T5NBN1C3</t>
  </si>
  <si>
    <t>INVERSOR CFW701E0107T5NBN1C3</t>
  </si>
  <si>
    <t>INVERSOR CFW701E0125T5NBN1C3</t>
  </si>
  <si>
    <t>INVERSOR CFW701E0150T5NBN1C3</t>
  </si>
  <si>
    <t>INVERSOR CFW701E53P0T5NB20C3</t>
  </si>
  <si>
    <t>INVERSOR CFW701E63P0T5NB20C3</t>
  </si>
  <si>
    <t>INVERSOR CFW701E80P0T5NB20C3</t>
  </si>
  <si>
    <t>INVERSOR CFW701E0107T5NB20C3</t>
  </si>
  <si>
    <t>INVERSOR CFW701E0125T5NB20C3</t>
  </si>
  <si>
    <t>INVERSOR CFW701E0150T5NB20C3</t>
  </si>
  <si>
    <t>INVERSOR BRCFW110150T6NBZ</t>
  </si>
  <si>
    <t>INVERSOR CFW701B17P0T5DBN1C3</t>
  </si>
  <si>
    <t>INVERSOR BRCFW110125T6OYWZ</t>
  </si>
  <si>
    <t>INVERSOR BRCFW110003T4OYWZ</t>
  </si>
  <si>
    <t>INVERSOR BRCFW110031T4OYWZ</t>
  </si>
  <si>
    <t>INVERSOR BRCFW110045T4OYWZ</t>
  </si>
  <si>
    <t>INVERSOR BRCFW110070T4OYWZ</t>
  </si>
  <si>
    <t>INVERSOR BRCFW110720T4ORBWZ</t>
  </si>
  <si>
    <t>INVERSOR BRCFW110007T2OYZ</t>
  </si>
  <si>
    <t>INVERSOR BRCFW110007T4OYZ</t>
  </si>
  <si>
    <t>INVERSOR BRCFW110007T4OYWZ</t>
  </si>
  <si>
    <t>INVERSOR MSCFW110024T4OFAYWZ</t>
  </si>
  <si>
    <t>INVERSOR BRCFW110142T4OYS4Z</t>
  </si>
  <si>
    <t>INVERSOR CFW701C70P0T2DB20C3H00</t>
  </si>
  <si>
    <t>INVERSOR CFW700B10P0T5DB20Y1</t>
  </si>
  <si>
    <t>INVERSOR MSCFW110002T6OYZ</t>
  </si>
  <si>
    <t>INVERSOR MSCFW110004T6OYZ</t>
  </si>
  <si>
    <t>INVERSOR MSCFW110007T6OYZ</t>
  </si>
  <si>
    <t>INVERSOR MSCFW110010T6OYZ</t>
  </si>
  <si>
    <t>INVERSOR MSCFW110012T6OYZ</t>
  </si>
  <si>
    <t>INVERSOR MSCFW110017T6OYZ</t>
  </si>
  <si>
    <t>INVERSOR MSCFW110022T6OYZ</t>
  </si>
  <si>
    <t>INVERSOR MSCFW110027T6OYZ</t>
  </si>
  <si>
    <t>INVERSOR MSCFW110032T6OYZ</t>
  </si>
  <si>
    <t>INVERSOR MSCFW110044T6OYZ</t>
  </si>
  <si>
    <t>INVERSOR MSCFW110053T6OYZ</t>
  </si>
  <si>
    <t>INVERSOR MSCFW110063T6OYZ</t>
  </si>
  <si>
    <t>INVERSOR MSCFW110080T6OYZ</t>
  </si>
  <si>
    <t>INVERSOR MSCFW110107T6OYZ</t>
  </si>
  <si>
    <t>INVERSOR MSCFW110125T6OYZ</t>
  </si>
  <si>
    <t>INVERSOR MSCFW110150T6OYZ</t>
  </si>
  <si>
    <t>INVERSOR EUCFW110031T4OWZ</t>
  </si>
  <si>
    <t>INVERSOR BRCFW110010T4OYZ</t>
  </si>
  <si>
    <t>INVERSOR BRCFW110005T4OYZ</t>
  </si>
  <si>
    <t>INVERSOR BRCFW110038T4OYZ</t>
  </si>
  <si>
    <t>INVERSOR CFW701A07P0T4DB20C3W1</t>
  </si>
  <si>
    <t>INVERSOR EUCFW110180T4ODBYWZ</t>
  </si>
  <si>
    <t>INVERSOR BRCFW110017T4OYZ</t>
  </si>
  <si>
    <t>INVERSOR NACFW110002T6OYZ</t>
  </si>
  <si>
    <t>INVERSOR NACFW110004T6OYZ</t>
  </si>
  <si>
    <t>INVERSOR NACFW110007T6OYZ</t>
  </si>
  <si>
    <t>INVERSOR NACFW110010T6OYZ</t>
  </si>
  <si>
    <t>INVERSOR NACFW110012T6OYZ</t>
  </si>
  <si>
    <t>INVERSOR NACFW110017T6OYZ</t>
  </si>
  <si>
    <t>INVERSOR NACFW110022T6OYZ</t>
  </si>
  <si>
    <t>INVERSOR NACFW110027T6OYZ</t>
  </si>
  <si>
    <t>INVERSOR NACFW110032T6OYZ</t>
  </si>
  <si>
    <t>INVERSOR NACFW110044T6OYZ</t>
  </si>
  <si>
    <t>INVERSOR NACFW110053T6OYZ</t>
  </si>
  <si>
    <t>INVERSOR NACFW110063T6OYZ</t>
  </si>
  <si>
    <t>INVERSOR NACFW110080T6OYZ</t>
  </si>
  <si>
    <t>INVERSOR NACFW110107T6OYZ</t>
  </si>
  <si>
    <t>INVERSOR NACFW110125T6OYZ</t>
  </si>
  <si>
    <t>INVERSOR NACFW110150T6OYZ</t>
  </si>
  <si>
    <t>INVERSOR BRCFW110086T2O54FAZ</t>
  </si>
  <si>
    <t>INVERSOR BRCFW110045T4OFAWZ</t>
  </si>
  <si>
    <t>INVERSOR NACFW110053T6ONBYZ</t>
  </si>
  <si>
    <t>INVERSOR NACFW110063T6ONBYZ</t>
  </si>
  <si>
    <t>INVERSOR NACFW110080T6ONBYZ</t>
  </si>
  <si>
    <t>INVERSOR NACFW110107T6ONBYZ</t>
  </si>
  <si>
    <t>INVERSOR NACFW110125T6ONBYZ</t>
  </si>
  <si>
    <t>INVERSOR NACFW110150T6ONBYZ</t>
  </si>
  <si>
    <t>INVERSOR NACFW110002T5ONFZ</t>
  </si>
  <si>
    <t>INVERSOR NACFW110004T5ONFZ</t>
  </si>
  <si>
    <t>INVERSOR NACFW110007T5ONFZ</t>
  </si>
  <si>
    <t>INVERSOR NACFW110010T5ONFZ</t>
  </si>
  <si>
    <t>INVERSOR NACFW110012T5ONFZ</t>
  </si>
  <si>
    <t>INVERSOR NACFW110017T5ONFZ</t>
  </si>
  <si>
    <t>INVERSOR SACFW110006S2OFAZ</t>
  </si>
  <si>
    <t>INVERSOR SACFW110007S2OFAZ</t>
  </si>
  <si>
    <t>INVERSOR SACFW110010S2OFAZ</t>
  </si>
  <si>
    <t>INVERSOR SACFW110003T4OFAZ</t>
  </si>
  <si>
    <t>INVERSOR SACFW110005T4OFAZ</t>
  </si>
  <si>
    <t>INVERSOR SACFW110007T4OFAZ</t>
  </si>
  <si>
    <t>INVERSOR SACFW110010T4OFAZ</t>
  </si>
  <si>
    <t>INVERSOR SACFW110013T4OFAZ</t>
  </si>
  <si>
    <t>INVERSOR SACFW110017T4OFAZ</t>
  </si>
  <si>
    <t>INVERSOR SACFW110024T4OFAZ</t>
  </si>
  <si>
    <t>INVERSOR SACFW110031T4OFAZ</t>
  </si>
  <si>
    <t>INVERSOR SACFW110038T4OFAZ</t>
  </si>
  <si>
    <t>INVERSOR SACFW110045T4OFAZ</t>
  </si>
  <si>
    <t>INVERSOR SACFW110058T4OFAZ</t>
  </si>
  <si>
    <t>INVERSOR SACFW110070T4OFAZ</t>
  </si>
  <si>
    <t>INVERSOR SACFW110088T4OFAZ</t>
  </si>
  <si>
    <t>INVERSOR EUCFW110070T4OWZ</t>
  </si>
  <si>
    <t>INVERSOR EUCFW110180T4OWZ</t>
  </si>
  <si>
    <t>INVERSOR EUCFW110003T4OWZ</t>
  </si>
  <si>
    <t>INVERSOR CFW701C54P0T2DB20C3H00</t>
  </si>
  <si>
    <t>INVERSOR BRCFW110005T4OFAWZ</t>
  </si>
  <si>
    <t>INVERSOR BRCFW110007T4OFAWZ</t>
  </si>
  <si>
    <t>INVERSOR BRCFW110013T4OFAWZ</t>
  </si>
  <si>
    <t>INVERSOR BRCFW110017T4OFAWZ</t>
  </si>
  <si>
    <t>INVERSOR BRCFW110058T4OFAWZ</t>
  </si>
  <si>
    <t>INVERSOR BRCFW110070T4OFAWZ</t>
  </si>
  <si>
    <t>INVERSOR BRCFW110038T4OFAYZ</t>
  </si>
  <si>
    <t>INVERSOR MSCFW110003T4OFAZ</t>
  </si>
  <si>
    <t>INVERSOR MSCFW110010T4OFAZ</t>
  </si>
  <si>
    <t>INVERSOR MSCFW110013T4OFAZ</t>
  </si>
  <si>
    <t>INVERSOR MSCFW110045T4OFAZ</t>
  </si>
  <si>
    <t>INVERSOR MSCFW110070T4OFAZ</t>
  </si>
  <si>
    <t>INVERSOR MSCFW110005T4OFAZ</t>
  </si>
  <si>
    <t>INVERSOR BRCFW110024T4OFAYZ</t>
  </si>
  <si>
    <t>INVERSOR BRCFW110180T4ODBWZ</t>
  </si>
  <si>
    <t>INVERSOR SACFW110170T6ORBZ</t>
  </si>
  <si>
    <t>INVERSOR SACFW110216T6ORBZ</t>
  </si>
  <si>
    <t>INVERSOR SACFW110289T6ORBZ</t>
  </si>
  <si>
    <t>INVERSOR SACFW110216T6ORBWZ</t>
  </si>
  <si>
    <t>INVERSOR CFW701B24P0T2DB55C3</t>
  </si>
  <si>
    <t>INVERSOR CFW701B28P0T2DB55C3</t>
  </si>
  <si>
    <t>INVERSOR CFW701B33P5T2DB55C3</t>
  </si>
  <si>
    <t>INVERSOR CFW701C45P0T2DB55C3</t>
  </si>
  <si>
    <t>INVERSOR CFW701C54P0T2DB55C3</t>
  </si>
  <si>
    <t>INVERSOR CFW701C70P0T2DB55C3</t>
  </si>
  <si>
    <t>INVERSOR CFW701B17P0T4DB55C3</t>
  </si>
  <si>
    <t>INVERSOR CFW701B24P0T4DB55C3</t>
  </si>
  <si>
    <t>INVERSOR CFW701B31P0T4DB55C3</t>
  </si>
  <si>
    <t>INVERSOR CFW701C38P0T4DB55C3</t>
  </si>
  <si>
    <t>INVERSOR CFW701C45P0T4DB55C3</t>
  </si>
  <si>
    <t>INVERSOR CFW701C58P5T4DB55C3</t>
  </si>
  <si>
    <t>INVERSOR SACFW110022T5ONFZ</t>
  </si>
  <si>
    <t>INVERSOR SACFW110027T5ONFZ</t>
  </si>
  <si>
    <t>INVERSOR SACFW110032T5ONFZ</t>
  </si>
  <si>
    <t>INVERSOR SACFW110044T5ONFZ</t>
  </si>
  <si>
    <t>INVERSOR CFW701B17P0T4DB55C3DS</t>
  </si>
  <si>
    <t>INVERSOR CFW701B24P0T2DB55C3DS</t>
  </si>
  <si>
    <t>INVERSOR CFW701B24P0T4DB55C3DS</t>
  </si>
  <si>
    <t>INVERSOR CFW701B28P0T2DB55C3DS</t>
  </si>
  <si>
    <t>INVERSOR CFW701B31P0T4DB55C3DS</t>
  </si>
  <si>
    <t>INVERSOR CFW701B33P5T2DB55C3DS</t>
  </si>
  <si>
    <t>INVERSOR CFW701C38P0T4DB55C3DS</t>
  </si>
  <si>
    <t>INVERSOR CFW701C45P0T2DB55C3DS</t>
  </si>
  <si>
    <t>INVERSOR CFW701C45P0T4DB55C3DS</t>
  </si>
  <si>
    <t>INVERSOR CFW701C54P0T2DB55C3DS</t>
  </si>
  <si>
    <t>INVERSOR CFW701C58P5T4DB55C3DS</t>
  </si>
  <si>
    <t>INVERSOR CFW701C70P0T2DB55C3DS</t>
  </si>
  <si>
    <t>INVERSOR BRCFW110013T4OFAYWZ</t>
  </si>
  <si>
    <t>INVERSOR BRCFW110105T4OS4Z</t>
  </si>
  <si>
    <t>INVERSOR BRCFW110105T4ODBYZ</t>
  </si>
  <si>
    <t>INVERSOR BRCFW110180T4ODBYZ</t>
  </si>
  <si>
    <t>INVERSOR NACFW110006B2ON1WZ</t>
  </si>
  <si>
    <t>INVERSOR EUCFW110010T4OFAWZ</t>
  </si>
  <si>
    <t>INVERSOR EUCFW110017T4OFAWZ</t>
  </si>
  <si>
    <t>INVERSOR BRCFW110105T4OYWZ</t>
  </si>
  <si>
    <t>INVERSOR BRCFW110142T4OYWZ</t>
  </si>
  <si>
    <t>INVERSOR SACFW110080T6ONBYECZ</t>
  </si>
  <si>
    <t>INVERSOR BRCFW110070T4OFAYWZ</t>
  </si>
  <si>
    <t>INVERSOR BRCFW110007T4OFAYWZ</t>
  </si>
  <si>
    <t>INVERSOR EUCFW110142T4OHASCZ</t>
  </si>
  <si>
    <t>INVERSOR EUCFW110180T4OHASCZ</t>
  </si>
  <si>
    <t>INVERSOR BRCFW110211T4OH1Z</t>
  </si>
  <si>
    <t>INVERSOR EUCFW110601T4ORBZ</t>
  </si>
  <si>
    <t>INVERSOR BRCFW110024T4O54YZ</t>
  </si>
  <si>
    <t>INVERSOR BRCFW110180T2OWZ</t>
  </si>
  <si>
    <t>INVERSOR BRCFW110054T2OWZ</t>
  </si>
  <si>
    <t>INVERSOR BRCFW110033T2OWZ</t>
  </si>
  <si>
    <t>INVERSOR BRCFW110024T2OWZ</t>
  </si>
  <si>
    <t>INVERSOR BRCFW110017T4O54FAYZ</t>
  </si>
  <si>
    <t>INVERSOR CFW701B24P0T2DB20C3H00</t>
  </si>
  <si>
    <t>INVERSOR CFW701C45P0T2DB20C3H00</t>
  </si>
  <si>
    <t>INVERSOR CVW9000450D4O66Z</t>
  </si>
  <si>
    <t>INVERSOR CVW9000450D4O66WZ</t>
  </si>
  <si>
    <t>INVERSOR BRCFW110058T4OFASBZ</t>
  </si>
  <si>
    <t>INVERSOR BCCFW110142T4ODBHESEZ</t>
  </si>
  <si>
    <t>INVERSOR BRCFW110017T4OSWZ</t>
  </si>
  <si>
    <t>INVERSOR BRCFW110024T4OSWZ</t>
  </si>
  <si>
    <t>INVERSOR BRCFW110031T4OSWZ</t>
  </si>
  <si>
    <t>INVERSOR BRCFW110038T4OSWZ</t>
  </si>
  <si>
    <t>INVERSOR BRCFW110045T4OSWZ</t>
  </si>
  <si>
    <t>INVERSOR BRCFW110058T4OSWZ</t>
  </si>
  <si>
    <t>INVERSOR BRCFW110070T4OSWZ</t>
  </si>
  <si>
    <t>INVERSOR BRCFW110088T4OSWZ</t>
  </si>
  <si>
    <t>INVERSOR BRCFW110105T4OSWZ</t>
  </si>
  <si>
    <t>INVERSOR BRCFW110142T4OSWZ</t>
  </si>
  <si>
    <t>INVERSOR BRCFW110180T4OSWZ</t>
  </si>
  <si>
    <t>INVERSOR BRCFW110211T4OSWZ</t>
  </si>
  <si>
    <t>INVERSOR EUCFW110013T4OFASWZ</t>
  </si>
  <si>
    <t>INVERSOR EUCFW110017T4OFASWZ</t>
  </si>
  <si>
    <t>INVERSOR EUCFW110024T4OFASWZ</t>
  </si>
  <si>
    <t>INVERSOR EUCFW110031T4OFASWZ</t>
  </si>
  <si>
    <t>INVERSOR EUCFW110038T4OFASWZ</t>
  </si>
  <si>
    <t>INVERSOR EUCFW110045T4OFASWZ</t>
  </si>
  <si>
    <t>INVERSOR EUCFW110058T4OFASWZ</t>
  </si>
  <si>
    <t>INVERSOR EUCFW110070T4OFASWZ</t>
  </si>
  <si>
    <t>INVERSOR EUCFW110088T4OFASWZ</t>
  </si>
  <si>
    <t>INVERSOR EUCFW110105T4OSWZ</t>
  </si>
  <si>
    <t>INVERSOR EUCFW110142T4OSWZ</t>
  </si>
  <si>
    <t>INVERSOR EUCFW110180T4OSWZ</t>
  </si>
  <si>
    <t>INVERSOR EUCFW110211T4OSWZ</t>
  </si>
  <si>
    <t>INVERSOR EUCFW110105T4ODBYWZ</t>
  </si>
  <si>
    <t>INVERSOR EUCFW110142T4ODBYWZ</t>
  </si>
  <si>
    <t>INVERSOR CFW700E0180T4NB20C3Y1HASC</t>
  </si>
  <si>
    <t>INVERSOR CFW700D70P5T4DBN1C3HASC</t>
  </si>
  <si>
    <t>INVERSOR CFW700D88P0T4DBN1C3Y1HASC</t>
  </si>
  <si>
    <t>INVERSOR CFW700E0142T4NB20C3Y1HASC</t>
  </si>
  <si>
    <t>INVERSOR CFW700E0105T4NB20C3Y1HASC</t>
  </si>
  <si>
    <t>INVERSOR CFW700C58P5T4DB20C3Y1HASC</t>
  </si>
  <si>
    <t>INVERSOR CFW700C45P0T4DB20C3Y1HASC</t>
  </si>
  <si>
    <t>INVERSOR BRCFW110006B2ON1SPZ</t>
  </si>
  <si>
    <t>INVERSOR BRCFW110007B2ON1SPZ</t>
  </si>
  <si>
    <t>INVERSOR BRCFW110010S2ON1SPZ</t>
  </si>
  <si>
    <t>INVERSOR BRCFW110007T2ON1SPZ</t>
  </si>
  <si>
    <t>INVERSOR BRCFW110010T2ON1SPZ</t>
  </si>
  <si>
    <t>INVERSOR BRCFW110016T2ON1SPZ</t>
  </si>
  <si>
    <t>INVERSOR BRCFW110024T2ON1SPZ</t>
  </si>
  <si>
    <t>INVERSOR BRCFW110033T2ON1SPZ</t>
  </si>
  <si>
    <t>INVERSOR BRCFW110045T2ON1SPZ</t>
  </si>
  <si>
    <t>INVERSOR BRCFW110054T2ON1SPZ</t>
  </si>
  <si>
    <t>INVERSOR BRCFW110070T2ON1SPZ</t>
  </si>
  <si>
    <t>INVERSOR BRCFW110086T2ON1SPZ</t>
  </si>
  <si>
    <t>INVERSOR BRCFW110105T2ON1SPZ</t>
  </si>
  <si>
    <t>INVERSOR BRCFW110142T2ON1SPZ</t>
  </si>
  <si>
    <t>INVERSOR BRCFW110003T4ON1SPZ</t>
  </si>
  <si>
    <t>INVERSOR BRCFW110005T4ON1SPZ</t>
  </si>
  <si>
    <t>INVERSOR BRCFW110007T4ON1SPZ</t>
  </si>
  <si>
    <t>INVERSOR BRCFW110010T4ON1SPZ</t>
  </si>
  <si>
    <t>INVERSOR BRCFW110017T4ON1SPZ</t>
  </si>
  <si>
    <t>INVERSOR BRCFW110024T4ON1SPZ</t>
  </si>
  <si>
    <t>INVERSOR BRCFW110031T4ON1SPZ</t>
  </si>
  <si>
    <t>INVERSOR BRCFW110038T4ON1SPZ</t>
  </si>
  <si>
    <t>INVERSOR BRCFW110045T4ON1SPZ</t>
  </si>
  <si>
    <t>INVERSOR BRCFW110058T4ON1SPZ</t>
  </si>
  <si>
    <t>INVERSOR BRCFW110070T4ON1SPZ</t>
  </si>
  <si>
    <t>INVERSOR BRCFW110058T4OFAS7Z</t>
  </si>
  <si>
    <t>INVERSOR BRCFW110028T2OYZ</t>
  </si>
  <si>
    <t>INVERSOR BRCFW110180T4ODBS7Z</t>
  </si>
  <si>
    <t>INVERSOR CFW700D70P5T4DBN1C3Y1HASC</t>
  </si>
  <si>
    <t>INVERSOR CFW701D86P0T2DB55C3</t>
  </si>
  <si>
    <t>INVERSOR CFW701D0105T2DB55C3</t>
  </si>
  <si>
    <t>INVERSOR CFW701E0142T2NB55C3</t>
  </si>
  <si>
    <t>INVERSOR CFW701E0180T2NB55C3</t>
  </si>
  <si>
    <t>INVERSOR CFW701E0211T2NB55C3</t>
  </si>
  <si>
    <t>INVERSOR CFW701D70P5T4DB55C3</t>
  </si>
  <si>
    <t>INVERSOR CFW701D88P0T4DB55C3</t>
  </si>
  <si>
    <t>INVERSOR CFW701E0105T4NB55C3</t>
  </si>
  <si>
    <t>INVERSOR CFW701E0142T4NB55C3</t>
  </si>
  <si>
    <t>INVERSOR CFW701E0180T4NB55C3</t>
  </si>
  <si>
    <t>INVERSOR CFW701E0211T4NB55C3</t>
  </si>
  <si>
    <t>INVERSOR CFW701E0211T4NB55C3DS</t>
  </si>
  <si>
    <t>INVERSOR CFW701E0180T4NB55C3DS</t>
  </si>
  <si>
    <t>INVERSOR CFW701E0142T4NB55C3DS</t>
  </si>
  <si>
    <t>INVERSOR CFW701E0105T4NB55C3DS</t>
  </si>
  <si>
    <t>INVERSOR CFW701E0142T2NB55C3DS</t>
  </si>
  <si>
    <t>INVERSOR CFW701E0180T2NB55C3DS</t>
  </si>
  <si>
    <t>INVERSOR CFW701E0211T2NB55C3DS</t>
  </si>
  <si>
    <t>INVERSOR CFW701D86P0T2DB55C3DS</t>
  </si>
  <si>
    <t>INVERSOR CFW701D0105T2DB55C3DS</t>
  </si>
  <si>
    <t>INVERSOR CFW701D70P5T4DB55C3DS</t>
  </si>
  <si>
    <t>INVERSOR CFW701D88P0T4DB55C3DS</t>
  </si>
  <si>
    <t>INVERSOR MSCFW110017T4OFAZ</t>
  </si>
  <si>
    <t>INVERSOR CFW700E0105T4DB20C3Y1</t>
  </si>
  <si>
    <t>INVERSOR CFW700E0211T4DB20C3Y1</t>
  </si>
  <si>
    <t>INVERSOR MSCFW110088T4OYWZ</t>
  </si>
  <si>
    <t>INVERSOR SACFW110044T6SZ</t>
  </si>
  <si>
    <t>INVERSOR BRCFW110006B2OWZ</t>
  </si>
  <si>
    <t>INVERSOR EUCFW110142T4ODBSWZ</t>
  </si>
  <si>
    <t>INVERSOR BRCFW110031T4OFAS7Z</t>
  </si>
  <si>
    <t>INVERSOR BRCFW110180T4ODBSWZ</t>
  </si>
  <si>
    <t>INVERSOR BCCFW110180T4ODBHESEZ</t>
  </si>
  <si>
    <t>INVERSOR NACFW110022T5ON1NFZ</t>
  </si>
  <si>
    <t>INVERSOR NACFW110027T5ON1NFZ</t>
  </si>
  <si>
    <t>INVERSOR NACFW110032T5ON1NFZ</t>
  </si>
  <si>
    <t>INVERSOR NACFW110044T5ON1NFZ</t>
  </si>
  <si>
    <t>INVERSOR NACFW110022T5ONFZ</t>
  </si>
  <si>
    <t>INVERSOR NACFW110027T5ONFZ</t>
  </si>
  <si>
    <t>INVERSOR NACFW110032T5ONFZ</t>
  </si>
  <si>
    <t>INVERSOR NACFW110044T5ONFZ</t>
  </si>
  <si>
    <t>INVERSOR BCCFW110105T4ODBHESEZ</t>
  </si>
  <si>
    <t>INVERSOR BRCFW110107T6OWZ</t>
  </si>
  <si>
    <t>INVERSOR BRCFW110058T4OYS4Z</t>
  </si>
  <si>
    <t>INVERSOR BRCFW110211T4OYS8Z</t>
  </si>
  <si>
    <t>INVERSOR MSCFW110070T4OSWZ</t>
  </si>
  <si>
    <t>INVERSOR CFW700B17P0T4DB20C3EC</t>
  </si>
  <si>
    <t>INVERSOR CFW700C38P0T4DB20C3EC</t>
  </si>
  <si>
    <t>INVERSOR CFW700A10P0T4DB20C3EC</t>
  </si>
  <si>
    <t>INVERSOR CFW700C45P0T4DB20C3Y1EC</t>
  </si>
  <si>
    <t>INVERSOR CFW700B24P0T4DB20C3EC</t>
  </si>
  <si>
    <t>INVERSOR EUCFW110180T4ODBSWZ</t>
  </si>
  <si>
    <t>INVERSOR BRCFW110010T4OFASHZ</t>
  </si>
  <si>
    <t>INVERSOR BRCFW110013T4OFASHZ</t>
  </si>
  <si>
    <t>INVERSOR BRCFW110017T4OFASHZ</t>
  </si>
  <si>
    <t>INVERSOR BRCFW110024T4OFASHZ</t>
  </si>
  <si>
    <t>INVERSOR BRCFW110031T4OFASHZ</t>
  </si>
  <si>
    <t>INVERSOR BRCFW110045T4OFASHZ</t>
  </si>
  <si>
    <t>INVERSOR BRCFW110058T4OFASHZ</t>
  </si>
  <si>
    <t>INVERSOR BRCFW110070T4OFASHZ</t>
  </si>
  <si>
    <t>INVERSOR BRCFW110088T4OFASHZ</t>
  </si>
  <si>
    <t>INVERSOR BRCFW110105T4OSHZ</t>
  </si>
  <si>
    <t>INVERSOR BRCFW110142T4OSHZ</t>
  </si>
  <si>
    <t>INVERSOR BRCFW110211T4OSHZ</t>
  </si>
  <si>
    <t>INVERSOR BRCFW110002B2OWZ</t>
  </si>
  <si>
    <t>INVERSOR EUCFW110142T4OYHASCZ</t>
  </si>
  <si>
    <t>INVERSOR EUCFW110180T4OYHASCZ</t>
  </si>
  <si>
    <t>INVERSOR BRCFW110142T4ODBWS7Z</t>
  </si>
  <si>
    <t>INVERSOR BRCFW110058T4OFAWS7Z</t>
  </si>
  <si>
    <t>INVERSOR CFW700C44P0T5DB20</t>
  </si>
  <si>
    <t>INVERSOR BRCFW110010T4OSWZ</t>
  </si>
  <si>
    <t>INVERSOR BRCFW110007B2OWZ</t>
  </si>
  <si>
    <t>INVERSOR NACFW110180T4OSWZ</t>
  </si>
  <si>
    <t>INVERSOR NACFW110180T4ODBSWZ</t>
  </si>
  <si>
    <t>INVERSOR CFW701C22P0T5DB20C3</t>
  </si>
  <si>
    <t>INVERSOR CFW701C27P0T5DB20C3</t>
  </si>
  <si>
    <t>INVERSOR CFW701C32P0T5DB20C3</t>
  </si>
  <si>
    <t>INVERSOR CFW701C44P0T5DB20C3</t>
  </si>
  <si>
    <t>INVERSOR NACFW110058T4OFASWZ</t>
  </si>
  <si>
    <t>INVERSOR BRCFW110142T4SZ-UI</t>
  </si>
  <si>
    <t>HALB</t>
  </si>
  <si>
    <t>INVERSOR BRCFW110211T4SZ-UI</t>
  </si>
  <si>
    <t>INVERSOR EUCFW110211T4SZ-UI</t>
  </si>
  <si>
    <t>INVERSOR BRCFW110180T4SZ-UI</t>
  </si>
  <si>
    <t>INVERSOR BRCFW110180T2SZ-UI</t>
  </si>
  <si>
    <t>INVERSOR CFW700E0142T4NB20C3Y1-UI</t>
  </si>
  <si>
    <t>INVERSOR CFW700E0211T4NB20C3Y1-UI</t>
  </si>
  <si>
    <t>INVERSOR CFW700E0142T4NB20C3-UI</t>
  </si>
  <si>
    <t>INVERSOR CFW700E0211T4NB20C3-UI</t>
  </si>
  <si>
    <t>INVERSOR CFW700E0105T4NB20C3-UI</t>
  </si>
  <si>
    <t>INVERSOR CFW700E0211T4NB20C3Y1HASC</t>
  </si>
  <si>
    <t>INVERSOR BRCFW110028T2OHUSOZ</t>
  </si>
  <si>
    <t>INVERSOR BRCFW110045T2OHUSOZ</t>
  </si>
  <si>
    <t>INVERSOR BRCFW110054T2OHUSOZ</t>
  </si>
  <si>
    <t>INVERSOR BRCFW110086T2OHUSOZ</t>
  </si>
  <si>
    <t>INVERSOR BRCFW110105T2OHUSOZ</t>
  </si>
  <si>
    <t>INVERSOR BRCFW110142T2ODBHUSOZ</t>
  </si>
  <si>
    <t>INVERSOR BRCFW110180T2ODBHUSOZ</t>
  </si>
  <si>
    <t>INVERSOR BRCFW110024T4OHUSOZ</t>
  </si>
  <si>
    <t>INVERSOR BRCFW110031T4OHUSOZ</t>
  </si>
  <si>
    <t>INVERSOR BRCFW110045T4OHUSOZ</t>
  </si>
  <si>
    <t>INVERSOR BRCFW110088T4OHUSOZ</t>
  </si>
  <si>
    <t>INVERSOR BRCFW110105T4ODBHUSOZ</t>
  </si>
  <si>
    <t>INVERSOR BRCFW110142T4ODBHUSOZ</t>
  </si>
  <si>
    <t>INVERSOR BRCFW110211T4OH1Z-UI</t>
  </si>
  <si>
    <t>INVERSOR BRCFW110105T4SZ-UI</t>
  </si>
  <si>
    <t>INVERSOR BRCFW110180T4OWH2S7Z-UI</t>
  </si>
  <si>
    <t>INVERSOR EUCFW110044T6OYHASCZ</t>
  </si>
  <si>
    <t>INVERSOR CFW700D0105T2DB21</t>
  </si>
  <si>
    <t>INVERSOR BRCFW110070T4OFAZ-UI</t>
  </si>
  <si>
    <t>INVERSOR BCCFW110180T4ODBHESEZ-UI</t>
  </si>
  <si>
    <t>INVERSOR BRCFW110088T4SZ-UI</t>
  </si>
  <si>
    <t>INVERSOR BRCFW110211T4OWH2S7Z-UI</t>
  </si>
  <si>
    <t>INVERSOR BRCFW110070T4OYWZ-UI</t>
  </si>
  <si>
    <t>INVERSOR BRCFW110070T4SZ-UI</t>
  </si>
  <si>
    <t>INVERSOR BRCFW110088T4OFAZ-UI</t>
  </si>
  <si>
    <t>INVERSOR BRCFW110105T2SZ-UI</t>
  </si>
  <si>
    <t>INVERSOR CFW700D70P5T4DBN1-UI</t>
  </si>
  <si>
    <t>INVERSOR CFW700D88P0T4DBN1-UI</t>
  </si>
  <si>
    <t>INVERSOR EUCFW110070T4OFAYZ-UI</t>
  </si>
  <si>
    <t>INVERSOR EUCFW110088T4OFAZ-UI</t>
  </si>
  <si>
    <t>INVERSOR MSCFW110088T4OFAYWZ-UI</t>
  </si>
  <si>
    <t>INVERSOR BCCFW110105T4OHESEZ-UI</t>
  </si>
  <si>
    <t>INVERSOR BRCFW110601T4ORBZ-UI</t>
  </si>
  <si>
    <t>INVERSOR EUCFW110013T4OFAYHXZ</t>
  </si>
  <si>
    <t>INVERSOR EUCFW110017T4OFAYHXZ</t>
  </si>
  <si>
    <t>INVERSOR BRCFW110088T4OFAS7Z</t>
  </si>
  <si>
    <t>INVERSOR SACFW110027T5ONFYZ</t>
  </si>
  <si>
    <t>INVERSOR SACFW110022T5ONFYZ</t>
  </si>
  <si>
    <t>INVERSOR SACFW110032T5ONFYZ</t>
  </si>
  <si>
    <t>INVERSOR SACFW110044T5ONFYZ</t>
  </si>
  <si>
    <t>INVERSOR BRCFW110370T4ORBZ-UI</t>
  </si>
  <si>
    <t>INVERSOR EUCFW110010T4OFAECZ</t>
  </si>
  <si>
    <t>INVERSOR BRCFW110142T4ODBSWZ</t>
  </si>
  <si>
    <t>INVERSOR EUCFW110211T4ODBSWZ</t>
  </si>
  <si>
    <t>INVERSOR BRCFW110045T2OSWZ</t>
  </si>
  <si>
    <t>INVERSOR BRCFW110142T4OYS4Z-UI</t>
  </si>
  <si>
    <t>INVERSOR CFW700E0105T4DBN1C3Y1W1-UI</t>
  </si>
  <si>
    <t>INVERSOR CFW701B06P0S2DB55C3</t>
  </si>
  <si>
    <t>INVERSOR CFW701B07P0S2DB55C3</t>
  </si>
  <si>
    <t>INVERSOR CFW701B10P0S2DB55C3</t>
  </si>
  <si>
    <t>INVERSOR CFW701B03P6T4DB55C3</t>
  </si>
  <si>
    <t>INVERSOR CFW701B07P0T2DB55C3</t>
  </si>
  <si>
    <t>INVERSOR CFW701B10P0T2DB55C3</t>
  </si>
  <si>
    <t>INVERSOR CFW701B13P0T2DB55C3</t>
  </si>
  <si>
    <t>INVERSOR CFW701B16P0T2DB55C3</t>
  </si>
  <si>
    <t>INVERSOR CFW701B05P0T4DB55C3</t>
  </si>
  <si>
    <t>INVERSOR CFW701B07P0T4DB55C3</t>
  </si>
  <si>
    <t>INVERSOR CFW701B10P0T4DB55C3</t>
  </si>
  <si>
    <t>INVERSOR CFW701B13P5T4DB55C3</t>
  </si>
  <si>
    <t>INVERSOR CFW701B06P0S2DB55C3DS</t>
  </si>
  <si>
    <t>INVERSOR CFW701B07P0S2DB55C3DS</t>
  </si>
  <si>
    <t>INVERSOR CFW701B10P0S2DB55C3DS</t>
  </si>
  <si>
    <t>INVERSOR CFW701B03P6T4DB55C3DS</t>
  </si>
  <si>
    <t>INVERSOR CFW701B07P0T2DB55C3DS</t>
  </si>
  <si>
    <t>INVERSOR CFW701B10P0T2DB55C3DS</t>
  </si>
  <si>
    <t>INVERSOR CFW701B13P0T2DB55C3DS</t>
  </si>
  <si>
    <t>INVERSOR CFW701B16P0T2DB55C3DS</t>
  </si>
  <si>
    <t>INVERSOR CFW701B05P0T4DB55C3DS</t>
  </si>
  <si>
    <t>INVERSOR CFW701B07P0T4DB55C3DS</t>
  </si>
  <si>
    <t>INVERSOR CFW701B10P0T4DB55C3DS</t>
  </si>
  <si>
    <t>INVERSOR CFW701B13P5T4DB55C3DS</t>
  </si>
  <si>
    <t>INVERSOR EUCFW110211T4OYZ-UI</t>
  </si>
  <si>
    <t>INVERSOR CFW700D88P0T4DBN1Y1-UI</t>
  </si>
  <si>
    <t>INVERSOR BRCFW110007T2OSVZ</t>
  </si>
  <si>
    <t>INVERSOR BRCFW110010T2OSVZ</t>
  </si>
  <si>
    <t>INVERSOR BRCFW110013T2OSVZ</t>
  </si>
  <si>
    <t>INVERSOR BRCFW110016T2OSVZ</t>
  </si>
  <si>
    <t>INVERSOR BRCFW110024T2OSVZ</t>
  </si>
  <si>
    <t>INVERSOR BRCFW110028T2OSVZ</t>
  </si>
  <si>
    <t>INVERSOR BRCFW110033T2OSVZ</t>
  </si>
  <si>
    <t>INVERSOR BRCFW110045T2OSVZ</t>
  </si>
  <si>
    <t>INVERSOR BRCFW110054T2OSVZ</t>
  </si>
  <si>
    <t>INVERSOR BRCFW110070T2OSVZ</t>
  </si>
  <si>
    <t>INVERSOR BRCFW110086T2OSVZ</t>
  </si>
  <si>
    <t>INVERSOR BRCFW110105T2OSVZ</t>
  </si>
  <si>
    <t>INVERSOR BRCFW110142T2ODBSVZ</t>
  </si>
  <si>
    <t>INVERSOR BRCFW110180T2ODBSVZ</t>
  </si>
  <si>
    <t>INVERSOR BRCFW110211T2ODBSVZ</t>
  </si>
  <si>
    <t>INVERSOR BRCFW110003T4OSVZ</t>
  </si>
  <si>
    <t>INVERSOR BRCFW110005T4OSVZ</t>
  </si>
  <si>
    <t>INVERSOR BRCFW110007T4OSVZ</t>
  </si>
  <si>
    <t>INVERSOR BRCFW110010T4OSVZ</t>
  </si>
  <si>
    <t>INVERSOR BRCFW110013T4OSVZ</t>
  </si>
  <si>
    <t>INVERSOR BRCFW110017T4OSVZ</t>
  </si>
  <si>
    <t>INVERSOR BRCFW110024T4OSVZ</t>
  </si>
  <si>
    <t>INVERSOR BRCFW110031T4OSVZ</t>
  </si>
  <si>
    <t>INVERSOR BRCFW110038T4OSVZ</t>
  </si>
  <si>
    <t>INVERSOR BRCFW110045T4OSVZ</t>
  </si>
  <si>
    <t>INVERSOR BRCFW110058T4OSVZ</t>
  </si>
  <si>
    <t>INVERSOR BRCFW110070T4OSVZ</t>
  </si>
  <si>
    <t>INVERSOR BRCFW110088T4OSVZ</t>
  </si>
  <si>
    <t>INVERSOR BRCFW110105T4ODBSVZ</t>
  </si>
  <si>
    <t>INVERSOR BRCFW110142T4ODBSVZ</t>
  </si>
  <si>
    <t>INVERSOR BRCFW110180T4ODBSVZ</t>
  </si>
  <si>
    <t>INVERSOR BRCFW110211T4ODBSVZ</t>
  </si>
  <si>
    <t>INVERSOR CFW700E0180T4NB20C3-UI</t>
  </si>
  <si>
    <t>INVERSOR BRCFW110720T4ORBZ-UI</t>
  </si>
  <si>
    <t>INVERSOR BRCFW110070T4OFAYZ-UI</t>
  </si>
  <si>
    <t>INVERSOR BRCFW110088T4OWS7Z</t>
  </si>
  <si>
    <t>INVERSOR BRCFW110088T4OWS7Z-UI</t>
  </si>
  <si>
    <t>INVERSOR BRCFW110105T4OYS4Z</t>
  </si>
  <si>
    <t>INVERSOR BRCFW110142T4OWS7Z</t>
  </si>
  <si>
    <t>INVERSOR BRCFW110142T4OWS7Z-UI</t>
  </si>
  <si>
    <t>INVERSOR BRCFW110105T4OYS4Z-UI</t>
  </si>
  <si>
    <t>INVERSOR CFW700D70P5T4DBN1Y1-UI</t>
  </si>
  <si>
    <t>INVERSOR BRCFW110058T4OWS7Z</t>
  </si>
  <si>
    <t>INVERSOR BRCFW110031T4OWS7Z</t>
  </si>
  <si>
    <t>INVERSOR BRCFW110312T4ORBZ-UI</t>
  </si>
  <si>
    <t>INVERSOR BRCFW110477T4ORBZ-UI</t>
  </si>
  <si>
    <t>INVERSOR EUCFW110180T4OYWZ-UI</t>
  </si>
  <si>
    <t>INVERSOR EUCFW110006S2O55FAZ</t>
  </si>
  <si>
    <t>INVERSOR BRCFW110006B2O55Z</t>
  </si>
  <si>
    <t>INVERSOR BRCFW110006B2O55DSZ</t>
  </si>
  <si>
    <t>INVERSOR BRCFW110007B2O55Z</t>
  </si>
  <si>
    <t>INVERSOR BRCFW110007B2O55DSZ</t>
  </si>
  <si>
    <t>INVERSOR EUCFW110006S2O55FADSZ</t>
  </si>
  <si>
    <t>INVERSOR EUCFW110007S2O55FAZ</t>
  </si>
  <si>
    <t>INVERSOR EUCFW110007S2O55FADSZ</t>
  </si>
  <si>
    <t>INVERSOR BRCFW110010S2O55FAZ</t>
  </si>
  <si>
    <t>INVERSOR BRCFW110010S2O55FADSZ</t>
  </si>
  <si>
    <t>INVERSOR EUCFW110010S2O55FAZ</t>
  </si>
  <si>
    <t>INVERSOR EUCFW110010S2O55FADSZ</t>
  </si>
  <si>
    <t>INVERSOR BRCFW110007T2O55Z</t>
  </si>
  <si>
    <t>INVERSOR BRCFW110007T2O55DSZ</t>
  </si>
  <si>
    <t>INVERSOR NACFW110007T2O55Z</t>
  </si>
  <si>
    <t>INVERSOR NACFW110007T2O55DSZ</t>
  </si>
  <si>
    <t>INVERSOR BRCFW110010T2O55Z</t>
  </si>
  <si>
    <t>INVERSOR BRCFW110010T2O55DSZ</t>
  </si>
  <si>
    <t>INVERSOR NACFW110010T2O55Z</t>
  </si>
  <si>
    <t>INVERSOR NACFW110010T2O55DSZ</t>
  </si>
  <si>
    <t>INVERSOR BRCFW110013T2O55Z</t>
  </si>
  <si>
    <t>INVERSOR BRCFW110013T2O55DSZ</t>
  </si>
  <si>
    <t>INVERSOR NACFW110013T2O55Z</t>
  </si>
  <si>
    <t>INVERSOR NACFW110013T2O55DSZ</t>
  </si>
  <si>
    <t>INVERSOR BRCFW110016T2O55Z</t>
  </si>
  <si>
    <t>INVERSOR BRCFW110016T2O55DSZ</t>
  </si>
  <si>
    <t>INVERSOR NACFW110016T2O55Z</t>
  </si>
  <si>
    <t>INVERSOR NACFW110016T2O55DSZ</t>
  </si>
  <si>
    <t>INVERSOR BRCFW110003T4O55Z</t>
  </si>
  <si>
    <t>INVERSOR BRCFW110003T4O55DSZ</t>
  </si>
  <si>
    <t>INVERSOR EUCFW110003T4O55FAZ</t>
  </si>
  <si>
    <t>INVERSOR EUCFW110003T4O55FADSZ</t>
  </si>
  <si>
    <t>INVERSOR BRCFW110005T4O55Z</t>
  </si>
  <si>
    <t>INVERSOR BRCFW110005T4O55DSZ</t>
  </si>
  <si>
    <t>INVERSOR EUCFW110005T4O55FAZ</t>
  </si>
  <si>
    <t>INVERSOR EUCFW110005T4O55FADSZ</t>
  </si>
  <si>
    <t>INVERSOR BRCFW110007T4O55Z</t>
  </si>
  <si>
    <t>INVERSOR BRCFW110007T4O55DSZ</t>
  </si>
  <si>
    <t>INVERSOR EUCFW110007T4O55FAZ</t>
  </si>
  <si>
    <t>INVERSOR EUCFW110007T4O55FADSZ</t>
  </si>
  <si>
    <t>INVERSOR BRCFW110010T4O55Z</t>
  </si>
  <si>
    <t>INVERSOR BRCFW110010T4O55DSZ</t>
  </si>
  <si>
    <t>INVERSOR EUCFW110010T4O55FAZ</t>
  </si>
  <si>
    <t>INVERSOR EUCFW110010T4O55FADSZ</t>
  </si>
  <si>
    <t>INVERSOR BRCFW110013T4O55Z</t>
  </si>
  <si>
    <t>INVERSOR BRCFW110013T4O55DSZ</t>
  </si>
  <si>
    <t>INVERSOR EUCFW110013T4O55FAZ</t>
  </si>
  <si>
    <t>INVERSOR EUCFW110013T4O55FADSZ</t>
  </si>
  <si>
    <t>INVERSOR BRCFW110024T2O55Z</t>
  </si>
  <si>
    <t>INVERSOR BRCFW110024T2O55DSZ</t>
  </si>
  <si>
    <t>INVERSOR NACFW110024T2O55Z</t>
  </si>
  <si>
    <t>INVERSOR NACFW110024T2O55DSZ</t>
  </si>
  <si>
    <t>INVERSOR BRCFW110028T2O55Z</t>
  </si>
  <si>
    <t>INVERSOR BRCFW110028T2O55DSZ</t>
  </si>
  <si>
    <t>INVERSOR NACFW110028T2O55Z</t>
  </si>
  <si>
    <t>INVERSOR NACFW110028T2O55DSZ</t>
  </si>
  <si>
    <t>INVERSOR BRCFW110033T2O55Z</t>
  </si>
  <si>
    <t>INVERSOR BRCFW110033T2O55DSZ</t>
  </si>
  <si>
    <t>INVERSOR NACFW110033T2O55Z</t>
  </si>
  <si>
    <t>INVERSOR NACFW110033T2O55DSZ</t>
  </si>
  <si>
    <t>INVERSOR BRCFW110017T4O55Z</t>
  </si>
  <si>
    <t>INVERSOR BRCFW110017T4O55DSZ</t>
  </si>
  <si>
    <t>INVERSOR EUCFW110017T4O55FAZ</t>
  </si>
  <si>
    <t>INVERSOR EUCFW110017T4O55FADSZ</t>
  </si>
  <si>
    <t>INVERSOR BRCFW110024T4O55Z</t>
  </si>
  <si>
    <t>INVERSOR BRCFW110024T4O55DSZ</t>
  </si>
  <si>
    <t>INVERSOR EUCFW110024T4O55FAZ</t>
  </si>
  <si>
    <t>INVERSOR EUCFW110024T4O55FADSZ</t>
  </si>
  <si>
    <t>INVERSOR BRCFW110031T4O55Z</t>
  </si>
  <si>
    <t>INVERSOR BRCFW110031T4O55DSZ</t>
  </si>
  <si>
    <t>INVERSOR EUCFW110031T4O55FAZ</t>
  </si>
  <si>
    <t>INVERSOR EUCFW110031T4O55FADSZ</t>
  </si>
  <si>
    <t>INVERSOR BRCFW110045T2O55Z</t>
  </si>
  <si>
    <t>INVERSOR BRCFW110045T2O55DSZ</t>
  </si>
  <si>
    <t>INVERSOR NACFW110045T2O55Z</t>
  </si>
  <si>
    <t>INVERSOR NACFW110045T2O55DSZ</t>
  </si>
  <si>
    <t>INVERSOR BRCFW110054T2O55Z</t>
  </si>
  <si>
    <t>INVERSOR BRCFW110054T2O55DSZ</t>
  </si>
  <si>
    <t>INVERSOR NACFW110054T2O55Z</t>
  </si>
  <si>
    <t>INVERSOR NACFW110054T2O55DSZ</t>
  </si>
  <si>
    <t>INVERSOR BRCFW110070T2O55Z</t>
  </si>
  <si>
    <t>INVERSOR BRCFW110070T2O55DSZ</t>
  </si>
  <si>
    <t>INVERSOR NACFW110070T2O55Z</t>
  </si>
  <si>
    <t>INVERSOR NACFW110070T2O55DSZ</t>
  </si>
  <si>
    <t>INVERSOR BRCFW110038T4O55Z</t>
  </si>
  <si>
    <t>INVERSOR BRCFW110038T4O55DSZ</t>
  </si>
  <si>
    <t>INVERSOR EUCFW110038T4O55FAZ</t>
  </si>
  <si>
    <t>INVERSOR EUCFW110038T4O55FADSZ</t>
  </si>
  <si>
    <t>INVERSOR BRCFW110045T4O55Z</t>
  </si>
  <si>
    <t>INVERSOR BRCFW110045T4O55DSZ</t>
  </si>
  <si>
    <t>INVERSOR EUCFW110045T4O55FAZ</t>
  </si>
  <si>
    <t>INVERSOR EUCFW110045T4O55FADSZ</t>
  </si>
  <si>
    <t>INVERSOR BRCFW110058T4O55Z</t>
  </si>
  <si>
    <t>INVERSOR BRCFW110058T4O55DSZ</t>
  </si>
  <si>
    <t>INVERSOR EUCFW110058T4O55FAZ</t>
  </si>
  <si>
    <t>INVERSOR EUCFW110058T4O55FADSZ</t>
  </si>
  <si>
    <t>INVERSOR BRCFW110086T2O55Z</t>
  </si>
  <si>
    <t>INVERSOR BRCFW110086T2O55DSZ</t>
  </si>
  <si>
    <t>INVERSOR NACFW110086T2O55Z</t>
  </si>
  <si>
    <t>INVERSOR NACFW110086T2O55DSZ</t>
  </si>
  <si>
    <t>INVERSOR BRCFW110070T4O55Z</t>
  </si>
  <si>
    <t>INVERSOR BRCFW110070T4O55DSZ</t>
  </si>
  <si>
    <t>INVERSOR EUCFW110070T4O55FAZ</t>
  </si>
  <si>
    <t>INVERSOR EUCFW110070T4O55FADSZ</t>
  </si>
  <si>
    <t>INVERSOR BRCFW110105T2O55Z</t>
  </si>
  <si>
    <t>INVERSOR BRCFW110105T2O55DSZ</t>
  </si>
  <si>
    <t>INVERSOR NACFW110105T2O55Z</t>
  </si>
  <si>
    <t>INVERSOR NACFW110105T2O55DSZ</t>
  </si>
  <si>
    <t>INVERSOR BRCFW110088T4O55Z</t>
  </si>
  <si>
    <t>INVERSOR BRCFW110088T4O55DSZ</t>
  </si>
  <si>
    <t>INVERSOR EUCFW110088T4O55FAZ</t>
  </si>
  <si>
    <t>INVERSOR EUCFW110088T4O55FADSZ</t>
  </si>
  <si>
    <t>INVERSOR EUCFW110105T4O55Z</t>
  </si>
  <si>
    <t>INVERSOR CFW700D88P0T4DBN1C3-UI</t>
  </si>
  <si>
    <t>INVERSOR CFW700D70P5T4DBN1C3-UI</t>
  </si>
  <si>
    <t>INVERSOR BRCFW110070T4OFAS7Z</t>
  </si>
  <si>
    <t>INVERSOR BRCFW110142T4OS7Z</t>
  </si>
  <si>
    <t>INVERSOR BRCFW110211T4OH2S7Z</t>
  </si>
  <si>
    <t>INVERSOR EUCFW110105T4O55DSZ</t>
  </si>
  <si>
    <t>INVERSOR BRCFW110142T4O55Z</t>
  </si>
  <si>
    <t>INVERSOR CFW700B31P0T4DB20H1ACS1</t>
  </si>
  <si>
    <t>INVERSOR CFW700C58P5T4DB20H1ACS1</t>
  </si>
  <si>
    <t>INVERSOR CFW700D88P0T4DBN1H1ACS1</t>
  </si>
  <si>
    <t>INVERSOR CFW700E0211T4DB20H1ACS1</t>
  </si>
  <si>
    <t>INVERSOR CFW700B33P5T2DB20H1ACS1</t>
  </si>
  <si>
    <t>INVERSOR CFW700C70P0T2DB20H1ACS1</t>
  </si>
  <si>
    <t>INVERSOR CFW700D0105T2DBN1H1ACS1</t>
  </si>
  <si>
    <t>INVERSOR CFW700E0211T2DB20H1ACS1</t>
  </si>
  <si>
    <t>INVERSOR BRCFW110142T2O55Z</t>
  </si>
  <si>
    <t>INVERSOR BRCFW110142T2O55DSZ</t>
  </si>
  <si>
    <t>INVERSOR EUCFW110142T2O55Z</t>
  </si>
  <si>
    <t>INVERSOR EUCFW110142T2O55DSZ</t>
  </si>
  <si>
    <t>INVERSOR BRCFW110180T2O55Z</t>
  </si>
  <si>
    <t>INVERSOR BRCFW110180T2O55DSZ</t>
  </si>
  <si>
    <t>INVERSOR EUCFW110180T2O55Z</t>
  </si>
  <si>
    <t>INVERSOR EUCFW110180T2O55DSZ</t>
  </si>
  <si>
    <t>INVERSOR BRCFW110211T2O55Z</t>
  </si>
  <si>
    <t>INVERSOR BRCFW110211T2O55DSZ</t>
  </si>
  <si>
    <t>INVERSOR EUCFW110211T2O55Z</t>
  </si>
  <si>
    <t>INVERSOR EUCFW110211T2O55DSZ</t>
  </si>
  <si>
    <t>INVERSOR BRCFW110105T4O55Z</t>
  </si>
  <si>
    <t>INVERSOR BRCFW110070T4OFAS7Z-UI</t>
  </si>
  <si>
    <t>INVERSOR BRCFW110142T4OS7Z-UI</t>
  </si>
  <si>
    <t>INVERSOR BRCFW110211T4OH2S7Z-UI</t>
  </si>
  <si>
    <t>INVERSOR BRCFW110013T4OSWZ</t>
  </si>
  <si>
    <t>INVERSOR BRCFW110105T4O55DSZ</t>
  </si>
  <si>
    <t>INVERSOR BRCFW110142T4O55DSZ</t>
  </si>
  <si>
    <t>INVERSOR EUCFW110142T4O55Z</t>
  </si>
  <si>
    <t>INVERSOR EUCFW110142T4O55DSZ</t>
  </si>
  <si>
    <t>INVERSOR BRCFW110180T4O55Z</t>
  </si>
  <si>
    <t>INVERSOR BRCFW110180T4O55DSZ</t>
  </si>
  <si>
    <t>INVERSOR EUCFW110180T4O55Z</t>
  </si>
  <si>
    <t>INVERSOR EUCFW110180T4O55DSZ</t>
  </si>
  <si>
    <t>INVERSOR BRCFW110211T4O55Z</t>
  </si>
  <si>
    <t>INVERSOR BRCFW110211T4O55DSZ</t>
  </si>
  <si>
    <t>INVERSOR EUCFW110211T4O55Z</t>
  </si>
  <si>
    <t>INVERSOR EUCFW110211T4O55DSZ</t>
  </si>
  <si>
    <t>INVERSOR MSCFW110105T4ODBYZ</t>
  </si>
  <si>
    <t>INVERSOR MSCFW110105T4ODBYZ-UI</t>
  </si>
  <si>
    <t>INVERSOR CFW700D70P5T4DBN1C3Y1-UI</t>
  </si>
  <si>
    <t>INVERSOR CFW700E0211T2NB20C3-UI</t>
  </si>
  <si>
    <t>INVERSOR BRCFW110033T2O54FAYZ</t>
  </si>
  <si>
    <t>INVERSOR BRCFW110601T4ORBH1Z</t>
  </si>
  <si>
    <t>INVERSOR BRCFW110601T4ORBH1Z-UI</t>
  </si>
  <si>
    <t>INVERSOR BRCFW110211T4ODBWZ</t>
  </si>
  <si>
    <t>INVERSOR SACFW110105T4SZ-UI</t>
  </si>
  <si>
    <t>INVERSOR BRCFW110088T4OYZ-UI</t>
  </si>
  <si>
    <t>INVERSOR SACFW110105T4ORBZ</t>
  </si>
  <si>
    <t>INVERSOR SACFW110105T4ORBZ-UI</t>
  </si>
  <si>
    <t>INVERSOR CFW700E0226T4NB20C3Y1S1</t>
  </si>
  <si>
    <t>INVERSOR EUCFW110012T5OYHXZ</t>
  </si>
  <si>
    <t>INVERSOR CFW700E0226T4NB20C3Y1HACS1-UI</t>
  </si>
  <si>
    <t>INVERSOR CFW700E0105T4NB20C3Y1-UI</t>
  </si>
  <si>
    <t>INVERSOR CFW700E0180T4NB20C3Y1-UI</t>
  </si>
  <si>
    <t>INVERSOR CFW700E0105T4DB20C3Y1-UI</t>
  </si>
  <si>
    <t>INVERSOR BRCFW110211T4OYZ-UI</t>
  </si>
  <si>
    <t>INVERSOR BRCFW110105T4ODBWZ-UI</t>
  </si>
  <si>
    <t>INVERSOR CFW700E0211T2NB20C3Y1-UI</t>
  </si>
  <si>
    <t>INVERSOR BCCFW110142T4ODBHESEZ-UI</t>
  </si>
  <si>
    <t>INVERSOR BCCFW110070T4OHESEZ-UI</t>
  </si>
  <si>
    <t>INVERSOR BRCFW110086T2SZ-UI</t>
  </si>
  <si>
    <t>INVERSOR CFW701D70P5T4DBN1C3-UI</t>
  </si>
  <si>
    <t>INVERSOR CFW701E0142T4NBN1C3-UI</t>
  </si>
  <si>
    <t>INVERSOR CFW701E0105T4NBN1C3-UI</t>
  </si>
  <si>
    <t>INVERSOR CFW701D88P0T4DBN1C3-UI</t>
  </si>
  <si>
    <t>INVERSOR BCCFW110180T4OHEZ-UI</t>
  </si>
  <si>
    <t>INVERSOR BCCFW110088T4OHESEZ-UI</t>
  </si>
  <si>
    <t>INVERSOR CFW700E0180T2NB20C3-UI</t>
  </si>
  <si>
    <t>INVERSOR CFW700E0142T2DB20C3-UI</t>
  </si>
  <si>
    <t>INVERSOR CFW700E0142T4DB20C3-UI</t>
  </si>
  <si>
    <t>INVERSOR CFW700E0180T4DB20C3-UI</t>
  </si>
  <si>
    <t>INVERSOR CFW700E0211T2DB20C3-UI</t>
  </si>
  <si>
    <t>INVERSOR CFW700E0211T4DB20C3-UI</t>
  </si>
  <si>
    <t>INVERSOR CFW700E0211T4DBN1C3-UI</t>
  </si>
  <si>
    <t>INVERSOR CFW701E0211T4DB20C3-UI</t>
  </si>
  <si>
    <t>INVERSOR CFW700E0142T4NB20C3W1-UI</t>
  </si>
  <si>
    <t>INVERSOR CFW700E0142T2DBN1C3-UI</t>
  </si>
  <si>
    <t>INVERSOR BRCFW110142T2SZ-UI</t>
  </si>
  <si>
    <t>INVERSOR CFW700E0105T4DB20C3-UI</t>
  </si>
  <si>
    <t>INVERSOR CFW700E0105T4NB20C3W1-UI</t>
  </si>
  <si>
    <t>INVERSOR BRCFW110105T4ODBYZ-UI</t>
  </si>
  <si>
    <t>INVERSOR BRCFW110142T4ODBZ-UI</t>
  </si>
  <si>
    <t>INVERSOR BRCFW110070T4OYZ-UI</t>
  </si>
  <si>
    <t>INVERSOR NACFW110601T4ORBZ</t>
  </si>
  <si>
    <t>INVERSOR NACFW110601T4ORBZ-UI</t>
  </si>
  <si>
    <t>INVERSOR EUCFW110105T4SZ-UI</t>
  </si>
  <si>
    <t>INVERSOR EUCFW110142T4SZ-UI</t>
  </si>
  <si>
    <t>INVERSOR EUCFW110180T4SZ-UI</t>
  </si>
  <si>
    <t>INVERSOR MSCFW110105T4SZ-UI</t>
  </si>
  <si>
    <t>INVERSOR MSCFW110142T4SZ-UI</t>
  </si>
  <si>
    <t>INVERSOR MSCFW110180T4SZ-UI</t>
  </si>
  <si>
    <t>INVERSOR MSCFW110211T4SZ-UI</t>
  </si>
  <si>
    <t>INVERSOR SACFW110142T4SZ-UI</t>
  </si>
  <si>
    <t>INVERSOR SACFW110180T4SZ-UI</t>
  </si>
  <si>
    <t>INVERSOR SACFW110211T4SZ-UI</t>
  </si>
  <si>
    <t>INVERSOR NACFW110105T4SZ-UI</t>
  </si>
  <si>
    <t>INVERSOR NACFW110142T4SZ-UI</t>
  </si>
  <si>
    <t>INVERSOR NACFW110180T4SZ-UI</t>
  </si>
  <si>
    <t>INVERSOR NACFW110211T4SZ-UI</t>
  </si>
  <si>
    <t>INVERSOR BRCFW110180T4OH2S7Z-UI</t>
  </si>
  <si>
    <t>INVERSOR BRCFW110142T4ORBZ-UI</t>
  </si>
  <si>
    <t>INVERSOR BRCFW110180T4ORBZ-UI</t>
  </si>
  <si>
    <t>INVERSOR BRCFW110180T4ODCZ-UI</t>
  </si>
  <si>
    <t>INVERSOR BRCFW110142T4ODCZ-UI</t>
  </si>
  <si>
    <t>INVERSOR BRCFW110024T4OSMZ</t>
  </si>
  <si>
    <t>INVERSOR MSCFW110125T6ONBSWZ</t>
  </si>
  <si>
    <t>INVERSOR EUCFW110027T6OSWZ</t>
  </si>
  <si>
    <t>INVERSOR EUCFW110007T4OFASWZ</t>
  </si>
  <si>
    <t>INVERSOR BRCFW110180T4OYWZ-UI</t>
  </si>
  <si>
    <t>INVERSOR BRCFW110242T4ORBH1Z-UI</t>
  </si>
  <si>
    <t>INVERSOR MSCFW110515T4ORBZ-UI</t>
  </si>
  <si>
    <t>INVERSOR MSCFW110070T4OFAYWZ-UI</t>
  </si>
  <si>
    <t>INVERSOR MSCFW110031T4OFAYWZ</t>
  </si>
  <si>
    <t>INVERSOR MSCFW110017T4OFAYWZ</t>
  </si>
  <si>
    <t>INVERSOR BRCFW110024T4OFAS7Z</t>
  </si>
  <si>
    <t>INVERSOR BRCFW110477T4ORBH1Z</t>
  </si>
  <si>
    <t>INVERSOR BRCFW110477T4ORBH1Z-UI</t>
  </si>
  <si>
    <t>INVERSOR BRCFW110086T2OFAZ-UI</t>
  </si>
  <si>
    <t>INVERSOR BRCFW110088T4OWZ-UI</t>
  </si>
  <si>
    <t>INVERSOR BRCFW110033T2OYWZ</t>
  </si>
  <si>
    <t>INVERSOR BRCFW110054T2OYWZ</t>
  </si>
  <si>
    <t>INVERSOR EUCFW110477T4ORBZ</t>
  </si>
  <si>
    <t>INVERSOR EUCFW110477T4ORBZ-UI</t>
  </si>
  <si>
    <t>INVERSOR BRCFW110211T4OYS4Z-UI</t>
  </si>
  <si>
    <t>INVERSOR BRCFW110180T4OYDCZ-UI</t>
  </si>
  <si>
    <t>INVERSOR BRCFW110142T4OYECZ</t>
  </si>
  <si>
    <t>INVERSOR BRCFW110088T4OFAYECZ</t>
  </si>
  <si>
    <t>INVERSOR CFW700D0105T2DBN1Y1-UI</t>
  </si>
  <si>
    <t>INVERSOR BRCFW110017T4OH4SPZ</t>
  </si>
  <si>
    <t>INVERSOR BRCFW110031T4OFAH4SMZ</t>
  </si>
  <si>
    <t>INVERSOR BRCFW110088T4OFAH4SMZ</t>
  </si>
  <si>
    <t>INVERSOR BRCFW110211T4ODBYZ-UI</t>
  </si>
  <si>
    <t>INVERSOR BRCFW110054T2OH4Z</t>
  </si>
  <si>
    <t>INVERSOR BRCFW110086T2OH4Z</t>
  </si>
  <si>
    <t>INVERSOR BRCFW110105T2OH4Z</t>
  </si>
  <si>
    <t>INVERSOR BRCFW110142T2OH4Z</t>
  </si>
  <si>
    <t>INVERSOR BRCFW110211T2OH4Z</t>
  </si>
  <si>
    <t>INVERSOR BRCFW110031T4OH4Z</t>
  </si>
  <si>
    <t>INVERSOR BRCFW110045T4OH4Z</t>
  </si>
  <si>
    <t>INVERSOR BRCFW110058T4OH4Z</t>
  </si>
  <si>
    <t>INVERSOR BRCFW110070T4OH4Z</t>
  </si>
  <si>
    <t>INVERSOR BRCFW110088T4OH4Z</t>
  </si>
  <si>
    <t>INVERSOR BRCFW110105T4OH4Z</t>
  </si>
  <si>
    <t>INVERSOR BRCFW110142T4OH4Z</t>
  </si>
  <si>
    <t>INVERSOR BRCFW110180T4OH4Z</t>
  </si>
  <si>
    <t>INVERSOR BRCFW110211T4OH4Z</t>
  </si>
  <si>
    <t>INVERSOR EUCFW110125T6ONBYHASCZ</t>
  </si>
  <si>
    <t>INVERSOR BRCFW110105T4OYZ-UI</t>
  </si>
  <si>
    <t>INVERSOR BRCFW110013T4OYWZ</t>
  </si>
  <si>
    <t>INVERSOR BRCFW110058T4OYWZ</t>
  </si>
  <si>
    <t>INVERSOR EUCFW110088T4OFAYSWZ</t>
  </si>
  <si>
    <t>INVERSOR BRCFW110515T4ORBH1Z</t>
  </si>
  <si>
    <t>INVERSOR BRCFW110515T4ORBH1Z-UI</t>
  </si>
  <si>
    <t>INVERSOR BRCFW110180T4OYZ-UI</t>
  </si>
  <si>
    <t>INVERSOR SACFW110142T4ODCZ</t>
  </si>
  <si>
    <t>INVERSOR BRCFW110142T4OYZ-UI</t>
  </si>
  <si>
    <t>INVERSOR CFW700E80P0T5NB20C3Y1HASC</t>
  </si>
  <si>
    <t>INVERSOR BRCFW110211T4ODBZ-UI</t>
  </si>
  <si>
    <t>INVERSOR EUCFW110180T4OYH1Z</t>
  </si>
  <si>
    <t>INVERSOR EUCFW110211T4OYH1Z</t>
  </si>
  <si>
    <t>INVERSOR BRCFW110017T4OFAH4SMZ</t>
  </si>
  <si>
    <t>INVERSOR BRCFW110070T4OFAH4SMZ</t>
  </si>
  <si>
    <t>INVERSOR BRCFW110024T2OSSZ</t>
  </si>
  <si>
    <t>INVERSOR BRCFW110033T2OFAYZ</t>
  </si>
  <si>
    <t>INVERSOR BRCFW110180T4OH1Z-UI</t>
  </si>
  <si>
    <t>INVERSOR BRCFW110211T2OYZ-UI</t>
  </si>
  <si>
    <t>INVERSOR BRCFW110080T6OYZ-UI</t>
  </si>
  <si>
    <t>INVERSOR EUCFW110105T4OYSWZ</t>
  </si>
  <si>
    <t>INVERSOR BRCFW110058T4OHFSEZ</t>
  </si>
  <si>
    <t>INVERSOR BRCFW110088T4OHFSEZ</t>
  </si>
  <si>
    <t>INVERSOR EUCFW110010T4O55FADSYZ</t>
  </si>
  <si>
    <t>INVERSOR EUCFW110142T4O55DSYZ</t>
  </si>
  <si>
    <t>INVERSOR EUCFW110024T4O55FADSYZ</t>
  </si>
  <si>
    <t>INVERSOR EUCFW110038T4O55FADSYZ</t>
  </si>
  <si>
    <t>INVERSOR BRCFW110312T4ORBH1Z</t>
  </si>
  <si>
    <t>INVERSOR EUCFW110142T4OYWZ-UI</t>
  </si>
  <si>
    <t>INVERSOR EUCFW110070T4OYWZ-UI</t>
  </si>
  <si>
    <t>INVERSOR BRCFW110312T4ORBH1Z-UI</t>
  </si>
  <si>
    <t>INVERSOR BRCFW110180T2ODBYZ</t>
  </si>
  <si>
    <t>INVERSOR CFW110005T4OHALS9Z</t>
  </si>
  <si>
    <t>INVERSOR CFW110007T4OHALS9Z</t>
  </si>
  <si>
    <t>INVERSOR CFW110010T4OHALS9Z</t>
  </si>
  <si>
    <t>INVERSOR CFW110013T4OHALS9Z</t>
  </si>
  <si>
    <t>INVERSOR CFW110017T4OHALS9Z</t>
  </si>
  <si>
    <t>INVERSOR CFW110024T4OHALS9Z</t>
  </si>
  <si>
    <t>INVERSOR CFW110031T4OHALS9Z</t>
  </si>
  <si>
    <t>INVERSOR BRCFW110038T4OHALS9Z</t>
  </si>
  <si>
    <t>INVERSOR CFW110045T4OHALS9Z</t>
  </si>
  <si>
    <t>INVERSOR CFW110058T4OHALS9Z</t>
  </si>
  <si>
    <t>INVERSOR CFW110070T4OHALS9Z</t>
  </si>
  <si>
    <t>INVERSOR CFW110088T4OHALS9Z</t>
  </si>
  <si>
    <t>INVERSOR BRCFW110105T4ODBHALS9Z</t>
  </si>
  <si>
    <t>INVERSOR CFW110142T4ODBHALS9Z</t>
  </si>
  <si>
    <t>INVERSOR CFW110180T4ODBHALS9Z</t>
  </si>
  <si>
    <t>INVERSOR CFW110211T4ODBHALS9Z</t>
  </si>
  <si>
    <t>INVERSOR EUCFW110024T4O55FAYZ</t>
  </si>
  <si>
    <t>INVERSOR EUCFW110070T4OFAYWZ-UI</t>
  </si>
  <si>
    <t>INVERSOR BRCFW110105T4OHALS9Z</t>
  </si>
  <si>
    <t>INVERSOR CFW110142T4OHALS9Z</t>
  </si>
  <si>
    <t>INVERSOR BRCFW110180T4OHALS9Z</t>
  </si>
  <si>
    <t>INVERSOR CFW110211T4OHALS9Z</t>
  </si>
  <si>
    <t>INVERSOR BRCFW110007T2OFAH4SSZ</t>
  </si>
  <si>
    <t>INVERSOR BRCFW110010T2OFAH4SSZ</t>
  </si>
  <si>
    <t>INVERSOR BRCFW110013T2OFAH4SSZ</t>
  </si>
  <si>
    <t>INVERSOR BRCFW110024T2OFAH4SSZ</t>
  </si>
  <si>
    <t>INVERSOR BRCFW110054T2OFAH4SSZ</t>
  </si>
  <si>
    <t>INVERSOR BRCFW110038T4OFAH4SSZ</t>
  </si>
  <si>
    <t>INVERSOR BRCFW110058T4OFAH4SSZ</t>
  </si>
  <si>
    <t>INVERSOR EUCFW110058T4O55FADSYZ</t>
  </si>
  <si>
    <t>INVERSOR EUCFW110088T4O55FADSYZ</t>
  </si>
  <si>
    <t>INVERSOR EUCFW110105T4O55DSYZ</t>
  </si>
  <si>
    <t>INVERSOR EUCFW110211T4O55DSYZ</t>
  </si>
  <si>
    <t>INVERSOR EUCFW110003T4O55FADSYZ</t>
  </si>
  <si>
    <t>INVERSOR EUCFW110005T4O55FADSYZ</t>
  </si>
  <si>
    <t>INVERSOR EUCFW110007T4O55FADSYZ</t>
  </si>
  <si>
    <t>INVERSOR EUCFW110013T4O55FADSYZ</t>
  </si>
  <si>
    <t>INVERSOR EUCFW110017T4O55FADSYZ</t>
  </si>
  <si>
    <t>INVERSOR EUCFW110045T4O55FADSYZ</t>
  </si>
  <si>
    <t>INVERSOR EUCFW110070T4O55FADSYZ</t>
  </si>
  <si>
    <t>INVERSOR EUCFW110180T4O55DSYZ</t>
  </si>
  <si>
    <t>INVERSOR CFW700B06P0S2DB55C3</t>
  </si>
  <si>
    <t>INVERSOR CFW700B07P0S2DB55C3</t>
  </si>
  <si>
    <t>INVERSOR CFW700B10P0S2DB55C3</t>
  </si>
  <si>
    <t>INVERSOR CFW700B06P0S2DB55C3DS</t>
  </si>
  <si>
    <t>INVERSOR CFW700B07P0S2DB55C3DS</t>
  </si>
  <si>
    <t>INVERSOR CFW700B10P0S2DB55C3DS</t>
  </si>
  <si>
    <t>INVERSOR CFW700B03P6T4DB55C3</t>
  </si>
  <si>
    <t>INVERSOR CFW700B05P0T4DB55C3</t>
  </si>
  <si>
    <t>INVERSOR CFW700B07P0T4DB55C3</t>
  </si>
  <si>
    <t>INVERSOR CFW700B10P0T4DB55C3</t>
  </si>
  <si>
    <t>INVERSOR CFW700B13P5T4DB55C3</t>
  </si>
  <si>
    <t>INVERSOR CFW700B17P0T4DB55C3</t>
  </si>
  <si>
    <t>INVERSOR CFW700B24P0T4DB55C3</t>
  </si>
  <si>
    <t>INVERSOR CFW700B31P0T4DB55C3</t>
  </si>
  <si>
    <t>INVERSOR CFW700C38P0T4DB55C3</t>
  </si>
  <si>
    <t>INVERSOR CFW700C45P0T4DB55C3</t>
  </si>
  <si>
    <t>INVERSOR CFW700C58P5T4DB55C3</t>
  </si>
  <si>
    <t>INVERSOR CFW700D70P5T4DB55C3</t>
  </si>
  <si>
    <t>INVERSOR CFW700D88P0T4DB55C3</t>
  </si>
  <si>
    <t>INVERSOR CFW700E0105T4NB55C3</t>
  </si>
  <si>
    <t>INVERSOR CFW700E0142T4NB55C3</t>
  </si>
  <si>
    <t>INVERSOR CFW700E0180T4NB55C3</t>
  </si>
  <si>
    <t>INVERSOR CFW700E0211T4NB55C3</t>
  </si>
  <si>
    <t>INVERSOR CFW700B03P6T4DB55C3DS</t>
  </si>
  <si>
    <t>INVERSOR CFW700B05P0T4DB55C3DS</t>
  </si>
  <si>
    <t>INVERSOR CFW700B07P0T4DB55C3DS</t>
  </si>
  <si>
    <t>INVERSOR CFW700B10P0T4DB55C3DS</t>
  </si>
  <si>
    <t>INVERSOR CFW700B13P5T4DB55C3DS</t>
  </si>
  <si>
    <t>INVERSOR CFW700B17P0T4DB55C3DS</t>
  </si>
  <si>
    <t>INVERSOR CFW700B24P0T4DB55C3DS</t>
  </si>
  <si>
    <t>INVERSOR CFW700B31P0T4DB55C3DS</t>
  </si>
  <si>
    <t>INVERSOR CFW700C38P0T4DB55C3DS</t>
  </si>
  <si>
    <t>INVERSOR CFW700C45P0T4DB55C3DS</t>
  </si>
  <si>
    <t>INVERSOR CFW700C58P5T4DB55C3DS</t>
  </si>
  <si>
    <t>INVERSOR CFW700D70P5T4DB55C3DS</t>
  </si>
  <si>
    <t>INVERSOR CFW700D88P0T4DB55C3DS</t>
  </si>
  <si>
    <t>INVERSOR CFW700E0105T4NB55C3DS</t>
  </si>
  <si>
    <t>INVERSOR CFW700E0142T4NB55C3DS</t>
  </si>
  <si>
    <t>INVERSOR CFW700E0180T4NB55C3DS</t>
  </si>
  <si>
    <t>INVERSOR CFW700E0211T4NB55C3DS</t>
  </si>
  <si>
    <t>INVERSOR BRCFW110180T4ODBYZ-UI</t>
  </si>
  <si>
    <t>INVERSOR EUCFW110031T4O55FADSYZ</t>
  </si>
  <si>
    <t>INVERSOR EUCFW110017T6OYWZ</t>
  </si>
  <si>
    <t>INVERSOR EUCFW110080T6OYWZ</t>
  </si>
  <si>
    <t>INVERSOR CFW700B07P0T2DB55</t>
  </si>
  <si>
    <t>INVERSOR CFW700B10P0T2DB55</t>
  </si>
  <si>
    <t>INVERSOR CFW700B13P0T2DB55</t>
  </si>
  <si>
    <t>INVERSOR CFW700B16P0T2DB55</t>
  </si>
  <si>
    <t>INVERSOR CFW700B24P0T2DB55</t>
  </si>
  <si>
    <t>INVERSOR CFW700B28P0T2DB55</t>
  </si>
  <si>
    <t>INVERSOR CFW700B33P5T2DB55</t>
  </si>
  <si>
    <t>INVERSOR CFW700C45P0T2DB55</t>
  </si>
  <si>
    <t>INVERSOR CFW700C54P0T2DB55</t>
  </si>
  <si>
    <t>INVERSOR CFW700C70P0T2DB55</t>
  </si>
  <si>
    <t>INVERSOR CFW700D86P0T2DB55</t>
  </si>
  <si>
    <t>INVERSOR CFW700E0142T2NB55C3</t>
  </si>
  <si>
    <t>INVERSOR CFW700E0211T2NB55C3</t>
  </si>
  <si>
    <t>INVERSOR CFW700B07P0T2DB55DS</t>
  </si>
  <si>
    <t>INVERSOR CFW700B10P0T2DB55DS</t>
  </si>
  <si>
    <t>INVERSOR CFW700B13P0T2DB55DS</t>
  </si>
  <si>
    <t>INVERSOR CFW700B16P0T2DB55DS</t>
  </si>
  <si>
    <t>INVERSOR CFW700B24P0T2DB55DS</t>
  </si>
  <si>
    <t>INVERSOR CFW700B28P0T2DB55DS</t>
  </si>
  <si>
    <t>INVERSOR CFW700B33P5T2DB55DS</t>
  </si>
  <si>
    <t>INVERSOR CFW700C45P0T2DB55DS</t>
  </si>
  <si>
    <t>INVERSOR CFW700C54P0T2DB55DS</t>
  </si>
  <si>
    <t>INVERSOR CFW700C70P0T2DB55DS</t>
  </si>
  <si>
    <t>INVERSOR CFW700B03P6T4DB55</t>
  </si>
  <si>
    <t>INVERSOR CFW700B05P0T4DB55</t>
  </si>
  <si>
    <t>INVERSOR CFW700B07P0T4DB55</t>
  </si>
  <si>
    <t>INVERSOR CFW700B10P0T4DB55</t>
  </si>
  <si>
    <t>INVERSOR CFW700B13P5T4DB55</t>
  </si>
  <si>
    <t>INVERSOR CFW700B17P0T4DB55</t>
  </si>
  <si>
    <t>INVERSOR CFW700B24P0T4DB55</t>
  </si>
  <si>
    <t>INVERSOR CFW700B31P0T4DB55</t>
  </si>
  <si>
    <t>INVERSOR CFW700C38P0T4DB55</t>
  </si>
  <si>
    <t>INVERSOR CFW700C45P0T4DB55</t>
  </si>
  <si>
    <t>INVERSOR CFW700C58P5T4DB55</t>
  </si>
  <si>
    <t>INVERSOR CFW700D70P5T4DB55</t>
  </si>
  <si>
    <t>INVERSOR CFW700B03P6T4DB55DS</t>
  </si>
  <si>
    <t>INVERSOR CFW700B05P0T4DB55DS</t>
  </si>
  <si>
    <t>INVERSOR CFW700B07P0T4DB55DS</t>
  </si>
  <si>
    <t>INVERSOR CFW700B10P0T4DB55DS</t>
  </si>
  <si>
    <t>INVERSOR CFW700B13P5T4DB55DS</t>
  </si>
  <si>
    <t>INVERSOR CFW700B17P0T4DB55DS</t>
  </si>
  <si>
    <t>INVERSOR CFW700B24P0T4DB55DS</t>
  </si>
  <si>
    <t>INVERSOR CFW700B31P0T4DB55DS</t>
  </si>
  <si>
    <t>INVERSOR CFW700C38P0T4DB55DS</t>
  </si>
  <si>
    <t>INVERSOR CFW700C45P0T4DB55DS</t>
  </si>
  <si>
    <t>INVERSOR CFW700C58P5T4DB55DS</t>
  </si>
  <si>
    <t>INVERSOR CFW700D70P5T4DB55DS</t>
  </si>
  <si>
    <t>INVERSOR CFW700D88P0T4DB55DS</t>
  </si>
  <si>
    <t>INVERSOR CFW700A16P0T2DB21</t>
  </si>
  <si>
    <t>INVERSOR BRCFW110142T4OSSZ</t>
  </si>
  <si>
    <t>INVERSOR CFW700D44P0T5NBN1C3Y1HASC</t>
  </si>
  <si>
    <t>INVERSOR BRCFW110010T4OH4SPZ</t>
  </si>
  <si>
    <t>INVERSOR CFW700B28P0T2DB20HTHST</t>
  </si>
  <si>
    <t>INVERSOR CFW700C45P0T2DB20HTHST</t>
  </si>
  <si>
    <t>INVERSOR CFW700B24P0T4DB20HTHST</t>
  </si>
  <si>
    <t>INVERSOR CFW700B31P0T4DB20HTHST</t>
  </si>
  <si>
    <t>INVERSOR BRCFW110180T4ODBZ-UI</t>
  </si>
  <si>
    <t>INVERSOR SACFW110601T4ORBZ-UI</t>
  </si>
  <si>
    <t>INVERSOR SACFW110142T4ODCZ-UI</t>
  </si>
  <si>
    <t>INVERSOR SACFW110211T4ODCZ</t>
  </si>
  <si>
    <t>INVERSOR NACFW110003T4O55Z</t>
  </si>
  <si>
    <t>INVERSOR NACFW110005T4O55Z</t>
  </si>
  <si>
    <t>INVERSOR NACFW110007T4O55Z</t>
  </si>
  <si>
    <t>INVERSOR NACFW110010T4O55Z</t>
  </si>
  <si>
    <t>INVERSOR NACFW110013T4O55Z</t>
  </si>
  <si>
    <t>INVERSOR NACFW110017T4O55Z</t>
  </si>
  <si>
    <t>INVERSOR NACFW110024T4O55Z</t>
  </si>
  <si>
    <t>INVERSOR NACFW110031T4O55Z</t>
  </si>
  <si>
    <t>INVERSOR NACFW110038T4O55Z</t>
  </si>
  <si>
    <t>INVERSOR NACFW110045T4O55Z</t>
  </si>
  <si>
    <t>INVERSOR NACFW110058T4O55Z</t>
  </si>
  <si>
    <t>INVERSOR NACFW110070T4O55Z</t>
  </si>
  <si>
    <t>INVERSOR NACFW110088T4O55Z</t>
  </si>
  <si>
    <t>INVERSOR NACFW110003T4O55DSZ</t>
  </si>
  <si>
    <t>INVERSOR NACFW110005T4O55DSZ</t>
  </si>
  <si>
    <t>INVERSOR NACFW110007T4O55DSZ</t>
  </si>
  <si>
    <t>INVERSOR NACFW110010T4O55DSZ</t>
  </si>
  <si>
    <t>INVERSOR NACFW110013T4O55DSZ</t>
  </si>
  <si>
    <t>INVERSOR NACFW110017T4O55DSZ</t>
  </si>
  <si>
    <t>INVERSOR NACFW110024T4O55DSZ</t>
  </si>
  <si>
    <t>INVERSOR NACFW110031T4O55DSZ</t>
  </si>
  <si>
    <t>INVERSOR NACFW110038T4O55DSZ</t>
  </si>
  <si>
    <t>INVERSOR NACFW110045T4O55DSZ</t>
  </si>
  <si>
    <t>INVERSOR NACFW110058T4O55DSZ</t>
  </si>
  <si>
    <t>INVERSOR NACFW110070T4O55DSZ</t>
  </si>
  <si>
    <t>INVERSOR NACFW110088T4O55DSZ</t>
  </si>
  <si>
    <t>INVERSOR BRCFW110180T4OWZ-UI</t>
  </si>
  <si>
    <t>INVERSOR BRCFW110142T4OWZ-UI</t>
  </si>
  <si>
    <t>INVERSOR CFW700D88P0T4DBN1C3Y1-UI</t>
  </si>
  <si>
    <t>INVERSOR BRCFW110370T4ORBH1Z</t>
  </si>
  <si>
    <t>INVERSOR BRCFW110370T4ORBH1Z-UI</t>
  </si>
  <si>
    <t>INVERSOR EUCFW110242T4ORBZ-UI</t>
  </si>
  <si>
    <t>INVERSOR CFW701C45P0T4DB20C3Y1</t>
  </si>
  <si>
    <t>INVERSOR BRCFW110180T4ODBYWZ-UI</t>
  </si>
  <si>
    <t>INVERSOR BRCFW110027T5ONFYZ</t>
  </si>
  <si>
    <t>INVERSOR BRCFW110080T6ON1YZ</t>
  </si>
  <si>
    <t>INVERSOR CFW700E0180T4NB20C3Y1W1-UI</t>
  </si>
  <si>
    <t>INVERSOR BRCFW110211T4OWZ-UI</t>
  </si>
  <si>
    <t>INVERSOR CFW701B03P6T4DB55C3SZ</t>
  </si>
  <si>
    <t>INVERSOR CFW701B05P0T4DB55C3SZ</t>
  </si>
  <si>
    <t>INVERSOR CFW701B07P0T4DB55C3SZ</t>
  </si>
  <si>
    <t>INVERSOR CFW701B10P0T4DB55C3SZ</t>
  </si>
  <si>
    <t>INVERSOR CFW701B13P5T4DB55C3SZ</t>
  </si>
  <si>
    <t>INVERSOR CFW701B17P0T4DB55C3SZ</t>
  </si>
  <si>
    <t>INVERSOR CFW701B24P0T4DB55C3SZ</t>
  </si>
  <si>
    <t>INVERSOR CFW701B31P0T4DB55C3SZ</t>
  </si>
  <si>
    <t>INVERSOR CFW701C45P0T4DB55C3SZ</t>
  </si>
  <si>
    <t>INVERSOR CFW700E0107T5NB20C3Y1HASC</t>
  </si>
  <si>
    <t>INVERSOR CFW700C70P0T2DBHIR</t>
  </si>
  <si>
    <t>INVERSOR CFW700D0105T2DBN1HIR</t>
  </si>
  <si>
    <t>INVERSOR CFW700E0211T2DB20C3HIR</t>
  </si>
  <si>
    <t>INVERSOR CFW700D32P0T5NBN1C3Y1HASC</t>
  </si>
  <si>
    <t>INVERSOR BRCFW110058T4OFAYZ</t>
  </si>
  <si>
    <t>INVERSOR BRCFW110142T4OYSGZ</t>
  </si>
  <si>
    <t>INVERSOR BRCFW110180T4OYSGZ</t>
  </si>
  <si>
    <t>INVERSOR BRCFW110211T4OYSGZ</t>
  </si>
  <si>
    <t>INVERSOR CFW700B24P0T4DB20C3Y1W1</t>
  </si>
  <si>
    <t>INVERSOR BRCFW110477T4ORBWZ-UI</t>
  </si>
  <si>
    <t>INVERSOR CFW700A03P6T4DB20C3Y1W1</t>
  </si>
  <si>
    <t>INVERSOR BRCFW110211T4ODB55Z</t>
  </si>
  <si>
    <t>INVERSOR CFW700A07P0T4DB20C3Y1W1</t>
  </si>
  <si>
    <t>INVERSOR BRCFW110028T2O55FAZ</t>
  </si>
  <si>
    <t>INVERSOR BRCFW110033T2O55FAZ</t>
  </si>
  <si>
    <t>INVERSOR BRCFW110024T2O55FAZ</t>
  </si>
  <si>
    <t>INVERSOR BRCFW110010T4O55FAZ</t>
  </si>
  <si>
    <t>INVERSOR BRCFW110013T4O55FAZ</t>
  </si>
  <si>
    <t>INVERSOR BRCFW110024T4O55FAZ</t>
  </si>
  <si>
    <t>INVERSOR BRCFW110031T4O55FAZ</t>
  </si>
  <si>
    <t>INVERSOR CFW700B28P0T2DB20HOTSO</t>
  </si>
  <si>
    <t>INVERSOR CFW700C45P0T2DB20HOTSO</t>
  </si>
  <si>
    <t>INVERSOR CFW700B24P0T4DB20HOTSO</t>
  </si>
  <si>
    <t>INVERSOR CFW700B31P0T4DB20HOTSO</t>
  </si>
  <si>
    <t>INVERSOR BRCFW110070T4OSFZ</t>
  </si>
  <si>
    <t>INVERSOR BRCFW110105T4OSFZ</t>
  </si>
  <si>
    <t>INVERSOR BRCFW110142T4OSFZ</t>
  </si>
  <si>
    <t>INVERSOR CFW700A13P5T4DB20C3W1</t>
  </si>
  <si>
    <t>INVERSOR BRCFW110058T4OSSZ</t>
  </si>
  <si>
    <t>INVERSOR BRCFW110105T4OSSZ</t>
  </si>
  <si>
    <t>INVERSOR BRCFW110070T4OSFZ-UI</t>
  </si>
  <si>
    <t>INVERSOR BRCFW110013T4OSIZ</t>
  </si>
  <si>
    <t>INVERSOR BRCFW110088T4OSIZ</t>
  </si>
  <si>
    <t>INVERSOR CFW700E0142T2NB20C3-UI</t>
  </si>
  <si>
    <t>INVERSOR BRCFW110105T4OSFZ-UI</t>
  </si>
  <si>
    <t>INVERSOR BRCFW110105T4ODBZ-UI</t>
  </si>
  <si>
    <t>INVERSOR CFW700D86P0T2DBN1HIR</t>
  </si>
  <si>
    <t>INVERSOR BRCFW110142T4ODCZ</t>
  </si>
  <si>
    <t>INVERSOR CFW700B10P0T4DB55C3Y1</t>
  </si>
  <si>
    <t>INVERSOR EUCFW110142T4OYZ-UI</t>
  </si>
  <si>
    <t>INVERSOR BRCFW110088T4OFAYZ-UI</t>
  </si>
  <si>
    <t>INVERSOR EUCFW110017T5OYHXZ</t>
  </si>
  <si>
    <t>INVERSOR BRCFW110211T4OSSZ</t>
  </si>
  <si>
    <t>INVERSOR CFW701C58P5T4DB20C3Y1</t>
  </si>
  <si>
    <t>INVERSOR BRCFW110024T4OFASSZ</t>
  </si>
  <si>
    <t>INVERSOR BRCFW110017T4OFASSZ</t>
  </si>
  <si>
    <t>INVERSOR NACFW110105T4O55DSZ</t>
  </si>
  <si>
    <t>INVERSOR NACFW110142T2O55DSZ</t>
  </si>
  <si>
    <t>INVERSOR NACFW110180T2O55DSZ</t>
  </si>
  <si>
    <t>INVERSOR NACFW110211T2O55DSZ</t>
  </si>
  <si>
    <t>INVERSOR NACFW110142T4O55DSZ</t>
  </si>
  <si>
    <t>INVERSOR NACFW110180T4O55DSZ</t>
  </si>
  <si>
    <t>INVERSOR NACFW110211T4O55DSZ</t>
  </si>
  <si>
    <t>INVERSOR CFW700D88P0T4DB21</t>
  </si>
  <si>
    <t>INVERSOR CFW700E63P0T5NB20C3Y1HASC</t>
  </si>
  <si>
    <t>INVERSOR BRCFW110877T4ORBZ-UI</t>
  </si>
  <si>
    <t>INVERSOR CFW700B33P5T2DB20HOTSO</t>
  </si>
  <si>
    <t>INVERSOR BRCFW110070T4OFAYH8SKZ</t>
  </si>
  <si>
    <t>INVERSOR BRCFW110088T4OFAYH8SKZ</t>
  </si>
  <si>
    <t>INVERSOR BRCFW110013T4OFAYWHMSJZ</t>
  </si>
  <si>
    <t>INVERSOR NACFW110211T4ODBYWZ</t>
  </si>
  <si>
    <t>INVERSOR NACFW110070T4OFAYWZ</t>
  </si>
  <si>
    <t>INVERSOR NACFW110017T4OFAYWZ</t>
  </si>
  <si>
    <t>INVERSOR NACFW110005T4OFAYWZ</t>
  </si>
  <si>
    <t>INVERSOR NACFW110003T4OFAYWZ</t>
  </si>
  <si>
    <t>INVERSOR BRCFW110142T4OYWZ-UI</t>
  </si>
  <si>
    <t>INVERSOR BRCFW110720T4ORBH1Z</t>
  </si>
  <si>
    <t>INVERSOR BRCFW110720T4ORBH1Z-UI</t>
  </si>
  <si>
    <t>INVERSOR BRCFW110105T4ORBZ</t>
  </si>
  <si>
    <t>INVERSOR BRCFW110105T4ORBZ-UI</t>
  </si>
  <si>
    <t>INVERSOR BRCFW110211T4OSWZ-UI</t>
  </si>
  <si>
    <t>INVERSOR BRCFW110515T4ORBZ-UI</t>
  </si>
  <si>
    <t>INVERSOR EUCFW110031T4O55FAYZ</t>
  </si>
  <si>
    <t>INVERSOR EUCFW110058T4O55FAYZ</t>
  </si>
  <si>
    <t>INVERSOR EUCFW110088T4O55FAYZ</t>
  </si>
  <si>
    <t>INVERSOR EUCFW110211T4O55YZ</t>
  </si>
  <si>
    <t>INVERSOR EUCFW110032T5OYHXZ</t>
  </si>
  <si>
    <t>INVERSOR BRCFW110010T4OYWSIZ</t>
  </si>
  <si>
    <t>INVERSOR BRCFW110024T4OYWSIZ</t>
  </si>
  <si>
    <t>INVERSOR BRCFW110017T4OYWSIZ</t>
  </si>
  <si>
    <t>INVERSOR BRCFW110058T4OYWSIZ</t>
  </si>
  <si>
    <t>INVERSOR BRCFW110142T4OYWSIZ</t>
  </si>
  <si>
    <t>INVERSOR BRCFW110031T4OYWSIZ</t>
  </si>
  <si>
    <t>INVERSOR BRCFW110007T2OYWSIZ</t>
  </si>
  <si>
    <t>INVERSOR CFW700E0150T5NB20C3Y1HASC</t>
  </si>
  <si>
    <t>INVERSOR EUCFW110150T6OYHASCZ</t>
  </si>
  <si>
    <t>INVERSOR BRCFW110024T4OFAH4Z</t>
  </si>
  <si>
    <t>INVERSOR BRCFW110045T4OFAH4Z</t>
  </si>
  <si>
    <t>INVERSOR BRCFW110031T4OFAH4Z</t>
  </si>
  <si>
    <t>INVERSOR EUCFW110045T4OFAYHXZ</t>
  </si>
  <si>
    <t>INVERSOR BRCFW110180T4OYWSIZ-UI</t>
  </si>
  <si>
    <t>INVERSOR BRCFW110088T4O55YZ</t>
  </si>
  <si>
    <t>INVERSOR BRCFW110007T2OSSZ</t>
  </si>
  <si>
    <t>INVERSOR BRCFW110070T4OSSZ</t>
  </si>
  <si>
    <t>INVERSOR EUCFW110003T4O55FAYZ</t>
  </si>
  <si>
    <t>INVERSOR EUCFW110017T4O55FAYZ</t>
  </si>
  <si>
    <t>INVERSOR EUCFW110038T4O55FAYZ</t>
  </si>
  <si>
    <t>INVERSOR EUCFW110105T4O55YZ</t>
  </si>
  <si>
    <t>INVERSOR EUCFW110142T4O55YZ</t>
  </si>
  <si>
    <t>INVERSOR BRCFW110013T4OYWSIZ</t>
  </si>
  <si>
    <t>INVERSOR BRCFW110211T4OWSWZ-UI</t>
  </si>
  <si>
    <t>INVERSOR BRCFW110105T4OWSWZ-UI</t>
  </si>
  <si>
    <t>INVERSOR BRCFW110006B2OYZ</t>
  </si>
  <si>
    <t>INVERSOR BRCFW110515T4ORBWH1Z-UI</t>
  </si>
  <si>
    <t>INVERSOR BRCFW110031T4OSSZ</t>
  </si>
  <si>
    <t>INVERSOR CFW701D70P5T4DBN1C3Y1</t>
  </si>
  <si>
    <t>INVERSOR EUCFW110105T4OYZ-UI</t>
  </si>
  <si>
    <t>INVERSOR CFW500F77P0T4DB20</t>
  </si>
  <si>
    <t>INVERSOR CFW500F77P0T4DB20C3</t>
  </si>
  <si>
    <t>INVERSOR CFW500F88P0T4DB20</t>
  </si>
  <si>
    <t>INVERSOR CFW500F0105T4DB20</t>
  </si>
  <si>
    <t>INVERSOR BRCFW110180T4ON1Z</t>
  </si>
  <si>
    <t>INVERSOR CFW701E0142T4NB20C3Y1</t>
  </si>
  <si>
    <t>INVERSOR CFW700E0226T4NB20C3Y1HINS1-UI</t>
  </si>
  <si>
    <t>INVERSOR BRCFW110070T2O55FASSZ</t>
  </si>
  <si>
    <t>INVERSOR BRCFW110033T2O55FASSZ</t>
  </si>
  <si>
    <t>INVERSOR BRCFW110142T2O55SSZ</t>
  </si>
  <si>
    <t>INVERSOR BRCFW110211T4OECZ</t>
  </si>
  <si>
    <t>INVERSOR BRCFW110031T4OYSSZ</t>
  </si>
  <si>
    <t>INVERSOR BRCFW110013T4OFAH4Z</t>
  </si>
  <si>
    <t>INVERSOR BRCFW110211T4OYWSIZ-UI</t>
  </si>
  <si>
    <t>INVERSOR EUCFW110017T4O55FADSYWZ</t>
  </si>
  <si>
    <t>INVERSOR BRCFW110211T4OWH2SDZ-UI</t>
  </si>
  <si>
    <t>INVERSOR EUCFW110107T6OYZ-UI</t>
  </si>
  <si>
    <t>INVERSOR BRCFW110088T4OHALS9Z-UI</t>
  </si>
  <si>
    <t>INVERSOR EUCFW110002T6OYWZ</t>
  </si>
  <si>
    <t>INVERSOR EUCFW110007T6OYWZ</t>
  </si>
  <si>
    <t>INVERSOR EUCFW110012T6OYWZ</t>
  </si>
  <si>
    <t>INVERSOR EUCFW110022T6OYWZ</t>
  </si>
  <si>
    <t>INVERSOR EUCFW110027T6OYWZ</t>
  </si>
  <si>
    <t>INVERSOR EUCFW110044T6OYWZ</t>
  </si>
  <si>
    <t>INVERSOR EUCFW110053T6OYWZ</t>
  </si>
  <si>
    <t>INVERSOR EUCFW110053T6OYWZ-UI</t>
  </si>
  <si>
    <t>INVERSOR SACFW110080T6ORBYZ</t>
  </si>
  <si>
    <t>INVERSOR SACFW110080T6ONBYDCZ</t>
  </si>
  <si>
    <t>INVERSOR CFW110211T4ODBH1ALS9Z</t>
  </si>
  <si>
    <t>INVERSOR BRCFW110088T4OSSZ</t>
  </si>
  <si>
    <t>INVERSOR BRCFW110024T2OFAECZ</t>
  </si>
  <si>
    <t>INVERSOR BRCFW110033T2OFAECZ</t>
  </si>
  <si>
    <t>INVERSOR BRCFW110070T2OFAECZ</t>
  </si>
  <si>
    <t>INVERSOR BRCFW110105T2OFAECZ</t>
  </si>
  <si>
    <t>INVERSOR BRCFW110180T2OECZ</t>
  </si>
  <si>
    <t>INVERSOR BRCFW110142T2OECZ</t>
  </si>
  <si>
    <t>INVERSOR BRCFW110142T4OECZ</t>
  </si>
  <si>
    <t>INVERSOR BRCFW110054T2OFAECZ</t>
  </si>
  <si>
    <t>INVERSOR BRCFW110086T2OFAECZ</t>
  </si>
  <si>
    <t>INVERSOR BRCFW110058T4OFAECZ</t>
  </si>
  <si>
    <t>INVERSOR BRCFW110017T4OFAECZ</t>
  </si>
  <si>
    <t>INVERSOR BRCFW110038T4OFAECZ</t>
  </si>
  <si>
    <t>INVERSOR BRCFW110088T4OFAECZ</t>
  </si>
  <si>
    <t>INVERSOR BRCFW110180T4ODBECZ</t>
  </si>
  <si>
    <t>INVERSOR CFW701D88P0T4DB55C3Y1DS</t>
  </si>
  <si>
    <t>INVERSOR BRCFW110070T4O55ECZ</t>
  </si>
  <si>
    <t>INVERSOR CFW700E0142T2DB20H1ACS1</t>
  </si>
  <si>
    <t>INVERSOR CFW700E0142T4DB20H1ACS1</t>
  </si>
  <si>
    <t>INVERSOR BRCFW110017T4OYSIZ</t>
  </si>
  <si>
    <t>INVERSOR MPW090024T3848G2Z</t>
  </si>
  <si>
    <t>095</t>
  </si>
  <si>
    <t>LINHA P4</t>
  </si>
  <si>
    <t>INVERSOR MPW090045T3848G2Z</t>
  </si>
  <si>
    <t>INVERSOR MSCFW110070T4OFAZ-UI</t>
  </si>
  <si>
    <t>INVERSOR CFW701A07P0T2DB20C3W1</t>
  </si>
  <si>
    <t>INVERSOR BRCFW110058T4OYSKZ</t>
  </si>
  <si>
    <t>INVERSOR MSCFW110211T4ORBWSQZ</t>
  </si>
  <si>
    <t>INVERSOR MSCFW110370T4ORBWSQZ</t>
  </si>
  <si>
    <t>INVERSOR EUCFW110088T4OFAYWZ-UI</t>
  </si>
  <si>
    <t>INVERSOR EUCFW110105T4OYWZ-UI</t>
  </si>
  <si>
    <t>INVERSOR CFW500F77P0T4DB20H00</t>
  </si>
  <si>
    <t>INVERSOR CFW500F77P0T4DB20C3H00</t>
  </si>
  <si>
    <t>INVERSOR CFW500F88P0T4DB20H00</t>
  </si>
  <si>
    <t>INVERSOR CFW500F0105T4DB20H00</t>
  </si>
  <si>
    <t>INVERSOR EUCFW110107T6OYWZ-UI</t>
  </si>
  <si>
    <t>INVERSOR CFW700E0180T4NB55C3Y1</t>
  </si>
  <si>
    <t>INVERSOR MSCFW110211T4OWH2DCZ-UI</t>
  </si>
  <si>
    <t>INVERSOR CFW700E0180T4DB55C3DS</t>
  </si>
  <si>
    <t>INVERSOR CFW700E0105T4DB55C3DS</t>
  </si>
  <si>
    <t>INVERSOR EUCFW110211T4OYWZ-UI</t>
  </si>
  <si>
    <t>INVERSOR BRCFW110045T4OFAYWZ</t>
  </si>
  <si>
    <t>INVERSOR EUCFW110010T4OFAYWSUZ</t>
  </si>
  <si>
    <t>INVERSOR EUCFW110013T4OFAYWSUZ</t>
  </si>
  <si>
    <t>INVERSOR EUCFW110017T4OFAYWSUZ</t>
  </si>
  <si>
    <t>INVERSOR EUCFW110024T4OFAYWSUZ</t>
  </si>
  <si>
    <t>INVERSOR EUCFW110038T4OFAYWSUZ</t>
  </si>
  <si>
    <t>INVERSOR EUCFW110045T4OFAYWSUZ</t>
  </si>
  <si>
    <t>INVERSOR EUCFW110058T4OFAYWSUZ</t>
  </si>
  <si>
    <t>INVERSOR EUCFW110070T4OFAYWSUZ-UI</t>
  </si>
  <si>
    <t>INVERSOR EUCFW110088T4OFAYWSUZ-UI</t>
  </si>
  <si>
    <t>INVERSOR EUCFW110105T4OYWSUZ-UI</t>
  </si>
  <si>
    <t>INVERSOR BRCFW110045T4OFAYZ</t>
  </si>
  <si>
    <t>INVERSOR CFW900E0195T2DB20Y2B</t>
  </si>
  <si>
    <t>INVERSOR CFW900E0250T2DB20Y2B</t>
  </si>
  <si>
    <t>INVERSOR CFW900E0203T4DB20Y2B</t>
  </si>
  <si>
    <t>INVERSOR CFW900E0242T4DB20Y2B</t>
  </si>
  <si>
    <t>INVERSOR CFW700E0142T4DB55C3DS</t>
  </si>
  <si>
    <t>INVERSOR CFW700E0211T4DB55C3DS</t>
  </si>
  <si>
    <t>INVERSOR BRCFW110250T4OYHBT1Z</t>
  </si>
  <si>
    <t>INVERSOR CFW900E0195T2NB20Y2B</t>
  </si>
  <si>
    <t>INVERSOR CFW900E0250T2NB20Y2B</t>
  </si>
  <si>
    <t>INVERSOR CFW900E0203T4NB20Y2B</t>
  </si>
  <si>
    <t>INVERSOR CFW900E0242T4NB20Y2B</t>
  </si>
  <si>
    <t>INVERSOR BRCFW110226T4OYHBT1Z</t>
  </si>
  <si>
    <t>INVERSOR BRCFW110045T4O55ECZ</t>
  </si>
  <si>
    <t>INVERSOR MSCFW110003T4OWZ</t>
  </si>
  <si>
    <t>INVERSOR MSCFW110005T4OWZ</t>
  </si>
  <si>
    <t>INVERSOR MSCFW110010T4OWZ</t>
  </si>
  <si>
    <t>INVERSOR MSCFW110038T4OWZ</t>
  </si>
  <si>
    <t>INVERSOR MSCFW110070T4OWZ</t>
  </si>
  <si>
    <t>INVERSOR MSCFW110211T4OWZ</t>
  </si>
  <si>
    <t>INVERSOR BRCFW110211T4OYWZ-UI</t>
  </si>
  <si>
    <t>INVERSOR BRCFW110088T4OYWZ-UI</t>
  </si>
  <si>
    <t>INVERSOR BRCFW110105T4OYWZ-UI</t>
  </si>
  <si>
    <t>INVERSOR EUCFW110211T4OYWSUZ-UI</t>
  </si>
  <si>
    <t>INVERSOR BRCFW110180T2OYZ-UI</t>
  </si>
  <si>
    <t>INVERSOR BRCFW110289T6ORBT3ECZ</t>
  </si>
  <si>
    <t>INVERSOR BRCFW110070T4OFAWZ-UI</t>
  </si>
  <si>
    <t>INVERSOR BRCFW110088T4OFAWZ-UI</t>
  </si>
  <si>
    <t>INVERSOR BRCFW110105T4OWZ-UI</t>
  </si>
  <si>
    <t>INVERSOR BRCFW110142T2O55ECZ</t>
  </si>
  <si>
    <t>INVERSOR BRCFW110088T4OFAYWZ-UI</t>
  </si>
  <si>
    <t>INVERSOR BRCFW110180T4OECZ</t>
  </si>
  <si>
    <t>INVERSOR BRCFW110289T6ORBT3ECZ-UI</t>
  </si>
  <si>
    <t>INVERSOR BRCFW110070T2O55FADSECZ</t>
  </si>
  <si>
    <t>INVERSOR BRCFW110038T4O55FADSECZ</t>
  </si>
  <si>
    <t>INVERSOR BRCFW110086T2O55FADSECZ</t>
  </si>
  <si>
    <t>INVERSOR BRCFW110105T2O55FADSECZ</t>
  </si>
  <si>
    <t>INVERSOR CFW500G0142T4DB20C3G2</t>
  </si>
  <si>
    <t>INVERSOR CFW500G0180T4DB20C3G2</t>
  </si>
  <si>
    <t>INVERSOR CFW500G0211T4DB20C3G2</t>
  </si>
  <si>
    <t>INVERSOR CFW500G0142T4DB20C3H00G2</t>
  </si>
  <si>
    <t>INVERSOR CFW500G0180T4DB20C3H00G2</t>
  </si>
  <si>
    <t>INVERSOR CFW500G0211T4DB20C3H00G2</t>
  </si>
  <si>
    <t>INVERSOR CFW500G0142T4NB20C3G2</t>
  </si>
  <si>
    <t>INVERSOR CFW500G0180T4NB20C3G2</t>
  </si>
  <si>
    <t>INVERSOR CFW500G0211T4NB20C3G2</t>
  </si>
  <si>
    <t>INVERSOR CFW500G0142T4NB20C3H00G2</t>
  </si>
  <si>
    <t>INVERSOR CFW500G0180T4NB20C3H00G2</t>
  </si>
  <si>
    <t>INVERSOR CFW500G0211T4NB20C3H00G2</t>
  </si>
  <si>
    <t>INVERSOR BRCFW110142T4OECZ-UI</t>
  </si>
  <si>
    <t>INVERSOR EUCFW110005T4OFAYWSUZ</t>
  </si>
  <si>
    <t>INVERSOR BRCFW110211T4OECZ-UI</t>
  </si>
  <si>
    <t>INVERSOR BRCFW110070T4OFAYWZ-UI</t>
  </si>
  <si>
    <t>INVERSOR EUCFW110312T4ORBZ</t>
  </si>
  <si>
    <t>INVERSOR EUCFW110312T4ORBZ-UI</t>
  </si>
  <si>
    <t>INVERSOR BRCFW110031T4OWHALS9Z</t>
  </si>
  <si>
    <t>INVERSOR BRCFW110058T4OWHALS9Z</t>
  </si>
  <si>
    <t>INVERSOR BRCFW110070T4OWHALS9Z</t>
  </si>
  <si>
    <t>INVERSOR BRCFW110088T4OWHALS9Z</t>
  </si>
  <si>
    <t>INVERSOR BRCFW110142T4OWHALS9Z</t>
  </si>
  <si>
    <t>INVERSOR BRCFW110180T4OWH2ALS9Z</t>
  </si>
  <si>
    <t>INVERSOR BRCFW110024T4OWHALS9Z</t>
  </si>
  <si>
    <t>INVERSOR BRCFW110070T4OWHALS9Z-UI</t>
  </si>
  <si>
    <t>INVERSOR BRCFW110088T4OWHALS9Z-UI</t>
  </si>
  <si>
    <t>INVERSOR BRCFW110142T4OWHALS9Z-UI</t>
  </si>
  <si>
    <t>INVERSOR BRCFW110180T4OWH2ALS9Z-UI</t>
  </si>
  <si>
    <t>INVERSOR EUCFW110180T4ON1TVZ</t>
  </si>
  <si>
    <t>INVERSOR BRCFW110024T4OHALS9Z</t>
  </si>
  <si>
    <t>INVERSOR BRCFW110031T4OHALS9Z</t>
  </si>
  <si>
    <t>INVERSOR BRCFW110058T4OHALS9Z</t>
  </si>
  <si>
    <t>INVERSOR BRCFW110070T4OHALS9Z</t>
  </si>
  <si>
    <t>INVERSOR BRCFW110142T4OHALS9Z</t>
  </si>
  <si>
    <t>INVERSOR BRCFW110180T4OH2ALS9Z</t>
  </si>
  <si>
    <t>INVERSOR BRCFW110211T4OH2ALS9Z</t>
  </si>
  <si>
    <t>INVERSOR BRCFW110180T4OH2ALS9Z-UI</t>
  </si>
  <si>
    <t>INVERSOR BRCFW110070T4OFAH4SPZ</t>
  </si>
  <si>
    <t>INVERSOR BRCFW110070T4OHALS9Z-UI</t>
  </si>
  <si>
    <t>INVERSOR BRCFW110142T4OHALS9Z-UI</t>
  </si>
  <si>
    <t>INVERSOR BRCFW110211T4OH2ALS9Z-UI</t>
  </si>
  <si>
    <t>INVERSOR BRCFW110088T4OWECZ</t>
  </si>
  <si>
    <t>INVERSOR MPW090016T3848G2Z</t>
  </si>
  <si>
    <t>INVERSOR MPW090030T3848G2Z</t>
  </si>
  <si>
    <t>INVERSOR BRCFW110038T4OWECZ</t>
  </si>
  <si>
    <t>INVERSOR MPW090024T2223G2Z</t>
  </si>
  <si>
    <t>INVERSOR MPW090028T2223G2Z</t>
  </si>
  <si>
    <t>INVERSOR MPW090033T2223G2Z</t>
  </si>
  <si>
    <t>INVERSOR MPW090045T2223G2Z</t>
  </si>
  <si>
    <t>INVERSOR MPW090060T3848G2Z</t>
  </si>
  <si>
    <t>INVERSOR MPW090086T3848G2Z</t>
  </si>
  <si>
    <t>INVERSOR MPW090142T3848G2H1Z</t>
  </si>
  <si>
    <t>INVERSOR BRCFW110180T4O55DSSMZ</t>
  </si>
  <si>
    <t>INVERSOR CFW500F77P0T4DB20H01SA</t>
  </si>
  <si>
    <t>INVERSOR CFW500F77P0T2DB20G2</t>
  </si>
  <si>
    <t>INVERSOR CFW500F77P0T2DB20C3G2</t>
  </si>
  <si>
    <t>INVERSOR CFW500F77P0T2DB20C3H00G2</t>
  </si>
  <si>
    <t>INVERSOR CFW500F77P0T2DB20H00G2</t>
  </si>
  <si>
    <t>INVERSOR CFW500F77P0T2DB20H01SA</t>
  </si>
  <si>
    <t>INVERSOR CFW500F88P0T2DB20G2</t>
  </si>
  <si>
    <t>INVERSOR CFW500F88P0T2DB20C3G2</t>
  </si>
  <si>
    <t>INVERSOR CFW500F88P0T2DB20C3H00G2</t>
  </si>
  <si>
    <t>INVERSOR CFW500F88P0T2DB20H00G2</t>
  </si>
  <si>
    <t>INVERSOR CFW500F88P0T2DB20H01SA</t>
  </si>
  <si>
    <t>INVERSOR CFW500F0105T2DB20G2</t>
  </si>
  <si>
    <t>INVERSOR CFW500F0105T2DB20C3G2</t>
  </si>
  <si>
    <t>INVERSOR CFW500F0105T2DB20C3H00G2</t>
  </si>
  <si>
    <t>INVERSOR CFW500F0105T2DB20H00G2</t>
  </si>
  <si>
    <t>INVERSOR CFW500F0105T2DB20H01SA</t>
  </si>
  <si>
    <t>INVERSOR BRCFW110180T4ODBWZ-UI</t>
  </si>
  <si>
    <t>INVERSOR BRCFW110142T4ODBH4SPZ</t>
  </si>
  <si>
    <t>INVERSOR MPW090060T3848G2H1Z</t>
  </si>
  <si>
    <t>INVERSOR MPW090086T3848G2H1Z</t>
  </si>
  <si>
    <t>101</t>
  </si>
  <si>
    <t>PROD. EM LPS/LP</t>
  </si>
  <si>
    <t>INVERSOR MPW090045T3848G2H1Z</t>
  </si>
  <si>
    <t>INVERSOR BRCFW110002T6OYHSZ</t>
  </si>
  <si>
    <t>INVERSOR BRCFW110004T6OYHSZ</t>
  </si>
  <si>
    <t>INVERSOR BRCFW110007T6OYHSZ</t>
  </si>
  <si>
    <t>INVERSOR BRCFW110010T6OYHSZ</t>
  </si>
  <si>
    <t>INVERSOR BRCFW110012T6OYHSZ</t>
  </si>
  <si>
    <t>INVERSOR BRCFW110017T6OYHSZ</t>
  </si>
  <si>
    <t>INVERSOR BRCFW110022T6OYHSZ</t>
  </si>
  <si>
    <t>INVERSOR BRCFW110027T6OYHSZ</t>
  </si>
  <si>
    <t>INVERSOR BRCFW110032T6OYHSZ</t>
  </si>
  <si>
    <t>INVERSOR BRCFW110044T6OYHSZ</t>
  </si>
  <si>
    <t>INVERSOR BRCFW110010S2OYZ</t>
  </si>
  <si>
    <t>INVERSOR MSCFW110312T4ORBWSQZ</t>
  </si>
  <si>
    <t>INVERSOR EUCFW110242T4ORBSQZ</t>
  </si>
  <si>
    <t>INVERSOR BRCFW110211T4ORBH2SQECZ</t>
  </si>
  <si>
    <t>INVERSOR BRCFW110477T4ORBH1SQECZ</t>
  </si>
  <si>
    <t>INVERSOR CFW900C56P0T2DB20Y2B</t>
  </si>
  <si>
    <t>INVERSOR CFW900C70P0T2DB20Y2B</t>
  </si>
  <si>
    <t>INVERSOR CFW900C80P0T2DB20Y2B</t>
  </si>
  <si>
    <t>INVERSOR CFW900C50P0T4DB20Y2B</t>
  </si>
  <si>
    <t>INVERSOR CFW900C62P0T4DB20Y2B</t>
  </si>
  <si>
    <t>INVERSOR CFW900C74P0T4DB20Y2B</t>
  </si>
  <si>
    <t>INVERSOR BRCFW110211T4OH2DCECZ</t>
  </si>
  <si>
    <t>INVERSOR BRCFW110045T2OWZ</t>
  </si>
  <si>
    <t>INVERSOR EUCFW110242T4ORBSQZ-UI</t>
  </si>
  <si>
    <t>INVERSOR MSCFW110312T4ORBWSQZ-UI</t>
  </si>
  <si>
    <t>INVERSOR BRCFW110105T4ODCZ</t>
  </si>
  <si>
    <t>INVERSOR EUCFW110142T4OYWSUZ</t>
  </si>
  <si>
    <t>INVERSOR BRCFW110211T4OYT1Z</t>
  </si>
  <si>
    <t>INVERSOR BRCFW110760T4ORBH1SQECZ</t>
  </si>
  <si>
    <t>INVERSOR BRCFW110142T4ODBSSZ</t>
  </si>
  <si>
    <t>INVERSOR CFW500G0142T4DB20G2</t>
  </si>
  <si>
    <t>INVERSOR CFW500G0180T4DB20G2</t>
  </si>
  <si>
    <t>INVERSOR CFW500G0211T4DB20G2</t>
  </si>
  <si>
    <t>INVERSOR CFW500G0142T4DB20H00G2</t>
  </si>
  <si>
    <t>INVERSOR CFW500G0180T4DB20H00G2</t>
  </si>
  <si>
    <t>INVERSOR CFW500G0211T4DB20H00G2</t>
  </si>
  <si>
    <t>INVERSOR CFW500G0142T4NB20G2</t>
  </si>
  <si>
    <t>INVERSOR CFW500G0180T4NB20G2</t>
  </si>
  <si>
    <t>INVERSOR CFW500G0211T4NB20G2</t>
  </si>
  <si>
    <t>INVERSOR CFW500G0142T4NB20H00G2</t>
  </si>
  <si>
    <t>INVERSOR CFW500G0180T4NB20H00G2</t>
  </si>
  <si>
    <t>INVERSOR CFW500G0211T4NB20H00G2</t>
  </si>
  <si>
    <t>INVERSOR NACFW110105T4OHALSTZ</t>
  </si>
  <si>
    <t>INVERSOR BRCFW110211T4ORBH2SQECZ-UI</t>
  </si>
  <si>
    <t>INVERSOR EUCFW110142T4OYWSUZ-UI</t>
  </si>
  <si>
    <t>INVERSOR BRCFW110211T4OH2DCECZ-UI</t>
  </si>
  <si>
    <t>INVERSOR BRCFW110477T4ORBH1SQECZ-UI</t>
  </si>
  <si>
    <t>INVERSOR BRCFW110760T4ORBH1SQECZ-UI</t>
  </si>
  <si>
    <t>INVERSOR EUCFW110007T4OFAYSUZ</t>
  </si>
  <si>
    <t>INVERSOR BRCFW110013T4OFAYZ</t>
  </si>
  <si>
    <t>INVERSOR CFW700D86P0T2DBN1Y1-UI</t>
  </si>
  <si>
    <t>INVERSOR BRCFW110142T2ORBZ</t>
  </si>
  <si>
    <t>INVERSOR BRCFW110013T4OECZ</t>
  </si>
  <si>
    <t>INVERSOR BRCFW110054T2OFAYZ</t>
  </si>
  <si>
    <t>INVERSOR CFW500F77P0T2DB20H03SDG2</t>
  </si>
  <si>
    <t>INVERSOR CFW500F88P0T2DB20H03SDG2</t>
  </si>
  <si>
    <t>INVERSOR CFW500F0105T2DB20H03SDG2</t>
  </si>
  <si>
    <t>INVERSOR CFW500F77P0T4DB20H03SDG2</t>
  </si>
  <si>
    <t>INVERSOR CFW500F88P0T4DB20H03SDG2</t>
  </si>
  <si>
    <t>INVERSOR CFW500F0105T4DB20H03SDG2</t>
  </si>
  <si>
    <t>INVERSOR CFW500G0142T4NB20H03SDG2</t>
  </si>
  <si>
    <t>INVERSOR CFW500G0180T4NB20H03SDG2</t>
  </si>
  <si>
    <t>INVERSOR CFW500G0211T4NB20H03SDG2</t>
  </si>
  <si>
    <t>INVERSOR BRCFW110211T2ODBYZ</t>
  </si>
  <si>
    <t>INVERSOR BRCFW110211T2ODBYZ-UI</t>
  </si>
  <si>
    <t>INVERSOR MSCFW110105T4ODBYHALS9Z</t>
  </si>
  <si>
    <t>INVERSOR BRCFW110045T4OHALS9Z</t>
  </si>
  <si>
    <t>INVERSOR CFW700C58P5T4DB55C3Y1</t>
  </si>
  <si>
    <t>INVERSOR CFW500F77P0T4DB20ECG2</t>
  </si>
  <si>
    <t>INVERSOR CFW500F88P0T4DB20ECG2</t>
  </si>
  <si>
    <t>INVERSOR CFW500F0105T4DB20ECG2</t>
  </si>
  <si>
    <t>INVERSOR BRCFW110010T2OYZ</t>
  </si>
  <si>
    <t>INVERSOR MSCFW110250T4OHBT1Z</t>
  </si>
  <si>
    <t>INVERSOR CFW500G0145T2DB20C3G2</t>
  </si>
  <si>
    <t>INVERSOR CFW500G0180T2DB20C3G2</t>
  </si>
  <si>
    <t>INVERSOR CFW500G0211T2DB20C3G2</t>
  </si>
  <si>
    <t>INVERSOR CFW500G0145T2DB20C3H00G2</t>
  </si>
  <si>
    <t>INVERSOR CFW500G0180T2DB20C3H00G2</t>
  </si>
  <si>
    <t>INVERSOR CFW500G0211T2DB20C3H00G2</t>
  </si>
  <si>
    <t>INVERSOR CFW500G0145T2NB20C3G2</t>
  </si>
  <si>
    <t>INVERSOR CFW500G0180T2NB20C3G2</t>
  </si>
  <si>
    <t>INVERSOR CFW500G0211T2NB20C3G2</t>
  </si>
  <si>
    <t>INVERSOR CFW500G0145T2NB20C3H00G2</t>
  </si>
  <si>
    <t>INVERSOR CFW500G0180T2NB20C3H00G2</t>
  </si>
  <si>
    <t>INVERSOR CFW500G0211T2NB20C3H00G2</t>
  </si>
  <si>
    <t>INVERSOR CFW500G0145T2DB20G2</t>
  </si>
  <si>
    <t>INVERSOR CFW500G0180T2DB20G2</t>
  </si>
  <si>
    <t>INVERSOR CFW500G0211T2DB20G2</t>
  </si>
  <si>
    <t>INVERSOR CFW500G0145T2DB20H00G2</t>
  </si>
  <si>
    <t>INVERSOR CFW500G0180T2DB20H00G2</t>
  </si>
  <si>
    <t>INVERSOR CFW500G0211T2DB20H00G2</t>
  </si>
  <si>
    <t>INVERSOR CFW500G0145T2NB20G2</t>
  </si>
  <si>
    <t>INVERSOR CFW500G0180T2NB20G2</t>
  </si>
  <si>
    <t>INVERSOR CFW500G0211T2NB20G2</t>
  </si>
  <si>
    <t>INVERSOR CFW500G0145T2NB20H00G2</t>
  </si>
  <si>
    <t>INVERSOR CFW500G0180T2NB20H00G2</t>
  </si>
  <si>
    <t>INVERSOR CFW500G0211T2NB20H00G2</t>
  </si>
  <si>
    <t>INVERSOR CFW500G0145T2NB20H03SDG2</t>
  </si>
  <si>
    <t>INVERSOR CFW500G0180T2NB20H03SDG2</t>
  </si>
  <si>
    <t>INVERSOR CFW500G0211T2NB20H03SDG2</t>
  </si>
  <si>
    <t>INVERSOR BRCFW110033T2OFASMECZ</t>
  </si>
  <si>
    <t>INVERSOR BRCFW110045T2OFAECZ</t>
  </si>
  <si>
    <t>INVERSOR BRCFW110017T4OWECZ</t>
  </si>
  <si>
    <t>INVERSOR BRCFW110045T4OECZ</t>
  </si>
  <si>
    <t>INVERSOR CFW700E0142T2NB20C3Y1-UI</t>
  </si>
  <si>
    <t>INVERSOR CFW700D0105T2DBN1C3Y1-UI</t>
  </si>
  <si>
    <t>INVERSOR CFW900D0110T2DB20Y2B</t>
  </si>
  <si>
    <t>INVERSOR CFW900D0135T2DB20Y2B</t>
  </si>
  <si>
    <t>INVERSOR CFW900D0150T2DB20Y2B</t>
  </si>
  <si>
    <t>INVERSOR CFW900D96P0T4DB20Y2B</t>
  </si>
  <si>
    <t>INVERSOR CFW900D0124T4DB20Y2B</t>
  </si>
  <si>
    <t>INVERSOR CFW900D0146T4DB20Y2B</t>
  </si>
  <si>
    <t>INVERSOR CFW900D0110T2NB20Y2B</t>
  </si>
  <si>
    <t>INVERSOR CFW900D0135T2NB20Y2B</t>
  </si>
  <si>
    <t>INVERSOR CFW900D0150T2NB20Y2B</t>
  </si>
  <si>
    <t>INVERSOR CFW900D96P0T4NB20Y2B</t>
  </si>
  <si>
    <t>INVERSOR CFW900D0124T4NB20Y2B</t>
  </si>
  <si>
    <t>INVERSOR CFW900D0146T4NB20Y2B</t>
  </si>
  <si>
    <t>INVERSOR CFW900E0172T2DB20Y2B</t>
  </si>
  <si>
    <t>INVERSOR CFW900E0172T2NB20Y2B</t>
  </si>
  <si>
    <t>INVERSOR CFW900E0172T4DB20Y2B</t>
  </si>
  <si>
    <t>INVERSOR CFW900E0172T4NB20Y2B</t>
  </si>
  <si>
    <t>INVERSOR CFW900E0242T4DB21Y2B</t>
  </si>
  <si>
    <t>INVERSOR BRCFW110013T2OWZ</t>
  </si>
  <si>
    <t>INVERSOR BRCFW110007T2OTVZ</t>
  </si>
  <si>
    <t>INVERSOR BRCFW110010T2OTVZ</t>
  </si>
  <si>
    <t>INVERSOR BRCFW110013T2OTVZ</t>
  </si>
  <si>
    <t>INVERSOR BRCFW110016T2OTVZ</t>
  </si>
  <si>
    <t>INVERSOR BRCFW110024T2OTVZ</t>
  </si>
  <si>
    <t>INVERSOR BRCFW110028T2OTVZ</t>
  </si>
  <si>
    <t>INVERSOR BRCFW110033T2OTVZ</t>
  </si>
  <si>
    <t>INVERSOR BRCFW110045T2OTVZ</t>
  </si>
  <si>
    <t>INVERSOR BRCFW110054T2OTVZ</t>
  </si>
  <si>
    <t>INVERSOR BRCFW110070T2OTVZ</t>
  </si>
  <si>
    <t>INVERSOR BRCFW110086T2OTVZ</t>
  </si>
  <si>
    <t>INVERSOR BRCFW110105T2OTVZ</t>
  </si>
  <si>
    <t>INVERSOR BRCFW110142T2OTVZ</t>
  </si>
  <si>
    <t>INVERSOR BRCFW110180T2OTVZ</t>
  </si>
  <si>
    <t>INVERSOR BRCFW110211T2OTVZ</t>
  </si>
  <si>
    <t>INVERSOR BRCFW110003T4OTVZ</t>
  </si>
  <si>
    <t>INVERSOR BRCFW110005T4OTVZ</t>
  </si>
  <si>
    <t>INVERSOR BRCFW110007T4OTVZ</t>
  </si>
  <si>
    <t>INVERSOR BRCFW110010T4OTVZ</t>
  </si>
  <si>
    <t>INVERSOR BRCFW110013T4OTVZ</t>
  </si>
  <si>
    <t>INVERSOR BRCFW110017T4OTVZ</t>
  </si>
  <si>
    <t>INVERSOR BRCFW110024T4OTVZ</t>
  </si>
  <si>
    <t>INVERSOR BRCFW110031T4OTVZ</t>
  </si>
  <si>
    <t>INVERSOR BRCFW110038T4OTVZ</t>
  </si>
  <si>
    <t>INVERSOR BRCFW110045T4OTVZ</t>
  </si>
  <si>
    <t>INVERSOR BRCFW110058T4OTVZ</t>
  </si>
  <si>
    <t>INVERSOR BRCFW110070T4OTVZ</t>
  </si>
  <si>
    <t>INVERSOR BRCFW110088T4OTVZ</t>
  </si>
  <si>
    <t>INVERSOR BRCFW110105T4OTVZ</t>
  </si>
  <si>
    <t>INVERSOR BRCFW110142T4OTVZ</t>
  </si>
  <si>
    <t>INVERSOR BRCFW110180T4OTVZ</t>
  </si>
  <si>
    <t>INVERSOR BRCFW110211T4OTVZ</t>
  </si>
  <si>
    <t>INVERSOR BRCFW110312T4ORBWZ</t>
  </si>
  <si>
    <t>INVERSOR CFW700D0105T2DBN1W1</t>
  </si>
  <si>
    <t>INVERSOR BRCFW110312T4ORBWZ-UI</t>
  </si>
  <si>
    <t>INVERSOR EUCFW110005T4OWZ</t>
  </si>
  <si>
    <t>INVERSOR EUCFW110013T4OWZ</t>
  </si>
  <si>
    <t>INVERSOR CFW500F77P0T4DB20G2</t>
  </si>
  <si>
    <t>INVERSOR CFW500F77P0T4DB20C3G2</t>
  </si>
  <si>
    <t>INVERSOR CFW500F77P0T4DB20C3H00G2</t>
  </si>
  <si>
    <t>INVERSOR CFW500F77P0T4DB20H00G2</t>
  </si>
  <si>
    <t>INVERSOR CFW500F88P0T4DB20G2</t>
  </si>
  <si>
    <t>INVERSOR CFW500F88P0T4DB20H00G2</t>
  </si>
  <si>
    <t>INVERSOR CFW500F88P0T4DB20C3G2</t>
  </si>
  <si>
    <t>INVERSOR CFW500F88P0T4DB20C3H00G2</t>
  </si>
  <si>
    <t>INVERSOR CFW500F0105T4DB20G2</t>
  </si>
  <si>
    <t>INVERSOR CFW500F0105T4DB20H00G2</t>
  </si>
  <si>
    <t>INVERSOR CFW500F0105T4DB20C3G2</t>
  </si>
  <si>
    <t>INVERSOR CFW900C56P0T2DB20Y2</t>
  </si>
  <si>
    <t>INVERSOR CFW500F0105T4DB20C3H00G2</t>
  </si>
  <si>
    <t>INVERSOR CFW500F77P0T4DB20H01SAG2</t>
  </si>
  <si>
    <t>INVERSOR CFW900C70P0T2DB20Y2</t>
  </si>
  <si>
    <t>INVERSOR CFW900C80P0T2DB20Y2</t>
  </si>
  <si>
    <t>INVERSOR CFW900C50P0T4DB20Y2</t>
  </si>
  <si>
    <t>INVERSOR CFW900C62P0T4DB20Y2</t>
  </si>
  <si>
    <t>INVERSOR CFW900C74P0T4DB20Y2</t>
  </si>
  <si>
    <t>INVERSOR CFW900D0110T2DB20Y2</t>
  </si>
  <si>
    <t>INVERSOR CFW900D0135T2DB20Y2</t>
  </si>
  <si>
    <t>INVERSOR CFW900D0150T2DB20Y2</t>
  </si>
  <si>
    <t>INVERSOR CFW900D96P0T4DB20Y2</t>
  </si>
  <si>
    <t>INVERSOR CFW900D0124T4DB20Y2</t>
  </si>
  <si>
    <t>INVERSOR CFW900D0146T4DB20Y2</t>
  </si>
  <si>
    <t>INVERSOR CFW900D0110T2NB20Y2</t>
  </si>
  <si>
    <t>INVERSOR CFW900D0135T2NB20Y2</t>
  </si>
  <si>
    <t>INVERSOR CFW900D0150T2NB20Y2</t>
  </si>
  <si>
    <t>INVERSOR CFW900D96P0T4NB20Y2</t>
  </si>
  <si>
    <t>INVERSOR CFW900D0124T4NB20Y2</t>
  </si>
  <si>
    <t>INVERSOR CFW900D0146T4NB20Y2</t>
  </si>
  <si>
    <t>INVERSOR CFW900E0172T2DB20Y2</t>
  </si>
  <si>
    <t>INVERSOR CFW900E0195T2DB20Y2</t>
  </si>
  <si>
    <t>INVERSOR CFW900E0250T2DB20Y2</t>
  </si>
  <si>
    <t>INVERSOR CFW900E0172T4DB20Y2</t>
  </si>
  <si>
    <t>INVERSOR CFW900E0203T4DB20Y2</t>
  </si>
  <si>
    <t>INVERSOR CFW900E0242T4DB20Y2</t>
  </si>
  <si>
    <t>INVERSOR CFW900E0172T2NB20Y2</t>
  </si>
  <si>
    <t>INVERSOR CFW900E0195T2NB20Y2</t>
  </si>
  <si>
    <t>INVERSOR CFW900E0250T2NB20Y2</t>
  </si>
  <si>
    <t>INVERSOR CFW900E0172T4NB20Y2</t>
  </si>
  <si>
    <t>INVERSOR CFW900E0203T4NB20Y2</t>
  </si>
  <si>
    <t>INVERSOR CFW900E0242T4NB20Y2</t>
  </si>
  <si>
    <t>INVERSOR NACFW110070T4OTVZ</t>
  </si>
  <si>
    <t>INVERSOR EUCFW110007T2OFATVZ</t>
  </si>
  <si>
    <t>INVERSOR EUCFW110010T2OFATVZ</t>
  </si>
  <si>
    <t>INVERSOR EUCFW110013T2OFATVZ</t>
  </si>
  <si>
    <t>INVERSOR EUCFW110016T2OFATVZ</t>
  </si>
  <si>
    <t>INVERSOR EUCFW110024T2OFATVZ</t>
  </si>
  <si>
    <t>INVERSOR EUCFW110028T2OFATVZ</t>
  </si>
  <si>
    <t>INVERSOR EUCFW110033T2OFATVZ</t>
  </si>
  <si>
    <t>INVERSOR EUCFW110045T2OFATVZ</t>
  </si>
  <si>
    <t>INVERSOR EUCFW110054T2OFATVZ</t>
  </si>
  <si>
    <t>INVERSOR EUCFW110070T2OFATVZ</t>
  </si>
  <si>
    <t>INVERSOR EUCFW110086T2OFATVZ</t>
  </si>
  <si>
    <t>INVERSOR EUCFW110105T2OFATVZ</t>
  </si>
  <si>
    <t>INVERSOR EUCFW110142T2OTVZ</t>
  </si>
  <si>
    <t>INVERSOR EUCFW110180T2OTVZ</t>
  </si>
  <si>
    <t>INVERSOR EUCFW110211T2OTVZ</t>
  </si>
  <si>
    <t>INVERSOR BRCFW110010T4ON1Z</t>
  </si>
  <si>
    <t>INVERSOR EUCFW110003T4OFATVZ</t>
  </si>
  <si>
    <t>INVERSOR EUCFW110005T4OFATVZ</t>
  </si>
  <si>
    <t>INVERSOR EUCFW110007T4OFATVZ</t>
  </si>
  <si>
    <t>INVERSOR EUCFW110010T4OFATVZ</t>
  </si>
  <si>
    <t>INVERSOR EUCFW110013T4OFATVZ</t>
  </si>
  <si>
    <t>INVERSOR EUCFW110017T4OFATVZ</t>
  </si>
  <si>
    <t>INVERSOR EUCFW110024T4OFATVZ</t>
  </si>
  <si>
    <t>INVERSOR EUCFW110031T4OFATVZ</t>
  </si>
  <si>
    <t>INVERSOR EUCFW110038T4OFATVZ</t>
  </si>
  <si>
    <t>INVERSOR EUCFW110045T4OFATVZ</t>
  </si>
  <si>
    <t>INVERSOR EUCFW110058T4OFATVZ</t>
  </si>
  <si>
    <t>INVERSOR EUCFW110070T4OFATVZ</t>
  </si>
  <si>
    <t>INVERSOR EUCFW110088T4OFATVZ</t>
  </si>
  <si>
    <t>INVERSOR EUCFW110105T4OTVZ</t>
  </si>
  <si>
    <t>INVERSOR EUCFW110142T4OTVZ</t>
  </si>
  <si>
    <t>INVERSOR EUCFW110180T4OTVZ</t>
  </si>
  <si>
    <t>INVERSOR EUCFW110211T4OTVZ</t>
  </si>
  <si>
    <t>INVERSOR MSCFW110005T4O55YZ</t>
  </si>
  <si>
    <t>INVERSOR MSCFW110007T4O55YZ</t>
  </si>
  <si>
    <t>INVERSOR MSCFW110017T4O55YZ</t>
  </si>
  <si>
    <t>INVERSOR MSCFW110024T4O55YZ</t>
  </si>
  <si>
    <t>INVERSOR MSCFW110038T4O55YZ</t>
  </si>
  <si>
    <t>INVERSOR MSCFW110045T4O55YZ</t>
  </si>
  <si>
    <t>INVERSOR MSCFW110180T4O55YZ</t>
  </si>
  <si>
    <t>INVERSOR BRCFW110013T4OWHMSJZ</t>
  </si>
  <si>
    <t>INVERSOR CFW500F77P0T4DB20C3H13G2</t>
  </si>
  <si>
    <t>INVERSOR CFW500F88P0T4DB20C3H13G2</t>
  </si>
  <si>
    <t>INVERSOR CFW500F0105T4DB20C3H13G2</t>
  </si>
  <si>
    <t>INVERSOR EUCFW110105T4ODB55DSYZ</t>
  </si>
  <si>
    <t>INVERSOR EUCFW110142T4ODB55DSYZ</t>
  </si>
  <si>
    <t>INVERSOR EUCFW110180T4ODB55DSYZ</t>
  </si>
  <si>
    <t>INVERSOR EUCFW110211T4ODB55DSYZ</t>
  </si>
  <si>
    <t>INVERSOR BRCFW110211T4OYH2ALDCTDECZ</t>
  </si>
  <si>
    <t>INVERSOR CFW500F0105T2DB20H11SIG2</t>
  </si>
  <si>
    <t>INVERSOR EUCFW110024T4OFAYSUZ</t>
  </si>
  <si>
    <t>INVERSOR EUCFW110142T4OYSUZ</t>
  </si>
  <si>
    <t>INVERSOR CFW500G0145T2DB20H01SA</t>
  </si>
  <si>
    <t>INVERSOR CFW500G0180T2DB20H01SA</t>
  </si>
  <si>
    <t>INVERSOR EUCFW110142T4OYSUZ-UI</t>
  </si>
  <si>
    <t>INVERSOR CFW500G0142T4NB20H13G2</t>
  </si>
  <si>
    <t>INVERSOR CFW500G0180T4NB20H13G2</t>
  </si>
  <si>
    <t>INVERSOR CFW500G0211T4NB20H13G2</t>
  </si>
  <si>
    <t>INVERSOR CFW500G0142T4DB20H13G2</t>
  </si>
  <si>
    <t>INVERSOR CFW500G0180T4DB20H13G2</t>
  </si>
  <si>
    <t>INVERSOR CFW500G0211T4DB20H13G2</t>
  </si>
  <si>
    <t>INVERSOR CFW700E0211T4NB20C3Y1W1</t>
  </si>
  <si>
    <t>INVERSOR BRCFW110054T2OFASSZ</t>
  </si>
  <si>
    <t>INVERSOR BRCFW110013T4OWHMT7Z</t>
  </si>
  <si>
    <t>INVERSOR CFW500F77P0T4DB20H13G2</t>
  </si>
  <si>
    <t>INVERSOR CFW500F88P0T4DB20H13G2</t>
  </si>
  <si>
    <t>INVERSOR CFW500F0105T4DB20H13G2</t>
  </si>
  <si>
    <t>INVERSOR CFW700B24P0T2DB20C3Y1W1</t>
  </si>
  <si>
    <t>INVERSOR NACFW110007T2OTVZ</t>
  </si>
  <si>
    <t>INVERSOR NACFW110010T2OTVZ</t>
  </si>
  <si>
    <t>INVERSOR NACFW110013T2OTVZ</t>
  </si>
  <si>
    <t>INVERSOR NACFW110016T2OTVZ</t>
  </si>
  <si>
    <t>INVERSOR NACFW110024T2OTVZ</t>
  </si>
  <si>
    <t>INVERSOR NACFW110028T2OTVZ</t>
  </si>
  <si>
    <t>INVERSOR NACFW110033T2OTVZ</t>
  </si>
  <si>
    <t>INVERSOR NACFW110045T2OTVZ</t>
  </si>
  <si>
    <t>INVERSOR NACFW110054T2OTVZ</t>
  </si>
  <si>
    <t>INVERSOR NACFW110070T2OTVZ</t>
  </si>
  <si>
    <t>INVERSOR NACFW110086T2OTVZ</t>
  </si>
  <si>
    <t>INVERSOR NACFW110105T2OTVZ</t>
  </si>
  <si>
    <t>INVERSOR NACFW110142T2OTVZ</t>
  </si>
  <si>
    <t>INVERSOR NACFW110180T2OTVZ</t>
  </si>
  <si>
    <t>INVERSOR NACFW110211T2OTVZ</t>
  </si>
  <si>
    <t>INVERSOR NACFW110003T4OTVZ</t>
  </si>
  <si>
    <t>INVERSOR NACFW110005T4OTVZ</t>
  </si>
  <si>
    <t>INVERSOR NACFW110007T4OTVZ</t>
  </si>
  <si>
    <t>INVERSOR NACFW110010T4OTVZ</t>
  </si>
  <si>
    <t>INVERSOR NACFW110013T4OTVZ</t>
  </si>
  <si>
    <t>INVERSOR NACFW110017T4OTVZ</t>
  </si>
  <si>
    <t>INVERSOR NACFW110024T4OTVZ</t>
  </si>
  <si>
    <t>INVERSOR NACFW110031T4OTVZ</t>
  </si>
  <si>
    <t>INVERSOR NACFW110038T4OTVZ</t>
  </si>
  <si>
    <t>INVERSOR NACFW110045T4OTVZ</t>
  </si>
  <si>
    <t>INVERSOR NACFW110058T4OTVZ</t>
  </si>
  <si>
    <t>INVERSOR NACFW110088T4OTVZ</t>
  </si>
  <si>
    <t>INVERSOR NACFW110105T4OTVZ</t>
  </si>
  <si>
    <t>INVERSOR NACFW110142T4OTVZ</t>
  </si>
  <si>
    <t>INVERSOR NACFW110180T4OTVZ</t>
  </si>
  <si>
    <t>INVERSOR NACFW110211T4OTVZ</t>
  </si>
  <si>
    <t>INVERSOR MPW090016T3848G2H4Z</t>
  </si>
  <si>
    <t>INVERSOR BRCFW110024T4OFAYWTVZ</t>
  </si>
  <si>
    <t>INVERSOR BRCFW110105T4OHALS9Z-UI</t>
  </si>
  <si>
    <t>INVERSOR BRCFW110180T4OHALS9Z-UI</t>
  </si>
  <si>
    <t>INVERSOR NACFW110063T6OYZ-UI</t>
  </si>
  <si>
    <t>INVERSOR CFW500F77P0T2DB20H13G2</t>
  </si>
  <si>
    <t>INVERSOR CFW500F88P0T2DB20H13G2</t>
  </si>
  <si>
    <t>INVERSOR CFW500F0105T2DB20H13G2</t>
  </si>
  <si>
    <t>INVERSOR CFW500G0145T2NB20H13G2</t>
  </si>
  <si>
    <t>INVERSOR CFW500G0180T2NB20H13G2</t>
  </si>
  <si>
    <t>INVERSOR CFW500G0211T2NB20H13G2</t>
  </si>
  <si>
    <t>INVERSOR CFW500G0145T2DB20H13G2</t>
  </si>
  <si>
    <t>INVERSOR CFW500G0180T2DB20H13G2</t>
  </si>
  <si>
    <t>INVERSOR CFW500G0211T2DB20H13G2</t>
  </si>
  <si>
    <t>INVERSOR EUCFW110142T4ODCZ</t>
  </si>
  <si>
    <t>INVERSOR EUCFW110142T4ODCZ-UI</t>
  </si>
  <si>
    <t>INVERSOR MSCFW110142T4O55YZ</t>
  </si>
  <si>
    <t>INVERSOR EUCFW110107T6OYWZ</t>
  </si>
  <si>
    <t>INVERSOR EUCFW110017T4OFAYSUZ</t>
  </si>
  <si>
    <t>INVERSOR EUCFW110105T4OYSUZ</t>
  </si>
  <si>
    <t>INVERSOR EUCFW110105T4OYSUZ-UI</t>
  </si>
  <si>
    <t>INVERSOR CFW700C58P5T4DB20C3EC</t>
  </si>
  <si>
    <t>INVERSOR BRCFW110088T4O55FADSZ</t>
  </si>
  <si>
    <t>INVERSOR EUCFW110070T4OFAZ-UI</t>
  </si>
  <si>
    <t>INVERSOR CFW501F77P0T2DB20C3G2</t>
  </si>
  <si>
    <t>INVERSOR CFW501F88P0T2DB20C3G2</t>
  </si>
  <si>
    <t>INVERSOR CFW501F0105T2DB20C3G2</t>
  </si>
  <si>
    <t>INVERSOR CFW501F77P0T4DB20C3G2</t>
  </si>
  <si>
    <t>INVERSOR CFW501F88P0T4DB20C3G2</t>
  </si>
  <si>
    <t>INVERSOR CFW501F0105T4DB20C3G2</t>
  </si>
  <si>
    <t>INVERSOR CFW501G0145T2DB20C3G2</t>
  </si>
  <si>
    <t>INVERSOR CFW501G0145T2NB20C3G2</t>
  </si>
  <si>
    <t>INVERSOR CFW501G0180T2DB20C3G2</t>
  </si>
  <si>
    <t>INVERSOR CFW501G0180T2NB20C3G2</t>
  </si>
  <si>
    <t>INVERSOR CFW501G0211T2DB20C3G2</t>
  </si>
  <si>
    <t>INVERSOR CFW501G0211T2NB20C3G2</t>
  </si>
  <si>
    <t>INVERSOR CFW501G0142T4DB20C3G2</t>
  </si>
  <si>
    <t>INVERSOR CFW501G0142T4NB20C3G2</t>
  </si>
  <si>
    <t>INVERSOR CFW501G0180T4DB20C3G2</t>
  </si>
  <si>
    <t>INVERSOR CFW501G0180T4NB20C3G2</t>
  </si>
  <si>
    <t>INVERSOR CFW501G0211T4DB20C3G2</t>
  </si>
  <si>
    <t>INVERSOR CFW501G0211T4NB20C3G2</t>
  </si>
  <si>
    <t>INVERSOR CFW501F77P0T2DBN1C3G2</t>
  </si>
  <si>
    <t>INVERSOR CFW501F88P0T2DBN1C3G2</t>
  </si>
  <si>
    <t>INVERSOR CFW501F0105T2DBN1C3G2</t>
  </si>
  <si>
    <t>INVERSOR CFW501F77P0T4DBN1C3G2</t>
  </si>
  <si>
    <t>INVERSOR CFW501F88P0T4DBN1C3G2</t>
  </si>
  <si>
    <t>INVERSOR CFW501F0105T4DBN1C3G2</t>
  </si>
  <si>
    <t>INVERSOR CFW501G0145T2DBN1C3G2</t>
  </si>
  <si>
    <t>INVERSOR CFW501G0145T2NBN1C3G2</t>
  </si>
  <si>
    <t>INVERSOR CFW501G0180T2DBN1C3G2</t>
  </si>
  <si>
    <t>INVERSOR CFW501G0180T2NBN1C3G2</t>
  </si>
  <si>
    <t>INVERSOR CFW501G0211T2DBN1C3G2</t>
  </si>
  <si>
    <t>INVERSOR CFW501G0211T2NBN1C3G2</t>
  </si>
  <si>
    <t>INVERSOR CFW501G0142T4DBN1C3G2</t>
  </si>
  <si>
    <t>INVERSOR CFW501G0142T4NBN1C3G2</t>
  </si>
  <si>
    <t>INVERSOR CFW501G0180T4DBN1C3G2</t>
  </si>
  <si>
    <t>INVERSOR CFW501G0180T4NBN1C3G2</t>
  </si>
  <si>
    <t>INVERSOR CFW501G0211T4DBN1C3G2</t>
  </si>
  <si>
    <t>INVERSOR CFW501G0211T4NBN1C3G2</t>
  </si>
  <si>
    <t>INVERSOR MSCFW110024T4OFAZ</t>
  </si>
  <si>
    <t>INVERSOR BRCFW110105T2OFASSZ</t>
  </si>
  <si>
    <t>INVERSOR CFW500G0211T4NB20C3H00G2-UI</t>
  </si>
  <si>
    <t>INVERSOR CFW700E0105T4DB55C3DSS2</t>
  </si>
  <si>
    <t>INVERSOR CFW700D88P0T4DB55C3DSS2</t>
  </si>
  <si>
    <t>INVERSOR CFW700D70P5T4DB55C3DSS2</t>
  </si>
  <si>
    <t>INVERSOR CFW700C58P5T4DB55C3DSS2</t>
  </si>
  <si>
    <t>INVERSOR CFW700C45P0T4DB55C3DSS2</t>
  </si>
  <si>
    <t>INVERSOR CFW700B31P0T4DB55C3DSS2</t>
  </si>
  <si>
    <t>INVERSOR CFW700B24P0T4DB55C3DSS2</t>
  </si>
  <si>
    <t>INVERSOR CFW700B17P0T4DB55C3DSS2</t>
  </si>
  <si>
    <t>INVERSOR CFW700E0211T4DB20C3S2</t>
  </si>
  <si>
    <t>INVERSOR CFW700E0180T4DB20C3S2</t>
  </si>
  <si>
    <t>INVERSOR CFW700E0142T4DB20C3S2</t>
  </si>
  <si>
    <t>INVERSOR CFW700E0105T4DB20C3S2</t>
  </si>
  <si>
    <t>INVERSOR CFW700D88P0T4DBN1C3S2</t>
  </si>
  <si>
    <t>INVERSOR CFW700D70P5T4DBN1C3S2</t>
  </si>
  <si>
    <t>INVERSOR CFW700C58P5T4DB20C3S2</t>
  </si>
  <si>
    <t>INVERSOR CFW700C45P0T4DB20C3S2</t>
  </si>
  <si>
    <t>INVERSOR CFW700B31P0T4DB20C3S2</t>
  </si>
  <si>
    <t>INVERSOR CFW700B24P0T4DB20C3S2</t>
  </si>
  <si>
    <t>INVERSOR CFW700B17P0T4DB20C3S2</t>
  </si>
  <si>
    <t>INVERSOR CFW700A13P5T4DB20C3S2</t>
  </si>
  <si>
    <t>INVERSOR BRCFW110070T4O55FAECZ</t>
  </si>
  <si>
    <t>INVERSOR BRCFW110105T4O55SSZ</t>
  </si>
  <si>
    <t>INVERSOR CFW700E0211T4DB55C3DSS2</t>
  </si>
  <si>
    <t>INVERSOR CFW700E0180T4DB55C3DSS2</t>
  </si>
  <si>
    <t>INVERSOR CFW700E0142T4DB55C3DSS2</t>
  </si>
  <si>
    <t>INVERSOR MSCFW110058T4OFAZ</t>
  </si>
  <si>
    <t>INVERSOR BRCFW110013T4ON1Z</t>
  </si>
  <si>
    <t>INVERSOR BRCFW110017T4ON1Z</t>
  </si>
  <si>
    <t>INVERSOR BRCFW110024T4ON1Z</t>
  </si>
  <si>
    <t>INVERSOR BRCFW110038T4O55FADSZ</t>
  </si>
  <si>
    <t>INVERSOR MSCFW110005T4O55YHIZ</t>
  </si>
  <si>
    <t>INVERSOR MSCFW110007T4O55YHIZ</t>
  </si>
  <si>
    <t>INVERSOR MSCFW110017T4O55YHIZ</t>
  </si>
  <si>
    <t>INVERSOR MSCFW110024T4O55YHIZ</t>
  </si>
  <si>
    <t>INVERSOR MSCFW110038T4O55YHIZ</t>
  </si>
  <si>
    <t>INVERSOR MSCFW110045T4O55YHIZ</t>
  </si>
  <si>
    <t>INVERSOR BRCFW110211T2OYECZ</t>
  </si>
  <si>
    <t>INVERSOR BRCFW110028T2OFAYZ</t>
  </si>
  <si>
    <t>INVERSOR BRCFW110045T2OFAYZ</t>
  </si>
  <si>
    <t>INVERSOR BRCFW110086T2OFAYZ</t>
  </si>
  <si>
    <t>INVERSOR BRCFW110105T2OFAYZ</t>
  </si>
  <si>
    <t>INVERSOR BRCFW110058T4ON1Z</t>
  </si>
  <si>
    <t>INVERSOR CFW500G0211T4NB20ECG2</t>
  </si>
  <si>
    <t>INVERSOR EUCFW110142T4O55YWZ</t>
  </si>
  <si>
    <t>INVERSOR BRCFW110010T4OFAECZ</t>
  </si>
  <si>
    <t>INVERSOR BRCFW110013T4OFAECZ</t>
  </si>
  <si>
    <t>INVERSOR EUCFW110211T4OH2ALS9Z</t>
  </si>
  <si>
    <t>INVERSOR EUCFW110211T4OH2ALS9Z-UI</t>
  </si>
  <si>
    <t>INVERSOR BRCFW110016T2OH4Z</t>
  </si>
  <si>
    <t>INVERSOR BRCFW110033T2OH4Z</t>
  </si>
  <si>
    <t>INVERSOR BRCFW110070T2OH4Z</t>
  </si>
  <si>
    <t>INVERSOR BRCFW110180T2OH4Z</t>
  </si>
  <si>
    <t>INVERSOR BRCFW110028T2OWZ</t>
  </si>
  <si>
    <t>INVERSOR BRCFW110028T2ON1Z</t>
  </si>
  <si>
    <t>INVERSOR BRCFW110016T2OFAECZ</t>
  </si>
  <si>
    <t>INVERSOR CFW700B24P0T4DB20C3HWEN</t>
  </si>
  <si>
    <t>INVERSOR CFW700C58P5T4DB20C3Y1HWEN</t>
  </si>
  <si>
    <t>INVERSOR BRCFW110180T4OSSZ</t>
  </si>
  <si>
    <t>INVERSOR CFW700B17P0T4DB20C3HWEN</t>
  </si>
  <si>
    <t>INVERSOR CFW700B31P0T4DB20C3HWEN</t>
  </si>
  <si>
    <t>INVERSOR BRCFW110010T4OFAYECZ</t>
  </si>
  <si>
    <t>INVERSOR BRCFW110058T4OFAYECZ</t>
  </si>
  <si>
    <t>INVERSOR BRCFW110003T4OFAYECZ</t>
  </si>
  <si>
    <t>INVERSOR BRCFW110038T4OFAYECZ</t>
  </si>
  <si>
    <t>INVERSOR CFW500G0142T4DB20H03SDG2</t>
  </si>
  <si>
    <t>INVERSOR CFW500G0180T4DB20H03SDG2</t>
  </si>
  <si>
    <t>INVERSOR CFW500G0211T4DB20H03SDG2</t>
  </si>
  <si>
    <t>INVERSOR BRCFW110024T2ON1Z</t>
  </si>
  <si>
    <t>INVERSOR BRCFW110010T6ONBYHSZ</t>
  </si>
  <si>
    <t>INVERSOR BRCFW110012T6ONBYHSZ</t>
  </si>
  <si>
    <t>INVERSOR BRCFW110017T6ONBYHSZ</t>
  </si>
  <si>
    <t>INVERSOR BRCFW110022T6ONBYHSZ</t>
  </si>
  <si>
    <t>INVERSOR BRCFW110027T6ONBYHSZ</t>
  </si>
  <si>
    <t>INVERSOR BRCFW110032T6ONBYHSZ</t>
  </si>
  <si>
    <t>INVERSOR BRCFW110211T4OWH1Z</t>
  </si>
  <si>
    <t>INVERSOR EUCFW110024T4OWZ</t>
  </si>
  <si>
    <t>INVERSOR EUCFW110031T4OFAYSUZ</t>
  </si>
  <si>
    <t>INVERSOR NACFW110080T6ON1YH4TVZ</t>
  </si>
  <si>
    <t>INVERSOR BRCFW110044T6ONBYHSZ</t>
  </si>
  <si>
    <t>INVERSOR BRCFW110010T6ONBYHSZ-UI</t>
  </si>
  <si>
    <t>INVERSOR BRCFW110012T6ONBYHSZ-UI</t>
  </si>
  <si>
    <t>INVERSOR BRCFW110017T6ONBYHSZ-UI</t>
  </si>
  <si>
    <t>INVERSOR BRCFW110022T6ONBYHSZ-UI</t>
  </si>
  <si>
    <t>INVERSOR BRCFW110027T6ONBYHSZ-UI</t>
  </si>
  <si>
    <t>INVERSOR BRCFW110032T6ONBYHSZ-UI</t>
  </si>
  <si>
    <t>INVERSOR EUCFW110180T4OYZ-UI</t>
  </si>
  <si>
    <t>INVERSOR EUCFW110012T6OYZ-UI</t>
  </si>
  <si>
    <t>INVERSOR BRCFW110211T4OWH1Z-UI</t>
  </si>
  <si>
    <t>INVERSOR BRCFW110045T2OFAWZ</t>
  </si>
  <si>
    <t>INVERSOR BRCFW110054T2OFAWZ</t>
  </si>
  <si>
    <t>INVERSOR BRCFW110044T6ONBYHSZ-UI</t>
  </si>
  <si>
    <t>INVERSOR BRCFW110003T4OFAYSSZ</t>
  </si>
  <si>
    <t>INVERSOR BRCFW110005T4OFAYSSZ</t>
  </si>
  <si>
    <t>INVERSOR BRCFW110010T4OFAYSSZ</t>
  </si>
  <si>
    <t>INVERSOR BRCFW110017T4OFAYSSZ</t>
  </si>
  <si>
    <t>INVERSOR BRCFW110024T4OFAYSSZ</t>
  </si>
  <si>
    <t>INVERSOR BRCFW110088T4OFAYSSZ</t>
  </si>
  <si>
    <t>INVERSOR BRCFW110003T4OFAECZ</t>
  </si>
  <si>
    <t>INVERSOR BRCFW110033T2OFAWZ</t>
  </si>
  <si>
    <t>INVERSOR BRCFW110007T4OFAYSMZ</t>
  </si>
  <si>
    <t>INVERSOR BRCFW110016T2OYZ</t>
  </si>
  <si>
    <t>INVERSOR BRCFW110013T2OYZ</t>
  </si>
  <si>
    <t>INVERSOR CFW500C47P0T2DB66G2</t>
  </si>
  <si>
    <t>052</t>
  </si>
  <si>
    <t>LINHA M4</t>
  </si>
  <si>
    <t>INVERSOR BRCFW110010T2OFAYZ</t>
  </si>
  <si>
    <t>INVERSOR BRCFW110007T2OFAYZ</t>
  </si>
  <si>
    <t>INVERSOR BRCFW110086T2O55FAYZ</t>
  </si>
  <si>
    <t>INVERSOR CFW500F77P0T4DB20C3Y2H17G2</t>
  </si>
  <si>
    <t>INVERSOR CFW500F0105T4DB20C3HMPSMG2</t>
  </si>
  <si>
    <t>INVERSOR BRCFW110053T6OYECZ</t>
  </si>
  <si>
    <t>INVERSOR BRCFW110017T4OSMZ</t>
  </si>
  <si>
    <t>INVERSOR CFW500F0105T4DB20C3H00ECG2</t>
  </si>
  <si>
    <t>INVERSOR BRCFW110070T4OYS4Z</t>
  </si>
  <si>
    <t>INVERSOR BRCFW110053T6OYECZ-UI</t>
  </si>
  <si>
    <t>INVERSOR BRCFW110070T4OYS4Z-UI</t>
  </si>
  <si>
    <t>INVERSOR CFW500F77P0T2DB20H01SAG2</t>
  </si>
  <si>
    <t>INVERSOR CFW500F88P0T2DB20H01SAG2</t>
  </si>
  <si>
    <t>INVERSOR CFW500F0105T2DB20H01SAG2</t>
  </si>
  <si>
    <t>INVERSOR CFW500G0145T2DB20C3H01SAG2</t>
  </si>
  <si>
    <t>INVERSOR CFW500G0180T2DB20C3H01SAG2</t>
  </si>
  <si>
    <t>INVERSOR CFW500G0211T2DB20C3H01SAG2</t>
  </si>
  <si>
    <t>INVERSOR CFW500F88P0T4DB20H01SAG2</t>
  </si>
  <si>
    <t>INVERSOR CFW500F0105T4DB20H01SAG2</t>
  </si>
  <si>
    <t>INVERSOR CFW500G0142T4DB20C3H01SAG2</t>
  </si>
  <si>
    <t>INVERSOR CFW500G0180T4DB20C3H01SAG2</t>
  </si>
  <si>
    <t>INVERSOR CFW500G0211T4DB20C3H01SAG2</t>
  </si>
  <si>
    <t>INVERSOR BRCFW110105T2O55FAZ</t>
  </si>
  <si>
    <t>INVERSOR BRCFW110088T4O55FAZ</t>
  </si>
  <si>
    <t>INVERSOR EUCFW110002B2OYZ</t>
  </si>
  <si>
    <t>INVERSOR BRCFW110086T2O55FAZ</t>
  </si>
  <si>
    <t>INVERSOR BRCFW110007T2OFAWZ</t>
  </si>
  <si>
    <t>INVERSOR BRCFW110010T2OFAWZ</t>
  </si>
  <si>
    <t>INVERSOR BRCFW110070T2OFAWZ</t>
  </si>
  <si>
    <t>INVERSOR BRCFW110142T2OWZ</t>
  </si>
  <si>
    <t>INVERSOR BRCFW110024T2OFAWZ</t>
  </si>
  <si>
    <t>INVERSOR BRCFW110760T4ORBSQZ</t>
  </si>
  <si>
    <t>INVERSOR BRCFW110601T4ORBSQZ</t>
  </si>
  <si>
    <t>INVERSOR BRCFW110760T4ORBSQZ-UI</t>
  </si>
  <si>
    <t>INVERSOR BRCFW110601T4ORBSQZ-UI</t>
  </si>
  <si>
    <t>INVERSOR BRCFW110010T4OWECZ</t>
  </si>
  <si>
    <t>INVERSOR BRCFW110031T4OFAECZ</t>
  </si>
  <si>
    <t>INVERSOR BRCFW110070T4OFAECZ</t>
  </si>
  <si>
    <t>INVERSOR BRCFW110211T4OHALS9ECZ</t>
  </si>
  <si>
    <t>INVERSOR BRCFW110211T4OHALS9ECZ-UI</t>
  </si>
  <si>
    <t>INVERSOR BRCFW110211T2ODBSSZ</t>
  </si>
  <si>
    <t>INVERSOR BRCFW110211T2ODBSSZ-UI</t>
  </si>
  <si>
    <t>INVERSOR EUCFW110013T4OFASUZ</t>
  </si>
  <si>
    <t>INVERSOR EUCFW110070T4OFASUZ</t>
  </si>
  <si>
    <t>INVERSOR EUCFW110070T4OFASUZ-UI</t>
  </si>
  <si>
    <t>INVERSOR BRCFW110016T2OFAYECZ</t>
  </si>
  <si>
    <t>INVERSOR BRCFW110024T2OFAYECZ</t>
  </si>
  <si>
    <t>INVERSOR BRCFW110016T2O55FAYECZ</t>
  </si>
  <si>
    <t>INVERSOR BRCFW110013T2O55FAYECZ</t>
  </si>
  <si>
    <t>INVERSOR BRCFW110028T2O55FAYECZ</t>
  </si>
  <si>
    <t>INVERSOR BRCFW110045T2O55FAYECZ</t>
  </si>
  <si>
    <t>INVERSOR BRCFW110070T2OHIRZ</t>
  </si>
  <si>
    <t>INVERSOR BRCFW110086T2OHIRZ</t>
  </si>
  <si>
    <t>INVERSOR BRCFW110105T2OHIRZ</t>
  </si>
  <si>
    <t>INVERSOR BRCFW110211T2OHIRZ</t>
  </si>
  <si>
    <t>INVERSOR BRCFW110028T2OFAECZ</t>
  </si>
  <si>
    <t>INVERSOR BRCFW110024T4OFASMZ</t>
  </si>
  <si>
    <t>INVERSOR EUCFW110005T4OFASUZ</t>
  </si>
  <si>
    <t>INVERSOR BRCFW110142T4OSUZ</t>
  </si>
  <si>
    <t>INVERSOR BRCFW110142T4OSUZ-UI</t>
  </si>
  <si>
    <t>INVERSOR EUCFW110088T4OFASUZ</t>
  </si>
  <si>
    <t>INVERSOR EUCFW110010T4OFASUZ</t>
  </si>
  <si>
    <t>INVERSOR EUCFW110024T4OFASUZ</t>
  </si>
  <si>
    <t>INVERSOR EUCFW110031T4OFASUZ</t>
  </si>
  <si>
    <t>INVERSOR EUCFW110045T4OFASUZ</t>
  </si>
  <si>
    <t>INVERSOR EUCFW110058T4OFASUZ</t>
  </si>
  <si>
    <t>INVERSOR MSCFW110088T4ORBHP1Z</t>
  </si>
  <si>
    <t>INVERSOR BRCFW110005T4OFAYECZ</t>
  </si>
  <si>
    <t>INVERSOR BRCFW110007T4OFAYECZ</t>
  </si>
  <si>
    <t>INVERSOR BRCFW110013T4OFAYECZ</t>
  </si>
  <si>
    <t>INVERSOR BRCFW110024T4OFAYECZ</t>
  </si>
  <si>
    <t>INVERSOR BRCFW110024T2ORBHP1Z</t>
  </si>
  <si>
    <t>INVERSOR EUCFW110003T4OFASUZ</t>
  </si>
  <si>
    <t>INVERSOR EUCFW110105T4OSUZ</t>
  </si>
  <si>
    <t>INVERSOR EUCFW110142T4OSUZ</t>
  </si>
  <si>
    <t>INVERSOR EUCFW110180T4OSUZ</t>
  </si>
  <si>
    <t>INVERSOR EUCFW110211T4OSUZ</t>
  </si>
  <si>
    <t>INVERSOR SACFW110004T6OYWZ</t>
  </si>
  <si>
    <t>INVERSOR SACFW110032T6OYWZ</t>
  </si>
  <si>
    <t>INVERSOR SACFW110063T6ONBYWZ</t>
  </si>
  <si>
    <t>INVERSOR EUCFW110105T4OSUZ-UI</t>
  </si>
  <si>
    <t>INVERSOR CFW900C32P0T5DB20Y2</t>
  </si>
  <si>
    <t>INVERSOR CFW900C44P0T5DB20Y2</t>
  </si>
  <si>
    <t>INVERSOR CFW900C54P0T5DB20Y2</t>
  </si>
  <si>
    <t>INVERSOR CFW900C32P0T5DB20Y2B</t>
  </si>
  <si>
    <t>INVERSOR CFW900C44P0T5DB20Y2B</t>
  </si>
  <si>
    <t>INVERSOR CFW900C54P0T5DB20Y2B</t>
  </si>
  <si>
    <t>INVERSOR EUCFW110180T4OSUZ-UI</t>
  </si>
  <si>
    <t>INVERSOR EUCFW110088T4OFASUZ-UI</t>
  </si>
  <si>
    <t>INVERSOR EUCFW110142T4OSUZ-UI</t>
  </si>
  <si>
    <t>INVERSOR EUCFW110211T4OSUZ-UI</t>
  </si>
  <si>
    <t>INVERSOR SACFW110125T6ONBYWZ</t>
  </si>
  <si>
    <t>INVERSOR BRCFW110142T4ODBYZ-UI</t>
  </si>
  <si>
    <t>INVERSOR BRCFW110180T4O55YZ</t>
  </si>
  <si>
    <t>INVERSOR SACFW110150T6ONBYWZ</t>
  </si>
  <si>
    <t>INVERSOR EUCFW110010T6OYWZ</t>
  </si>
  <si>
    <t>INVERSOR BRCFW110211T4O55YECZ</t>
  </si>
  <si>
    <t>INVERSOR EUCFW110003T4OFAYSUZ</t>
  </si>
  <si>
    <t>INVERSOR EUCFW110005T4OFAYSUZ</t>
  </si>
  <si>
    <t>INVERSOR EUCFW110010T4OFAYSUZ</t>
  </si>
  <si>
    <t>INVERSOR EUCFW110045T4OFAYSUZ</t>
  </si>
  <si>
    <t>INVERSOR EUCFW110058T4OFAYSUZ</t>
  </si>
  <si>
    <t>INVERSOR EUCFW110070T4OFAYSUZ</t>
  </si>
  <si>
    <t>INVERSOR EUCFW110088T4OFAYSUZ</t>
  </si>
  <si>
    <t>INVERSOR EUCFW110180T4OYSUZ</t>
  </si>
  <si>
    <t>INVERSOR EUCFW110211T4OYSUZ</t>
  </si>
  <si>
    <t>INVERSOR EUCFW110038T4OFAYSUZ</t>
  </si>
  <si>
    <t>INVERSOR EUCFW110088T4OFAYSUZ-UI</t>
  </si>
  <si>
    <t>INVERSOR EUCFW110070T4OFAYSUZ-UI</t>
  </si>
  <si>
    <t>INVERSOR EUCFW110180T4OYSUZ-UI</t>
  </si>
  <si>
    <t>INVERSOR EUCFW110211T4OYSUZ-UI</t>
  </si>
  <si>
    <t>INVERSOR EUCFW110032T6OYHASCZ</t>
  </si>
  <si>
    <t>INVERSOR BRCFW110007T2OFAYECZ</t>
  </si>
  <si>
    <t>INVERSOR BRCFW110007T4O55FAYECZ</t>
  </si>
  <si>
    <t>INVERSOR BRCFW110013T4O55FAYECZ</t>
  </si>
  <si>
    <t>INVERSOR BRCFW110211T4ODCZ</t>
  </si>
  <si>
    <t>INVERSOR CFW900D96P0T4NB20Y2B-UI</t>
  </si>
  <si>
    <t>INVERSOR CFW900D0124T4NB20Y2B-UI</t>
  </si>
  <si>
    <t>INVERSOR CFW900D0146T4NB20Y2B-UI</t>
  </si>
  <si>
    <t>INVERSOR CFW900E0172T4NB20Y2B-UI</t>
  </si>
  <si>
    <t>INVERSOR CFW900E0203T4NB20Y2B-UI</t>
  </si>
  <si>
    <t>INVERSOR CFW900E0242T4NB20Y2B-UI</t>
  </si>
  <si>
    <t>INVERSOR BRCFW110211T4ODCZ-UI</t>
  </si>
  <si>
    <t>INVERSOR BRCFW110211T4ON1Z</t>
  </si>
  <si>
    <t>INVERSOR CFW900C74P0T4DB20Y2HEC</t>
  </si>
  <si>
    <t>INVERSOR EUCFW110013T4OFAYSUZ</t>
  </si>
  <si>
    <t>INVERSOR CFW500F88P0T4DB20C3H00ECG2</t>
  </si>
  <si>
    <t>INVERSOR NACFW110032T6OYZ-UI</t>
  </si>
  <si>
    <t>INVERSOR EUCFW110150T6OYWZ</t>
  </si>
  <si>
    <t>INVERSOR BRCFW110760T4ORBZ</t>
  </si>
  <si>
    <t>INVERSOR BRCFW110058T4ORBWHP1Z</t>
  </si>
  <si>
    <t>INVERSOR BRCFW110058T4OWDCZ</t>
  </si>
  <si>
    <t>INVERSOR BRCFW110142T4ODBYWZ-UI</t>
  </si>
  <si>
    <t>INVERSOR EUCFW110080T6OYTFZ</t>
  </si>
  <si>
    <t>INVERSOR BRCFW110211T4ORBWZ</t>
  </si>
  <si>
    <t>INVERSOR BRCFW110211T4OYWDCZ</t>
  </si>
  <si>
    <t>INVERSOR BRCFW110211T4ORBWZ-UI</t>
  </si>
  <si>
    <t>INVERSOR BRCFW110211T4OYWDCZ-UI</t>
  </si>
  <si>
    <t>INVERSOR MSCFW110010T4OFAYWZ</t>
  </si>
  <si>
    <t>INVERSOR MSCFW110045T4OFAYWZ</t>
  </si>
  <si>
    <t>INVERSOR MSCFW110058T4OFAYWZ</t>
  </si>
  <si>
    <t>INVERSOR CFW900D02P9T6DB20Y2B</t>
  </si>
  <si>
    <t>INVERSOR CFW900D04P2T6DB20Y2B</t>
  </si>
  <si>
    <t>INVERSOR CFW900D07P0T6DB20Y2B</t>
  </si>
  <si>
    <t>INVERSOR CFW900D10P0T6DB20Y2B</t>
  </si>
  <si>
    <t>INVERSOR CFW900D12P0T6DB20Y2B</t>
  </si>
  <si>
    <t>INVERSOR CFW900D17P0T6DB20Y2B</t>
  </si>
  <si>
    <t>INVERSOR CFW900D22P0T6DB20Y2B</t>
  </si>
  <si>
    <t>INVERSOR CFW900D27P0T6DB20Y2B</t>
  </si>
  <si>
    <t>INVERSOR CFW900D32P0T6DB20Y2B</t>
  </si>
  <si>
    <t>INVERSOR CFW900D44P0T6DB20Y2B</t>
  </si>
  <si>
    <t>INVERSOR CFW900D54P0T6DB20Y2B</t>
  </si>
  <si>
    <t>INVERSOR CFW900D64P0T6DB20Y2B</t>
  </si>
  <si>
    <t>INVERSOR CFW900D80P0T6DB20Y2BH1</t>
  </si>
  <si>
    <t>INVERSOR CFW900D99P0T6DB20Y2BH1</t>
  </si>
  <si>
    <t>INVERSOR CFW900D02P9T6NB20Y2B</t>
  </si>
  <si>
    <t>INVERSOR CFW900D04P2T6NB20Y2B</t>
  </si>
  <si>
    <t>INVERSOR CFW500G0211T4NB20C3ECG2</t>
  </si>
  <si>
    <t>INVERSOR CFW900D07P0T6NB20Y2B</t>
  </si>
  <si>
    <t>INVERSOR CFW900D10P0T6NB20Y2B</t>
  </si>
  <si>
    <t>INVERSOR CFW900D12P0T6NB20Y2B</t>
  </si>
  <si>
    <t>INVERSOR CFW900D17P0T6NB20Y2B</t>
  </si>
  <si>
    <t>INVERSOR CFW900D22P0T6NB20Y2B</t>
  </si>
  <si>
    <t>INVERSOR CFW900D27P0T6NB20Y2B</t>
  </si>
  <si>
    <t>INVERSOR CFW900D32P0T6NB20Y2B</t>
  </si>
  <si>
    <t>INVERSOR CFW900D44P0T6NB20Y2B</t>
  </si>
  <si>
    <t>INVERSOR CFW900D54P0T6NB20Y2B</t>
  </si>
  <si>
    <t>INVERSOR CFW900D64P0T6NB20Y2B</t>
  </si>
  <si>
    <t>INVERSOR CFW900D80P0T6NB20Y2BH1</t>
  </si>
  <si>
    <t>INVERSOR CFW900D99P0T6NB20Y2BH1</t>
  </si>
  <si>
    <t>INVERSOR CFW500G0180T4DB20C3H00ECG2</t>
  </si>
  <si>
    <t>INVERSOR EUCFW110070T4OHALSRPZ</t>
  </si>
  <si>
    <t>INVERSOR BRCFW110058T4O55ECZ</t>
  </si>
  <si>
    <t>INVERSOR BRCFW110045T2OTTZ</t>
  </si>
  <si>
    <t>INVERSOR BRCFW110024T4OTTZ</t>
  </si>
  <si>
    <t>INVERSOR BRCFW110031T4OTTZ</t>
  </si>
  <si>
    <t>INVERSOR BRCFW110028T2OTTZ</t>
  </si>
  <si>
    <t>INVERSOR BRCFW110016T2OFAYZ</t>
  </si>
  <si>
    <t>INVERSOR BRCFW110070T2OFAYZ</t>
  </si>
  <si>
    <t>INVERSOR MSCFW110013T4OFAYWZ</t>
  </si>
  <si>
    <t>INVERSOR BRCFW110010T2OFAECZ</t>
  </si>
  <si>
    <t>INVERSOR NACFW110016T2OWZ</t>
  </si>
  <si>
    <t>INVERSOR EUCFW110038T4OFAWZ</t>
  </si>
  <si>
    <t>INVERSOR EUCFW110058T4OFAWZ</t>
  </si>
  <si>
    <t>INVERSOR EUCFW110070T4OFAWZ</t>
  </si>
  <si>
    <t>INVERSOR EUCFW110070T4OFAWZ-UI</t>
  </si>
  <si>
    <t>INVERSOR BRCFW110010T2OFAYECZ</t>
  </si>
  <si>
    <t>INVERSOR BRCFW110033T2OFAYECZ</t>
  </si>
  <si>
    <t>INVERSOR BRCFW110086T2OFAYECZ</t>
  </si>
  <si>
    <t>INVERSOR EUCFW110601T4ORBHF1SQZ</t>
  </si>
  <si>
    <t>INVERSOR BRCFW110760T4ORBH1Z</t>
  </si>
  <si>
    <t>INVERSOR BRCFW110003T4ON1Z</t>
  </si>
  <si>
    <t>INVERSOR BRCFW110760T4ORBH1Z-UI</t>
  </si>
  <si>
    <t>INVERSOR BRCFW110016T2OWZ</t>
  </si>
  <si>
    <t>INVERSOR BRCFW110070T2OWZ</t>
  </si>
  <si>
    <t>INVERSOR CFW900D0110T2NB20Y2B-UI</t>
  </si>
  <si>
    <t>INVERSOR CFW900D0135T2NB20Y2B-UI</t>
  </si>
  <si>
    <t>INVERSOR CFW900D0150T2NB20Y2B-UI</t>
  </si>
  <si>
    <t>INVERSOR CFW900E0172T2NB20Y2B-UI</t>
  </si>
  <si>
    <t>INVERSOR CFW900E0195T2NB20Y2B-UI</t>
  </si>
  <si>
    <t>INVERSOR CFW900E0250T2NB20Y2B-UI</t>
  </si>
  <si>
    <t>INVERSOR NACFW110080T6ONBYTVZ</t>
  </si>
  <si>
    <t>INVERSOR BRCFW110007T6ONFYZ</t>
  </si>
  <si>
    <t>INVERSOR BRCFW110211T4OSSZ-UI</t>
  </si>
  <si>
    <t>INVERSOR BRCFW110180T4OSSZ-UI</t>
  </si>
  <si>
    <t>INVERSOR CM500C47P0T2DB66G2</t>
  </si>
  <si>
    <t>INVERSOR CM500C56P0T2DB66G2</t>
  </si>
  <si>
    <t>INVERSOR CM500F0105T2DB20G2</t>
  </si>
  <si>
    <t>INVERSOR CM500F0105T2DB20C3G2</t>
  </si>
  <si>
    <t>INVERSOR CM500F77P0T2DB20G2</t>
  </si>
  <si>
    <t>INVERSOR CM500F77P0T2DB20C3G2</t>
  </si>
  <si>
    <t>INVERSOR CM500F88P0T2DB20G2</t>
  </si>
  <si>
    <t>INVERSOR CM500F88P0T2DB20C3G2</t>
  </si>
  <si>
    <t>INVERSOR CM500F0105T4DB20G2</t>
  </si>
  <si>
    <t>INVERSOR CM500F0105T4DB20C3G2</t>
  </si>
  <si>
    <t>INVERSOR CM500F77P0T4DB20G2</t>
  </si>
  <si>
    <t>INVERSOR CM500F77P0T4DB20C3G2</t>
  </si>
  <si>
    <t>INVERSOR CM500F88P0T4DB20G2</t>
  </si>
  <si>
    <t>INVERSOR CM500F88P0T4DB20C3G2</t>
  </si>
  <si>
    <t>INVERSOR CM500G0145T2DB20C3G2</t>
  </si>
  <si>
    <t>INVERSOR CM500G0145T2NB20C3G2</t>
  </si>
  <si>
    <t>INVERSOR CM500G0145T2DB20G2</t>
  </si>
  <si>
    <t>INVERSOR CM500G0145T2NB20G2</t>
  </si>
  <si>
    <t>INVERSOR CM500G0180T2DB20C3G2</t>
  </si>
  <si>
    <t>INVERSOR CM500G0180T2NB20C3G2</t>
  </si>
  <si>
    <t>INVERSOR CM500G0180T2DB20G2</t>
  </si>
  <si>
    <t>INVERSOR CM500G0180T2NB20G2</t>
  </si>
  <si>
    <t>INVERSOR CM500G0211T2DB20C3G2</t>
  </si>
  <si>
    <t>INVERSOR CM500G0211T2NB20C3G2</t>
  </si>
  <si>
    <t>INVERSOR CM500G0211T2DB20G2</t>
  </si>
  <si>
    <t>INVERSOR CM500G0211T2NB20G2</t>
  </si>
  <si>
    <t>INVERSOR CM500G0142T4DB20C3G2</t>
  </si>
  <si>
    <t>INVERSOR CM500G0142T4NB20C3G2</t>
  </si>
  <si>
    <t>INVERSOR CM500G0142T4DB20G2</t>
  </si>
  <si>
    <t>INVERSOR CM500G0142T4NB20G2</t>
  </si>
  <si>
    <t>INVERSOR CM500G0180T4DB20C3G2</t>
  </si>
  <si>
    <t>INVERSOR CM500G0180T4NB20C3G2</t>
  </si>
  <si>
    <t>INVERSOR CM500G0180T4DB20G2</t>
  </si>
  <si>
    <t>INVERSOR CM500G0180T4NB20G2</t>
  </si>
  <si>
    <t>INVERSOR CM500G0211T4DB20C3G2</t>
  </si>
  <si>
    <t>INVERSOR CM500G0211T4NB20C3G2</t>
  </si>
  <si>
    <t>INVERSOR CM500G0211T4DB20G2</t>
  </si>
  <si>
    <t>INVERSOR CM500G0211T4NB20G2</t>
  </si>
  <si>
    <t>INVERSOR NACFW110105T2O55ECZ</t>
  </si>
  <si>
    <t>INVERSOR EUCFW110477T4ORBECZ</t>
  </si>
  <si>
    <t>INVERSOR EUCFW110477T4ORBECZ-UI</t>
  </si>
  <si>
    <t>INVERSOR EUCFW110370T4ORBHF1SQZ-UI</t>
  </si>
  <si>
    <t>INVERSOR EUCFW110601T4ORBHF1SQZ-UI</t>
  </si>
  <si>
    <t>INVERSOR BRCFW110211T4ODBYTGZ</t>
  </si>
  <si>
    <t>INVERSOR EUCFW110180T4OWZ-UI</t>
  </si>
  <si>
    <t>INVERSOR BRCFW110211T4ODBYTGZ-UI</t>
  </si>
  <si>
    <t>INVERSOR CFW900D0124T4NB20Y2BHEC</t>
  </si>
  <si>
    <t>INVERSOR CFW900D02P9T6DB20Y2</t>
  </si>
  <si>
    <t>INVERSOR CFW900D04P2T6DB20Y2</t>
  </si>
  <si>
    <t>INVERSOR CFW900D07P0T6DB20Y2</t>
  </si>
  <si>
    <t>INVERSOR CFW900D22P0T6DB20Y2</t>
  </si>
  <si>
    <t>INVERSOR CFW900D10P0T6DB20Y2</t>
  </si>
  <si>
    <t>INVERSOR CFW900D12P0T6DB20Y2</t>
  </si>
  <si>
    <t>INVERSOR CFW900D17P0T6DB20Y2</t>
  </si>
  <si>
    <t>INVERSOR CFW900D27P0T6DB20Y2</t>
  </si>
  <si>
    <t>INVERSOR CFW900D32P0T6DB20Y2</t>
  </si>
  <si>
    <t>INVERSOR CFW900D44P0T6DB20Y2</t>
  </si>
  <si>
    <t>INVERSOR CFW900D54P0T6DB20Y2</t>
  </si>
  <si>
    <t>INVERSOR CFW900D64P0T6DB20Y2</t>
  </si>
  <si>
    <t>INVERSOR CFW900D80P0T6DB20Y2H1</t>
  </si>
  <si>
    <t>INVERSOR CFW900D99P0T6DB20Y2H1</t>
  </si>
  <si>
    <t>INVERSOR CFW900D02P9T6NB20Y2</t>
  </si>
  <si>
    <t>INVERSOR CFW900D04P2T6NB20Y2</t>
  </si>
  <si>
    <t>INVERSOR CFW900D07P0T6NB20Y2</t>
  </si>
  <si>
    <t>INVERSOR CFW900D10P0T6NB20Y2</t>
  </si>
  <si>
    <t>INVERSOR CFW900D12P0T6NB20Y2</t>
  </si>
  <si>
    <t>INVERSOR CFW900D17P0T6NB20Y2</t>
  </si>
  <si>
    <t>INVERSOR CFW900D22P0T6NB20Y2</t>
  </si>
  <si>
    <t>INVERSOR CFW900D27P0T6NB20Y2</t>
  </si>
  <si>
    <t>INVERSOR CFW900D32P0T6NB20Y2</t>
  </si>
  <si>
    <t>INVERSOR CFW900D44P0T6NB20Y2</t>
  </si>
  <si>
    <t>INVERSOR CFW900D54P0T6NB20Y2</t>
  </si>
  <si>
    <t>INVERSOR CFW900D64P0T6NB20Y2</t>
  </si>
  <si>
    <t>INVERSOR CFW900D80P0T6NB20Y2H1</t>
  </si>
  <si>
    <t>INVERSOR CFW900D99P0T6NB20Y2H1</t>
  </si>
  <si>
    <t>INVERSOR CFW900E0107T6NB20Y2B</t>
  </si>
  <si>
    <t>INVERSOR CFW900E0107T6DB20Y2B</t>
  </si>
  <si>
    <t>INVERSOR CFW900E0130T6NB20Y2B</t>
  </si>
  <si>
    <t>INVERSOR CFW900E0130T6DB20Y2B</t>
  </si>
  <si>
    <t>INVERSOR CFW900E0150T6NB20Y2B</t>
  </si>
  <si>
    <t>INVERSOR CFW900E0150T6DB20Y2B</t>
  </si>
  <si>
    <t>INVERSOR CFW900E0176T6NB20Y2B</t>
  </si>
  <si>
    <t>INVERSOR CFW900E0176T6DB20Y2B</t>
  </si>
  <si>
    <t>INVERSOR CFW900E0192T6NB20Y2B</t>
  </si>
  <si>
    <t>INVERSOR CFW900E0192T6DB20Y2B</t>
  </si>
  <si>
    <t>INVERSOR CFW900E0107T6NB20Y2</t>
  </si>
  <si>
    <t>INVERSOR CFW900E0107T6DB20Y2</t>
  </si>
  <si>
    <t>INVERSOR CFW900E0130T6NB20Y2</t>
  </si>
  <si>
    <t>INVERSOR CFW900E0130T6DB20Y2</t>
  </si>
  <si>
    <t>INVERSOR CFW900E0150T6NB20Y2</t>
  </si>
  <si>
    <t>INVERSOR CFW900E0150T6DB20Y2</t>
  </si>
  <si>
    <t>INVERSOR CFW900E0176T6NB20Y2</t>
  </si>
  <si>
    <t>INVERSOR CFW900E0176T6DB20Y2</t>
  </si>
  <si>
    <t>INVERSOR CFW900E0192T6NB20Y2</t>
  </si>
  <si>
    <t>INVERSOR CFW900E0192T6DB20Y2</t>
  </si>
  <si>
    <t>INVERSOR BRCFW110045T4O55FAECZ</t>
  </si>
  <si>
    <t>INVERSOR BRCFW110058T4O55FAECZ</t>
  </si>
  <si>
    <t>INVERSOR BRCFW110088T4O55FAECZ</t>
  </si>
  <si>
    <t>INVERSOR BRCFW110105T4O55ECZ</t>
  </si>
  <si>
    <t>INVERSOR BRCFW110211T4O55ECZ</t>
  </si>
  <si>
    <t>INVERSOR BRCFW110142T4O55ECZ</t>
  </si>
  <si>
    <t>INVERSOR CFW900C50P0T4DB20Y2BHEC</t>
  </si>
  <si>
    <t>INVERSOR CFW900C62P0T4DB20Y2BHEC</t>
  </si>
  <si>
    <t>INVERSOR CFW900D96P0T4NB20Y2BHEC</t>
  </si>
  <si>
    <t>INVERSOR CFW900D0146T4NB20Y2BHEC</t>
  </si>
  <si>
    <t>INVERSOR EUCFW110365T6ORBZ</t>
  </si>
  <si>
    <t>INVERSOR EUCFW110289T6ORBZ</t>
  </si>
  <si>
    <t>INVERSOR EUCFW110370T4ORBZ</t>
  </si>
  <si>
    <t>INVERSOR CFW900E0172T4NB20Y2BHEC</t>
  </si>
  <si>
    <t>INVERSOR EUCFW110058T4OHALPCPZ</t>
  </si>
  <si>
    <t>INVERSOR CFW900E0242T4NB20Y2BHEC</t>
  </si>
  <si>
    <t>INVERSOR EUCFW110370T4ORBZ-UI</t>
  </si>
  <si>
    <t>INVERSOR EUCFW110289T6ORBZ-UI</t>
  </si>
  <si>
    <t>INVERSOR EUCFW110365T6ORBZ-UI</t>
  </si>
  <si>
    <t>INVERSOR BRCFW110150T6OYECZ</t>
  </si>
  <si>
    <t>INVERSOR EUCFW110289T6ORBWZ</t>
  </si>
  <si>
    <t>INVERSOR EUCFW110365T6ORBWZ</t>
  </si>
  <si>
    <t>INVERSOR EUCFW110370T4ORBWZ</t>
  </si>
  <si>
    <t>INVERSOR EUCFW110289T6ORBWZ-UI</t>
  </si>
  <si>
    <t>INVERSOR EUCFW110365T6ORBWZ-UI</t>
  </si>
  <si>
    <t>INVERSOR EUCFW110370T4ORBWZ-UI</t>
  </si>
  <si>
    <t>INVERSOR BRCFW110150T6OYECZ-UI</t>
  </si>
  <si>
    <t>INVERSOR BRCFW110024T4O55FAECZ</t>
  </si>
  <si>
    <t>INVERSOR BRCFW110010T4O55FAECZ</t>
  </si>
  <si>
    <t>INVERSOR BRCFW110017T4O55FAECZ</t>
  </si>
  <si>
    <t>INVERSOR CFW900E0250T2NB20Y2BHEC</t>
  </si>
  <si>
    <t>INVERSOR CFW500F77P0T4DB20C3G2-UI</t>
  </si>
  <si>
    <t>INVERSOR CFW500F88P0T4DB20C3G2-UI</t>
  </si>
  <si>
    <t>INVERSOR CFW500F0105T4DB20C3G2-UI</t>
  </si>
  <si>
    <t>INVERSOR CFW500G0142T4NB20C3G2-UI</t>
  </si>
  <si>
    <t>INVERSOR CFW500G0180T4NB20C3G2-UI</t>
  </si>
  <si>
    <t>INVERSOR CFW500G0211T4NB20C3G2-UI</t>
  </si>
  <si>
    <t>INVERSOR BRCFW110028T2OHOTOZ</t>
  </si>
  <si>
    <t>INVERSOR BRCFW110033T2OHOTOZ</t>
  </si>
  <si>
    <t>INVERSOR BRCFW110045T2OHOTOZ</t>
  </si>
  <si>
    <t>INVERSOR BRCFW110024T4OHOTOZ</t>
  </si>
  <si>
    <t>INVERSOR BRCFW110031T4OHOTOZ</t>
  </si>
  <si>
    <t>INVERSOR EUCFW110242T4ORBZ</t>
  </si>
  <si>
    <t>INVERSOR EUCFW110370T4ORBSQZ</t>
  </si>
  <si>
    <t>INVERSOR EUCFW110477T4ORBSQZ</t>
  </si>
  <si>
    <t>INVERSOR EUCFW110370T4ORBSQZ-UI</t>
  </si>
  <si>
    <t>INVERSOR EUCFW110477T4ORBSQZ-UI</t>
  </si>
  <si>
    <t>INVERSOR EUCFW110142T4O55DSECZ</t>
  </si>
  <si>
    <t>INVERSOR EUCFW110038T4OFASUZ</t>
  </si>
  <si>
    <t>INVERSOR BRCFW110045T4O55FAZ</t>
  </si>
  <si>
    <t>INVERSOR EUCFW110312T4ORBSQZ</t>
  </si>
  <si>
    <t>INVERSOR EUCFW110312T4ORBSQZ-UI</t>
  </si>
  <si>
    <t>INVERSOR EUCFW110024T4OFAWTVZ</t>
  </si>
  <si>
    <t>INVERSOR EUCFW110038T4OFAWTVZ</t>
  </si>
  <si>
    <t>INVERSOR BRCFW110045T2O55FAZ</t>
  </si>
  <si>
    <t>INVERSOR EUCFW110242T4ORBWSQZ</t>
  </si>
  <si>
    <t>INVERSOR EUCFW110312T4ORBWSQZ</t>
  </si>
  <si>
    <t>INVERSOR EUCFW110370T4ORBWSQZ</t>
  </si>
  <si>
    <t>INVERSOR EUCFW110720T4ORBWSQZ</t>
  </si>
  <si>
    <t>INVERSOR EUCFW110601T4ORBWSQZ</t>
  </si>
  <si>
    <t>INVERSOR EUCFW110242T4ORBWSQZ-UI</t>
  </si>
  <si>
    <t>INVERSOR EUCFW110312T4ORBWSQZ-UI</t>
  </si>
  <si>
    <t>INVERSOR EUCFW110370T4ORBWSQZ-UI</t>
  </si>
  <si>
    <t>INVERSOR EUCFW110720T4ORBWSQZ-UI</t>
  </si>
  <si>
    <t>INVERSOR EUCFW110601T4ORBWSQZ-UI</t>
  </si>
  <si>
    <t>INVERSOR BRCFW110002T6OYWZ</t>
  </si>
  <si>
    <t>INVERSOR BRCFW110004T6OYWZ</t>
  </si>
  <si>
    <t>INVERSOR BRCFW110007T6OYWZ</t>
  </si>
  <si>
    <t>INVERSOR BRCFW110010T6OYWZ</t>
  </si>
  <si>
    <t>INVERSOR BRCFW110012T6OYWZ</t>
  </si>
  <si>
    <t>INVERSOR BRCFW110017T6OYWZ</t>
  </si>
  <si>
    <t>INVERSOR BRCFW110027T6OYWZ</t>
  </si>
  <si>
    <t>INVERSOR BRCFW110044T6OYWZ</t>
  </si>
  <si>
    <t>INVERSOR BRCFW110053T6OYWZ</t>
  </si>
  <si>
    <t>INVERSOR BRCFW110063T6OYWZ</t>
  </si>
  <si>
    <t>INVERSOR BRCFW110080T6OYWZ</t>
  </si>
  <si>
    <t>INVERSOR BRCFW110053T6OYWZ-UI</t>
  </si>
  <si>
    <t>INVERSOR BRCFW110063T6OYWZ-UI</t>
  </si>
  <si>
    <t>INVERSOR BRCFW110080T6OYWZ-UI</t>
  </si>
  <si>
    <t>INVERSOR BRCFW110107T6OYWZ-UI</t>
  </si>
  <si>
    <t>INVERSOR BRCFW110150T6OYWZ-UI</t>
  </si>
  <si>
    <t>INVERSOR BRCFW110002T6OYWZ-UI</t>
  </si>
  <si>
    <t>INVERSOR BRCFW110004T6OYWZ-UI</t>
  </si>
  <si>
    <t>INVERSOR BRCFW110007T6OYWZ-UI</t>
  </si>
  <si>
    <t>INVERSOR BRCFW110010T6OYWZ-UI</t>
  </si>
  <si>
    <t>INVERSOR BRCFW110012T6OYWZ-UI</t>
  </si>
  <si>
    <t>INVERSOR BRCFW110017T6OYWZ-UI</t>
  </si>
  <si>
    <t>INVERSOR BRCFW110027T6OYWZ-UI</t>
  </si>
  <si>
    <t>INVERSOR BRCFW110044T6OYWZ-UI</t>
  </si>
  <si>
    <t>INVERSOR BRCFW110142T2ODBYZ</t>
  </si>
  <si>
    <t>INVERSOR BRCFW110142T4ODBYTGZ</t>
  </si>
  <si>
    <t>INVERSOR BRCFW110142T4ODBYTGZ-UI</t>
  </si>
  <si>
    <t>INVERSOR CFW900E0203T4NB20Y2BHEC</t>
  </si>
  <si>
    <t>INVERSOR EUCFW110142T4OWZ</t>
  </si>
  <si>
    <t>INVERSOR CFW900D0110T2NB20Y2BHEC</t>
  </si>
  <si>
    <t>INVERSOR CFW900E0172T2NB20Y2BHEC</t>
  </si>
  <si>
    <t>INVERSOR CFW900D0110T2NB20Y2BHEC-UI</t>
  </si>
  <si>
    <t>INVERSOR CFW900E0172T2NB20Y2BHEC-UI</t>
  </si>
  <si>
    <t>INVERSOR BRCFW110013T4OTHZ</t>
  </si>
  <si>
    <t>INVERSOR BRCFW110031T4OTHZ</t>
  </si>
  <si>
    <t>INVERSOR BRCFW110058T4OTHZ</t>
  </si>
  <si>
    <t>INVERSOR CFW900D0124T4DB20Y2BHEC</t>
  </si>
  <si>
    <t>INVERSOR BRCFW110180T4ODCZ</t>
  </si>
  <si>
    <t>INVERSOR BRCFW110142T4OYDCZ</t>
  </si>
  <si>
    <t>INVERSOR BRCFW110211T4OTHZ</t>
  </si>
  <si>
    <t>INVERSOR BRCFW110142T4OYDCZ-UI</t>
  </si>
  <si>
    <t>INVERSOR NACFW110105T2OFA55ECZ</t>
  </si>
  <si>
    <t>044</t>
  </si>
  <si>
    <t>ITENS AGRUPADORES</t>
  </si>
  <si>
    <t>Descrição</t>
  </si>
  <si>
    <t>MRP</t>
  </si>
  <si>
    <t>Linha TF</t>
  </si>
  <si>
    <t>F11</t>
  </si>
  <si>
    <t>F03</t>
  </si>
  <si>
    <t>Coluna1</t>
  </si>
  <si>
    <t>0,000</t>
  </si>
  <si>
    <t>0,400</t>
  </si>
  <si>
    <t>0,938</t>
  </si>
  <si>
    <t>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</si>
</sst>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023A5-F6B6-4B36-BE2B-8577D01AC08B}" name="Tabela1" displayName="Tabela1" ref="A1:E3152" totalsRowShown="0">
  <autoFilter ref="A1:E3152" xr:uid="{28B023A5-F6B6-4B36-BE2B-8577D01AC08B}"/>
  <tableColumns count="5">
    <tableColumn id="1" xr3:uid="{A381B869-1022-4A62-9715-4B50D895B18B}" name="Material"/>
    <tableColumn id="2" xr3:uid="{7A8EF43D-8EA3-4EF5-A814-6DA1DE336543}" name="Descrição">
      <calculatedColumnFormula>VLOOKUP(A2,Planilha2!B:C,2,0)</calculatedColumnFormula>
    </tableColumn>
    <tableColumn id="4" xr3:uid="{E11D299A-1DD0-477E-A4B2-3B3F0FA4E6A4}" name="Linha TF"/>
    <tableColumn id="3" xr3:uid="{B7BB9BD4-F4A2-4852-8B76-6A1892817821}" name="MRP">
      <calculatedColumnFormula>VLOOKUP(A2,Planilha2!B:H,7,0)</calculatedColumnFormula>
    </tableColumn>
    <tableColumn id="7" xr3:uid="{37E098B6-1B2E-45C4-83CB-B8553DF233B1}" name="Coluna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21AA-FAF7-483E-8B49-A4C2373148F9}">
  <sheetPr codeName="Planilha1"/>
  <dimension ref="A1:G3152"/>
  <sheetViews>
    <sheetView tabSelected="1" workbookViewId="0">
      <selection activeCell="M11" sqref="M11"/>
    </sheetView>
  </sheetViews>
  <sheetFormatPr defaultRowHeight="15" x14ac:dyDescent="0.25"/>
  <cols>
    <col min="1" max="1" width="10.42578125" customWidth="1"/>
    <col min="2" max="2" width="42.140625" bestFit="1" customWidth="1"/>
    <col min="3" max="3" width="42.140625" customWidth="1"/>
    <col min="4" max="4" width="19.7109375" bestFit="1" customWidth="1"/>
  </cols>
  <sheetData>
    <row r="1" spans="1:7" x14ac:dyDescent="0.25">
      <c r="A1" t="s">
        <v>0</v>
      </c>
      <c r="B1" t="s">
        <v>3166</v>
      </c>
      <c r="C1" t="s">
        <v>3168</v>
      </c>
      <c r="D1" t="s">
        <v>3167</v>
      </c>
      <c r="E1" t="s">
        <v>3171</v>
      </c>
    </row>
    <row r="2" spans="1:7" x14ac:dyDescent="0.25">
      <c r="A2">
        <v>14396993</v>
      </c>
      <c r="B2" t="str">
        <f>VLOOKUP(A2,Planilha2!B:C,2,0)</f>
        <v>INVERSOR NACFW110070T4OFAYWZ</v>
      </c>
      <c r="C2" t="s">
        <v>1</v>
      </c>
      <c r="D2" t="str">
        <f>VLOOKUP(A2,Planilha2!B:H,7,0)</f>
        <v>LINHA M3</v>
      </c>
      <c r="E2" s="5">
        <v>29500</v>
      </c>
      <c r="F2">
        <f>IFERROR(
IF(ISNUMBER(FIND("CFW110",B2)),
VALUE(MID(B2,FIND("CFW110",B2)+6,FIND("T",B2,FIND("CFW110",B2))-(FIND("CFW110",B2)+6))),
IF(ISNUMBER(FIND("D",B2)),
VALUE(SUBSTITUTE(MID(B2,FIND("D",B2)+1,FIND("T",B2,FIND("D",B2))-(FIND("D",B2)+1)),"P",",")),
IF(ISNUMBER(FIND("CFW5",B2)),
VALUE(MID(B2,
IF(ISNUMBER(FIND("F",B2)),FIND("F",B2)+1,FIND("G",B2)+1),
FIND("T",B2)-(IF(ISNUMBER(FIND("F",B2)),FIND("F",B2)+1,FIND("G",B2)+1))
)),
VALUE(MID(B2,FIND("E0",B2)+2,FIND("T",B2,FIND("E0",B2))-(FIND("E0",B2)+2)))
))),"")</f>
        <v>70</v>
      </c>
      <c r="G2">
        <f>IFERROR(
IF(ISNUMBER(FIND("T2",B2)),220,
IF(ISNUMBER(FIND("T4",B2)),440,
IF(ISNUMBER(FIND("T5",B2)),575,
IF(ISNUMBER(FIND("T6",B2)),690,"")))),
"")</f>
        <v>440</v>
      </c>
    </row>
    <row r="3" spans="1:7" x14ac:dyDescent="0.25">
      <c r="A3">
        <v>17224347</v>
      </c>
      <c r="B3" t="str">
        <f>VLOOKUP(A3,Planilha2!B:C,2,0)</f>
        <v>INVERSOR BRCFW110045T2O55FAYECZ</v>
      </c>
      <c r="C3" t="s">
        <v>1</v>
      </c>
      <c r="D3" t="str">
        <f>VLOOKUP(A3,Planilha2!B:H,7,0)</f>
        <v>LINHA M3</v>
      </c>
      <c r="E3" s="5">
        <v>15600</v>
      </c>
      <c r="F3">
        <f>IFERROR(
IF(ISNUMBER(FIND("CFW110",B3)),
VALUE(MID(B3,FIND("CFW110",B3)+6,FIND("T",B3,FIND("CFW110",B3))-(FIND("CFW110",B3)+6))),
IF(ISNUMBER(FIND("D",B3)),
VALUE(SUBSTITUTE(MID(B3,FIND("D",B3)+1,FIND("T",B3,FIND("D",B3))-(FIND("D",B3)+1)),"P",",")),
IF(ISNUMBER(FIND("CFW5",B3)),
VALUE(MID(B3,
IF(ISNUMBER(FIND("F",B3)),FIND("F",B3)+1,FIND("G",B3)+1),
FIND("T",B3)-(IF(ISNUMBER(FIND("F",B3)),FIND("F",B3)+1,FIND("G",B3)+1))
)),
VALUE(MID(B3,FIND("E0",B3)+2,FIND("T",B3,FIND("E0",B3))-(FIND("E0",B3)+2)))
))),"")</f>
        <v>45</v>
      </c>
      <c r="G3">
        <f>IFERROR(
IF(ISNUMBER(FIND("T2",B3)),220,
IF(ISNUMBER(FIND("T4",B3)),440,
IF(ISNUMBER(FIND("T5",B3)),575,
IF(ISNUMBER(FIND("T6",B3)),690,"")))),
"")</f>
        <v>220</v>
      </c>
    </row>
    <row r="4" spans="1:7" x14ac:dyDescent="0.25">
      <c r="A4">
        <v>14676621</v>
      </c>
      <c r="B4" t="str">
        <f>VLOOKUP(A4,Planilha2!B:C,2,0)</f>
        <v>INVERSOR BRCFW110070T2O55FASSZ</v>
      </c>
      <c r="C4" t="s">
        <v>1</v>
      </c>
      <c r="D4" t="str">
        <f>VLOOKUP(A4,Planilha2!B:H,7,0)</f>
        <v>LINHA M3</v>
      </c>
      <c r="E4" t="s">
        <v>3172</v>
      </c>
      <c r="F4">
        <f>IFERROR(
IF(ISNUMBER(FIND("CFW110",B4)),
VALUE(MID(B4,FIND("CFW110",B4)+6,FIND("T",B4,FIND("CFW110",B4))-(FIND("CFW110",B4)+6))),
IF(ISNUMBER(FIND("D",B4)),
VALUE(SUBSTITUTE(MID(B4,FIND("D",B4)+1,FIND("T",B4,FIND("D",B4))-(FIND("D",B4)+1)),"P",",")),
IF(ISNUMBER(FIND("CFW5",B4)),
VALUE(MID(B4,
IF(ISNUMBER(FIND("F",B4)),FIND("F",B4)+1,FIND("G",B4)+1),
FIND("T",B4)-(IF(ISNUMBER(FIND("F",B4)),FIND("F",B4)+1,FIND("G",B4)+1))
)),
VALUE(MID(B4,FIND("E0",B4)+2,FIND("T",B4,FIND("E0",B4))-(FIND("E0",B4)+2)))
))),"")</f>
        <v>70</v>
      </c>
      <c r="G4">
        <f>IFERROR(
IF(ISNUMBER(FIND("T2",B4)),220,
IF(ISNUMBER(FIND("T4",B4)),440,
IF(ISNUMBER(FIND("T5",B4)),575,
IF(ISNUMBER(FIND("T6",B4)),690,"")))),
"")</f>
        <v>220</v>
      </c>
    </row>
    <row r="5" spans="1:7" x14ac:dyDescent="0.25">
      <c r="A5">
        <v>14677580</v>
      </c>
      <c r="B5" t="str">
        <f>VLOOKUP(A5,Planilha2!B:C,2,0)</f>
        <v>INVERSOR BRCFW110142T2O55SSZ</v>
      </c>
      <c r="C5" t="s">
        <v>1</v>
      </c>
      <c r="D5" t="str">
        <f>VLOOKUP(A5,Planilha2!B:H,7,0)</f>
        <v>LINHA E1</v>
      </c>
      <c r="E5" t="s">
        <v>3172</v>
      </c>
      <c r="F5">
        <f>IFERROR(
IF(ISNUMBER(FIND("CFW110",B5)),
VALUE(MID(B5,FIND("CFW110",B5)+6,FIND("T",B5,FIND("CFW110",B5))-(FIND("CFW110",B5)+6))),
IF(ISNUMBER(FIND("D",B5)),
VALUE(SUBSTITUTE(MID(B5,FIND("D",B5)+1,FIND("T",B5,FIND("D",B5))-(FIND("D",B5)+1)),"P",",")),
IF(ISNUMBER(FIND("CFW5",B5)),
VALUE(MID(B5,
IF(ISNUMBER(FIND("F",B5)),FIND("F",B5)+1,FIND("G",B5)+1),
FIND("T",B5)-(IF(ISNUMBER(FIND("F",B5)),FIND("F",B5)+1,FIND("G",B5)+1))
)),
VALUE(MID(B5,FIND("E0",B5)+2,FIND("T",B5,FIND("E0",B5))-(FIND("E0",B5)+2)))
))),"")</f>
        <v>142</v>
      </c>
      <c r="G5">
        <f>IFERROR(
IF(ISNUMBER(FIND("T2",B5)),220,
IF(ISNUMBER(FIND("T4",B5)),440,
IF(ISNUMBER(FIND("T5",B5)),575,
IF(ISNUMBER(FIND("T6",B5)),690,"")))),
"")</f>
        <v>220</v>
      </c>
    </row>
    <row r="6" spans="1:7" x14ac:dyDescent="0.25">
      <c r="A6">
        <v>14764545</v>
      </c>
      <c r="B6" t="str">
        <f>VLOOKUP(A6,Planilha2!B:C,2,0)</f>
        <v>INVERSOR BRCFW110088T4OHALS9Z-UI</v>
      </c>
      <c r="C6" t="s">
        <v>1</v>
      </c>
      <c r="D6" t="str">
        <f>VLOOKUP(A6,Planilha2!B:H,7,0)</f>
        <v>LINHA M3</v>
      </c>
      <c r="E6" s="5">
        <v>26175</v>
      </c>
      <c r="F6">
        <f>IFERROR(
IF(ISNUMBER(FIND("CFW110",B6)),
VALUE(MID(B6,FIND("CFW110",B6)+6,FIND("T",B6,FIND("CFW110",B6))-(FIND("CFW110",B6)+6))),
IF(ISNUMBER(FIND("D",B6)),
VALUE(SUBSTITUTE(MID(B6,FIND("D",B6)+1,FIND("T",B6,FIND("D",B6))-(FIND("D",B6)+1)),"P",",")),
IF(ISNUMBER(FIND("CFW5",B6)),
VALUE(MID(B6,
IF(ISNUMBER(FIND("F",B6)),FIND("F",B6)+1,FIND("G",B6)+1),
FIND("T",B6)-(IF(ISNUMBER(FIND("F",B6)),FIND("F",B6)+1,FIND("G",B6)+1))
)),
VALUE(MID(B6,FIND("E0",B6)+2,FIND("T",B6,FIND("E0",B6))-(FIND("E0",B6)+2)))
))),"")</f>
        <v>88</v>
      </c>
      <c r="G6">
        <f>IFERROR(
IF(ISNUMBER(FIND("T2",B6)),220,
IF(ISNUMBER(FIND("T4",B6)),440,
IF(ISNUMBER(FIND("T5",B6)),575,
IF(ISNUMBER(FIND("T6",B6)),690,"")))),
"")</f>
        <v>440</v>
      </c>
    </row>
    <row r="7" spans="1:7" x14ac:dyDescent="0.25">
      <c r="A7">
        <v>14821623</v>
      </c>
      <c r="B7" t="str">
        <f>VLOOKUP(A7,Planilha2!B:C,2,0)</f>
        <v>INVERSOR BRCFW110088T4OSSZ</v>
      </c>
      <c r="C7" t="s">
        <v>1</v>
      </c>
      <c r="D7" t="str">
        <f>VLOOKUP(A7,Planilha2!B:H,7,0)</f>
        <v>LINHA M3</v>
      </c>
      <c r="E7" s="5">
        <v>26000</v>
      </c>
      <c r="F7">
        <f>IFERROR(
IF(ISNUMBER(FIND("CFW110",B7)),
VALUE(MID(B7,FIND("CFW110",B7)+6,FIND("T",B7,FIND("CFW110",B7))-(FIND("CFW110",B7)+6))),
IF(ISNUMBER(FIND("D",B7)),
VALUE(SUBSTITUTE(MID(B7,FIND("D",B7)+1,FIND("T",B7,FIND("D",B7))-(FIND("D",B7)+1)),"P",",")),
IF(ISNUMBER(FIND("CFW5",B7)),
VALUE(MID(B7,
IF(ISNUMBER(FIND("F",B7)),FIND("F",B7)+1,FIND("G",B7)+1),
FIND("T",B7)-(IF(ISNUMBER(FIND("F",B7)),FIND("F",B7)+1,FIND("G",B7)+1))
)),
VALUE(MID(B7,FIND("E0",B7)+2,FIND("T",B7,FIND("E0",B7))-(FIND("E0",B7)+2)))
))),"")</f>
        <v>88</v>
      </c>
      <c r="G7">
        <f>IFERROR(
IF(ISNUMBER(FIND("T2",B7)),220,
IF(ISNUMBER(FIND("T4",B7)),440,
IF(ISNUMBER(FIND("T5",B7)),575,
IF(ISNUMBER(FIND("T6",B7)),690,"")))),
"")</f>
        <v>440</v>
      </c>
    </row>
    <row r="8" spans="1:7" x14ac:dyDescent="0.25">
      <c r="A8">
        <v>11996061</v>
      </c>
      <c r="B8" t="str">
        <f>VLOOKUP(A8,Planilha2!B:C,2,0)</f>
        <v>INVERSOR NACFW110004T5ON1NFYZ</v>
      </c>
      <c r="C8" t="s">
        <v>1</v>
      </c>
      <c r="D8" t="str">
        <f>VLOOKUP(A8,Planilha2!B:H,7,0)</f>
        <v>LINHA P7</v>
      </c>
      <c r="E8" s="5">
        <v>9440</v>
      </c>
      <c r="F8">
        <f>IFERROR(
IF(ISNUMBER(FIND("CFW110",B8)),
VALUE(MID(B8,FIND("CFW110",B8)+6,FIND("T",B8,FIND("CFW110",B8))-(FIND("CFW110",B8)+6))),
IF(ISNUMBER(FIND("D",B8)),
VALUE(SUBSTITUTE(MID(B8,FIND("D",B8)+1,FIND("T",B8,FIND("D",B8))-(FIND("D",B8)+1)),"P",",")),
IF(ISNUMBER(FIND("CFW5",B8)),
VALUE(MID(B8,
IF(ISNUMBER(FIND("F",B8)),FIND("F",B8)+1,FIND("G",B8)+1),
FIND("T",B8)-(IF(ISNUMBER(FIND("F",B8)),FIND("F",B8)+1,FIND("G",B8)+1))
)),
VALUE(MID(B8,FIND("E0",B8)+2,FIND("T",B8,FIND("E0",B8))-(FIND("E0",B8)+2)))
))),"")</f>
        <v>4</v>
      </c>
      <c r="G8">
        <f>IFERROR(
IF(ISNUMBER(FIND("T2",B8)),220,
IF(ISNUMBER(FIND("T4",B8)),440,
IF(ISNUMBER(FIND("T5",B8)),575,
IF(ISNUMBER(FIND("T6",B8)),690,"")))),
"")</f>
        <v>575</v>
      </c>
    </row>
    <row r="9" spans="1:7" x14ac:dyDescent="0.25">
      <c r="A9">
        <v>13226625</v>
      </c>
      <c r="B9" t="str">
        <f>VLOOKUP(A9,Planilha2!B:C,2,0)</f>
        <v>INVERSOR CFW700C38P0T4DB20C3EC</v>
      </c>
      <c r="C9" t="s">
        <v>1</v>
      </c>
      <c r="D9" t="str">
        <f>VLOOKUP(A9,Planilha2!B:H,7,0)</f>
        <v>OBSOLETOS DRIVES</v>
      </c>
      <c r="E9" s="5">
        <v>16000</v>
      </c>
      <c r="F9" t="str">
        <f>IFERROR(
IF(ISNUMBER(FIND("CFW110",B9)),
VALUE(MID(B9,FIND("CFW110",B9)+6,FIND("T",B9,FIND("CFW110",B9))-(FIND("CFW110",B9)+6))),
IF(ISNUMBER(FIND("D",B9)),
VALUE(SUBSTITUTE(MID(B9,FIND("D",B9)+1,FIND("T",B9,FIND("D",B9))-(FIND("D",B9)+1)),"P",",")),
IF(ISNUMBER(FIND("CFW5",B9)),
VALUE(MID(B9,
IF(ISNUMBER(FIND("F",B9)),FIND("F",B9)+1,FIND("G",B9)+1),
FIND("T",B9)-(IF(ISNUMBER(FIND("F",B9)),FIND("F",B9)+1,FIND("G",B9)+1))
)),
VALUE(MID(B9,FIND("E0",B9)+2,FIND("T",B9,FIND("E0",B9))-(FIND("E0",B9)+2)))
))),"")</f>
        <v/>
      </c>
      <c r="G9">
        <f>IFERROR(
IF(ISNUMBER(FIND("T2",B9)),220,
IF(ISNUMBER(FIND("T4",B9)),440,
IF(ISNUMBER(FIND("T5",B9)),575,
IF(ISNUMBER(FIND("T6",B9)),690,"")))),
"")</f>
        <v>440</v>
      </c>
    </row>
    <row r="10" spans="1:7" x14ac:dyDescent="0.25">
      <c r="A10">
        <v>13226688</v>
      </c>
      <c r="B10" t="str">
        <f>VLOOKUP(A10,Planilha2!B:C,2,0)</f>
        <v>INVERSOR CFW700C45P0T4DB20C3Y1EC</v>
      </c>
      <c r="C10" t="s">
        <v>1</v>
      </c>
      <c r="D10" t="str">
        <f>VLOOKUP(A10,Planilha2!B:H,7,0)</f>
        <v>OBSOLETOS DRIVES</v>
      </c>
      <c r="E10" s="5">
        <v>16000</v>
      </c>
      <c r="F10" t="str">
        <f>IFERROR(
IF(ISNUMBER(FIND("CFW110",B10)),
VALUE(MID(B10,FIND("CFW110",B10)+6,FIND("T",B10,FIND("CFW110",B10))-(FIND("CFW110",B10)+6))),
IF(ISNUMBER(FIND("D",B10)),
VALUE(SUBSTITUTE(MID(B10,FIND("D",B10)+1,FIND("T",B10,FIND("D",B10))-(FIND("D",B10)+1)),"P",",")),
IF(ISNUMBER(FIND("CFW5",B10)),
VALUE(MID(B10,
IF(ISNUMBER(FIND("F",B10)),FIND("F",B10)+1,FIND("G",B10)+1),
FIND("T",B10)-(IF(ISNUMBER(FIND("F",B10)),FIND("F",B10)+1,FIND("G",B10)+1))
)),
VALUE(MID(B10,FIND("E0",B10)+2,FIND("T",B10,FIND("E0",B10))-(FIND("E0",B10)+2)))
))),"")</f>
        <v/>
      </c>
      <c r="G10">
        <f>IFERROR(
IF(ISNUMBER(FIND("T2",B10)),220,
IF(ISNUMBER(FIND("T4",B10)),440,
IF(ISNUMBER(FIND("T5",B10)),575,
IF(ISNUMBER(FIND("T6",B10)),690,"")))),
"")</f>
        <v>440</v>
      </c>
    </row>
    <row r="11" spans="1:7" x14ac:dyDescent="0.25">
      <c r="A11">
        <v>12789099</v>
      </c>
      <c r="B11" t="str">
        <f>VLOOKUP(A11,Planilha2!B:C,2,0)</f>
        <v>INVERSOR BRCFW110054T2OWZ</v>
      </c>
      <c r="C11" t="s">
        <v>1</v>
      </c>
      <c r="D11" t="str">
        <f>VLOOKUP(A11,Planilha2!B:H,7,0)</f>
        <v>LINHA M1</v>
      </c>
      <c r="E11" s="5">
        <v>16000</v>
      </c>
      <c r="F11">
        <f>IFERROR(
IF(ISNUMBER(FIND("CFW110",B11)),
VALUE(MID(B11,FIND("CFW110",B11)+6,FIND("T",B11,FIND("CFW110",B11))-(FIND("CFW110",B11)+6))),
IF(ISNUMBER(FIND("D",B11)),
VALUE(SUBSTITUTE(MID(B11,FIND("D",B11)+1,FIND("T",B11,FIND("D",B11))-(FIND("D",B11)+1)),"P",",")),
IF(ISNUMBER(FIND("CFW5",B11)),
VALUE(MID(B11,
IF(ISNUMBER(FIND("F",B11)),FIND("F",B11)+1,FIND("G",B11)+1),
FIND("T",B11)-(IF(ISNUMBER(FIND("F",B11)),FIND("F",B11)+1,FIND("G",B11)+1))
)),
VALUE(MID(B11,FIND("E0",B11)+2,FIND("T",B11,FIND("E0",B11))-(FIND("E0",B11)+2)))
))),"")</f>
        <v>54</v>
      </c>
      <c r="G11">
        <f>IFERROR(
IF(ISNUMBER(FIND("T2",B11)),220,
IF(ISNUMBER(FIND("T4",B11)),440,
IF(ISNUMBER(FIND("T5",B11)),575,
IF(ISNUMBER(FIND("T6",B11)),690,"")))),
"")</f>
        <v>220</v>
      </c>
    </row>
    <row r="12" spans="1:7" x14ac:dyDescent="0.25">
      <c r="A12">
        <v>12805752</v>
      </c>
      <c r="B12" t="str">
        <f>VLOOKUP(A12,Planilha2!B:C,2,0)</f>
        <v>INVERSOR CFW701C45P0T2DB20C3H00</v>
      </c>
      <c r="C12" t="s">
        <v>1</v>
      </c>
      <c r="D12" t="str">
        <f>VLOOKUP(A12,Planilha2!B:H,7,0)</f>
        <v>OBSOLETOS DRIVES</v>
      </c>
      <c r="E12" s="5">
        <v>16000</v>
      </c>
      <c r="F12" t="str">
        <f>IFERROR(
IF(ISNUMBER(FIND("CFW110",B12)),
VALUE(MID(B12,FIND("CFW110",B12)+6,FIND("T",B12,FIND("CFW110",B12))-(FIND("CFW110",B12)+6))),
IF(ISNUMBER(FIND("D",B12)),
VALUE(SUBSTITUTE(MID(B12,FIND("D",B12)+1,FIND("T",B12,FIND("D",B12))-(FIND("D",B12)+1)),"P",",")),
IF(ISNUMBER(FIND("CFW5",B12)),
VALUE(MID(B12,
IF(ISNUMBER(FIND("F",B12)),FIND("F",B12)+1,FIND("G",B12)+1),
FIND("T",B12)-(IF(ISNUMBER(FIND("F",B12)),FIND("F",B12)+1,FIND("G",B12)+1))
)),
VALUE(MID(B12,FIND("E0",B12)+2,FIND("T",B12,FIND("E0",B12))-(FIND("E0",B12)+2)))
))),"")</f>
        <v/>
      </c>
      <c r="G12">
        <f>IFERROR(
IF(ISNUMBER(FIND("T2",B12)),220,
IF(ISNUMBER(FIND("T4",B12)),440,
IF(ISNUMBER(FIND("T5",B12)),575,
IF(ISNUMBER(FIND("T6",B12)),690,"")))),
"")</f>
        <v>220</v>
      </c>
    </row>
    <row r="13" spans="1:7" x14ac:dyDescent="0.25">
      <c r="A13">
        <v>13253868</v>
      </c>
      <c r="B13" t="str">
        <f>VLOOKUP(A13,Planilha2!B:C,2,0)</f>
        <v>INVERSOR BRCFW110070T4OFASHZ</v>
      </c>
      <c r="C13" t="s">
        <v>1</v>
      </c>
      <c r="D13" t="str">
        <f>VLOOKUP(A13,Planilha2!B:H,7,0)</f>
        <v>LINHA M3</v>
      </c>
      <c r="E13" s="5">
        <v>26260</v>
      </c>
      <c r="F13">
        <f>IFERROR(
IF(ISNUMBER(FIND("CFW110",B13)),
VALUE(MID(B13,FIND("CFW110",B13)+6,FIND("T",B13,FIND("CFW110",B13))-(FIND("CFW110",B13)+6))),
IF(ISNUMBER(FIND("D",B13)),
VALUE(SUBSTITUTE(MID(B13,FIND("D",B13)+1,FIND("T",B13,FIND("D",B13))-(FIND("D",B13)+1)),"P",",")),
IF(ISNUMBER(FIND("CFW5",B13)),
VALUE(MID(B13,
IF(ISNUMBER(FIND("F",B13)),FIND("F",B13)+1,FIND("G",B13)+1),
FIND("T",B13)-(IF(ISNUMBER(FIND("F",B13)),FIND("F",B13)+1,FIND("G",B13)+1))
)),
VALUE(MID(B13,FIND("E0",B13)+2,FIND("T",B13,FIND("E0",B13))-(FIND("E0",B13)+2)))
))),"")</f>
        <v>70</v>
      </c>
      <c r="G13">
        <f>IFERROR(
IF(ISNUMBER(FIND("T2",B13)),220,
IF(ISNUMBER(FIND("T4",B13)),440,
IF(ISNUMBER(FIND("T5",B13)),575,
IF(ISNUMBER(FIND("T6",B13)),690,"")))),
"")</f>
        <v>440</v>
      </c>
    </row>
    <row r="14" spans="1:7" x14ac:dyDescent="0.25">
      <c r="A14">
        <v>13253869</v>
      </c>
      <c r="B14" t="str">
        <f>VLOOKUP(A14,Planilha2!B:C,2,0)</f>
        <v>INVERSOR BRCFW110088T4OFASHZ</v>
      </c>
      <c r="C14" t="s">
        <v>1</v>
      </c>
      <c r="D14" t="str">
        <f>VLOOKUP(A14,Planilha2!B:H,7,0)</f>
        <v>LINHA M3</v>
      </c>
      <c r="E14" s="5">
        <v>26260</v>
      </c>
      <c r="F14">
        <f>IFERROR(
IF(ISNUMBER(FIND("CFW110",B14)),
VALUE(MID(B14,FIND("CFW110",B14)+6,FIND("T",B14,FIND("CFW110",B14))-(FIND("CFW110",B14)+6))),
IF(ISNUMBER(FIND("D",B14)),
VALUE(SUBSTITUTE(MID(B14,FIND("D",B14)+1,FIND("T",B14,FIND("D",B14))-(FIND("D",B14)+1)),"P",",")),
IF(ISNUMBER(FIND("CFW5",B14)),
VALUE(MID(B14,
IF(ISNUMBER(FIND("F",B14)),FIND("F",B14)+1,FIND("G",B14)+1),
FIND("T",B14)-(IF(ISNUMBER(FIND("F",B14)),FIND("F",B14)+1,FIND("G",B14)+1))
)),
VALUE(MID(B14,FIND("E0",B14)+2,FIND("T",B14,FIND("E0",B14))-(FIND("E0",B14)+2)))
))),"")</f>
        <v>88</v>
      </c>
      <c r="G14">
        <f>IFERROR(
IF(ISNUMBER(FIND("T2",B14)),220,
IF(ISNUMBER(FIND("T4",B14)),440,
IF(ISNUMBER(FIND("T5",B14)),575,
IF(ISNUMBER(FIND("T6",B14)),690,"")))),
"")</f>
        <v>440</v>
      </c>
    </row>
    <row r="15" spans="1:7" x14ac:dyDescent="0.25">
      <c r="A15">
        <v>13253827</v>
      </c>
      <c r="B15" t="str">
        <f>VLOOKUP(A15,Planilha2!B:C,2,0)</f>
        <v>INVERSOR BRCFW110058T4OFASHZ</v>
      </c>
      <c r="C15" t="s">
        <v>1</v>
      </c>
      <c r="D15" t="str">
        <f>VLOOKUP(A15,Planilha2!B:H,7,0)</f>
        <v>LINHA M1</v>
      </c>
      <c r="E15" s="5">
        <v>4760</v>
      </c>
      <c r="F15">
        <f>IFERROR(
IF(ISNUMBER(FIND("CFW110",B15)),
VALUE(MID(B15,FIND("CFW110",B15)+6,FIND("T",B15,FIND("CFW110",B15))-(FIND("CFW110",B15)+6))),
IF(ISNUMBER(FIND("D",B15)),
VALUE(SUBSTITUTE(MID(B15,FIND("D",B15)+1,FIND("T",B15,FIND("D",B15))-(FIND("D",B15)+1)),"P",",")),
IF(ISNUMBER(FIND("CFW5",B15)),
VALUE(MID(B15,
IF(ISNUMBER(FIND("F",B15)),FIND("F",B15)+1,FIND("G",B15)+1),
FIND("T",B15)-(IF(ISNUMBER(FIND("F",B15)),FIND("F",B15)+1,FIND("G",B15)+1))
)),
VALUE(MID(B15,FIND("E0",B15)+2,FIND("T",B15,FIND("E0",B15))-(FIND("E0",B15)+2)))
))),"")</f>
        <v>58</v>
      </c>
      <c r="G15">
        <f>IFERROR(
IF(ISNUMBER(FIND("T2",B15)),220,
IF(ISNUMBER(FIND("T4",B15)),440,
IF(ISNUMBER(FIND("T5",B15)),575,
IF(ISNUMBER(FIND("T6",B15)),690,"")))),
"")</f>
        <v>440</v>
      </c>
    </row>
    <row r="16" spans="1:7" x14ac:dyDescent="0.25">
      <c r="A16">
        <v>13253826</v>
      </c>
      <c r="B16" t="str">
        <f>VLOOKUP(A16,Planilha2!B:C,2,0)</f>
        <v>INVERSOR BRCFW110045T4OFASHZ</v>
      </c>
      <c r="C16" t="s">
        <v>1</v>
      </c>
      <c r="D16" t="str">
        <f>VLOOKUP(A16,Planilha2!B:H,7,0)</f>
        <v>LINHA M1</v>
      </c>
      <c r="E16" s="5">
        <v>4760</v>
      </c>
      <c r="F16">
        <f>IFERROR(
IF(ISNUMBER(FIND("CFW110",B16)),
VALUE(MID(B16,FIND("CFW110",B16)+6,FIND("T",B16,FIND("CFW110",B16))-(FIND("CFW110",B16)+6))),
IF(ISNUMBER(FIND("D",B16)),
VALUE(SUBSTITUTE(MID(B16,FIND("D",B16)+1,FIND("T",B16,FIND("D",B16))-(FIND("D",B16)+1)),"P",",")),
IF(ISNUMBER(FIND("CFW5",B16)),
VALUE(MID(B16,
IF(ISNUMBER(FIND("F",B16)),FIND("F",B16)+1,FIND("G",B16)+1),
FIND("T",B16)-(IF(ISNUMBER(FIND("F",B16)),FIND("F",B16)+1,FIND("G",B16)+1))
)),
VALUE(MID(B16,FIND("E0",B16)+2,FIND("T",B16,FIND("E0",B16))-(FIND("E0",B16)+2)))
))),"")</f>
        <v>45</v>
      </c>
      <c r="G16">
        <f>IFERROR(
IF(ISNUMBER(FIND("T2",B16)),220,
IF(ISNUMBER(FIND("T4",B16)),440,
IF(ISNUMBER(FIND("T5",B16)),575,
IF(ISNUMBER(FIND("T6",B16)),690,"")))),
"")</f>
        <v>440</v>
      </c>
    </row>
    <row r="17" spans="1:7" x14ac:dyDescent="0.25">
      <c r="A17">
        <v>13290135</v>
      </c>
      <c r="B17" t="str">
        <f>VLOOKUP(A17,Planilha2!B:C,2,0)</f>
        <v>INVERSOR CFW700C44P0T5DB20</v>
      </c>
      <c r="C17" t="s">
        <v>1</v>
      </c>
      <c r="D17" t="str">
        <f>VLOOKUP(A17,Planilha2!B:H,7,0)</f>
        <v>OBSOLETOS DRIVES</v>
      </c>
      <c r="E17" s="5">
        <v>26000</v>
      </c>
      <c r="F17" t="str">
        <f>IFERROR(
IF(ISNUMBER(FIND("CFW110",B17)),
VALUE(MID(B17,FIND("CFW110",B17)+6,FIND("T",B17,FIND("CFW110",B17))-(FIND("CFW110",B17)+6))),
IF(ISNUMBER(FIND("D",B17)),
VALUE(SUBSTITUTE(MID(B17,FIND("D",B17)+1,FIND("T",B17,FIND("D",B17))-(FIND("D",B17)+1)),"P",",")),
IF(ISNUMBER(FIND("CFW5",B17)),
VALUE(MID(B17,
IF(ISNUMBER(FIND("F",B17)),FIND("F",B17)+1,FIND("G",B17)+1),
FIND("T",B17)-(IF(ISNUMBER(FIND("F",B17)),FIND("F",B17)+1,FIND("G",B17)+1))
)),
VALUE(MID(B17,FIND("E0",B17)+2,FIND("T",B17,FIND("E0",B17))-(FIND("E0",B17)+2)))
))),"")</f>
        <v/>
      </c>
      <c r="G17">
        <f>IFERROR(
IF(ISNUMBER(FIND("T2",B17)),220,
IF(ISNUMBER(FIND("T4",B17)),440,
IF(ISNUMBER(FIND("T5",B17)),575,
IF(ISNUMBER(FIND("T6",B17)),690,"")))),
"")</f>
        <v>575</v>
      </c>
    </row>
    <row r="18" spans="1:7" x14ac:dyDescent="0.25">
      <c r="A18">
        <v>13288113</v>
      </c>
      <c r="B18" t="str">
        <f>VLOOKUP(A18,Planilha2!B:C,2,0)</f>
        <v>INVERSOR BRCFW110058T4OFAWS7Z</v>
      </c>
      <c r="C18" t="s">
        <v>1</v>
      </c>
      <c r="D18" t="str">
        <f>VLOOKUP(A18,Planilha2!B:H,7,0)</f>
        <v>LINHA M1</v>
      </c>
      <c r="E18" s="5">
        <v>20500</v>
      </c>
      <c r="F18">
        <f>IFERROR(
IF(ISNUMBER(FIND("CFW110",B18)),
VALUE(MID(B18,FIND("CFW110",B18)+6,FIND("T",B18,FIND("CFW110",B18))-(FIND("CFW110",B18)+6))),
IF(ISNUMBER(FIND("D",B18)),
VALUE(SUBSTITUTE(MID(B18,FIND("D",B18)+1,FIND("T",B18,FIND("D",B18))-(FIND("D",B18)+1)),"P",",")),
IF(ISNUMBER(FIND("CFW5",B18)),
VALUE(MID(B18,
IF(ISNUMBER(FIND("F",B18)),FIND("F",B18)+1,FIND("G",B18)+1),
FIND("T",B18)-(IF(ISNUMBER(FIND("F",B18)),FIND("F",B18)+1,FIND("G",B18)+1))
)),
VALUE(MID(B18,FIND("E0",B18)+2,FIND("T",B18,FIND("E0",B18))-(FIND("E0",B18)+2)))
))),"")</f>
        <v>58</v>
      </c>
      <c r="G18">
        <f>IFERROR(
IF(ISNUMBER(FIND("T2",B18)),220,
IF(ISNUMBER(FIND("T4",B18)),440,
IF(ISNUMBER(FIND("T5",B18)),575,
IF(ISNUMBER(FIND("T6",B18)),690,"")))),
"")</f>
        <v>440</v>
      </c>
    </row>
    <row r="19" spans="1:7" x14ac:dyDescent="0.25">
      <c r="A19">
        <v>13325306</v>
      </c>
      <c r="B19" t="str">
        <f>VLOOKUP(A19,Planilha2!B:C,2,0)</f>
        <v>INVERSOR NACFW110058T4OFASWZ</v>
      </c>
      <c r="C19" t="s">
        <v>1</v>
      </c>
      <c r="D19" t="str">
        <f>VLOOKUP(A19,Planilha2!B:H,7,0)</f>
        <v>LINHA M1</v>
      </c>
      <c r="E19" s="5">
        <v>20600</v>
      </c>
      <c r="F19">
        <f>IFERROR(
IF(ISNUMBER(FIND("CFW110",B19)),
VALUE(MID(B19,FIND("CFW110",B19)+6,FIND("T",B19,FIND("CFW110",B19))-(FIND("CFW110",B19)+6))),
IF(ISNUMBER(FIND("D",B19)),
VALUE(SUBSTITUTE(MID(B19,FIND("D",B19)+1,FIND("T",B19,FIND("D",B19))-(FIND("D",B19)+1)),"P",",")),
IF(ISNUMBER(FIND("CFW5",B19)),
VALUE(MID(B19,
IF(ISNUMBER(FIND("F",B19)),FIND("F",B19)+1,FIND("G",B19)+1),
FIND("T",B19)-(IF(ISNUMBER(FIND("F",B19)),FIND("F",B19)+1,FIND("G",B19)+1))
)),
VALUE(MID(B19,FIND("E0",B19)+2,FIND("T",B19,FIND("E0",B19))-(FIND("E0",B19)+2)))
))),"")</f>
        <v>58</v>
      </c>
      <c r="G19">
        <f>IFERROR(
IF(ISNUMBER(FIND("T2",B19)),220,
IF(ISNUMBER(FIND("T4",B19)),440,
IF(ISNUMBER(FIND("T5",B19)),575,
IF(ISNUMBER(FIND("T6",B19)),690,"")))),
"")</f>
        <v>440</v>
      </c>
    </row>
    <row r="20" spans="1:7" x14ac:dyDescent="0.25">
      <c r="A20">
        <v>13312554</v>
      </c>
      <c r="B20" t="str">
        <f>VLOOKUP(A20,Planilha2!B:C,2,0)</f>
        <v>INVERSOR CFW701C44P0T5DB20C3</v>
      </c>
      <c r="C20" t="s">
        <v>1</v>
      </c>
      <c r="D20" t="str">
        <f>VLOOKUP(A20,Planilha2!B:H,7,0)</f>
        <v>OBSOLETOS DRIVES</v>
      </c>
      <c r="E20" s="5">
        <v>15000</v>
      </c>
      <c r="F20" t="str">
        <f>IFERROR(
IF(ISNUMBER(FIND("CFW110",B20)),
VALUE(MID(B20,FIND("CFW110",B20)+6,FIND("T",B20,FIND("CFW110",B20))-(FIND("CFW110",B20)+6))),
IF(ISNUMBER(FIND("D",B20)),
VALUE(SUBSTITUTE(MID(B20,FIND("D",B20)+1,FIND("T",B20,FIND("D",B20))-(FIND("D",B20)+1)),"P",",")),
IF(ISNUMBER(FIND("CFW5",B20)),
VALUE(MID(B20,
IF(ISNUMBER(FIND("F",B20)),FIND("F",B20)+1,FIND("G",B20)+1),
FIND("T",B20)-(IF(ISNUMBER(FIND("F",B20)),FIND("F",B20)+1,FIND("G",B20)+1))
)),
VALUE(MID(B20,FIND("E0",B20)+2,FIND("T",B20,FIND("E0",B20))-(FIND("E0",B20)+2)))
))),"")</f>
        <v/>
      </c>
      <c r="G20">
        <f>IFERROR(
IF(ISNUMBER(FIND("T2",B20)),220,
IF(ISNUMBER(FIND("T4",B20)),440,
IF(ISNUMBER(FIND("T5",B20)),575,
IF(ISNUMBER(FIND("T6",B20)),690,"")))),
"")</f>
        <v>575</v>
      </c>
    </row>
    <row r="21" spans="1:7" x14ac:dyDescent="0.25">
      <c r="A21">
        <v>13312550</v>
      </c>
      <c r="B21" t="str">
        <f>VLOOKUP(A21,Planilha2!B:C,2,0)</f>
        <v>INVERSOR CFW701C22P0T5DB20C3</v>
      </c>
      <c r="C21" t="s">
        <v>1</v>
      </c>
      <c r="D21" t="str">
        <f>VLOOKUP(A21,Planilha2!B:H,7,0)</f>
        <v>OBSOLETOS DRIVES</v>
      </c>
      <c r="E21" s="5">
        <v>15000</v>
      </c>
      <c r="F21" t="str">
        <f>IFERROR(
IF(ISNUMBER(FIND("CFW110",B21)),
VALUE(MID(B21,FIND("CFW110",B21)+6,FIND("T",B21,FIND("CFW110",B21))-(FIND("CFW110",B21)+6))),
IF(ISNUMBER(FIND("D",B21)),
VALUE(SUBSTITUTE(MID(B21,FIND("D",B21)+1,FIND("T",B21,FIND("D",B21))-(FIND("D",B21)+1)),"P",",")),
IF(ISNUMBER(FIND("CFW5",B21)),
VALUE(MID(B21,
IF(ISNUMBER(FIND("F",B21)),FIND("F",B21)+1,FIND("G",B21)+1),
FIND("T",B21)-(IF(ISNUMBER(FIND("F",B21)),FIND("F",B21)+1,FIND("G",B21)+1))
)),
VALUE(MID(B21,FIND("E0",B21)+2,FIND("T",B21,FIND("E0",B21))-(FIND("E0",B21)+2)))
))),"")</f>
        <v/>
      </c>
      <c r="G21">
        <f>IFERROR(
IF(ISNUMBER(FIND("T2",B21)),220,
IF(ISNUMBER(FIND("T4",B21)),440,
IF(ISNUMBER(FIND("T5",B21)),575,
IF(ISNUMBER(FIND("T6",B21)),690,"")))),
"")</f>
        <v>575</v>
      </c>
    </row>
    <row r="22" spans="1:7" x14ac:dyDescent="0.25">
      <c r="A22">
        <v>13312551</v>
      </c>
      <c r="B22" t="str">
        <f>VLOOKUP(A22,Planilha2!B:C,2,0)</f>
        <v>INVERSOR CFW701C27P0T5DB20C3</v>
      </c>
      <c r="C22" t="s">
        <v>1</v>
      </c>
      <c r="D22" t="str">
        <f>VLOOKUP(A22,Planilha2!B:H,7,0)</f>
        <v>OBSOLETOS DRIVES</v>
      </c>
      <c r="E22" s="5">
        <v>26280</v>
      </c>
      <c r="F22" t="str">
        <f>IFERROR(
IF(ISNUMBER(FIND("CFW110",B22)),
VALUE(MID(B22,FIND("CFW110",B22)+6,FIND("T",B22,FIND("CFW110",B22))-(FIND("CFW110",B22)+6))),
IF(ISNUMBER(FIND("D",B22)),
VALUE(SUBSTITUTE(MID(B22,FIND("D",B22)+1,FIND("T",B22,FIND("D",B22))-(FIND("D",B22)+1)),"P",",")),
IF(ISNUMBER(FIND("CFW5",B22)),
VALUE(MID(B22,
IF(ISNUMBER(FIND("F",B22)),FIND("F",B22)+1,FIND("G",B22)+1),
FIND("T",B22)-(IF(ISNUMBER(FIND("F",B22)),FIND("F",B22)+1,FIND("G",B22)+1))
)),
VALUE(MID(B22,FIND("E0",B22)+2,FIND("T",B22,FIND("E0",B22))-(FIND("E0",B22)+2)))
))),"")</f>
        <v/>
      </c>
      <c r="G22">
        <f>IFERROR(
IF(ISNUMBER(FIND("T2",B22)),220,
IF(ISNUMBER(FIND("T4",B22)),440,
IF(ISNUMBER(FIND("T5",B22)),575,
IF(ISNUMBER(FIND("T6",B22)),690,"")))),
"")</f>
        <v>575</v>
      </c>
    </row>
    <row r="23" spans="1:7" x14ac:dyDescent="0.25">
      <c r="A23">
        <v>13312552</v>
      </c>
      <c r="B23" t="str">
        <f>VLOOKUP(A23,Planilha2!B:C,2,0)</f>
        <v>INVERSOR CFW701C32P0T5DB20C3</v>
      </c>
      <c r="C23" t="s">
        <v>1</v>
      </c>
      <c r="D23" t="str">
        <f>VLOOKUP(A23,Planilha2!B:H,7,0)</f>
        <v>OBSOLETOS DRIVES</v>
      </c>
      <c r="E23" s="5">
        <v>26280</v>
      </c>
      <c r="F23" t="str">
        <f>IFERROR(
IF(ISNUMBER(FIND("CFW110",B23)),
VALUE(MID(B23,FIND("CFW110",B23)+6,FIND("T",B23,FIND("CFW110",B23))-(FIND("CFW110",B23)+6))),
IF(ISNUMBER(FIND("D",B23)),
VALUE(SUBSTITUTE(MID(B23,FIND("D",B23)+1,FIND("T",B23,FIND("D",B23))-(FIND("D",B23)+1)),"P",",")),
IF(ISNUMBER(FIND("CFW5",B23)),
VALUE(MID(B23,
IF(ISNUMBER(FIND("F",B23)),FIND("F",B23)+1,FIND("G",B23)+1),
FIND("T",B23)-(IF(ISNUMBER(FIND("F",B23)),FIND("F",B23)+1,FIND("G",B23)+1))
)),
VALUE(MID(B23,FIND("E0",B23)+2,FIND("T",B23,FIND("E0",B23))-(FIND("E0",B23)+2)))
))),"")</f>
        <v/>
      </c>
      <c r="G23">
        <f>IFERROR(
IF(ISNUMBER(FIND("T2",B23)),220,
IF(ISNUMBER(FIND("T4",B23)),440,
IF(ISNUMBER(FIND("T5",B23)),575,
IF(ISNUMBER(FIND("T6",B23)),690,"")))),
"")</f>
        <v>575</v>
      </c>
    </row>
    <row r="24" spans="1:7" x14ac:dyDescent="0.25">
      <c r="A24">
        <v>11988948</v>
      </c>
      <c r="B24" t="str">
        <f>VLOOKUP(A24,Planilha2!B:C,2,0)</f>
        <v>INVERSOR EUCFW110044T6OYZ</v>
      </c>
      <c r="C24" t="s">
        <v>1</v>
      </c>
      <c r="D24" t="str">
        <f>VLOOKUP(A24,Planilha2!B:H,7,0)</f>
        <v>LINHA M3</v>
      </c>
      <c r="E24" s="5">
        <v>30662</v>
      </c>
      <c r="F24">
        <f>IFERROR(
IF(ISNUMBER(FIND("CFW110",B24)),
VALUE(MID(B24,FIND("CFW110",B24)+6,FIND("T",B24,FIND("CFW110",B24))-(FIND("CFW110",B24)+6))),
IF(ISNUMBER(FIND("D",B24)),
VALUE(SUBSTITUTE(MID(B24,FIND("D",B24)+1,FIND("T",B24,FIND("D",B24))-(FIND("D",B24)+1)),"P",",")),
IF(ISNUMBER(FIND("CFW5",B24)),
VALUE(MID(B24,
IF(ISNUMBER(FIND("F",B24)),FIND("F",B24)+1,FIND("G",B24)+1),
FIND("T",B24)-(IF(ISNUMBER(FIND("F",B24)),FIND("F",B24)+1,FIND("G",B24)+1))
)),
VALUE(MID(B24,FIND("E0",B24)+2,FIND("T",B24,FIND("E0",B24))-(FIND("E0",B24)+2)))
))),"")</f>
        <v>44</v>
      </c>
      <c r="G24">
        <f>IFERROR(
IF(ISNUMBER(FIND("T2",B24)),220,
IF(ISNUMBER(FIND("T4",B24)),440,
IF(ISNUMBER(FIND("T5",B24)),575,
IF(ISNUMBER(FIND("T6",B24)),690,"")))),
"")</f>
        <v>690</v>
      </c>
    </row>
    <row r="25" spans="1:7" x14ac:dyDescent="0.25">
      <c r="A25">
        <v>13376845</v>
      </c>
      <c r="B25" t="str">
        <f>VLOOKUP(A25,Planilha2!B:C,2,0)</f>
        <v>INVERSOR EUCFW110044T6OYHASCZ</v>
      </c>
      <c r="C25" t="s">
        <v>1</v>
      </c>
      <c r="D25" t="str">
        <f>VLOOKUP(A25,Planilha2!B:H,7,0)</f>
        <v>LINHA M3</v>
      </c>
      <c r="E25" s="5">
        <v>31662</v>
      </c>
      <c r="F25">
        <f>IFERROR(
IF(ISNUMBER(FIND("CFW110",B25)),
VALUE(MID(B25,FIND("CFW110",B25)+6,FIND("T",B25,FIND("CFW110",B25))-(FIND("CFW110",B25)+6))),
IF(ISNUMBER(FIND("D",B25)),
VALUE(SUBSTITUTE(MID(B25,FIND("D",B25)+1,FIND("T",B25,FIND("D",B25))-(FIND("D",B25)+1)),"P",",")),
IF(ISNUMBER(FIND("CFW5",B25)),
VALUE(MID(B25,
IF(ISNUMBER(FIND("F",B25)),FIND("F",B25)+1,FIND("G",B25)+1),
FIND("T",B25)-(IF(ISNUMBER(FIND("F",B25)),FIND("F",B25)+1,FIND("G",B25)+1))
)),
VALUE(MID(B25,FIND("E0",B25)+2,FIND("T",B25,FIND("E0",B25))-(FIND("E0",B25)+2)))
))),"")</f>
        <v>44</v>
      </c>
      <c r="G25">
        <f>IFERROR(
IF(ISNUMBER(FIND("T2",B25)),220,
IF(ISNUMBER(FIND("T4",B25)),440,
IF(ISNUMBER(FIND("T5",B25)),575,
IF(ISNUMBER(FIND("T6",B25)),690,"")))),
"")</f>
        <v>690</v>
      </c>
    </row>
    <row r="26" spans="1:7" x14ac:dyDescent="0.25">
      <c r="A26">
        <v>13387384</v>
      </c>
      <c r="B26" t="str">
        <f>VLOOKUP(A26,Planilha2!B:C,2,0)</f>
        <v>INVERSOR CFW700D0105T2DB21</v>
      </c>
      <c r="C26" t="s">
        <v>1</v>
      </c>
      <c r="D26" t="str">
        <f>VLOOKUP(A26,Planilha2!B:H,7,0)</f>
        <v>OBSOLETOS DRIVES</v>
      </c>
      <c r="E26" s="5">
        <v>32421</v>
      </c>
      <c r="F26">
        <f>IFERROR(
IF(ISNUMBER(FIND("CFW110",B26)),
VALUE(MID(B26,FIND("CFW110",B26)+6,FIND("T",B26,FIND("CFW110",B26))-(FIND("CFW110",B26)+6))),
IF(ISNUMBER(FIND("D",B26)),
VALUE(SUBSTITUTE(MID(B26,FIND("D",B26)+1,FIND("T",B26,FIND("D",B26))-(FIND("D",B26)+1)),"P",",")),
IF(ISNUMBER(FIND("CFW5",B26)),
VALUE(MID(B26,
IF(ISNUMBER(FIND("F",B26)),FIND("F",B26)+1,FIND("G",B26)+1),
FIND("T",B26)-(IF(ISNUMBER(FIND("F",B26)),FIND("F",B26)+1,FIND("G",B26)+1))
)),
VALUE(MID(B26,FIND("E0",B26)+2,FIND("T",B26,FIND("E0",B26))-(FIND("E0",B26)+2)))
))),"")</f>
        <v>105</v>
      </c>
      <c r="G26">
        <f>IFERROR(
IF(ISNUMBER(FIND("T2",B26)),220,
IF(ISNUMBER(FIND("T4",B26)),440,
IF(ISNUMBER(FIND("T5",B26)),575,
IF(ISNUMBER(FIND("T6",B26)),690,"")))),
"")</f>
        <v>220</v>
      </c>
    </row>
    <row r="27" spans="1:7" x14ac:dyDescent="0.25">
      <c r="A27">
        <v>13390520</v>
      </c>
      <c r="B27" t="str">
        <f>VLOOKUP(A27,Planilha2!B:C,2,0)</f>
        <v>INVERSOR BRCFW110070T4OFAZ-UI</v>
      </c>
      <c r="C27" t="s">
        <v>1</v>
      </c>
      <c r="D27" t="str">
        <f>VLOOKUP(A27,Planilha2!B:H,7,0)</f>
        <v>LINHA M3</v>
      </c>
      <c r="E27" s="5">
        <v>26701</v>
      </c>
      <c r="F27">
        <f>IFERROR(
IF(ISNUMBER(FIND("CFW110",B27)),
VALUE(MID(B27,FIND("CFW110",B27)+6,FIND("T",B27,FIND("CFW110",B27))-(FIND("CFW110",B27)+6))),
IF(ISNUMBER(FIND("D",B27)),
VALUE(SUBSTITUTE(MID(B27,FIND("D",B27)+1,FIND("T",B27,FIND("D",B27))-(FIND("D",B27)+1)),"P",",")),
IF(ISNUMBER(FIND("CFW5",B27)),
VALUE(MID(B27,
IF(ISNUMBER(FIND("F",B27)),FIND("F",B27)+1,FIND("G",B27)+1),
FIND("T",B27)-(IF(ISNUMBER(FIND("F",B27)),FIND("F",B27)+1,FIND("G",B27)+1))
)),
VALUE(MID(B27,FIND("E0",B27)+2,FIND("T",B27,FIND("E0",B27))-(FIND("E0",B27)+2)))
))),"")</f>
        <v>70</v>
      </c>
      <c r="G27">
        <f>IFERROR(
IF(ISNUMBER(FIND("T2",B27)),220,
IF(ISNUMBER(FIND("T4",B27)),440,
IF(ISNUMBER(FIND("T5",B27)),575,
IF(ISNUMBER(FIND("T6",B27)),690,"")))),
"")</f>
        <v>440</v>
      </c>
    </row>
    <row r="28" spans="1:7" x14ac:dyDescent="0.25">
      <c r="A28">
        <v>13392071</v>
      </c>
      <c r="B28" t="str">
        <f>VLOOKUP(A28,Planilha2!B:C,2,0)</f>
        <v>INVERSOR BRCFW110088T4SZ-UI</v>
      </c>
      <c r="C28" t="s">
        <v>1</v>
      </c>
      <c r="D28" t="str">
        <f>VLOOKUP(A28,Planilha2!B:H,7,0)</f>
        <v>LINHA M3</v>
      </c>
      <c r="E28" s="5">
        <v>32600</v>
      </c>
      <c r="F28">
        <f>IFERROR(
IF(ISNUMBER(FIND("CFW110",B28)),
VALUE(MID(B28,FIND("CFW110",B28)+6,FIND("T",B28,FIND("CFW110",B28))-(FIND("CFW110",B28)+6))),
IF(ISNUMBER(FIND("D",B28)),
VALUE(SUBSTITUTE(MID(B28,FIND("D",B28)+1,FIND("T",B28,FIND("D",B28))-(FIND("D",B28)+1)),"P",",")),
IF(ISNUMBER(FIND("CFW5",B28)),
VALUE(MID(B28,
IF(ISNUMBER(FIND("F",B28)),FIND("F",B28)+1,FIND("G",B28)+1),
FIND("T",B28)-(IF(ISNUMBER(FIND("F",B28)),FIND("F",B28)+1,FIND("G",B28)+1))
)),
VALUE(MID(B28,FIND("E0",B28)+2,FIND("T",B28,FIND("E0",B28))-(FIND("E0",B28)+2)))
))),"")</f>
        <v>88</v>
      </c>
      <c r="G28">
        <f>IFERROR(
IF(ISNUMBER(FIND("T2",B28)),220,
IF(ISNUMBER(FIND("T4",B28)),440,
IF(ISNUMBER(FIND("T5",B28)),575,
IF(ISNUMBER(FIND("T6",B28)),690,"")))),
"")</f>
        <v>440</v>
      </c>
    </row>
    <row r="29" spans="1:7" x14ac:dyDescent="0.25">
      <c r="A29">
        <v>13392621</v>
      </c>
      <c r="B29" t="str">
        <f>VLOOKUP(A29,Planilha2!B:C,2,0)</f>
        <v>INVERSOR BRCFW110070T4OYWZ-UI</v>
      </c>
      <c r="C29" t="s">
        <v>1</v>
      </c>
      <c r="D29" t="str">
        <f>VLOOKUP(A29,Planilha2!B:H,7,0)</f>
        <v>LINHA M3</v>
      </c>
      <c r="E29" s="5">
        <v>26000</v>
      </c>
      <c r="F29">
        <f>IFERROR(
IF(ISNUMBER(FIND("CFW110",B29)),
VALUE(MID(B29,FIND("CFW110",B29)+6,FIND("T",B29,FIND("CFW110",B29))-(FIND("CFW110",B29)+6))),
IF(ISNUMBER(FIND("D",B29)),
VALUE(SUBSTITUTE(MID(B29,FIND("D",B29)+1,FIND("T",B29,FIND("D",B29))-(FIND("D",B29)+1)),"P",",")),
IF(ISNUMBER(FIND("CFW5",B29)),
VALUE(MID(B29,
IF(ISNUMBER(FIND("F",B29)),FIND("F",B29)+1,FIND("G",B29)+1),
FIND("T",B29)-(IF(ISNUMBER(FIND("F",B29)),FIND("F",B29)+1,FIND("G",B29)+1))
)),
VALUE(MID(B29,FIND("E0",B29)+2,FIND("T",B29,FIND("E0",B29))-(FIND("E0",B29)+2)))
))),"")</f>
        <v>70</v>
      </c>
      <c r="G29">
        <f>IFERROR(
IF(ISNUMBER(FIND("T2",B29)),220,
IF(ISNUMBER(FIND("T4",B29)),440,
IF(ISNUMBER(FIND("T5",B29)),575,
IF(ISNUMBER(FIND("T6",B29)),690,"")))),
"")</f>
        <v>440</v>
      </c>
    </row>
    <row r="30" spans="1:7" x14ac:dyDescent="0.25">
      <c r="A30">
        <v>13392622</v>
      </c>
      <c r="B30" t="str">
        <f>VLOOKUP(A30,Planilha2!B:C,2,0)</f>
        <v>INVERSOR BRCFW110070T4SZ-UI</v>
      </c>
      <c r="C30" t="s">
        <v>1</v>
      </c>
      <c r="D30" t="str">
        <f>VLOOKUP(A30,Planilha2!B:H,7,0)</f>
        <v>LINHA M3</v>
      </c>
      <c r="E30" s="5">
        <v>31100</v>
      </c>
      <c r="F30">
        <f>IFERROR(
IF(ISNUMBER(FIND("CFW110",B30)),
VALUE(MID(B30,FIND("CFW110",B30)+6,FIND("T",B30,FIND("CFW110",B30))-(FIND("CFW110",B30)+6))),
IF(ISNUMBER(FIND("D",B30)),
VALUE(SUBSTITUTE(MID(B30,FIND("D",B30)+1,FIND("T",B30,FIND("D",B30))-(FIND("D",B30)+1)),"P",",")),
IF(ISNUMBER(FIND("CFW5",B30)),
VALUE(MID(B30,
IF(ISNUMBER(FIND("F",B30)),FIND("F",B30)+1,FIND("G",B30)+1),
FIND("T",B30)-(IF(ISNUMBER(FIND("F",B30)),FIND("F",B30)+1,FIND("G",B30)+1))
)),
VALUE(MID(B30,FIND("E0",B30)+2,FIND("T",B30,FIND("E0",B30))-(FIND("E0",B30)+2)))
))),"")</f>
        <v>70</v>
      </c>
      <c r="G30">
        <f>IFERROR(
IF(ISNUMBER(FIND("T2",B30)),220,
IF(ISNUMBER(FIND("T4",B30)),440,
IF(ISNUMBER(FIND("T5",B30)),575,
IF(ISNUMBER(FIND("T6",B30)),690,"")))),
"")</f>
        <v>440</v>
      </c>
    </row>
    <row r="31" spans="1:7" x14ac:dyDescent="0.25">
      <c r="A31">
        <v>13392625</v>
      </c>
      <c r="B31" t="str">
        <f>VLOOKUP(A31,Planilha2!B:C,2,0)</f>
        <v>INVERSOR BRCFW110088T4OFAZ-UI</v>
      </c>
      <c r="C31" t="s">
        <v>1</v>
      </c>
      <c r="D31" t="str">
        <f>VLOOKUP(A31,Planilha2!B:H,7,0)</f>
        <v>LINHA M3</v>
      </c>
      <c r="E31" s="5">
        <v>29500</v>
      </c>
      <c r="F31">
        <f>IFERROR(
IF(ISNUMBER(FIND("CFW110",B31)),
VALUE(MID(B31,FIND("CFW110",B31)+6,FIND("T",B31,FIND("CFW110",B31))-(FIND("CFW110",B31)+6))),
IF(ISNUMBER(FIND("D",B31)),
VALUE(SUBSTITUTE(MID(B31,FIND("D",B31)+1,FIND("T",B31,FIND("D",B31))-(FIND("D",B31)+1)),"P",",")),
IF(ISNUMBER(FIND("CFW5",B31)),
VALUE(MID(B31,
IF(ISNUMBER(FIND("F",B31)),FIND("F",B31)+1,FIND("G",B31)+1),
FIND("T",B31)-(IF(ISNUMBER(FIND("F",B31)),FIND("F",B31)+1,FIND("G",B31)+1))
)),
VALUE(MID(B31,FIND("E0",B31)+2,FIND("T",B31,FIND("E0",B31))-(FIND("E0",B31)+2)))
))),"")</f>
        <v>88</v>
      </c>
      <c r="G31">
        <f>IFERROR(
IF(ISNUMBER(FIND("T2",B31)),220,
IF(ISNUMBER(FIND("T4",B31)),440,
IF(ISNUMBER(FIND("T5",B31)),575,
IF(ISNUMBER(FIND("T6",B31)),690,"")))),
"")</f>
        <v>440</v>
      </c>
    </row>
    <row r="32" spans="1:7" x14ac:dyDescent="0.25">
      <c r="A32">
        <v>13392627</v>
      </c>
      <c r="B32" t="str">
        <f>VLOOKUP(A32,Planilha2!B:C,2,0)</f>
        <v>INVERSOR BRCFW110105T2SZ-UI</v>
      </c>
      <c r="C32" t="s">
        <v>1</v>
      </c>
      <c r="D32" t="str">
        <f>VLOOKUP(A32,Planilha2!B:H,7,0)</f>
        <v>LINHA M3</v>
      </c>
      <c r="E32" s="5">
        <v>31400</v>
      </c>
      <c r="F32">
        <f>IFERROR(
IF(ISNUMBER(FIND("CFW110",B32)),
VALUE(MID(B32,FIND("CFW110",B32)+6,FIND("T",B32,FIND("CFW110",B32))-(FIND("CFW110",B32)+6))),
IF(ISNUMBER(FIND("D",B32)),
VALUE(SUBSTITUTE(MID(B32,FIND("D",B32)+1,FIND("T",B32,FIND("D",B32))-(FIND("D",B32)+1)),"P",",")),
IF(ISNUMBER(FIND("CFW5",B32)),
VALUE(MID(B32,
IF(ISNUMBER(FIND("F",B32)),FIND("F",B32)+1,FIND("G",B32)+1),
FIND("T",B32)-(IF(ISNUMBER(FIND("F",B32)),FIND("F",B32)+1,FIND("G",B32)+1))
)),
VALUE(MID(B32,FIND("E0",B32)+2,FIND("T",B32,FIND("E0",B32))-(FIND("E0",B32)+2)))
))),"")</f>
        <v>105</v>
      </c>
      <c r="G32">
        <f>IFERROR(
IF(ISNUMBER(FIND("T2",B32)),220,
IF(ISNUMBER(FIND("T4",B32)),440,
IF(ISNUMBER(FIND("T5",B32)),575,
IF(ISNUMBER(FIND("T6",B32)),690,"")))),
"")</f>
        <v>220</v>
      </c>
    </row>
    <row r="33" spans="1:7" x14ac:dyDescent="0.25">
      <c r="A33">
        <v>13392760</v>
      </c>
      <c r="B33" t="str">
        <f>VLOOKUP(A33,Planilha2!B:C,2,0)</f>
        <v>INVERSOR CFW700D70P5T4DBN1-UI</v>
      </c>
      <c r="C33" t="s">
        <v>1</v>
      </c>
      <c r="D33" t="str">
        <f>VLOOKUP(A33,Planilha2!B:H,7,0)</f>
        <v>LINHA M3</v>
      </c>
      <c r="E33" s="5">
        <v>26000</v>
      </c>
      <c r="F33">
        <f>IFERROR(
IF(ISNUMBER(FIND("CFW110",B33)),
VALUE(MID(B33,FIND("CFW110",B33)+6,FIND("T",B33,FIND("CFW110",B33))-(FIND("CFW110",B33)+6))),
IF(ISNUMBER(FIND("D",B33)),
VALUE(SUBSTITUTE(MID(B33,FIND("D",B33)+1,FIND("T",B33,FIND("D",B33))-(FIND("D",B33)+1)),"P",",")),
IF(ISNUMBER(FIND("CFW5",B33)),
VALUE(MID(B33,
IF(ISNUMBER(FIND("F",B33)),FIND("F",B33)+1,FIND("G",B33)+1),
FIND("T",B33)-(IF(ISNUMBER(FIND("F",B33)),FIND("F",B33)+1,FIND("G",B33)+1))
)),
VALUE(MID(B33,FIND("E0",B33)+2,FIND("T",B33,FIND("E0",B33))-(FIND("E0",B33)+2)))
))),"")</f>
        <v>70.5</v>
      </c>
      <c r="G33">
        <f>IFERROR(
IF(ISNUMBER(FIND("T2",B33)),220,
IF(ISNUMBER(FIND("T4",B33)),440,
IF(ISNUMBER(FIND("T5",B33)),575,
IF(ISNUMBER(FIND("T6",B33)),690,"")))),
"")</f>
        <v>440</v>
      </c>
    </row>
    <row r="34" spans="1:7" x14ac:dyDescent="0.25">
      <c r="A34">
        <v>13392763</v>
      </c>
      <c r="B34" t="str">
        <f>VLOOKUP(A34,Planilha2!B:C,2,0)</f>
        <v>INVERSOR CFW700D88P0T4DBN1-UI</v>
      </c>
      <c r="C34" t="s">
        <v>1</v>
      </c>
      <c r="D34" t="str">
        <f>VLOOKUP(A34,Planilha2!B:H,7,0)</f>
        <v>LINHA M3</v>
      </c>
      <c r="E34" s="5">
        <v>31100</v>
      </c>
      <c r="F34">
        <f>IFERROR(
IF(ISNUMBER(FIND("CFW110",B34)),
VALUE(MID(B34,FIND("CFW110",B34)+6,FIND("T",B34,FIND("CFW110",B34))-(FIND("CFW110",B34)+6))),
IF(ISNUMBER(FIND("D",B34)),
VALUE(SUBSTITUTE(MID(B34,FIND("D",B34)+1,FIND("T",B34,FIND("D",B34))-(FIND("D",B34)+1)),"P",",")),
IF(ISNUMBER(FIND("CFW5",B34)),
VALUE(MID(B34,
IF(ISNUMBER(FIND("F",B34)),FIND("F",B34)+1,FIND("G",B34)+1),
FIND("T",B34)-(IF(ISNUMBER(FIND("F",B34)),FIND("F",B34)+1,FIND("G",B34)+1))
)),
VALUE(MID(B34,FIND("E0",B34)+2,FIND("T",B34,FIND("E0",B34))-(FIND("E0",B34)+2)))
))),"")</f>
        <v>88</v>
      </c>
      <c r="G34">
        <f>IFERROR(
IF(ISNUMBER(FIND("T2",B34)),220,
IF(ISNUMBER(FIND("T4",B34)),440,
IF(ISNUMBER(FIND("T5",B34)),575,
IF(ISNUMBER(FIND("T6",B34)),690,"")))),
"")</f>
        <v>440</v>
      </c>
    </row>
    <row r="35" spans="1:7" x14ac:dyDescent="0.25">
      <c r="A35">
        <v>13392764</v>
      </c>
      <c r="B35" t="str">
        <f>VLOOKUP(A35,Planilha2!B:C,2,0)</f>
        <v>INVERSOR EUCFW110070T4OFAYZ-UI</v>
      </c>
      <c r="C35" t="s">
        <v>1</v>
      </c>
      <c r="D35" t="str">
        <f>VLOOKUP(A35,Planilha2!B:H,7,0)</f>
        <v>LINHA M3</v>
      </c>
      <c r="E35" s="5">
        <v>31100</v>
      </c>
      <c r="F35">
        <f>IFERROR(
IF(ISNUMBER(FIND("CFW110",B35)),
VALUE(MID(B35,FIND("CFW110",B35)+6,FIND("T",B35,FIND("CFW110",B35))-(FIND("CFW110",B35)+6))),
IF(ISNUMBER(FIND("D",B35)),
VALUE(SUBSTITUTE(MID(B35,FIND("D",B35)+1,FIND("T",B35,FIND("D",B35))-(FIND("D",B35)+1)),"P",",")),
IF(ISNUMBER(FIND("CFW5",B35)),
VALUE(MID(B35,
IF(ISNUMBER(FIND("F",B35)),FIND("F",B35)+1,FIND("G",B35)+1),
FIND("T",B35)-(IF(ISNUMBER(FIND("F",B35)),FIND("F",B35)+1,FIND("G",B35)+1))
)),
VALUE(MID(B35,FIND("E0",B35)+2,FIND("T",B35,FIND("E0",B35))-(FIND("E0",B35)+2)))
))),"")</f>
        <v>70</v>
      </c>
      <c r="G35">
        <f>IFERROR(
IF(ISNUMBER(FIND("T2",B35)),220,
IF(ISNUMBER(FIND("T4",B35)),440,
IF(ISNUMBER(FIND("T5",B35)),575,
IF(ISNUMBER(FIND("T6",B35)),690,"")))),
"")</f>
        <v>440</v>
      </c>
    </row>
    <row r="36" spans="1:7" x14ac:dyDescent="0.25">
      <c r="A36">
        <v>13392765</v>
      </c>
      <c r="B36" t="str">
        <f>VLOOKUP(A36,Planilha2!B:C,2,0)</f>
        <v>INVERSOR EUCFW110088T4OFAZ-UI</v>
      </c>
      <c r="C36" t="s">
        <v>1</v>
      </c>
      <c r="D36" t="str">
        <f>VLOOKUP(A36,Planilha2!B:H,7,0)</f>
        <v>LINHA M3</v>
      </c>
      <c r="E36" s="5">
        <v>32600</v>
      </c>
      <c r="F36">
        <f>IFERROR(
IF(ISNUMBER(FIND("CFW110",B36)),
VALUE(MID(B36,FIND("CFW110",B36)+6,FIND("T",B36,FIND("CFW110",B36))-(FIND("CFW110",B36)+6))),
IF(ISNUMBER(FIND("D",B36)),
VALUE(SUBSTITUTE(MID(B36,FIND("D",B36)+1,FIND("T",B36,FIND("D",B36))-(FIND("D",B36)+1)),"P",",")),
IF(ISNUMBER(FIND("CFW5",B36)),
VALUE(MID(B36,
IF(ISNUMBER(FIND("F",B36)),FIND("F",B36)+1,FIND("G",B36)+1),
FIND("T",B36)-(IF(ISNUMBER(FIND("F",B36)),FIND("F",B36)+1,FIND("G",B36)+1))
)),
VALUE(MID(B36,FIND("E0",B36)+2,FIND("T",B36,FIND("E0",B36))-(FIND("E0",B36)+2)))
))),"")</f>
        <v>88</v>
      </c>
      <c r="G36">
        <f>IFERROR(
IF(ISNUMBER(FIND("T2",B36)),220,
IF(ISNUMBER(FIND("T4",B36)),440,
IF(ISNUMBER(FIND("T5",B36)),575,
IF(ISNUMBER(FIND("T6",B36)),690,"")))),
"")</f>
        <v>440</v>
      </c>
    </row>
    <row r="37" spans="1:7" x14ac:dyDescent="0.25">
      <c r="A37">
        <v>13392766</v>
      </c>
      <c r="B37" t="str">
        <f>VLOOKUP(A37,Planilha2!B:C,2,0)</f>
        <v>INVERSOR MSCFW110088T4OFAYWZ-UI</v>
      </c>
      <c r="C37" t="s">
        <v>1</v>
      </c>
      <c r="D37" t="str">
        <f>VLOOKUP(A37,Planilha2!B:H,7,0)</f>
        <v>LINHA M3</v>
      </c>
      <c r="E37" s="5">
        <v>32600</v>
      </c>
      <c r="F37">
        <f>IFERROR(
IF(ISNUMBER(FIND("CFW110",B37)),
VALUE(MID(B37,FIND("CFW110",B37)+6,FIND("T",B37,FIND("CFW110",B37))-(FIND("CFW110",B37)+6))),
IF(ISNUMBER(FIND("D",B37)),
VALUE(SUBSTITUTE(MID(B37,FIND("D",B37)+1,FIND("T",B37,FIND("D",B37))-(FIND("D",B37)+1)),"P",",")),
IF(ISNUMBER(FIND("CFW5",B37)),
VALUE(MID(B37,
IF(ISNUMBER(FIND("F",B37)),FIND("F",B37)+1,FIND("G",B37)+1),
FIND("T",B37)-(IF(ISNUMBER(FIND("F",B37)),FIND("F",B37)+1,FIND("G",B37)+1))
)),
VALUE(MID(B37,FIND("E0",B37)+2,FIND("T",B37,FIND("E0",B37))-(FIND("E0",B37)+2)))
))),"")</f>
        <v>88</v>
      </c>
      <c r="G37">
        <f>IFERROR(
IF(ISNUMBER(FIND("T2",B37)),220,
IF(ISNUMBER(FIND("T4",B37)),440,
IF(ISNUMBER(FIND("T5",B37)),575,
IF(ISNUMBER(FIND("T6",B37)),690,"")))),
"")</f>
        <v>440</v>
      </c>
    </row>
    <row r="38" spans="1:7" x14ac:dyDescent="0.25">
      <c r="A38">
        <v>13418344</v>
      </c>
      <c r="B38" t="str">
        <f>VLOOKUP(A38,Planilha2!B:C,2,0)</f>
        <v>INVERSOR BRCFW110088T4OFAS7Z</v>
      </c>
      <c r="C38" t="s">
        <v>1</v>
      </c>
      <c r="D38" t="str">
        <f>VLOOKUP(A38,Planilha2!B:H,7,0)</f>
        <v>LINHA M3</v>
      </c>
      <c r="E38" t="s">
        <v>3172</v>
      </c>
      <c r="F38">
        <f>IFERROR(
IF(ISNUMBER(FIND("CFW110",B38)),
VALUE(MID(B38,FIND("CFW110",B38)+6,FIND("T",B38,FIND("CFW110",B38))-(FIND("CFW110",B38)+6))),
IF(ISNUMBER(FIND("D",B38)),
VALUE(SUBSTITUTE(MID(B38,FIND("D",B38)+1,FIND("T",B38,FIND("D",B38))-(FIND("D",B38)+1)),"P",",")),
IF(ISNUMBER(FIND("CFW5",B38)),
VALUE(MID(B38,
IF(ISNUMBER(FIND("F",B38)),FIND("F",B38)+1,FIND("G",B38)+1),
FIND("T",B38)-(IF(ISNUMBER(FIND("F",B38)),FIND("F",B38)+1,FIND("G",B38)+1))
)),
VALUE(MID(B38,FIND("E0",B38)+2,FIND("T",B38,FIND("E0",B38))-(FIND("E0",B38)+2)))
))),"")</f>
        <v>88</v>
      </c>
      <c r="G38">
        <f>IFERROR(
IF(ISNUMBER(FIND("T2",B38)),220,
IF(ISNUMBER(FIND("T4",B38)),440,
IF(ISNUMBER(FIND("T5",B38)),575,
IF(ISNUMBER(FIND("T6",B38)),690,"")))),
"")</f>
        <v>440</v>
      </c>
    </row>
    <row r="39" spans="1:7" x14ac:dyDescent="0.25">
      <c r="A39">
        <v>13446552</v>
      </c>
      <c r="B39" t="str">
        <f>VLOOKUP(A39,Planilha2!B:C,2,0)</f>
        <v>INVERSOR SACFW110027T5ONFYZ</v>
      </c>
      <c r="C39" t="s">
        <v>1</v>
      </c>
      <c r="D39" t="str">
        <f>VLOOKUP(A39,Planilha2!B:H,7,0)</f>
        <v>LINHA M1</v>
      </c>
      <c r="E39" s="5">
        <v>26260</v>
      </c>
      <c r="F39">
        <f>IFERROR(
IF(ISNUMBER(FIND("CFW110",B39)),
VALUE(MID(B39,FIND("CFW110",B39)+6,FIND("T",B39,FIND("CFW110",B39))-(FIND("CFW110",B39)+6))),
IF(ISNUMBER(FIND("D",B39)),
VALUE(SUBSTITUTE(MID(B39,FIND("D",B39)+1,FIND("T",B39,FIND("D",B39))-(FIND("D",B39)+1)),"P",",")),
IF(ISNUMBER(FIND("CFW5",B39)),
VALUE(MID(B39,
IF(ISNUMBER(FIND("F",B39)),FIND("F",B39)+1,FIND("G",B39)+1),
FIND("T",B39)-(IF(ISNUMBER(FIND("F",B39)),FIND("F",B39)+1,FIND("G",B39)+1))
)),
VALUE(MID(B39,FIND("E0",B39)+2,FIND("T",B39,FIND("E0",B39))-(FIND("E0",B39)+2)))
))),"")</f>
        <v>27</v>
      </c>
      <c r="G39">
        <f>IFERROR(
IF(ISNUMBER(FIND("T2",B39)),220,
IF(ISNUMBER(FIND("T4",B39)),440,
IF(ISNUMBER(FIND("T5",B39)),575,
IF(ISNUMBER(FIND("T6",B39)),690,"")))),
"")</f>
        <v>575</v>
      </c>
    </row>
    <row r="40" spans="1:7" x14ac:dyDescent="0.25">
      <c r="A40">
        <v>13447956</v>
      </c>
      <c r="B40" t="str">
        <f>VLOOKUP(A40,Planilha2!B:C,2,0)</f>
        <v>INVERSOR SACFW110022T5ONFYZ</v>
      </c>
      <c r="C40" t="s">
        <v>1</v>
      </c>
      <c r="D40" t="str">
        <f>VLOOKUP(A40,Planilha2!B:H,7,0)</f>
        <v>LINHA M1</v>
      </c>
      <c r="E40" s="5">
        <v>26260</v>
      </c>
      <c r="F40">
        <f>IFERROR(
IF(ISNUMBER(FIND("CFW110",B40)),
VALUE(MID(B40,FIND("CFW110",B40)+6,FIND("T",B40,FIND("CFW110",B40))-(FIND("CFW110",B40)+6))),
IF(ISNUMBER(FIND("D",B40)),
VALUE(SUBSTITUTE(MID(B40,FIND("D",B40)+1,FIND("T",B40,FIND("D",B40))-(FIND("D",B40)+1)),"P",",")),
IF(ISNUMBER(FIND("CFW5",B40)),
VALUE(MID(B40,
IF(ISNUMBER(FIND("F",B40)),FIND("F",B40)+1,FIND("G",B40)+1),
FIND("T",B40)-(IF(ISNUMBER(FIND("F",B40)),FIND("F",B40)+1,FIND("G",B40)+1))
)),
VALUE(MID(B40,FIND("E0",B40)+2,FIND("T",B40,FIND("E0",B40))-(FIND("E0",B40)+2)))
))),"")</f>
        <v>22</v>
      </c>
      <c r="G40">
        <f>IFERROR(
IF(ISNUMBER(FIND("T2",B40)),220,
IF(ISNUMBER(FIND("T4",B40)),440,
IF(ISNUMBER(FIND("T5",B40)),575,
IF(ISNUMBER(FIND("T6",B40)),690,"")))),
"")</f>
        <v>575</v>
      </c>
    </row>
    <row r="41" spans="1:7" x14ac:dyDescent="0.25">
      <c r="A41">
        <v>13448072</v>
      </c>
      <c r="B41" t="str">
        <f>VLOOKUP(A41,Planilha2!B:C,2,0)</f>
        <v>INVERSOR SACFW110044T5ONFYZ</v>
      </c>
      <c r="C41" t="s">
        <v>1</v>
      </c>
      <c r="D41" t="str">
        <f>VLOOKUP(A41,Planilha2!B:H,7,0)</f>
        <v>LINHA M1</v>
      </c>
      <c r="E41" s="5">
        <v>26260</v>
      </c>
      <c r="F41">
        <f>IFERROR(
IF(ISNUMBER(FIND("CFW110",B41)),
VALUE(MID(B41,FIND("CFW110",B41)+6,FIND("T",B41,FIND("CFW110",B41))-(FIND("CFW110",B41)+6))),
IF(ISNUMBER(FIND("D",B41)),
VALUE(SUBSTITUTE(MID(B41,FIND("D",B41)+1,FIND("T",B41,FIND("D",B41))-(FIND("D",B41)+1)),"P",",")),
IF(ISNUMBER(FIND("CFW5",B41)),
VALUE(MID(B41,
IF(ISNUMBER(FIND("F",B41)),FIND("F",B41)+1,FIND("G",B41)+1),
FIND("T",B41)-(IF(ISNUMBER(FIND("F",B41)),FIND("F",B41)+1,FIND("G",B41)+1))
)),
VALUE(MID(B41,FIND("E0",B41)+2,FIND("T",B41,FIND("E0",B41))-(FIND("E0",B41)+2)))
))),"")</f>
        <v>44</v>
      </c>
      <c r="G41">
        <f>IFERROR(
IF(ISNUMBER(FIND("T2",B41)),220,
IF(ISNUMBER(FIND("T4",B41)),440,
IF(ISNUMBER(FIND("T5",B41)),575,
IF(ISNUMBER(FIND("T6",B41)),690,"")))),
"")</f>
        <v>575</v>
      </c>
    </row>
    <row r="42" spans="1:7" x14ac:dyDescent="0.25">
      <c r="A42">
        <v>13448069</v>
      </c>
      <c r="B42" t="str">
        <f>VLOOKUP(A42,Planilha2!B:C,2,0)</f>
        <v>INVERSOR SACFW110032T5ONFYZ</v>
      </c>
      <c r="C42" t="s">
        <v>1</v>
      </c>
      <c r="D42" t="str">
        <f>VLOOKUP(A42,Planilha2!B:H,7,0)</f>
        <v>LINHA M1</v>
      </c>
      <c r="E42" s="5">
        <v>26260</v>
      </c>
      <c r="F42">
        <f>IFERROR(
IF(ISNUMBER(FIND("CFW110",B42)),
VALUE(MID(B42,FIND("CFW110",B42)+6,FIND("T",B42,FIND("CFW110",B42))-(FIND("CFW110",B42)+6))),
IF(ISNUMBER(FIND("D",B42)),
VALUE(SUBSTITUTE(MID(B42,FIND("D",B42)+1,FIND("T",B42,FIND("D",B42))-(FIND("D",B42)+1)),"P",",")),
IF(ISNUMBER(FIND("CFW5",B42)),
VALUE(MID(B42,
IF(ISNUMBER(FIND("F",B42)),FIND("F",B42)+1,FIND("G",B42)+1),
FIND("T",B42)-(IF(ISNUMBER(FIND("F",B42)),FIND("F",B42)+1,FIND("G",B42)+1))
)),
VALUE(MID(B42,FIND("E0",B42)+2,FIND("T",B42,FIND("E0",B42))-(FIND("E0",B42)+2)))
))),"")</f>
        <v>32</v>
      </c>
      <c r="G42">
        <f>IFERROR(
IF(ISNUMBER(FIND("T2",B42)),220,
IF(ISNUMBER(FIND("T4",B42)),440,
IF(ISNUMBER(FIND("T5",B42)),575,
IF(ISNUMBER(FIND("T6",B42)),690,"")))),
"")</f>
        <v>575</v>
      </c>
    </row>
    <row r="43" spans="1:7" x14ac:dyDescent="0.25">
      <c r="A43">
        <v>11988664</v>
      </c>
      <c r="B43" t="str">
        <f>VLOOKUP(A43,Planilha2!B:C,2,0)</f>
        <v>INVERSOR SACFW110044T6OYZ</v>
      </c>
      <c r="C43" t="s">
        <v>1</v>
      </c>
      <c r="D43" t="str">
        <f>VLOOKUP(A43,Planilha2!B:H,7,0)</f>
        <v>LINHA M3</v>
      </c>
      <c r="E43" s="5">
        <v>31762</v>
      </c>
      <c r="F43">
        <f>IFERROR(
IF(ISNUMBER(FIND("CFW110",B43)),
VALUE(MID(B43,FIND("CFW110",B43)+6,FIND("T",B43,FIND("CFW110",B43))-(FIND("CFW110",B43)+6))),
IF(ISNUMBER(FIND("D",B43)),
VALUE(SUBSTITUTE(MID(B43,FIND("D",B43)+1,FIND("T",B43,FIND("D",B43))-(FIND("D",B43)+1)),"P",",")),
IF(ISNUMBER(FIND("CFW5",B43)),
VALUE(MID(B43,
IF(ISNUMBER(FIND("F",B43)),FIND("F",B43)+1,FIND("G",B43)+1),
FIND("T",B43)-(IF(ISNUMBER(FIND("F",B43)),FIND("F",B43)+1,FIND("G",B43)+1))
)),
VALUE(MID(B43,FIND("E0",B43)+2,FIND("T",B43,FIND("E0",B43))-(FIND("E0",B43)+2)))
))),"")</f>
        <v>44</v>
      </c>
      <c r="G43">
        <f>IFERROR(
IF(ISNUMBER(FIND("T2",B43)),220,
IF(ISNUMBER(FIND("T4",B43)),440,
IF(ISNUMBER(FIND("T5",B43)),575,
IF(ISNUMBER(FIND("T6",B43)),690,"")))),
"")</f>
        <v>690</v>
      </c>
    </row>
    <row r="44" spans="1:7" x14ac:dyDescent="0.25">
      <c r="A44">
        <v>13474402</v>
      </c>
      <c r="B44" t="str">
        <f>VLOOKUP(A44,Planilha2!B:C,2,0)</f>
        <v>INVERSOR BRCFW110045T2OSWZ</v>
      </c>
      <c r="C44" t="s">
        <v>1</v>
      </c>
      <c r="D44" t="str">
        <f>VLOOKUP(A44,Planilha2!B:H,7,0)</f>
        <v>LINHA M1</v>
      </c>
      <c r="E44" s="5">
        <v>26360</v>
      </c>
      <c r="F44">
        <f>IFERROR(
IF(ISNUMBER(FIND("CFW110",B44)),
VALUE(MID(B44,FIND("CFW110",B44)+6,FIND("T",B44,FIND("CFW110",B44))-(FIND("CFW110",B44)+6))),
IF(ISNUMBER(FIND("D",B44)),
VALUE(SUBSTITUTE(MID(B44,FIND("D",B44)+1,FIND("T",B44,FIND("D",B44))-(FIND("D",B44)+1)),"P",",")),
IF(ISNUMBER(FIND("CFW5",B44)),
VALUE(MID(B44,
IF(ISNUMBER(FIND("F",B44)),FIND("F",B44)+1,FIND("G",B44)+1),
FIND("T",B44)-(IF(ISNUMBER(FIND("F",B44)),FIND("F",B44)+1,FIND("G",B44)+1))
)),
VALUE(MID(B44,FIND("E0",B44)+2,FIND("T",B44,FIND("E0",B44))-(FIND("E0",B44)+2)))
))),"")</f>
        <v>45</v>
      </c>
      <c r="G44">
        <f>IFERROR(
IF(ISNUMBER(FIND("T2",B44)),220,
IF(ISNUMBER(FIND("T4",B44)),440,
IF(ISNUMBER(FIND("T5",B44)),575,
IF(ISNUMBER(FIND("T6",B44)),690,"")))),
"")</f>
        <v>220</v>
      </c>
    </row>
    <row r="45" spans="1:7" x14ac:dyDescent="0.25">
      <c r="A45">
        <v>13498395</v>
      </c>
      <c r="B45" t="str">
        <f>VLOOKUP(A45,Planilha2!B:C,2,0)</f>
        <v>INVERSOR CFW700D88P0T4DBN1Y1-UI</v>
      </c>
      <c r="C45" t="s">
        <v>1</v>
      </c>
      <c r="D45" t="str">
        <f>VLOOKUP(A45,Planilha2!B:H,7,0)</f>
        <v>LINHA M3</v>
      </c>
      <c r="E45" s="5">
        <v>31100</v>
      </c>
      <c r="F45">
        <f>IFERROR(
IF(ISNUMBER(FIND("CFW110",B45)),
VALUE(MID(B45,FIND("CFW110",B45)+6,FIND("T",B45,FIND("CFW110",B45))-(FIND("CFW110",B45)+6))),
IF(ISNUMBER(FIND("D",B45)),
VALUE(SUBSTITUTE(MID(B45,FIND("D",B45)+1,FIND("T",B45,FIND("D",B45))-(FIND("D",B45)+1)),"P",",")),
IF(ISNUMBER(FIND("CFW5",B45)),
VALUE(MID(B45,
IF(ISNUMBER(FIND("F",B45)),FIND("F",B45)+1,FIND("G",B45)+1),
FIND("T",B45)-(IF(ISNUMBER(FIND("F",B45)),FIND("F",B45)+1,FIND("G",B45)+1))
)),
VALUE(MID(B45,FIND("E0",B45)+2,FIND("T",B45,FIND("E0",B45))-(FIND("E0",B45)+2)))
))),"")</f>
        <v>88</v>
      </c>
      <c r="G45">
        <f>IFERROR(
IF(ISNUMBER(FIND("T2",B45)),220,
IF(ISNUMBER(FIND("T4",B45)),440,
IF(ISNUMBER(FIND("T5",B45)),575,
IF(ISNUMBER(FIND("T6",B45)),690,"")))),
"")</f>
        <v>440</v>
      </c>
    </row>
    <row r="46" spans="1:7" x14ac:dyDescent="0.25">
      <c r="A46">
        <v>13511209</v>
      </c>
      <c r="B46" t="str">
        <f>VLOOKUP(A46,Planilha2!B:C,2,0)</f>
        <v>INVERSOR BRCFW110058T4OWS7Z</v>
      </c>
      <c r="C46" t="s">
        <v>1</v>
      </c>
      <c r="D46" t="str">
        <f>VLOOKUP(A46,Planilha2!B:H,7,0)</f>
        <v>LINHA M3</v>
      </c>
      <c r="E46" s="5">
        <v>20870</v>
      </c>
      <c r="F46">
        <f>IFERROR(
IF(ISNUMBER(FIND("CFW110",B46)),
VALUE(MID(B46,FIND("CFW110",B46)+6,FIND("T",B46,FIND("CFW110",B46))-(FIND("CFW110",B46)+6))),
IF(ISNUMBER(FIND("D",B46)),
VALUE(SUBSTITUTE(MID(B46,FIND("D",B46)+1,FIND("T",B46,FIND("D",B46))-(FIND("D",B46)+1)),"P",",")),
IF(ISNUMBER(FIND("CFW5",B46)),
VALUE(MID(B46,
IF(ISNUMBER(FIND("F",B46)),FIND("F",B46)+1,FIND("G",B46)+1),
FIND("T",B46)-(IF(ISNUMBER(FIND("F",B46)),FIND("F",B46)+1,FIND("G",B46)+1))
)),
VALUE(MID(B46,FIND("E0",B46)+2,FIND("T",B46,FIND("E0",B46))-(FIND("E0",B46)+2)))
))),"")</f>
        <v>58</v>
      </c>
      <c r="G46">
        <f>IFERROR(
IF(ISNUMBER(FIND("T2",B46)),220,
IF(ISNUMBER(FIND("T4",B46)),440,
IF(ISNUMBER(FIND("T5",B46)),575,
IF(ISNUMBER(FIND("T6",B46)),690,"")))),
"")</f>
        <v>440</v>
      </c>
    </row>
    <row r="47" spans="1:7" x14ac:dyDescent="0.25">
      <c r="A47">
        <v>13509572</v>
      </c>
      <c r="B47" t="str">
        <f>VLOOKUP(A47,Planilha2!B:C,2,0)</f>
        <v>INVERSOR BRCFW110088T4OWS7Z</v>
      </c>
      <c r="C47" t="s">
        <v>1</v>
      </c>
      <c r="D47" t="str">
        <f>VLOOKUP(A47,Planilha2!B:H,7,0)</f>
        <v>LINHA M3</v>
      </c>
      <c r="E47" s="5">
        <v>33200</v>
      </c>
      <c r="F47">
        <f>IFERROR(
IF(ISNUMBER(FIND("CFW110",B47)),
VALUE(MID(B47,FIND("CFW110",B47)+6,FIND("T",B47,FIND("CFW110",B47))-(FIND("CFW110",B47)+6))),
IF(ISNUMBER(FIND("D",B47)),
VALUE(SUBSTITUTE(MID(B47,FIND("D",B47)+1,FIND("T",B47,FIND("D",B47))-(FIND("D",B47)+1)),"P",",")),
IF(ISNUMBER(FIND("CFW5",B47)),
VALUE(MID(B47,
IF(ISNUMBER(FIND("F",B47)),FIND("F",B47)+1,FIND("G",B47)+1),
FIND("T",B47)-(IF(ISNUMBER(FIND("F",B47)),FIND("F",B47)+1,FIND("G",B47)+1))
)),
VALUE(MID(B47,FIND("E0",B47)+2,FIND("T",B47,FIND("E0",B47))-(FIND("E0",B47)+2)))
))),"")</f>
        <v>88</v>
      </c>
      <c r="G47">
        <f>IFERROR(
IF(ISNUMBER(FIND("T2",B47)),220,
IF(ISNUMBER(FIND("T4",B47)),440,
IF(ISNUMBER(FIND("T5",B47)),575,
IF(ISNUMBER(FIND("T6",B47)),690,"")))),
"")</f>
        <v>440</v>
      </c>
    </row>
    <row r="48" spans="1:7" x14ac:dyDescent="0.25">
      <c r="A48">
        <v>13511023</v>
      </c>
      <c r="B48" t="str">
        <f>VLOOKUP(A48,Planilha2!B:C,2,0)</f>
        <v>INVERSOR CFW700D70P5T4DBN1Y1-UI</v>
      </c>
      <c r="C48" t="s">
        <v>1</v>
      </c>
      <c r="D48" t="str">
        <f>VLOOKUP(A48,Planilha2!B:H,7,0)</f>
        <v>LINHA M3</v>
      </c>
      <c r="E48" s="5">
        <v>26392</v>
      </c>
      <c r="F48">
        <f>IFERROR(
IF(ISNUMBER(FIND("CFW110",B48)),
VALUE(MID(B48,FIND("CFW110",B48)+6,FIND("T",B48,FIND("CFW110",B48))-(FIND("CFW110",B48)+6))),
IF(ISNUMBER(FIND("D",B48)),
VALUE(SUBSTITUTE(MID(B48,FIND("D",B48)+1,FIND("T",B48,FIND("D",B48))-(FIND("D",B48)+1)),"P",",")),
IF(ISNUMBER(FIND("CFW5",B48)),
VALUE(MID(B48,
IF(ISNUMBER(FIND("F",B48)),FIND("F",B48)+1,FIND("G",B48)+1),
FIND("T",B48)-(IF(ISNUMBER(FIND("F",B48)),FIND("F",B48)+1,FIND("G",B48)+1))
)),
VALUE(MID(B48,FIND("E0",B48)+2,FIND("T",B48,FIND("E0",B48))-(FIND("E0",B48)+2)))
))),"")</f>
        <v>70.5</v>
      </c>
      <c r="G48">
        <f>IFERROR(
IF(ISNUMBER(FIND("T2",B48)),220,
IF(ISNUMBER(FIND("T4",B48)),440,
IF(ISNUMBER(FIND("T5",B48)),575,
IF(ISNUMBER(FIND("T6",B48)),690,"")))),
"")</f>
        <v>440</v>
      </c>
    </row>
    <row r="49" spans="1:7" x14ac:dyDescent="0.25">
      <c r="A49">
        <v>13509423</v>
      </c>
      <c r="B49" t="str">
        <f>VLOOKUP(A49,Planilha2!B:C,2,0)</f>
        <v>INVERSOR BRCFW110070T4OFAYZ-UI</v>
      </c>
      <c r="C49" t="s">
        <v>1</v>
      </c>
      <c r="D49" t="str">
        <f>VLOOKUP(A49,Planilha2!B:H,7,0)</f>
        <v>LINHA M3</v>
      </c>
      <c r="E49" s="5">
        <v>31100</v>
      </c>
      <c r="F49">
        <f>IFERROR(
IF(ISNUMBER(FIND("CFW110",B49)),
VALUE(MID(B49,FIND("CFW110",B49)+6,FIND("T",B49,FIND("CFW110",B49))-(FIND("CFW110",B49)+6))),
IF(ISNUMBER(FIND("D",B49)),
VALUE(SUBSTITUTE(MID(B49,FIND("D",B49)+1,FIND("T",B49,FIND("D",B49))-(FIND("D",B49)+1)),"P",",")),
IF(ISNUMBER(FIND("CFW5",B49)),
VALUE(MID(B49,
IF(ISNUMBER(FIND("F",B49)),FIND("F",B49)+1,FIND("G",B49)+1),
FIND("T",B49)-(IF(ISNUMBER(FIND("F",B49)),FIND("F",B49)+1,FIND("G",B49)+1))
)),
VALUE(MID(B49,FIND("E0",B49)+2,FIND("T",B49,FIND("E0",B49))-(FIND("E0",B49)+2)))
))),"")</f>
        <v>70</v>
      </c>
      <c r="G49">
        <f>IFERROR(
IF(ISNUMBER(FIND("T2",B49)),220,
IF(ISNUMBER(FIND("T4",B49)),440,
IF(ISNUMBER(FIND("T5",B49)),575,
IF(ISNUMBER(FIND("T6",B49)),690,"")))),
"")</f>
        <v>440</v>
      </c>
    </row>
    <row r="50" spans="1:7" x14ac:dyDescent="0.25">
      <c r="A50">
        <v>13509573</v>
      </c>
      <c r="B50" t="str">
        <f>VLOOKUP(A50,Planilha2!B:C,2,0)</f>
        <v>INVERSOR BRCFW110088T4OWS7Z-UI</v>
      </c>
      <c r="C50" t="s">
        <v>1</v>
      </c>
      <c r="D50" t="str">
        <f>VLOOKUP(A50,Planilha2!B:H,7,0)</f>
        <v>LINHA M3</v>
      </c>
      <c r="E50" s="5">
        <v>33200</v>
      </c>
      <c r="F50">
        <f>IFERROR(
IF(ISNUMBER(FIND("CFW110",B50)),
VALUE(MID(B50,FIND("CFW110",B50)+6,FIND("T",B50,FIND("CFW110",B50))-(FIND("CFW110",B50)+6))),
IF(ISNUMBER(FIND("D",B50)),
VALUE(SUBSTITUTE(MID(B50,FIND("D",B50)+1,FIND("T",B50,FIND("D",B50))-(FIND("D",B50)+1)),"P",",")),
IF(ISNUMBER(FIND("CFW5",B50)),
VALUE(MID(B50,
IF(ISNUMBER(FIND("F",B50)),FIND("F",B50)+1,FIND("G",B50)+1),
FIND("T",B50)-(IF(ISNUMBER(FIND("F",B50)),FIND("F",B50)+1,FIND("G",B50)+1))
)),
VALUE(MID(B50,FIND("E0",B50)+2,FIND("T",B50,FIND("E0",B50))-(FIND("E0",B50)+2)))
))),"")</f>
        <v>88</v>
      </c>
      <c r="G50">
        <f>IFERROR(
IF(ISNUMBER(FIND("T2",B50)),220,
IF(ISNUMBER(FIND("T4",B50)),440,
IF(ISNUMBER(FIND("T5",B50)),575,
IF(ISNUMBER(FIND("T6",B50)),690,"")))),
"")</f>
        <v>440</v>
      </c>
    </row>
    <row r="51" spans="1:7" x14ac:dyDescent="0.25">
      <c r="A51">
        <v>11996013</v>
      </c>
      <c r="B51" t="str">
        <f>VLOOKUP(A51,Planilha2!B:C,2,0)</f>
        <v>INVERSOR SACFW110002T5ONFYZ</v>
      </c>
      <c r="C51" t="s">
        <v>1</v>
      </c>
      <c r="D51" t="str">
        <f>VLOOKUP(A51,Planilha2!B:H,7,0)</f>
        <v>LINHA P7</v>
      </c>
      <c r="E51" s="5">
        <v>26360</v>
      </c>
      <c r="F51">
        <f>IFERROR(
IF(ISNUMBER(FIND("CFW110",B51)),
VALUE(MID(B51,FIND("CFW110",B51)+6,FIND("T",B51,FIND("CFW110",B51))-(FIND("CFW110",B51)+6))),
IF(ISNUMBER(FIND("D",B51)),
VALUE(SUBSTITUTE(MID(B51,FIND("D",B51)+1,FIND("T",B51,FIND("D",B51))-(FIND("D",B51)+1)),"P",",")),
IF(ISNUMBER(FIND("CFW5",B51)),
VALUE(MID(B51,
IF(ISNUMBER(FIND("F",B51)),FIND("F",B51)+1,FIND("G",B51)+1),
FIND("T",B51)-(IF(ISNUMBER(FIND("F",B51)),FIND("F",B51)+1,FIND("G",B51)+1))
)),
VALUE(MID(B51,FIND("E0",B51)+2,FIND("T",B51,FIND("E0",B51))-(FIND("E0",B51)+2)))
))),"")</f>
        <v>2</v>
      </c>
      <c r="G51">
        <f>IFERROR(
IF(ISNUMBER(FIND("T2",B51)),220,
IF(ISNUMBER(FIND("T4",B51)),440,
IF(ISNUMBER(FIND("T5",B51)),575,
IF(ISNUMBER(FIND("T6",B51)),690,"")))),
"")</f>
        <v>575</v>
      </c>
    </row>
    <row r="52" spans="1:7" x14ac:dyDescent="0.25">
      <c r="A52">
        <v>13358767</v>
      </c>
      <c r="B52" t="str">
        <f>VLOOKUP(A52,Planilha2!B:C,2,0)</f>
        <v>INVERSOR BRCFW110045T2OHUSOZ</v>
      </c>
      <c r="C52" t="s">
        <v>1</v>
      </c>
      <c r="D52" t="str">
        <f>VLOOKUP(A52,Planilha2!B:H,7,0)</f>
        <v>LINHA M1</v>
      </c>
      <c r="E52" s="5">
        <v>9800</v>
      </c>
      <c r="F52">
        <f>IFERROR(
IF(ISNUMBER(FIND("CFW110",B52)),
VALUE(MID(B52,FIND("CFW110",B52)+6,FIND("T",B52,FIND("CFW110",B52))-(FIND("CFW110",B52)+6))),
IF(ISNUMBER(FIND("D",B52)),
VALUE(SUBSTITUTE(MID(B52,FIND("D",B52)+1,FIND("T",B52,FIND("D",B52))-(FIND("D",B52)+1)),"P",",")),
IF(ISNUMBER(FIND("CFW5",B52)),
VALUE(MID(B52,
IF(ISNUMBER(FIND("F",B52)),FIND("F",B52)+1,FIND("G",B52)+1),
FIND("T",B52)-(IF(ISNUMBER(FIND("F",B52)),FIND("F",B52)+1,FIND("G",B52)+1))
)),
VALUE(MID(B52,FIND("E0",B52)+2,FIND("T",B52,FIND("E0",B52))-(FIND("E0",B52)+2)))
))),"")</f>
        <v>45</v>
      </c>
      <c r="G52">
        <f>IFERROR(
IF(ISNUMBER(FIND("T2",B52)),220,
IF(ISNUMBER(FIND("T4",B52)),440,
IF(ISNUMBER(FIND("T5",B52)),575,
IF(ISNUMBER(FIND("T6",B52)),690,"")))),
"")</f>
        <v>220</v>
      </c>
    </row>
    <row r="53" spans="1:7" x14ac:dyDescent="0.25">
      <c r="A53">
        <v>13358779</v>
      </c>
      <c r="B53" t="str">
        <f>VLOOKUP(A53,Planilha2!B:C,2,0)</f>
        <v>INVERSOR BRCFW110054T2OHUSOZ</v>
      </c>
      <c r="C53" t="s">
        <v>1</v>
      </c>
      <c r="D53" t="str">
        <f>VLOOKUP(A53,Planilha2!B:H,7,0)</f>
        <v>LINHA M1</v>
      </c>
      <c r="E53" s="5">
        <v>9800</v>
      </c>
      <c r="F53">
        <f>IFERROR(
IF(ISNUMBER(FIND("CFW110",B53)),
VALUE(MID(B53,FIND("CFW110",B53)+6,FIND("T",B53,FIND("CFW110",B53))-(FIND("CFW110",B53)+6))),
IF(ISNUMBER(FIND("D",B53)),
VALUE(SUBSTITUTE(MID(B53,FIND("D",B53)+1,FIND("T",B53,FIND("D",B53))-(FIND("D",B53)+1)),"P",",")),
IF(ISNUMBER(FIND("CFW5",B53)),
VALUE(MID(B53,
IF(ISNUMBER(FIND("F",B53)),FIND("F",B53)+1,FIND("G",B53)+1),
FIND("T",B53)-(IF(ISNUMBER(FIND("F",B53)),FIND("F",B53)+1,FIND("G",B53)+1))
)),
VALUE(MID(B53,FIND("E0",B53)+2,FIND("T",B53,FIND("E0",B53))-(FIND("E0",B53)+2)))
))),"")</f>
        <v>54</v>
      </c>
      <c r="G53">
        <f>IFERROR(
IF(ISNUMBER(FIND("T2",B53)),220,
IF(ISNUMBER(FIND("T4",B53)),440,
IF(ISNUMBER(FIND("T5",B53)),575,
IF(ISNUMBER(FIND("T6",B53)),690,"")))),
"")</f>
        <v>220</v>
      </c>
    </row>
    <row r="54" spans="1:7" x14ac:dyDescent="0.25">
      <c r="A54">
        <v>13358783</v>
      </c>
      <c r="B54" t="str">
        <f>VLOOKUP(A54,Planilha2!B:C,2,0)</f>
        <v>INVERSOR BRCFW110086T2OHUSOZ</v>
      </c>
      <c r="C54" t="s">
        <v>1</v>
      </c>
      <c r="D54" t="str">
        <f>VLOOKUP(A54,Planilha2!B:H,7,0)</f>
        <v>LINHA M3</v>
      </c>
      <c r="E54" s="5">
        <v>26000</v>
      </c>
      <c r="F54">
        <f>IFERROR(
IF(ISNUMBER(FIND("CFW110",B54)),
VALUE(MID(B54,FIND("CFW110",B54)+6,FIND("T",B54,FIND("CFW110",B54))-(FIND("CFW110",B54)+6))),
IF(ISNUMBER(FIND("D",B54)),
VALUE(SUBSTITUTE(MID(B54,FIND("D",B54)+1,FIND("T",B54,FIND("D",B54))-(FIND("D",B54)+1)),"P",",")),
IF(ISNUMBER(FIND("CFW5",B54)),
VALUE(MID(B54,
IF(ISNUMBER(FIND("F",B54)),FIND("F",B54)+1,FIND("G",B54)+1),
FIND("T",B54)-(IF(ISNUMBER(FIND("F",B54)),FIND("F",B54)+1,FIND("G",B54)+1))
)),
VALUE(MID(B54,FIND("E0",B54)+2,FIND("T",B54,FIND("E0",B54))-(FIND("E0",B54)+2)))
))),"")</f>
        <v>86</v>
      </c>
      <c r="G54">
        <f>IFERROR(
IF(ISNUMBER(FIND("T2",B54)),220,
IF(ISNUMBER(FIND("T4",B54)),440,
IF(ISNUMBER(FIND("T5",B54)),575,
IF(ISNUMBER(FIND("T6",B54)),690,"")))),
"")</f>
        <v>220</v>
      </c>
    </row>
    <row r="55" spans="1:7" x14ac:dyDescent="0.25">
      <c r="A55">
        <v>13358785</v>
      </c>
      <c r="B55" t="str">
        <f>VLOOKUP(A55,Planilha2!B:C,2,0)</f>
        <v>INVERSOR BRCFW110105T2OHUSOZ</v>
      </c>
      <c r="C55" t="s">
        <v>1</v>
      </c>
      <c r="D55" t="str">
        <f>VLOOKUP(A55,Planilha2!B:H,7,0)</f>
        <v>LINHA M3</v>
      </c>
      <c r="E55" s="5">
        <v>31000</v>
      </c>
      <c r="F55">
        <f>IFERROR(
IF(ISNUMBER(FIND("CFW110",B55)),
VALUE(MID(B55,FIND("CFW110",B55)+6,FIND("T",B55,FIND("CFW110",B55))-(FIND("CFW110",B55)+6))),
IF(ISNUMBER(FIND("D",B55)),
VALUE(SUBSTITUTE(MID(B55,FIND("D",B55)+1,FIND("T",B55,FIND("D",B55))-(FIND("D",B55)+1)),"P",",")),
IF(ISNUMBER(FIND("CFW5",B55)),
VALUE(MID(B55,
IF(ISNUMBER(FIND("F",B55)),FIND("F",B55)+1,FIND("G",B55)+1),
FIND("T",B55)-(IF(ISNUMBER(FIND("F",B55)),FIND("F",B55)+1,FIND("G",B55)+1))
)),
VALUE(MID(B55,FIND("E0",B55)+2,FIND("T",B55,FIND("E0",B55))-(FIND("E0",B55)+2)))
))),"")</f>
        <v>105</v>
      </c>
      <c r="G55">
        <f>IFERROR(
IF(ISNUMBER(FIND("T2",B55)),220,
IF(ISNUMBER(FIND("T4",B55)),440,
IF(ISNUMBER(FIND("T5",B55)),575,
IF(ISNUMBER(FIND("T6",B55)),690,"")))),
"")</f>
        <v>220</v>
      </c>
    </row>
    <row r="56" spans="1:7" x14ac:dyDescent="0.25">
      <c r="A56">
        <v>13358870</v>
      </c>
      <c r="B56" t="str">
        <f>VLOOKUP(A56,Planilha2!B:C,2,0)</f>
        <v>INVERSOR BRCFW110045T4OHUSOZ</v>
      </c>
      <c r="C56" t="s">
        <v>1</v>
      </c>
      <c r="D56" t="str">
        <f>VLOOKUP(A56,Planilha2!B:H,7,0)</f>
        <v>LINHA M1</v>
      </c>
      <c r="E56" s="5">
        <v>14000</v>
      </c>
      <c r="F56">
        <f>IFERROR(
IF(ISNUMBER(FIND("CFW110",B56)),
VALUE(MID(B56,FIND("CFW110",B56)+6,FIND("T",B56,FIND("CFW110",B56))-(FIND("CFW110",B56)+6))),
IF(ISNUMBER(FIND("D",B56)),
VALUE(SUBSTITUTE(MID(B56,FIND("D",B56)+1,FIND("T",B56,FIND("D",B56))-(FIND("D",B56)+1)),"P",",")),
IF(ISNUMBER(FIND("CFW5",B56)),
VALUE(MID(B56,
IF(ISNUMBER(FIND("F",B56)),FIND("F",B56)+1,FIND("G",B56)+1),
FIND("T",B56)-(IF(ISNUMBER(FIND("F",B56)),FIND("F",B56)+1,FIND("G",B56)+1))
)),
VALUE(MID(B56,FIND("E0",B56)+2,FIND("T",B56,FIND("E0",B56))-(FIND("E0",B56)+2)))
))),"")</f>
        <v>45</v>
      </c>
      <c r="G56">
        <f>IFERROR(
IF(ISNUMBER(FIND("T2",B56)),220,
IF(ISNUMBER(FIND("T4",B56)),440,
IF(ISNUMBER(FIND("T5",B56)),575,
IF(ISNUMBER(FIND("T6",B56)),690,"")))),
"")</f>
        <v>440</v>
      </c>
    </row>
    <row r="57" spans="1:7" x14ac:dyDescent="0.25">
      <c r="A57">
        <v>13358877</v>
      </c>
      <c r="B57" t="str">
        <f>VLOOKUP(A57,Planilha2!B:C,2,0)</f>
        <v>INVERSOR BRCFW110088T4OHUSOZ</v>
      </c>
      <c r="C57" t="s">
        <v>1</v>
      </c>
      <c r="D57" t="str">
        <f>VLOOKUP(A57,Planilha2!B:H,7,0)</f>
        <v>LINHA M3</v>
      </c>
      <c r="E57" s="5">
        <v>26000</v>
      </c>
      <c r="F57">
        <f>IFERROR(
IF(ISNUMBER(FIND("CFW110",B57)),
VALUE(MID(B57,FIND("CFW110",B57)+6,FIND("T",B57,FIND("CFW110",B57))-(FIND("CFW110",B57)+6))),
IF(ISNUMBER(FIND("D",B57)),
VALUE(SUBSTITUTE(MID(B57,FIND("D",B57)+1,FIND("T",B57,FIND("D",B57))-(FIND("D",B57)+1)),"P",",")),
IF(ISNUMBER(FIND("CFW5",B57)),
VALUE(MID(B57,
IF(ISNUMBER(FIND("F",B57)),FIND("F",B57)+1,FIND("G",B57)+1),
FIND("T",B57)-(IF(ISNUMBER(FIND("F",B57)),FIND("F",B57)+1,FIND("G",B57)+1))
)),
VALUE(MID(B57,FIND("E0",B57)+2,FIND("T",B57,FIND("E0",B57))-(FIND("E0",B57)+2)))
))),"")</f>
        <v>88</v>
      </c>
      <c r="G57">
        <f>IFERROR(
IF(ISNUMBER(FIND("T2",B57)),220,
IF(ISNUMBER(FIND("T4",B57)),440,
IF(ISNUMBER(FIND("T5",B57)),575,
IF(ISNUMBER(FIND("T6",B57)),690,"")))),
"")</f>
        <v>440</v>
      </c>
    </row>
    <row r="58" spans="1:7" x14ac:dyDescent="0.25">
      <c r="A58">
        <v>13542573</v>
      </c>
      <c r="B58" t="str">
        <f>VLOOKUP(A58,Planilha2!B:C,2,0)</f>
        <v>INVERSOR BRCFW110070T4OFAS7Z-UI</v>
      </c>
      <c r="C58" t="s">
        <v>1</v>
      </c>
      <c r="D58" t="str">
        <f>VLOOKUP(A58,Planilha2!B:H,7,0)</f>
        <v>LINHA M3</v>
      </c>
      <c r="E58" s="5">
        <v>26361</v>
      </c>
      <c r="F58">
        <f>IFERROR(
IF(ISNUMBER(FIND("CFW110",B58)),
VALUE(MID(B58,FIND("CFW110",B58)+6,FIND("T",B58,FIND("CFW110",B58))-(FIND("CFW110",B58)+6))),
IF(ISNUMBER(FIND("D",B58)),
VALUE(SUBSTITUTE(MID(B58,FIND("D",B58)+1,FIND("T",B58,FIND("D",B58))-(FIND("D",B58)+1)),"P",",")),
IF(ISNUMBER(FIND("CFW5",B58)),
VALUE(MID(B58,
IF(ISNUMBER(FIND("F",B58)),FIND("F",B58)+1,FIND("G",B58)+1),
FIND("T",B58)-(IF(ISNUMBER(FIND("F",B58)),FIND("F",B58)+1,FIND("G",B58)+1))
)),
VALUE(MID(B58,FIND("E0",B58)+2,FIND("T",B58,FIND("E0",B58))-(FIND("E0",B58)+2)))
))),"")</f>
        <v>70</v>
      </c>
      <c r="G58">
        <f>IFERROR(
IF(ISNUMBER(FIND("T2",B58)),220,
IF(ISNUMBER(FIND("T4",B58)),440,
IF(ISNUMBER(FIND("T5",B58)),575,
IF(ISNUMBER(FIND("T6",B58)),690,"")))),
"")</f>
        <v>440</v>
      </c>
    </row>
    <row r="59" spans="1:7" x14ac:dyDescent="0.25">
      <c r="A59">
        <v>13539707</v>
      </c>
      <c r="B59" t="str">
        <f>VLOOKUP(A59,Planilha2!B:C,2,0)</f>
        <v>INVERSOR CFW700D88P0T4DBN1C3-UI</v>
      </c>
      <c r="C59" t="s">
        <v>1</v>
      </c>
      <c r="D59" t="str">
        <f>VLOOKUP(A59,Planilha2!B:H,7,0)</f>
        <v>LINHA M3</v>
      </c>
      <c r="E59" s="5">
        <v>31056</v>
      </c>
      <c r="F59">
        <f>IFERROR(
IF(ISNUMBER(FIND("CFW110",B59)),
VALUE(MID(B59,FIND("CFW110",B59)+6,FIND("T",B59,FIND("CFW110",B59))-(FIND("CFW110",B59)+6))),
IF(ISNUMBER(FIND("D",B59)),
VALUE(SUBSTITUTE(MID(B59,FIND("D",B59)+1,FIND("T",B59,FIND("D",B59))-(FIND("D",B59)+1)),"P",",")),
IF(ISNUMBER(FIND("CFW5",B59)),
VALUE(MID(B59,
IF(ISNUMBER(FIND("F",B59)),FIND("F",B59)+1,FIND("G",B59)+1),
FIND("T",B59)-(IF(ISNUMBER(FIND("F",B59)),FIND("F",B59)+1,FIND("G",B59)+1))
)),
VALUE(MID(B59,FIND("E0",B59)+2,FIND("T",B59,FIND("E0",B59))-(FIND("E0",B59)+2)))
))),"")</f>
        <v>88</v>
      </c>
      <c r="G59">
        <f>IFERROR(
IF(ISNUMBER(FIND("T2",B59)),220,
IF(ISNUMBER(FIND("T4",B59)),440,
IF(ISNUMBER(FIND("T5",B59)),575,
IF(ISNUMBER(FIND("T6",B59)),690,"")))),
"")</f>
        <v>440</v>
      </c>
    </row>
    <row r="60" spans="1:7" x14ac:dyDescent="0.25">
      <c r="A60">
        <v>13539762</v>
      </c>
      <c r="B60" t="str">
        <f>VLOOKUP(A60,Planilha2!B:C,2,0)</f>
        <v>INVERSOR CFW700D70P5T4DBN1C3-UI</v>
      </c>
      <c r="C60" t="s">
        <v>1</v>
      </c>
      <c r="D60" t="str">
        <f>VLOOKUP(A60,Planilha2!B:H,7,0)</f>
        <v>LINHA M3</v>
      </c>
      <c r="E60" s="5">
        <v>26291</v>
      </c>
      <c r="F60">
        <f>IFERROR(
IF(ISNUMBER(FIND("CFW110",B60)),
VALUE(MID(B60,FIND("CFW110",B60)+6,FIND("T",B60,FIND("CFW110",B60))-(FIND("CFW110",B60)+6))),
IF(ISNUMBER(FIND("D",B60)),
VALUE(SUBSTITUTE(MID(B60,FIND("D",B60)+1,FIND("T",B60,FIND("D",B60))-(FIND("D",B60)+1)),"P",",")),
IF(ISNUMBER(FIND("CFW5",B60)),
VALUE(MID(B60,
IF(ISNUMBER(FIND("F",B60)),FIND("F",B60)+1,FIND("G",B60)+1),
FIND("T",B60)-(IF(ISNUMBER(FIND("F",B60)),FIND("F",B60)+1,FIND("G",B60)+1))
)),
VALUE(MID(B60,FIND("E0",B60)+2,FIND("T",B60,FIND("E0",B60))-(FIND("E0",B60)+2)))
))),"")</f>
        <v>70.5</v>
      </c>
      <c r="G60">
        <f>IFERROR(
IF(ISNUMBER(FIND("T2",B60)),220,
IF(ISNUMBER(FIND("T4",B60)),440,
IF(ISNUMBER(FIND("T5",B60)),575,
IF(ISNUMBER(FIND("T6",B60)),690,"")))),
"")</f>
        <v>440</v>
      </c>
    </row>
    <row r="61" spans="1:7" x14ac:dyDescent="0.25">
      <c r="A61">
        <v>13539793</v>
      </c>
      <c r="B61" t="str">
        <f>VLOOKUP(A61,Planilha2!B:C,2,0)</f>
        <v>INVERSOR BRCFW110070T4OFAS7Z</v>
      </c>
      <c r="C61" t="s">
        <v>1</v>
      </c>
      <c r="D61" t="str">
        <f>VLOOKUP(A61,Planilha2!B:H,7,0)</f>
        <v>LINHA M3</v>
      </c>
      <c r="E61" t="s">
        <v>3172</v>
      </c>
      <c r="F61">
        <f>IFERROR(
IF(ISNUMBER(FIND("CFW110",B61)),
VALUE(MID(B61,FIND("CFW110",B61)+6,FIND("T",B61,FIND("CFW110",B61))-(FIND("CFW110",B61)+6))),
IF(ISNUMBER(FIND("D",B61)),
VALUE(SUBSTITUTE(MID(B61,FIND("D",B61)+1,FIND("T",B61,FIND("D",B61))-(FIND("D",B61)+1)),"P",",")),
IF(ISNUMBER(FIND("CFW5",B61)),
VALUE(MID(B61,
IF(ISNUMBER(FIND("F",B61)),FIND("F",B61)+1,FIND("G",B61)+1),
FIND("T",B61)-(IF(ISNUMBER(FIND("F",B61)),FIND("F",B61)+1,FIND("G",B61)+1))
)),
VALUE(MID(B61,FIND("E0",B61)+2,FIND("T",B61,FIND("E0",B61))-(FIND("E0",B61)+2)))
))),"")</f>
        <v>70</v>
      </c>
      <c r="G61">
        <f>IFERROR(
IF(ISNUMBER(FIND("T2",B61)),220,
IF(ISNUMBER(FIND("T4",B61)),440,
IF(ISNUMBER(FIND("T5",B61)),575,
IF(ISNUMBER(FIND("T6",B61)),690,"")))),
"")</f>
        <v>440</v>
      </c>
    </row>
    <row r="62" spans="1:7" x14ac:dyDescent="0.25">
      <c r="A62">
        <v>13558081</v>
      </c>
      <c r="B62" t="str">
        <f>VLOOKUP(A62,Planilha2!B:C,2,0)</f>
        <v>INVERSOR CFW700D70P5T4DBN1C3Y1-UI</v>
      </c>
      <c r="C62" t="s">
        <v>1</v>
      </c>
      <c r="D62" t="str">
        <f>VLOOKUP(A62,Planilha2!B:H,7,0)</f>
        <v>LINHA M3</v>
      </c>
      <c r="E62" s="5">
        <v>26381</v>
      </c>
      <c r="F62">
        <f>IFERROR(
IF(ISNUMBER(FIND("CFW110",B62)),
VALUE(MID(B62,FIND("CFW110",B62)+6,FIND("T",B62,FIND("CFW110",B62))-(FIND("CFW110",B62)+6))),
IF(ISNUMBER(FIND("D",B62)),
VALUE(SUBSTITUTE(MID(B62,FIND("D",B62)+1,FIND("T",B62,FIND("D",B62))-(FIND("D",B62)+1)),"P",",")),
IF(ISNUMBER(FIND("CFW5",B62)),
VALUE(MID(B62,
IF(ISNUMBER(FIND("F",B62)),FIND("F",B62)+1,FIND("G",B62)+1),
FIND("T",B62)-(IF(ISNUMBER(FIND("F",B62)),FIND("F",B62)+1,FIND("G",B62)+1))
)),
VALUE(MID(B62,FIND("E0",B62)+2,FIND("T",B62,FIND("E0",B62))-(FIND("E0",B62)+2)))
))),"")</f>
        <v>70.5</v>
      </c>
      <c r="G62">
        <f>IFERROR(
IF(ISNUMBER(FIND("T2",B62)),220,
IF(ISNUMBER(FIND("T4",B62)),440,
IF(ISNUMBER(FIND("T5",B62)),575,
IF(ISNUMBER(FIND("T6",B62)),690,"")))),
"")</f>
        <v>440</v>
      </c>
    </row>
    <row r="63" spans="1:7" x14ac:dyDescent="0.25">
      <c r="A63">
        <v>13505079</v>
      </c>
      <c r="B63" t="str">
        <f>VLOOKUP(A63,Planilha2!B:C,2,0)</f>
        <v>INVERSOR BRCFW110045T2OSVZ</v>
      </c>
      <c r="C63" t="s">
        <v>1</v>
      </c>
      <c r="D63" t="str">
        <f>VLOOKUP(A63,Planilha2!B:H,7,0)</f>
        <v>LINHA M1</v>
      </c>
      <c r="E63" s="5">
        <v>15600</v>
      </c>
      <c r="F63">
        <f>IFERROR(
IF(ISNUMBER(FIND("CFW110",B63)),
VALUE(MID(B63,FIND("CFW110",B63)+6,FIND("T",B63,FIND("CFW110",B63))-(FIND("CFW110",B63)+6))),
IF(ISNUMBER(FIND("D",B63)),
VALUE(SUBSTITUTE(MID(B63,FIND("D",B63)+1,FIND("T",B63,FIND("D",B63))-(FIND("D",B63)+1)),"P",",")),
IF(ISNUMBER(FIND("CFW5",B63)),
VALUE(MID(B63,
IF(ISNUMBER(FIND("F",B63)),FIND("F",B63)+1,FIND("G",B63)+1),
FIND("T",B63)-(IF(ISNUMBER(FIND("F",B63)),FIND("F",B63)+1,FIND("G",B63)+1))
)),
VALUE(MID(B63,FIND("E0",B63)+2,FIND("T",B63,FIND("E0",B63))-(FIND("E0",B63)+2)))
))),"")</f>
        <v>45</v>
      </c>
      <c r="G63">
        <f>IFERROR(
IF(ISNUMBER(FIND("T2",B63)),220,
IF(ISNUMBER(FIND("T4",B63)),440,
IF(ISNUMBER(FIND("T5",B63)),575,
IF(ISNUMBER(FIND("T6",B63)),690,"")))),
"")</f>
        <v>220</v>
      </c>
    </row>
    <row r="64" spans="1:7" x14ac:dyDescent="0.25">
      <c r="A64">
        <v>13505080</v>
      </c>
      <c r="B64" t="str">
        <f>VLOOKUP(A64,Planilha2!B:C,2,0)</f>
        <v>INVERSOR BRCFW110054T2OSVZ</v>
      </c>
      <c r="C64" t="s">
        <v>1</v>
      </c>
      <c r="D64" t="str">
        <f>VLOOKUP(A64,Planilha2!B:H,7,0)</f>
        <v>LINHA M1</v>
      </c>
      <c r="E64" s="5">
        <v>16000</v>
      </c>
      <c r="F64">
        <f>IFERROR(
IF(ISNUMBER(FIND("CFW110",B64)),
VALUE(MID(B64,FIND("CFW110",B64)+6,FIND("T",B64,FIND("CFW110",B64))-(FIND("CFW110",B64)+6))),
IF(ISNUMBER(FIND("D",B64)),
VALUE(SUBSTITUTE(MID(B64,FIND("D",B64)+1,FIND("T",B64,FIND("D",B64))-(FIND("D",B64)+1)),"P",",")),
IF(ISNUMBER(FIND("CFW5",B64)),
VALUE(MID(B64,
IF(ISNUMBER(FIND("F",B64)),FIND("F",B64)+1,FIND("G",B64)+1),
FIND("T",B64)-(IF(ISNUMBER(FIND("F",B64)),FIND("F",B64)+1,FIND("G",B64)+1))
)),
VALUE(MID(B64,FIND("E0",B64)+2,FIND("T",B64,FIND("E0",B64))-(FIND("E0",B64)+2)))
))),"")</f>
        <v>54</v>
      </c>
      <c r="G64">
        <f>IFERROR(
IF(ISNUMBER(FIND("T2",B64)),220,
IF(ISNUMBER(FIND("T4",B64)),440,
IF(ISNUMBER(FIND("T5",B64)),575,
IF(ISNUMBER(FIND("T6",B64)),690,"")))),
"")</f>
        <v>220</v>
      </c>
    </row>
    <row r="65" spans="1:7" x14ac:dyDescent="0.25">
      <c r="A65">
        <v>13505081</v>
      </c>
      <c r="B65" t="str">
        <f>VLOOKUP(A65,Planilha2!B:C,2,0)</f>
        <v>INVERSOR BRCFW110070T2OSVZ</v>
      </c>
      <c r="C65" t="s">
        <v>1</v>
      </c>
      <c r="D65" t="str">
        <f>VLOOKUP(A65,Planilha2!B:H,7,0)</f>
        <v>LINHA M1</v>
      </c>
      <c r="E65" s="5">
        <v>17900</v>
      </c>
      <c r="F65">
        <f>IFERROR(
IF(ISNUMBER(FIND("CFW110",B65)),
VALUE(MID(B65,FIND("CFW110",B65)+6,FIND("T",B65,FIND("CFW110",B65))-(FIND("CFW110",B65)+6))),
IF(ISNUMBER(FIND("D",B65)),
VALUE(SUBSTITUTE(MID(B65,FIND("D",B65)+1,FIND("T",B65,FIND("D",B65))-(FIND("D",B65)+1)),"P",",")),
IF(ISNUMBER(FIND("CFW5",B65)),
VALUE(MID(B65,
IF(ISNUMBER(FIND("F",B65)),FIND("F",B65)+1,FIND("G",B65)+1),
FIND("T",B65)-(IF(ISNUMBER(FIND("F",B65)),FIND("F",B65)+1,FIND("G",B65)+1))
)),
VALUE(MID(B65,FIND("E0",B65)+2,FIND("T",B65,FIND("E0",B65))-(FIND("E0",B65)+2)))
))),"")</f>
        <v>70</v>
      </c>
      <c r="G65">
        <f>IFERROR(
IF(ISNUMBER(FIND("T2",B65)),220,
IF(ISNUMBER(FIND("T4",B65)),440,
IF(ISNUMBER(FIND("T5",B65)),575,
IF(ISNUMBER(FIND("T6",B65)),690,"")))),
"")</f>
        <v>220</v>
      </c>
    </row>
    <row r="66" spans="1:7" x14ac:dyDescent="0.25">
      <c r="A66">
        <v>13505082</v>
      </c>
      <c r="B66" t="str">
        <f>VLOOKUP(A66,Planilha2!B:C,2,0)</f>
        <v>INVERSOR BRCFW110086T2OSVZ</v>
      </c>
      <c r="C66" t="s">
        <v>1</v>
      </c>
      <c r="D66" t="str">
        <f>VLOOKUP(A66,Planilha2!B:H,7,0)</f>
        <v>LINHA M3</v>
      </c>
      <c r="E66" s="5">
        <v>29500</v>
      </c>
      <c r="F66">
        <f>IFERROR(
IF(ISNUMBER(FIND("CFW110",B66)),
VALUE(MID(B66,FIND("CFW110",B66)+6,FIND("T",B66,FIND("CFW110",B66))-(FIND("CFW110",B66)+6))),
IF(ISNUMBER(FIND("D",B66)),
VALUE(SUBSTITUTE(MID(B66,FIND("D",B66)+1,FIND("T",B66,FIND("D",B66))-(FIND("D",B66)+1)),"P",",")),
IF(ISNUMBER(FIND("CFW5",B66)),
VALUE(MID(B66,
IF(ISNUMBER(FIND("F",B66)),FIND("F",B66)+1,FIND("G",B66)+1),
FIND("T",B66)-(IF(ISNUMBER(FIND("F",B66)),FIND("F",B66)+1,FIND("G",B66)+1))
)),
VALUE(MID(B66,FIND("E0",B66)+2,FIND("T",B66,FIND("E0",B66))-(FIND("E0",B66)+2)))
))),"")</f>
        <v>86</v>
      </c>
      <c r="G66">
        <f>IFERROR(
IF(ISNUMBER(FIND("T2",B66)),220,
IF(ISNUMBER(FIND("T4",B66)),440,
IF(ISNUMBER(FIND("T5",B66)),575,
IF(ISNUMBER(FIND("T6",B66)),690,"")))),
"")</f>
        <v>220</v>
      </c>
    </row>
    <row r="67" spans="1:7" x14ac:dyDescent="0.25">
      <c r="A67">
        <v>13505083</v>
      </c>
      <c r="B67" t="str">
        <f>VLOOKUP(A67,Planilha2!B:C,2,0)</f>
        <v>INVERSOR BRCFW110105T2OSVZ</v>
      </c>
      <c r="C67" t="s">
        <v>1</v>
      </c>
      <c r="D67" t="str">
        <f>VLOOKUP(A67,Planilha2!B:H,7,0)</f>
        <v>LINHA M3</v>
      </c>
      <c r="E67" s="5">
        <v>31400</v>
      </c>
      <c r="F67">
        <f>IFERROR(
IF(ISNUMBER(FIND("CFW110",B67)),
VALUE(MID(B67,FIND("CFW110",B67)+6,FIND("T",B67,FIND("CFW110",B67))-(FIND("CFW110",B67)+6))),
IF(ISNUMBER(FIND("D",B67)),
VALUE(SUBSTITUTE(MID(B67,FIND("D",B67)+1,FIND("T",B67,FIND("D",B67))-(FIND("D",B67)+1)),"P",",")),
IF(ISNUMBER(FIND("CFW5",B67)),
VALUE(MID(B67,
IF(ISNUMBER(FIND("F",B67)),FIND("F",B67)+1,FIND("G",B67)+1),
FIND("T",B67)-(IF(ISNUMBER(FIND("F",B67)),FIND("F",B67)+1,FIND("G",B67)+1))
)),
VALUE(MID(B67,FIND("E0",B67)+2,FIND("T",B67,FIND("E0",B67))-(FIND("E0",B67)+2)))
))),"")</f>
        <v>105</v>
      </c>
      <c r="G67">
        <f>IFERROR(
IF(ISNUMBER(FIND("T2",B67)),220,
IF(ISNUMBER(FIND("T4",B67)),440,
IF(ISNUMBER(FIND("T5",B67)),575,
IF(ISNUMBER(FIND("T6",B67)),690,"")))),
"")</f>
        <v>220</v>
      </c>
    </row>
    <row r="68" spans="1:7" x14ac:dyDescent="0.25">
      <c r="A68">
        <v>13505408</v>
      </c>
      <c r="B68" t="str">
        <f>VLOOKUP(A68,Planilha2!B:C,2,0)</f>
        <v>INVERSOR BRCFW110088T4OSVZ</v>
      </c>
      <c r="C68" t="s">
        <v>1</v>
      </c>
      <c r="D68" t="str">
        <f>VLOOKUP(A68,Planilha2!B:H,7,0)</f>
        <v>LINHA M3</v>
      </c>
      <c r="E68" s="5">
        <v>32600</v>
      </c>
      <c r="F68">
        <f>IFERROR(
IF(ISNUMBER(FIND("CFW110",B68)),
VALUE(MID(B68,FIND("CFW110",B68)+6,FIND("T",B68,FIND("CFW110",B68))-(FIND("CFW110",B68)+6))),
IF(ISNUMBER(FIND("D",B68)),
VALUE(SUBSTITUTE(MID(B68,FIND("D",B68)+1,FIND("T",B68,FIND("D",B68))-(FIND("D",B68)+1)),"P",",")),
IF(ISNUMBER(FIND("CFW5",B68)),
VALUE(MID(B68,
IF(ISNUMBER(FIND("F",B68)),FIND("F",B68)+1,FIND("G",B68)+1),
FIND("T",B68)-(IF(ISNUMBER(FIND("F",B68)),FIND("F",B68)+1,FIND("G",B68)+1))
)),
VALUE(MID(B68,FIND("E0",B68)+2,FIND("T",B68,FIND("E0",B68))-(FIND("E0",B68)+2)))
))),"")</f>
        <v>88</v>
      </c>
      <c r="G68">
        <f>IFERROR(
IF(ISNUMBER(FIND("T2",B68)),220,
IF(ISNUMBER(FIND("T4",B68)),440,
IF(ISNUMBER(FIND("T5",B68)),575,
IF(ISNUMBER(FIND("T6",B68)),690,"")))),
"")</f>
        <v>440</v>
      </c>
    </row>
    <row r="69" spans="1:7" x14ac:dyDescent="0.25">
      <c r="A69">
        <v>13505186</v>
      </c>
      <c r="B69" t="str">
        <f>VLOOKUP(A69,Planilha2!B:C,2,0)</f>
        <v>INVERSOR BRCFW110070T4OSVZ</v>
      </c>
      <c r="C69" t="s">
        <v>1</v>
      </c>
      <c r="D69" t="str">
        <f>VLOOKUP(A69,Planilha2!B:H,7,0)</f>
        <v>LINHA M3</v>
      </c>
      <c r="E69" s="5">
        <v>31100</v>
      </c>
      <c r="F69">
        <f>IFERROR(
IF(ISNUMBER(FIND("CFW110",B69)),
VALUE(MID(B69,FIND("CFW110",B69)+6,FIND("T",B69,FIND("CFW110",B69))-(FIND("CFW110",B69)+6))),
IF(ISNUMBER(FIND("D",B69)),
VALUE(SUBSTITUTE(MID(B69,FIND("D",B69)+1,FIND("T",B69,FIND("D",B69))-(FIND("D",B69)+1)),"P",",")),
IF(ISNUMBER(FIND("CFW5",B69)),
VALUE(MID(B69,
IF(ISNUMBER(FIND("F",B69)),FIND("F",B69)+1,FIND("G",B69)+1),
FIND("T",B69)-(IF(ISNUMBER(FIND("F",B69)),FIND("F",B69)+1,FIND("G",B69)+1))
)),
VALUE(MID(B69,FIND("E0",B69)+2,FIND("T",B69,FIND("E0",B69))-(FIND("E0",B69)+2)))
))),"")</f>
        <v>70</v>
      </c>
      <c r="G69">
        <f>IFERROR(
IF(ISNUMBER(FIND("T2",B69)),220,
IF(ISNUMBER(FIND("T4",B69)),440,
IF(ISNUMBER(FIND("T5",B69)),575,
IF(ISNUMBER(FIND("T6",B69)),690,"")))),
"")</f>
        <v>440</v>
      </c>
    </row>
    <row r="70" spans="1:7" x14ac:dyDescent="0.25">
      <c r="A70">
        <v>13505152</v>
      </c>
      <c r="B70" t="str">
        <f>VLOOKUP(A70,Planilha2!B:C,2,0)</f>
        <v>INVERSOR BRCFW110058T4OSVZ</v>
      </c>
      <c r="C70" t="s">
        <v>1</v>
      </c>
      <c r="D70" t="str">
        <f>VLOOKUP(A70,Planilha2!B:H,7,0)</f>
        <v>LINHA M1</v>
      </c>
      <c r="E70" s="5">
        <v>20500</v>
      </c>
      <c r="F70">
        <f>IFERROR(
IF(ISNUMBER(FIND("CFW110",B70)),
VALUE(MID(B70,FIND("CFW110",B70)+6,FIND("T",B70,FIND("CFW110",B70))-(FIND("CFW110",B70)+6))),
IF(ISNUMBER(FIND("D",B70)),
VALUE(SUBSTITUTE(MID(B70,FIND("D",B70)+1,FIND("T",B70,FIND("D",B70))-(FIND("D",B70)+1)),"P",",")),
IF(ISNUMBER(FIND("CFW5",B70)),
VALUE(MID(B70,
IF(ISNUMBER(FIND("F",B70)),FIND("F",B70)+1,FIND("G",B70)+1),
FIND("T",B70)-(IF(ISNUMBER(FIND("F",B70)),FIND("F",B70)+1,FIND("G",B70)+1))
)),
VALUE(MID(B70,FIND("E0",B70)+2,FIND("T",B70,FIND("E0",B70))-(FIND("E0",B70)+2)))
))),"")</f>
        <v>58</v>
      </c>
      <c r="G70">
        <f>IFERROR(
IF(ISNUMBER(FIND("T2",B70)),220,
IF(ISNUMBER(FIND("T4",B70)),440,
IF(ISNUMBER(FIND("T5",B70)),575,
IF(ISNUMBER(FIND("T6",B70)),690,"")))),
"")</f>
        <v>440</v>
      </c>
    </row>
    <row r="71" spans="1:7" x14ac:dyDescent="0.25">
      <c r="A71">
        <v>13505150</v>
      </c>
      <c r="B71" t="str">
        <f>VLOOKUP(A71,Planilha2!B:C,2,0)</f>
        <v>INVERSOR BRCFW110038T4OSVZ</v>
      </c>
      <c r="C71" t="s">
        <v>1</v>
      </c>
      <c r="D71" t="str">
        <f>VLOOKUP(A71,Planilha2!B:H,7,0)</f>
        <v>LINHA M1</v>
      </c>
      <c r="E71" s="5">
        <v>16400</v>
      </c>
      <c r="F71">
        <f>IFERROR(
IF(ISNUMBER(FIND("CFW110",B71)),
VALUE(MID(B71,FIND("CFW110",B71)+6,FIND("T",B71,FIND("CFW110",B71))-(FIND("CFW110",B71)+6))),
IF(ISNUMBER(FIND("D",B71)),
VALUE(SUBSTITUTE(MID(B71,FIND("D",B71)+1,FIND("T",B71,FIND("D",B71))-(FIND("D",B71)+1)),"P",",")),
IF(ISNUMBER(FIND("CFW5",B71)),
VALUE(MID(B71,
IF(ISNUMBER(FIND("F",B71)),FIND("F",B71)+1,FIND("G",B71)+1),
FIND("T",B71)-(IF(ISNUMBER(FIND("F",B71)),FIND("F",B71)+1,FIND("G",B71)+1))
)),
VALUE(MID(B71,FIND("E0",B71)+2,FIND("T",B71,FIND("E0",B71))-(FIND("E0",B71)+2)))
))),"")</f>
        <v>38</v>
      </c>
      <c r="G71">
        <f>IFERROR(
IF(ISNUMBER(FIND("T2",B71)),220,
IF(ISNUMBER(FIND("T4",B71)),440,
IF(ISNUMBER(FIND("T5",B71)),575,
IF(ISNUMBER(FIND("T6",B71)),690,"")))),
"")</f>
        <v>440</v>
      </c>
    </row>
    <row r="72" spans="1:7" x14ac:dyDescent="0.25">
      <c r="A72">
        <v>13505151</v>
      </c>
      <c r="B72" t="str">
        <f>VLOOKUP(A72,Planilha2!B:C,2,0)</f>
        <v>INVERSOR BRCFW110045T4OSVZ</v>
      </c>
      <c r="C72" t="s">
        <v>1</v>
      </c>
      <c r="D72" t="str">
        <f>VLOOKUP(A72,Planilha2!B:H,7,0)</f>
        <v>LINHA M1</v>
      </c>
      <c r="E72" s="5">
        <v>19600</v>
      </c>
      <c r="F72">
        <f>IFERROR(
IF(ISNUMBER(FIND("CFW110",B72)),
VALUE(MID(B72,FIND("CFW110",B72)+6,FIND("T",B72,FIND("CFW110",B72))-(FIND("CFW110",B72)+6))),
IF(ISNUMBER(FIND("D",B72)),
VALUE(SUBSTITUTE(MID(B72,FIND("D",B72)+1,FIND("T",B72,FIND("D",B72))-(FIND("D",B72)+1)),"P",",")),
IF(ISNUMBER(FIND("CFW5",B72)),
VALUE(MID(B72,
IF(ISNUMBER(FIND("F",B72)),FIND("F",B72)+1,FIND("G",B72)+1),
FIND("T",B72)-(IF(ISNUMBER(FIND("F",B72)),FIND("F",B72)+1,FIND("G",B72)+1))
)),
VALUE(MID(B72,FIND("E0",B72)+2,FIND("T",B72,FIND("E0",B72))-(FIND("E0",B72)+2)))
))),"")</f>
        <v>45</v>
      </c>
      <c r="G72">
        <f>IFERROR(
IF(ISNUMBER(FIND("T2",B72)),220,
IF(ISNUMBER(FIND("T4",B72)),440,
IF(ISNUMBER(FIND("T5",B72)),575,
IF(ISNUMBER(FIND("T6",B72)),690,"")))),
"")</f>
        <v>440</v>
      </c>
    </row>
    <row r="73" spans="1:7" x14ac:dyDescent="0.25">
      <c r="A73">
        <v>13594127</v>
      </c>
      <c r="B73" t="str">
        <f>VLOOKUP(A73,Planilha2!B:C,2,0)</f>
        <v>INVERSOR BRCFW110088T4OYZ-UI</v>
      </c>
      <c r="C73" t="s">
        <v>1</v>
      </c>
      <c r="D73" t="str">
        <f>VLOOKUP(A73,Planilha2!B:H,7,0)</f>
        <v>LINHA M3</v>
      </c>
      <c r="E73" s="5">
        <v>33300</v>
      </c>
      <c r="F73">
        <f>IFERROR(
IF(ISNUMBER(FIND("CFW110",B73)),
VALUE(MID(B73,FIND("CFW110",B73)+6,FIND("T",B73,FIND("CFW110",B73))-(FIND("CFW110",B73)+6))),
IF(ISNUMBER(FIND("D",B73)),
VALUE(SUBSTITUTE(MID(B73,FIND("D",B73)+1,FIND("T",B73,FIND("D",B73))-(FIND("D",B73)+1)),"P",",")),
IF(ISNUMBER(FIND("CFW5",B73)),
VALUE(MID(B73,
IF(ISNUMBER(FIND("F",B73)),FIND("F",B73)+1,FIND("G",B73)+1),
FIND("T",B73)-(IF(ISNUMBER(FIND("F",B73)),FIND("F",B73)+1,FIND("G",B73)+1))
)),
VALUE(MID(B73,FIND("E0",B73)+2,FIND("T",B73,FIND("E0",B73))-(FIND("E0",B73)+2)))
))),"")</f>
        <v>88</v>
      </c>
      <c r="G73">
        <f>IFERROR(
IF(ISNUMBER(FIND("T2",B73)),220,
IF(ISNUMBER(FIND("T4",B73)),440,
IF(ISNUMBER(FIND("T5",B73)),575,
IF(ISNUMBER(FIND("T6",B73)),690,"")))),
"")</f>
        <v>440</v>
      </c>
    </row>
    <row r="74" spans="1:7" x14ac:dyDescent="0.25">
      <c r="A74">
        <v>13600170</v>
      </c>
      <c r="B74" t="str">
        <f>VLOOKUP(A74,Planilha2!B:C,2,0)</f>
        <v>INVERSOR EUCFW110012T5OYHXZ</v>
      </c>
      <c r="C74" t="s">
        <v>1</v>
      </c>
      <c r="D74" t="str">
        <f>VLOOKUP(A74,Planilha2!B:H,7,0)</f>
        <v>LINHA P7</v>
      </c>
      <c r="E74" s="5">
        <v>26362</v>
      </c>
      <c r="F74">
        <f>IFERROR(
IF(ISNUMBER(FIND("CFW110",B74)),
VALUE(MID(B74,FIND("CFW110",B74)+6,FIND("T",B74,FIND("CFW110",B74))-(FIND("CFW110",B74)+6))),
IF(ISNUMBER(FIND("D",B74)),
VALUE(SUBSTITUTE(MID(B74,FIND("D",B74)+1,FIND("T",B74,FIND("D",B74))-(FIND("D",B74)+1)),"P",",")),
IF(ISNUMBER(FIND("CFW5",B74)),
VALUE(MID(B74,
IF(ISNUMBER(FIND("F",B74)),FIND("F",B74)+1,FIND("G",B74)+1),
FIND("T",B74)-(IF(ISNUMBER(FIND("F",B74)),FIND("F",B74)+1,FIND("G",B74)+1))
)),
VALUE(MID(B74,FIND("E0",B74)+2,FIND("T",B74,FIND("E0",B74))-(FIND("E0",B74)+2)))
))),"")</f>
        <v>12</v>
      </c>
      <c r="G74">
        <f>IFERROR(
IF(ISNUMBER(FIND("T2",B74)),220,
IF(ISNUMBER(FIND("T4",B74)),440,
IF(ISNUMBER(FIND("T5",B74)),575,
IF(ISNUMBER(FIND("T6",B74)),690,"")))),
"")</f>
        <v>575</v>
      </c>
    </row>
    <row r="75" spans="1:7" x14ac:dyDescent="0.25">
      <c r="A75">
        <v>13614428</v>
      </c>
      <c r="B75" t="str">
        <f>VLOOKUP(A75,Planilha2!B:C,2,0)</f>
        <v>INVERSOR BRCFW110086T2SZ-UI</v>
      </c>
      <c r="C75" t="s">
        <v>1</v>
      </c>
      <c r="D75" t="str">
        <f>VLOOKUP(A75,Planilha2!B:H,7,0)</f>
        <v>LINHA M3</v>
      </c>
      <c r="E75" s="5">
        <v>29500</v>
      </c>
      <c r="F75">
        <f>IFERROR(
IF(ISNUMBER(FIND("CFW110",B75)),
VALUE(MID(B75,FIND("CFW110",B75)+6,FIND("T",B75,FIND("CFW110",B75))-(FIND("CFW110",B75)+6))),
IF(ISNUMBER(FIND("D",B75)),
VALUE(SUBSTITUTE(MID(B75,FIND("D",B75)+1,FIND("T",B75,FIND("D",B75))-(FIND("D",B75)+1)),"P",",")),
IF(ISNUMBER(FIND("CFW5",B75)),
VALUE(MID(B75,
IF(ISNUMBER(FIND("F",B75)),FIND("F",B75)+1,FIND("G",B75)+1),
FIND("T",B75)-(IF(ISNUMBER(FIND("F",B75)),FIND("F",B75)+1,FIND("G",B75)+1))
)),
VALUE(MID(B75,FIND("E0",B75)+2,FIND("T",B75,FIND("E0",B75))-(FIND("E0",B75)+2)))
))),"")</f>
        <v>86</v>
      </c>
      <c r="G75">
        <f>IFERROR(
IF(ISNUMBER(FIND("T2",B75)),220,
IF(ISNUMBER(FIND("T4",B75)),440,
IF(ISNUMBER(FIND("T5",B75)),575,
IF(ISNUMBER(FIND("T6",B75)),690,"")))),
"")</f>
        <v>220</v>
      </c>
    </row>
    <row r="76" spans="1:7" x14ac:dyDescent="0.25">
      <c r="A76">
        <v>13615292</v>
      </c>
      <c r="B76" t="str">
        <f>VLOOKUP(A76,Planilha2!B:C,2,0)</f>
        <v>INVERSOR CFW701D88P0T4DBN1C3-UI</v>
      </c>
      <c r="C76" t="s">
        <v>1</v>
      </c>
      <c r="D76" t="str">
        <f>VLOOKUP(A76,Planilha2!B:H,7,0)</f>
        <v>LINHA M3</v>
      </c>
      <c r="E76" s="5">
        <v>31100</v>
      </c>
      <c r="F76">
        <f>IFERROR(
IF(ISNUMBER(FIND("CFW110",B76)),
VALUE(MID(B76,FIND("CFW110",B76)+6,FIND("T",B76,FIND("CFW110",B76))-(FIND("CFW110",B76)+6))),
IF(ISNUMBER(FIND("D",B76)),
VALUE(SUBSTITUTE(MID(B76,FIND("D",B76)+1,FIND("T",B76,FIND("D",B76))-(FIND("D",B76)+1)),"P",",")),
IF(ISNUMBER(FIND("CFW5",B76)),
VALUE(MID(B76,
IF(ISNUMBER(FIND("F",B76)),FIND("F",B76)+1,FIND("G",B76)+1),
FIND("T",B76)-(IF(ISNUMBER(FIND("F",B76)),FIND("F",B76)+1,FIND("G",B76)+1))
)),
VALUE(MID(B76,FIND("E0",B76)+2,FIND("T",B76,FIND("E0",B76))-(FIND("E0",B76)+2)))
))),"")</f>
        <v>88</v>
      </c>
      <c r="G76">
        <f>IFERROR(
IF(ISNUMBER(FIND("T2",B76)),220,
IF(ISNUMBER(FIND("T4",B76)),440,
IF(ISNUMBER(FIND("T5",B76)),575,
IF(ISNUMBER(FIND("T6",B76)),690,"")))),
"")</f>
        <v>440</v>
      </c>
    </row>
    <row r="77" spans="1:7" x14ac:dyDescent="0.25">
      <c r="A77">
        <v>13615833</v>
      </c>
      <c r="B77" t="str">
        <f>VLOOKUP(A77,Planilha2!B:C,2,0)</f>
        <v>INVERSOR BCCFW110088T4OHESEZ-UI</v>
      </c>
      <c r="C77" t="s">
        <v>1</v>
      </c>
      <c r="D77" t="str">
        <f>VLOOKUP(A77,Planilha2!B:H,7,0)</f>
        <v>LINHA M3</v>
      </c>
      <c r="E77" s="5">
        <v>31100</v>
      </c>
      <c r="F77">
        <f>IFERROR(
IF(ISNUMBER(FIND("CFW110",B77)),
VALUE(MID(B77,FIND("CFW110",B77)+6,FIND("T",B77,FIND("CFW110",B77))-(FIND("CFW110",B77)+6))),
IF(ISNUMBER(FIND("D",B77)),
VALUE(SUBSTITUTE(MID(B77,FIND("D",B77)+1,FIND("T",B77,FIND("D",B77))-(FIND("D",B77)+1)),"P",",")),
IF(ISNUMBER(FIND("CFW5",B77)),
VALUE(MID(B77,
IF(ISNUMBER(FIND("F",B77)),FIND("F",B77)+1,FIND("G",B77)+1),
FIND("T",B77)-(IF(ISNUMBER(FIND("F",B77)),FIND("F",B77)+1,FIND("G",B77)+1))
)),
VALUE(MID(B77,FIND("E0",B77)+2,FIND("T",B77,FIND("E0",B77))-(FIND("E0",B77)+2)))
))),"")</f>
        <v>88</v>
      </c>
      <c r="G77">
        <f>IFERROR(
IF(ISNUMBER(FIND("T2",B77)),220,
IF(ISNUMBER(FIND("T4",B77)),440,
IF(ISNUMBER(FIND("T5",B77)),575,
IF(ISNUMBER(FIND("T6",B77)),690,"")))),
"")</f>
        <v>440</v>
      </c>
    </row>
    <row r="78" spans="1:7" x14ac:dyDescent="0.25">
      <c r="A78">
        <v>13614322</v>
      </c>
      <c r="B78" t="str">
        <f>VLOOKUP(A78,Planilha2!B:C,2,0)</f>
        <v>INVERSOR BCCFW110070T4OHESEZ-UI</v>
      </c>
      <c r="C78" t="s">
        <v>1</v>
      </c>
      <c r="D78" t="str">
        <f>VLOOKUP(A78,Planilha2!B:H,7,0)</f>
        <v>LINHA M3</v>
      </c>
      <c r="E78" s="5">
        <v>31100</v>
      </c>
      <c r="F78">
        <f>IFERROR(
IF(ISNUMBER(FIND("CFW110",B78)),
VALUE(MID(B78,FIND("CFW110",B78)+6,FIND("T",B78,FIND("CFW110",B78))-(FIND("CFW110",B78)+6))),
IF(ISNUMBER(FIND("D",B78)),
VALUE(SUBSTITUTE(MID(B78,FIND("D",B78)+1,FIND("T",B78,FIND("D",B78))-(FIND("D",B78)+1)),"P",",")),
IF(ISNUMBER(FIND("CFW5",B78)),
VALUE(MID(B78,
IF(ISNUMBER(FIND("F",B78)),FIND("F",B78)+1,FIND("G",B78)+1),
FIND("T",B78)-(IF(ISNUMBER(FIND("F",B78)),FIND("F",B78)+1,FIND("G",B78)+1))
)),
VALUE(MID(B78,FIND("E0",B78)+2,FIND("T",B78,FIND("E0",B78))-(FIND("E0",B78)+2)))
))),"")</f>
        <v>70</v>
      </c>
      <c r="G78">
        <f>IFERROR(
IF(ISNUMBER(FIND("T2",B78)),220,
IF(ISNUMBER(FIND("T4",B78)),440,
IF(ISNUMBER(FIND("T5",B78)),575,
IF(ISNUMBER(FIND("T6",B78)),690,"")))),
"")</f>
        <v>440</v>
      </c>
    </row>
    <row r="79" spans="1:7" x14ac:dyDescent="0.25">
      <c r="A79">
        <v>13615063</v>
      </c>
      <c r="B79" t="str">
        <f>VLOOKUP(A79,Planilha2!B:C,2,0)</f>
        <v>INVERSOR CFW701D70P5T4DBN1C3-UI</v>
      </c>
      <c r="C79" t="s">
        <v>1</v>
      </c>
      <c r="D79" t="str">
        <f>VLOOKUP(A79,Planilha2!B:H,7,0)</f>
        <v>LINHA M3</v>
      </c>
      <c r="E79" s="5">
        <v>31100</v>
      </c>
      <c r="F79">
        <f>IFERROR(
IF(ISNUMBER(FIND("CFW110",B79)),
VALUE(MID(B79,FIND("CFW110",B79)+6,FIND("T",B79,FIND("CFW110",B79))-(FIND("CFW110",B79)+6))),
IF(ISNUMBER(FIND("D",B79)),
VALUE(SUBSTITUTE(MID(B79,FIND("D",B79)+1,FIND("T",B79,FIND("D",B79))-(FIND("D",B79)+1)),"P",",")),
IF(ISNUMBER(FIND("CFW5",B79)),
VALUE(MID(B79,
IF(ISNUMBER(FIND("F",B79)),FIND("F",B79)+1,FIND("G",B79)+1),
FIND("T",B79)-(IF(ISNUMBER(FIND("F",B79)),FIND("F",B79)+1,FIND("G",B79)+1))
)),
VALUE(MID(B79,FIND("E0",B79)+2,FIND("T",B79,FIND("E0",B79))-(FIND("E0",B79)+2)))
))),"")</f>
        <v>70.5</v>
      </c>
      <c r="G79">
        <f>IFERROR(
IF(ISNUMBER(FIND("T2",B79)),220,
IF(ISNUMBER(FIND("T4",B79)),440,
IF(ISNUMBER(FIND("T5",B79)),575,
IF(ISNUMBER(FIND("T6",B79)),690,"")))),
"")</f>
        <v>440</v>
      </c>
    </row>
    <row r="80" spans="1:7" x14ac:dyDescent="0.25">
      <c r="A80">
        <v>13358787</v>
      </c>
      <c r="B80" t="str">
        <f>VLOOKUP(A80,Planilha2!B:C,2,0)</f>
        <v>INVERSOR BRCFW110142T2ODBHUSOZ</v>
      </c>
      <c r="C80" t="s">
        <v>1</v>
      </c>
      <c r="D80" t="str">
        <f>VLOOKUP(A80,Planilha2!B:H,7,0)</f>
        <v>LINHA G1</v>
      </c>
      <c r="E80" s="5">
        <v>48000</v>
      </c>
      <c r="F80">
        <f>IFERROR(
IF(ISNUMBER(FIND("CFW110",B80)),
VALUE(MID(B80,FIND("CFW110",B80)+6,FIND("T",B80,FIND("CFW110",B80))-(FIND("CFW110",B80)+6))),
IF(ISNUMBER(FIND("D",B80)),
VALUE(SUBSTITUTE(MID(B80,FIND("D",B80)+1,FIND("T",B80,FIND("D",B80))-(FIND("D",B80)+1)),"P",",")),
IF(ISNUMBER(FIND("CFW5",B80)),
VALUE(MID(B80,
IF(ISNUMBER(FIND("F",B80)),FIND("F",B80)+1,FIND("G",B80)+1),
FIND("T",B80)-(IF(ISNUMBER(FIND("F",B80)),FIND("F",B80)+1,FIND("G",B80)+1))
)),
VALUE(MID(B80,FIND("E0",B80)+2,FIND("T",B80,FIND("E0",B80))-(FIND("E0",B80)+2)))
))),"")</f>
        <v>142</v>
      </c>
      <c r="G80">
        <f>IFERROR(
IF(ISNUMBER(FIND("T2",B80)),220,
IF(ISNUMBER(FIND("T4",B80)),440,
IF(ISNUMBER(FIND("T5",B80)),575,
IF(ISNUMBER(FIND("T6",B80)),690,"")))),
"")</f>
        <v>220</v>
      </c>
    </row>
    <row r="81" spans="1:7" x14ac:dyDescent="0.25">
      <c r="A81">
        <v>13552727</v>
      </c>
      <c r="B81" t="str">
        <f>VLOOKUP(A81,Planilha2!B:C,2,0)</f>
        <v>INVERSOR MSCFW110105T4ODBYZ</v>
      </c>
      <c r="C81" t="s">
        <v>1</v>
      </c>
      <c r="D81" t="str">
        <f>VLOOKUP(A81,Planilha2!B:H,7,0)</f>
        <v>LINHA G1</v>
      </c>
      <c r="E81" s="5">
        <v>64598</v>
      </c>
      <c r="F81">
        <f>IFERROR(
IF(ISNUMBER(FIND("CFW110",B81)),
VALUE(MID(B81,FIND("CFW110",B81)+6,FIND("T",B81,FIND("CFW110",B81))-(FIND("CFW110",B81)+6))),
IF(ISNUMBER(FIND("D",B81)),
VALUE(SUBSTITUTE(MID(B81,FIND("D",B81)+1,FIND("T",B81,FIND("D",B81))-(FIND("D",B81)+1)),"P",",")),
IF(ISNUMBER(FIND("CFW5",B81)),
VALUE(MID(B81,
IF(ISNUMBER(FIND("F",B81)),FIND("F",B81)+1,FIND("G",B81)+1),
FIND("T",B81)-(IF(ISNUMBER(FIND("F",B81)),FIND("F",B81)+1,FIND("G",B81)+1))
)),
VALUE(MID(B81,FIND("E0",B81)+2,FIND("T",B81,FIND("E0",B81))-(FIND("E0",B81)+2)))
))),"")</f>
        <v>105</v>
      </c>
      <c r="G81">
        <f>IFERROR(
IF(ISNUMBER(FIND("T2",B81)),220,
IF(ISNUMBER(FIND("T4",B81)),440,
IF(ISNUMBER(FIND("T5",B81)),575,
IF(ISNUMBER(FIND("T6",B81)),690,"")))),
"")</f>
        <v>440</v>
      </c>
    </row>
    <row r="82" spans="1:7" x14ac:dyDescent="0.25">
      <c r="A82">
        <v>13539797</v>
      </c>
      <c r="B82" t="str">
        <f>VLOOKUP(A82,Planilha2!B:C,2,0)</f>
        <v>INVERSOR BRCFW110142T4OS7Z</v>
      </c>
      <c r="C82" t="s">
        <v>1</v>
      </c>
      <c r="D82" t="str">
        <f>VLOOKUP(A82,Planilha2!B:H,7,0)</f>
        <v>LINHA G1</v>
      </c>
      <c r="E82" s="5">
        <v>64598</v>
      </c>
      <c r="F82">
        <f>IFERROR(
IF(ISNUMBER(FIND("CFW110",B82)),
VALUE(MID(B82,FIND("CFW110",B82)+6,FIND("T",B82,FIND("CFW110",B82))-(FIND("CFW110",B82)+6))),
IF(ISNUMBER(FIND("D",B82)),
VALUE(SUBSTITUTE(MID(B82,FIND("D",B82)+1,FIND("T",B82,FIND("D",B82))-(FIND("D",B82)+1)),"P",",")),
IF(ISNUMBER(FIND("CFW5",B82)),
VALUE(MID(B82,
IF(ISNUMBER(FIND("F",B82)),FIND("F",B82)+1,FIND("G",B82)+1),
FIND("T",B82)-(IF(ISNUMBER(FIND("F",B82)),FIND("F",B82)+1,FIND("G",B82)+1))
)),
VALUE(MID(B82,FIND("E0",B82)+2,FIND("T",B82,FIND("E0",B82))-(FIND("E0",B82)+2)))
))),"")</f>
        <v>142</v>
      </c>
      <c r="G82">
        <f>IFERROR(
IF(ISNUMBER(FIND("T2",B82)),220,
IF(ISNUMBER(FIND("T4",B82)),440,
IF(ISNUMBER(FIND("T5",B82)),575,
IF(ISNUMBER(FIND("T6",B82)),690,"")))),
"")</f>
        <v>440</v>
      </c>
    </row>
    <row r="83" spans="1:7" x14ac:dyDescent="0.25">
      <c r="A83">
        <v>13505085</v>
      </c>
      <c r="B83" t="str">
        <f>VLOOKUP(A83,Planilha2!B:C,2,0)</f>
        <v>INVERSOR BRCFW110142T2ODBSVZ</v>
      </c>
      <c r="C83" t="s">
        <v>1</v>
      </c>
      <c r="D83" t="str">
        <f>VLOOKUP(A83,Planilha2!B:H,7,0)</f>
        <v>LINHA G1</v>
      </c>
      <c r="E83" s="5">
        <v>64210</v>
      </c>
      <c r="F83">
        <f>IFERROR(
IF(ISNUMBER(FIND("CFW110",B83)),
VALUE(MID(B83,FIND("CFW110",B83)+6,FIND("T",B83,FIND("CFW110",B83))-(FIND("CFW110",B83)+6))),
IF(ISNUMBER(FIND("D",B83)),
VALUE(SUBSTITUTE(MID(B83,FIND("D",B83)+1,FIND("T",B83,FIND("D",B83))-(FIND("D",B83)+1)),"P",",")),
IF(ISNUMBER(FIND("CFW5",B83)),
VALUE(MID(B83,
IF(ISNUMBER(FIND("F",B83)),FIND("F",B83)+1,FIND("G",B83)+1),
FIND("T",B83)-(IF(ISNUMBER(FIND("F",B83)),FIND("F",B83)+1,FIND("G",B83)+1))
)),
VALUE(MID(B83,FIND("E0",B83)+2,FIND("T",B83,FIND("E0",B83))-(FIND("E0",B83)+2)))
))),"")</f>
        <v>142</v>
      </c>
      <c r="G83">
        <f>IFERROR(
IF(ISNUMBER(FIND("T2",B83)),220,
IF(ISNUMBER(FIND("T4",B83)),440,
IF(ISNUMBER(FIND("T5",B83)),575,
IF(ISNUMBER(FIND("T6",B83)),690,"")))),
"")</f>
        <v>220</v>
      </c>
    </row>
    <row r="84" spans="1:7" x14ac:dyDescent="0.25">
      <c r="A84">
        <v>13505413</v>
      </c>
      <c r="B84" t="str">
        <f>VLOOKUP(A84,Planilha2!B:C,2,0)</f>
        <v>INVERSOR BRCFW110142T4ODBSVZ</v>
      </c>
      <c r="C84" t="s">
        <v>1</v>
      </c>
      <c r="D84" t="str">
        <f>VLOOKUP(A84,Planilha2!B:H,7,0)</f>
        <v>LINHA G1</v>
      </c>
      <c r="E84" s="5">
        <v>69100</v>
      </c>
      <c r="F84">
        <f>IFERROR(
IF(ISNUMBER(FIND("CFW110",B84)),
VALUE(MID(B84,FIND("CFW110",B84)+6,FIND("T",B84,FIND("CFW110",B84))-(FIND("CFW110",B84)+6))),
IF(ISNUMBER(FIND("D",B84)),
VALUE(SUBSTITUTE(MID(B84,FIND("D",B84)+1,FIND("T",B84,FIND("D",B84))-(FIND("D",B84)+1)),"P",",")),
IF(ISNUMBER(FIND("CFW5",B84)),
VALUE(MID(B84,
IF(ISNUMBER(FIND("F",B84)),FIND("F",B84)+1,FIND("G",B84)+1),
FIND("T",B84)-(IF(ISNUMBER(FIND("F",B84)),FIND("F",B84)+1,FIND("G",B84)+1))
)),
VALUE(MID(B84,FIND("E0",B84)+2,FIND("T",B84,FIND("E0",B84))-(FIND("E0",B84)+2)))
))),"")</f>
        <v>142</v>
      </c>
      <c r="G84">
        <f>IFERROR(
IF(ISNUMBER(FIND("T2",B84)),220,
IF(ISNUMBER(FIND("T4",B84)),440,
IF(ISNUMBER(FIND("T5",B84)),575,
IF(ISNUMBER(FIND("T6",B84)),690,"")))),
"")</f>
        <v>440</v>
      </c>
    </row>
    <row r="85" spans="1:7" x14ac:dyDescent="0.25">
      <c r="A85">
        <v>13616198</v>
      </c>
      <c r="B85" t="str">
        <f>VLOOKUP(A85,Planilha2!B:C,2,0)</f>
        <v>INVERSOR BRCFW110142T2SZ-UI</v>
      </c>
      <c r="C85" t="s">
        <v>1</v>
      </c>
      <c r="D85" t="str">
        <f>VLOOKUP(A85,Planilha2!B:H,7,0)</f>
        <v>LINHA G1</v>
      </c>
      <c r="E85" s="5">
        <v>69100</v>
      </c>
      <c r="F85">
        <f>IFERROR(
IF(ISNUMBER(FIND("CFW110",B85)),
VALUE(MID(B85,FIND("CFW110",B85)+6,FIND("T",B85,FIND("CFW110",B85))-(FIND("CFW110",B85)+6))),
IF(ISNUMBER(FIND("D",B85)),
VALUE(SUBSTITUTE(MID(B85,FIND("D",B85)+1,FIND("T",B85,FIND("D",B85))-(FIND("D",B85)+1)),"P",",")),
IF(ISNUMBER(FIND("CFW5",B85)),
VALUE(MID(B85,
IF(ISNUMBER(FIND("F",B85)),FIND("F",B85)+1,FIND("G",B85)+1),
FIND("T",B85)-(IF(ISNUMBER(FIND("F",B85)),FIND("F",B85)+1,FIND("G",B85)+1))
)),
VALUE(MID(B85,FIND("E0",B85)+2,FIND("T",B85,FIND("E0",B85))-(FIND("E0",B85)+2)))
))),"")</f>
        <v>142</v>
      </c>
      <c r="G85">
        <f>IFERROR(
IF(ISNUMBER(FIND("T2",B85)),220,
IF(ISNUMBER(FIND("T4",B85)),440,
IF(ISNUMBER(FIND("T5",B85)),575,
IF(ISNUMBER(FIND("T6",B85)),690,"")))),
"")</f>
        <v>220</v>
      </c>
    </row>
    <row r="86" spans="1:7" x14ac:dyDescent="0.25">
      <c r="A86">
        <v>13624097</v>
      </c>
      <c r="B86" t="str">
        <f>VLOOKUP(A86,Planilha2!B:C,2,0)</f>
        <v>INVERSOR NACFW110142T4SZ-UI</v>
      </c>
      <c r="C86" t="s">
        <v>1</v>
      </c>
      <c r="D86" t="str">
        <f>VLOOKUP(A86,Planilha2!B:H,7,0)</f>
        <v>LINHA G1</v>
      </c>
      <c r="E86" s="5">
        <v>64597</v>
      </c>
      <c r="F86">
        <f>IFERROR(
IF(ISNUMBER(FIND("CFW110",B86)),
VALUE(MID(B86,FIND("CFW110",B86)+6,FIND("T",B86,FIND("CFW110",B86))-(FIND("CFW110",B86)+6))),
IF(ISNUMBER(FIND("D",B86)),
VALUE(SUBSTITUTE(MID(B86,FIND("D",B86)+1,FIND("T",B86,FIND("D",B86))-(FIND("D",B86)+1)),"P",",")),
IF(ISNUMBER(FIND("CFW5",B86)),
VALUE(MID(B86,
IF(ISNUMBER(FIND("F",B86)),FIND("F",B86)+1,FIND("G",B86)+1),
FIND("T",B86)-(IF(ISNUMBER(FIND("F",B86)),FIND("F",B86)+1,FIND("G",B86)+1))
)),
VALUE(MID(B86,FIND("E0",B86)+2,FIND("T",B86,FIND("E0",B86))-(FIND("E0",B86)+2)))
))),"")</f>
        <v>142</v>
      </c>
      <c r="G86">
        <f>IFERROR(
IF(ISNUMBER(FIND("T2",B86)),220,
IF(ISNUMBER(FIND("T4",B86)),440,
IF(ISNUMBER(FIND("T5",B86)),575,
IF(ISNUMBER(FIND("T6",B86)),690,"")))),
"")</f>
        <v>440</v>
      </c>
    </row>
    <row r="87" spans="1:7" x14ac:dyDescent="0.25">
      <c r="A87">
        <v>13611776</v>
      </c>
      <c r="B87" t="str">
        <f>VLOOKUP(A87,Planilha2!B:C,2,0)</f>
        <v>INVERSOR BRCFW110105T4ODBWZ-UI</v>
      </c>
      <c r="C87" t="s">
        <v>1</v>
      </c>
      <c r="D87" t="str">
        <f>VLOOKUP(A87,Planilha2!B:H,7,0)</f>
        <v>LINHA G1</v>
      </c>
      <c r="E87" s="5">
        <v>66727</v>
      </c>
      <c r="F87">
        <f>IFERROR(
IF(ISNUMBER(FIND("CFW110",B87)),
VALUE(MID(B87,FIND("CFW110",B87)+6,FIND("T",B87,FIND("CFW110",B87))-(FIND("CFW110",B87)+6))),
IF(ISNUMBER(FIND("D",B87)),
VALUE(SUBSTITUTE(MID(B87,FIND("D",B87)+1,FIND("T",B87,FIND("D",B87))-(FIND("D",B87)+1)),"P",",")),
IF(ISNUMBER(FIND("CFW5",B87)),
VALUE(MID(B87,
IF(ISNUMBER(FIND("F",B87)),FIND("F",B87)+1,FIND("G",B87)+1),
FIND("T",B87)-(IF(ISNUMBER(FIND("F",B87)),FIND("F",B87)+1,FIND("G",B87)+1))
)),
VALUE(MID(B87,FIND("E0",B87)+2,FIND("T",B87,FIND("E0",B87))-(FIND("E0",B87)+2)))
))),"")</f>
        <v>105</v>
      </c>
      <c r="G87">
        <f>IFERROR(
IF(ISNUMBER(FIND("T2",B87)),220,
IF(ISNUMBER(FIND("T4",B87)),440,
IF(ISNUMBER(FIND("T5",B87)),575,
IF(ISNUMBER(FIND("T6",B87)),690,"")))),
"")</f>
        <v>440</v>
      </c>
    </row>
    <row r="88" spans="1:7" x14ac:dyDescent="0.25">
      <c r="A88">
        <v>13623411</v>
      </c>
      <c r="B88" t="str">
        <f>VLOOKUP(A88,Planilha2!B:C,2,0)</f>
        <v>INVERSOR SACFW110142T4SZ-UI</v>
      </c>
      <c r="C88" t="s">
        <v>1</v>
      </c>
      <c r="D88" t="str">
        <f>VLOOKUP(A88,Planilha2!B:H,7,0)</f>
        <v>LINHA G1</v>
      </c>
      <c r="E88" s="5">
        <v>64599</v>
      </c>
      <c r="F88">
        <f>IFERROR(
IF(ISNUMBER(FIND("CFW110",B88)),
VALUE(MID(B88,FIND("CFW110",B88)+6,FIND("T",B88,FIND("CFW110",B88))-(FIND("CFW110",B88)+6))),
IF(ISNUMBER(FIND("D",B88)),
VALUE(SUBSTITUTE(MID(B88,FIND("D",B88)+1,FIND("T",B88,FIND("D",B88))-(FIND("D",B88)+1)),"P",",")),
IF(ISNUMBER(FIND("CFW5",B88)),
VALUE(MID(B88,
IF(ISNUMBER(FIND("F",B88)),FIND("F",B88)+1,FIND("G",B88)+1),
FIND("T",B88)-(IF(ISNUMBER(FIND("F",B88)),FIND("F",B88)+1,FIND("G",B88)+1))
)),
VALUE(MID(B88,FIND("E0",B88)+2,FIND("T",B88,FIND("E0",B88))-(FIND("E0",B88)+2)))
))),"")</f>
        <v>142</v>
      </c>
      <c r="G88">
        <f>IFERROR(
IF(ISNUMBER(FIND("T2",B88)),220,
IF(ISNUMBER(FIND("T4",B88)),440,
IF(ISNUMBER(FIND("T5",B88)),575,
IF(ISNUMBER(FIND("T6",B88)),690,"")))),
"")</f>
        <v>440</v>
      </c>
    </row>
    <row r="89" spans="1:7" x14ac:dyDescent="0.25">
      <c r="A89">
        <v>13694599</v>
      </c>
      <c r="B89" t="str">
        <f>VLOOKUP(A89,Planilha2!B:C,2,0)</f>
        <v>INVERSOR BRCFW110088T4OWZ-UI</v>
      </c>
      <c r="C89" t="s">
        <v>1</v>
      </c>
      <c r="D89" t="str">
        <f>VLOOKUP(A89,Planilha2!B:H,7,0)</f>
        <v>LINHA M3</v>
      </c>
      <c r="E89" s="5">
        <v>33200</v>
      </c>
      <c r="F89">
        <f>IFERROR(
IF(ISNUMBER(FIND("CFW110",B89)),
VALUE(MID(B89,FIND("CFW110",B89)+6,FIND("T",B89,FIND("CFW110",B89))-(FIND("CFW110",B89)+6))),
IF(ISNUMBER(FIND("D",B89)),
VALUE(SUBSTITUTE(MID(B89,FIND("D",B89)+1,FIND("T",B89,FIND("D",B89))-(FIND("D",B89)+1)),"P",",")),
IF(ISNUMBER(FIND("CFW5",B89)),
VALUE(MID(B89,
IF(ISNUMBER(FIND("F",B89)),FIND("F",B89)+1,FIND("G",B89)+1),
FIND("T",B89)-(IF(ISNUMBER(FIND("F",B89)),FIND("F",B89)+1,FIND("G",B89)+1))
)),
VALUE(MID(B89,FIND("E0",B89)+2,FIND("T",B89,FIND("E0",B89))-(FIND("E0",B89)+2)))
))),"")</f>
        <v>88</v>
      </c>
      <c r="G89">
        <f>IFERROR(
IF(ISNUMBER(FIND("T2",B89)),220,
IF(ISNUMBER(FIND("T4",B89)),440,
IF(ISNUMBER(FIND("T5",B89)),575,
IF(ISNUMBER(FIND("T6",B89)),690,"")))),
"")</f>
        <v>440</v>
      </c>
    </row>
    <row r="90" spans="1:7" x14ac:dyDescent="0.25">
      <c r="A90">
        <v>13765020</v>
      </c>
      <c r="B90" t="str">
        <f>VLOOKUP(A90,Planilha2!B:C,2,0)</f>
        <v>INVERSOR BRCFW110142T2OH4Z</v>
      </c>
      <c r="C90" t="s">
        <v>1</v>
      </c>
      <c r="D90" t="str">
        <f>VLOOKUP(A90,Planilha2!B:H,7,0)</f>
        <v>LINHA G1</v>
      </c>
      <c r="E90" s="5">
        <v>64598</v>
      </c>
      <c r="F90">
        <f>IFERROR(
IF(ISNUMBER(FIND("CFW110",B90)),
VALUE(MID(B90,FIND("CFW110",B90)+6,FIND("T",B90,FIND("CFW110",B90))-(FIND("CFW110",B90)+6))),
IF(ISNUMBER(FIND("D",B90)),
VALUE(SUBSTITUTE(MID(B90,FIND("D",B90)+1,FIND("T",B90,FIND("D",B90))-(FIND("D",B90)+1)),"P",",")),
IF(ISNUMBER(FIND("CFW5",B90)),
VALUE(MID(B90,
IF(ISNUMBER(FIND("F",B90)),FIND("F",B90)+1,FIND("G",B90)+1),
FIND("T",B90)-(IF(ISNUMBER(FIND("F",B90)),FIND("F",B90)+1,FIND("G",B90)+1))
)),
VALUE(MID(B90,FIND("E0",B90)+2,FIND("T",B90,FIND("E0",B90))-(FIND("E0",B90)+2)))
))),"")</f>
        <v>142</v>
      </c>
      <c r="G90">
        <f>IFERROR(
IF(ISNUMBER(FIND("T2",B90)),220,
IF(ISNUMBER(FIND("T4",B90)),440,
IF(ISNUMBER(FIND("T5",B90)),575,
IF(ISNUMBER(FIND("T6",B90)),690,"")))),
"")</f>
        <v>220</v>
      </c>
    </row>
    <row r="91" spans="1:7" x14ac:dyDescent="0.25">
      <c r="A91">
        <v>13765021</v>
      </c>
      <c r="B91" t="str">
        <f>VLOOKUP(A91,Planilha2!B:C,2,0)</f>
        <v>INVERSOR BRCFW110211T2OH4Z</v>
      </c>
      <c r="C91" t="s">
        <v>1</v>
      </c>
      <c r="D91" t="str">
        <f>VLOOKUP(A91,Planilha2!B:H,7,0)</f>
        <v>LINHA G1</v>
      </c>
      <c r="E91" s="5">
        <v>68128</v>
      </c>
      <c r="F91">
        <f>IFERROR(
IF(ISNUMBER(FIND("CFW110",B91)),
VALUE(MID(B91,FIND("CFW110",B91)+6,FIND("T",B91,FIND("CFW110",B91))-(FIND("CFW110",B91)+6))),
IF(ISNUMBER(FIND("D",B91)),
VALUE(SUBSTITUTE(MID(B91,FIND("D",B91)+1,FIND("T",B91,FIND("D",B91))-(FIND("D",B91)+1)),"P",",")),
IF(ISNUMBER(FIND("CFW5",B91)),
VALUE(MID(B91,
IF(ISNUMBER(FIND("F",B91)),FIND("F",B91)+1,FIND("G",B91)+1),
FIND("T",B91)-(IF(ISNUMBER(FIND("F",B91)),FIND("F",B91)+1,FIND("G",B91)+1))
)),
VALUE(MID(B91,FIND("E0",B91)+2,FIND("T",B91,FIND("E0",B91))-(FIND("E0",B91)+2)))
))),"")</f>
        <v>211</v>
      </c>
      <c r="G91">
        <f>IFERROR(
IF(ISNUMBER(FIND("T2",B91)),220,
IF(ISNUMBER(FIND("T4",B91)),440,
IF(ISNUMBER(FIND("T5",B91)),575,
IF(ISNUMBER(FIND("T6",B91)),690,"")))),
"")</f>
        <v>220</v>
      </c>
    </row>
    <row r="92" spans="1:7" x14ac:dyDescent="0.25">
      <c r="A92">
        <v>13871860</v>
      </c>
      <c r="B92" t="str">
        <f>VLOOKUP(A92,Planilha2!B:C,2,0)</f>
        <v>INVERSOR EUCFW110142T4O55DSYZ</v>
      </c>
      <c r="C92" t="s">
        <v>1</v>
      </c>
      <c r="D92" t="str">
        <f>VLOOKUP(A92,Planilha2!B:H,7,0)</f>
        <v>LINHA E1</v>
      </c>
      <c r="E92" s="5">
        <v>88488</v>
      </c>
      <c r="F92">
        <f>IFERROR(
IF(ISNUMBER(FIND("CFW110",B92)),
VALUE(MID(B92,FIND("CFW110",B92)+6,FIND("T",B92,FIND("CFW110",B92))-(FIND("CFW110",B92)+6))),
IF(ISNUMBER(FIND("D",B92)),
VALUE(SUBSTITUTE(MID(B92,FIND("D",B92)+1,FIND("T",B92,FIND("D",B92))-(FIND("D",B92)+1)),"P",",")),
IF(ISNUMBER(FIND("CFW5",B92)),
VALUE(MID(B92,
IF(ISNUMBER(FIND("F",B92)),FIND("F",B92)+1,FIND("G",B92)+1),
FIND("T",B92)-(IF(ISNUMBER(FIND("F",B92)),FIND("F",B92)+1,FIND("G",B92)+1))
)),
VALUE(MID(B92,FIND("E0",B92)+2,FIND("T",B92,FIND("E0",B92))-(FIND("E0",B92)+2)))
))),"")</f>
        <v>142</v>
      </c>
      <c r="G92">
        <f>IFERROR(
IF(ISNUMBER(FIND("T2",B92)),220,
IF(ISNUMBER(FIND("T4",B92)),440,
IF(ISNUMBER(FIND("T5",B92)),575,
IF(ISNUMBER(FIND("T6",B92)),690,"")))),
"")</f>
        <v>440</v>
      </c>
    </row>
    <row r="93" spans="1:7" x14ac:dyDescent="0.25">
      <c r="A93">
        <v>13937259</v>
      </c>
      <c r="B93" t="str">
        <f>VLOOKUP(A93,Planilha2!B:C,2,0)</f>
        <v>INVERSOR BRCFW110142T4OSSZ</v>
      </c>
      <c r="C93" t="s">
        <v>1</v>
      </c>
      <c r="D93" t="str">
        <f>VLOOKUP(A93,Planilha2!B:H,7,0)</f>
        <v>LINHA G1</v>
      </c>
      <c r="E93" s="5">
        <v>64210</v>
      </c>
      <c r="F93">
        <f>IFERROR(
IF(ISNUMBER(FIND("CFW110",B93)),
VALUE(MID(B93,FIND("CFW110",B93)+6,FIND("T",B93,FIND("CFW110",B93))-(FIND("CFW110",B93)+6))),
IF(ISNUMBER(FIND("D",B93)),
VALUE(SUBSTITUTE(MID(B93,FIND("D",B93)+1,FIND("T",B93,FIND("D",B93))-(FIND("D",B93)+1)),"P",",")),
IF(ISNUMBER(FIND("CFW5",B93)),
VALUE(MID(B93,
IF(ISNUMBER(FIND("F",B93)),FIND("F",B93)+1,FIND("G",B93)+1),
FIND("T",B93)-(IF(ISNUMBER(FIND("F",B93)),FIND("F",B93)+1,FIND("G",B93)+1))
)),
VALUE(MID(B93,FIND("E0",B93)+2,FIND("T",B93,FIND("E0",B93))-(FIND("E0",B93)+2)))
))),"")</f>
        <v>142</v>
      </c>
      <c r="G93">
        <f>IFERROR(
IF(ISNUMBER(FIND("T2",B93)),220,
IF(ISNUMBER(FIND("T4",B93)),440,
IF(ISNUMBER(FIND("T5",B93)),575,
IF(ISNUMBER(FIND("T6",B93)),690,"")))),
"")</f>
        <v>440</v>
      </c>
    </row>
    <row r="94" spans="1:7" x14ac:dyDescent="0.25">
      <c r="A94">
        <v>13957593</v>
      </c>
      <c r="B94" t="str">
        <f>VLOOKUP(A94,Planilha2!B:C,2,0)</f>
        <v>INVERSOR NACFW110088T4O55DSZ</v>
      </c>
      <c r="C94" t="s">
        <v>1</v>
      </c>
      <c r="D94" t="str">
        <f>VLOOKUP(A94,Planilha2!B:H,7,0)</f>
        <v>LINHA M3</v>
      </c>
      <c r="E94" s="5">
        <v>47800</v>
      </c>
      <c r="F94">
        <f>IFERROR(
IF(ISNUMBER(FIND("CFW110",B94)),
VALUE(MID(B94,FIND("CFW110",B94)+6,FIND("T",B94,FIND("CFW110",B94))-(FIND("CFW110",B94)+6))),
IF(ISNUMBER(FIND("D",B94)),
VALUE(SUBSTITUTE(MID(B94,FIND("D",B94)+1,FIND("T",B94,FIND("D",B94))-(FIND("D",B94)+1)),"P",",")),
IF(ISNUMBER(FIND("CFW5",B94)),
VALUE(MID(B94,
IF(ISNUMBER(FIND("F",B94)),FIND("F",B94)+1,FIND("G",B94)+1),
FIND("T",B94)-(IF(ISNUMBER(FIND("F",B94)),FIND("F",B94)+1,FIND("G",B94)+1))
)),
VALUE(MID(B94,FIND("E0",B94)+2,FIND("T",B94,FIND("E0",B94))-(FIND("E0",B94)+2)))
))),"")</f>
        <v>88</v>
      </c>
      <c r="G94">
        <f>IFERROR(
IF(ISNUMBER(FIND("T2",B94)),220,
IF(ISNUMBER(FIND("T4",B94)),440,
IF(ISNUMBER(FIND("T5",B94)),575,
IF(ISNUMBER(FIND("T6",B94)),690,"")))),
"")</f>
        <v>440</v>
      </c>
    </row>
    <row r="95" spans="1:7" x14ac:dyDescent="0.25">
      <c r="A95">
        <v>13957592</v>
      </c>
      <c r="B95" t="str">
        <f>VLOOKUP(A95,Planilha2!B:C,2,0)</f>
        <v>INVERSOR NACFW110070T4O55DSZ</v>
      </c>
      <c r="C95" t="s">
        <v>1</v>
      </c>
      <c r="D95" t="str">
        <f>VLOOKUP(A95,Planilha2!B:H,7,0)</f>
        <v>LINHA M3</v>
      </c>
      <c r="E95" s="5">
        <v>47800</v>
      </c>
      <c r="F95">
        <f>IFERROR(
IF(ISNUMBER(FIND("CFW110",B95)),
VALUE(MID(B95,FIND("CFW110",B95)+6,FIND("T",B95,FIND("CFW110",B95))-(FIND("CFW110",B95)+6))),
IF(ISNUMBER(FIND("D",B95)),
VALUE(SUBSTITUTE(MID(B95,FIND("D",B95)+1,FIND("T",B95,FIND("D",B95))-(FIND("D",B95)+1)),"P",",")),
IF(ISNUMBER(FIND("CFW5",B95)),
VALUE(MID(B95,
IF(ISNUMBER(FIND("F",B95)),FIND("F",B95)+1,FIND("G",B95)+1),
FIND("T",B95)-(IF(ISNUMBER(FIND("F",B95)),FIND("F",B95)+1,FIND("G",B95)+1))
)),
VALUE(MID(B95,FIND("E0",B95)+2,FIND("T",B95,FIND("E0",B95))-(FIND("E0",B95)+2)))
))),"")</f>
        <v>70</v>
      </c>
      <c r="G95">
        <f>IFERROR(
IF(ISNUMBER(FIND("T2",B95)),220,
IF(ISNUMBER(FIND("T4",B95)),440,
IF(ISNUMBER(FIND("T5",B95)),575,
IF(ISNUMBER(FIND("T6",B95)),690,"")))),
"")</f>
        <v>440</v>
      </c>
    </row>
    <row r="96" spans="1:7" x14ac:dyDescent="0.25">
      <c r="A96">
        <v>13957485</v>
      </c>
      <c r="B96" t="str">
        <f>VLOOKUP(A96,Planilha2!B:C,2,0)</f>
        <v>INVERSOR NACFW110088T4O55Z</v>
      </c>
      <c r="C96" t="s">
        <v>1</v>
      </c>
      <c r="D96" t="str">
        <f>VLOOKUP(A96,Planilha2!B:H,7,0)</f>
        <v>LINHA M3</v>
      </c>
      <c r="E96" s="5">
        <v>47800</v>
      </c>
      <c r="F96">
        <f>IFERROR(
IF(ISNUMBER(FIND("CFW110",B96)),
VALUE(MID(B96,FIND("CFW110",B96)+6,FIND("T",B96,FIND("CFW110",B96))-(FIND("CFW110",B96)+6))),
IF(ISNUMBER(FIND("D",B96)),
VALUE(SUBSTITUTE(MID(B96,FIND("D",B96)+1,FIND("T",B96,FIND("D",B96))-(FIND("D",B96)+1)),"P",",")),
IF(ISNUMBER(FIND("CFW5",B96)),
VALUE(MID(B96,
IF(ISNUMBER(FIND("F",B96)),FIND("F",B96)+1,FIND("G",B96)+1),
FIND("T",B96)-(IF(ISNUMBER(FIND("F",B96)),FIND("F",B96)+1,FIND("G",B96)+1))
)),
VALUE(MID(B96,FIND("E0",B96)+2,FIND("T",B96,FIND("E0",B96))-(FIND("E0",B96)+2)))
))),"")</f>
        <v>88</v>
      </c>
      <c r="G96">
        <f>IFERROR(
IF(ISNUMBER(FIND("T2",B96)),220,
IF(ISNUMBER(FIND("T4",B96)),440,
IF(ISNUMBER(FIND("T5",B96)),575,
IF(ISNUMBER(FIND("T6",B96)),690,"")))),
"")</f>
        <v>440</v>
      </c>
    </row>
    <row r="97" spans="1:7" x14ac:dyDescent="0.25">
      <c r="A97">
        <v>13957484</v>
      </c>
      <c r="B97" t="str">
        <f>VLOOKUP(A97,Planilha2!B:C,2,0)</f>
        <v>INVERSOR NACFW110070T4O55Z</v>
      </c>
      <c r="C97" t="s">
        <v>1</v>
      </c>
      <c r="D97" t="str">
        <f>VLOOKUP(A97,Planilha2!B:H,7,0)</f>
        <v>LINHA M3</v>
      </c>
      <c r="E97" s="5">
        <v>47800</v>
      </c>
      <c r="F97">
        <f>IFERROR(
IF(ISNUMBER(FIND("CFW110",B97)),
VALUE(MID(B97,FIND("CFW110",B97)+6,FIND("T",B97,FIND("CFW110",B97))-(FIND("CFW110",B97)+6))),
IF(ISNUMBER(FIND("D",B97)),
VALUE(SUBSTITUTE(MID(B97,FIND("D",B97)+1,FIND("T",B97,FIND("D",B97))-(FIND("D",B97)+1)),"P",",")),
IF(ISNUMBER(FIND("CFW5",B97)),
VALUE(MID(B97,
IF(ISNUMBER(FIND("F",B97)),FIND("F",B97)+1,FIND("G",B97)+1),
FIND("T",B97)-(IF(ISNUMBER(FIND("F",B97)),FIND("F",B97)+1,FIND("G",B97)+1))
)),
VALUE(MID(B97,FIND("E0",B97)+2,FIND("T",B97,FIND("E0",B97))-(FIND("E0",B97)+2)))
))),"")</f>
        <v>70</v>
      </c>
      <c r="G97">
        <f>IFERROR(
IF(ISNUMBER(FIND("T2",B97)),220,
IF(ISNUMBER(FIND("T4",B97)),440,
IF(ISNUMBER(FIND("T5",B97)),575,
IF(ISNUMBER(FIND("T6",B97)),690,"")))),
"")</f>
        <v>440</v>
      </c>
    </row>
    <row r="98" spans="1:7" x14ac:dyDescent="0.25">
      <c r="A98">
        <v>13920718</v>
      </c>
      <c r="B98" t="str">
        <f>VLOOKUP(A98,Planilha2!B:C,2,0)</f>
        <v>INVERSOR CFW700E0105T4NB55C3</v>
      </c>
      <c r="C98" t="s">
        <v>1</v>
      </c>
      <c r="D98" t="str">
        <f>VLOOKUP(A98,Planilha2!B:H,7,0)</f>
        <v>OBSOLETOS DRIVES</v>
      </c>
      <c r="E98" s="5">
        <v>85300</v>
      </c>
      <c r="F98">
        <f>IFERROR(
IF(ISNUMBER(FIND("CFW110",B98)),
VALUE(MID(B98,FIND("CFW110",B98)+6,FIND("T",B98,FIND("CFW110",B98))-(FIND("CFW110",B98)+6))),
IF(ISNUMBER(FIND("D",B98)),
VALUE(SUBSTITUTE(MID(B98,FIND("D",B98)+1,FIND("T",B98,FIND("D",B98))-(FIND("D",B98)+1)),"P",",")),
IF(ISNUMBER(FIND("CFW5",B98)),
VALUE(MID(B98,
IF(ISNUMBER(FIND("F",B98)),FIND("F",B98)+1,FIND("G",B98)+1),
FIND("T",B98)-(IF(ISNUMBER(FIND("F",B98)),FIND("F",B98)+1,FIND("G",B98)+1))
)),
VALUE(MID(B98,FIND("E0",B98)+2,FIND("T",B98,FIND("E0",B98))-(FIND("E0",B98)+2)))
))),"")</f>
        <v>105</v>
      </c>
      <c r="G98">
        <f>IFERROR(
IF(ISNUMBER(FIND("T2",B98)),220,
IF(ISNUMBER(FIND("T4",B98)),440,
IF(ISNUMBER(FIND("T5",B98)),575,
IF(ISNUMBER(FIND("T6",B98)),690,"")))),
"")</f>
        <v>440</v>
      </c>
    </row>
    <row r="99" spans="1:7" x14ac:dyDescent="0.25">
      <c r="A99">
        <v>13925371</v>
      </c>
      <c r="B99" t="str">
        <f>VLOOKUP(A99,Planilha2!B:C,2,0)</f>
        <v>INVERSOR CFW700D88P0T4DB55DS</v>
      </c>
      <c r="C99" t="s">
        <v>1</v>
      </c>
      <c r="D99" t="str">
        <f>VLOOKUP(A99,Planilha2!B:H,7,0)</f>
        <v>OBSOLETOS DRIVES</v>
      </c>
      <c r="E99" s="5">
        <v>48700</v>
      </c>
      <c r="F99">
        <f>IFERROR(
IF(ISNUMBER(FIND("CFW110",B99)),
VALUE(MID(B99,FIND("CFW110",B99)+6,FIND("T",B99,FIND("CFW110",B99))-(FIND("CFW110",B99)+6))),
IF(ISNUMBER(FIND("D",B99)),
VALUE(SUBSTITUTE(MID(B99,FIND("D",B99)+1,FIND("T",B99,FIND("D",B99))-(FIND("D",B99)+1)),"P",",")),
IF(ISNUMBER(FIND("CFW5",B99)),
VALUE(MID(B99,
IF(ISNUMBER(FIND("F",B99)),FIND("F",B99)+1,FIND("G",B99)+1),
FIND("T",B99)-(IF(ISNUMBER(FIND("F",B99)),FIND("F",B99)+1,FIND("G",B99)+1))
)),
VALUE(MID(B99,FIND("E0",B99)+2,FIND("T",B99,FIND("E0",B99))-(FIND("E0",B99)+2)))
))),"")</f>
        <v>88</v>
      </c>
      <c r="G99">
        <f>IFERROR(
IF(ISNUMBER(FIND("T2",B99)),220,
IF(ISNUMBER(FIND("T4",B99)),440,
IF(ISNUMBER(FIND("T5",B99)),575,
IF(ISNUMBER(FIND("T6",B99)),690,"")))),
"")</f>
        <v>440</v>
      </c>
    </row>
    <row r="100" spans="1:7" x14ac:dyDescent="0.25">
      <c r="A100">
        <v>13925369</v>
      </c>
      <c r="B100" t="str">
        <f>VLOOKUP(A100,Planilha2!B:C,2,0)</f>
        <v>INVERSOR CFW700D70P5T4DB55DS</v>
      </c>
      <c r="C100" t="s">
        <v>1</v>
      </c>
      <c r="D100" t="str">
        <f>VLOOKUP(A100,Planilha2!B:H,7,0)</f>
        <v>OBSOLETOS DRIVES</v>
      </c>
      <c r="E100" s="5">
        <v>47200</v>
      </c>
      <c r="F100">
        <f>IFERROR(
IF(ISNUMBER(FIND("CFW110",B100)),
VALUE(MID(B100,FIND("CFW110",B100)+6,FIND("T",B100,FIND("CFW110",B100))-(FIND("CFW110",B100)+6))),
IF(ISNUMBER(FIND("D",B100)),
VALUE(SUBSTITUTE(MID(B100,FIND("D",B100)+1,FIND("T",B100,FIND("D",B100))-(FIND("D",B100)+1)),"P",",")),
IF(ISNUMBER(FIND("CFW5",B100)),
VALUE(MID(B100,
IF(ISNUMBER(FIND("F",B100)),FIND("F",B100)+1,FIND("G",B100)+1),
FIND("T",B100)-(IF(ISNUMBER(FIND("F",B100)),FIND("F",B100)+1,FIND("G",B100)+1))
)),
VALUE(MID(B100,FIND("E0",B100)+2,FIND("T",B100,FIND("E0",B100))-(FIND("E0",B100)+2)))
))),"")</f>
        <v>70.5</v>
      </c>
      <c r="G100">
        <f>IFERROR(
IF(ISNUMBER(FIND("T2",B100)),220,
IF(ISNUMBER(FIND("T4",B100)),440,
IF(ISNUMBER(FIND("T5",B100)),575,
IF(ISNUMBER(FIND("T6",B100)),690,"")))),
"")</f>
        <v>440</v>
      </c>
    </row>
    <row r="101" spans="1:7" x14ac:dyDescent="0.25">
      <c r="A101">
        <v>13920999</v>
      </c>
      <c r="B101" t="str">
        <f>VLOOKUP(A101,Planilha2!B:C,2,0)</f>
        <v>INVERSOR CFW700D88P0T4DB55C3DS</v>
      </c>
      <c r="C101" t="s">
        <v>1</v>
      </c>
      <c r="D101" t="str">
        <f>VLOOKUP(A101,Planilha2!B:H,7,0)</f>
        <v>OBSOLETOS DRIVES</v>
      </c>
      <c r="E101" s="5">
        <v>48700</v>
      </c>
      <c r="F101">
        <f>IFERROR(
IF(ISNUMBER(FIND("CFW110",B101)),
VALUE(MID(B101,FIND("CFW110",B101)+6,FIND("T",B101,FIND("CFW110",B101))-(FIND("CFW110",B101)+6))),
IF(ISNUMBER(FIND("D",B101)),
VALUE(SUBSTITUTE(MID(B101,FIND("D",B101)+1,FIND("T",B101,FIND("D",B101))-(FIND("D",B101)+1)),"P",",")),
IF(ISNUMBER(FIND("CFW5",B101)),
VALUE(MID(B101,
IF(ISNUMBER(FIND("F",B101)),FIND("F",B101)+1,FIND("G",B101)+1),
FIND("T",B101)-(IF(ISNUMBER(FIND("F",B101)),FIND("F",B101)+1,FIND("G",B101)+1))
)),
VALUE(MID(B101,FIND("E0",B101)+2,FIND("T",B101,FIND("E0",B101))-(FIND("E0",B101)+2)))
))),"")</f>
        <v>88</v>
      </c>
      <c r="G101">
        <f>IFERROR(
IF(ISNUMBER(FIND("T2",B101)),220,
IF(ISNUMBER(FIND("T4",B101)),440,
IF(ISNUMBER(FIND("T5",B101)),575,
IF(ISNUMBER(FIND("T6",B101)),690,"")))),
"")</f>
        <v>440</v>
      </c>
    </row>
    <row r="102" spans="1:7" x14ac:dyDescent="0.25">
      <c r="A102">
        <v>14124907</v>
      </c>
      <c r="B102" t="str">
        <f>VLOOKUP(A102,Planilha2!B:C,2,0)</f>
        <v>INVERSOR BRCFW110142T4OYSGZ</v>
      </c>
      <c r="C102" t="s">
        <v>1</v>
      </c>
      <c r="D102" t="str">
        <f>VLOOKUP(A102,Planilha2!B:H,7,0)</f>
        <v>LINHA G1</v>
      </c>
      <c r="E102" s="5">
        <v>64210</v>
      </c>
      <c r="F102">
        <f>IFERROR(
IF(ISNUMBER(FIND("CFW110",B102)),
VALUE(MID(B102,FIND("CFW110",B102)+6,FIND("T",B102,FIND("CFW110",B102))-(FIND("CFW110",B102)+6))),
IF(ISNUMBER(FIND("D",B102)),
VALUE(SUBSTITUTE(MID(B102,FIND("D",B102)+1,FIND("T",B102,FIND("D",B102))-(FIND("D",B102)+1)),"P",",")),
IF(ISNUMBER(FIND("CFW5",B102)),
VALUE(MID(B102,
IF(ISNUMBER(FIND("F",B102)),FIND("F",B102)+1,FIND("G",B102)+1),
FIND("T",B102)-(IF(ISNUMBER(FIND("F",B102)),FIND("F",B102)+1,FIND("G",B102)+1))
)),
VALUE(MID(B102,FIND("E0",B102)+2,FIND("T",B102,FIND("E0",B102))-(FIND("E0",B102)+2)))
))),"")</f>
        <v>142</v>
      </c>
      <c r="G102">
        <f>IFERROR(
IF(ISNUMBER(FIND("T2",B102)),220,
IF(ISNUMBER(FIND("T4",B102)),440,
IF(ISNUMBER(FIND("T5",B102)),575,
IF(ISNUMBER(FIND("T6",B102)),690,"")))),
"")</f>
        <v>440</v>
      </c>
    </row>
    <row r="103" spans="1:7" x14ac:dyDescent="0.25">
      <c r="A103">
        <v>14214172</v>
      </c>
      <c r="B103" t="str">
        <f>VLOOKUP(A103,Planilha2!B:C,2,0)</f>
        <v>INVERSOR BRCFW110088T4OSIZ</v>
      </c>
      <c r="C103" t="s">
        <v>1</v>
      </c>
      <c r="D103" t="str">
        <f>VLOOKUP(A103,Planilha2!B:H,7,0)</f>
        <v>LINHA M3</v>
      </c>
      <c r="E103" t="s">
        <v>3172</v>
      </c>
      <c r="F103">
        <f>IFERROR(
IF(ISNUMBER(FIND("CFW110",B103)),
VALUE(MID(B103,FIND("CFW110",B103)+6,FIND("T",B103,FIND("CFW110",B103))-(FIND("CFW110",B103)+6))),
IF(ISNUMBER(FIND("D",B103)),
VALUE(SUBSTITUTE(MID(B103,FIND("D",B103)+1,FIND("T",B103,FIND("D",B103))-(FIND("D",B103)+1)),"P",",")),
IF(ISNUMBER(FIND("CFW5",B103)),
VALUE(MID(B103,
IF(ISNUMBER(FIND("F",B103)),FIND("F",B103)+1,FIND("G",B103)+1),
FIND("T",B103)-(IF(ISNUMBER(FIND("F",B103)),FIND("F",B103)+1,FIND("G",B103)+1))
)),
VALUE(MID(B103,FIND("E0",B103)+2,FIND("T",B103,FIND("E0",B103))-(FIND("E0",B103)+2)))
))),"")</f>
        <v>88</v>
      </c>
      <c r="G103">
        <f>IFERROR(
IF(ISNUMBER(FIND("T2",B103)),220,
IF(ISNUMBER(FIND("T4",B103)),440,
IF(ISNUMBER(FIND("T5",B103)),575,
IF(ISNUMBER(FIND("T6",B103)),690,"")))),
"")</f>
        <v>440</v>
      </c>
    </row>
    <row r="104" spans="1:7" x14ac:dyDescent="0.25">
      <c r="A104">
        <v>14239203</v>
      </c>
      <c r="B104" t="str">
        <f>VLOOKUP(A104,Planilha2!B:C,2,0)</f>
        <v>INVERSOR BRCFW110105T4ODBZ-UI</v>
      </c>
      <c r="C104" t="s">
        <v>1</v>
      </c>
      <c r="D104" t="str">
        <f>VLOOKUP(A104,Planilha2!B:H,7,0)</f>
        <v>LINHA G1</v>
      </c>
      <c r="E104" s="5">
        <v>31100</v>
      </c>
      <c r="F104">
        <f>IFERROR(
IF(ISNUMBER(FIND("CFW110",B104)),
VALUE(MID(B104,FIND("CFW110",B104)+6,FIND("T",B104,FIND("CFW110",B104))-(FIND("CFW110",B104)+6))),
IF(ISNUMBER(FIND("D",B104)),
VALUE(SUBSTITUTE(MID(B104,FIND("D",B104)+1,FIND("T",B104,FIND("D",B104))-(FIND("D",B104)+1)),"P",",")),
IF(ISNUMBER(FIND("CFW5",B104)),
VALUE(MID(B104,
IF(ISNUMBER(FIND("F",B104)),FIND("F",B104)+1,FIND("G",B104)+1),
FIND("T",B104)-(IF(ISNUMBER(FIND("F",B104)),FIND("F",B104)+1,FIND("G",B104)+1))
)),
VALUE(MID(B104,FIND("E0",B104)+2,FIND("T",B104,FIND("E0",B104))-(FIND("E0",B104)+2)))
))),"")</f>
        <v>105</v>
      </c>
      <c r="G104">
        <f>IFERROR(
IF(ISNUMBER(FIND("T2",B104)),220,
IF(ISNUMBER(FIND("T4",B104)),440,
IF(ISNUMBER(FIND("T5",B104)),575,
IF(ISNUMBER(FIND("T6",B104)),690,"")))),
"")</f>
        <v>440</v>
      </c>
    </row>
    <row r="105" spans="1:7" x14ac:dyDescent="0.25">
      <c r="A105">
        <v>14325954</v>
      </c>
      <c r="B105" t="str">
        <f>VLOOKUP(A105,Planilha2!B:C,2,0)</f>
        <v>INVERSOR CFW700D88P0T4DB21</v>
      </c>
      <c r="C105" t="s">
        <v>1</v>
      </c>
      <c r="D105" t="str">
        <f>VLOOKUP(A105,Planilha2!B:H,7,0)</f>
        <v>OBSOLETOS DRIVES</v>
      </c>
      <c r="E105" s="5">
        <v>26490</v>
      </c>
      <c r="F105">
        <f>IFERROR(
IF(ISNUMBER(FIND("CFW110",B105)),
VALUE(MID(B105,FIND("CFW110",B105)+6,FIND("T",B105,FIND("CFW110",B105))-(FIND("CFW110",B105)+6))),
IF(ISNUMBER(FIND("D",B105)),
VALUE(SUBSTITUTE(MID(B105,FIND("D",B105)+1,FIND("T",B105,FIND("D",B105))-(FIND("D",B105)+1)),"P",",")),
IF(ISNUMBER(FIND("CFW5",B105)),
VALUE(MID(B105,
IF(ISNUMBER(FIND("F",B105)),FIND("F",B105)+1,FIND("G",B105)+1),
FIND("T",B105)-(IF(ISNUMBER(FIND("F",B105)),FIND("F",B105)+1,FIND("G",B105)+1))
)),
VALUE(MID(B105,FIND("E0",B105)+2,FIND("T",B105,FIND("E0",B105))-(FIND("E0",B105)+2)))
))),"")</f>
        <v>88</v>
      </c>
      <c r="G105">
        <f>IFERROR(
IF(ISNUMBER(FIND("T2",B105)),220,
IF(ISNUMBER(FIND("T4",B105)),440,
IF(ISNUMBER(FIND("T5",B105)),575,
IF(ISNUMBER(FIND("T6",B105)),690,"")))),
"")</f>
        <v>440</v>
      </c>
    </row>
    <row r="106" spans="1:7" x14ac:dyDescent="0.25">
      <c r="A106">
        <v>12105101</v>
      </c>
      <c r="B106" t="str">
        <f>VLOOKUP(A106,Planilha2!B:C,2,0)</f>
        <v>INVERSOR NACFW110058T4ON1YZ</v>
      </c>
      <c r="C106" t="s">
        <v>1</v>
      </c>
      <c r="D106" t="str">
        <f>VLOOKUP(A106,Planilha2!B:H,7,0)</f>
        <v>LINHA M1</v>
      </c>
      <c r="E106" s="5">
        <v>20870</v>
      </c>
      <c r="F106">
        <f>IFERROR(
IF(ISNUMBER(FIND("CFW110",B106)),
VALUE(MID(B106,FIND("CFW110",B106)+6,FIND("T",B106,FIND("CFW110",B106))-(FIND("CFW110",B106)+6))),
IF(ISNUMBER(FIND("D",B106)),
VALUE(SUBSTITUTE(MID(B106,FIND("D",B106)+1,FIND("T",B106,FIND("D",B106))-(FIND("D",B106)+1)),"P",",")),
IF(ISNUMBER(FIND("CFW5",B106)),
VALUE(MID(B106,
IF(ISNUMBER(FIND("F",B106)),FIND("F",B106)+1,FIND("G",B106)+1),
FIND("T",B106)-(IF(ISNUMBER(FIND("F",B106)),FIND("F",B106)+1,FIND("G",B106)+1))
)),
VALUE(MID(B106,FIND("E0",B106)+2,FIND("T",B106,FIND("E0",B106))-(FIND("E0",B106)+2)))
))),"")</f>
        <v>58</v>
      </c>
      <c r="G106">
        <f>IFERROR(
IF(ISNUMBER(FIND("T2",B106)),220,
IF(ISNUMBER(FIND("T4",B106)),440,
IF(ISNUMBER(FIND("T5",B106)),575,
IF(ISNUMBER(FIND("T6",B106)),690,"")))),
"")</f>
        <v>440</v>
      </c>
    </row>
    <row r="107" spans="1:7" x14ac:dyDescent="0.25">
      <c r="A107">
        <v>12939875</v>
      </c>
      <c r="B107" t="str">
        <f>VLOOKUP(A107,Planilha2!B:C,2,0)</f>
        <v>INVERSOR BRCFW110058T4OFAS7Z</v>
      </c>
      <c r="C107" t="s">
        <v>1</v>
      </c>
      <c r="D107" t="str">
        <f>VLOOKUP(A107,Planilha2!B:H,7,0)</f>
        <v>LINHA M1</v>
      </c>
      <c r="E107" s="5">
        <v>4500</v>
      </c>
      <c r="F107">
        <f>IFERROR(
IF(ISNUMBER(FIND("CFW110",B107)),
VALUE(MID(B107,FIND("CFW110",B107)+6,FIND("T",B107,FIND("CFW110",B107))-(FIND("CFW110",B107)+6))),
IF(ISNUMBER(FIND("D",B107)),
VALUE(SUBSTITUTE(MID(B107,FIND("D",B107)+1,FIND("T",B107,FIND("D",B107))-(FIND("D",B107)+1)),"P",",")),
IF(ISNUMBER(FIND("CFW5",B107)),
VALUE(MID(B107,
IF(ISNUMBER(FIND("F",B107)),FIND("F",B107)+1,FIND("G",B107)+1),
FIND("T",B107)-(IF(ISNUMBER(FIND("F",B107)),FIND("F",B107)+1,FIND("G",B107)+1))
)),
VALUE(MID(B107,FIND("E0",B107)+2,FIND("T",B107,FIND("E0",B107))-(FIND("E0",B107)+2)))
))),"")</f>
        <v>58</v>
      </c>
      <c r="G107">
        <f>IFERROR(
IF(ISNUMBER(FIND("T2",B107)),220,
IF(ISNUMBER(FIND("T4",B107)),440,
IF(ISNUMBER(FIND("T5",B107)),575,
IF(ISNUMBER(FIND("T6",B107)),690,"")))),
"")</f>
        <v>440</v>
      </c>
    </row>
    <row r="108" spans="1:7" x14ac:dyDescent="0.25">
      <c r="A108">
        <v>12948171</v>
      </c>
      <c r="B108" t="str">
        <f>VLOOKUP(A108,Planilha2!B:C,2,0)</f>
        <v>INVERSOR CFW700D70P5T4DBN1C3Y1HASC</v>
      </c>
      <c r="C108" t="s">
        <v>1</v>
      </c>
      <c r="D108" t="str">
        <f>VLOOKUP(A108,Planilha2!B:H,7,0)</f>
        <v>OBSOLETOS DRIVES</v>
      </c>
      <c r="E108" s="5">
        <v>26381</v>
      </c>
      <c r="F108">
        <f>IFERROR(
IF(ISNUMBER(FIND("CFW110",B108)),
VALUE(MID(B108,FIND("CFW110",B108)+6,FIND("T",B108,FIND("CFW110",B108))-(FIND("CFW110",B108)+6))),
IF(ISNUMBER(FIND("D",B108)),
VALUE(SUBSTITUTE(MID(B108,FIND("D",B108)+1,FIND("T",B108,FIND("D",B108))-(FIND("D",B108)+1)),"P",",")),
IF(ISNUMBER(FIND("CFW5",B108)),
VALUE(MID(B108,
IF(ISNUMBER(FIND("F",B108)),FIND("F",B108)+1,FIND("G",B108)+1),
FIND("T",B108)-(IF(ISNUMBER(FIND("F",B108)),FIND("F",B108)+1,FIND("G",B108)+1))
)),
VALUE(MID(B108,FIND("E0",B108)+2,FIND("T",B108,FIND("E0",B108))-(FIND("E0",B108)+2)))
))),"")</f>
        <v>70.5</v>
      </c>
      <c r="G108">
        <f>IFERROR(
IF(ISNUMBER(FIND("T2",B108)),220,
IF(ISNUMBER(FIND("T4",B108)),440,
IF(ISNUMBER(FIND("T5",B108)),575,
IF(ISNUMBER(FIND("T6",B108)),690,"")))),
"")</f>
        <v>440</v>
      </c>
    </row>
    <row r="109" spans="1:7" x14ac:dyDescent="0.25">
      <c r="A109">
        <v>13005264</v>
      </c>
      <c r="B109" t="str">
        <f>VLOOKUP(A109,Planilha2!B:C,2,0)</f>
        <v>INVERSOR SACFW110044T6SZ</v>
      </c>
      <c r="C109" t="s">
        <v>1</v>
      </c>
      <c r="D109" t="str">
        <f>VLOOKUP(A109,Planilha2!B:H,7,0)</f>
        <v>LINHA M3</v>
      </c>
      <c r="E109" s="5">
        <v>26000</v>
      </c>
      <c r="F109">
        <f>IFERROR(
IF(ISNUMBER(FIND("CFW110",B109)),
VALUE(MID(B109,FIND("CFW110",B109)+6,FIND("T",B109,FIND("CFW110",B109))-(FIND("CFW110",B109)+6))),
IF(ISNUMBER(FIND("D",B109)),
VALUE(SUBSTITUTE(MID(B109,FIND("D",B109)+1,FIND("T",B109,FIND("D",B109))-(FIND("D",B109)+1)),"P",",")),
IF(ISNUMBER(FIND("CFW5",B109)),
VALUE(MID(B109,
IF(ISNUMBER(FIND("F",B109)),FIND("F",B109)+1,FIND("G",B109)+1),
FIND("T",B109)-(IF(ISNUMBER(FIND("F",B109)),FIND("F",B109)+1,FIND("G",B109)+1))
)),
VALUE(MID(B109,FIND("E0",B109)+2,FIND("T",B109,FIND("E0",B109))-(FIND("E0",B109)+2)))
))),"")</f>
        <v>44</v>
      </c>
      <c r="G109">
        <f>IFERROR(
IF(ISNUMBER(FIND("T2",B109)),220,
IF(ISNUMBER(FIND("T4",B109)),440,
IF(ISNUMBER(FIND("T5",B109)),575,
IF(ISNUMBER(FIND("T6",B109)),690,"")))),
"")</f>
        <v>690</v>
      </c>
    </row>
    <row r="110" spans="1:7" x14ac:dyDescent="0.25">
      <c r="A110">
        <v>12954432</v>
      </c>
      <c r="B110" t="str">
        <f>VLOOKUP(A110,Planilha2!B:C,2,0)</f>
        <v>INVERSOR CFW701D0105T2DB55C3DS</v>
      </c>
      <c r="C110" t="s">
        <v>1</v>
      </c>
      <c r="D110" t="str">
        <f>VLOOKUP(A110,Planilha2!B:H,7,0)</f>
        <v>OBSOLETOS DRIVES</v>
      </c>
      <c r="E110" s="5">
        <v>46000</v>
      </c>
      <c r="F110">
        <f>IFERROR(
IF(ISNUMBER(FIND("CFW110",B110)),
VALUE(MID(B110,FIND("CFW110",B110)+6,FIND("T",B110,FIND("CFW110",B110))-(FIND("CFW110",B110)+6))),
IF(ISNUMBER(FIND("D",B110)),
VALUE(SUBSTITUTE(MID(B110,FIND("D",B110)+1,FIND("T",B110,FIND("D",B110))-(FIND("D",B110)+1)),"P",",")),
IF(ISNUMBER(FIND("CFW5",B110)),
VALUE(MID(B110,
IF(ISNUMBER(FIND("F",B110)),FIND("F",B110)+1,FIND("G",B110)+1),
FIND("T",B110)-(IF(ISNUMBER(FIND("F",B110)),FIND("F",B110)+1,FIND("G",B110)+1))
)),
VALUE(MID(B110,FIND("E0",B110)+2,FIND("T",B110,FIND("E0",B110))-(FIND("E0",B110)+2)))
))),"")</f>
        <v>105</v>
      </c>
      <c r="G110">
        <f>IFERROR(
IF(ISNUMBER(FIND("T2",B110)),220,
IF(ISNUMBER(FIND("T4",B110)),440,
IF(ISNUMBER(FIND("T5",B110)),575,
IF(ISNUMBER(FIND("T6",B110)),690,"")))),
"")</f>
        <v>220</v>
      </c>
    </row>
    <row r="111" spans="1:7" x14ac:dyDescent="0.25">
      <c r="A111">
        <v>12954433</v>
      </c>
      <c r="B111" t="str">
        <f>VLOOKUP(A111,Planilha2!B:C,2,0)</f>
        <v>INVERSOR CFW701D70P5T4DB55C3DS</v>
      </c>
      <c r="C111" t="s">
        <v>1</v>
      </c>
      <c r="D111" t="str">
        <f>VLOOKUP(A111,Planilha2!B:H,7,0)</f>
        <v>OBSOLETOS DRIVES</v>
      </c>
      <c r="E111" s="5">
        <v>47200</v>
      </c>
      <c r="F111">
        <f>IFERROR(
IF(ISNUMBER(FIND("CFW110",B111)),
VALUE(MID(B111,FIND("CFW110",B111)+6,FIND("T",B111,FIND("CFW110",B111))-(FIND("CFW110",B111)+6))),
IF(ISNUMBER(FIND("D",B111)),
VALUE(SUBSTITUTE(MID(B111,FIND("D",B111)+1,FIND("T",B111,FIND("D",B111))-(FIND("D",B111)+1)),"P",",")),
IF(ISNUMBER(FIND("CFW5",B111)),
VALUE(MID(B111,
IF(ISNUMBER(FIND("F",B111)),FIND("F",B111)+1,FIND("G",B111)+1),
FIND("T",B111)-(IF(ISNUMBER(FIND("F",B111)),FIND("F",B111)+1,FIND("G",B111)+1))
)),
VALUE(MID(B111,FIND("E0",B111)+2,FIND("T",B111,FIND("E0",B111))-(FIND("E0",B111)+2)))
))),"")</f>
        <v>70.5</v>
      </c>
      <c r="G111">
        <f>IFERROR(
IF(ISNUMBER(FIND("T2",B111)),220,
IF(ISNUMBER(FIND("T4",B111)),440,
IF(ISNUMBER(FIND("T5",B111)),575,
IF(ISNUMBER(FIND("T6",B111)),690,"")))),
"")</f>
        <v>440</v>
      </c>
    </row>
    <row r="112" spans="1:7" x14ac:dyDescent="0.25">
      <c r="A112">
        <v>12954431</v>
      </c>
      <c r="B112" t="str">
        <f>VLOOKUP(A112,Planilha2!B:C,2,0)</f>
        <v>INVERSOR CFW701D86P0T2DB55C3DS</v>
      </c>
      <c r="C112" t="s">
        <v>1</v>
      </c>
      <c r="D112" t="str">
        <f>VLOOKUP(A112,Planilha2!B:H,7,0)</f>
        <v>OBSOLETOS DRIVES</v>
      </c>
      <c r="E112" s="5">
        <v>42900</v>
      </c>
      <c r="F112">
        <f>IFERROR(
IF(ISNUMBER(FIND("CFW110",B112)),
VALUE(MID(B112,FIND("CFW110",B112)+6,FIND("T",B112,FIND("CFW110",B112))-(FIND("CFW110",B112)+6))),
IF(ISNUMBER(FIND("D",B112)),
VALUE(SUBSTITUTE(MID(B112,FIND("D",B112)+1,FIND("T",B112,FIND("D",B112))-(FIND("D",B112)+1)),"P",",")),
IF(ISNUMBER(FIND("CFW5",B112)),
VALUE(MID(B112,
IF(ISNUMBER(FIND("F",B112)),FIND("F",B112)+1,FIND("G",B112)+1),
FIND("T",B112)-(IF(ISNUMBER(FIND("F",B112)),FIND("F",B112)+1,FIND("G",B112)+1))
)),
VALUE(MID(B112,FIND("E0",B112)+2,FIND("T",B112,FIND("E0",B112))-(FIND("E0",B112)+2)))
))),"")</f>
        <v>86</v>
      </c>
      <c r="G112">
        <f>IFERROR(
IF(ISNUMBER(FIND("T2",B112)),220,
IF(ISNUMBER(FIND("T4",B112)),440,
IF(ISNUMBER(FIND("T5",B112)),575,
IF(ISNUMBER(FIND("T6",B112)),690,"")))),
"")</f>
        <v>220</v>
      </c>
    </row>
    <row r="113" spans="1:7" x14ac:dyDescent="0.25">
      <c r="A113">
        <v>12954434</v>
      </c>
      <c r="B113" t="str">
        <f>VLOOKUP(A113,Planilha2!B:C,2,0)</f>
        <v>INVERSOR CFW701D88P0T4DB55C3DS</v>
      </c>
      <c r="C113" t="s">
        <v>1</v>
      </c>
      <c r="D113" t="str">
        <f>VLOOKUP(A113,Planilha2!B:H,7,0)</f>
        <v>OBSOLETOS DRIVES</v>
      </c>
      <c r="E113" s="5">
        <v>48700</v>
      </c>
      <c r="F113">
        <f>IFERROR(
IF(ISNUMBER(FIND("CFW110",B113)),
VALUE(MID(B113,FIND("CFW110",B113)+6,FIND("T",B113,FIND("CFW110",B113))-(FIND("CFW110",B113)+6))),
IF(ISNUMBER(FIND("D",B113)),
VALUE(SUBSTITUTE(MID(B113,FIND("D",B113)+1,FIND("T",B113,FIND("D",B113))-(FIND("D",B113)+1)),"P",",")),
IF(ISNUMBER(FIND("CFW5",B113)),
VALUE(MID(B113,
IF(ISNUMBER(FIND("F",B113)),FIND("F",B113)+1,FIND("G",B113)+1),
FIND("T",B113)-(IF(ISNUMBER(FIND("F",B113)),FIND("F",B113)+1,FIND("G",B113)+1))
)),
VALUE(MID(B113,FIND("E0",B113)+2,FIND("T",B113,FIND("E0",B113))-(FIND("E0",B113)+2)))
))),"")</f>
        <v>88</v>
      </c>
      <c r="G113">
        <f>IFERROR(
IF(ISNUMBER(FIND("T2",B113)),220,
IF(ISNUMBER(FIND("T4",B113)),440,
IF(ISNUMBER(FIND("T5",B113)),575,
IF(ISNUMBER(FIND("T6",B113)),690,"")))),
"")</f>
        <v>440</v>
      </c>
    </row>
    <row r="114" spans="1:7" x14ac:dyDescent="0.25">
      <c r="A114">
        <v>12954181</v>
      </c>
      <c r="B114" t="str">
        <f>VLOOKUP(A114,Planilha2!B:C,2,0)</f>
        <v>INVERSOR CFW701D0105T2DB55C3</v>
      </c>
      <c r="C114" t="s">
        <v>1</v>
      </c>
      <c r="D114" t="str">
        <f>VLOOKUP(A114,Planilha2!B:H,7,0)</f>
        <v>OBSOLETOS DRIVES</v>
      </c>
      <c r="E114" s="5">
        <v>45100</v>
      </c>
      <c r="F114">
        <f>IFERROR(
IF(ISNUMBER(FIND("CFW110",B114)),
VALUE(MID(B114,FIND("CFW110",B114)+6,FIND("T",B114,FIND("CFW110",B114))-(FIND("CFW110",B114)+6))),
IF(ISNUMBER(FIND("D",B114)),
VALUE(SUBSTITUTE(MID(B114,FIND("D",B114)+1,FIND("T",B114,FIND("D",B114))-(FIND("D",B114)+1)),"P",",")),
IF(ISNUMBER(FIND("CFW5",B114)),
VALUE(MID(B114,
IF(ISNUMBER(FIND("F",B114)),FIND("F",B114)+1,FIND("G",B114)+1),
FIND("T",B114)-(IF(ISNUMBER(FIND("F",B114)),FIND("F",B114)+1,FIND("G",B114)+1))
)),
VALUE(MID(B114,FIND("E0",B114)+2,FIND("T",B114,FIND("E0",B114))-(FIND("E0",B114)+2)))
))),"")</f>
        <v>105</v>
      </c>
      <c r="G114">
        <f>IFERROR(
IF(ISNUMBER(FIND("T2",B114)),220,
IF(ISNUMBER(FIND("T4",B114)),440,
IF(ISNUMBER(FIND("T5",B114)),575,
IF(ISNUMBER(FIND("T6",B114)),690,"")))),
"")</f>
        <v>220</v>
      </c>
    </row>
    <row r="115" spans="1:7" x14ac:dyDescent="0.25">
      <c r="A115">
        <v>12954278</v>
      </c>
      <c r="B115" t="str">
        <f>VLOOKUP(A115,Planilha2!B:C,2,0)</f>
        <v>INVERSOR CFW701D88P0T4DB55C3</v>
      </c>
      <c r="C115" t="s">
        <v>1</v>
      </c>
      <c r="D115" t="str">
        <f>VLOOKUP(A115,Planilha2!B:H,7,0)</f>
        <v>OBSOLETOS DRIVES</v>
      </c>
      <c r="E115" s="5">
        <v>47800</v>
      </c>
      <c r="F115">
        <f>IFERROR(
IF(ISNUMBER(FIND("CFW110",B115)),
VALUE(MID(B115,FIND("CFW110",B115)+6,FIND("T",B115,FIND("CFW110",B115))-(FIND("CFW110",B115)+6))),
IF(ISNUMBER(FIND("D",B115)),
VALUE(SUBSTITUTE(MID(B115,FIND("D",B115)+1,FIND("T",B115,FIND("D",B115))-(FIND("D",B115)+1)),"P",",")),
IF(ISNUMBER(FIND("CFW5",B115)),
VALUE(MID(B115,
IF(ISNUMBER(FIND("F",B115)),FIND("F",B115)+1,FIND("G",B115)+1),
FIND("T",B115)-(IF(ISNUMBER(FIND("F",B115)),FIND("F",B115)+1,FIND("G",B115)+1))
)),
VALUE(MID(B115,FIND("E0",B115)+2,FIND("T",B115,FIND("E0",B115))-(FIND("E0",B115)+2)))
))),"")</f>
        <v>88</v>
      </c>
      <c r="G115">
        <f>IFERROR(
IF(ISNUMBER(FIND("T2",B115)),220,
IF(ISNUMBER(FIND("T4",B115)),440,
IF(ISNUMBER(FIND("T5",B115)),575,
IF(ISNUMBER(FIND("T6",B115)),690,"")))),
"")</f>
        <v>440</v>
      </c>
    </row>
    <row r="116" spans="1:7" x14ac:dyDescent="0.25">
      <c r="A116">
        <v>12954187</v>
      </c>
      <c r="B116" t="str">
        <f>VLOOKUP(A116,Planilha2!B:C,2,0)</f>
        <v>INVERSOR CFW701D70P5T4DB55C3</v>
      </c>
      <c r="C116" t="s">
        <v>1</v>
      </c>
      <c r="D116" t="str">
        <f>VLOOKUP(A116,Planilha2!B:H,7,0)</f>
        <v>OBSOLETOS DRIVES</v>
      </c>
      <c r="E116" s="5">
        <v>46300</v>
      </c>
      <c r="F116">
        <f>IFERROR(
IF(ISNUMBER(FIND("CFW110",B116)),
VALUE(MID(B116,FIND("CFW110",B116)+6,FIND("T",B116,FIND("CFW110",B116))-(FIND("CFW110",B116)+6))),
IF(ISNUMBER(FIND("D",B116)),
VALUE(SUBSTITUTE(MID(B116,FIND("D",B116)+1,FIND("T",B116,FIND("D",B116))-(FIND("D",B116)+1)),"P",",")),
IF(ISNUMBER(FIND("CFW5",B116)),
VALUE(MID(B116,
IF(ISNUMBER(FIND("F",B116)),FIND("F",B116)+1,FIND("G",B116)+1),
FIND("T",B116)-(IF(ISNUMBER(FIND("F",B116)),FIND("F",B116)+1,FIND("G",B116)+1))
)),
VALUE(MID(B116,FIND("E0",B116)+2,FIND("T",B116,FIND("E0",B116))-(FIND("E0",B116)+2)))
))),"")</f>
        <v>70.5</v>
      </c>
      <c r="G116">
        <f>IFERROR(
IF(ISNUMBER(FIND("T2",B116)),220,
IF(ISNUMBER(FIND("T4",B116)),440,
IF(ISNUMBER(FIND("T5",B116)),575,
IF(ISNUMBER(FIND("T6",B116)),690,"")))),
"")</f>
        <v>440</v>
      </c>
    </row>
    <row r="117" spans="1:7" x14ac:dyDescent="0.25">
      <c r="A117">
        <v>12954319</v>
      </c>
      <c r="B117" t="str">
        <f>VLOOKUP(A117,Planilha2!B:C,2,0)</f>
        <v>INVERSOR CFW701E0142T2NB55C3DS</v>
      </c>
      <c r="C117" t="s">
        <v>1</v>
      </c>
      <c r="D117" t="str">
        <f>VLOOKUP(A117,Planilha2!B:H,7,0)</f>
        <v>OBSOLETOS DRIVES</v>
      </c>
      <c r="E117" s="5">
        <v>90200</v>
      </c>
      <c r="F117" t="str">
        <f>IFERROR(
IF(ISNUMBER(FIND("CFW110",B117)),
VALUE(MID(B117,FIND("CFW110",B117)+6,FIND("T",B117,FIND("CFW110",B117))-(FIND("CFW110",B117)+6))),
IF(ISNUMBER(FIND("D",B117)),
VALUE(SUBSTITUTE(MID(B117,FIND("D",B117)+1,FIND("T",B117,FIND("D",B117))-(FIND("D",B117)+1)),"P",",")),
IF(ISNUMBER(FIND("CFW5",B117)),
VALUE(MID(B117,
IF(ISNUMBER(FIND("F",B117)),FIND("F",B117)+1,FIND("G",B117)+1),
FIND("T",B117)-(IF(ISNUMBER(FIND("F",B117)),FIND("F",B117)+1,FIND("G",B117)+1))
)),
VALUE(MID(B117,FIND("E0",B117)+2,FIND("T",B117,FIND("E0",B117))-(FIND("E0",B117)+2)))
))),"")</f>
        <v/>
      </c>
      <c r="G117">
        <f>IFERROR(
IF(ISNUMBER(FIND("T2",B117)),220,
IF(ISNUMBER(FIND("T4",B117)),440,
IF(ISNUMBER(FIND("T5",B117)),575,
IF(ISNUMBER(FIND("T6",B117)),690,"")))),
"")</f>
        <v>220</v>
      </c>
    </row>
    <row r="118" spans="1:7" x14ac:dyDescent="0.25">
      <c r="A118">
        <v>12954182</v>
      </c>
      <c r="B118" t="str">
        <f>VLOOKUP(A118,Planilha2!B:C,2,0)</f>
        <v>INVERSOR CFW701E0142T2NB55C3</v>
      </c>
      <c r="C118" t="s">
        <v>1</v>
      </c>
      <c r="D118" t="str">
        <f>VLOOKUP(A118,Planilha2!B:H,7,0)</f>
        <v>OBSOLETOS DRIVES</v>
      </c>
      <c r="E118" s="5">
        <v>69100</v>
      </c>
      <c r="F118">
        <f>IFERROR(
IF(ISNUMBER(FIND("CFW110",B118)),
VALUE(MID(B118,FIND("CFW110",B118)+6,FIND("T",B118,FIND("CFW110",B118))-(FIND("CFW110",B118)+6))),
IF(ISNUMBER(FIND("D",B118)),
VALUE(SUBSTITUTE(MID(B118,FIND("D",B118)+1,FIND("T",B118,FIND("D",B118))-(FIND("D",B118)+1)),"P",",")),
IF(ISNUMBER(FIND("CFW5",B118)),
VALUE(MID(B118,
IF(ISNUMBER(FIND("F",B118)),FIND("F",B118)+1,FIND("G",B118)+1),
FIND("T",B118)-(IF(ISNUMBER(FIND("F",B118)),FIND("F",B118)+1,FIND("G",B118)+1))
)),
VALUE(MID(B118,FIND("E0",B118)+2,FIND("T",B118,FIND("E0",B118))-(FIND("E0",B118)+2)))
))),"")</f>
        <v>142</v>
      </c>
      <c r="G118">
        <f>IFERROR(
IF(ISNUMBER(FIND("T2",B118)),220,
IF(ISNUMBER(FIND("T4",B118)),440,
IF(ISNUMBER(FIND("T5",B118)),575,
IF(ISNUMBER(FIND("T6",B118)),690,"")))),
"")</f>
        <v>220</v>
      </c>
    </row>
    <row r="119" spans="1:7" x14ac:dyDescent="0.25">
      <c r="A119">
        <v>12919062</v>
      </c>
      <c r="B119" t="str">
        <f>VLOOKUP(A119,Planilha2!B:C,2,0)</f>
        <v>INVERSOR BRCFW110142T2ON1SPZ</v>
      </c>
      <c r="C119" t="s">
        <v>1</v>
      </c>
      <c r="D119" t="str">
        <f>VLOOKUP(A119,Planilha2!B:H,7,0)</f>
        <v>LINHA G1</v>
      </c>
      <c r="E119" s="5">
        <v>97700</v>
      </c>
      <c r="F119">
        <f>IFERROR(
IF(ISNUMBER(FIND("CFW110",B119)),
VALUE(MID(B119,FIND("CFW110",B119)+6,FIND("T",B119,FIND("CFW110",B119))-(FIND("CFW110",B119)+6))),
IF(ISNUMBER(FIND("D",B119)),
VALUE(SUBSTITUTE(MID(B119,FIND("D",B119)+1,FIND("T",B119,FIND("D",B119))-(FIND("D",B119)+1)),"P",",")),
IF(ISNUMBER(FIND("CFW5",B119)),
VALUE(MID(B119,
IF(ISNUMBER(FIND("F",B119)),FIND("F",B119)+1,FIND("G",B119)+1),
FIND("T",B119)-(IF(ISNUMBER(FIND("F",B119)),FIND("F",B119)+1,FIND("G",B119)+1))
)),
VALUE(MID(B119,FIND("E0",B119)+2,FIND("T",B119,FIND("E0",B119))-(FIND("E0",B119)+2)))
))),"")</f>
        <v>142</v>
      </c>
      <c r="G119">
        <f>IFERROR(
IF(ISNUMBER(FIND("T2",B119)),220,
IF(ISNUMBER(FIND("T4",B119)),440,
IF(ISNUMBER(FIND("T5",B119)),575,
IF(ISNUMBER(FIND("T6",B119)),690,"")))),
"")</f>
        <v>220</v>
      </c>
    </row>
    <row r="120" spans="1:7" x14ac:dyDescent="0.25">
      <c r="A120">
        <v>13537865</v>
      </c>
      <c r="B120" t="str">
        <f>VLOOKUP(A120,Planilha2!B:C,2,0)</f>
        <v>INVERSOR EUCFW110058T4O55FADSZ</v>
      </c>
      <c r="C120" t="s">
        <v>1</v>
      </c>
      <c r="D120" t="str">
        <f>VLOOKUP(A120,Planilha2!B:H,7,0)</f>
        <v>LINHA M3</v>
      </c>
      <c r="E120" s="5">
        <v>19600</v>
      </c>
      <c r="F120">
        <f>IFERROR(
IF(ISNUMBER(FIND("CFW110",B120)),
VALUE(MID(B120,FIND("CFW110",B120)+6,FIND("T",B120,FIND("CFW110",B120))-(FIND("CFW110",B120)+6))),
IF(ISNUMBER(FIND("D",B120)),
VALUE(SUBSTITUTE(MID(B120,FIND("D",B120)+1,FIND("T",B120,FIND("D",B120))-(FIND("D",B120)+1)),"P",",")),
IF(ISNUMBER(FIND("CFW5",B120)),
VALUE(MID(B120,
IF(ISNUMBER(FIND("F",B120)),FIND("F",B120)+1,FIND("G",B120)+1),
FIND("T",B120)-(IF(ISNUMBER(FIND("F",B120)),FIND("F",B120)+1,FIND("G",B120)+1))
)),
VALUE(MID(B120,FIND("E0",B120)+2,FIND("T",B120,FIND("E0",B120))-(FIND("E0",B120)+2)))
))),"")</f>
        <v>58</v>
      </c>
      <c r="G120">
        <f>IFERROR(
IF(ISNUMBER(FIND("T2",B120)),220,
IF(ISNUMBER(FIND("T4",B120)),440,
IF(ISNUMBER(FIND("T5",B120)),575,
IF(ISNUMBER(FIND("T6",B120)),690,"")))),
"")</f>
        <v>440</v>
      </c>
    </row>
    <row r="121" spans="1:7" x14ac:dyDescent="0.25">
      <c r="A121">
        <v>13538031</v>
      </c>
      <c r="B121" t="str">
        <f>VLOOKUP(A121,Planilha2!B:C,2,0)</f>
        <v>INVERSOR EUCFW110088T4O55FADSZ</v>
      </c>
      <c r="C121" t="s">
        <v>1</v>
      </c>
      <c r="D121" t="str">
        <f>VLOOKUP(A121,Planilha2!B:H,7,0)</f>
        <v>LINHA M3</v>
      </c>
      <c r="E121" s="5">
        <v>47800</v>
      </c>
      <c r="F121">
        <f>IFERROR(
IF(ISNUMBER(FIND("CFW110",B121)),
VALUE(MID(B121,FIND("CFW110",B121)+6,FIND("T",B121,FIND("CFW110",B121))-(FIND("CFW110",B121)+6))),
IF(ISNUMBER(FIND("D",B121)),
VALUE(SUBSTITUTE(MID(B121,FIND("D",B121)+1,FIND("T",B121,FIND("D",B121))-(FIND("D",B121)+1)),"P",",")),
IF(ISNUMBER(FIND("CFW5",B121)),
VALUE(MID(B121,
IF(ISNUMBER(FIND("F",B121)),FIND("F",B121)+1,FIND("G",B121)+1),
FIND("T",B121)-(IF(ISNUMBER(FIND("F",B121)),FIND("F",B121)+1,FIND("G",B121)+1))
)),
VALUE(MID(B121,FIND("E0",B121)+2,FIND("T",B121,FIND("E0",B121))-(FIND("E0",B121)+2)))
))),"")</f>
        <v>88</v>
      </c>
      <c r="G121">
        <f>IFERROR(
IF(ISNUMBER(FIND("T2",B121)),220,
IF(ISNUMBER(FIND("T4",B121)),440,
IF(ISNUMBER(FIND("T5",B121)),575,
IF(ISNUMBER(FIND("T6",B121)),690,"")))),
"")</f>
        <v>440</v>
      </c>
    </row>
    <row r="122" spans="1:7" x14ac:dyDescent="0.25">
      <c r="A122">
        <v>13541028</v>
      </c>
      <c r="B122" t="str">
        <f>VLOOKUP(A122,Planilha2!B:C,2,0)</f>
        <v>INVERSOR CFW700C70P0T2DB20H1ACS1</v>
      </c>
      <c r="C122" t="s">
        <v>1</v>
      </c>
      <c r="D122" t="str">
        <f>VLOOKUP(A122,Planilha2!B:H,7,0)</f>
        <v>OBSOLETOS DRIVES</v>
      </c>
      <c r="E122" s="5">
        <v>17515</v>
      </c>
      <c r="F122" t="str">
        <f>IFERROR(
IF(ISNUMBER(FIND("CFW110",B122)),
VALUE(MID(B122,FIND("CFW110",B122)+6,FIND("T",B122,FIND("CFW110",B122))-(FIND("CFW110",B122)+6))),
IF(ISNUMBER(FIND("D",B122)),
VALUE(SUBSTITUTE(MID(B122,FIND("D",B122)+1,FIND("T",B122,FIND("D",B122))-(FIND("D",B122)+1)),"P",",")),
IF(ISNUMBER(FIND("CFW5",B122)),
VALUE(MID(B122,
IF(ISNUMBER(FIND("F",B122)),FIND("F",B122)+1,FIND("G",B122)+1),
FIND("T",B122)-(IF(ISNUMBER(FIND("F",B122)),FIND("F",B122)+1,FIND("G",B122)+1))
)),
VALUE(MID(B122,FIND("E0",B122)+2,FIND("T",B122,FIND("E0",B122))-(FIND("E0",B122)+2)))
))),"")</f>
        <v/>
      </c>
      <c r="G122">
        <f>IFERROR(
IF(ISNUMBER(FIND("T2",B122)),220,
IF(ISNUMBER(FIND("T4",B122)),440,
IF(ISNUMBER(FIND("T5",B122)),575,
IF(ISNUMBER(FIND("T6",B122)),690,"")))),
"")</f>
        <v>220</v>
      </c>
    </row>
    <row r="123" spans="1:7" x14ac:dyDescent="0.25">
      <c r="A123">
        <v>13540824</v>
      </c>
      <c r="B123" t="str">
        <f>VLOOKUP(A123,Planilha2!B:C,2,0)</f>
        <v>INVERSOR CFW700C58P5T4DB20H1ACS1</v>
      </c>
      <c r="C123" t="s">
        <v>1</v>
      </c>
      <c r="D123" t="str">
        <f>VLOOKUP(A123,Planilha2!B:H,7,0)</f>
        <v>OBSOLETOS DRIVES</v>
      </c>
      <c r="E123" s="5">
        <v>21000</v>
      </c>
      <c r="F123" t="str">
        <f>IFERROR(
IF(ISNUMBER(FIND("CFW110",B123)),
VALUE(MID(B123,FIND("CFW110",B123)+6,FIND("T",B123,FIND("CFW110",B123))-(FIND("CFW110",B123)+6))),
IF(ISNUMBER(FIND("D",B123)),
VALUE(SUBSTITUTE(MID(B123,FIND("D",B123)+1,FIND("T",B123,FIND("D",B123))-(FIND("D",B123)+1)),"P",",")),
IF(ISNUMBER(FIND("CFW5",B123)),
VALUE(MID(B123,
IF(ISNUMBER(FIND("F",B123)),FIND("F",B123)+1,FIND("G",B123)+1),
FIND("T",B123)-(IF(ISNUMBER(FIND("F",B123)),FIND("F",B123)+1,FIND("G",B123)+1))
)),
VALUE(MID(B123,FIND("E0",B123)+2,FIND("T",B123,FIND("E0",B123))-(FIND("E0",B123)+2)))
))),"")</f>
        <v/>
      </c>
      <c r="G123">
        <f>IFERROR(
IF(ISNUMBER(FIND("T2",B123)),220,
IF(ISNUMBER(FIND("T4",B123)),440,
IF(ISNUMBER(FIND("T5",B123)),575,
IF(ISNUMBER(FIND("T6",B123)),690,"")))),
"")</f>
        <v>440</v>
      </c>
    </row>
    <row r="124" spans="1:7" x14ac:dyDescent="0.25">
      <c r="A124">
        <v>13541029</v>
      </c>
      <c r="B124" t="str">
        <f>VLOOKUP(A124,Planilha2!B:C,2,0)</f>
        <v>INVERSOR CFW700D0105T2DBN1H1ACS1</v>
      </c>
      <c r="C124" t="s">
        <v>1</v>
      </c>
      <c r="D124" t="str">
        <f>VLOOKUP(A124,Planilha2!B:H,7,0)</f>
        <v>OBSOLETOS DRIVES</v>
      </c>
      <c r="E124" s="5">
        <v>26000</v>
      </c>
      <c r="F124">
        <f>IFERROR(
IF(ISNUMBER(FIND("CFW110",B124)),
VALUE(MID(B124,FIND("CFW110",B124)+6,FIND("T",B124,FIND("CFW110",B124))-(FIND("CFW110",B124)+6))),
IF(ISNUMBER(FIND("D",B124)),
VALUE(SUBSTITUTE(MID(B124,FIND("D",B124)+1,FIND("T",B124,FIND("D",B124))-(FIND("D",B124)+1)),"P",",")),
IF(ISNUMBER(FIND("CFW5",B124)),
VALUE(MID(B124,
IF(ISNUMBER(FIND("F",B124)),FIND("F",B124)+1,FIND("G",B124)+1),
FIND("T",B124)-(IF(ISNUMBER(FIND("F",B124)),FIND("F",B124)+1,FIND("G",B124)+1))
)),
VALUE(MID(B124,FIND("E0",B124)+2,FIND("T",B124,FIND("E0",B124))-(FIND("E0",B124)+2)))
))),"")</f>
        <v>105</v>
      </c>
      <c r="G124">
        <f>IFERROR(
IF(ISNUMBER(FIND("T2",B124)),220,
IF(ISNUMBER(FIND("T4",B124)),440,
IF(ISNUMBER(FIND("T5",B124)),575,
IF(ISNUMBER(FIND("T6",B124)),690,"")))),
"")</f>
        <v>220</v>
      </c>
    </row>
    <row r="125" spans="1:7" x14ac:dyDescent="0.25">
      <c r="A125">
        <v>13540825</v>
      </c>
      <c r="B125" t="str">
        <f>VLOOKUP(A125,Planilha2!B:C,2,0)</f>
        <v>INVERSOR CFW700D88P0T4DBN1H1ACS1</v>
      </c>
      <c r="C125" t="s">
        <v>1</v>
      </c>
      <c r="D125" t="str">
        <f>VLOOKUP(A125,Planilha2!B:H,7,0)</f>
        <v>OBSOLETOS DRIVES</v>
      </c>
      <c r="E125" s="5">
        <v>26000</v>
      </c>
      <c r="F125">
        <f>IFERROR(
IF(ISNUMBER(FIND("CFW110",B125)),
VALUE(MID(B125,FIND("CFW110",B125)+6,FIND("T",B125,FIND("CFW110",B125))-(FIND("CFW110",B125)+6))),
IF(ISNUMBER(FIND("D",B125)),
VALUE(SUBSTITUTE(MID(B125,FIND("D",B125)+1,FIND("T",B125,FIND("D",B125))-(FIND("D",B125)+1)),"P",",")),
IF(ISNUMBER(FIND("CFW5",B125)),
VALUE(MID(B125,
IF(ISNUMBER(FIND("F",B125)),FIND("F",B125)+1,FIND("G",B125)+1),
FIND("T",B125)-(IF(ISNUMBER(FIND("F",B125)),FIND("F",B125)+1,FIND("G",B125)+1))
)),
VALUE(MID(B125,FIND("E0",B125)+2,FIND("T",B125,FIND("E0",B125))-(FIND("E0",B125)+2)))
))),"")</f>
        <v>88</v>
      </c>
      <c r="G125">
        <f>IFERROR(
IF(ISNUMBER(FIND("T2",B125)),220,
IF(ISNUMBER(FIND("T4",B125)),440,
IF(ISNUMBER(FIND("T5",B125)),575,
IF(ISNUMBER(FIND("T6",B125)),690,"")))),
"")</f>
        <v>440</v>
      </c>
    </row>
    <row r="126" spans="1:7" x14ac:dyDescent="0.25">
      <c r="A126">
        <v>13541032</v>
      </c>
      <c r="B126" t="str">
        <f>VLOOKUP(A126,Planilha2!B:C,2,0)</f>
        <v>INVERSOR CFW700E0211T2DB20H1ACS1</v>
      </c>
      <c r="C126" t="s">
        <v>1</v>
      </c>
      <c r="D126" t="str">
        <f>VLOOKUP(A126,Planilha2!B:H,7,0)</f>
        <v>OBSOLETOS DRIVES</v>
      </c>
      <c r="E126" s="5">
        <v>63270</v>
      </c>
      <c r="F126" t="str">
        <f>IFERROR(
IF(ISNUMBER(FIND("CFW110",B126)),
VALUE(MID(B126,FIND("CFW110",B126)+6,FIND("T",B126,FIND("CFW110",B126))-(FIND("CFW110",B126)+6))),
IF(ISNUMBER(FIND("D",B126)),
VALUE(SUBSTITUTE(MID(B126,FIND("D",B126)+1,FIND("T",B126,FIND("D",B126))-(FIND("D",B126)+1)),"P",",")),
IF(ISNUMBER(FIND("CFW5",B126)),
VALUE(MID(B126,
IF(ISNUMBER(FIND("F",B126)),FIND("F",B126)+1,FIND("G",B126)+1),
FIND("T",B126)-(IF(ISNUMBER(FIND("F",B126)),FIND("F",B126)+1,FIND("G",B126)+1))
)),
VALUE(MID(B126,FIND("E0",B126)+2,FIND("T",B126,FIND("E0",B126))-(FIND("E0",B126)+2)))
))),"")</f>
        <v/>
      </c>
      <c r="G126">
        <f>IFERROR(
IF(ISNUMBER(FIND("T2",B126)),220,
IF(ISNUMBER(FIND("T4",B126)),440,
IF(ISNUMBER(FIND("T5",B126)),575,
IF(ISNUMBER(FIND("T6",B126)),690,"")))),
"")</f>
        <v>220</v>
      </c>
    </row>
    <row r="127" spans="1:7" x14ac:dyDescent="0.25">
      <c r="A127">
        <v>13540826</v>
      </c>
      <c r="B127" t="str">
        <f>VLOOKUP(A127,Planilha2!B:C,2,0)</f>
        <v>INVERSOR CFW700E0211T4DB20H1ACS1</v>
      </c>
      <c r="C127" t="s">
        <v>1</v>
      </c>
      <c r="D127" t="str">
        <f>VLOOKUP(A127,Planilha2!B:H,7,0)</f>
        <v>OBSOLETOS DRIVES</v>
      </c>
      <c r="E127" s="5">
        <v>65000</v>
      </c>
      <c r="F127" t="str">
        <f>IFERROR(
IF(ISNUMBER(FIND("CFW110",B127)),
VALUE(MID(B127,FIND("CFW110",B127)+6,FIND("T",B127,FIND("CFW110",B127))-(FIND("CFW110",B127)+6))),
IF(ISNUMBER(FIND("D",B127)),
VALUE(SUBSTITUTE(MID(B127,FIND("D",B127)+1,FIND("T",B127,FIND("D",B127))-(FIND("D",B127)+1)),"P",",")),
IF(ISNUMBER(FIND("CFW5",B127)),
VALUE(MID(B127,
IF(ISNUMBER(FIND("F",B127)),FIND("F",B127)+1,FIND("G",B127)+1),
FIND("T",B127)-(IF(ISNUMBER(FIND("F",B127)),FIND("F",B127)+1,FIND("G",B127)+1))
)),
VALUE(MID(B127,FIND("E0",B127)+2,FIND("T",B127,FIND("E0",B127))-(FIND("E0",B127)+2)))
))),"")</f>
        <v/>
      </c>
      <c r="G127">
        <f>IFERROR(
IF(ISNUMBER(FIND("T2",B127)),220,
IF(ISNUMBER(FIND("T4",B127)),440,
IF(ISNUMBER(FIND("T5",B127)),575,
IF(ISNUMBER(FIND("T6",B127)),690,"")))),
"")</f>
        <v>440</v>
      </c>
    </row>
    <row r="128" spans="1:7" x14ac:dyDescent="0.25">
      <c r="A128">
        <v>13887663</v>
      </c>
      <c r="B128" t="str">
        <f>VLOOKUP(A128,Planilha2!B:C,2,0)</f>
        <v>INVERSOR CFW110088T4OHALS9Z</v>
      </c>
      <c r="C128" t="s">
        <v>1</v>
      </c>
      <c r="D128" t="str">
        <f>VLOOKUP(A128,Planilha2!B:H,7,0)</f>
        <v>LINHA M3</v>
      </c>
      <c r="E128" s="5">
        <v>26175</v>
      </c>
      <c r="F128">
        <f>IFERROR(
IF(ISNUMBER(FIND("CFW110",B128)),
VALUE(MID(B128,FIND("CFW110",B128)+6,FIND("T",B128,FIND("CFW110",B128))-(FIND("CFW110",B128)+6))),
IF(ISNUMBER(FIND("D",B128)),
VALUE(SUBSTITUTE(MID(B128,FIND("D",B128)+1,FIND("T",B128,FIND("D",B128))-(FIND("D",B128)+1)),"P",",")),
IF(ISNUMBER(FIND("CFW5",B128)),
VALUE(MID(B128,
IF(ISNUMBER(FIND("F",B128)),FIND("F",B128)+1,FIND("G",B128)+1),
FIND("T",B128)-(IF(ISNUMBER(FIND("F",B128)),FIND("F",B128)+1,FIND("G",B128)+1))
)),
VALUE(MID(B128,FIND("E0",B128)+2,FIND("T",B128,FIND("E0",B128))-(FIND("E0",B128)+2)))
))),"")</f>
        <v>88</v>
      </c>
      <c r="G128">
        <f>IFERROR(
IF(ISNUMBER(FIND("T2",B128)),220,
IF(ISNUMBER(FIND("T4",B128)),440,
IF(ISNUMBER(FIND("T5",B128)),575,
IF(ISNUMBER(FIND("T6",B128)),690,"")))),
"")</f>
        <v>440</v>
      </c>
    </row>
    <row r="129" spans="1:7" x14ac:dyDescent="0.25">
      <c r="A129">
        <v>12853203</v>
      </c>
      <c r="B129" t="str">
        <f>VLOOKUP(A129,Planilha2!B:C,2,0)</f>
        <v>INVERSOR BRCFW110058T4OFASBZ</v>
      </c>
      <c r="C129" t="s">
        <v>1</v>
      </c>
      <c r="D129" t="str">
        <f>VLOOKUP(A129,Planilha2!B:H,7,0)</f>
        <v>LINHA M1</v>
      </c>
      <c r="E129" s="5">
        <v>4500</v>
      </c>
      <c r="F129">
        <f>IFERROR(
IF(ISNUMBER(FIND("CFW110",B129)),
VALUE(MID(B129,FIND("CFW110",B129)+6,FIND("T",B129,FIND("CFW110",B129))-(FIND("CFW110",B129)+6))),
IF(ISNUMBER(FIND("D",B129)),
VALUE(SUBSTITUTE(MID(B129,FIND("D",B129)+1,FIND("T",B129,FIND("D",B129))-(FIND("D",B129)+1)),"P",",")),
IF(ISNUMBER(FIND("CFW5",B129)),
VALUE(MID(B129,
IF(ISNUMBER(FIND("F",B129)),FIND("F",B129)+1,FIND("G",B129)+1),
FIND("T",B129)-(IF(ISNUMBER(FIND("F",B129)),FIND("F",B129)+1,FIND("G",B129)+1))
)),
VALUE(MID(B129,FIND("E0",B129)+2,FIND("T",B129,FIND("E0",B129))-(FIND("E0",B129)+2)))
))),"")</f>
        <v>58</v>
      </c>
      <c r="G129">
        <f>IFERROR(
IF(ISNUMBER(FIND("T2",B129)),220,
IF(ISNUMBER(FIND("T4",B129)),440,
IF(ISNUMBER(FIND("T5",B129)),575,
IF(ISNUMBER(FIND("T6",B129)),690,"")))),
"")</f>
        <v>440</v>
      </c>
    </row>
    <row r="130" spans="1:7" x14ac:dyDescent="0.25">
      <c r="A130">
        <v>12914569</v>
      </c>
      <c r="B130" t="str">
        <f>VLOOKUP(A130,Planilha2!B:C,2,0)</f>
        <v>INVERSOR CFW700C58P5T4DB20C3Y1HASC</v>
      </c>
      <c r="C130" t="s">
        <v>1</v>
      </c>
      <c r="D130" t="str">
        <f>VLOOKUP(A130,Planilha2!B:H,7,0)</f>
        <v>OBSOLETOS DRIVES</v>
      </c>
      <c r="E130" s="5">
        <v>21000</v>
      </c>
      <c r="F130" t="str">
        <f>IFERROR(
IF(ISNUMBER(FIND("CFW110",B130)),
VALUE(MID(B130,FIND("CFW110",B130)+6,FIND("T",B130,FIND("CFW110",B130))-(FIND("CFW110",B130)+6))),
IF(ISNUMBER(FIND("D",B130)),
VALUE(SUBSTITUTE(MID(B130,FIND("D",B130)+1,FIND("T",B130,FIND("D",B130))-(FIND("D",B130)+1)),"P",",")),
IF(ISNUMBER(FIND("CFW5",B130)),
VALUE(MID(B130,
IF(ISNUMBER(FIND("F",B130)),FIND("F",B130)+1,FIND("G",B130)+1),
FIND("T",B130)-(IF(ISNUMBER(FIND("F",B130)),FIND("F",B130)+1,FIND("G",B130)+1))
)),
VALUE(MID(B130,FIND("E0",B130)+2,FIND("T",B130,FIND("E0",B130))-(FIND("E0",B130)+2)))
))),"")</f>
        <v/>
      </c>
      <c r="G130">
        <f>IFERROR(
IF(ISNUMBER(FIND("T2",B130)),220,
IF(ISNUMBER(FIND("T4",B130)),440,
IF(ISNUMBER(FIND("T5",B130)),575,
IF(ISNUMBER(FIND("T6",B130)),690,"")))),
"")</f>
        <v>440</v>
      </c>
    </row>
    <row r="131" spans="1:7" x14ac:dyDescent="0.25">
      <c r="A131">
        <v>12913308</v>
      </c>
      <c r="B131" t="str">
        <f>VLOOKUP(A131,Planilha2!B:C,2,0)</f>
        <v>INVERSOR CFW700D70P5T4DBN1C3HASC</v>
      </c>
      <c r="C131" t="s">
        <v>1</v>
      </c>
      <c r="D131" t="str">
        <f>VLOOKUP(A131,Planilha2!B:H,7,0)</f>
        <v>OBSOLETOS DRIVES</v>
      </c>
      <c r="E131" s="5">
        <v>26280</v>
      </c>
      <c r="F131">
        <f>IFERROR(
IF(ISNUMBER(FIND("CFW110",B131)),
VALUE(MID(B131,FIND("CFW110",B131)+6,FIND("T",B131,FIND("CFW110",B131))-(FIND("CFW110",B131)+6))),
IF(ISNUMBER(FIND("D",B131)),
VALUE(SUBSTITUTE(MID(B131,FIND("D",B131)+1,FIND("T",B131,FIND("D",B131))-(FIND("D",B131)+1)),"P",",")),
IF(ISNUMBER(FIND("CFW5",B131)),
VALUE(MID(B131,
IF(ISNUMBER(FIND("F",B131)),FIND("F",B131)+1,FIND("G",B131)+1),
FIND("T",B131)-(IF(ISNUMBER(FIND("F",B131)),FIND("F",B131)+1,FIND("G",B131)+1))
)),
VALUE(MID(B131,FIND("E0",B131)+2,FIND("T",B131,FIND("E0",B131))-(FIND("E0",B131)+2)))
))),"")</f>
        <v>70.5</v>
      </c>
      <c r="G131">
        <f>IFERROR(
IF(ISNUMBER(FIND("T2",B131)),220,
IF(ISNUMBER(FIND("T4",B131)),440,
IF(ISNUMBER(FIND("T5",B131)),575,
IF(ISNUMBER(FIND("T6",B131)),690,"")))),
"")</f>
        <v>440</v>
      </c>
    </row>
    <row r="132" spans="1:7" x14ac:dyDescent="0.25">
      <c r="A132">
        <v>13000961</v>
      </c>
      <c r="B132" t="str">
        <f>VLOOKUP(A132,Planilha2!B:C,2,0)</f>
        <v>INVERSOR MSCFW110088T4OYWZ</v>
      </c>
      <c r="C132" t="s">
        <v>1</v>
      </c>
      <c r="D132" t="str">
        <f>VLOOKUP(A132,Planilha2!B:H,7,0)</f>
        <v>LINHA M3</v>
      </c>
      <c r="E132" s="5">
        <v>32600</v>
      </c>
      <c r="F132">
        <f>IFERROR(
IF(ISNUMBER(FIND("CFW110",B132)),
VALUE(MID(B132,FIND("CFW110",B132)+6,FIND("T",B132,FIND("CFW110",B132))-(FIND("CFW110",B132)+6))),
IF(ISNUMBER(FIND("D",B132)),
VALUE(SUBSTITUTE(MID(B132,FIND("D",B132)+1,FIND("T",B132,FIND("D",B132))-(FIND("D",B132)+1)),"P",",")),
IF(ISNUMBER(FIND("CFW5",B132)),
VALUE(MID(B132,
IF(ISNUMBER(FIND("F",B132)),FIND("F",B132)+1,FIND("G",B132)+1),
FIND("T",B132)-(IF(ISNUMBER(FIND("F",B132)),FIND("F",B132)+1,FIND("G",B132)+1))
)),
VALUE(MID(B132,FIND("E0",B132)+2,FIND("T",B132,FIND("E0",B132))-(FIND("E0",B132)+2)))
))),"")</f>
        <v>88</v>
      </c>
      <c r="G132">
        <f>IFERROR(
IF(ISNUMBER(FIND("T2",B132)),220,
IF(ISNUMBER(FIND("T4",B132)),440,
IF(ISNUMBER(FIND("T5",B132)),575,
IF(ISNUMBER(FIND("T6",B132)),690,"")))),
"")</f>
        <v>440</v>
      </c>
    </row>
    <row r="133" spans="1:7" x14ac:dyDescent="0.25">
      <c r="A133">
        <v>12919171</v>
      </c>
      <c r="B133" t="str">
        <f>VLOOKUP(A133,Planilha2!B:C,2,0)</f>
        <v>INVERSOR BRCFW110038T4ON1SPZ</v>
      </c>
      <c r="C133" t="s">
        <v>1</v>
      </c>
      <c r="D133" t="str">
        <f>VLOOKUP(A133,Planilha2!B:H,7,0)</f>
        <v>LINHA M1</v>
      </c>
      <c r="E133" s="5">
        <v>18600</v>
      </c>
      <c r="F133">
        <f>IFERROR(
IF(ISNUMBER(FIND("CFW110",B133)),
VALUE(MID(B133,FIND("CFW110",B133)+6,FIND("T",B133,FIND("CFW110",B133))-(FIND("CFW110",B133)+6))),
IF(ISNUMBER(FIND("D",B133)),
VALUE(SUBSTITUTE(MID(B133,FIND("D",B133)+1,FIND("T",B133,FIND("D",B133))-(FIND("D",B133)+1)),"P",",")),
IF(ISNUMBER(FIND("CFW5",B133)),
VALUE(MID(B133,
IF(ISNUMBER(FIND("F",B133)),FIND("F",B133)+1,FIND("G",B133)+1),
FIND("T",B133)-(IF(ISNUMBER(FIND("F",B133)),FIND("F",B133)+1,FIND("G",B133)+1))
)),
VALUE(MID(B133,FIND("E0",B133)+2,FIND("T",B133,FIND("E0",B133))-(FIND("E0",B133)+2)))
))),"")</f>
        <v>38</v>
      </c>
      <c r="G133">
        <f>IFERROR(
IF(ISNUMBER(FIND("T2",B133)),220,
IF(ISNUMBER(FIND("T4",B133)),440,
IF(ISNUMBER(FIND("T5",B133)),575,
IF(ISNUMBER(FIND("T6",B133)),690,"")))),
"")</f>
        <v>440</v>
      </c>
    </row>
    <row r="134" spans="1:7" x14ac:dyDescent="0.25">
      <c r="A134">
        <v>12919016</v>
      </c>
      <c r="B134" t="str">
        <f>VLOOKUP(A134,Planilha2!B:C,2,0)</f>
        <v>INVERSOR BRCFW110045T2ON1SPZ</v>
      </c>
      <c r="C134" t="s">
        <v>1</v>
      </c>
      <c r="D134" t="str">
        <f>VLOOKUP(A134,Planilha2!B:H,7,0)</f>
        <v>LINHA M1</v>
      </c>
      <c r="E134" s="5">
        <v>17800</v>
      </c>
      <c r="F134">
        <f>IFERROR(
IF(ISNUMBER(FIND("CFW110",B134)),
VALUE(MID(B134,FIND("CFW110",B134)+6,FIND("T",B134,FIND("CFW110",B134))-(FIND("CFW110",B134)+6))),
IF(ISNUMBER(FIND("D",B134)),
VALUE(SUBSTITUTE(MID(B134,FIND("D",B134)+1,FIND("T",B134,FIND("D",B134))-(FIND("D",B134)+1)),"P",",")),
IF(ISNUMBER(FIND("CFW5",B134)),
VALUE(MID(B134,
IF(ISNUMBER(FIND("F",B134)),FIND("F",B134)+1,FIND("G",B134)+1),
FIND("T",B134)-(IF(ISNUMBER(FIND("F",B134)),FIND("F",B134)+1,FIND("G",B134)+1))
)),
VALUE(MID(B134,FIND("E0",B134)+2,FIND("T",B134,FIND("E0",B134))-(FIND("E0",B134)+2)))
))),"")</f>
        <v>45</v>
      </c>
      <c r="G134">
        <f>IFERROR(
IF(ISNUMBER(FIND("T2",B134)),220,
IF(ISNUMBER(FIND("T4",B134)),440,
IF(ISNUMBER(FIND("T5",B134)),575,
IF(ISNUMBER(FIND("T6",B134)),690,"")))),
"")</f>
        <v>220</v>
      </c>
    </row>
    <row r="135" spans="1:7" x14ac:dyDescent="0.25">
      <c r="A135">
        <v>12919175</v>
      </c>
      <c r="B135" t="str">
        <f>VLOOKUP(A135,Planilha2!B:C,2,0)</f>
        <v>INVERSOR BRCFW110045T4ON1SPZ</v>
      </c>
      <c r="C135" t="s">
        <v>1</v>
      </c>
      <c r="D135" t="str">
        <f>VLOOKUP(A135,Planilha2!B:H,7,0)</f>
        <v>LINHA M1</v>
      </c>
      <c r="E135" s="5">
        <v>21800</v>
      </c>
      <c r="F135">
        <f>IFERROR(
IF(ISNUMBER(FIND("CFW110",B135)),
VALUE(MID(B135,FIND("CFW110",B135)+6,FIND("T",B135,FIND("CFW110",B135))-(FIND("CFW110",B135)+6))),
IF(ISNUMBER(FIND("D",B135)),
VALUE(SUBSTITUTE(MID(B135,FIND("D",B135)+1,FIND("T",B135,FIND("D",B135))-(FIND("D",B135)+1)),"P",",")),
IF(ISNUMBER(FIND("CFW5",B135)),
VALUE(MID(B135,
IF(ISNUMBER(FIND("F",B135)),FIND("F",B135)+1,FIND("G",B135)+1),
FIND("T",B135)-(IF(ISNUMBER(FIND("F",B135)),FIND("F",B135)+1,FIND("G",B135)+1))
)),
VALUE(MID(B135,FIND("E0",B135)+2,FIND("T",B135,FIND("E0",B135))-(FIND("E0",B135)+2)))
))),"")</f>
        <v>45</v>
      </c>
      <c r="G135">
        <f>IFERROR(
IF(ISNUMBER(FIND("T2",B135)),220,
IF(ISNUMBER(FIND("T4",B135)),440,
IF(ISNUMBER(FIND("T5",B135)),575,
IF(ISNUMBER(FIND("T6",B135)),690,"")))),
"")</f>
        <v>440</v>
      </c>
    </row>
    <row r="136" spans="1:7" x14ac:dyDescent="0.25">
      <c r="A136">
        <v>12919017</v>
      </c>
      <c r="B136" t="str">
        <f>VLOOKUP(A136,Planilha2!B:C,2,0)</f>
        <v>INVERSOR BRCFW110054T2ON1SPZ</v>
      </c>
      <c r="C136" t="s">
        <v>1</v>
      </c>
      <c r="D136" t="str">
        <f>VLOOKUP(A136,Planilha2!B:H,7,0)</f>
        <v>LINHA M1</v>
      </c>
      <c r="E136" s="5">
        <v>18200</v>
      </c>
      <c r="F136">
        <f>IFERROR(
IF(ISNUMBER(FIND("CFW110",B136)),
VALUE(MID(B136,FIND("CFW110",B136)+6,FIND("T",B136,FIND("CFW110",B136))-(FIND("CFW110",B136)+6))),
IF(ISNUMBER(FIND("D",B136)),
VALUE(SUBSTITUTE(MID(B136,FIND("D",B136)+1,FIND("T",B136,FIND("D",B136))-(FIND("D",B136)+1)),"P",",")),
IF(ISNUMBER(FIND("CFW5",B136)),
VALUE(MID(B136,
IF(ISNUMBER(FIND("F",B136)),FIND("F",B136)+1,FIND("G",B136)+1),
FIND("T",B136)-(IF(ISNUMBER(FIND("F",B136)),FIND("F",B136)+1,FIND("G",B136)+1))
)),
VALUE(MID(B136,FIND("E0",B136)+2,FIND("T",B136,FIND("E0",B136))-(FIND("E0",B136)+2)))
))),"")</f>
        <v>54</v>
      </c>
      <c r="G136">
        <f>IFERROR(
IF(ISNUMBER(FIND("T2",B136)),220,
IF(ISNUMBER(FIND("T4",B136)),440,
IF(ISNUMBER(FIND("T5",B136)),575,
IF(ISNUMBER(FIND("T6",B136)),690,"")))),
"")</f>
        <v>220</v>
      </c>
    </row>
    <row r="137" spans="1:7" x14ac:dyDescent="0.25">
      <c r="A137">
        <v>12919176</v>
      </c>
      <c r="B137" t="str">
        <f>VLOOKUP(A137,Planilha2!B:C,2,0)</f>
        <v>INVERSOR BRCFW110058T4ON1SPZ</v>
      </c>
      <c r="C137" t="s">
        <v>1</v>
      </c>
      <c r="D137" t="str">
        <f>VLOOKUP(A137,Planilha2!B:H,7,0)</f>
        <v>LINHA M1</v>
      </c>
      <c r="E137" s="5">
        <v>22700</v>
      </c>
      <c r="F137">
        <f>IFERROR(
IF(ISNUMBER(FIND("CFW110",B137)),
VALUE(MID(B137,FIND("CFW110",B137)+6,FIND("T",B137,FIND("CFW110",B137))-(FIND("CFW110",B137)+6))),
IF(ISNUMBER(FIND("D",B137)),
VALUE(SUBSTITUTE(MID(B137,FIND("D",B137)+1,FIND("T",B137,FIND("D",B137))-(FIND("D",B137)+1)),"P",",")),
IF(ISNUMBER(FIND("CFW5",B137)),
VALUE(MID(B137,
IF(ISNUMBER(FIND("F",B137)),FIND("F",B137)+1,FIND("G",B137)+1),
FIND("T",B137)-(IF(ISNUMBER(FIND("F",B137)),FIND("F",B137)+1,FIND("G",B137)+1))
)),
VALUE(MID(B137,FIND("E0",B137)+2,FIND("T",B137,FIND("E0",B137))-(FIND("E0",B137)+2)))
))),"")</f>
        <v>58</v>
      </c>
      <c r="G137">
        <f>IFERROR(
IF(ISNUMBER(FIND("T2",B137)),220,
IF(ISNUMBER(FIND("T4",B137)),440,
IF(ISNUMBER(FIND("T5",B137)),575,
IF(ISNUMBER(FIND("T6",B137)),690,"")))),
"")</f>
        <v>440</v>
      </c>
    </row>
    <row r="138" spans="1:7" x14ac:dyDescent="0.25">
      <c r="A138">
        <v>12919059</v>
      </c>
      <c r="B138" t="str">
        <f>VLOOKUP(A138,Planilha2!B:C,2,0)</f>
        <v>INVERSOR BRCFW110070T2ON1SPZ</v>
      </c>
      <c r="C138" t="s">
        <v>1</v>
      </c>
      <c r="D138" t="str">
        <f>VLOOKUP(A138,Planilha2!B:H,7,0)</f>
        <v>LINHA M1</v>
      </c>
      <c r="E138" s="5">
        <v>20100</v>
      </c>
      <c r="F138">
        <f>IFERROR(
IF(ISNUMBER(FIND("CFW110",B138)),
VALUE(MID(B138,FIND("CFW110",B138)+6,FIND("T",B138,FIND("CFW110",B138))-(FIND("CFW110",B138)+6))),
IF(ISNUMBER(FIND("D",B138)),
VALUE(SUBSTITUTE(MID(B138,FIND("D",B138)+1,FIND("T",B138,FIND("D",B138))-(FIND("D",B138)+1)),"P",",")),
IF(ISNUMBER(FIND("CFW5",B138)),
VALUE(MID(B138,
IF(ISNUMBER(FIND("F",B138)),FIND("F",B138)+1,FIND("G",B138)+1),
FIND("T",B138)-(IF(ISNUMBER(FIND("F",B138)),FIND("F",B138)+1,FIND("G",B138)+1))
)),
VALUE(MID(B138,FIND("E0",B138)+2,FIND("T",B138,FIND("E0",B138))-(FIND("E0",B138)+2)))
))),"")</f>
        <v>70</v>
      </c>
      <c r="G138">
        <f>IFERROR(
IF(ISNUMBER(FIND("T2",B138)),220,
IF(ISNUMBER(FIND("T4",B138)),440,
IF(ISNUMBER(FIND("T5",B138)),575,
IF(ISNUMBER(FIND("T6",B138)),690,"")))),
"")</f>
        <v>220</v>
      </c>
    </row>
    <row r="139" spans="1:7" x14ac:dyDescent="0.25">
      <c r="A139">
        <v>12919230</v>
      </c>
      <c r="B139" t="str">
        <f>VLOOKUP(A139,Planilha2!B:C,2,0)</f>
        <v>INVERSOR BRCFW110070T4ON1SPZ</v>
      </c>
      <c r="C139" t="s">
        <v>1</v>
      </c>
      <c r="D139" t="str">
        <f>VLOOKUP(A139,Planilha2!B:H,7,0)</f>
        <v>LINHA M3</v>
      </c>
      <c r="E139" s="5">
        <v>54200</v>
      </c>
      <c r="F139">
        <f>IFERROR(
IF(ISNUMBER(FIND("CFW110",B139)),
VALUE(MID(B139,FIND("CFW110",B139)+6,FIND("T",B139,FIND("CFW110",B139))-(FIND("CFW110",B139)+6))),
IF(ISNUMBER(FIND("D",B139)),
VALUE(SUBSTITUTE(MID(B139,FIND("D",B139)+1,FIND("T",B139,FIND("D",B139))-(FIND("D",B139)+1)),"P",",")),
IF(ISNUMBER(FIND("CFW5",B139)),
VALUE(MID(B139,
IF(ISNUMBER(FIND("F",B139)),FIND("F",B139)+1,FIND("G",B139)+1),
FIND("T",B139)-(IF(ISNUMBER(FIND("F",B139)),FIND("F",B139)+1,FIND("G",B139)+1))
)),
VALUE(MID(B139,FIND("E0",B139)+2,FIND("T",B139,FIND("E0",B139))-(FIND("E0",B139)+2)))
))),"")</f>
        <v>70</v>
      </c>
      <c r="G139">
        <f>IFERROR(
IF(ISNUMBER(FIND("T2",B139)),220,
IF(ISNUMBER(FIND("T4",B139)),440,
IF(ISNUMBER(FIND("T5",B139)),575,
IF(ISNUMBER(FIND("T6",B139)),690,"")))),
"")</f>
        <v>440</v>
      </c>
    </row>
    <row r="140" spans="1:7" x14ac:dyDescent="0.25">
      <c r="A140">
        <v>12884741</v>
      </c>
      <c r="B140" t="str">
        <f>VLOOKUP(A140,Planilha2!B:C,2,0)</f>
        <v>INVERSOR EUCFW110038T4OFASWZ</v>
      </c>
      <c r="C140" t="s">
        <v>1</v>
      </c>
      <c r="D140" t="str">
        <f>VLOOKUP(A140,Planilha2!B:H,7,0)</f>
        <v>LINHA M1</v>
      </c>
      <c r="E140" s="5">
        <v>16500</v>
      </c>
      <c r="F140">
        <f>IFERROR(
IF(ISNUMBER(FIND("CFW110",B140)),
VALUE(MID(B140,FIND("CFW110",B140)+6,FIND("T",B140,FIND("CFW110",B140))-(FIND("CFW110",B140)+6))),
IF(ISNUMBER(FIND("D",B140)),
VALUE(SUBSTITUTE(MID(B140,FIND("D",B140)+1,FIND("T",B140,FIND("D",B140))-(FIND("D",B140)+1)),"P",",")),
IF(ISNUMBER(FIND("CFW5",B140)),
VALUE(MID(B140,
IF(ISNUMBER(FIND("F",B140)),FIND("F",B140)+1,FIND("G",B140)+1),
FIND("T",B140)-(IF(ISNUMBER(FIND("F",B140)),FIND("F",B140)+1,FIND("G",B140)+1))
)),
VALUE(MID(B140,FIND("E0",B140)+2,FIND("T",B140,FIND("E0",B140))-(FIND("E0",B140)+2)))
))),"")</f>
        <v>38</v>
      </c>
      <c r="G140">
        <f>IFERROR(
IF(ISNUMBER(FIND("T2",B140)),220,
IF(ISNUMBER(FIND("T4",B140)),440,
IF(ISNUMBER(FIND("T5",B140)),575,
IF(ISNUMBER(FIND("T6",B140)),690,"")))),
"")</f>
        <v>440</v>
      </c>
    </row>
    <row r="141" spans="1:7" x14ac:dyDescent="0.25">
      <c r="A141">
        <v>12884745</v>
      </c>
      <c r="B141" t="str">
        <f>VLOOKUP(A141,Planilha2!B:C,2,0)</f>
        <v>INVERSOR EUCFW110045T4OFASWZ</v>
      </c>
      <c r="C141" t="s">
        <v>1</v>
      </c>
      <c r="D141" t="str">
        <f>VLOOKUP(A141,Planilha2!B:H,7,0)</f>
        <v>LINHA M1</v>
      </c>
      <c r="E141" s="5">
        <v>16500</v>
      </c>
      <c r="F141">
        <f>IFERROR(
IF(ISNUMBER(FIND("CFW110",B141)),
VALUE(MID(B141,FIND("CFW110",B141)+6,FIND("T",B141,FIND("CFW110",B141))-(FIND("CFW110",B141)+6))),
IF(ISNUMBER(FIND("D",B141)),
VALUE(SUBSTITUTE(MID(B141,FIND("D",B141)+1,FIND("T",B141,FIND("D",B141))-(FIND("D",B141)+1)),"P",",")),
IF(ISNUMBER(FIND("CFW5",B141)),
VALUE(MID(B141,
IF(ISNUMBER(FIND("F",B141)),FIND("F",B141)+1,FIND("G",B141)+1),
FIND("T",B141)-(IF(ISNUMBER(FIND("F",B141)),FIND("F",B141)+1,FIND("G",B141)+1))
)),
VALUE(MID(B141,FIND("E0",B141)+2,FIND("T",B141,FIND("E0",B141))-(FIND("E0",B141)+2)))
))),"")</f>
        <v>45</v>
      </c>
      <c r="G141">
        <f>IFERROR(
IF(ISNUMBER(FIND("T2",B141)),220,
IF(ISNUMBER(FIND("T4",B141)),440,
IF(ISNUMBER(FIND("T5",B141)),575,
IF(ISNUMBER(FIND("T6",B141)),690,"")))),
"")</f>
        <v>440</v>
      </c>
    </row>
    <row r="142" spans="1:7" x14ac:dyDescent="0.25">
      <c r="A142">
        <v>12884869</v>
      </c>
      <c r="B142" t="str">
        <f>VLOOKUP(A142,Planilha2!B:C,2,0)</f>
        <v>INVERSOR EUCFW110058T4OFASWZ</v>
      </c>
      <c r="C142" t="s">
        <v>1</v>
      </c>
      <c r="D142" t="str">
        <f>VLOOKUP(A142,Planilha2!B:H,7,0)</f>
        <v>LINHA M1</v>
      </c>
      <c r="E142" s="5">
        <v>16500</v>
      </c>
      <c r="F142">
        <f>IFERROR(
IF(ISNUMBER(FIND("CFW110",B142)),
VALUE(MID(B142,FIND("CFW110",B142)+6,FIND("T",B142,FIND("CFW110",B142))-(FIND("CFW110",B142)+6))),
IF(ISNUMBER(FIND("D",B142)),
VALUE(SUBSTITUTE(MID(B142,FIND("D",B142)+1,FIND("T",B142,FIND("D",B142))-(FIND("D",B142)+1)),"P",",")),
IF(ISNUMBER(FIND("CFW5",B142)),
VALUE(MID(B142,
IF(ISNUMBER(FIND("F",B142)),FIND("F",B142)+1,FIND("G",B142)+1),
FIND("T",B142)-(IF(ISNUMBER(FIND("F",B142)),FIND("F",B142)+1,FIND("G",B142)+1))
)),
VALUE(MID(B142,FIND("E0",B142)+2,FIND("T",B142,FIND("E0",B142))-(FIND("E0",B142)+2)))
))),"")</f>
        <v>58</v>
      </c>
      <c r="G142">
        <f>IFERROR(
IF(ISNUMBER(FIND("T2",B142)),220,
IF(ISNUMBER(FIND("T4",B142)),440,
IF(ISNUMBER(FIND("T5",B142)),575,
IF(ISNUMBER(FIND("T6",B142)),690,"")))),
"")</f>
        <v>440</v>
      </c>
    </row>
    <row r="143" spans="1:7" x14ac:dyDescent="0.25">
      <c r="A143">
        <v>12884870</v>
      </c>
      <c r="B143" t="str">
        <f>VLOOKUP(A143,Planilha2!B:C,2,0)</f>
        <v>INVERSOR EUCFW110070T4OFASWZ</v>
      </c>
      <c r="C143" t="s">
        <v>1</v>
      </c>
      <c r="D143" t="str">
        <f>VLOOKUP(A143,Planilha2!B:H,7,0)</f>
        <v>LINHA M3</v>
      </c>
      <c r="E143" s="5">
        <v>31100</v>
      </c>
      <c r="F143">
        <f>IFERROR(
IF(ISNUMBER(FIND("CFW110",B143)),
VALUE(MID(B143,FIND("CFW110",B143)+6,FIND("T",B143,FIND("CFW110",B143))-(FIND("CFW110",B143)+6))),
IF(ISNUMBER(FIND("D",B143)),
VALUE(SUBSTITUTE(MID(B143,FIND("D",B143)+1,FIND("T",B143,FIND("D",B143))-(FIND("D",B143)+1)),"P",",")),
IF(ISNUMBER(FIND("CFW5",B143)),
VALUE(MID(B143,
IF(ISNUMBER(FIND("F",B143)),FIND("F",B143)+1,FIND("G",B143)+1),
FIND("T",B143)-(IF(ISNUMBER(FIND("F",B143)),FIND("F",B143)+1,FIND("G",B143)+1))
)),
VALUE(MID(B143,FIND("E0",B143)+2,FIND("T",B143,FIND("E0",B143))-(FIND("E0",B143)+2)))
))),"")</f>
        <v>70</v>
      </c>
      <c r="G143">
        <f>IFERROR(
IF(ISNUMBER(FIND("T2",B143)),220,
IF(ISNUMBER(FIND("T4",B143)),440,
IF(ISNUMBER(FIND("T5",B143)),575,
IF(ISNUMBER(FIND("T6",B143)),690,"")))),
"")</f>
        <v>440</v>
      </c>
    </row>
    <row r="144" spans="1:7" x14ac:dyDescent="0.25">
      <c r="A144">
        <v>12884871</v>
      </c>
      <c r="B144" t="str">
        <f>VLOOKUP(A144,Planilha2!B:C,2,0)</f>
        <v>INVERSOR EUCFW110088T4OFASWZ</v>
      </c>
      <c r="C144" t="s">
        <v>1</v>
      </c>
      <c r="D144" t="str">
        <f>VLOOKUP(A144,Planilha2!B:H,7,0)</f>
        <v>LINHA M3</v>
      </c>
      <c r="E144" s="5">
        <v>31100</v>
      </c>
      <c r="F144">
        <f>IFERROR(
IF(ISNUMBER(FIND("CFW110",B144)),
VALUE(MID(B144,FIND("CFW110",B144)+6,FIND("T",B144,FIND("CFW110",B144))-(FIND("CFW110",B144)+6))),
IF(ISNUMBER(FIND("D",B144)),
VALUE(SUBSTITUTE(MID(B144,FIND("D",B144)+1,FIND("T",B144,FIND("D",B144))-(FIND("D",B144)+1)),"P",",")),
IF(ISNUMBER(FIND("CFW5",B144)),
VALUE(MID(B144,
IF(ISNUMBER(FIND("F",B144)),FIND("F",B144)+1,FIND("G",B144)+1),
FIND("T",B144)-(IF(ISNUMBER(FIND("F",B144)),FIND("F",B144)+1,FIND("G",B144)+1))
)),
VALUE(MID(B144,FIND("E0",B144)+2,FIND("T",B144,FIND("E0",B144))-(FIND("E0",B144)+2)))
))),"")</f>
        <v>88</v>
      </c>
      <c r="G144">
        <f>IFERROR(
IF(ISNUMBER(FIND("T2",B144)),220,
IF(ISNUMBER(FIND("T4",B144)),440,
IF(ISNUMBER(FIND("T5",B144)),575,
IF(ISNUMBER(FIND("T6",B144)),690,"")))),
"")</f>
        <v>440</v>
      </c>
    </row>
    <row r="145" spans="1:7" x14ac:dyDescent="0.25">
      <c r="A145">
        <v>13111984</v>
      </c>
      <c r="B145" t="str">
        <f>VLOOKUP(A145,Planilha2!B:C,2,0)</f>
        <v>INVERSOR NACFW110022T5ONFZ</v>
      </c>
      <c r="C145" t="s">
        <v>1</v>
      </c>
      <c r="D145" t="str">
        <f>VLOOKUP(A145,Planilha2!B:H,7,0)</f>
        <v>LINHA M1</v>
      </c>
      <c r="E145" s="5">
        <v>26000</v>
      </c>
      <c r="F145">
        <f>IFERROR(
IF(ISNUMBER(FIND("CFW110",B145)),
VALUE(MID(B145,FIND("CFW110",B145)+6,FIND("T",B145,FIND("CFW110",B145))-(FIND("CFW110",B145)+6))),
IF(ISNUMBER(FIND("D",B145)),
VALUE(SUBSTITUTE(MID(B145,FIND("D",B145)+1,FIND("T",B145,FIND("D",B145))-(FIND("D",B145)+1)),"P",",")),
IF(ISNUMBER(FIND("CFW5",B145)),
VALUE(MID(B145,
IF(ISNUMBER(FIND("F",B145)),FIND("F",B145)+1,FIND("G",B145)+1),
FIND("T",B145)-(IF(ISNUMBER(FIND("F",B145)),FIND("F",B145)+1,FIND("G",B145)+1))
)),
VALUE(MID(B145,FIND("E0",B145)+2,FIND("T",B145,FIND("E0",B145))-(FIND("E0",B145)+2)))
))),"")</f>
        <v>22</v>
      </c>
      <c r="G145">
        <f>IFERROR(
IF(ISNUMBER(FIND("T2",B145)),220,
IF(ISNUMBER(FIND("T4",B145)),440,
IF(ISNUMBER(FIND("T5",B145)),575,
IF(ISNUMBER(FIND("T6",B145)),690,"")))),
"")</f>
        <v>575</v>
      </c>
    </row>
    <row r="146" spans="1:7" x14ac:dyDescent="0.25">
      <c r="A146">
        <v>13111985</v>
      </c>
      <c r="B146" t="str">
        <f>VLOOKUP(A146,Planilha2!B:C,2,0)</f>
        <v>INVERSOR NACFW110027T5ONFZ</v>
      </c>
      <c r="C146" t="s">
        <v>1</v>
      </c>
      <c r="D146" t="str">
        <f>VLOOKUP(A146,Planilha2!B:H,7,0)</f>
        <v>LINHA M1</v>
      </c>
      <c r="E146" s="5">
        <v>26000</v>
      </c>
      <c r="F146">
        <f>IFERROR(
IF(ISNUMBER(FIND("CFW110",B146)),
VALUE(MID(B146,FIND("CFW110",B146)+6,FIND("T",B146,FIND("CFW110",B146))-(FIND("CFW110",B146)+6))),
IF(ISNUMBER(FIND("D",B146)),
VALUE(SUBSTITUTE(MID(B146,FIND("D",B146)+1,FIND("T",B146,FIND("D",B146))-(FIND("D",B146)+1)),"P",",")),
IF(ISNUMBER(FIND("CFW5",B146)),
VALUE(MID(B146,
IF(ISNUMBER(FIND("F",B146)),FIND("F",B146)+1,FIND("G",B146)+1),
FIND("T",B146)-(IF(ISNUMBER(FIND("F",B146)),FIND("F",B146)+1,FIND("G",B146)+1))
)),
VALUE(MID(B146,FIND("E0",B146)+2,FIND("T",B146,FIND("E0",B146))-(FIND("E0",B146)+2)))
))),"")</f>
        <v>27</v>
      </c>
      <c r="G146">
        <f>IFERROR(
IF(ISNUMBER(FIND("T2",B146)),220,
IF(ISNUMBER(FIND("T4",B146)),440,
IF(ISNUMBER(FIND("T5",B146)),575,
IF(ISNUMBER(FIND("T6",B146)),690,"")))),
"")</f>
        <v>575</v>
      </c>
    </row>
    <row r="147" spans="1:7" x14ac:dyDescent="0.25">
      <c r="A147">
        <v>13111986</v>
      </c>
      <c r="B147" t="str">
        <f>VLOOKUP(A147,Planilha2!B:C,2,0)</f>
        <v>INVERSOR NACFW110032T5ONFZ</v>
      </c>
      <c r="C147" t="s">
        <v>1</v>
      </c>
      <c r="D147" t="str">
        <f>VLOOKUP(A147,Planilha2!B:H,7,0)</f>
        <v>LINHA M1</v>
      </c>
      <c r="E147" s="5">
        <v>26000</v>
      </c>
      <c r="F147">
        <f>IFERROR(
IF(ISNUMBER(FIND("CFW110",B147)),
VALUE(MID(B147,FIND("CFW110",B147)+6,FIND("T",B147,FIND("CFW110",B147))-(FIND("CFW110",B147)+6))),
IF(ISNUMBER(FIND("D",B147)),
VALUE(SUBSTITUTE(MID(B147,FIND("D",B147)+1,FIND("T",B147,FIND("D",B147))-(FIND("D",B147)+1)),"P",",")),
IF(ISNUMBER(FIND("CFW5",B147)),
VALUE(MID(B147,
IF(ISNUMBER(FIND("F",B147)),FIND("F",B147)+1,FIND("G",B147)+1),
FIND("T",B147)-(IF(ISNUMBER(FIND("F",B147)),FIND("F",B147)+1,FIND("G",B147)+1))
)),
VALUE(MID(B147,FIND("E0",B147)+2,FIND("T",B147,FIND("E0",B147))-(FIND("E0",B147)+2)))
))),"")</f>
        <v>32</v>
      </c>
      <c r="G147">
        <f>IFERROR(
IF(ISNUMBER(FIND("T2",B147)),220,
IF(ISNUMBER(FIND("T4",B147)),440,
IF(ISNUMBER(FIND("T5",B147)),575,
IF(ISNUMBER(FIND("T6",B147)),690,"")))),
"")</f>
        <v>575</v>
      </c>
    </row>
    <row r="148" spans="1:7" x14ac:dyDescent="0.25">
      <c r="A148">
        <v>13111987</v>
      </c>
      <c r="B148" t="str">
        <f>VLOOKUP(A148,Planilha2!B:C,2,0)</f>
        <v>INVERSOR NACFW110044T5ONFZ</v>
      </c>
      <c r="C148" t="s">
        <v>1</v>
      </c>
      <c r="D148" t="str">
        <f>VLOOKUP(A148,Planilha2!B:H,7,0)</f>
        <v>LINHA M1</v>
      </c>
      <c r="E148" s="5">
        <v>19000</v>
      </c>
      <c r="F148">
        <f>IFERROR(
IF(ISNUMBER(FIND("CFW110",B148)),
VALUE(MID(B148,FIND("CFW110",B148)+6,FIND("T",B148,FIND("CFW110",B148))-(FIND("CFW110",B148)+6))),
IF(ISNUMBER(FIND("D",B148)),
VALUE(SUBSTITUTE(MID(B148,FIND("D",B148)+1,FIND("T",B148,FIND("D",B148))-(FIND("D",B148)+1)),"P",",")),
IF(ISNUMBER(FIND("CFW5",B148)),
VALUE(MID(B148,
IF(ISNUMBER(FIND("F",B148)),FIND("F",B148)+1,FIND("G",B148)+1),
FIND("T",B148)-(IF(ISNUMBER(FIND("F",B148)),FIND("F",B148)+1,FIND("G",B148)+1))
)),
VALUE(MID(B148,FIND("E0",B148)+2,FIND("T",B148,FIND("E0",B148))-(FIND("E0",B148)+2)))
))),"")</f>
        <v>44</v>
      </c>
      <c r="G148">
        <f>IFERROR(
IF(ISNUMBER(FIND("T2",B148)),220,
IF(ISNUMBER(FIND("T4",B148)),440,
IF(ISNUMBER(FIND("T5",B148)),575,
IF(ISNUMBER(FIND("T6",B148)),690,"")))),
"")</f>
        <v>575</v>
      </c>
    </row>
    <row r="149" spans="1:7" x14ac:dyDescent="0.25">
      <c r="A149">
        <v>13107766</v>
      </c>
      <c r="B149" t="str">
        <f>VLOOKUP(A149,Planilha2!B:C,2,0)</f>
        <v>INVERSOR NACFW110022T5ON1NFZ</v>
      </c>
      <c r="C149" t="s">
        <v>1</v>
      </c>
      <c r="D149" t="str">
        <f>VLOOKUP(A149,Planilha2!B:H,7,0)</f>
        <v>LINHA M1</v>
      </c>
      <c r="E149" s="5">
        <v>26000</v>
      </c>
      <c r="F149">
        <f>IFERROR(
IF(ISNUMBER(FIND("CFW110",B149)),
VALUE(MID(B149,FIND("CFW110",B149)+6,FIND("T",B149,FIND("CFW110",B149))-(FIND("CFW110",B149)+6))),
IF(ISNUMBER(FIND("D",B149)),
VALUE(SUBSTITUTE(MID(B149,FIND("D",B149)+1,FIND("T",B149,FIND("D",B149))-(FIND("D",B149)+1)),"P",",")),
IF(ISNUMBER(FIND("CFW5",B149)),
VALUE(MID(B149,
IF(ISNUMBER(FIND("F",B149)),FIND("F",B149)+1,FIND("G",B149)+1),
FIND("T",B149)-(IF(ISNUMBER(FIND("F",B149)),FIND("F",B149)+1,FIND("G",B149)+1))
)),
VALUE(MID(B149,FIND("E0",B149)+2,FIND("T",B149,FIND("E0",B149))-(FIND("E0",B149)+2)))
))),"")</f>
        <v>22</v>
      </c>
      <c r="G149">
        <f>IFERROR(
IF(ISNUMBER(FIND("T2",B149)),220,
IF(ISNUMBER(FIND("T4",B149)),440,
IF(ISNUMBER(FIND("T5",B149)),575,
IF(ISNUMBER(FIND("T6",B149)),690,"")))),
"")</f>
        <v>575</v>
      </c>
    </row>
    <row r="150" spans="1:7" x14ac:dyDescent="0.25">
      <c r="A150">
        <v>13107778</v>
      </c>
      <c r="B150" t="str">
        <f>VLOOKUP(A150,Planilha2!B:C,2,0)</f>
        <v>INVERSOR NACFW110027T5ON1NFZ</v>
      </c>
      <c r="C150" t="s">
        <v>1</v>
      </c>
      <c r="D150" t="str">
        <f>VLOOKUP(A150,Planilha2!B:H,7,0)</f>
        <v>LINHA M1</v>
      </c>
      <c r="E150" s="5">
        <v>26000</v>
      </c>
      <c r="F150">
        <f>IFERROR(
IF(ISNUMBER(FIND("CFW110",B150)),
VALUE(MID(B150,FIND("CFW110",B150)+6,FIND("T",B150,FIND("CFW110",B150))-(FIND("CFW110",B150)+6))),
IF(ISNUMBER(FIND("D",B150)),
VALUE(SUBSTITUTE(MID(B150,FIND("D",B150)+1,FIND("T",B150,FIND("D",B150))-(FIND("D",B150)+1)),"P",",")),
IF(ISNUMBER(FIND("CFW5",B150)),
VALUE(MID(B150,
IF(ISNUMBER(FIND("F",B150)),FIND("F",B150)+1,FIND("G",B150)+1),
FIND("T",B150)-(IF(ISNUMBER(FIND("F",B150)),FIND("F",B150)+1,FIND("G",B150)+1))
)),
VALUE(MID(B150,FIND("E0",B150)+2,FIND("T",B150,FIND("E0",B150))-(FIND("E0",B150)+2)))
))),"")</f>
        <v>27</v>
      </c>
      <c r="G150">
        <f>IFERROR(
IF(ISNUMBER(FIND("T2",B150)),220,
IF(ISNUMBER(FIND("T4",B150)),440,
IF(ISNUMBER(FIND("T5",B150)),575,
IF(ISNUMBER(FIND("T6",B150)),690,"")))),
"")</f>
        <v>575</v>
      </c>
    </row>
    <row r="151" spans="1:7" x14ac:dyDescent="0.25">
      <c r="A151">
        <v>13107781</v>
      </c>
      <c r="B151" t="str">
        <f>VLOOKUP(A151,Planilha2!B:C,2,0)</f>
        <v>INVERSOR NACFW110032T5ON1NFZ</v>
      </c>
      <c r="C151" t="s">
        <v>1</v>
      </c>
      <c r="D151" t="str">
        <f>VLOOKUP(A151,Planilha2!B:H,7,0)</f>
        <v>LINHA M1</v>
      </c>
      <c r="E151" s="5">
        <v>26000</v>
      </c>
      <c r="F151">
        <f>IFERROR(
IF(ISNUMBER(FIND("CFW110",B151)),
VALUE(MID(B151,FIND("CFW110",B151)+6,FIND("T",B151,FIND("CFW110",B151))-(FIND("CFW110",B151)+6))),
IF(ISNUMBER(FIND("D",B151)),
VALUE(SUBSTITUTE(MID(B151,FIND("D",B151)+1,FIND("T",B151,FIND("D",B151))-(FIND("D",B151)+1)),"P",",")),
IF(ISNUMBER(FIND("CFW5",B151)),
VALUE(MID(B151,
IF(ISNUMBER(FIND("F",B151)),FIND("F",B151)+1,FIND("G",B151)+1),
FIND("T",B151)-(IF(ISNUMBER(FIND("F",B151)),FIND("F",B151)+1,FIND("G",B151)+1))
)),
VALUE(MID(B151,FIND("E0",B151)+2,FIND("T",B151,FIND("E0",B151))-(FIND("E0",B151)+2)))
))),"")</f>
        <v>32</v>
      </c>
      <c r="G151">
        <f>IFERROR(
IF(ISNUMBER(FIND("T2",B151)),220,
IF(ISNUMBER(FIND("T4",B151)),440,
IF(ISNUMBER(FIND("T5",B151)),575,
IF(ISNUMBER(FIND("T6",B151)),690,"")))),
"")</f>
        <v>575</v>
      </c>
    </row>
    <row r="152" spans="1:7" x14ac:dyDescent="0.25">
      <c r="A152">
        <v>13108091</v>
      </c>
      <c r="B152" t="str">
        <f>VLOOKUP(A152,Planilha2!B:C,2,0)</f>
        <v>INVERSOR NACFW110044T5ON1NFZ</v>
      </c>
      <c r="C152" t="s">
        <v>1</v>
      </c>
      <c r="D152" t="str">
        <f>VLOOKUP(A152,Planilha2!B:H,7,0)</f>
        <v>LINHA M1</v>
      </c>
      <c r="E152" s="5">
        <v>26000</v>
      </c>
      <c r="F152">
        <f>IFERROR(
IF(ISNUMBER(FIND("CFW110",B152)),
VALUE(MID(B152,FIND("CFW110",B152)+6,FIND("T",B152,FIND("CFW110",B152))-(FIND("CFW110",B152)+6))),
IF(ISNUMBER(FIND("D",B152)),
VALUE(SUBSTITUTE(MID(B152,FIND("D",B152)+1,FIND("T",B152,FIND("D",B152))-(FIND("D",B152)+1)),"P",",")),
IF(ISNUMBER(FIND("CFW5",B152)),
VALUE(MID(B152,
IF(ISNUMBER(FIND("F",B152)),FIND("F",B152)+1,FIND("G",B152)+1),
FIND("T",B152)-(IF(ISNUMBER(FIND("F",B152)),FIND("F",B152)+1,FIND("G",B152)+1))
)),
VALUE(MID(B152,FIND("E0",B152)+2,FIND("T",B152,FIND("E0",B152))-(FIND("E0",B152)+2)))
))),"")</f>
        <v>44</v>
      </c>
      <c r="G152">
        <f>IFERROR(
IF(ISNUMBER(FIND("T2",B152)),220,
IF(ISNUMBER(FIND("T4",B152)),440,
IF(ISNUMBER(FIND("T5",B152)),575,
IF(ISNUMBER(FIND("T6",B152)),690,"")))),
"")</f>
        <v>575</v>
      </c>
    </row>
    <row r="153" spans="1:7" x14ac:dyDescent="0.25">
      <c r="A153">
        <v>13198574</v>
      </c>
      <c r="B153" t="str">
        <f>VLOOKUP(A153,Planilha2!B:C,2,0)</f>
        <v>INVERSOR BRCFW110058T4OYS4Z</v>
      </c>
      <c r="C153" t="s">
        <v>1</v>
      </c>
      <c r="D153" t="str">
        <f>VLOOKUP(A153,Planilha2!B:H,7,0)</f>
        <v>LINHA M1</v>
      </c>
      <c r="E153" s="5">
        <v>20500</v>
      </c>
      <c r="F153">
        <f>IFERROR(
IF(ISNUMBER(FIND("CFW110",B153)),
VALUE(MID(B153,FIND("CFW110",B153)+6,FIND("T",B153,FIND("CFW110",B153))-(FIND("CFW110",B153)+6))),
IF(ISNUMBER(FIND("D",B153)),
VALUE(SUBSTITUTE(MID(B153,FIND("D",B153)+1,FIND("T",B153,FIND("D",B153))-(FIND("D",B153)+1)),"P",",")),
IF(ISNUMBER(FIND("CFW5",B153)),
VALUE(MID(B153,
IF(ISNUMBER(FIND("F",B153)),FIND("F",B153)+1,FIND("G",B153)+1),
FIND("T",B153)-(IF(ISNUMBER(FIND("F",B153)),FIND("F",B153)+1,FIND("G",B153)+1))
)),
VALUE(MID(B153,FIND("E0",B153)+2,FIND("T",B153,FIND("E0",B153))-(FIND("E0",B153)+2)))
))),"")</f>
        <v>58</v>
      </c>
      <c r="G153">
        <f>IFERROR(
IF(ISNUMBER(FIND("T2",B153)),220,
IF(ISNUMBER(FIND("T4",B153)),440,
IF(ISNUMBER(FIND("T5",B153)),575,
IF(ISNUMBER(FIND("T6",B153)),690,"")))),
"")</f>
        <v>440</v>
      </c>
    </row>
    <row r="154" spans="1:7" x14ac:dyDescent="0.25">
      <c r="A154">
        <v>13224785</v>
      </c>
      <c r="B154" t="str">
        <f>VLOOKUP(A154,Planilha2!B:C,2,0)</f>
        <v>INVERSOR MSCFW110070T4OSWZ</v>
      </c>
      <c r="C154" t="s">
        <v>1</v>
      </c>
      <c r="D154" t="str">
        <f>VLOOKUP(A154,Planilha2!B:H,7,0)</f>
        <v>LINHA M3</v>
      </c>
      <c r="E154" s="5">
        <v>31100</v>
      </c>
      <c r="F154">
        <f>IFERROR(
IF(ISNUMBER(FIND("CFW110",B154)),
VALUE(MID(B154,FIND("CFW110",B154)+6,FIND("T",B154,FIND("CFW110",B154))-(FIND("CFW110",B154)+6))),
IF(ISNUMBER(FIND("D",B154)),
VALUE(SUBSTITUTE(MID(B154,FIND("D",B154)+1,FIND("T",B154,FIND("D",B154))-(FIND("D",B154)+1)),"P",",")),
IF(ISNUMBER(FIND("CFW5",B154)),
VALUE(MID(B154,
IF(ISNUMBER(FIND("F",B154)),FIND("F",B154)+1,FIND("G",B154)+1),
FIND("T",B154)-(IF(ISNUMBER(FIND("F",B154)),FIND("F",B154)+1,FIND("G",B154)+1))
)),
VALUE(MID(B154,FIND("E0",B154)+2,FIND("T",B154,FIND("E0",B154))-(FIND("E0",B154)+2)))
))),"")</f>
        <v>70</v>
      </c>
      <c r="G154">
        <f>IFERROR(
IF(ISNUMBER(FIND("T2",B154)),220,
IF(ISNUMBER(FIND("T4",B154)),440,
IF(ISNUMBER(FIND("T5",B154)),575,
IF(ISNUMBER(FIND("T6",B154)),690,"")))),
"")</f>
        <v>440</v>
      </c>
    </row>
    <row r="155" spans="1:7" x14ac:dyDescent="0.25">
      <c r="A155">
        <v>12914570</v>
      </c>
      <c r="B155" t="str">
        <f>VLOOKUP(A155,Planilha2!B:C,2,0)</f>
        <v>INVERSOR CFW700C45P0T4DB20C3Y1HASC</v>
      </c>
      <c r="C155" t="s">
        <v>1</v>
      </c>
      <c r="D155" t="str">
        <f>VLOOKUP(A155,Planilha2!B:H,7,0)</f>
        <v>OBSOLETOS DRIVES</v>
      </c>
      <c r="E155" s="5">
        <v>20450</v>
      </c>
      <c r="F155" t="str">
        <f>IFERROR(
IF(ISNUMBER(FIND("CFW110",B155)),
VALUE(MID(B155,FIND("CFW110",B155)+6,FIND("T",B155,FIND("CFW110",B155))-(FIND("CFW110",B155)+6))),
IF(ISNUMBER(FIND("D",B155)),
VALUE(SUBSTITUTE(MID(B155,FIND("D",B155)+1,FIND("T",B155,FIND("D",B155))-(FIND("D",B155)+1)),"P",",")),
IF(ISNUMBER(FIND("CFW5",B155)),
VALUE(MID(B155,
IF(ISNUMBER(FIND("F",B155)),FIND("F",B155)+1,FIND("G",B155)+1),
FIND("T",B155)-(IF(ISNUMBER(FIND("F",B155)),FIND("F",B155)+1,FIND("G",B155)+1))
)),
VALUE(MID(B155,FIND("E0",B155)+2,FIND("T",B155,FIND("E0",B155))-(FIND("E0",B155)+2)))
))),"")</f>
        <v/>
      </c>
      <c r="G155">
        <f>IFERROR(
IF(ISNUMBER(FIND("T2",B155)),220,
IF(ISNUMBER(FIND("T4",B155)),440,
IF(ISNUMBER(FIND("T5",B155)),575,
IF(ISNUMBER(FIND("T6",B155)),690,"")))),
"")</f>
        <v>440</v>
      </c>
    </row>
    <row r="156" spans="1:7" x14ac:dyDescent="0.25">
      <c r="A156">
        <v>12913313</v>
      </c>
      <c r="B156" t="str">
        <f>VLOOKUP(A156,Planilha2!B:C,2,0)</f>
        <v>INVERSOR CFW700D88P0T4DBN1C3Y1HASC</v>
      </c>
      <c r="C156" t="s">
        <v>1</v>
      </c>
      <c r="D156" t="str">
        <f>VLOOKUP(A156,Planilha2!B:H,7,0)</f>
        <v>OBSOLETOS DRIVES</v>
      </c>
      <c r="E156" s="5">
        <v>65000</v>
      </c>
      <c r="F156">
        <f>IFERROR(
IF(ISNUMBER(FIND("CFW110",B156)),
VALUE(MID(B156,FIND("CFW110",B156)+6,FIND("T",B156,FIND("CFW110",B156))-(FIND("CFW110",B156)+6))),
IF(ISNUMBER(FIND("D",B156)),
VALUE(SUBSTITUTE(MID(B156,FIND("D",B156)+1,FIND("T",B156,FIND("D",B156))-(FIND("D",B156)+1)),"P",",")),
IF(ISNUMBER(FIND("CFW5",B156)),
VALUE(MID(B156,
IF(ISNUMBER(FIND("F",B156)),FIND("F",B156)+1,FIND("G",B156)+1),
FIND("T",B156)-(IF(ISNUMBER(FIND("F",B156)),FIND("F",B156)+1,FIND("G",B156)+1))
)),
VALUE(MID(B156,FIND("E0",B156)+2,FIND("T",B156,FIND("E0",B156))-(FIND("E0",B156)+2)))
))),"")</f>
        <v>88</v>
      </c>
      <c r="G156">
        <f>IFERROR(
IF(ISNUMBER(FIND("T2",B156)),220,
IF(ISNUMBER(FIND("T4",B156)),440,
IF(ISNUMBER(FIND("T5",B156)),575,
IF(ISNUMBER(FIND("T6",B156)),690,"")))),
"")</f>
        <v>440</v>
      </c>
    </row>
    <row r="157" spans="1:7" x14ac:dyDescent="0.25">
      <c r="A157">
        <v>12884629</v>
      </c>
      <c r="B157" t="str">
        <f>VLOOKUP(A157,Planilha2!B:C,2,0)</f>
        <v>INVERSOR BRCFW110070T4OSWZ</v>
      </c>
      <c r="C157" t="s">
        <v>1</v>
      </c>
      <c r="D157" t="str">
        <f>VLOOKUP(A157,Planilha2!B:H,7,0)</f>
        <v>LINHA M3</v>
      </c>
      <c r="E157" s="5">
        <v>31100</v>
      </c>
      <c r="F157">
        <f>IFERROR(
IF(ISNUMBER(FIND("CFW110",B157)),
VALUE(MID(B157,FIND("CFW110",B157)+6,FIND("T",B157,FIND("CFW110",B157))-(FIND("CFW110",B157)+6))),
IF(ISNUMBER(FIND("D",B157)),
VALUE(SUBSTITUTE(MID(B157,FIND("D",B157)+1,FIND("T",B157,FIND("D",B157))-(FIND("D",B157)+1)),"P",",")),
IF(ISNUMBER(FIND("CFW5",B157)),
VALUE(MID(B157,
IF(ISNUMBER(FIND("F",B157)),FIND("F",B157)+1,FIND("G",B157)+1),
FIND("T",B157)-(IF(ISNUMBER(FIND("F",B157)),FIND("F",B157)+1,FIND("G",B157)+1))
)),
VALUE(MID(B157,FIND("E0",B157)+2,FIND("T",B157,FIND("E0",B157))-(FIND("E0",B157)+2)))
))),"")</f>
        <v>70</v>
      </c>
      <c r="G157">
        <f>IFERROR(
IF(ISNUMBER(FIND("T2",B157)),220,
IF(ISNUMBER(FIND("T4",B157)),440,
IF(ISNUMBER(FIND("T5",B157)),575,
IF(ISNUMBER(FIND("T6",B157)),690,"")))),
"")</f>
        <v>440</v>
      </c>
    </row>
    <row r="158" spans="1:7" x14ac:dyDescent="0.25">
      <c r="A158">
        <v>12884628</v>
      </c>
      <c r="B158" t="str">
        <f>VLOOKUP(A158,Planilha2!B:C,2,0)</f>
        <v>INVERSOR BRCFW110058T4OSWZ</v>
      </c>
      <c r="C158" t="s">
        <v>1</v>
      </c>
      <c r="D158" t="str">
        <f>VLOOKUP(A158,Planilha2!B:H,7,0)</f>
        <v>LINHA M1</v>
      </c>
      <c r="E158" s="5">
        <v>20500</v>
      </c>
      <c r="F158">
        <f>IFERROR(
IF(ISNUMBER(FIND("CFW110",B158)),
VALUE(MID(B158,FIND("CFW110",B158)+6,FIND("T",B158,FIND("CFW110",B158))-(FIND("CFW110",B158)+6))),
IF(ISNUMBER(FIND("D",B158)),
VALUE(SUBSTITUTE(MID(B158,FIND("D",B158)+1,FIND("T",B158,FIND("D",B158))-(FIND("D",B158)+1)),"P",",")),
IF(ISNUMBER(FIND("CFW5",B158)),
VALUE(MID(B158,
IF(ISNUMBER(FIND("F",B158)),FIND("F",B158)+1,FIND("G",B158)+1),
FIND("T",B158)-(IF(ISNUMBER(FIND("F",B158)),FIND("F",B158)+1,FIND("G",B158)+1))
)),
VALUE(MID(B158,FIND("E0",B158)+2,FIND("T",B158,FIND("E0",B158))-(FIND("E0",B158)+2)))
))),"")</f>
        <v>58</v>
      </c>
      <c r="G158">
        <f>IFERROR(
IF(ISNUMBER(FIND("T2",B158)),220,
IF(ISNUMBER(FIND("T4",B158)),440,
IF(ISNUMBER(FIND("T5",B158)),575,
IF(ISNUMBER(FIND("T6",B158)),690,"")))),
"")</f>
        <v>440</v>
      </c>
    </row>
    <row r="159" spans="1:7" x14ac:dyDescent="0.25">
      <c r="A159">
        <v>12884617</v>
      </c>
      <c r="B159" t="str">
        <f>VLOOKUP(A159,Planilha2!B:C,2,0)</f>
        <v>INVERSOR BRCFW110045T4OSWZ</v>
      </c>
      <c r="C159" t="s">
        <v>1</v>
      </c>
      <c r="D159" t="str">
        <f>VLOOKUP(A159,Planilha2!B:H,7,0)</f>
        <v>LINHA M1</v>
      </c>
      <c r="E159" s="5">
        <v>19600</v>
      </c>
      <c r="F159">
        <f>IFERROR(
IF(ISNUMBER(FIND("CFW110",B159)),
VALUE(MID(B159,FIND("CFW110",B159)+6,FIND("T",B159,FIND("CFW110",B159))-(FIND("CFW110",B159)+6))),
IF(ISNUMBER(FIND("D",B159)),
VALUE(SUBSTITUTE(MID(B159,FIND("D",B159)+1,FIND("T",B159,FIND("D",B159))-(FIND("D",B159)+1)),"P",",")),
IF(ISNUMBER(FIND("CFW5",B159)),
VALUE(MID(B159,
IF(ISNUMBER(FIND("F",B159)),FIND("F",B159)+1,FIND("G",B159)+1),
FIND("T",B159)-(IF(ISNUMBER(FIND("F",B159)),FIND("F",B159)+1,FIND("G",B159)+1))
)),
VALUE(MID(B159,FIND("E0",B159)+2,FIND("T",B159,FIND("E0",B159))-(FIND("E0",B159)+2)))
))),"")</f>
        <v>45</v>
      </c>
      <c r="G159">
        <f>IFERROR(
IF(ISNUMBER(FIND("T2",B159)),220,
IF(ISNUMBER(FIND("T4",B159)),440,
IF(ISNUMBER(FIND("T5",B159)),575,
IF(ISNUMBER(FIND("T6",B159)),690,"")))),
"")</f>
        <v>440</v>
      </c>
    </row>
    <row r="160" spans="1:7" x14ac:dyDescent="0.25">
      <c r="A160">
        <v>12884614</v>
      </c>
      <c r="B160" t="str">
        <f>VLOOKUP(A160,Planilha2!B:C,2,0)</f>
        <v>INVERSOR BRCFW110038T4OSWZ</v>
      </c>
      <c r="C160" t="s">
        <v>1</v>
      </c>
      <c r="D160" t="str">
        <f>VLOOKUP(A160,Planilha2!B:H,7,0)</f>
        <v>LINHA M1</v>
      </c>
      <c r="E160" s="5">
        <v>16400</v>
      </c>
      <c r="F160">
        <f>IFERROR(
IF(ISNUMBER(FIND("CFW110",B160)),
VALUE(MID(B160,FIND("CFW110",B160)+6,FIND("T",B160,FIND("CFW110",B160))-(FIND("CFW110",B160)+6))),
IF(ISNUMBER(FIND("D",B160)),
VALUE(SUBSTITUTE(MID(B160,FIND("D",B160)+1,FIND("T",B160,FIND("D",B160))-(FIND("D",B160)+1)),"P",",")),
IF(ISNUMBER(FIND("CFW5",B160)),
VALUE(MID(B160,
IF(ISNUMBER(FIND("F",B160)),FIND("F",B160)+1,FIND("G",B160)+1),
FIND("T",B160)-(IF(ISNUMBER(FIND("F",B160)),FIND("F",B160)+1,FIND("G",B160)+1))
)),
VALUE(MID(B160,FIND("E0",B160)+2,FIND("T",B160,FIND("E0",B160))-(FIND("E0",B160)+2)))
))),"")</f>
        <v>38</v>
      </c>
      <c r="G160">
        <f>IFERROR(
IF(ISNUMBER(FIND("T2",B160)),220,
IF(ISNUMBER(FIND("T4",B160)),440,
IF(ISNUMBER(FIND("T5",B160)),575,
IF(ISNUMBER(FIND("T6",B160)),690,"")))),
"")</f>
        <v>440</v>
      </c>
    </row>
    <row r="161" spans="1:7" x14ac:dyDescent="0.25">
      <c r="A161">
        <v>12884631</v>
      </c>
      <c r="B161" t="str">
        <f>VLOOKUP(A161,Planilha2!B:C,2,0)</f>
        <v>INVERSOR BRCFW110088T4OSWZ</v>
      </c>
      <c r="C161" t="s">
        <v>1</v>
      </c>
      <c r="D161" t="str">
        <f>VLOOKUP(A161,Planilha2!B:H,7,0)</f>
        <v>LINHA M3</v>
      </c>
      <c r="E161" s="5">
        <v>32600</v>
      </c>
      <c r="F161">
        <f>IFERROR(
IF(ISNUMBER(FIND("CFW110",B161)),
VALUE(MID(B161,FIND("CFW110",B161)+6,FIND("T",B161,FIND("CFW110",B161))-(FIND("CFW110",B161)+6))),
IF(ISNUMBER(FIND("D",B161)),
VALUE(SUBSTITUTE(MID(B161,FIND("D",B161)+1,FIND("T",B161,FIND("D",B161))-(FIND("D",B161)+1)),"P",",")),
IF(ISNUMBER(FIND("CFW5",B161)),
VALUE(MID(B161,
IF(ISNUMBER(FIND("F",B161)),FIND("F",B161)+1,FIND("G",B161)+1),
FIND("T",B161)-(IF(ISNUMBER(FIND("F",B161)),FIND("F",B161)+1,FIND("G",B161)+1))
)),
VALUE(MID(B161,FIND("E0",B161)+2,FIND("T",B161,FIND("E0",B161))-(FIND("E0",B161)+2)))
))),"")</f>
        <v>88</v>
      </c>
      <c r="G161">
        <f>IFERROR(
IF(ISNUMBER(FIND("T2",B161)),220,
IF(ISNUMBER(FIND("T4",B161)),440,
IF(ISNUMBER(FIND("T5",B161)),575,
IF(ISNUMBER(FIND("T6",B161)),690,"")))),
"")</f>
        <v>440</v>
      </c>
    </row>
    <row r="162" spans="1:7" x14ac:dyDescent="0.25">
      <c r="A162">
        <v>12919060</v>
      </c>
      <c r="B162" t="str">
        <f>VLOOKUP(A162,Planilha2!B:C,2,0)</f>
        <v>INVERSOR BRCFW110086T2ON1SPZ</v>
      </c>
      <c r="C162" t="s">
        <v>1</v>
      </c>
      <c r="D162" t="str">
        <f>VLOOKUP(A162,Planilha2!B:H,7,0)</f>
        <v>LINHA M3</v>
      </c>
      <c r="E162" s="5">
        <v>52000</v>
      </c>
      <c r="F162">
        <f>IFERROR(
IF(ISNUMBER(FIND("CFW110",B162)),
VALUE(MID(B162,FIND("CFW110",B162)+6,FIND("T",B162,FIND("CFW110",B162))-(FIND("CFW110",B162)+6))),
IF(ISNUMBER(FIND("D",B162)),
VALUE(SUBSTITUTE(MID(B162,FIND("D",B162)+1,FIND("T",B162,FIND("D",B162))-(FIND("D",B162)+1)),"P",",")),
IF(ISNUMBER(FIND("CFW5",B162)),
VALUE(MID(B162,
IF(ISNUMBER(FIND("F",B162)),FIND("F",B162)+1,FIND("G",B162)+1),
FIND("T",B162)-(IF(ISNUMBER(FIND("F",B162)),FIND("F",B162)+1,FIND("G",B162)+1))
)),
VALUE(MID(B162,FIND("E0",B162)+2,FIND("T",B162,FIND("E0",B162))-(FIND("E0",B162)+2)))
))),"")</f>
        <v>86</v>
      </c>
      <c r="G162">
        <f>IFERROR(
IF(ISNUMBER(FIND("T2",B162)),220,
IF(ISNUMBER(FIND("T4",B162)),440,
IF(ISNUMBER(FIND("T5",B162)),575,
IF(ISNUMBER(FIND("T6",B162)),690,"")))),
"")</f>
        <v>220</v>
      </c>
    </row>
    <row r="163" spans="1:7" x14ac:dyDescent="0.25">
      <c r="A163">
        <v>12919061</v>
      </c>
      <c r="B163" t="str">
        <f>VLOOKUP(A163,Planilha2!B:C,2,0)</f>
        <v>INVERSOR BRCFW110105T2ON1SPZ</v>
      </c>
      <c r="C163" t="s">
        <v>1</v>
      </c>
      <c r="D163" t="str">
        <f>VLOOKUP(A163,Planilha2!B:H,7,0)</f>
        <v>LINHA M3</v>
      </c>
      <c r="E163" s="5">
        <v>53900</v>
      </c>
      <c r="F163">
        <f>IFERROR(
IF(ISNUMBER(FIND("CFW110",B163)),
VALUE(MID(B163,FIND("CFW110",B163)+6,FIND("T",B163,FIND("CFW110",B163))-(FIND("CFW110",B163)+6))),
IF(ISNUMBER(FIND("D",B163)),
VALUE(SUBSTITUTE(MID(B163,FIND("D",B163)+1,FIND("T",B163,FIND("D",B163))-(FIND("D",B163)+1)),"P",",")),
IF(ISNUMBER(FIND("CFW5",B163)),
VALUE(MID(B163,
IF(ISNUMBER(FIND("F",B163)),FIND("F",B163)+1,FIND("G",B163)+1),
FIND("T",B163)-(IF(ISNUMBER(FIND("F",B163)),FIND("F",B163)+1,FIND("G",B163)+1))
)),
VALUE(MID(B163,FIND("E0",B163)+2,FIND("T",B163,FIND("E0",B163))-(FIND("E0",B163)+2)))
))),"")</f>
        <v>105</v>
      </c>
      <c r="G163">
        <f>IFERROR(
IF(ISNUMBER(FIND("T2",B163)),220,
IF(ISNUMBER(FIND("T4",B163)),440,
IF(ISNUMBER(FIND("T5",B163)),575,
IF(ISNUMBER(FIND("T6",B163)),690,"")))),
"")</f>
        <v>220</v>
      </c>
    </row>
    <row r="164" spans="1:7" x14ac:dyDescent="0.25">
      <c r="A164">
        <v>12954027</v>
      </c>
      <c r="B164" t="str">
        <f>VLOOKUP(A164,Planilha2!B:C,2,0)</f>
        <v>INVERSOR CFW701D86P0T2DB55C3</v>
      </c>
      <c r="C164" t="s">
        <v>1</v>
      </c>
      <c r="D164" t="str">
        <f>VLOOKUP(A164,Planilha2!B:H,7,0)</f>
        <v>OBSOLETOS DRIVES</v>
      </c>
      <c r="E164" s="5">
        <v>42000</v>
      </c>
      <c r="F164">
        <f>IFERROR(
IF(ISNUMBER(FIND("CFW110",B164)),
VALUE(MID(B164,FIND("CFW110",B164)+6,FIND("T",B164,FIND("CFW110",B164))-(FIND("CFW110",B164)+6))),
IF(ISNUMBER(FIND("D",B164)),
VALUE(SUBSTITUTE(MID(B164,FIND("D",B164)+1,FIND("T",B164,FIND("D",B164))-(FIND("D",B164)+1)),"P",",")),
IF(ISNUMBER(FIND("CFW5",B164)),
VALUE(MID(B164,
IF(ISNUMBER(FIND("F",B164)),FIND("F",B164)+1,FIND("G",B164)+1),
FIND("T",B164)-(IF(ISNUMBER(FIND("F",B164)),FIND("F",B164)+1,FIND("G",B164)+1))
)),
VALUE(MID(B164,FIND("E0",B164)+2,FIND("T",B164,FIND("E0",B164))-(FIND("E0",B164)+2)))
))),"")</f>
        <v>86</v>
      </c>
      <c r="G164">
        <f>IFERROR(
IF(ISNUMBER(FIND("T2",B164)),220,
IF(ISNUMBER(FIND("T4",B164)),440,
IF(ISNUMBER(FIND("T5",B164)),575,
IF(ISNUMBER(FIND("T6",B164)),690,"")))),
"")</f>
        <v>220</v>
      </c>
    </row>
    <row r="165" spans="1:7" x14ac:dyDescent="0.25">
      <c r="A165">
        <v>13617595</v>
      </c>
      <c r="B165" t="str">
        <f>VLOOKUP(A165,Planilha2!B:C,2,0)</f>
        <v>INVERSOR BRCFW110070T4OYZ-UI</v>
      </c>
      <c r="C165" t="s">
        <v>1</v>
      </c>
      <c r="D165" t="str">
        <f>VLOOKUP(A165,Planilha2!B:H,7,0)</f>
        <v>LINHA M3</v>
      </c>
      <c r="E165" s="5">
        <v>26000</v>
      </c>
      <c r="F165">
        <f>IFERROR(
IF(ISNUMBER(FIND("CFW110",B165)),
VALUE(MID(B165,FIND("CFW110",B165)+6,FIND("T",B165,FIND("CFW110",B165))-(FIND("CFW110",B165)+6))),
IF(ISNUMBER(FIND("D",B165)),
VALUE(SUBSTITUTE(MID(B165,FIND("D",B165)+1,FIND("T",B165,FIND("D",B165))-(FIND("D",B165)+1)),"P",",")),
IF(ISNUMBER(FIND("CFW5",B165)),
VALUE(MID(B165,
IF(ISNUMBER(FIND("F",B165)),FIND("F",B165)+1,FIND("G",B165)+1),
FIND("T",B165)-(IF(ISNUMBER(FIND("F",B165)),FIND("F",B165)+1,FIND("G",B165)+1))
)),
VALUE(MID(B165,FIND("E0",B165)+2,FIND("T",B165,FIND("E0",B165))-(FIND("E0",B165)+2)))
))),"")</f>
        <v>70</v>
      </c>
      <c r="G165">
        <f>IFERROR(
IF(ISNUMBER(FIND("T2",B165)),220,
IF(ISNUMBER(FIND("T4",B165)),440,
IF(ISNUMBER(FIND("T5",B165)),575,
IF(ISNUMBER(FIND("T6",B165)),690,"")))),
"")</f>
        <v>440</v>
      </c>
    </row>
    <row r="166" spans="1:7" x14ac:dyDescent="0.25">
      <c r="A166">
        <v>11988846</v>
      </c>
      <c r="B166" t="str">
        <f>VLOOKUP(A166,Planilha2!B:C,2,0)</f>
        <v>INVERSOR EUCFW110002T6OYZ</v>
      </c>
      <c r="C166" t="s">
        <v>1</v>
      </c>
      <c r="D166" t="str">
        <f>VLOOKUP(A166,Planilha2!B:H,7,0)</f>
        <v>LINHA M3</v>
      </c>
      <c r="E166" s="5">
        <v>29500</v>
      </c>
      <c r="F166">
        <f>IFERROR(
IF(ISNUMBER(FIND("CFW110",B166)),
VALUE(MID(B166,FIND("CFW110",B166)+6,FIND("T",B166,FIND("CFW110",B166))-(FIND("CFW110",B166)+6))),
IF(ISNUMBER(FIND("D",B166)),
VALUE(SUBSTITUTE(MID(B166,FIND("D",B166)+1,FIND("T",B166,FIND("D",B166))-(FIND("D",B166)+1)),"P",",")),
IF(ISNUMBER(FIND("CFW5",B166)),
VALUE(MID(B166,
IF(ISNUMBER(FIND("F",B166)),FIND("F",B166)+1,FIND("G",B166)+1),
FIND("T",B166)-(IF(ISNUMBER(FIND("F",B166)),FIND("F",B166)+1,FIND("G",B166)+1))
)),
VALUE(MID(B166,FIND("E0",B166)+2,FIND("T",B166,FIND("E0",B166))-(FIND("E0",B166)+2)))
))),"")</f>
        <v>2</v>
      </c>
      <c r="G166">
        <f>IFERROR(
IF(ISNUMBER(FIND("T2",B166)),220,
IF(ISNUMBER(FIND("T4",B166)),440,
IF(ISNUMBER(FIND("T5",B166)),575,
IF(ISNUMBER(FIND("T6",B166)),690,"")))),
"")</f>
        <v>690</v>
      </c>
    </row>
    <row r="167" spans="1:7" x14ac:dyDescent="0.25">
      <c r="A167">
        <v>13638680</v>
      </c>
      <c r="B167" t="str">
        <f>VLOOKUP(A167,Planilha2!B:C,2,0)</f>
        <v>INVERSOR EUCFW110027T6OSWZ</v>
      </c>
      <c r="C167" t="s">
        <v>1</v>
      </c>
      <c r="D167" t="str">
        <f>VLOOKUP(A167,Planilha2!B:H,7,0)</f>
        <v>LINHA M3</v>
      </c>
      <c r="E167" s="5">
        <v>31280</v>
      </c>
      <c r="F167">
        <f>IFERROR(
IF(ISNUMBER(FIND("CFW110",B167)),
VALUE(MID(B167,FIND("CFW110",B167)+6,FIND("T",B167,FIND("CFW110",B167))-(FIND("CFW110",B167)+6))),
IF(ISNUMBER(FIND("D",B167)),
VALUE(SUBSTITUTE(MID(B167,FIND("D",B167)+1,FIND("T",B167,FIND("D",B167))-(FIND("D",B167)+1)),"P",",")),
IF(ISNUMBER(FIND("CFW5",B167)),
VALUE(MID(B167,
IF(ISNUMBER(FIND("F",B167)),FIND("F",B167)+1,FIND("G",B167)+1),
FIND("T",B167)-(IF(ISNUMBER(FIND("F",B167)),FIND("F",B167)+1,FIND("G",B167)+1))
)),
VALUE(MID(B167,FIND("E0",B167)+2,FIND("T",B167,FIND("E0",B167))-(FIND("E0",B167)+2)))
))),"")</f>
        <v>27</v>
      </c>
      <c r="G167">
        <f>IFERROR(
IF(ISNUMBER(FIND("T2",B167)),220,
IF(ISNUMBER(FIND("T4",B167)),440,
IF(ISNUMBER(FIND("T5",B167)),575,
IF(ISNUMBER(FIND("T6",B167)),690,"")))),
"")</f>
        <v>690</v>
      </c>
    </row>
    <row r="168" spans="1:7" x14ac:dyDescent="0.25">
      <c r="A168">
        <v>13659099</v>
      </c>
      <c r="B168" t="str">
        <f>VLOOKUP(A168,Planilha2!B:C,2,0)</f>
        <v>INVERSOR MSCFW110070T4OFAYWZ-UI</v>
      </c>
      <c r="C168" t="s">
        <v>1</v>
      </c>
      <c r="D168" t="str">
        <f>VLOOKUP(A168,Planilha2!B:H,7,0)</f>
        <v>LINHA M3</v>
      </c>
      <c r="E168" s="5">
        <v>26461</v>
      </c>
      <c r="F168">
        <f>IFERROR(
IF(ISNUMBER(FIND("CFW110",B168)),
VALUE(MID(B168,FIND("CFW110",B168)+6,FIND("T",B168,FIND("CFW110",B168))-(FIND("CFW110",B168)+6))),
IF(ISNUMBER(FIND("D",B168)),
VALUE(SUBSTITUTE(MID(B168,FIND("D",B168)+1,FIND("T",B168,FIND("D",B168))-(FIND("D",B168)+1)),"P",",")),
IF(ISNUMBER(FIND("CFW5",B168)),
VALUE(MID(B168,
IF(ISNUMBER(FIND("F",B168)),FIND("F",B168)+1,FIND("G",B168)+1),
FIND("T",B168)-(IF(ISNUMBER(FIND("F",B168)),FIND("F",B168)+1,FIND("G",B168)+1))
)),
VALUE(MID(B168,FIND("E0",B168)+2,FIND("T",B168,FIND("E0",B168))-(FIND("E0",B168)+2)))
))),"")</f>
        <v>70</v>
      </c>
      <c r="G168">
        <f>IFERROR(
IF(ISNUMBER(FIND("T2",B168)),220,
IF(ISNUMBER(FIND("T4",B168)),440,
IF(ISNUMBER(FIND("T5",B168)),575,
IF(ISNUMBER(FIND("T6",B168)),690,"")))),
"")</f>
        <v>440</v>
      </c>
    </row>
    <row r="169" spans="1:7" x14ac:dyDescent="0.25">
      <c r="A169">
        <v>11996014</v>
      </c>
      <c r="B169" t="str">
        <f>VLOOKUP(A169,Planilha2!B:C,2,0)</f>
        <v>INVERSOR SACFW110004T5ONFYZ</v>
      </c>
      <c r="C169" t="s">
        <v>1</v>
      </c>
      <c r="D169" t="str">
        <f>VLOOKUP(A169,Planilha2!B:H,7,0)</f>
        <v>LINHA P7</v>
      </c>
      <c r="E169" s="5">
        <v>11940</v>
      </c>
      <c r="F169">
        <f>IFERROR(
IF(ISNUMBER(FIND("CFW110",B169)),
VALUE(MID(B169,FIND("CFW110",B169)+6,FIND("T",B169,FIND("CFW110",B169))-(FIND("CFW110",B169)+6))),
IF(ISNUMBER(FIND("D",B169)),
VALUE(SUBSTITUTE(MID(B169,FIND("D",B169)+1,FIND("T",B169,FIND("D",B169))-(FIND("D",B169)+1)),"P",",")),
IF(ISNUMBER(FIND("CFW5",B169)),
VALUE(MID(B169,
IF(ISNUMBER(FIND("F",B169)),FIND("F",B169)+1,FIND("G",B169)+1),
FIND("T",B169)-(IF(ISNUMBER(FIND("F",B169)),FIND("F",B169)+1,FIND("G",B169)+1))
)),
VALUE(MID(B169,FIND("E0",B169)+2,FIND("T",B169,FIND("E0",B169))-(FIND("E0",B169)+2)))
))),"")</f>
        <v>4</v>
      </c>
      <c r="G169">
        <f>IFERROR(
IF(ISNUMBER(FIND("T2",B169)),220,
IF(ISNUMBER(FIND("T4",B169)),440,
IF(ISNUMBER(FIND("T5",B169)),575,
IF(ISNUMBER(FIND("T6",B169)),690,"")))),
"")</f>
        <v>575</v>
      </c>
    </row>
    <row r="170" spans="1:7" x14ac:dyDescent="0.25">
      <c r="A170">
        <v>13681911</v>
      </c>
      <c r="B170" t="str">
        <f>VLOOKUP(A170,Planilha2!B:C,2,0)</f>
        <v>INVERSOR BRCFW110086T2OFAZ-UI</v>
      </c>
      <c r="C170" t="s">
        <v>1</v>
      </c>
      <c r="D170" t="str">
        <f>VLOOKUP(A170,Planilha2!B:H,7,0)</f>
        <v>LINHA M3</v>
      </c>
      <c r="E170" s="5">
        <v>29500</v>
      </c>
      <c r="F170">
        <f>IFERROR(
IF(ISNUMBER(FIND("CFW110",B170)),
VALUE(MID(B170,FIND("CFW110",B170)+6,FIND("T",B170,FIND("CFW110",B170))-(FIND("CFW110",B170)+6))),
IF(ISNUMBER(FIND("D",B170)),
VALUE(SUBSTITUTE(MID(B170,FIND("D",B170)+1,FIND("T",B170,FIND("D",B170))-(FIND("D",B170)+1)),"P",",")),
IF(ISNUMBER(FIND("CFW5",B170)),
VALUE(MID(B170,
IF(ISNUMBER(FIND("F",B170)),FIND("F",B170)+1,FIND("G",B170)+1),
FIND("T",B170)-(IF(ISNUMBER(FIND("F",B170)),FIND("F",B170)+1,FIND("G",B170)+1))
)),
VALUE(MID(B170,FIND("E0",B170)+2,FIND("T",B170,FIND("E0",B170))-(FIND("E0",B170)+2)))
))),"")</f>
        <v>86</v>
      </c>
      <c r="G170">
        <f>IFERROR(
IF(ISNUMBER(FIND("T2",B170)),220,
IF(ISNUMBER(FIND("T4",B170)),440,
IF(ISNUMBER(FIND("T5",B170)),575,
IF(ISNUMBER(FIND("T6",B170)),690,"")))),
"")</f>
        <v>220</v>
      </c>
    </row>
    <row r="171" spans="1:7" x14ac:dyDescent="0.25">
      <c r="A171">
        <v>13707184</v>
      </c>
      <c r="B171" t="str">
        <f>VLOOKUP(A171,Planilha2!B:C,2,0)</f>
        <v>INVERSOR BRCFW110054T2OYWZ</v>
      </c>
      <c r="C171" t="s">
        <v>1</v>
      </c>
      <c r="D171" t="str">
        <f>VLOOKUP(A171,Planilha2!B:H,7,0)</f>
        <v>LINHA M1</v>
      </c>
      <c r="E171" s="5">
        <v>16000</v>
      </c>
      <c r="F171">
        <f>IFERROR(
IF(ISNUMBER(FIND("CFW110",B171)),
VALUE(MID(B171,FIND("CFW110",B171)+6,FIND("T",B171,FIND("CFW110",B171))-(FIND("CFW110",B171)+6))),
IF(ISNUMBER(FIND("D",B171)),
VALUE(SUBSTITUTE(MID(B171,FIND("D",B171)+1,FIND("T",B171,FIND("D",B171))-(FIND("D",B171)+1)),"P",",")),
IF(ISNUMBER(FIND("CFW5",B171)),
VALUE(MID(B171,
IF(ISNUMBER(FIND("F",B171)),FIND("F",B171)+1,FIND("G",B171)+1),
FIND("T",B171)-(IF(ISNUMBER(FIND("F",B171)),FIND("F",B171)+1,FIND("G",B171)+1))
)),
VALUE(MID(B171,FIND("E0",B171)+2,FIND("T",B171,FIND("E0",B171))-(FIND("E0",B171)+2)))
))),"")</f>
        <v>54</v>
      </c>
      <c r="G171">
        <f>IFERROR(
IF(ISNUMBER(FIND("T2",B171)),220,
IF(ISNUMBER(FIND("T4",B171)),440,
IF(ISNUMBER(FIND("T5",B171)),575,
IF(ISNUMBER(FIND("T6",B171)),690,"")))),
"")</f>
        <v>220</v>
      </c>
    </row>
    <row r="172" spans="1:7" x14ac:dyDescent="0.25">
      <c r="A172">
        <v>13734705</v>
      </c>
      <c r="B172" t="str">
        <f>VLOOKUP(A172,Planilha2!B:C,2,0)</f>
        <v>INVERSOR CFW700D0105T2DBN1Y1-UI</v>
      </c>
      <c r="C172" t="s">
        <v>1</v>
      </c>
      <c r="D172" t="str">
        <f>VLOOKUP(A172,Planilha2!B:H,7,0)</f>
        <v>LINHA M3</v>
      </c>
      <c r="E172" s="5">
        <v>69100</v>
      </c>
      <c r="F172">
        <f>IFERROR(
IF(ISNUMBER(FIND("CFW110",B172)),
VALUE(MID(B172,FIND("CFW110",B172)+6,FIND("T",B172,FIND("CFW110",B172))-(FIND("CFW110",B172)+6))),
IF(ISNUMBER(FIND("D",B172)),
VALUE(SUBSTITUTE(MID(B172,FIND("D",B172)+1,FIND("T",B172,FIND("D",B172))-(FIND("D",B172)+1)),"P",",")),
IF(ISNUMBER(FIND("CFW5",B172)),
VALUE(MID(B172,
IF(ISNUMBER(FIND("F",B172)),FIND("F",B172)+1,FIND("G",B172)+1),
FIND("T",B172)-(IF(ISNUMBER(FIND("F",B172)),FIND("F",B172)+1,FIND("G",B172)+1))
)),
VALUE(MID(B172,FIND("E0",B172)+2,FIND("T",B172,FIND("E0",B172))-(FIND("E0",B172)+2)))
))),"")</f>
        <v>105</v>
      </c>
      <c r="G172">
        <f>IFERROR(
IF(ISNUMBER(FIND("T2",B172)),220,
IF(ISNUMBER(FIND("T4",B172)),440,
IF(ISNUMBER(FIND("T5",B172)),575,
IF(ISNUMBER(FIND("T6",B172)),690,"")))),
"")</f>
        <v>220</v>
      </c>
    </row>
    <row r="173" spans="1:7" x14ac:dyDescent="0.25">
      <c r="A173">
        <v>13732462</v>
      </c>
      <c r="B173" t="str">
        <f>VLOOKUP(A173,Planilha2!B:C,2,0)</f>
        <v>INVERSOR BRCFW110088T4OFAYECZ</v>
      </c>
      <c r="C173" t="s">
        <v>1</v>
      </c>
      <c r="D173" t="str">
        <f>VLOOKUP(A173,Planilha2!B:H,7,0)</f>
        <v>LINHA M3</v>
      </c>
      <c r="E173" s="5">
        <v>32600</v>
      </c>
      <c r="F173">
        <f>IFERROR(
IF(ISNUMBER(FIND("CFW110",B173)),
VALUE(MID(B173,FIND("CFW110",B173)+6,FIND("T",B173,FIND("CFW110",B173))-(FIND("CFW110",B173)+6))),
IF(ISNUMBER(FIND("D",B173)),
VALUE(SUBSTITUTE(MID(B173,FIND("D",B173)+1,FIND("T",B173,FIND("D",B173))-(FIND("D",B173)+1)),"P",",")),
IF(ISNUMBER(FIND("CFW5",B173)),
VALUE(MID(B173,
IF(ISNUMBER(FIND("F",B173)),FIND("F",B173)+1,FIND("G",B173)+1),
FIND("T",B173)-(IF(ISNUMBER(FIND("F",B173)),FIND("F",B173)+1,FIND("G",B173)+1))
)),
VALUE(MID(B173,FIND("E0",B173)+2,FIND("T",B173,FIND("E0",B173))-(FIND("E0",B173)+2)))
))),"")</f>
        <v>88</v>
      </c>
      <c r="G173">
        <f>IFERROR(
IF(ISNUMBER(FIND("T2",B173)),220,
IF(ISNUMBER(FIND("T4",B173)),440,
IF(ISNUMBER(FIND("T5",B173)),575,
IF(ISNUMBER(FIND("T6",B173)),690,"")))),
"")</f>
        <v>440</v>
      </c>
    </row>
    <row r="174" spans="1:7" x14ac:dyDescent="0.25">
      <c r="A174">
        <v>13747508</v>
      </c>
      <c r="B174" t="str">
        <f>VLOOKUP(A174,Planilha2!B:C,2,0)</f>
        <v>INVERSOR BRCFW110088T4OFAH4SMZ</v>
      </c>
      <c r="C174" t="s">
        <v>1</v>
      </c>
      <c r="D174" t="str">
        <f>VLOOKUP(A174,Planilha2!B:H,7,0)</f>
        <v>LINHA M3</v>
      </c>
      <c r="E174" s="5">
        <v>28213</v>
      </c>
      <c r="F174">
        <f>IFERROR(
IF(ISNUMBER(FIND("CFW110",B174)),
VALUE(MID(B174,FIND("CFW110",B174)+6,FIND("T",B174,FIND("CFW110",B174))-(FIND("CFW110",B174)+6))),
IF(ISNUMBER(FIND("D",B174)),
VALUE(SUBSTITUTE(MID(B174,FIND("D",B174)+1,FIND("T",B174,FIND("D",B174))-(FIND("D",B174)+1)),"P",",")),
IF(ISNUMBER(FIND("CFW5",B174)),
VALUE(MID(B174,
IF(ISNUMBER(FIND("F",B174)),FIND("F",B174)+1,FIND("G",B174)+1),
FIND("T",B174)-(IF(ISNUMBER(FIND("F",B174)),FIND("F",B174)+1,FIND("G",B174)+1))
)),
VALUE(MID(B174,FIND("E0",B174)+2,FIND("T",B174,FIND("E0",B174))-(FIND("E0",B174)+2)))
))),"")</f>
        <v>88</v>
      </c>
      <c r="G174">
        <f>IFERROR(
IF(ISNUMBER(FIND("T2",B174)),220,
IF(ISNUMBER(FIND("T4",B174)),440,
IF(ISNUMBER(FIND("T5",B174)),575,
IF(ISNUMBER(FIND("T6",B174)),690,"")))),
"")</f>
        <v>440</v>
      </c>
    </row>
    <row r="175" spans="1:7" x14ac:dyDescent="0.25">
      <c r="A175">
        <v>13784724</v>
      </c>
      <c r="B175" t="str">
        <f>VLOOKUP(A175,Planilha2!B:C,2,0)</f>
        <v>INVERSOR BRCFW110058T4OYWZ</v>
      </c>
      <c r="C175" t="s">
        <v>1</v>
      </c>
      <c r="D175" t="str">
        <f>VLOOKUP(A175,Planilha2!B:H,7,0)</f>
        <v>LINHA M1</v>
      </c>
      <c r="E175" s="5">
        <v>45460</v>
      </c>
      <c r="F175">
        <f>IFERROR(
IF(ISNUMBER(FIND("CFW110",B175)),
VALUE(MID(B175,FIND("CFW110",B175)+6,FIND("T",B175,FIND("CFW110",B175))-(FIND("CFW110",B175)+6))),
IF(ISNUMBER(FIND("D",B175)),
VALUE(SUBSTITUTE(MID(B175,FIND("D",B175)+1,FIND("T",B175,FIND("D",B175))-(FIND("D",B175)+1)),"P",",")),
IF(ISNUMBER(FIND("CFW5",B175)),
VALUE(MID(B175,
IF(ISNUMBER(FIND("F",B175)),FIND("F",B175)+1,FIND("G",B175)+1),
FIND("T",B175)-(IF(ISNUMBER(FIND("F",B175)),FIND("F",B175)+1,FIND("G",B175)+1))
)),
VALUE(MID(B175,FIND("E0",B175)+2,FIND("T",B175,FIND("E0",B175))-(FIND("E0",B175)+2)))
))),"")</f>
        <v>58</v>
      </c>
      <c r="G175">
        <f>IFERROR(
IF(ISNUMBER(FIND("T2",B175)),220,
IF(ISNUMBER(FIND("T4",B175)),440,
IF(ISNUMBER(FIND("T5",B175)),575,
IF(ISNUMBER(FIND("T6",B175)),690,"")))),
"")</f>
        <v>440</v>
      </c>
    </row>
    <row r="176" spans="1:7" x14ac:dyDescent="0.25">
      <c r="A176">
        <v>13765018</v>
      </c>
      <c r="B176" t="str">
        <f>VLOOKUP(A176,Planilha2!B:C,2,0)</f>
        <v>INVERSOR BRCFW110105T2OH4Z</v>
      </c>
      <c r="C176" t="s">
        <v>1</v>
      </c>
      <c r="D176" t="str">
        <f>VLOOKUP(A176,Planilha2!B:H,7,0)</f>
        <v>LINHA M3</v>
      </c>
      <c r="E176" s="5">
        <v>26360</v>
      </c>
      <c r="F176">
        <f>IFERROR(
IF(ISNUMBER(FIND("CFW110",B176)),
VALUE(MID(B176,FIND("CFW110",B176)+6,FIND("T",B176,FIND("CFW110",B176))-(FIND("CFW110",B176)+6))),
IF(ISNUMBER(FIND("D",B176)),
VALUE(SUBSTITUTE(MID(B176,FIND("D",B176)+1,FIND("T",B176,FIND("D",B176))-(FIND("D",B176)+1)),"P",",")),
IF(ISNUMBER(FIND("CFW5",B176)),
VALUE(MID(B176,
IF(ISNUMBER(FIND("F",B176)),FIND("F",B176)+1,FIND("G",B176)+1),
FIND("T",B176)-(IF(ISNUMBER(FIND("F",B176)),FIND("F",B176)+1,FIND("G",B176)+1))
)),
VALUE(MID(B176,FIND("E0",B176)+2,FIND("T",B176,FIND("E0",B176))-(FIND("E0",B176)+2)))
))),"")</f>
        <v>105</v>
      </c>
      <c r="G176">
        <f>IFERROR(
IF(ISNUMBER(FIND("T2",B176)),220,
IF(ISNUMBER(FIND("T4",B176)),440,
IF(ISNUMBER(FIND("T5",B176)),575,
IF(ISNUMBER(FIND("T6",B176)),690,"")))),
"")</f>
        <v>220</v>
      </c>
    </row>
    <row r="177" spans="1:7" x14ac:dyDescent="0.25">
      <c r="A177">
        <v>13765024</v>
      </c>
      <c r="B177" t="str">
        <f>VLOOKUP(A177,Planilha2!B:C,2,0)</f>
        <v>INVERSOR BRCFW110045T4OH4Z</v>
      </c>
      <c r="C177" t="s">
        <v>1</v>
      </c>
      <c r="D177" t="str">
        <f>VLOOKUP(A177,Planilha2!B:H,7,0)</f>
        <v>LINHA M1</v>
      </c>
      <c r="E177" s="5">
        <v>4860</v>
      </c>
      <c r="F177">
        <f>IFERROR(
IF(ISNUMBER(FIND("CFW110",B177)),
VALUE(MID(B177,FIND("CFW110",B177)+6,FIND("T",B177,FIND("CFW110",B177))-(FIND("CFW110",B177)+6))),
IF(ISNUMBER(FIND("D",B177)),
VALUE(SUBSTITUTE(MID(B177,FIND("D",B177)+1,FIND("T",B177,FIND("D",B177))-(FIND("D",B177)+1)),"P",",")),
IF(ISNUMBER(FIND("CFW5",B177)),
VALUE(MID(B177,
IF(ISNUMBER(FIND("F",B177)),FIND("F",B177)+1,FIND("G",B177)+1),
FIND("T",B177)-(IF(ISNUMBER(FIND("F",B177)),FIND("F",B177)+1,FIND("G",B177)+1))
)),
VALUE(MID(B177,FIND("E0",B177)+2,FIND("T",B177,FIND("E0",B177))-(FIND("E0",B177)+2)))
))),"")</f>
        <v>45</v>
      </c>
      <c r="G177">
        <f>IFERROR(
IF(ISNUMBER(FIND("T2",B177)),220,
IF(ISNUMBER(FIND("T4",B177)),440,
IF(ISNUMBER(FIND("T5",B177)),575,
IF(ISNUMBER(FIND("T6",B177)),690,"")))),
"")</f>
        <v>440</v>
      </c>
    </row>
    <row r="178" spans="1:7" x14ac:dyDescent="0.25">
      <c r="A178">
        <v>13765025</v>
      </c>
      <c r="B178" t="str">
        <f>VLOOKUP(A178,Planilha2!B:C,2,0)</f>
        <v>INVERSOR BRCFW110058T4OH4Z</v>
      </c>
      <c r="C178" t="s">
        <v>1</v>
      </c>
      <c r="D178" t="str">
        <f>VLOOKUP(A178,Planilha2!B:H,7,0)</f>
        <v>LINHA M1</v>
      </c>
      <c r="E178" s="5">
        <v>4860</v>
      </c>
      <c r="F178">
        <f>IFERROR(
IF(ISNUMBER(FIND("CFW110",B178)),
VALUE(MID(B178,FIND("CFW110",B178)+6,FIND("T",B178,FIND("CFW110",B178))-(FIND("CFW110",B178)+6))),
IF(ISNUMBER(FIND("D",B178)),
VALUE(SUBSTITUTE(MID(B178,FIND("D",B178)+1,FIND("T",B178,FIND("D",B178))-(FIND("D",B178)+1)),"P",",")),
IF(ISNUMBER(FIND("CFW5",B178)),
VALUE(MID(B178,
IF(ISNUMBER(FIND("F",B178)),FIND("F",B178)+1,FIND("G",B178)+1),
FIND("T",B178)-(IF(ISNUMBER(FIND("F",B178)),FIND("F",B178)+1,FIND("G",B178)+1))
)),
VALUE(MID(B178,FIND("E0",B178)+2,FIND("T",B178,FIND("E0",B178))-(FIND("E0",B178)+2)))
))),"")</f>
        <v>58</v>
      </c>
      <c r="G178">
        <f>IFERROR(
IF(ISNUMBER(FIND("T2",B178)),220,
IF(ISNUMBER(FIND("T4",B178)),440,
IF(ISNUMBER(FIND("T5",B178)),575,
IF(ISNUMBER(FIND("T6",B178)),690,"")))),
"")</f>
        <v>440</v>
      </c>
    </row>
    <row r="179" spans="1:7" x14ac:dyDescent="0.25">
      <c r="A179">
        <v>13764906</v>
      </c>
      <c r="B179" t="str">
        <f>VLOOKUP(A179,Planilha2!B:C,2,0)</f>
        <v>INVERSOR BRCFW110054T2OH4Z</v>
      </c>
      <c r="C179" t="s">
        <v>1</v>
      </c>
      <c r="D179" t="str">
        <f>VLOOKUP(A179,Planilha2!B:H,7,0)</f>
        <v>LINHA M1</v>
      </c>
      <c r="E179" s="5">
        <v>26360</v>
      </c>
      <c r="F179">
        <f>IFERROR(
IF(ISNUMBER(FIND("CFW110",B179)),
VALUE(MID(B179,FIND("CFW110",B179)+6,FIND("T",B179,FIND("CFW110",B179))-(FIND("CFW110",B179)+6))),
IF(ISNUMBER(FIND("D",B179)),
VALUE(SUBSTITUTE(MID(B179,FIND("D",B179)+1,FIND("T",B179,FIND("D",B179))-(FIND("D",B179)+1)),"P",",")),
IF(ISNUMBER(FIND("CFW5",B179)),
VALUE(MID(B179,
IF(ISNUMBER(FIND("F",B179)),FIND("F",B179)+1,FIND("G",B179)+1),
FIND("T",B179)-(IF(ISNUMBER(FIND("F",B179)),FIND("F",B179)+1,FIND("G",B179)+1))
)),
VALUE(MID(B179,FIND("E0",B179)+2,FIND("T",B179,FIND("E0",B179))-(FIND("E0",B179)+2)))
))),"")</f>
        <v>54</v>
      </c>
      <c r="G179">
        <f>IFERROR(
IF(ISNUMBER(FIND("T2",B179)),220,
IF(ISNUMBER(FIND("T4",B179)),440,
IF(ISNUMBER(FIND("T5",B179)),575,
IF(ISNUMBER(FIND("T6",B179)),690,"")))),
"")</f>
        <v>220</v>
      </c>
    </row>
    <row r="180" spans="1:7" x14ac:dyDescent="0.25">
      <c r="A180">
        <v>13765027</v>
      </c>
      <c r="B180" t="str">
        <f>VLOOKUP(A180,Planilha2!B:C,2,0)</f>
        <v>INVERSOR BRCFW110088T4OH4Z</v>
      </c>
      <c r="C180" t="s">
        <v>1</v>
      </c>
      <c r="D180" t="str">
        <f>VLOOKUP(A180,Planilha2!B:H,7,0)</f>
        <v>LINHA M3</v>
      </c>
      <c r="E180" s="5">
        <v>26420</v>
      </c>
      <c r="F180">
        <f>IFERROR(
IF(ISNUMBER(FIND("CFW110",B180)),
VALUE(MID(B180,FIND("CFW110",B180)+6,FIND("T",B180,FIND("CFW110",B180))-(FIND("CFW110",B180)+6))),
IF(ISNUMBER(FIND("D",B180)),
VALUE(SUBSTITUTE(MID(B180,FIND("D",B180)+1,FIND("T",B180,FIND("D",B180))-(FIND("D",B180)+1)),"P",",")),
IF(ISNUMBER(FIND("CFW5",B180)),
VALUE(MID(B180,
IF(ISNUMBER(FIND("F",B180)),FIND("F",B180)+1,FIND("G",B180)+1),
FIND("T",B180)-(IF(ISNUMBER(FIND("F",B180)),FIND("F",B180)+1,FIND("G",B180)+1))
)),
VALUE(MID(B180,FIND("E0",B180)+2,FIND("T",B180,FIND("E0",B180))-(FIND("E0",B180)+2)))
))),"")</f>
        <v>88</v>
      </c>
      <c r="G180">
        <f>IFERROR(
IF(ISNUMBER(FIND("T2",B180)),220,
IF(ISNUMBER(FIND("T4",B180)),440,
IF(ISNUMBER(FIND("T5",B180)),575,
IF(ISNUMBER(FIND("T6",B180)),690,"")))),
"")</f>
        <v>440</v>
      </c>
    </row>
    <row r="181" spans="1:7" x14ac:dyDescent="0.25">
      <c r="A181">
        <v>13765026</v>
      </c>
      <c r="B181" t="str">
        <f>VLOOKUP(A181,Planilha2!B:C,2,0)</f>
        <v>INVERSOR BRCFW110070T4OH4Z</v>
      </c>
      <c r="C181" t="s">
        <v>1</v>
      </c>
      <c r="D181" t="str">
        <f>VLOOKUP(A181,Planilha2!B:H,7,0)</f>
        <v>LINHA M3</v>
      </c>
      <c r="E181" s="5">
        <v>26360</v>
      </c>
      <c r="F181">
        <f>IFERROR(
IF(ISNUMBER(FIND("CFW110",B181)),
VALUE(MID(B181,FIND("CFW110",B181)+6,FIND("T",B181,FIND("CFW110",B181))-(FIND("CFW110",B181)+6))),
IF(ISNUMBER(FIND("D",B181)),
VALUE(SUBSTITUTE(MID(B181,FIND("D",B181)+1,FIND("T",B181,FIND("D",B181))-(FIND("D",B181)+1)),"P",",")),
IF(ISNUMBER(FIND("CFW5",B181)),
VALUE(MID(B181,
IF(ISNUMBER(FIND("F",B181)),FIND("F",B181)+1,FIND("G",B181)+1),
FIND("T",B181)-(IF(ISNUMBER(FIND("F",B181)),FIND("F",B181)+1,FIND("G",B181)+1))
)),
VALUE(MID(B181,FIND("E0",B181)+2,FIND("T",B181,FIND("E0",B181))-(FIND("E0",B181)+2)))
))),"")</f>
        <v>70</v>
      </c>
      <c r="G181">
        <f>IFERROR(
IF(ISNUMBER(FIND("T2",B181)),220,
IF(ISNUMBER(FIND("T4",B181)),440,
IF(ISNUMBER(FIND("T5",B181)),575,
IF(ISNUMBER(FIND("T6",B181)),690,"")))),
"")</f>
        <v>440</v>
      </c>
    </row>
    <row r="182" spans="1:7" x14ac:dyDescent="0.25">
      <c r="A182">
        <v>13764907</v>
      </c>
      <c r="B182" t="str">
        <f>VLOOKUP(A182,Planilha2!B:C,2,0)</f>
        <v>INVERSOR BRCFW110086T2OH4Z</v>
      </c>
      <c r="C182" t="s">
        <v>1</v>
      </c>
      <c r="D182" t="str">
        <f>VLOOKUP(A182,Planilha2!B:H,7,0)</f>
        <v>LINHA M3</v>
      </c>
      <c r="E182" s="5">
        <v>26360</v>
      </c>
      <c r="F182">
        <f>IFERROR(
IF(ISNUMBER(FIND("CFW110",B182)),
VALUE(MID(B182,FIND("CFW110",B182)+6,FIND("T",B182,FIND("CFW110",B182))-(FIND("CFW110",B182)+6))),
IF(ISNUMBER(FIND("D",B182)),
VALUE(SUBSTITUTE(MID(B182,FIND("D",B182)+1,FIND("T",B182,FIND("D",B182))-(FIND("D",B182)+1)),"P",",")),
IF(ISNUMBER(FIND("CFW5",B182)),
VALUE(MID(B182,
IF(ISNUMBER(FIND("F",B182)),FIND("F",B182)+1,FIND("G",B182)+1),
FIND("T",B182)-(IF(ISNUMBER(FIND("F",B182)),FIND("F",B182)+1,FIND("G",B182)+1))
)),
VALUE(MID(B182,FIND("E0",B182)+2,FIND("T",B182,FIND("E0",B182))-(FIND("E0",B182)+2)))
))),"")</f>
        <v>86</v>
      </c>
      <c r="G182">
        <f>IFERROR(
IF(ISNUMBER(FIND("T2",B182)),220,
IF(ISNUMBER(FIND("T4",B182)),440,
IF(ISNUMBER(FIND("T5",B182)),575,
IF(ISNUMBER(FIND("T6",B182)),690,"")))),
"")</f>
        <v>220</v>
      </c>
    </row>
    <row r="183" spans="1:7" x14ac:dyDescent="0.25">
      <c r="A183">
        <v>13791089</v>
      </c>
      <c r="B183" t="str">
        <f>VLOOKUP(A183,Planilha2!B:C,2,0)</f>
        <v>INVERSOR EUCFW110088T4OFAYSWZ</v>
      </c>
      <c r="C183" t="s">
        <v>1</v>
      </c>
      <c r="D183" t="str">
        <f>VLOOKUP(A183,Planilha2!B:H,7,0)</f>
        <v>LINHA M3</v>
      </c>
      <c r="E183" s="5">
        <v>31100</v>
      </c>
      <c r="F183">
        <f>IFERROR(
IF(ISNUMBER(FIND("CFW110",B183)),
VALUE(MID(B183,FIND("CFW110",B183)+6,FIND("T",B183,FIND("CFW110",B183))-(FIND("CFW110",B183)+6))),
IF(ISNUMBER(FIND("D",B183)),
VALUE(SUBSTITUTE(MID(B183,FIND("D",B183)+1,FIND("T",B183,FIND("D",B183))-(FIND("D",B183)+1)),"P",",")),
IF(ISNUMBER(FIND("CFW5",B183)),
VALUE(MID(B183,
IF(ISNUMBER(FIND("F",B183)),FIND("F",B183)+1,FIND("G",B183)+1),
FIND("T",B183)-(IF(ISNUMBER(FIND("F",B183)),FIND("F",B183)+1,FIND("G",B183)+1))
)),
VALUE(MID(B183,FIND("E0",B183)+2,FIND("T",B183,FIND("E0",B183))-(FIND("E0",B183)+2)))
))),"")</f>
        <v>88</v>
      </c>
      <c r="G183">
        <f>IFERROR(
IF(ISNUMBER(FIND("T2",B183)),220,
IF(ISNUMBER(FIND("T4",B183)),440,
IF(ISNUMBER(FIND("T5",B183)),575,
IF(ISNUMBER(FIND("T6",B183)),690,"")))),
"")</f>
        <v>440</v>
      </c>
    </row>
    <row r="184" spans="1:7" x14ac:dyDescent="0.25">
      <c r="A184">
        <v>13824156</v>
      </c>
      <c r="B184" t="str">
        <f>VLOOKUP(A184,Planilha2!B:C,2,0)</f>
        <v>INVERSOR BRCFW110070T4OFAH4SMZ</v>
      </c>
      <c r="C184" t="s">
        <v>1</v>
      </c>
      <c r="D184" t="str">
        <f>VLOOKUP(A184,Planilha2!B:H,7,0)</f>
        <v>LINHA M3</v>
      </c>
      <c r="E184" s="5">
        <v>54200</v>
      </c>
      <c r="F184">
        <f>IFERROR(
IF(ISNUMBER(FIND("CFW110",B184)),
VALUE(MID(B184,FIND("CFW110",B184)+6,FIND("T",B184,FIND("CFW110",B184))-(FIND("CFW110",B184)+6))),
IF(ISNUMBER(FIND("D",B184)),
VALUE(SUBSTITUTE(MID(B184,FIND("D",B184)+1,FIND("T",B184,FIND("D",B184))-(FIND("D",B184)+1)),"P",",")),
IF(ISNUMBER(FIND("CFW5",B184)),
VALUE(MID(B184,
IF(ISNUMBER(FIND("F",B184)),FIND("F",B184)+1,FIND("G",B184)+1),
FIND("T",B184)-(IF(ISNUMBER(FIND("F",B184)),FIND("F",B184)+1,FIND("G",B184)+1))
)),
VALUE(MID(B184,FIND("E0",B184)+2,FIND("T",B184,FIND("E0",B184))-(FIND("E0",B184)+2)))
))),"")</f>
        <v>70</v>
      </c>
      <c r="G184">
        <f>IFERROR(
IF(ISNUMBER(FIND("T2",B184)),220,
IF(ISNUMBER(FIND("T4",B184)),440,
IF(ISNUMBER(FIND("T5",B184)),575,
IF(ISNUMBER(FIND("T6",B184)),690,"")))),
"")</f>
        <v>440</v>
      </c>
    </row>
    <row r="185" spans="1:7" x14ac:dyDescent="0.25">
      <c r="A185">
        <v>13871864</v>
      </c>
      <c r="B185" t="str">
        <f>VLOOKUP(A185,Planilha2!B:C,2,0)</f>
        <v>INVERSOR EUCFW110038T4O55FADSYZ</v>
      </c>
      <c r="C185" t="s">
        <v>1</v>
      </c>
      <c r="D185" t="str">
        <f>VLOOKUP(A185,Planilha2!B:H,7,0)</f>
        <v>LINHA M3</v>
      </c>
      <c r="E185" s="5">
        <v>16723</v>
      </c>
      <c r="F185">
        <f>IFERROR(
IF(ISNUMBER(FIND("CFW110",B185)),
VALUE(MID(B185,FIND("CFW110",B185)+6,FIND("T",B185,FIND("CFW110",B185))-(FIND("CFW110",B185)+6))),
IF(ISNUMBER(FIND("D",B185)),
VALUE(SUBSTITUTE(MID(B185,FIND("D",B185)+1,FIND("T",B185,FIND("D",B185))-(FIND("D",B185)+1)),"P",",")),
IF(ISNUMBER(FIND("CFW5",B185)),
VALUE(MID(B185,
IF(ISNUMBER(FIND("F",B185)),FIND("F",B185)+1,FIND("G",B185)+1),
FIND("T",B185)-(IF(ISNUMBER(FIND("F",B185)),FIND("F",B185)+1,FIND("G",B185)+1))
)),
VALUE(MID(B185,FIND("E0",B185)+2,FIND("T",B185,FIND("E0",B185))-(FIND("E0",B185)+2)))
))),"")</f>
        <v>38</v>
      </c>
      <c r="G185">
        <f>IFERROR(
IF(ISNUMBER(FIND("T2",B185)),220,
IF(ISNUMBER(FIND("T4",B185)),440,
IF(ISNUMBER(FIND("T5",B185)),575,
IF(ISNUMBER(FIND("T6",B185)),690,"")))),
"")</f>
        <v>440</v>
      </c>
    </row>
    <row r="186" spans="1:7" x14ac:dyDescent="0.25">
      <c r="A186">
        <v>13889298</v>
      </c>
      <c r="B186" t="str">
        <f>VLOOKUP(A186,Planilha2!B:C,2,0)</f>
        <v>INVERSOR EUCFW110070T4OFAYWZ-UI</v>
      </c>
      <c r="C186" t="s">
        <v>1</v>
      </c>
      <c r="D186" t="str">
        <f>VLOOKUP(A186,Planilha2!B:H,7,0)</f>
        <v>LINHA M3</v>
      </c>
      <c r="E186" s="5">
        <v>26360</v>
      </c>
      <c r="F186">
        <f>IFERROR(
IF(ISNUMBER(FIND("CFW110",B186)),
VALUE(MID(B186,FIND("CFW110",B186)+6,FIND("T",B186,FIND("CFW110",B186))-(FIND("CFW110",B186)+6))),
IF(ISNUMBER(FIND("D",B186)),
VALUE(SUBSTITUTE(MID(B186,FIND("D",B186)+1,FIND("T",B186,FIND("D",B186))-(FIND("D",B186)+1)),"P",",")),
IF(ISNUMBER(FIND("CFW5",B186)),
VALUE(MID(B186,
IF(ISNUMBER(FIND("F",B186)),FIND("F",B186)+1,FIND("G",B186)+1),
FIND("T",B186)-(IF(ISNUMBER(FIND("F",B186)),FIND("F",B186)+1,FIND("G",B186)+1))
)),
VALUE(MID(B186,FIND("E0",B186)+2,FIND("T",B186,FIND("E0",B186))-(FIND("E0",B186)+2)))
))),"")</f>
        <v>70</v>
      </c>
      <c r="G186">
        <f>IFERROR(
IF(ISNUMBER(FIND("T2",B186)),220,
IF(ISNUMBER(FIND("T4",B186)),440,
IF(ISNUMBER(FIND("T5",B186)),575,
IF(ISNUMBER(FIND("T6",B186)),690,"")))),
"")</f>
        <v>440</v>
      </c>
    </row>
    <row r="187" spans="1:7" x14ac:dyDescent="0.25">
      <c r="A187">
        <v>13882065</v>
      </c>
      <c r="B187" t="str">
        <f>VLOOKUP(A187,Planilha2!B:C,2,0)</f>
        <v>INVERSOR EUCFW110070T4OYWZ-UI</v>
      </c>
      <c r="C187" t="s">
        <v>1</v>
      </c>
      <c r="D187" t="str">
        <f>VLOOKUP(A187,Planilha2!B:H,7,0)</f>
        <v>LINHA M3</v>
      </c>
      <c r="E187" s="5">
        <v>26360</v>
      </c>
      <c r="F187">
        <f>IFERROR(
IF(ISNUMBER(FIND("CFW110",B187)),
VALUE(MID(B187,FIND("CFW110",B187)+6,FIND("T",B187,FIND("CFW110",B187))-(FIND("CFW110",B187)+6))),
IF(ISNUMBER(FIND("D",B187)),
VALUE(SUBSTITUTE(MID(B187,FIND("D",B187)+1,FIND("T",B187,FIND("D",B187))-(FIND("D",B187)+1)),"P",",")),
IF(ISNUMBER(FIND("CFW5",B187)),
VALUE(MID(B187,
IF(ISNUMBER(FIND("F",B187)),FIND("F",B187)+1,FIND("G",B187)+1),
FIND("T",B187)-(IF(ISNUMBER(FIND("F",B187)),FIND("F",B187)+1,FIND("G",B187)+1))
)),
VALUE(MID(B187,FIND("E0",B187)+2,FIND("T",B187,FIND("E0",B187))-(FIND("E0",B187)+2)))
))),"")</f>
        <v>70</v>
      </c>
      <c r="G187">
        <f>IFERROR(
IF(ISNUMBER(FIND("T2",B187)),220,
IF(ISNUMBER(FIND("T4",B187)),440,
IF(ISNUMBER(FIND("T5",B187)),575,
IF(ISNUMBER(FIND("T6",B187)),690,"")))),
"")</f>
        <v>440</v>
      </c>
    </row>
    <row r="188" spans="1:7" x14ac:dyDescent="0.25">
      <c r="A188">
        <v>13907311</v>
      </c>
      <c r="B188" t="str">
        <f>VLOOKUP(A188,Planilha2!B:C,2,0)</f>
        <v>INVERSOR BRCFW110058T4OFAH4SSZ</v>
      </c>
      <c r="C188" t="s">
        <v>1</v>
      </c>
      <c r="D188" t="str">
        <f>VLOOKUP(A188,Planilha2!B:H,7,0)</f>
        <v>LINHA M1</v>
      </c>
      <c r="E188" s="5">
        <v>20600</v>
      </c>
      <c r="F188">
        <f>IFERROR(
IF(ISNUMBER(FIND("CFW110",B188)),
VALUE(MID(B188,FIND("CFW110",B188)+6,FIND("T",B188,FIND("CFW110",B188))-(FIND("CFW110",B188)+6))),
IF(ISNUMBER(FIND("D",B188)),
VALUE(SUBSTITUTE(MID(B188,FIND("D",B188)+1,FIND("T",B188,FIND("D",B188))-(FIND("D",B188)+1)),"P",",")),
IF(ISNUMBER(FIND("CFW5",B188)),
VALUE(MID(B188,
IF(ISNUMBER(FIND("F",B188)),FIND("F",B188)+1,FIND("G",B188)+1),
FIND("T",B188)-(IF(ISNUMBER(FIND("F",B188)),FIND("F",B188)+1,FIND("G",B188)+1))
)),
VALUE(MID(B188,FIND("E0",B188)+2,FIND("T",B188,FIND("E0",B188))-(FIND("E0",B188)+2)))
))),"")</f>
        <v>58</v>
      </c>
      <c r="G188">
        <f>IFERROR(
IF(ISNUMBER(FIND("T2",B188)),220,
IF(ISNUMBER(FIND("T4",B188)),440,
IF(ISNUMBER(FIND("T5",B188)),575,
IF(ISNUMBER(FIND("T6",B188)),690,"")))),
"")</f>
        <v>440</v>
      </c>
    </row>
    <row r="189" spans="1:7" x14ac:dyDescent="0.25">
      <c r="A189">
        <v>13907276</v>
      </c>
      <c r="B189" t="str">
        <f>VLOOKUP(A189,Planilha2!B:C,2,0)</f>
        <v>INVERSOR BRCFW110054T2OFAH4SSZ</v>
      </c>
      <c r="C189" t="s">
        <v>1</v>
      </c>
      <c r="D189" t="str">
        <f>VLOOKUP(A189,Planilha2!B:H,7,0)</f>
        <v>LINHA M1</v>
      </c>
      <c r="E189" s="5">
        <v>16100</v>
      </c>
      <c r="F189">
        <f>IFERROR(
IF(ISNUMBER(FIND("CFW110",B189)),
VALUE(MID(B189,FIND("CFW110",B189)+6,FIND("T",B189,FIND("CFW110",B189))-(FIND("CFW110",B189)+6))),
IF(ISNUMBER(FIND("D",B189)),
VALUE(SUBSTITUTE(MID(B189,FIND("D",B189)+1,FIND("T",B189,FIND("D",B189))-(FIND("D",B189)+1)),"P",",")),
IF(ISNUMBER(FIND("CFW5",B189)),
VALUE(MID(B189,
IF(ISNUMBER(FIND("F",B189)),FIND("F",B189)+1,FIND("G",B189)+1),
FIND("T",B189)-(IF(ISNUMBER(FIND("F",B189)),FIND("F",B189)+1,FIND("G",B189)+1))
)),
VALUE(MID(B189,FIND("E0",B189)+2,FIND("T",B189,FIND("E0",B189))-(FIND("E0",B189)+2)))
))),"")</f>
        <v>54</v>
      </c>
      <c r="G189">
        <f>IFERROR(
IF(ISNUMBER(FIND("T2",B189)),220,
IF(ISNUMBER(FIND("T4",B189)),440,
IF(ISNUMBER(FIND("T5",B189)),575,
IF(ISNUMBER(FIND("T6",B189)),690,"")))),
"")</f>
        <v>220</v>
      </c>
    </row>
    <row r="190" spans="1:7" x14ac:dyDescent="0.25">
      <c r="A190">
        <v>13907308</v>
      </c>
      <c r="B190" t="str">
        <f>VLOOKUP(A190,Planilha2!B:C,2,0)</f>
        <v>INVERSOR BRCFW110038T4OFAH4SSZ</v>
      </c>
      <c r="C190" t="s">
        <v>1</v>
      </c>
      <c r="D190" t="str">
        <f>VLOOKUP(A190,Planilha2!B:H,7,0)</f>
        <v>LINHA M1</v>
      </c>
      <c r="E190" s="5">
        <v>16500</v>
      </c>
      <c r="F190">
        <f>IFERROR(
IF(ISNUMBER(FIND("CFW110",B190)),
VALUE(MID(B190,FIND("CFW110",B190)+6,FIND("T",B190,FIND("CFW110",B190))-(FIND("CFW110",B190)+6))),
IF(ISNUMBER(FIND("D",B190)),
VALUE(SUBSTITUTE(MID(B190,FIND("D",B190)+1,FIND("T",B190,FIND("D",B190))-(FIND("D",B190)+1)),"P",",")),
IF(ISNUMBER(FIND("CFW5",B190)),
VALUE(MID(B190,
IF(ISNUMBER(FIND("F",B190)),FIND("F",B190)+1,FIND("G",B190)+1),
FIND("T",B190)-(IF(ISNUMBER(FIND("F",B190)),FIND("F",B190)+1,FIND("G",B190)+1))
)),
VALUE(MID(B190,FIND("E0",B190)+2,FIND("T",B190,FIND("E0",B190))-(FIND("E0",B190)+2)))
))),"")</f>
        <v>38</v>
      </c>
      <c r="G190">
        <f>IFERROR(
IF(ISNUMBER(FIND("T2",B190)),220,
IF(ISNUMBER(FIND("T4",B190)),440,
IF(ISNUMBER(FIND("T5",B190)),575,
IF(ISNUMBER(FIND("T6",B190)),690,"")))),
"")</f>
        <v>440</v>
      </c>
    </row>
    <row r="191" spans="1:7" x14ac:dyDescent="0.25">
      <c r="A191">
        <v>13913350</v>
      </c>
      <c r="B191" t="str">
        <f>VLOOKUP(A191,Planilha2!B:C,2,0)</f>
        <v>INVERSOR EUCFW110058T4O55FADSYZ</v>
      </c>
      <c r="C191" t="s">
        <v>1</v>
      </c>
      <c r="D191" t="str">
        <f>VLOOKUP(A191,Planilha2!B:H,7,0)</f>
        <v>LINHA M3</v>
      </c>
      <c r="E191" s="5">
        <v>20822</v>
      </c>
      <c r="F191">
        <f>IFERROR(
IF(ISNUMBER(FIND("CFW110",B191)),
VALUE(MID(B191,FIND("CFW110",B191)+6,FIND("T",B191,FIND("CFW110",B191))-(FIND("CFW110",B191)+6))),
IF(ISNUMBER(FIND("D",B191)),
VALUE(SUBSTITUTE(MID(B191,FIND("D",B191)+1,FIND("T",B191,FIND("D",B191))-(FIND("D",B191)+1)),"P",",")),
IF(ISNUMBER(FIND("CFW5",B191)),
VALUE(MID(B191,
IF(ISNUMBER(FIND("F",B191)),FIND("F",B191)+1,FIND("G",B191)+1),
FIND("T",B191)-(IF(ISNUMBER(FIND("F",B191)),FIND("F",B191)+1,FIND("G",B191)+1))
)),
VALUE(MID(B191,FIND("E0",B191)+2,FIND("T",B191,FIND("E0",B191))-(FIND("E0",B191)+2)))
))),"")</f>
        <v>58</v>
      </c>
      <c r="G191">
        <f>IFERROR(
IF(ISNUMBER(FIND("T2",B191)),220,
IF(ISNUMBER(FIND("T4",B191)),440,
IF(ISNUMBER(FIND("T5",B191)),575,
IF(ISNUMBER(FIND("T6",B191)),690,"")))),
"")</f>
        <v>440</v>
      </c>
    </row>
    <row r="192" spans="1:7" x14ac:dyDescent="0.25">
      <c r="A192">
        <v>13913740</v>
      </c>
      <c r="B192" t="str">
        <f>VLOOKUP(A192,Planilha2!B:C,2,0)</f>
        <v>INVERSOR EUCFW110045T4O55FADSYZ</v>
      </c>
      <c r="C192" t="s">
        <v>1</v>
      </c>
      <c r="D192" t="str">
        <f>VLOOKUP(A192,Planilha2!B:H,7,0)</f>
        <v>LINHA M3</v>
      </c>
      <c r="E192" s="5">
        <v>19922</v>
      </c>
      <c r="F192">
        <f>IFERROR(
IF(ISNUMBER(FIND("CFW110",B192)),
VALUE(MID(B192,FIND("CFW110",B192)+6,FIND("T",B192,FIND("CFW110",B192))-(FIND("CFW110",B192)+6))),
IF(ISNUMBER(FIND("D",B192)),
VALUE(SUBSTITUTE(MID(B192,FIND("D",B192)+1,FIND("T",B192,FIND("D",B192))-(FIND("D",B192)+1)),"P",",")),
IF(ISNUMBER(FIND("CFW5",B192)),
VALUE(MID(B192,
IF(ISNUMBER(FIND("F",B192)),FIND("F",B192)+1,FIND("G",B192)+1),
FIND("T",B192)-(IF(ISNUMBER(FIND("F",B192)),FIND("F",B192)+1,FIND("G",B192)+1))
)),
VALUE(MID(B192,FIND("E0",B192)+2,FIND("T",B192,FIND("E0",B192))-(FIND("E0",B192)+2)))
))),"")</f>
        <v>45</v>
      </c>
      <c r="G192">
        <f>IFERROR(
IF(ISNUMBER(FIND("T2",B192)),220,
IF(ISNUMBER(FIND("T4",B192)),440,
IF(ISNUMBER(FIND("T5",B192)),575,
IF(ISNUMBER(FIND("T6",B192)),690,"")))),
"")</f>
        <v>440</v>
      </c>
    </row>
    <row r="193" spans="1:7" x14ac:dyDescent="0.25">
      <c r="A193">
        <v>13913741</v>
      </c>
      <c r="B193" t="str">
        <f>VLOOKUP(A193,Planilha2!B:C,2,0)</f>
        <v>INVERSOR EUCFW110070T4O55FADSYZ</v>
      </c>
      <c r="C193" t="s">
        <v>1</v>
      </c>
      <c r="D193" t="str">
        <f>VLOOKUP(A193,Planilha2!B:H,7,0)</f>
        <v>LINHA M3</v>
      </c>
      <c r="E193" s="5">
        <v>47660</v>
      </c>
      <c r="F193">
        <f>IFERROR(
IF(ISNUMBER(FIND("CFW110",B193)),
VALUE(MID(B193,FIND("CFW110",B193)+6,FIND("T",B193,FIND("CFW110",B193))-(FIND("CFW110",B193)+6))),
IF(ISNUMBER(FIND("D",B193)),
VALUE(SUBSTITUTE(MID(B193,FIND("D",B193)+1,FIND("T",B193,FIND("D",B193))-(FIND("D",B193)+1)),"P",",")),
IF(ISNUMBER(FIND("CFW5",B193)),
VALUE(MID(B193,
IF(ISNUMBER(FIND("F",B193)),FIND("F",B193)+1,FIND("G",B193)+1),
FIND("T",B193)-(IF(ISNUMBER(FIND("F",B193)),FIND("F",B193)+1,FIND("G",B193)+1))
)),
VALUE(MID(B193,FIND("E0",B193)+2,FIND("T",B193,FIND("E0",B193))-(FIND("E0",B193)+2)))
))),"")</f>
        <v>70</v>
      </c>
      <c r="G193">
        <f>IFERROR(
IF(ISNUMBER(FIND("T2",B193)),220,
IF(ISNUMBER(FIND("T4",B193)),440,
IF(ISNUMBER(FIND("T5",B193)),575,
IF(ISNUMBER(FIND("T6",B193)),690,"")))),
"")</f>
        <v>440</v>
      </c>
    </row>
    <row r="194" spans="1:7" x14ac:dyDescent="0.25">
      <c r="A194">
        <v>13913532</v>
      </c>
      <c r="B194" t="str">
        <f>VLOOKUP(A194,Planilha2!B:C,2,0)</f>
        <v>INVERSOR EUCFW110088T4O55FADSYZ</v>
      </c>
      <c r="C194" t="s">
        <v>1</v>
      </c>
      <c r="D194" t="str">
        <f>VLOOKUP(A194,Planilha2!B:H,7,0)</f>
        <v>LINHA M3</v>
      </c>
      <c r="E194" s="5">
        <v>48260</v>
      </c>
      <c r="F194">
        <f>IFERROR(
IF(ISNUMBER(FIND("CFW110",B194)),
VALUE(MID(B194,FIND("CFW110",B194)+6,FIND("T",B194,FIND("CFW110",B194))-(FIND("CFW110",B194)+6))),
IF(ISNUMBER(FIND("D",B194)),
VALUE(SUBSTITUTE(MID(B194,FIND("D",B194)+1,FIND("T",B194,FIND("D",B194))-(FIND("D",B194)+1)),"P",",")),
IF(ISNUMBER(FIND("CFW5",B194)),
VALUE(MID(B194,
IF(ISNUMBER(FIND("F",B194)),FIND("F",B194)+1,FIND("G",B194)+1),
FIND("T",B194)-(IF(ISNUMBER(FIND("F",B194)),FIND("F",B194)+1,FIND("G",B194)+1))
)),
VALUE(MID(B194,FIND("E0",B194)+2,FIND("T",B194,FIND("E0",B194))-(FIND("E0",B194)+2)))
))),"")</f>
        <v>88</v>
      </c>
      <c r="G194">
        <f>IFERROR(
IF(ISNUMBER(FIND("T2",B194)),220,
IF(ISNUMBER(FIND("T4",B194)),440,
IF(ISNUMBER(FIND("T5",B194)),575,
IF(ISNUMBER(FIND("T6",B194)),690,"")))),
"")</f>
        <v>440</v>
      </c>
    </row>
    <row r="195" spans="1:7" x14ac:dyDescent="0.25">
      <c r="A195">
        <v>13942303</v>
      </c>
      <c r="B195" t="str">
        <f>VLOOKUP(A195,Planilha2!B:C,2,0)</f>
        <v>INVERSOR CFW700D44P0T5NBN1C3Y1HASC</v>
      </c>
      <c r="C195" t="s">
        <v>1</v>
      </c>
      <c r="D195" t="str">
        <f>VLOOKUP(A195,Planilha2!B:H,7,0)</f>
        <v>OBSOLETOS DRIVES</v>
      </c>
      <c r="E195" s="5">
        <v>20000</v>
      </c>
      <c r="F195">
        <f>IFERROR(
IF(ISNUMBER(FIND("CFW110",B195)),
VALUE(MID(B195,FIND("CFW110",B195)+6,FIND("T",B195,FIND("CFW110",B195))-(FIND("CFW110",B195)+6))),
IF(ISNUMBER(FIND("D",B195)),
VALUE(SUBSTITUTE(MID(B195,FIND("D",B195)+1,FIND("T",B195,FIND("D",B195))-(FIND("D",B195)+1)),"P",",")),
IF(ISNUMBER(FIND("CFW5",B195)),
VALUE(MID(B195,
IF(ISNUMBER(FIND("F",B195)),FIND("F",B195)+1,FIND("G",B195)+1),
FIND("T",B195)-(IF(ISNUMBER(FIND("F",B195)),FIND("F",B195)+1,FIND("G",B195)+1))
)),
VALUE(MID(B195,FIND("E0",B195)+2,FIND("T",B195,FIND("E0",B195))-(FIND("E0",B195)+2)))
))),"")</f>
        <v>44</v>
      </c>
      <c r="G195">
        <f>IFERROR(
IF(ISNUMBER(FIND("T2",B195)),220,
IF(ISNUMBER(FIND("T4",B195)),440,
IF(ISNUMBER(FIND("T5",B195)),575,
IF(ISNUMBER(FIND("T6",B195)),690,"")))),
"")</f>
        <v>575</v>
      </c>
    </row>
    <row r="196" spans="1:7" x14ac:dyDescent="0.25">
      <c r="A196">
        <v>13957589</v>
      </c>
      <c r="B196" t="str">
        <f>VLOOKUP(A196,Planilha2!B:C,2,0)</f>
        <v>INVERSOR NACFW110045T4O55DSZ</v>
      </c>
      <c r="C196" t="s">
        <v>1</v>
      </c>
      <c r="D196" t="str">
        <f>VLOOKUP(A196,Planilha2!B:H,7,0)</f>
        <v>LINHA M3</v>
      </c>
      <c r="E196" s="5">
        <v>19600</v>
      </c>
      <c r="F196">
        <f>IFERROR(
IF(ISNUMBER(FIND("CFW110",B196)),
VALUE(MID(B196,FIND("CFW110",B196)+6,FIND("T",B196,FIND("CFW110",B196))-(FIND("CFW110",B196)+6))),
IF(ISNUMBER(FIND("D",B196)),
VALUE(SUBSTITUTE(MID(B196,FIND("D",B196)+1,FIND("T",B196,FIND("D",B196))-(FIND("D",B196)+1)),"P",",")),
IF(ISNUMBER(FIND("CFW5",B196)),
VALUE(MID(B196,
IF(ISNUMBER(FIND("F",B196)),FIND("F",B196)+1,FIND("G",B196)+1),
FIND("T",B196)-(IF(ISNUMBER(FIND("F",B196)),FIND("F",B196)+1,FIND("G",B196)+1))
)),
VALUE(MID(B196,FIND("E0",B196)+2,FIND("T",B196,FIND("E0",B196))-(FIND("E0",B196)+2)))
))),"")</f>
        <v>45</v>
      </c>
      <c r="G196">
        <f>IFERROR(
IF(ISNUMBER(FIND("T2",B196)),220,
IF(ISNUMBER(FIND("T4",B196)),440,
IF(ISNUMBER(FIND("T5",B196)),575,
IF(ISNUMBER(FIND("T6",B196)),690,"")))),
"")</f>
        <v>440</v>
      </c>
    </row>
    <row r="197" spans="1:7" x14ac:dyDescent="0.25">
      <c r="A197">
        <v>13957588</v>
      </c>
      <c r="B197" t="str">
        <f>VLOOKUP(A197,Planilha2!B:C,2,0)</f>
        <v>INVERSOR NACFW110038T4O55DSZ</v>
      </c>
      <c r="C197" t="s">
        <v>1</v>
      </c>
      <c r="D197" t="str">
        <f>VLOOKUP(A197,Planilha2!B:H,7,0)</f>
        <v>LINHA M3</v>
      </c>
      <c r="E197" s="5">
        <v>16400</v>
      </c>
      <c r="F197">
        <f>IFERROR(
IF(ISNUMBER(FIND("CFW110",B197)),
VALUE(MID(B197,FIND("CFW110",B197)+6,FIND("T",B197,FIND("CFW110",B197))-(FIND("CFW110",B197)+6))),
IF(ISNUMBER(FIND("D",B197)),
VALUE(SUBSTITUTE(MID(B197,FIND("D",B197)+1,FIND("T",B197,FIND("D",B197))-(FIND("D",B197)+1)),"P",",")),
IF(ISNUMBER(FIND("CFW5",B197)),
VALUE(MID(B197,
IF(ISNUMBER(FIND("F",B197)),FIND("F",B197)+1,FIND("G",B197)+1),
FIND("T",B197)-(IF(ISNUMBER(FIND("F",B197)),FIND("F",B197)+1,FIND("G",B197)+1))
)),
VALUE(MID(B197,FIND("E0",B197)+2,FIND("T",B197,FIND("E0",B197))-(FIND("E0",B197)+2)))
))),"")</f>
        <v>38</v>
      </c>
      <c r="G197">
        <f>IFERROR(
IF(ISNUMBER(FIND("T2",B197)),220,
IF(ISNUMBER(FIND("T4",B197)),440,
IF(ISNUMBER(FIND("T5",B197)),575,
IF(ISNUMBER(FIND("T6",B197)),690,"")))),
"")</f>
        <v>440</v>
      </c>
    </row>
    <row r="198" spans="1:7" x14ac:dyDescent="0.25">
      <c r="A198">
        <v>13957479</v>
      </c>
      <c r="B198" t="str">
        <f>VLOOKUP(A198,Planilha2!B:C,2,0)</f>
        <v>INVERSOR NACFW110045T4O55Z</v>
      </c>
      <c r="C198" t="s">
        <v>1</v>
      </c>
      <c r="D198" t="str">
        <f>VLOOKUP(A198,Planilha2!B:H,7,0)</f>
        <v>LINHA M3</v>
      </c>
      <c r="E198" s="5">
        <v>19600</v>
      </c>
      <c r="F198">
        <f>IFERROR(
IF(ISNUMBER(FIND("CFW110",B198)),
VALUE(MID(B198,FIND("CFW110",B198)+6,FIND("T",B198,FIND("CFW110",B198))-(FIND("CFW110",B198)+6))),
IF(ISNUMBER(FIND("D",B198)),
VALUE(SUBSTITUTE(MID(B198,FIND("D",B198)+1,FIND("T",B198,FIND("D",B198))-(FIND("D",B198)+1)),"P",",")),
IF(ISNUMBER(FIND("CFW5",B198)),
VALUE(MID(B198,
IF(ISNUMBER(FIND("F",B198)),FIND("F",B198)+1,FIND("G",B198)+1),
FIND("T",B198)-(IF(ISNUMBER(FIND("F",B198)),FIND("F",B198)+1,FIND("G",B198)+1))
)),
VALUE(MID(B198,FIND("E0",B198)+2,FIND("T",B198,FIND("E0",B198))-(FIND("E0",B198)+2)))
))),"")</f>
        <v>45</v>
      </c>
      <c r="G198">
        <f>IFERROR(
IF(ISNUMBER(FIND("T2",B198)),220,
IF(ISNUMBER(FIND("T4",B198)),440,
IF(ISNUMBER(FIND("T5",B198)),575,
IF(ISNUMBER(FIND("T6",B198)),690,"")))),
"")</f>
        <v>440</v>
      </c>
    </row>
    <row r="199" spans="1:7" x14ac:dyDescent="0.25">
      <c r="A199">
        <v>13957478</v>
      </c>
      <c r="B199" t="str">
        <f>VLOOKUP(A199,Planilha2!B:C,2,0)</f>
        <v>INVERSOR NACFW110038T4O55Z</v>
      </c>
      <c r="C199" t="s">
        <v>1</v>
      </c>
      <c r="D199" t="str">
        <f>VLOOKUP(A199,Planilha2!B:H,7,0)</f>
        <v>LINHA M3</v>
      </c>
      <c r="E199" s="5">
        <v>16400</v>
      </c>
      <c r="F199">
        <f>IFERROR(
IF(ISNUMBER(FIND("CFW110",B199)),
VALUE(MID(B199,FIND("CFW110",B199)+6,FIND("T",B199,FIND("CFW110",B199))-(FIND("CFW110",B199)+6))),
IF(ISNUMBER(FIND("D",B199)),
VALUE(SUBSTITUTE(MID(B199,FIND("D",B199)+1,FIND("T",B199,FIND("D",B199))-(FIND("D",B199)+1)),"P",",")),
IF(ISNUMBER(FIND("CFW5",B199)),
VALUE(MID(B199,
IF(ISNUMBER(FIND("F",B199)),FIND("F",B199)+1,FIND("G",B199)+1),
FIND("T",B199)-(IF(ISNUMBER(FIND("F",B199)),FIND("F",B199)+1,FIND("G",B199)+1))
)),
VALUE(MID(B199,FIND("E0",B199)+2,FIND("T",B199,FIND("E0",B199))-(FIND("E0",B199)+2)))
))),"")</f>
        <v>38</v>
      </c>
      <c r="G199">
        <f>IFERROR(
IF(ISNUMBER(FIND("T2",B199)),220,
IF(ISNUMBER(FIND("T4",B199)),440,
IF(ISNUMBER(FIND("T5",B199)),575,
IF(ISNUMBER(FIND("T6",B199)),690,"")))),
"")</f>
        <v>440</v>
      </c>
    </row>
    <row r="200" spans="1:7" x14ac:dyDescent="0.25">
      <c r="A200">
        <v>13957590</v>
      </c>
      <c r="B200" t="str">
        <f>VLOOKUP(A200,Planilha2!B:C,2,0)</f>
        <v>INVERSOR NACFW110058T4O55DSZ</v>
      </c>
      <c r="C200" t="s">
        <v>1</v>
      </c>
      <c r="D200" t="str">
        <f>VLOOKUP(A200,Planilha2!B:H,7,0)</f>
        <v>LINHA M3</v>
      </c>
      <c r="E200" s="5">
        <v>20500</v>
      </c>
      <c r="F200">
        <f>IFERROR(
IF(ISNUMBER(FIND("CFW110",B200)),
VALUE(MID(B200,FIND("CFW110",B200)+6,FIND("T",B200,FIND("CFW110",B200))-(FIND("CFW110",B200)+6))),
IF(ISNUMBER(FIND("D",B200)),
VALUE(SUBSTITUTE(MID(B200,FIND("D",B200)+1,FIND("T",B200,FIND("D",B200))-(FIND("D",B200)+1)),"P",",")),
IF(ISNUMBER(FIND("CFW5",B200)),
VALUE(MID(B200,
IF(ISNUMBER(FIND("F",B200)),FIND("F",B200)+1,FIND("G",B200)+1),
FIND("T",B200)-(IF(ISNUMBER(FIND("F",B200)),FIND("F",B200)+1,FIND("G",B200)+1))
)),
VALUE(MID(B200,FIND("E0",B200)+2,FIND("T",B200,FIND("E0",B200))-(FIND("E0",B200)+2)))
))),"")</f>
        <v>58</v>
      </c>
      <c r="G200">
        <f>IFERROR(
IF(ISNUMBER(FIND("T2",B200)),220,
IF(ISNUMBER(FIND("T4",B200)),440,
IF(ISNUMBER(FIND("T5",B200)),575,
IF(ISNUMBER(FIND("T6",B200)),690,"")))),
"")</f>
        <v>440</v>
      </c>
    </row>
    <row r="201" spans="1:7" x14ac:dyDescent="0.25">
      <c r="A201">
        <v>13957482</v>
      </c>
      <c r="B201" t="str">
        <f>VLOOKUP(A201,Planilha2!B:C,2,0)</f>
        <v>INVERSOR NACFW110058T4O55Z</v>
      </c>
      <c r="C201" t="s">
        <v>1</v>
      </c>
      <c r="D201" t="str">
        <f>VLOOKUP(A201,Planilha2!B:H,7,0)</f>
        <v>LINHA M3</v>
      </c>
      <c r="E201" s="5">
        <v>20500</v>
      </c>
      <c r="F201">
        <f>IFERROR(
IF(ISNUMBER(FIND("CFW110",B201)),
VALUE(MID(B201,FIND("CFW110",B201)+6,FIND("T",B201,FIND("CFW110",B201))-(FIND("CFW110",B201)+6))),
IF(ISNUMBER(FIND("D",B201)),
VALUE(SUBSTITUTE(MID(B201,FIND("D",B201)+1,FIND("T",B201,FIND("D",B201))-(FIND("D",B201)+1)),"P",",")),
IF(ISNUMBER(FIND("CFW5",B201)),
VALUE(MID(B201,
IF(ISNUMBER(FIND("F",B201)),FIND("F",B201)+1,FIND("G",B201)+1),
FIND("T",B201)-(IF(ISNUMBER(FIND("F",B201)),FIND("F",B201)+1,FIND("G",B201)+1))
)),
VALUE(MID(B201,FIND("E0",B201)+2,FIND("T",B201,FIND("E0",B201))-(FIND("E0",B201)+2)))
))),"")</f>
        <v>58</v>
      </c>
      <c r="G201">
        <f>IFERROR(
IF(ISNUMBER(FIND("T2",B201)),220,
IF(ISNUMBER(FIND("T4",B201)),440,
IF(ISNUMBER(FIND("T5",B201)),575,
IF(ISNUMBER(FIND("T6",B201)),690,"")))),
"")</f>
        <v>440</v>
      </c>
    </row>
    <row r="202" spans="1:7" x14ac:dyDescent="0.25">
      <c r="A202">
        <v>13948534</v>
      </c>
      <c r="B202" t="str">
        <f>VLOOKUP(A202,Planilha2!B:C,2,0)</f>
        <v>INVERSOR CFW700C45P0T2DB20HTHST</v>
      </c>
      <c r="C202" t="s">
        <v>1</v>
      </c>
      <c r="D202" t="str">
        <f>VLOOKUP(A202,Planilha2!B:H,7,0)</f>
        <v>LINHA M1</v>
      </c>
      <c r="E202" s="5">
        <v>16000</v>
      </c>
      <c r="F202" t="str">
        <f>IFERROR(
IF(ISNUMBER(FIND("CFW110",B202)),
VALUE(MID(B202,FIND("CFW110",B202)+6,FIND("T",B202,FIND("CFW110",B202))-(FIND("CFW110",B202)+6))),
IF(ISNUMBER(FIND("D",B202)),
VALUE(SUBSTITUTE(MID(B202,FIND("D",B202)+1,FIND("T",B202,FIND("D",B202))-(FIND("D",B202)+1)),"P",",")),
IF(ISNUMBER(FIND("CFW5",B202)),
VALUE(MID(B202,
IF(ISNUMBER(FIND("F",B202)),FIND("F",B202)+1,FIND("G",B202)+1),
FIND("T",B202)-(IF(ISNUMBER(FIND("F",B202)),FIND("F",B202)+1,FIND("G",B202)+1))
)),
VALUE(MID(B202,FIND("E0",B202)+2,FIND("T",B202,FIND("E0",B202))-(FIND("E0",B202)+2)))
))),"")</f>
        <v/>
      </c>
      <c r="G202">
        <f>IFERROR(
IF(ISNUMBER(FIND("T2",B202)),220,
IF(ISNUMBER(FIND("T4",B202)),440,
IF(ISNUMBER(FIND("T5",B202)),575,
IF(ISNUMBER(FIND("T6",B202)),690,"")))),
"")</f>
        <v>220</v>
      </c>
    </row>
    <row r="203" spans="1:7" x14ac:dyDescent="0.25">
      <c r="A203">
        <v>14003520</v>
      </c>
      <c r="B203" t="str">
        <f>VLOOKUP(A203,Planilha2!B:C,2,0)</f>
        <v>INVERSOR CFW700D88P0T4DBN1C3Y1-UI</v>
      </c>
      <c r="C203" t="s">
        <v>1</v>
      </c>
      <c r="D203" t="str">
        <f>VLOOKUP(A203,Planilha2!B:H,7,0)</f>
        <v>LINHA M3</v>
      </c>
      <c r="E203" s="5">
        <v>15115</v>
      </c>
      <c r="F203">
        <f>IFERROR(
IF(ISNUMBER(FIND("CFW110",B203)),
VALUE(MID(B203,FIND("CFW110",B203)+6,FIND("T",B203,FIND("CFW110",B203))-(FIND("CFW110",B203)+6))),
IF(ISNUMBER(FIND("D",B203)),
VALUE(SUBSTITUTE(MID(B203,FIND("D",B203)+1,FIND("T",B203,FIND("D",B203))-(FIND("D",B203)+1)),"P",",")),
IF(ISNUMBER(FIND("CFW5",B203)),
VALUE(MID(B203,
IF(ISNUMBER(FIND("F",B203)),FIND("F",B203)+1,FIND("G",B203)+1),
FIND("T",B203)-(IF(ISNUMBER(FIND("F",B203)),FIND("F",B203)+1,FIND("G",B203)+1))
)),
VALUE(MID(B203,FIND("E0",B203)+2,FIND("T",B203,FIND("E0",B203))-(FIND("E0",B203)+2)))
))),"")</f>
        <v>88</v>
      </c>
      <c r="G203">
        <f>IFERROR(
IF(ISNUMBER(FIND("T2",B203)),220,
IF(ISNUMBER(FIND("T4",B203)),440,
IF(ISNUMBER(FIND("T5",B203)),575,
IF(ISNUMBER(FIND("T6",B203)),690,"")))),
"")</f>
        <v>440</v>
      </c>
    </row>
    <row r="204" spans="1:7" x14ac:dyDescent="0.25">
      <c r="A204">
        <v>13887658</v>
      </c>
      <c r="B204" t="str">
        <f>VLOOKUP(A204,Planilha2!B:C,2,0)</f>
        <v>INVERSOR CFW110045T4OHALS9Z</v>
      </c>
      <c r="C204" t="s">
        <v>1</v>
      </c>
      <c r="D204" t="str">
        <f>VLOOKUP(A204,Planilha2!B:H,7,0)</f>
        <v>LINHA M1</v>
      </c>
      <c r="E204" s="5">
        <v>4675</v>
      </c>
      <c r="F204">
        <f>IFERROR(
IF(ISNUMBER(FIND("CFW110",B204)),
VALUE(MID(B204,FIND("CFW110",B204)+6,FIND("T",B204,FIND("CFW110",B204))-(FIND("CFW110",B204)+6))),
IF(ISNUMBER(FIND("D",B204)),
VALUE(SUBSTITUTE(MID(B204,FIND("D",B204)+1,FIND("T",B204,FIND("D",B204))-(FIND("D",B204)+1)),"P",",")),
IF(ISNUMBER(FIND("CFW5",B204)),
VALUE(MID(B204,
IF(ISNUMBER(FIND("F",B204)),FIND("F",B204)+1,FIND("G",B204)+1),
FIND("T",B204)-(IF(ISNUMBER(FIND("F",B204)),FIND("F",B204)+1,FIND("G",B204)+1))
)),
VALUE(MID(B204,FIND("E0",B204)+2,FIND("T",B204,FIND("E0",B204))-(FIND("E0",B204)+2)))
))),"")</f>
        <v>45</v>
      </c>
      <c r="G204">
        <f>IFERROR(
IF(ISNUMBER(FIND("T2",B204)),220,
IF(ISNUMBER(FIND("T4",B204)),440,
IF(ISNUMBER(FIND("T5",B204)),575,
IF(ISNUMBER(FIND("T6",B204)),690,"")))),
"")</f>
        <v>440</v>
      </c>
    </row>
    <row r="205" spans="1:7" x14ac:dyDescent="0.25">
      <c r="A205">
        <v>13887587</v>
      </c>
      <c r="B205" t="str">
        <f>VLOOKUP(A205,Planilha2!B:C,2,0)</f>
        <v>INVERSOR BRCFW110038T4OHALS9Z</v>
      </c>
      <c r="C205" t="s">
        <v>1</v>
      </c>
      <c r="D205" t="str">
        <f>VLOOKUP(A205,Planilha2!B:H,7,0)</f>
        <v>LINHA M1</v>
      </c>
      <c r="E205" s="5">
        <v>4675</v>
      </c>
      <c r="F205">
        <f>IFERROR(
IF(ISNUMBER(FIND("CFW110",B205)),
VALUE(MID(B205,FIND("CFW110",B205)+6,FIND("T",B205,FIND("CFW110",B205))-(FIND("CFW110",B205)+6))),
IF(ISNUMBER(FIND("D",B205)),
VALUE(SUBSTITUTE(MID(B205,FIND("D",B205)+1,FIND("T",B205,FIND("D",B205))-(FIND("D",B205)+1)),"P",",")),
IF(ISNUMBER(FIND("CFW5",B205)),
VALUE(MID(B205,
IF(ISNUMBER(FIND("F",B205)),FIND("F",B205)+1,FIND("G",B205)+1),
FIND("T",B205)-(IF(ISNUMBER(FIND("F",B205)),FIND("F",B205)+1,FIND("G",B205)+1))
)),
VALUE(MID(B205,FIND("E0",B205)+2,FIND("T",B205,FIND("E0",B205))-(FIND("E0",B205)+2)))
))),"")</f>
        <v>38</v>
      </c>
      <c r="G205">
        <f>IFERROR(
IF(ISNUMBER(FIND("T2",B205)),220,
IF(ISNUMBER(FIND("T4",B205)),440,
IF(ISNUMBER(FIND("T5",B205)),575,
IF(ISNUMBER(FIND("T6",B205)),690,"")))),
"")</f>
        <v>440</v>
      </c>
    </row>
    <row r="206" spans="1:7" x14ac:dyDescent="0.25">
      <c r="A206">
        <v>13887659</v>
      </c>
      <c r="B206" t="str">
        <f>VLOOKUP(A206,Planilha2!B:C,2,0)</f>
        <v>INVERSOR CFW110058T4OHALS9Z</v>
      </c>
      <c r="C206" t="s">
        <v>1</v>
      </c>
      <c r="D206" t="str">
        <f>VLOOKUP(A206,Planilha2!B:H,7,0)</f>
        <v>LINHA M1</v>
      </c>
      <c r="E206" s="5">
        <v>4675</v>
      </c>
      <c r="F206">
        <f>IFERROR(
IF(ISNUMBER(FIND("CFW110",B206)),
VALUE(MID(B206,FIND("CFW110",B206)+6,FIND("T",B206,FIND("CFW110",B206))-(FIND("CFW110",B206)+6))),
IF(ISNUMBER(FIND("D",B206)),
VALUE(SUBSTITUTE(MID(B206,FIND("D",B206)+1,FIND("T",B206,FIND("D",B206))-(FIND("D",B206)+1)),"P",",")),
IF(ISNUMBER(FIND("CFW5",B206)),
VALUE(MID(B206,
IF(ISNUMBER(FIND("F",B206)),FIND("F",B206)+1,FIND("G",B206)+1),
FIND("T",B206)-(IF(ISNUMBER(FIND("F",B206)),FIND("F",B206)+1,FIND("G",B206)+1))
)),
VALUE(MID(B206,FIND("E0",B206)+2,FIND("T",B206,FIND("E0",B206))-(FIND("E0",B206)+2)))
))),"")</f>
        <v>58</v>
      </c>
      <c r="G206">
        <f>IFERROR(
IF(ISNUMBER(FIND("T2",B206)),220,
IF(ISNUMBER(FIND("T4",B206)),440,
IF(ISNUMBER(FIND("T5",B206)),575,
IF(ISNUMBER(FIND("T6",B206)),690,"")))),
"")</f>
        <v>440</v>
      </c>
    </row>
    <row r="207" spans="1:7" x14ac:dyDescent="0.25">
      <c r="A207">
        <v>13887662</v>
      </c>
      <c r="B207" t="str">
        <f>VLOOKUP(A207,Planilha2!B:C,2,0)</f>
        <v>INVERSOR CFW110070T4OHALS9Z</v>
      </c>
      <c r="C207" t="s">
        <v>1</v>
      </c>
      <c r="D207" t="str">
        <f>VLOOKUP(A207,Planilha2!B:H,7,0)</f>
        <v>LINHA M3</v>
      </c>
      <c r="E207" s="5">
        <v>26175</v>
      </c>
      <c r="F207">
        <f>IFERROR(
IF(ISNUMBER(FIND("CFW110",B207)),
VALUE(MID(B207,FIND("CFW110",B207)+6,FIND("T",B207,FIND("CFW110",B207))-(FIND("CFW110",B207)+6))),
IF(ISNUMBER(FIND("D",B207)),
VALUE(SUBSTITUTE(MID(B207,FIND("D",B207)+1,FIND("T",B207,FIND("D",B207))-(FIND("D",B207)+1)),"P",",")),
IF(ISNUMBER(FIND("CFW5",B207)),
VALUE(MID(B207,
IF(ISNUMBER(FIND("F",B207)),FIND("F",B207)+1,FIND("G",B207)+1),
FIND("T",B207)-(IF(ISNUMBER(FIND("F",B207)),FIND("F",B207)+1,FIND("G",B207)+1))
)),
VALUE(MID(B207,FIND("E0",B207)+2,FIND("T",B207,FIND("E0",B207))-(FIND("E0",B207)+2)))
))),"")</f>
        <v>70</v>
      </c>
      <c r="G207">
        <f>IFERROR(
IF(ISNUMBER(FIND("T2",B207)),220,
IF(ISNUMBER(FIND("T4",B207)),440,
IF(ISNUMBER(FIND("T5",B207)),575,
IF(ISNUMBER(FIND("T6",B207)),690,"")))),
"")</f>
        <v>440</v>
      </c>
    </row>
    <row r="208" spans="1:7" x14ac:dyDescent="0.25">
      <c r="A208">
        <v>14038920</v>
      </c>
      <c r="B208" t="str">
        <f>VLOOKUP(A208,Planilha2!B:C,2,0)</f>
        <v>INVERSOR BRCFW110027T5ONFYZ</v>
      </c>
      <c r="C208" t="s">
        <v>1</v>
      </c>
      <c r="D208" t="str">
        <f>VLOOKUP(A208,Planilha2!B:H,7,0)</f>
        <v>LINHA M1</v>
      </c>
      <c r="E208" s="5">
        <v>26260</v>
      </c>
      <c r="F208">
        <f>IFERROR(
IF(ISNUMBER(FIND("CFW110",B208)),
VALUE(MID(B208,FIND("CFW110",B208)+6,FIND("T",B208,FIND("CFW110",B208))-(FIND("CFW110",B208)+6))),
IF(ISNUMBER(FIND("D",B208)),
VALUE(SUBSTITUTE(MID(B208,FIND("D",B208)+1,FIND("T",B208,FIND("D",B208))-(FIND("D",B208)+1)),"P",",")),
IF(ISNUMBER(FIND("CFW5",B208)),
VALUE(MID(B208,
IF(ISNUMBER(FIND("F",B208)),FIND("F",B208)+1,FIND("G",B208)+1),
FIND("T",B208)-(IF(ISNUMBER(FIND("F",B208)),FIND("F",B208)+1,FIND("G",B208)+1))
)),
VALUE(MID(B208,FIND("E0",B208)+2,FIND("T",B208,FIND("E0",B208))-(FIND("E0",B208)+2)))
))),"")</f>
        <v>27</v>
      </c>
      <c r="G208">
        <f>IFERROR(
IF(ISNUMBER(FIND("T2",B208)),220,
IF(ISNUMBER(FIND("T4",B208)),440,
IF(ISNUMBER(FIND("T5",B208)),575,
IF(ISNUMBER(FIND("T6",B208)),690,"")))),
"")</f>
        <v>575</v>
      </c>
    </row>
    <row r="209" spans="1:7" x14ac:dyDescent="0.25">
      <c r="A209">
        <v>14019066</v>
      </c>
      <c r="B209" t="str">
        <f>VLOOKUP(A209,Planilha2!B:C,2,0)</f>
        <v>INVERSOR CFW701C45P0T4DB20C3Y1</v>
      </c>
      <c r="C209" t="s">
        <v>1</v>
      </c>
      <c r="D209" t="str">
        <f>VLOOKUP(A209,Planilha2!B:H,7,0)</f>
        <v>OBSOLETOS DRIVES</v>
      </c>
      <c r="E209" s="5">
        <v>19880</v>
      </c>
      <c r="F209" t="str">
        <f>IFERROR(
IF(ISNUMBER(FIND("CFW110",B209)),
VALUE(MID(B209,FIND("CFW110",B209)+6,FIND("T",B209,FIND("CFW110",B209))-(FIND("CFW110",B209)+6))),
IF(ISNUMBER(FIND("D",B209)),
VALUE(SUBSTITUTE(MID(B209,FIND("D",B209)+1,FIND("T",B209,FIND("D",B209))-(FIND("D",B209)+1)),"P",",")),
IF(ISNUMBER(FIND("CFW5",B209)),
VALUE(MID(B209,
IF(ISNUMBER(FIND("F",B209)),FIND("F",B209)+1,FIND("G",B209)+1),
FIND("T",B209)-(IF(ISNUMBER(FIND("F",B209)),FIND("F",B209)+1,FIND("G",B209)+1))
)),
VALUE(MID(B209,FIND("E0",B209)+2,FIND("T",B209,FIND("E0",B209))-(FIND("E0",B209)+2)))
))),"")</f>
        <v/>
      </c>
      <c r="G209">
        <f>IFERROR(
IF(ISNUMBER(FIND("T2",B209)),220,
IF(ISNUMBER(FIND("T4",B209)),440,
IF(ISNUMBER(FIND("T5",B209)),575,
IF(ISNUMBER(FIND("T6",B209)),690,"")))),
"")</f>
        <v>440</v>
      </c>
    </row>
    <row r="210" spans="1:7" x14ac:dyDescent="0.25">
      <c r="A210">
        <v>13925082</v>
      </c>
      <c r="B210" t="str">
        <f>VLOOKUP(A210,Planilha2!B:C,2,0)</f>
        <v>INVERSOR CFW700C38P0T4DB55</v>
      </c>
      <c r="C210" t="s">
        <v>1</v>
      </c>
      <c r="D210" t="str">
        <f>VLOOKUP(A210,Planilha2!B:H,7,0)</f>
        <v>OBSOLETOS DRIVES</v>
      </c>
      <c r="E210" s="5">
        <v>16400</v>
      </c>
      <c r="F210" t="str">
        <f>IFERROR(
IF(ISNUMBER(FIND("CFW110",B210)),
VALUE(MID(B210,FIND("CFW110",B210)+6,FIND("T",B210,FIND("CFW110",B210))-(FIND("CFW110",B210)+6))),
IF(ISNUMBER(FIND("D",B210)),
VALUE(SUBSTITUTE(MID(B210,FIND("D",B210)+1,FIND("T",B210,FIND("D",B210))-(FIND("D",B210)+1)),"P",",")),
IF(ISNUMBER(FIND("CFW5",B210)),
VALUE(MID(B210,
IF(ISNUMBER(FIND("F",B210)),FIND("F",B210)+1,FIND("G",B210)+1),
FIND("T",B210)-(IF(ISNUMBER(FIND("F",B210)),FIND("F",B210)+1,FIND("G",B210)+1))
)),
VALUE(MID(B210,FIND("E0",B210)+2,FIND("T",B210,FIND("E0",B210))-(FIND("E0",B210)+2)))
))),"")</f>
        <v/>
      </c>
      <c r="G210">
        <f>IFERROR(
IF(ISNUMBER(FIND("T2",B210)),220,
IF(ISNUMBER(FIND("T4",B210)),440,
IF(ISNUMBER(FIND("T5",B210)),575,
IF(ISNUMBER(FIND("T6",B210)),690,"")))),
"")</f>
        <v>440</v>
      </c>
    </row>
    <row r="211" spans="1:7" x14ac:dyDescent="0.25">
      <c r="A211">
        <v>13925086</v>
      </c>
      <c r="B211" t="str">
        <f>VLOOKUP(A211,Planilha2!B:C,2,0)</f>
        <v>INVERSOR CFW700C45P0T4DB55</v>
      </c>
      <c r="C211" t="s">
        <v>1</v>
      </c>
      <c r="D211" t="str">
        <f>VLOOKUP(A211,Planilha2!B:H,7,0)</f>
        <v>OBSOLETOS DRIVES</v>
      </c>
      <c r="E211" s="5">
        <v>19600</v>
      </c>
      <c r="F211" t="str">
        <f>IFERROR(
IF(ISNUMBER(FIND("CFW110",B211)),
VALUE(MID(B211,FIND("CFW110",B211)+6,FIND("T",B211,FIND("CFW110",B211))-(FIND("CFW110",B211)+6))),
IF(ISNUMBER(FIND("D",B211)),
VALUE(SUBSTITUTE(MID(B211,FIND("D",B211)+1,FIND("T",B211,FIND("D",B211))-(FIND("D",B211)+1)),"P",",")),
IF(ISNUMBER(FIND("CFW5",B211)),
VALUE(MID(B211,
IF(ISNUMBER(FIND("F",B211)),FIND("F",B211)+1,FIND("G",B211)+1),
FIND("T",B211)-(IF(ISNUMBER(FIND("F",B211)),FIND("F",B211)+1,FIND("G",B211)+1))
)),
VALUE(MID(B211,FIND("E0",B211)+2,FIND("T",B211,FIND("E0",B211))-(FIND("E0",B211)+2)))
))),"")</f>
        <v/>
      </c>
      <c r="G211">
        <f>IFERROR(
IF(ISNUMBER(FIND("T2",B211)),220,
IF(ISNUMBER(FIND("T4",B211)),440,
IF(ISNUMBER(FIND("T5",B211)),575,
IF(ISNUMBER(FIND("T6",B211)),690,"")))),
"")</f>
        <v>440</v>
      </c>
    </row>
    <row r="212" spans="1:7" x14ac:dyDescent="0.25">
      <c r="A212">
        <v>13925087</v>
      </c>
      <c r="B212" t="str">
        <f>VLOOKUP(A212,Planilha2!B:C,2,0)</f>
        <v>INVERSOR CFW700C58P5T4DB55</v>
      </c>
      <c r="C212" t="s">
        <v>1</v>
      </c>
      <c r="D212" t="str">
        <f>VLOOKUP(A212,Planilha2!B:H,7,0)</f>
        <v>OBSOLETOS DRIVES</v>
      </c>
      <c r="E212" s="5">
        <v>20500</v>
      </c>
      <c r="F212" t="str">
        <f>IFERROR(
IF(ISNUMBER(FIND("CFW110",B212)),
VALUE(MID(B212,FIND("CFW110",B212)+6,FIND("T",B212,FIND("CFW110",B212))-(FIND("CFW110",B212)+6))),
IF(ISNUMBER(FIND("D",B212)),
VALUE(SUBSTITUTE(MID(B212,FIND("D",B212)+1,FIND("T",B212,FIND("D",B212))-(FIND("D",B212)+1)),"P",",")),
IF(ISNUMBER(FIND("CFW5",B212)),
VALUE(MID(B212,
IF(ISNUMBER(FIND("F",B212)),FIND("F",B212)+1,FIND("G",B212)+1),
FIND("T",B212)-(IF(ISNUMBER(FIND("F",B212)),FIND("F",B212)+1,FIND("G",B212)+1))
)),
VALUE(MID(B212,FIND("E0",B212)+2,FIND("T",B212,FIND("E0",B212))-(FIND("E0",B212)+2)))
))),"")</f>
        <v/>
      </c>
      <c r="G212">
        <f>IFERROR(
IF(ISNUMBER(FIND("T2",B212)),220,
IF(ISNUMBER(FIND("T4",B212)),440,
IF(ISNUMBER(FIND("T5",B212)),575,
IF(ISNUMBER(FIND("T6",B212)),690,"")))),
"")</f>
        <v>440</v>
      </c>
    </row>
    <row r="213" spans="1:7" x14ac:dyDescent="0.25">
      <c r="A213">
        <v>13924610</v>
      </c>
      <c r="B213" t="str">
        <f>VLOOKUP(A213,Planilha2!B:C,2,0)</f>
        <v>INVERSOR CFW700C45P0T2DB55</v>
      </c>
      <c r="C213" t="s">
        <v>1</v>
      </c>
      <c r="D213" t="str">
        <f>VLOOKUP(A213,Planilha2!B:H,7,0)</f>
        <v>OBSOLETOS DRIVES</v>
      </c>
      <c r="E213" s="5">
        <v>15600</v>
      </c>
      <c r="F213" t="str">
        <f>IFERROR(
IF(ISNUMBER(FIND("CFW110",B213)),
VALUE(MID(B213,FIND("CFW110",B213)+6,FIND("T",B213,FIND("CFW110",B213))-(FIND("CFW110",B213)+6))),
IF(ISNUMBER(FIND("D",B213)),
VALUE(SUBSTITUTE(MID(B213,FIND("D",B213)+1,FIND("T",B213,FIND("D",B213))-(FIND("D",B213)+1)),"P",",")),
IF(ISNUMBER(FIND("CFW5",B213)),
VALUE(MID(B213,
IF(ISNUMBER(FIND("F",B213)),FIND("F",B213)+1,FIND("G",B213)+1),
FIND("T",B213)-(IF(ISNUMBER(FIND("F",B213)),FIND("F",B213)+1,FIND("G",B213)+1))
)),
VALUE(MID(B213,FIND("E0",B213)+2,FIND("T",B213,FIND("E0",B213))-(FIND("E0",B213)+2)))
))),"")</f>
        <v/>
      </c>
      <c r="G213">
        <f>IFERROR(
IF(ISNUMBER(FIND("T2",B213)),220,
IF(ISNUMBER(FIND("T4",B213)),440,
IF(ISNUMBER(FIND("T5",B213)),575,
IF(ISNUMBER(FIND("T6",B213)),690,"")))),
"")</f>
        <v>220</v>
      </c>
    </row>
    <row r="214" spans="1:7" x14ac:dyDescent="0.25">
      <c r="A214">
        <v>13924615</v>
      </c>
      <c r="B214" t="str">
        <f>VLOOKUP(A214,Planilha2!B:C,2,0)</f>
        <v>INVERSOR CFW700C54P0T2DB55</v>
      </c>
      <c r="C214" t="s">
        <v>1</v>
      </c>
      <c r="D214" t="str">
        <f>VLOOKUP(A214,Planilha2!B:H,7,0)</f>
        <v>OBSOLETOS DRIVES</v>
      </c>
      <c r="E214" s="5">
        <v>16000</v>
      </c>
      <c r="F214" t="str">
        <f>IFERROR(
IF(ISNUMBER(FIND("CFW110",B214)),
VALUE(MID(B214,FIND("CFW110",B214)+6,FIND("T",B214,FIND("CFW110",B214))-(FIND("CFW110",B214)+6))),
IF(ISNUMBER(FIND("D",B214)),
VALUE(SUBSTITUTE(MID(B214,FIND("D",B214)+1,FIND("T",B214,FIND("D",B214))-(FIND("D",B214)+1)),"P",",")),
IF(ISNUMBER(FIND("CFW5",B214)),
VALUE(MID(B214,
IF(ISNUMBER(FIND("F",B214)),FIND("F",B214)+1,FIND("G",B214)+1),
FIND("T",B214)-(IF(ISNUMBER(FIND("F",B214)),FIND("F",B214)+1,FIND("G",B214)+1))
)),
VALUE(MID(B214,FIND("E0",B214)+2,FIND("T",B214,FIND("E0",B214))-(FIND("E0",B214)+2)))
))),"")</f>
        <v/>
      </c>
      <c r="G214">
        <f>IFERROR(
IF(ISNUMBER(FIND("T2",B214)),220,
IF(ISNUMBER(FIND("T4",B214)),440,
IF(ISNUMBER(FIND("T5",B214)),575,
IF(ISNUMBER(FIND("T6",B214)),690,"")))),
"")</f>
        <v>220</v>
      </c>
    </row>
    <row r="215" spans="1:7" x14ac:dyDescent="0.25">
      <c r="A215">
        <v>13924616</v>
      </c>
      <c r="B215" t="str">
        <f>VLOOKUP(A215,Planilha2!B:C,2,0)</f>
        <v>INVERSOR CFW700C70P0T2DB55</v>
      </c>
      <c r="C215" t="s">
        <v>1</v>
      </c>
      <c r="D215" t="str">
        <f>VLOOKUP(A215,Planilha2!B:H,7,0)</f>
        <v>OBSOLETOS DRIVES</v>
      </c>
      <c r="E215" s="5">
        <v>17900</v>
      </c>
      <c r="F215" t="str">
        <f>IFERROR(
IF(ISNUMBER(FIND("CFW110",B215)),
VALUE(MID(B215,FIND("CFW110",B215)+6,FIND("T",B215,FIND("CFW110",B215))-(FIND("CFW110",B215)+6))),
IF(ISNUMBER(FIND("D",B215)),
VALUE(SUBSTITUTE(MID(B215,FIND("D",B215)+1,FIND("T",B215,FIND("D",B215))-(FIND("D",B215)+1)),"P",",")),
IF(ISNUMBER(FIND("CFW5",B215)),
VALUE(MID(B215,
IF(ISNUMBER(FIND("F",B215)),FIND("F",B215)+1,FIND("G",B215)+1),
FIND("T",B215)-(IF(ISNUMBER(FIND("F",B215)),FIND("F",B215)+1,FIND("G",B215)+1))
)),
VALUE(MID(B215,FIND("E0",B215)+2,FIND("T",B215,FIND("E0",B215))-(FIND("E0",B215)+2)))
))),"")</f>
        <v/>
      </c>
      <c r="G215">
        <f>IFERROR(
IF(ISNUMBER(FIND("T2",B215)),220,
IF(ISNUMBER(FIND("T4",B215)),440,
IF(ISNUMBER(FIND("T5",B215)),575,
IF(ISNUMBER(FIND("T6",B215)),690,"")))),
"")</f>
        <v>220</v>
      </c>
    </row>
    <row r="216" spans="1:7" x14ac:dyDescent="0.25">
      <c r="A216">
        <v>13920627</v>
      </c>
      <c r="B216" t="str">
        <f>VLOOKUP(A216,Planilha2!B:C,2,0)</f>
        <v>INVERSOR CFW700C38P0T4DB55C3</v>
      </c>
      <c r="C216" t="s">
        <v>1</v>
      </c>
      <c r="D216" t="str">
        <f>VLOOKUP(A216,Planilha2!B:H,7,0)</f>
        <v>OBSOLETOS DRIVES</v>
      </c>
      <c r="E216" s="5">
        <v>16400</v>
      </c>
      <c r="F216" t="str">
        <f>IFERROR(
IF(ISNUMBER(FIND("CFW110",B216)),
VALUE(MID(B216,FIND("CFW110",B216)+6,FIND("T",B216,FIND("CFW110",B216))-(FIND("CFW110",B216)+6))),
IF(ISNUMBER(FIND("D",B216)),
VALUE(SUBSTITUTE(MID(B216,FIND("D",B216)+1,FIND("T",B216,FIND("D",B216))-(FIND("D",B216)+1)),"P",",")),
IF(ISNUMBER(FIND("CFW5",B216)),
VALUE(MID(B216,
IF(ISNUMBER(FIND("F",B216)),FIND("F",B216)+1,FIND("G",B216)+1),
FIND("T",B216)-(IF(ISNUMBER(FIND("F",B216)),FIND("F",B216)+1,FIND("G",B216)+1))
)),
VALUE(MID(B216,FIND("E0",B216)+2,FIND("T",B216,FIND("E0",B216))-(FIND("E0",B216)+2)))
))),"")</f>
        <v/>
      </c>
      <c r="G216">
        <f>IFERROR(
IF(ISNUMBER(FIND("T2",B216)),220,
IF(ISNUMBER(FIND("T4",B216)),440,
IF(ISNUMBER(FIND("T5",B216)),575,
IF(ISNUMBER(FIND("T6",B216)),690,"")))),
"")</f>
        <v>440</v>
      </c>
    </row>
    <row r="217" spans="1:7" x14ac:dyDescent="0.25">
      <c r="A217">
        <v>13920660</v>
      </c>
      <c r="B217" t="str">
        <f>VLOOKUP(A217,Planilha2!B:C,2,0)</f>
        <v>INVERSOR CFW700C45P0T4DB55C3</v>
      </c>
      <c r="C217" t="s">
        <v>1</v>
      </c>
      <c r="D217" t="str">
        <f>VLOOKUP(A217,Planilha2!B:H,7,0)</f>
        <v>OBSOLETOS DRIVES</v>
      </c>
      <c r="E217" s="5">
        <v>19600</v>
      </c>
      <c r="F217" t="str">
        <f>IFERROR(
IF(ISNUMBER(FIND("CFW110",B217)),
VALUE(MID(B217,FIND("CFW110",B217)+6,FIND("T",B217,FIND("CFW110",B217))-(FIND("CFW110",B217)+6))),
IF(ISNUMBER(FIND("D",B217)),
VALUE(SUBSTITUTE(MID(B217,FIND("D",B217)+1,FIND("T",B217,FIND("D",B217))-(FIND("D",B217)+1)),"P",",")),
IF(ISNUMBER(FIND("CFW5",B217)),
VALUE(MID(B217,
IF(ISNUMBER(FIND("F",B217)),FIND("F",B217)+1,FIND("G",B217)+1),
FIND("T",B217)-(IF(ISNUMBER(FIND("F",B217)),FIND("F",B217)+1,FIND("G",B217)+1))
)),
VALUE(MID(B217,FIND("E0",B217)+2,FIND("T",B217,FIND("E0",B217))-(FIND("E0",B217)+2)))
))),"")</f>
        <v/>
      </c>
      <c r="G217">
        <f>IFERROR(
IF(ISNUMBER(FIND("T2",B217)),220,
IF(ISNUMBER(FIND("T4",B217)),440,
IF(ISNUMBER(FIND("T5",B217)),575,
IF(ISNUMBER(FIND("T6",B217)),690,"")))),
"")</f>
        <v>440</v>
      </c>
    </row>
    <row r="218" spans="1:7" x14ac:dyDescent="0.25">
      <c r="A218">
        <v>13920664</v>
      </c>
      <c r="B218" t="str">
        <f>VLOOKUP(A218,Planilha2!B:C,2,0)</f>
        <v>INVERSOR CFW700C58P5T4DB55C3</v>
      </c>
      <c r="C218" t="s">
        <v>1</v>
      </c>
      <c r="D218" t="str">
        <f>VLOOKUP(A218,Planilha2!B:H,7,0)</f>
        <v>OBSOLETOS DRIVES</v>
      </c>
      <c r="E218" s="5">
        <v>20500</v>
      </c>
      <c r="F218" t="str">
        <f>IFERROR(
IF(ISNUMBER(FIND("CFW110",B218)),
VALUE(MID(B218,FIND("CFW110",B218)+6,FIND("T",B218,FIND("CFW110",B218))-(FIND("CFW110",B218)+6))),
IF(ISNUMBER(FIND("D",B218)),
VALUE(SUBSTITUTE(MID(B218,FIND("D",B218)+1,FIND("T",B218,FIND("D",B218))-(FIND("D",B218)+1)),"P",",")),
IF(ISNUMBER(FIND("CFW5",B218)),
VALUE(MID(B218,
IF(ISNUMBER(FIND("F",B218)),FIND("F",B218)+1,FIND("G",B218)+1),
FIND("T",B218)-(IF(ISNUMBER(FIND("F",B218)),FIND("F",B218)+1,FIND("G",B218)+1))
)),
VALUE(MID(B218,FIND("E0",B218)+2,FIND("T",B218,FIND("E0",B218))-(FIND("E0",B218)+2)))
))),"")</f>
        <v/>
      </c>
      <c r="G218">
        <f>IFERROR(
IF(ISNUMBER(FIND("T2",B218)),220,
IF(ISNUMBER(FIND("T4",B218)),440,
IF(ISNUMBER(FIND("T5",B218)),575,
IF(ISNUMBER(FIND("T6",B218)),690,"")))),
"")</f>
        <v>440</v>
      </c>
    </row>
    <row r="219" spans="1:7" x14ac:dyDescent="0.25">
      <c r="A219">
        <v>13920881</v>
      </c>
      <c r="B219" t="str">
        <f>VLOOKUP(A219,Planilha2!B:C,2,0)</f>
        <v>INVERSOR CFW700C45P0T4DB55C3DS</v>
      </c>
      <c r="C219" t="s">
        <v>1</v>
      </c>
      <c r="D219" t="str">
        <f>VLOOKUP(A219,Planilha2!B:H,7,0)</f>
        <v>OBSOLETOS DRIVES</v>
      </c>
      <c r="E219" s="5">
        <v>19600</v>
      </c>
      <c r="F219" t="str">
        <f>IFERROR(
IF(ISNUMBER(FIND("CFW110",B219)),
VALUE(MID(B219,FIND("CFW110",B219)+6,FIND("T",B219,FIND("CFW110",B219))-(FIND("CFW110",B219)+6))),
IF(ISNUMBER(FIND("D",B219)),
VALUE(SUBSTITUTE(MID(B219,FIND("D",B219)+1,FIND("T",B219,FIND("D",B219))-(FIND("D",B219)+1)),"P",",")),
IF(ISNUMBER(FIND("CFW5",B219)),
VALUE(MID(B219,
IF(ISNUMBER(FIND("F",B219)),FIND("F",B219)+1,FIND("G",B219)+1),
FIND("T",B219)-(IF(ISNUMBER(FIND("F",B219)),FIND("F",B219)+1,FIND("G",B219)+1))
)),
VALUE(MID(B219,FIND("E0",B219)+2,FIND("T",B219,FIND("E0",B219))-(FIND("E0",B219)+2)))
))),"")</f>
        <v/>
      </c>
      <c r="G219">
        <f>IFERROR(
IF(ISNUMBER(FIND("T2",B219)),220,
IF(ISNUMBER(FIND("T4",B219)),440,
IF(ISNUMBER(FIND("T5",B219)),575,
IF(ISNUMBER(FIND("T6",B219)),690,"")))),
"")</f>
        <v>440</v>
      </c>
    </row>
    <row r="220" spans="1:7" x14ac:dyDescent="0.25">
      <c r="A220">
        <v>13920810</v>
      </c>
      <c r="B220" t="str">
        <f>VLOOKUP(A220,Planilha2!B:C,2,0)</f>
        <v>INVERSOR CFW700C38P0T4DB55C3DS</v>
      </c>
      <c r="C220" t="s">
        <v>1</v>
      </c>
      <c r="D220" t="str">
        <f>VLOOKUP(A220,Planilha2!B:H,7,0)</f>
        <v>OBSOLETOS DRIVES</v>
      </c>
      <c r="E220" s="5">
        <v>16400</v>
      </c>
      <c r="F220" t="str">
        <f>IFERROR(
IF(ISNUMBER(FIND("CFW110",B220)),
VALUE(MID(B220,FIND("CFW110",B220)+6,FIND("T",B220,FIND("CFW110",B220))-(FIND("CFW110",B220)+6))),
IF(ISNUMBER(FIND("D",B220)),
VALUE(SUBSTITUTE(MID(B220,FIND("D",B220)+1,FIND("T",B220,FIND("D",B220))-(FIND("D",B220)+1)),"P",",")),
IF(ISNUMBER(FIND("CFW5",B220)),
VALUE(MID(B220,
IF(ISNUMBER(FIND("F",B220)),FIND("F",B220)+1,FIND("G",B220)+1),
FIND("T",B220)-(IF(ISNUMBER(FIND("F",B220)),FIND("F",B220)+1,FIND("G",B220)+1))
)),
VALUE(MID(B220,FIND("E0",B220)+2,FIND("T",B220,FIND("E0",B220))-(FIND("E0",B220)+2)))
))),"")</f>
        <v/>
      </c>
      <c r="G220">
        <f>IFERROR(
IF(ISNUMBER(FIND("T2",B220)),220,
IF(ISNUMBER(FIND("T4",B220)),440,
IF(ISNUMBER(FIND("T5",B220)),575,
IF(ISNUMBER(FIND("T6",B220)),690,"")))),
"")</f>
        <v>440</v>
      </c>
    </row>
    <row r="221" spans="1:7" x14ac:dyDescent="0.25">
      <c r="A221">
        <v>13920883</v>
      </c>
      <c r="B221" t="str">
        <f>VLOOKUP(A221,Planilha2!B:C,2,0)</f>
        <v>INVERSOR CFW700C58P5T4DB55C3DS</v>
      </c>
      <c r="C221" t="s">
        <v>1</v>
      </c>
      <c r="D221" t="str">
        <f>VLOOKUP(A221,Planilha2!B:H,7,0)</f>
        <v>OBSOLETOS DRIVES</v>
      </c>
      <c r="E221" s="5">
        <v>20500</v>
      </c>
      <c r="F221" t="str">
        <f>IFERROR(
IF(ISNUMBER(FIND("CFW110",B221)),
VALUE(MID(B221,FIND("CFW110",B221)+6,FIND("T",B221,FIND("CFW110",B221))-(FIND("CFW110",B221)+6))),
IF(ISNUMBER(FIND("D",B221)),
VALUE(SUBSTITUTE(MID(B221,FIND("D",B221)+1,FIND("T",B221,FIND("D",B221))-(FIND("D",B221)+1)),"P",",")),
IF(ISNUMBER(FIND("CFW5",B221)),
VALUE(MID(B221,
IF(ISNUMBER(FIND("F",B221)),FIND("F",B221)+1,FIND("G",B221)+1),
FIND("T",B221)-(IF(ISNUMBER(FIND("F",B221)),FIND("F",B221)+1,FIND("G",B221)+1))
)),
VALUE(MID(B221,FIND("E0",B221)+2,FIND("T",B221,FIND("E0",B221))-(FIND("E0",B221)+2)))
))),"")</f>
        <v/>
      </c>
      <c r="G221">
        <f>IFERROR(
IF(ISNUMBER(FIND("T2",B221)),220,
IF(ISNUMBER(FIND("T4",B221)),440,
IF(ISNUMBER(FIND("T5",B221)),575,
IF(ISNUMBER(FIND("T6",B221)),690,"")))),
"")</f>
        <v>440</v>
      </c>
    </row>
    <row r="222" spans="1:7" x14ac:dyDescent="0.25">
      <c r="A222">
        <v>13924735</v>
      </c>
      <c r="B222" t="str">
        <f>VLOOKUP(A222,Planilha2!B:C,2,0)</f>
        <v>INVERSOR CFW700C45P0T2DB55DS</v>
      </c>
      <c r="C222" t="s">
        <v>1</v>
      </c>
      <c r="D222" t="str">
        <f>VLOOKUP(A222,Planilha2!B:H,7,0)</f>
        <v>OBSOLETOS DRIVES</v>
      </c>
      <c r="E222" s="5">
        <v>15600</v>
      </c>
      <c r="F222" t="str">
        <f>IFERROR(
IF(ISNUMBER(FIND("CFW110",B222)),
VALUE(MID(B222,FIND("CFW110",B222)+6,FIND("T",B222,FIND("CFW110",B222))-(FIND("CFW110",B222)+6))),
IF(ISNUMBER(FIND("D",B222)),
VALUE(SUBSTITUTE(MID(B222,FIND("D",B222)+1,FIND("T",B222,FIND("D",B222))-(FIND("D",B222)+1)),"P",",")),
IF(ISNUMBER(FIND("CFW5",B222)),
VALUE(MID(B222,
IF(ISNUMBER(FIND("F",B222)),FIND("F",B222)+1,FIND("G",B222)+1),
FIND("T",B222)-(IF(ISNUMBER(FIND("F",B222)),FIND("F",B222)+1,FIND("G",B222)+1))
)),
VALUE(MID(B222,FIND("E0",B222)+2,FIND("T",B222,FIND("E0",B222))-(FIND("E0",B222)+2)))
))),"")</f>
        <v/>
      </c>
      <c r="G222">
        <f>IFERROR(
IF(ISNUMBER(FIND("T2",B222)),220,
IF(ISNUMBER(FIND("T4",B222)),440,
IF(ISNUMBER(FIND("T5",B222)),575,
IF(ISNUMBER(FIND("T6",B222)),690,"")))),
"")</f>
        <v>220</v>
      </c>
    </row>
    <row r="223" spans="1:7" x14ac:dyDescent="0.25">
      <c r="A223">
        <v>13924758</v>
      </c>
      <c r="B223" t="str">
        <f>VLOOKUP(A223,Planilha2!B:C,2,0)</f>
        <v>INVERSOR CFW700C54P0T2DB55DS</v>
      </c>
      <c r="C223" t="s">
        <v>1</v>
      </c>
      <c r="D223" t="str">
        <f>VLOOKUP(A223,Planilha2!B:H,7,0)</f>
        <v>OBSOLETOS DRIVES</v>
      </c>
      <c r="E223" s="5">
        <v>16000</v>
      </c>
      <c r="F223" t="str">
        <f>IFERROR(
IF(ISNUMBER(FIND("CFW110",B223)),
VALUE(MID(B223,FIND("CFW110",B223)+6,FIND("T",B223,FIND("CFW110",B223))-(FIND("CFW110",B223)+6))),
IF(ISNUMBER(FIND("D",B223)),
VALUE(SUBSTITUTE(MID(B223,FIND("D",B223)+1,FIND("T",B223,FIND("D",B223))-(FIND("D",B223)+1)),"P",",")),
IF(ISNUMBER(FIND("CFW5",B223)),
VALUE(MID(B223,
IF(ISNUMBER(FIND("F",B223)),FIND("F",B223)+1,FIND("G",B223)+1),
FIND("T",B223)-(IF(ISNUMBER(FIND("F",B223)),FIND("F",B223)+1,FIND("G",B223)+1))
)),
VALUE(MID(B223,FIND("E0",B223)+2,FIND("T",B223,FIND("E0",B223))-(FIND("E0",B223)+2)))
))),"")</f>
        <v/>
      </c>
      <c r="G223">
        <f>IFERROR(
IF(ISNUMBER(FIND("T2",B223)),220,
IF(ISNUMBER(FIND("T4",B223)),440,
IF(ISNUMBER(FIND("T5",B223)),575,
IF(ISNUMBER(FIND("T6",B223)),690,"")))),
"")</f>
        <v>220</v>
      </c>
    </row>
    <row r="224" spans="1:7" x14ac:dyDescent="0.25">
      <c r="A224">
        <v>13924760</v>
      </c>
      <c r="B224" t="str">
        <f>VLOOKUP(A224,Planilha2!B:C,2,0)</f>
        <v>INVERSOR CFW700C70P0T2DB55DS</v>
      </c>
      <c r="C224" t="s">
        <v>1</v>
      </c>
      <c r="D224" t="str">
        <f>VLOOKUP(A224,Planilha2!B:H,7,0)</f>
        <v>OBSOLETOS DRIVES</v>
      </c>
      <c r="E224" s="5">
        <v>17900</v>
      </c>
      <c r="F224" t="str">
        <f>IFERROR(
IF(ISNUMBER(FIND("CFW110",B224)),
VALUE(MID(B224,FIND("CFW110",B224)+6,FIND("T",B224,FIND("CFW110",B224))-(FIND("CFW110",B224)+6))),
IF(ISNUMBER(FIND("D",B224)),
VALUE(SUBSTITUTE(MID(B224,FIND("D",B224)+1,FIND("T",B224,FIND("D",B224))-(FIND("D",B224)+1)),"P",",")),
IF(ISNUMBER(FIND("CFW5",B224)),
VALUE(MID(B224,
IF(ISNUMBER(FIND("F",B224)),FIND("F",B224)+1,FIND("G",B224)+1),
FIND("T",B224)-(IF(ISNUMBER(FIND("F",B224)),FIND("F",B224)+1,FIND("G",B224)+1))
)),
VALUE(MID(B224,FIND("E0",B224)+2,FIND("T",B224,FIND("E0",B224))-(FIND("E0",B224)+2)))
))),"")</f>
        <v/>
      </c>
      <c r="G224">
        <f>IFERROR(
IF(ISNUMBER(FIND("T2",B224)),220,
IF(ISNUMBER(FIND("T4",B224)),440,
IF(ISNUMBER(FIND("T5",B224)),575,
IF(ISNUMBER(FIND("T6",B224)),690,"")))),
"")</f>
        <v>220</v>
      </c>
    </row>
    <row r="225" spans="1:7" x14ac:dyDescent="0.25">
      <c r="A225">
        <v>13925343</v>
      </c>
      <c r="B225" t="str">
        <f>VLOOKUP(A225,Planilha2!B:C,2,0)</f>
        <v>INVERSOR CFW700C38P0T4DB55DS</v>
      </c>
      <c r="C225" t="s">
        <v>1</v>
      </c>
      <c r="D225" t="str">
        <f>VLOOKUP(A225,Planilha2!B:H,7,0)</f>
        <v>OBSOLETOS DRIVES</v>
      </c>
      <c r="E225" s="5">
        <v>16400</v>
      </c>
      <c r="F225" t="str">
        <f>IFERROR(
IF(ISNUMBER(FIND("CFW110",B225)),
VALUE(MID(B225,FIND("CFW110",B225)+6,FIND("T",B225,FIND("CFW110",B225))-(FIND("CFW110",B225)+6))),
IF(ISNUMBER(FIND("D",B225)),
VALUE(SUBSTITUTE(MID(B225,FIND("D",B225)+1,FIND("T",B225,FIND("D",B225))-(FIND("D",B225)+1)),"P",",")),
IF(ISNUMBER(FIND("CFW5",B225)),
VALUE(MID(B225,
IF(ISNUMBER(FIND("F",B225)),FIND("F",B225)+1,FIND("G",B225)+1),
FIND("T",B225)-(IF(ISNUMBER(FIND("F",B225)),FIND("F",B225)+1,FIND("G",B225)+1))
)),
VALUE(MID(B225,FIND("E0",B225)+2,FIND("T",B225,FIND("E0",B225))-(FIND("E0",B225)+2)))
))),"")</f>
        <v/>
      </c>
      <c r="G225">
        <f>IFERROR(
IF(ISNUMBER(FIND("T2",B225)),220,
IF(ISNUMBER(FIND("T4",B225)),440,
IF(ISNUMBER(FIND("T5",B225)),575,
IF(ISNUMBER(FIND("T6",B225)),690,"")))),
"")</f>
        <v>440</v>
      </c>
    </row>
    <row r="226" spans="1:7" x14ac:dyDescent="0.25">
      <c r="A226">
        <v>13925345</v>
      </c>
      <c r="B226" t="str">
        <f>VLOOKUP(A226,Planilha2!B:C,2,0)</f>
        <v>INVERSOR CFW700C45P0T4DB55DS</v>
      </c>
      <c r="C226" t="s">
        <v>1</v>
      </c>
      <c r="D226" t="str">
        <f>VLOOKUP(A226,Planilha2!B:H,7,0)</f>
        <v>OBSOLETOS DRIVES</v>
      </c>
      <c r="E226" s="5">
        <v>19600</v>
      </c>
      <c r="F226" t="str">
        <f>IFERROR(
IF(ISNUMBER(FIND("CFW110",B226)),
VALUE(MID(B226,FIND("CFW110",B226)+6,FIND("T",B226,FIND("CFW110",B226))-(FIND("CFW110",B226)+6))),
IF(ISNUMBER(FIND("D",B226)),
VALUE(SUBSTITUTE(MID(B226,FIND("D",B226)+1,FIND("T",B226,FIND("D",B226))-(FIND("D",B226)+1)),"P",",")),
IF(ISNUMBER(FIND("CFW5",B226)),
VALUE(MID(B226,
IF(ISNUMBER(FIND("F",B226)),FIND("F",B226)+1,FIND("G",B226)+1),
FIND("T",B226)-(IF(ISNUMBER(FIND("F",B226)),FIND("F",B226)+1,FIND("G",B226)+1))
)),
VALUE(MID(B226,FIND("E0",B226)+2,FIND("T",B226,FIND("E0",B226))-(FIND("E0",B226)+2)))
))),"")</f>
        <v/>
      </c>
      <c r="G226">
        <f>IFERROR(
IF(ISNUMBER(FIND("T2",B226)),220,
IF(ISNUMBER(FIND("T4",B226)),440,
IF(ISNUMBER(FIND("T5",B226)),575,
IF(ISNUMBER(FIND("T6",B226)),690,"")))),
"")</f>
        <v>440</v>
      </c>
    </row>
    <row r="227" spans="1:7" x14ac:dyDescent="0.25">
      <c r="A227">
        <v>13925346</v>
      </c>
      <c r="B227" t="str">
        <f>VLOOKUP(A227,Planilha2!B:C,2,0)</f>
        <v>INVERSOR CFW700C58P5T4DB55DS</v>
      </c>
      <c r="C227" t="s">
        <v>1</v>
      </c>
      <c r="D227" t="str">
        <f>VLOOKUP(A227,Planilha2!B:H,7,0)</f>
        <v>OBSOLETOS DRIVES</v>
      </c>
      <c r="E227" s="5">
        <v>20500</v>
      </c>
      <c r="F227" t="str">
        <f>IFERROR(
IF(ISNUMBER(FIND("CFW110",B227)),
VALUE(MID(B227,FIND("CFW110",B227)+6,FIND("T",B227,FIND("CFW110",B227))-(FIND("CFW110",B227)+6))),
IF(ISNUMBER(FIND("D",B227)),
VALUE(SUBSTITUTE(MID(B227,FIND("D",B227)+1,FIND("T",B227,FIND("D",B227))-(FIND("D",B227)+1)),"P",",")),
IF(ISNUMBER(FIND("CFW5",B227)),
VALUE(MID(B227,
IF(ISNUMBER(FIND("F",B227)),FIND("F",B227)+1,FIND("G",B227)+1),
FIND("T",B227)-(IF(ISNUMBER(FIND("F",B227)),FIND("F",B227)+1,FIND("G",B227)+1))
)),
VALUE(MID(B227,FIND("E0",B227)+2,FIND("T",B227,FIND("E0",B227))-(FIND("E0",B227)+2)))
))),"")</f>
        <v/>
      </c>
      <c r="G227">
        <f>IFERROR(
IF(ISNUMBER(FIND("T2",B227)),220,
IF(ISNUMBER(FIND("T4",B227)),440,
IF(ISNUMBER(FIND("T5",B227)),575,
IF(ISNUMBER(FIND("T6",B227)),690,"")))),
"")</f>
        <v>440</v>
      </c>
    </row>
    <row r="228" spans="1:7" x14ac:dyDescent="0.25">
      <c r="A228">
        <v>14078025</v>
      </c>
      <c r="B228" t="str">
        <f>VLOOKUP(A228,Planilha2!B:C,2,0)</f>
        <v>INVERSOR CFW700C70P0T2DBHIR</v>
      </c>
      <c r="C228" t="s">
        <v>1</v>
      </c>
      <c r="D228" t="str">
        <f>VLOOKUP(A228,Planilha2!B:H,7,0)</f>
        <v>OBSOLETOS DRIVES</v>
      </c>
      <c r="E228" s="5">
        <v>26580</v>
      </c>
      <c r="F228" t="str">
        <f>IFERROR(
IF(ISNUMBER(FIND("CFW110",B228)),
VALUE(MID(B228,FIND("CFW110",B228)+6,FIND("T",B228,FIND("CFW110",B228))-(FIND("CFW110",B228)+6))),
IF(ISNUMBER(FIND("D",B228)),
VALUE(SUBSTITUTE(MID(B228,FIND("D",B228)+1,FIND("T",B228,FIND("D",B228))-(FIND("D",B228)+1)),"P",",")),
IF(ISNUMBER(FIND("CFW5",B228)),
VALUE(MID(B228,
IF(ISNUMBER(FIND("F",B228)),FIND("F",B228)+1,FIND("G",B228)+1),
FIND("T",B228)-(IF(ISNUMBER(FIND("F",B228)),FIND("F",B228)+1,FIND("G",B228)+1))
)),
VALUE(MID(B228,FIND("E0",B228)+2,FIND("T",B228,FIND("E0",B228))-(FIND("E0",B228)+2)))
))),"")</f>
        <v/>
      </c>
      <c r="G228">
        <f>IFERROR(
IF(ISNUMBER(FIND("T2",B228)),220,
IF(ISNUMBER(FIND("T4",B228)),440,
IF(ISNUMBER(FIND("T5",B228)),575,
IF(ISNUMBER(FIND("T6",B228)),690,"")))),
"")</f>
        <v>220</v>
      </c>
    </row>
    <row r="229" spans="1:7" x14ac:dyDescent="0.25">
      <c r="A229">
        <v>14080462</v>
      </c>
      <c r="B229" t="str">
        <f>VLOOKUP(A229,Planilha2!B:C,2,0)</f>
        <v>INVERSOR CFW700D0105T2DBN1HIR</v>
      </c>
      <c r="C229" t="s">
        <v>1</v>
      </c>
      <c r="D229" t="str">
        <f>VLOOKUP(A229,Planilha2!B:H,7,0)</f>
        <v>OBSOLETOS DRIVES</v>
      </c>
      <c r="E229" s="5">
        <v>26580</v>
      </c>
      <c r="F229">
        <f>IFERROR(
IF(ISNUMBER(FIND("CFW110",B229)),
VALUE(MID(B229,FIND("CFW110",B229)+6,FIND("T",B229,FIND("CFW110",B229))-(FIND("CFW110",B229)+6))),
IF(ISNUMBER(FIND("D",B229)),
VALUE(SUBSTITUTE(MID(B229,FIND("D",B229)+1,FIND("T",B229,FIND("D",B229))-(FIND("D",B229)+1)),"P",",")),
IF(ISNUMBER(FIND("CFW5",B229)),
VALUE(MID(B229,
IF(ISNUMBER(FIND("F",B229)),FIND("F",B229)+1,FIND("G",B229)+1),
FIND("T",B229)-(IF(ISNUMBER(FIND("F",B229)),FIND("F",B229)+1,FIND("G",B229)+1))
)),
VALUE(MID(B229,FIND("E0",B229)+2,FIND("T",B229,FIND("E0",B229))-(FIND("E0",B229)+2)))
))),"")</f>
        <v>105</v>
      </c>
      <c r="G229">
        <f>IFERROR(
IF(ISNUMBER(FIND("T2",B229)),220,
IF(ISNUMBER(FIND("T4",B229)),440,
IF(ISNUMBER(FIND("T5",B229)),575,
IF(ISNUMBER(FIND("T6",B229)),690,"")))),
"")</f>
        <v>220</v>
      </c>
    </row>
    <row r="230" spans="1:7" x14ac:dyDescent="0.25">
      <c r="A230">
        <v>14068227</v>
      </c>
      <c r="B230" t="str">
        <f>VLOOKUP(A230,Planilha2!B:C,2,0)</f>
        <v>INVERSOR CFW701C45P0T4DB55C3SZ</v>
      </c>
      <c r="C230" t="s">
        <v>1</v>
      </c>
      <c r="D230" t="str">
        <f>VLOOKUP(A230,Planilha2!B:H,7,0)</f>
        <v>OBSOLETOS DRIVES</v>
      </c>
      <c r="E230" s="5">
        <v>19842</v>
      </c>
      <c r="F230" t="str">
        <f>IFERROR(
IF(ISNUMBER(FIND("CFW110",B230)),
VALUE(MID(B230,FIND("CFW110",B230)+6,FIND("T",B230,FIND("CFW110",B230))-(FIND("CFW110",B230)+6))),
IF(ISNUMBER(FIND("D",B230)),
VALUE(SUBSTITUTE(MID(B230,FIND("D",B230)+1,FIND("T",B230,FIND("D",B230))-(FIND("D",B230)+1)),"P",",")),
IF(ISNUMBER(FIND("CFW5",B230)),
VALUE(MID(B230,
IF(ISNUMBER(FIND("F",B230)),FIND("F",B230)+1,FIND("G",B230)+1),
FIND("T",B230)-(IF(ISNUMBER(FIND("F",B230)),FIND("F",B230)+1,FIND("G",B230)+1))
)),
VALUE(MID(B230,FIND("E0",B230)+2,FIND("T",B230,FIND("E0",B230))-(FIND("E0",B230)+2)))
))),"")</f>
        <v/>
      </c>
      <c r="G230">
        <f>IFERROR(
IF(ISNUMBER(FIND("T2",B230)),220,
IF(ISNUMBER(FIND("T4",B230)),440,
IF(ISNUMBER(FIND("T5",B230)),575,
IF(ISNUMBER(FIND("T6",B230)),690,"")))),
"")</f>
        <v>440</v>
      </c>
    </row>
    <row r="231" spans="1:7" x14ac:dyDescent="0.25">
      <c r="A231">
        <v>14107255</v>
      </c>
      <c r="B231" t="str">
        <f>VLOOKUP(A231,Planilha2!B:C,2,0)</f>
        <v>INVERSOR CFW700D32P0T5NBN1C3Y1HASC</v>
      </c>
      <c r="C231" t="s">
        <v>1</v>
      </c>
      <c r="D231" t="str">
        <f>VLOOKUP(A231,Planilha2!B:H,7,0)</f>
        <v>OBSOLETOS DRIVES</v>
      </c>
      <c r="E231" s="5">
        <v>20280</v>
      </c>
      <c r="F231">
        <f>IFERROR(
IF(ISNUMBER(FIND("CFW110",B231)),
VALUE(MID(B231,FIND("CFW110",B231)+6,FIND("T",B231,FIND("CFW110",B231))-(FIND("CFW110",B231)+6))),
IF(ISNUMBER(FIND("D",B231)),
VALUE(SUBSTITUTE(MID(B231,FIND("D",B231)+1,FIND("T",B231,FIND("D",B231))-(FIND("D",B231)+1)),"P",",")),
IF(ISNUMBER(FIND("CFW5",B231)),
VALUE(MID(B231,
IF(ISNUMBER(FIND("F",B231)),FIND("F",B231)+1,FIND("G",B231)+1),
FIND("T",B231)-(IF(ISNUMBER(FIND("F",B231)),FIND("F",B231)+1,FIND("G",B231)+1))
)),
VALUE(MID(B231,FIND("E0",B231)+2,FIND("T",B231,FIND("E0",B231))-(FIND("E0",B231)+2)))
))),"")</f>
        <v>32</v>
      </c>
      <c r="G231">
        <f>IFERROR(
IF(ISNUMBER(FIND("T2",B231)),220,
IF(ISNUMBER(FIND("T4",B231)),440,
IF(ISNUMBER(FIND("T5",B231)),575,
IF(ISNUMBER(FIND("T6",B231)),690,"")))),
"")</f>
        <v>575</v>
      </c>
    </row>
    <row r="232" spans="1:7" x14ac:dyDescent="0.25">
      <c r="A232">
        <v>14117397</v>
      </c>
      <c r="B232" t="str">
        <f>VLOOKUP(A232,Planilha2!B:C,2,0)</f>
        <v>INVERSOR BRCFW110058T4OFAYZ</v>
      </c>
      <c r="C232" t="s">
        <v>1</v>
      </c>
      <c r="D232" t="str">
        <f>VLOOKUP(A232,Planilha2!B:H,7,0)</f>
        <v>LINHA M1</v>
      </c>
      <c r="E232" s="5">
        <v>18000</v>
      </c>
      <c r="F232">
        <f>IFERROR(
IF(ISNUMBER(FIND("CFW110",B232)),
VALUE(MID(B232,FIND("CFW110",B232)+6,FIND("T",B232,FIND("CFW110",B232))-(FIND("CFW110",B232)+6))),
IF(ISNUMBER(FIND("D",B232)),
VALUE(SUBSTITUTE(MID(B232,FIND("D",B232)+1,FIND("T",B232,FIND("D",B232))-(FIND("D",B232)+1)),"P",",")),
IF(ISNUMBER(FIND("CFW5",B232)),
VALUE(MID(B232,
IF(ISNUMBER(FIND("F",B232)),FIND("F",B232)+1,FIND("G",B232)+1),
FIND("T",B232)-(IF(ISNUMBER(FIND("F",B232)),FIND("F",B232)+1,FIND("G",B232)+1))
)),
VALUE(MID(B232,FIND("E0",B232)+2,FIND("T",B232,FIND("E0",B232))-(FIND("E0",B232)+2)))
))),"")</f>
        <v>58</v>
      </c>
      <c r="G232">
        <f>IFERROR(
IF(ISNUMBER(FIND("T2",B232)),220,
IF(ISNUMBER(FIND("T4",B232)),440,
IF(ISNUMBER(FIND("T5",B232)),575,
IF(ISNUMBER(FIND("T6",B232)),690,"")))),
"")</f>
        <v>440</v>
      </c>
    </row>
    <row r="233" spans="1:7" x14ac:dyDescent="0.25">
      <c r="A233">
        <v>13922937</v>
      </c>
      <c r="B233" t="str">
        <f>VLOOKUP(A233,Planilha2!B:C,2,0)</f>
        <v>INVERSOR EUCFW110017T6OYWZ</v>
      </c>
      <c r="C233" t="s">
        <v>1</v>
      </c>
      <c r="D233" t="str">
        <f>VLOOKUP(A233,Planilha2!B:H,7,0)</f>
        <v>LINHA M3</v>
      </c>
      <c r="E233" s="5">
        <v>26360</v>
      </c>
      <c r="F233">
        <f>IFERROR(
IF(ISNUMBER(FIND("CFW110",B233)),
VALUE(MID(B233,FIND("CFW110",B233)+6,FIND("T",B233,FIND("CFW110",B233))-(FIND("CFW110",B233)+6))),
IF(ISNUMBER(FIND("D",B233)),
VALUE(SUBSTITUTE(MID(B233,FIND("D",B233)+1,FIND("T",B233,FIND("D",B233))-(FIND("D",B233)+1)),"P",",")),
IF(ISNUMBER(FIND("CFW5",B233)),
VALUE(MID(B233,
IF(ISNUMBER(FIND("F",B233)),FIND("F",B233)+1,FIND("G",B233)+1),
FIND("T",B233)-(IF(ISNUMBER(FIND("F",B233)),FIND("F",B233)+1,FIND("G",B233)+1))
)),
VALUE(MID(B233,FIND("E0",B233)+2,FIND("T",B233,FIND("E0",B233))-(FIND("E0",B233)+2)))
))),"")</f>
        <v>17</v>
      </c>
      <c r="G233">
        <f>IFERROR(
IF(ISNUMBER(FIND("T2",B233)),220,
IF(ISNUMBER(FIND("T4",B233)),440,
IF(ISNUMBER(FIND("T5",B233)),575,
IF(ISNUMBER(FIND("T6",B233)),690,"")))),
"")</f>
        <v>690</v>
      </c>
    </row>
    <row r="234" spans="1:7" x14ac:dyDescent="0.25">
      <c r="A234">
        <v>14837153</v>
      </c>
      <c r="B234" t="str">
        <f>VLOOKUP(A234,Planilha2!B:C,2,0)</f>
        <v>INVERSOR BRCFW110070T2OFAECZ</v>
      </c>
      <c r="C234" t="s">
        <v>1</v>
      </c>
      <c r="D234" t="str">
        <f>VLOOKUP(A234,Planilha2!B:H,7,0)</f>
        <v>LINHA M1</v>
      </c>
      <c r="E234" s="5">
        <v>26460</v>
      </c>
      <c r="F234">
        <f>IFERROR(
IF(ISNUMBER(FIND("CFW110",B234)),
VALUE(MID(B234,FIND("CFW110",B234)+6,FIND("T",B234,FIND("CFW110",B234))-(FIND("CFW110",B234)+6))),
IF(ISNUMBER(FIND("D",B234)),
VALUE(SUBSTITUTE(MID(B234,FIND("D",B234)+1,FIND("T",B234,FIND("D",B234))-(FIND("D",B234)+1)),"P",",")),
IF(ISNUMBER(FIND("CFW5",B234)),
VALUE(MID(B234,
IF(ISNUMBER(FIND("F",B234)),FIND("F",B234)+1,FIND("G",B234)+1),
FIND("T",B234)-(IF(ISNUMBER(FIND("F",B234)),FIND("F",B234)+1,FIND("G",B234)+1))
)),
VALUE(MID(B234,FIND("E0",B234)+2,FIND("T",B234,FIND("E0",B234))-(FIND("E0",B234)+2)))
))),"")</f>
        <v>70</v>
      </c>
      <c r="G234">
        <f>IFERROR(
IF(ISNUMBER(FIND("T2",B234)),220,
IF(ISNUMBER(FIND("T4",B234)),440,
IF(ISNUMBER(FIND("T5",B234)),575,
IF(ISNUMBER(FIND("T6",B234)),690,"")))),
"")</f>
        <v>220</v>
      </c>
    </row>
    <row r="235" spans="1:7" x14ac:dyDescent="0.25">
      <c r="A235">
        <v>14837156</v>
      </c>
      <c r="B235" t="str">
        <f>VLOOKUP(A235,Planilha2!B:C,2,0)</f>
        <v>INVERSOR BRCFW110105T2OFAECZ</v>
      </c>
      <c r="C235" t="s">
        <v>1</v>
      </c>
      <c r="D235" t="str">
        <f>VLOOKUP(A235,Planilha2!B:H,7,0)</f>
        <v>LINHA M3</v>
      </c>
      <c r="E235" s="5">
        <v>26460</v>
      </c>
      <c r="F235">
        <f>IFERROR(
IF(ISNUMBER(FIND("CFW110",B235)),
VALUE(MID(B235,FIND("CFW110",B235)+6,FIND("T",B235,FIND("CFW110",B235))-(FIND("CFW110",B235)+6))),
IF(ISNUMBER(FIND("D",B235)),
VALUE(SUBSTITUTE(MID(B235,FIND("D",B235)+1,FIND("T",B235,FIND("D",B235))-(FIND("D",B235)+1)),"P",",")),
IF(ISNUMBER(FIND("CFW5",B235)),
VALUE(MID(B235,
IF(ISNUMBER(FIND("F",B235)),FIND("F",B235)+1,FIND("G",B235)+1),
FIND("T",B235)-(IF(ISNUMBER(FIND("F",B235)),FIND("F",B235)+1,FIND("G",B235)+1))
)),
VALUE(MID(B235,FIND("E0",B235)+2,FIND("T",B235,FIND("E0",B235))-(FIND("E0",B235)+2)))
))),"")</f>
        <v>105</v>
      </c>
      <c r="G235">
        <f>IFERROR(
IF(ISNUMBER(FIND("T2",B235)),220,
IF(ISNUMBER(FIND("T4",B235)),440,
IF(ISNUMBER(FIND("T5",B235)),575,
IF(ISNUMBER(FIND("T6",B235)),690,"")))),
"")</f>
        <v>220</v>
      </c>
    </row>
    <row r="236" spans="1:7" x14ac:dyDescent="0.25">
      <c r="A236">
        <v>14837178</v>
      </c>
      <c r="B236" t="str">
        <f>VLOOKUP(A236,Planilha2!B:C,2,0)</f>
        <v>INVERSOR BRCFW110142T2OECZ</v>
      </c>
      <c r="C236" t="s">
        <v>1</v>
      </c>
      <c r="D236" t="str">
        <f>VLOOKUP(A236,Planilha2!B:H,7,0)</f>
        <v>LINHA G1</v>
      </c>
      <c r="E236" s="5">
        <v>64598</v>
      </c>
      <c r="F236">
        <f>IFERROR(
IF(ISNUMBER(FIND("CFW110",B236)),
VALUE(MID(B236,FIND("CFW110",B236)+6,FIND("T",B236,FIND("CFW110",B236))-(FIND("CFW110",B236)+6))),
IF(ISNUMBER(FIND("D",B236)),
VALUE(SUBSTITUTE(MID(B236,FIND("D",B236)+1,FIND("T",B236,FIND("D",B236))-(FIND("D",B236)+1)),"P",",")),
IF(ISNUMBER(FIND("CFW5",B236)),
VALUE(MID(B236,
IF(ISNUMBER(FIND("F",B236)),FIND("F",B236)+1,FIND("G",B236)+1),
FIND("T",B236)-(IF(ISNUMBER(FIND("F",B236)),FIND("F",B236)+1,FIND("G",B236)+1))
)),
VALUE(MID(B236,FIND("E0",B236)+2,FIND("T",B236,FIND("E0",B236))-(FIND("E0",B236)+2)))
))),"")</f>
        <v>142</v>
      </c>
      <c r="G236">
        <f>IFERROR(
IF(ISNUMBER(FIND("T2",B236)),220,
IF(ISNUMBER(FIND("T4",B236)),440,
IF(ISNUMBER(FIND("T5",B236)),575,
IF(ISNUMBER(FIND("T6",B236)),690,"")))),
"")</f>
        <v>220</v>
      </c>
    </row>
    <row r="237" spans="1:7" x14ac:dyDescent="0.25">
      <c r="A237">
        <v>14837180</v>
      </c>
      <c r="B237" t="str">
        <f>VLOOKUP(A237,Planilha2!B:C,2,0)</f>
        <v>INVERSOR BRCFW110054T2OFAECZ</v>
      </c>
      <c r="C237" t="s">
        <v>1</v>
      </c>
      <c r="D237" t="str">
        <f>VLOOKUP(A237,Planilha2!B:H,7,0)</f>
        <v>LINHA M1</v>
      </c>
      <c r="E237" s="5">
        <v>26460</v>
      </c>
      <c r="F237">
        <f>IFERROR(
IF(ISNUMBER(FIND("CFW110",B237)),
VALUE(MID(B237,FIND("CFW110",B237)+6,FIND("T",B237,FIND("CFW110",B237))-(FIND("CFW110",B237)+6))),
IF(ISNUMBER(FIND("D",B237)),
VALUE(SUBSTITUTE(MID(B237,FIND("D",B237)+1,FIND("T",B237,FIND("D",B237))-(FIND("D",B237)+1)),"P",",")),
IF(ISNUMBER(FIND("CFW5",B237)),
VALUE(MID(B237,
IF(ISNUMBER(FIND("F",B237)),FIND("F",B237)+1,FIND("G",B237)+1),
FIND("T",B237)-(IF(ISNUMBER(FIND("F",B237)),FIND("F",B237)+1,FIND("G",B237)+1))
)),
VALUE(MID(B237,FIND("E0",B237)+2,FIND("T",B237,FIND("E0",B237))-(FIND("E0",B237)+2)))
))),"")</f>
        <v>54</v>
      </c>
      <c r="G237">
        <f>IFERROR(
IF(ISNUMBER(FIND("T2",B237)),220,
IF(ISNUMBER(FIND("T4",B237)),440,
IF(ISNUMBER(FIND("T5",B237)),575,
IF(ISNUMBER(FIND("T6",B237)),690,"")))),
"")</f>
        <v>220</v>
      </c>
    </row>
    <row r="238" spans="1:7" x14ac:dyDescent="0.25">
      <c r="A238">
        <v>14837185</v>
      </c>
      <c r="B238" t="str">
        <f>VLOOKUP(A238,Planilha2!B:C,2,0)</f>
        <v>INVERSOR BRCFW110086T2OFAECZ</v>
      </c>
      <c r="C238" t="s">
        <v>1</v>
      </c>
      <c r="D238" t="str">
        <f>VLOOKUP(A238,Planilha2!B:H,7,0)</f>
        <v>LINHA M3</v>
      </c>
      <c r="E238" s="5">
        <v>26460</v>
      </c>
      <c r="F238">
        <f>IFERROR(
IF(ISNUMBER(FIND("CFW110",B238)),
VALUE(MID(B238,FIND("CFW110",B238)+6,FIND("T",B238,FIND("CFW110",B238))-(FIND("CFW110",B238)+6))),
IF(ISNUMBER(FIND("D",B238)),
VALUE(SUBSTITUTE(MID(B238,FIND("D",B238)+1,FIND("T",B238,FIND("D",B238))-(FIND("D",B238)+1)),"P",",")),
IF(ISNUMBER(FIND("CFW5",B238)),
VALUE(MID(B238,
IF(ISNUMBER(FIND("F",B238)),FIND("F",B238)+1,FIND("G",B238)+1),
FIND("T",B238)-(IF(ISNUMBER(FIND("F",B238)),FIND("F",B238)+1,FIND("G",B238)+1))
)),
VALUE(MID(B238,FIND("E0",B238)+2,FIND("T",B238,FIND("E0",B238))-(FIND("E0",B238)+2)))
))),"")</f>
        <v>86</v>
      </c>
      <c r="G238">
        <f>IFERROR(
IF(ISNUMBER(FIND("T2",B238)),220,
IF(ISNUMBER(FIND("T4",B238)),440,
IF(ISNUMBER(FIND("T5",B238)),575,
IF(ISNUMBER(FIND("T6",B238)),690,"")))),
"")</f>
        <v>220</v>
      </c>
    </row>
    <row r="239" spans="1:7" x14ac:dyDescent="0.25">
      <c r="A239">
        <v>14837186</v>
      </c>
      <c r="B239" t="str">
        <f>VLOOKUP(A239,Planilha2!B:C,2,0)</f>
        <v>INVERSOR BRCFW110058T4OFAECZ</v>
      </c>
      <c r="C239" t="s">
        <v>1</v>
      </c>
      <c r="D239" t="str">
        <f>VLOOKUP(A239,Planilha2!B:H,7,0)</f>
        <v>LINHA M1</v>
      </c>
      <c r="E239" s="5">
        <v>20960</v>
      </c>
      <c r="F239">
        <f>IFERROR(
IF(ISNUMBER(FIND("CFW110",B239)),
VALUE(MID(B239,FIND("CFW110",B239)+6,FIND("T",B239,FIND("CFW110",B239))-(FIND("CFW110",B239)+6))),
IF(ISNUMBER(FIND("D",B239)),
VALUE(SUBSTITUTE(MID(B239,FIND("D",B239)+1,FIND("T",B239,FIND("D",B239))-(FIND("D",B239)+1)),"P",",")),
IF(ISNUMBER(FIND("CFW5",B239)),
VALUE(MID(B239,
IF(ISNUMBER(FIND("F",B239)),FIND("F",B239)+1,FIND("G",B239)+1),
FIND("T",B239)-(IF(ISNUMBER(FIND("F",B239)),FIND("F",B239)+1,FIND("G",B239)+1))
)),
VALUE(MID(B239,FIND("E0",B239)+2,FIND("T",B239,FIND("E0",B239))-(FIND("E0",B239)+2)))
))),"")</f>
        <v>58</v>
      </c>
      <c r="G239">
        <f>IFERROR(
IF(ISNUMBER(FIND("T2",B239)),220,
IF(ISNUMBER(FIND("T4",B239)),440,
IF(ISNUMBER(FIND("T5",B239)),575,
IF(ISNUMBER(FIND("T6",B239)),690,"")))),
"")</f>
        <v>440</v>
      </c>
    </row>
    <row r="240" spans="1:7" x14ac:dyDescent="0.25">
      <c r="A240">
        <v>14837222</v>
      </c>
      <c r="B240" t="str">
        <f>VLOOKUP(A240,Planilha2!B:C,2,0)</f>
        <v>INVERSOR BRCFW110038T4OFAECZ</v>
      </c>
      <c r="C240" t="s">
        <v>1</v>
      </c>
      <c r="D240" t="str">
        <f>VLOOKUP(A240,Planilha2!B:H,7,0)</f>
        <v>LINHA M1</v>
      </c>
      <c r="E240" s="5">
        <v>10460</v>
      </c>
      <c r="F240">
        <f>IFERROR(
IF(ISNUMBER(FIND("CFW110",B240)),
VALUE(MID(B240,FIND("CFW110",B240)+6,FIND("T",B240,FIND("CFW110",B240))-(FIND("CFW110",B240)+6))),
IF(ISNUMBER(FIND("D",B240)),
VALUE(SUBSTITUTE(MID(B240,FIND("D",B240)+1,FIND("T",B240,FIND("D",B240))-(FIND("D",B240)+1)),"P",",")),
IF(ISNUMBER(FIND("CFW5",B240)),
VALUE(MID(B240,
IF(ISNUMBER(FIND("F",B240)),FIND("F",B240)+1,FIND("G",B240)+1),
FIND("T",B240)-(IF(ISNUMBER(FIND("F",B240)),FIND("F",B240)+1,FIND("G",B240)+1))
)),
VALUE(MID(B240,FIND("E0",B240)+2,FIND("T",B240,FIND("E0",B240))-(FIND("E0",B240)+2)))
))),"")</f>
        <v>38</v>
      </c>
      <c r="G240">
        <f>IFERROR(
IF(ISNUMBER(FIND("T2",B240)),220,
IF(ISNUMBER(FIND("T4",B240)),440,
IF(ISNUMBER(FIND("T5",B240)),575,
IF(ISNUMBER(FIND("T6",B240)),690,"")))),
"")</f>
        <v>440</v>
      </c>
    </row>
    <row r="241" spans="1:7" x14ac:dyDescent="0.25">
      <c r="A241">
        <v>14837224</v>
      </c>
      <c r="B241" t="str">
        <f>VLOOKUP(A241,Planilha2!B:C,2,0)</f>
        <v>INVERSOR BRCFW110088T4OFAECZ</v>
      </c>
      <c r="C241" t="s">
        <v>1</v>
      </c>
      <c r="D241" t="str">
        <f>VLOOKUP(A241,Planilha2!B:H,7,0)</f>
        <v>LINHA M3</v>
      </c>
      <c r="E241" s="5">
        <v>26460</v>
      </c>
      <c r="F241">
        <f>IFERROR(
IF(ISNUMBER(FIND("CFW110",B241)),
VALUE(MID(B241,FIND("CFW110",B241)+6,FIND("T",B241,FIND("CFW110",B241))-(FIND("CFW110",B241)+6))),
IF(ISNUMBER(FIND("D",B241)),
VALUE(SUBSTITUTE(MID(B241,FIND("D",B241)+1,FIND("T",B241,FIND("D",B241))-(FIND("D",B241)+1)),"P",",")),
IF(ISNUMBER(FIND("CFW5",B241)),
VALUE(MID(B241,
IF(ISNUMBER(FIND("F",B241)),FIND("F",B241)+1,FIND("G",B241)+1),
FIND("T",B241)-(IF(ISNUMBER(FIND("F",B241)),FIND("F",B241)+1,FIND("G",B241)+1))
)),
VALUE(MID(B241,FIND("E0",B241)+2,FIND("T",B241,FIND("E0",B241))-(FIND("E0",B241)+2)))
))),"")</f>
        <v>88</v>
      </c>
      <c r="G241">
        <f>IFERROR(
IF(ISNUMBER(FIND("T2",B241)),220,
IF(ISNUMBER(FIND("T4",B241)),440,
IF(ISNUMBER(FIND("T5",B241)),575,
IF(ISNUMBER(FIND("T6",B241)),690,"")))),
"")</f>
        <v>440</v>
      </c>
    </row>
    <row r="242" spans="1:7" x14ac:dyDescent="0.25">
      <c r="A242">
        <v>14837575</v>
      </c>
      <c r="B242" t="str">
        <f>VLOOKUP(A242,Planilha2!B:C,2,0)</f>
        <v>INVERSOR CFW701D88P0T4DB55C3Y1DS</v>
      </c>
      <c r="C242" t="s">
        <v>1</v>
      </c>
      <c r="D242" t="str">
        <f>VLOOKUP(A242,Planilha2!B:H,7,0)</f>
        <v>OBSOLETOS DRIVES</v>
      </c>
      <c r="E242" s="5">
        <v>49080</v>
      </c>
      <c r="F242">
        <f>IFERROR(
IF(ISNUMBER(FIND("CFW110",B242)),
VALUE(MID(B242,FIND("CFW110",B242)+6,FIND("T",B242,FIND("CFW110",B242))-(FIND("CFW110",B242)+6))),
IF(ISNUMBER(FIND("D",B242)),
VALUE(SUBSTITUTE(MID(B242,FIND("D",B242)+1,FIND("T",B242,FIND("D",B242))-(FIND("D",B242)+1)),"P",",")),
IF(ISNUMBER(FIND("CFW5",B242)),
VALUE(MID(B242,
IF(ISNUMBER(FIND("F",B242)),FIND("F",B242)+1,FIND("G",B242)+1),
FIND("T",B242)-(IF(ISNUMBER(FIND("F",B242)),FIND("F",B242)+1,FIND("G",B242)+1))
)),
VALUE(MID(B242,FIND("E0",B242)+2,FIND("T",B242,FIND("E0",B242))-(FIND("E0",B242)+2)))
))),"")</f>
        <v>88</v>
      </c>
      <c r="G242">
        <f>IFERROR(
IF(ISNUMBER(FIND("T2",B242)),220,
IF(ISNUMBER(FIND("T4",B242)),440,
IF(ISNUMBER(FIND("T5",B242)),575,
IF(ISNUMBER(FIND("T6",B242)),690,"")))),
"")</f>
        <v>440</v>
      </c>
    </row>
    <row r="243" spans="1:7" x14ac:dyDescent="0.25">
      <c r="A243">
        <v>14803481</v>
      </c>
      <c r="B243" t="str">
        <f>VLOOKUP(A243,Planilha2!B:C,2,0)</f>
        <v>INVERSOR EUCFW110002T6OYWZ</v>
      </c>
      <c r="C243" t="s">
        <v>1</v>
      </c>
      <c r="D243" t="str">
        <f>VLOOKUP(A243,Planilha2!B:H,7,0)</f>
        <v>LINHA M3</v>
      </c>
      <c r="E243" s="5">
        <v>6300</v>
      </c>
      <c r="F243">
        <f>IFERROR(
IF(ISNUMBER(FIND("CFW110",B243)),
VALUE(MID(B243,FIND("CFW110",B243)+6,FIND("T",B243,FIND("CFW110",B243))-(FIND("CFW110",B243)+6))),
IF(ISNUMBER(FIND("D",B243)),
VALUE(SUBSTITUTE(MID(B243,FIND("D",B243)+1,FIND("T",B243,FIND("D",B243))-(FIND("D",B243)+1)),"P",",")),
IF(ISNUMBER(FIND("CFW5",B243)),
VALUE(MID(B243,
IF(ISNUMBER(FIND("F",B243)),FIND("F",B243)+1,FIND("G",B243)+1),
FIND("T",B243)-(IF(ISNUMBER(FIND("F",B243)),FIND("F",B243)+1,FIND("G",B243)+1))
)),
VALUE(MID(B243,FIND("E0",B243)+2,FIND("T",B243,FIND("E0",B243))-(FIND("E0",B243)+2)))
))),"")</f>
        <v>2</v>
      </c>
      <c r="G243">
        <f>IFERROR(
IF(ISNUMBER(FIND("T2",B243)),220,
IF(ISNUMBER(FIND("T4",B243)),440,
IF(ISNUMBER(FIND("T5",B243)),575,
IF(ISNUMBER(FIND("T6",B243)),690,"")))),
"")</f>
        <v>690</v>
      </c>
    </row>
    <row r="244" spans="1:7" x14ac:dyDescent="0.25">
      <c r="A244">
        <v>14803484</v>
      </c>
      <c r="B244" t="str">
        <f>VLOOKUP(A244,Planilha2!B:C,2,0)</f>
        <v>INVERSOR EUCFW110012T6OYWZ</v>
      </c>
      <c r="C244" t="s">
        <v>1</v>
      </c>
      <c r="D244" t="str">
        <f>VLOOKUP(A244,Planilha2!B:H,7,0)</f>
        <v>LINHA M3</v>
      </c>
      <c r="E244" s="5">
        <v>15000</v>
      </c>
      <c r="F244">
        <f>IFERROR(
IF(ISNUMBER(FIND("CFW110",B244)),
VALUE(MID(B244,FIND("CFW110",B244)+6,FIND("T",B244,FIND("CFW110",B244))-(FIND("CFW110",B244)+6))),
IF(ISNUMBER(FIND("D",B244)),
VALUE(SUBSTITUTE(MID(B244,FIND("D",B244)+1,FIND("T",B244,FIND("D",B244))-(FIND("D",B244)+1)),"P",",")),
IF(ISNUMBER(FIND("CFW5",B244)),
VALUE(MID(B244,
IF(ISNUMBER(FIND("F",B244)),FIND("F",B244)+1,FIND("G",B244)+1),
FIND("T",B244)-(IF(ISNUMBER(FIND("F",B244)),FIND("F",B244)+1,FIND("G",B244)+1))
)),
VALUE(MID(B244,FIND("E0",B244)+2,FIND("T",B244,FIND("E0",B244))-(FIND("E0",B244)+2)))
))),"")</f>
        <v>12</v>
      </c>
      <c r="G244">
        <f>IFERROR(
IF(ISNUMBER(FIND("T2",B244)),220,
IF(ISNUMBER(FIND("T4",B244)),440,
IF(ISNUMBER(FIND("T5",B244)),575,
IF(ISNUMBER(FIND("T6",B244)),690,"")))),
"")</f>
        <v>690</v>
      </c>
    </row>
    <row r="245" spans="1:7" x14ac:dyDescent="0.25">
      <c r="A245">
        <v>14803486</v>
      </c>
      <c r="B245" t="str">
        <f>VLOOKUP(A245,Planilha2!B:C,2,0)</f>
        <v>INVERSOR EUCFW110027T6OYWZ</v>
      </c>
      <c r="C245" t="s">
        <v>1</v>
      </c>
      <c r="D245" t="str">
        <f>VLOOKUP(A245,Planilha2!B:H,7,0)</f>
        <v>LINHA M3</v>
      </c>
      <c r="E245" s="5">
        <v>25000</v>
      </c>
      <c r="F245">
        <f>IFERROR(
IF(ISNUMBER(FIND("CFW110",B245)),
VALUE(MID(B245,FIND("CFW110",B245)+6,FIND("T",B245,FIND("CFW110",B245))-(FIND("CFW110",B245)+6))),
IF(ISNUMBER(FIND("D",B245)),
VALUE(SUBSTITUTE(MID(B245,FIND("D",B245)+1,FIND("T",B245,FIND("D",B245))-(FIND("D",B245)+1)),"P",",")),
IF(ISNUMBER(FIND("CFW5",B245)),
VALUE(MID(B245,
IF(ISNUMBER(FIND("F",B245)),FIND("F",B245)+1,FIND("G",B245)+1),
FIND("T",B245)-(IF(ISNUMBER(FIND("F",B245)),FIND("F",B245)+1,FIND("G",B245)+1))
)),
VALUE(MID(B245,FIND("E0",B245)+2,FIND("T",B245,FIND("E0",B245))-(FIND("E0",B245)+2)))
))),"")</f>
        <v>27</v>
      </c>
      <c r="G245">
        <f>IFERROR(
IF(ISNUMBER(FIND("T2",B245)),220,
IF(ISNUMBER(FIND("T4",B245)),440,
IF(ISNUMBER(FIND("T5",B245)),575,
IF(ISNUMBER(FIND("T6",B245)),690,"")))),
"")</f>
        <v>690</v>
      </c>
    </row>
    <row r="246" spans="1:7" x14ac:dyDescent="0.25">
      <c r="A246">
        <v>14803628</v>
      </c>
      <c r="B246" t="str">
        <f>VLOOKUP(A246,Planilha2!B:C,2,0)</f>
        <v>INVERSOR EUCFW110044T6OYWZ</v>
      </c>
      <c r="C246" t="s">
        <v>1</v>
      </c>
      <c r="D246" t="str">
        <f>VLOOKUP(A246,Planilha2!B:H,7,0)</f>
        <v>LINHA M3</v>
      </c>
      <c r="E246" s="5">
        <v>32085</v>
      </c>
      <c r="F246">
        <f>IFERROR(
IF(ISNUMBER(FIND("CFW110",B246)),
VALUE(MID(B246,FIND("CFW110",B246)+6,FIND("T",B246,FIND("CFW110",B246))-(FIND("CFW110",B246)+6))),
IF(ISNUMBER(FIND("D",B246)),
VALUE(SUBSTITUTE(MID(B246,FIND("D",B246)+1,FIND("T",B246,FIND("D",B246))-(FIND("D",B246)+1)),"P",",")),
IF(ISNUMBER(FIND("CFW5",B246)),
VALUE(MID(B246,
IF(ISNUMBER(FIND("F",B246)),FIND("F",B246)+1,FIND("G",B246)+1),
FIND("T",B246)-(IF(ISNUMBER(FIND("F",B246)),FIND("F",B246)+1,FIND("G",B246)+1))
)),
VALUE(MID(B246,FIND("E0",B246)+2,FIND("T",B246,FIND("E0",B246))-(FIND("E0",B246)+2)))
))),"")</f>
        <v>44</v>
      </c>
      <c r="G246">
        <f>IFERROR(
IF(ISNUMBER(FIND("T2",B246)),220,
IF(ISNUMBER(FIND("T4",B246)),440,
IF(ISNUMBER(FIND("T5",B246)),575,
IF(ISNUMBER(FIND("T6",B246)),690,"")))),
"")</f>
        <v>690</v>
      </c>
    </row>
    <row r="247" spans="1:7" x14ac:dyDescent="0.25">
      <c r="A247">
        <v>14320283</v>
      </c>
      <c r="B247" t="str">
        <f>VLOOKUP(A247,Planilha2!B:C,2,0)</f>
        <v>INVERSOR NACFW110142T2O55DSZ</v>
      </c>
      <c r="C247" t="s">
        <v>1</v>
      </c>
      <c r="D247" t="str">
        <f>VLOOKUP(A247,Planilha2!B:H,7,0)</f>
        <v>LINHA E1</v>
      </c>
      <c r="E247" s="5">
        <v>45360</v>
      </c>
      <c r="F247">
        <f>IFERROR(
IF(ISNUMBER(FIND("CFW110",B247)),
VALUE(MID(B247,FIND("CFW110",B247)+6,FIND("T",B247,FIND("CFW110",B247))-(FIND("CFW110",B247)+6))),
IF(ISNUMBER(FIND("D",B247)),
VALUE(SUBSTITUTE(MID(B247,FIND("D",B247)+1,FIND("T",B247,FIND("D",B247))-(FIND("D",B247)+1)),"P",",")),
IF(ISNUMBER(FIND("CFW5",B247)),
VALUE(MID(B247,
IF(ISNUMBER(FIND("F",B247)),FIND("F",B247)+1,FIND("G",B247)+1),
FIND("T",B247)-(IF(ISNUMBER(FIND("F",B247)),FIND("F",B247)+1,FIND("G",B247)+1))
)),
VALUE(MID(B247,FIND("E0",B247)+2,FIND("T",B247,FIND("E0",B247))-(FIND("E0",B247)+2)))
))),"")</f>
        <v>142</v>
      </c>
      <c r="G247">
        <f>IFERROR(
IF(ISNUMBER(FIND("T2",B247)),220,
IF(ISNUMBER(FIND("T4",B247)),440,
IF(ISNUMBER(FIND("T5",B247)),575,
IF(ISNUMBER(FIND("T6",B247)),690,"")))),
"")</f>
        <v>220</v>
      </c>
    </row>
    <row r="248" spans="1:7" x14ac:dyDescent="0.25">
      <c r="A248">
        <v>13925140</v>
      </c>
      <c r="B248" t="str">
        <f>VLOOKUP(A248,Planilha2!B:C,2,0)</f>
        <v>INVERSOR CFW700D70P5T4DB55</v>
      </c>
      <c r="C248" t="s">
        <v>1</v>
      </c>
      <c r="D248" t="str">
        <f>VLOOKUP(A248,Planilha2!B:H,7,0)</f>
        <v>OBSOLETOS DRIVES</v>
      </c>
      <c r="E248" s="5">
        <v>46300</v>
      </c>
      <c r="F248">
        <f>IFERROR(
IF(ISNUMBER(FIND("CFW110",B248)),
VALUE(MID(B248,FIND("CFW110",B248)+6,FIND("T",B248,FIND("CFW110",B248))-(FIND("CFW110",B248)+6))),
IF(ISNUMBER(FIND("D",B248)),
VALUE(SUBSTITUTE(MID(B248,FIND("D",B248)+1,FIND("T",B248,FIND("D",B248))-(FIND("D",B248)+1)),"P",",")),
IF(ISNUMBER(FIND("CFW5",B248)),
VALUE(MID(B248,
IF(ISNUMBER(FIND("F",B248)),FIND("F",B248)+1,FIND("G",B248)+1),
FIND("T",B248)-(IF(ISNUMBER(FIND("F",B248)),FIND("F",B248)+1,FIND("G",B248)+1))
)),
VALUE(MID(B248,FIND("E0",B248)+2,FIND("T",B248,FIND("E0",B248))-(FIND("E0",B248)+2)))
))),"")</f>
        <v>70.5</v>
      </c>
      <c r="G248">
        <f>IFERROR(
IF(ISNUMBER(FIND("T2",B248)),220,
IF(ISNUMBER(FIND("T4",B248)),440,
IF(ISNUMBER(FIND("T5",B248)),575,
IF(ISNUMBER(FIND("T6",B248)),690,"")))),
"")</f>
        <v>440</v>
      </c>
    </row>
    <row r="249" spans="1:7" x14ac:dyDescent="0.25">
      <c r="A249">
        <v>14852078</v>
      </c>
      <c r="B249" t="str">
        <f>VLOOKUP(A249,Planilha2!B:C,2,0)</f>
        <v>INVERSOR CFW700E0142T2DB20H1ACS1</v>
      </c>
      <c r="C249" t="s">
        <v>1</v>
      </c>
      <c r="D249" t="str">
        <f>VLOOKUP(A249,Planilha2!B:H,7,0)</f>
        <v>OBSOLETOS DRIVES</v>
      </c>
      <c r="E249" s="5">
        <v>65608</v>
      </c>
      <c r="F249" t="str">
        <f>IFERROR(
IF(ISNUMBER(FIND("CFW110",B249)),
VALUE(MID(B249,FIND("CFW110",B249)+6,FIND("T",B249,FIND("CFW110",B249))-(FIND("CFW110",B249)+6))),
IF(ISNUMBER(FIND("D",B249)),
VALUE(SUBSTITUTE(MID(B249,FIND("D",B249)+1,FIND("T",B249,FIND("D",B249))-(FIND("D",B249)+1)),"P",",")),
IF(ISNUMBER(FIND("CFW5",B249)),
VALUE(MID(B249,
IF(ISNUMBER(FIND("F",B249)),FIND("F",B249)+1,FIND("G",B249)+1),
FIND("T",B249)-(IF(ISNUMBER(FIND("F",B249)),FIND("F",B249)+1,FIND("G",B249)+1))
)),
VALUE(MID(B249,FIND("E0",B249)+2,FIND("T",B249,FIND("E0",B249))-(FIND("E0",B249)+2)))
))),"")</f>
        <v/>
      </c>
      <c r="G249">
        <f>IFERROR(
IF(ISNUMBER(FIND("T2",B249)),220,
IF(ISNUMBER(FIND("T4",B249)),440,
IF(ISNUMBER(FIND("T5",B249)),575,
IF(ISNUMBER(FIND("T6",B249)),690,"")))),
"")</f>
        <v>220</v>
      </c>
    </row>
    <row r="250" spans="1:7" x14ac:dyDescent="0.25">
      <c r="A250">
        <v>13924680</v>
      </c>
      <c r="B250" t="str">
        <f>VLOOKUP(A250,Planilha2!B:C,2,0)</f>
        <v>INVERSOR CFW700E0142T2NB55C3</v>
      </c>
      <c r="C250" t="s">
        <v>1</v>
      </c>
      <c r="D250" t="str">
        <f>VLOOKUP(A250,Planilha2!B:H,7,0)</f>
        <v>OBSOLETOS DRIVES</v>
      </c>
      <c r="E250" s="5">
        <v>88100</v>
      </c>
      <c r="F250">
        <f>IFERROR(
IF(ISNUMBER(FIND("CFW110",B250)),
VALUE(MID(B250,FIND("CFW110",B250)+6,FIND("T",B250,FIND("CFW110",B250))-(FIND("CFW110",B250)+6))),
IF(ISNUMBER(FIND("D",B250)),
VALUE(SUBSTITUTE(MID(B250,FIND("D",B250)+1,FIND("T",B250,FIND("D",B250))-(FIND("D",B250)+1)),"P",",")),
IF(ISNUMBER(FIND("CFW5",B250)),
VALUE(MID(B250,
IF(ISNUMBER(FIND("F",B250)),FIND("F",B250)+1,FIND("G",B250)+1),
FIND("T",B250)-(IF(ISNUMBER(FIND("F",B250)),FIND("F",B250)+1,FIND("G",B250)+1))
)),
VALUE(MID(B250,FIND("E0",B250)+2,FIND("T",B250,FIND("E0",B250))-(FIND("E0",B250)+2)))
))),"")</f>
        <v>142</v>
      </c>
      <c r="G250">
        <f>IFERROR(
IF(ISNUMBER(FIND("T2",B250)),220,
IF(ISNUMBER(FIND("T4",B250)),440,
IF(ISNUMBER(FIND("T5",B250)),575,
IF(ISNUMBER(FIND("T6",B250)),690,"")))),
"")</f>
        <v>220</v>
      </c>
    </row>
    <row r="251" spans="1:7" x14ac:dyDescent="0.25">
      <c r="A251">
        <v>13920665</v>
      </c>
      <c r="B251" t="str">
        <f>VLOOKUP(A251,Planilha2!B:C,2,0)</f>
        <v>INVERSOR CFW700D70P5T4DB55C3</v>
      </c>
      <c r="C251" t="s">
        <v>1</v>
      </c>
      <c r="D251" t="str">
        <f>VLOOKUP(A251,Planilha2!B:H,7,0)</f>
        <v>OBSOLETOS DRIVES</v>
      </c>
      <c r="E251" s="5">
        <v>46300</v>
      </c>
      <c r="F251">
        <f>IFERROR(
IF(ISNUMBER(FIND("CFW110",B251)),
VALUE(MID(B251,FIND("CFW110",B251)+6,FIND("T",B251,FIND("CFW110",B251))-(FIND("CFW110",B251)+6))),
IF(ISNUMBER(FIND("D",B251)),
VALUE(SUBSTITUTE(MID(B251,FIND("D",B251)+1,FIND("T",B251,FIND("D",B251))-(FIND("D",B251)+1)),"P",",")),
IF(ISNUMBER(FIND("CFW5",B251)),
VALUE(MID(B251,
IF(ISNUMBER(FIND("F",B251)),FIND("F",B251)+1,FIND("G",B251)+1),
FIND("T",B251)-(IF(ISNUMBER(FIND("F",B251)),FIND("F",B251)+1,FIND("G",B251)+1))
)),
VALUE(MID(B251,FIND("E0",B251)+2,FIND("T",B251,FIND("E0",B251))-(FIND("E0",B251)+2)))
))),"")</f>
        <v>70.5</v>
      </c>
      <c r="G251">
        <f>IFERROR(
IF(ISNUMBER(FIND("T2",B251)),220,
IF(ISNUMBER(FIND("T4",B251)),440,
IF(ISNUMBER(FIND("T5",B251)),575,
IF(ISNUMBER(FIND("T6",B251)),690,"")))),
"")</f>
        <v>440</v>
      </c>
    </row>
    <row r="252" spans="1:7" x14ac:dyDescent="0.25">
      <c r="A252">
        <v>13920666</v>
      </c>
      <c r="B252" t="str">
        <f>VLOOKUP(A252,Planilha2!B:C,2,0)</f>
        <v>INVERSOR CFW700D88P0T4DB55C3</v>
      </c>
      <c r="C252" t="s">
        <v>1</v>
      </c>
      <c r="D252" t="str">
        <f>VLOOKUP(A252,Planilha2!B:H,7,0)</f>
        <v>OBSOLETOS DRIVES</v>
      </c>
      <c r="E252" s="5">
        <v>47800</v>
      </c>
      <c r="F252">
        <f>IFERROR(
IF(ISNUMBER(FIND("CFW110",B252)),
VALUE(MID(B252,FIND("CFW110",B252)+6,FIND("T",B252,FIND("CFW110",B252))-(FIND("CFW110",B252)+6))),
IF(ISNUMBER(FIND("D",B252)),
VALUE(SUBSTITUTE(MID(B252,FIND("D",B252)+1,FIND("T",B252,FIND("D",B252))-(FIND("D",B252)+1)),"P",",")),
IF(ISNUMBER(FIND("CFW5",B252)),
VALUE(MID(B252,
IF(ISNUMBER(FIND("F",B252)),FIND("F",B252)+1,FIND("G",B252)+1),
FIND("T",B252)-(IF(ISNUMBER(FIND("F",B252)),FIND("F",B252)+1,FIND("G",B252)+1))
)),
VALUE(MID(B252,FIND("E0",B252)+2,FIND("T",B252,FIND("E0",B252))-(FIND("E0",B252)+2)))
))),"")</f>
        <v>88</v>
      </c>
      <c r="G252">
        <f>IFERROR(
IF(ISNUMBER(FIND("T2",B252)),220,
IF(ISNUMBER(FIND("T4",B252)),440,
IF(ISNUMBER(FIND("T5",B252)),575,
IF(ISNUMBER(FIND("T6",B252)),690,"")))),
"")</f>
        <v>440</v>
      </c>
    </row>
    <row r="253" spans="1:7" x14ac:dyDescent="0.25">
      <c r="A253">
        <v>13924617</v>
      </c>
      <c r="B253" t="str">
        <f>VLOOKUP(A253,Planilha2!B:C,2,0)</f>
        <v>INVERSOR CFW700D86P0T2DB55</v>
      </c>
      <c r="C253" t="s">
        <v>1</v>
      </c>
      <c r="D253" t="str">
        <f>VLOOKUP(A253,Planilha2!B:H,7,0)</f>
        <v>OBSOLETOS DRIVES</v>
      </c>
      <c r="E253" s="5">
        <v>42000</v>
      </c>
      <c r="F253">
        <f>IFERROR(
IF(ISNUMBER(FIND("CFW110",B253)),
VALUE(MID(B253,FIND("CFW110",B253)+6,FIND("T",B253,FIND("CFW110",B253))-(FIND("CFW110",B253)+6))),
IF(ISNUMBER(FIND("D",B253)),
VALUE(SUBSTITUTE(MID(B253,FIND("D",B253)+1,FIND("T",B253,FIND("D",B253))-(FIND("D",B253)+1)),"P",",")),
IF(ISNUMBER(FIND("CFW5",B253)),
VALUE(MID(B253,
IF(ISNUMBER(FIND("F",B253)),FIND("F",B253)+1,FIND("G",B253)+1),
FIND("T",B253)-(IF(ISNUMBER(FIND("F",B253)),FIND("F",B253)+1,FIND("G",B253)+1))
)),
VALUE(MID(B253,FIND("E0",B253)+2,FIND("T",B253,FIND("E0",B253))-(FIND("E0",B253)+2)))
))),"")</f>
        <v>86</v>
      </c>
      <c r="G253">
        <f>IFERROR(
IF(ISNUMBER(FIND("T2",B253)),220,
IF(ISNUMBER(FIND("T4",B253)),440,
IF(ISNUMBER(FIND("T5",B253)),575,
IF(ISNUMBER(FIND("T6",B253)),690,"")))),
"")</f>
        <v>220</v>
      </c>
    </row>
    <row r="254" spans="1:7" x14ac:dyDescent="0.25">
      <c r="A254">
        <v>13924683</v>
      </c>
      <c r="B254" t="str">
        <f>VLOOKUP(A254,Planilha2!B:C,2,0)</f>
        <v>INVERSOR CFW700E0211T2NB55C3</v>
      </c>
      <c r="C254" t="s">
        <v>1</v>
      </c>
      <c r="D254" t="str">
        <f>VLOOKUP(A254,Planilha2!B:H,7,0)</f>
        <v>OBSOLETOS DRIVES</v>
      </c>
      <c r="E254" s="5">
        <v>98200</v>
      </c>
      <c r="F254">
        <f>IFERROR(
IF(ISNUMBER(FIND("CFW110",B254)),
VALUE(MID(B254,FIND("CFW110",B254)+6,FIND("T",B254,FIND("CFW110",B254))-(FIND("CFW110",B254)+6))),
IF(ISNUMBER(FIND("D",B254)),
VALUE(SUBSTITUTE(MID(B254,FIND("D",B254)+1,FIND("T",B254,FIND("D",B254))-(FIND("D",B254)+1)),"P",",")),
IF(ISNUMBER(FIND("CFW5",B254)),
VALUE(MID(B254,
IF(ISNUMBER(FIND("F",B254)),FIND("F",B254)+1,FIND("G",B254)+1),
FIND("T",B254)-(IF(ISNUMBER(FIND("F",B254)),FIND("F",B254)+1,FIND("G",B254)+1))
)),
VALUE(MID(B254,FIND("E0",B254)+2,FIND("T",B254,FIND("E0",B254))-(FIND("E0",B254)+2)))
))),"")</f>
        <v>211</v>
      </c>
      <c r="G254">
        <f>IFERROR(
IF(ISNUMBER(FIND("T2",B254)),220,
IF(ISNUMBER(FIND("T4",B254)),440,
IF(ISNUMBER(FIND("T5",B254)),575,
IF(ISNUMBER(FIND("T6",B254)),690,"")))),
"")</f>
        <v>220</v>
      </c>
    </row>
    <row r="255" spans="1:7" x14ac:dyDescent="0.25">
      <c r="A255">
        <v>14846504</v>
      </c>
      <c r="B255" t="str">
        <f>VLOOKUP(A255,Planilha2!B:C,2,0)</f>
        <v>INVERSOR BRCFW110070T4O55ECZ</v>
      </c>
      <c r="C255" t="s">
        <v>1</v>
      </c>
      <c r="D255" t="str">
        <f>VLOOKUP(A255,Planilha2!B:H,7,0)</f>
        <v>LINHA M3</v>
      </c>
      <c r="E255" t="s">
        <v>3172</v>
      </c>
      <c r="F255">
        <f>IFERROR(
IF(ISNUMBER(FIND("CFW110",B255)),
VALUE(MID(B255,FIND("CFW110",B255)+6,FIND("T",B255,FIND("CFW110",B255))-(FIND("CFW110",B255)+6))),
IF(ISNUMBER(FIND("D",B255)),
VALUE(SUBSTITUTE(MID(B255,FIND("D",B255)+1,FIND("T",B255,FIND("D",B255))-(FIND("D",B255)+1)),"P",",")),
IF(ISNUMBER(FIND("CFW5",B255)),
VALUE(MID(B255,
IF(ISNUMBER(FIND("F",B255)),FIND("F",B255)+1,FIND("G",B255)+1),
FIND("T",B255)-(IF(ISNUMBER(FIND("F",B255)),FIND("F",B255)+1,FIND("G",B255)+1))
)),
VALUE(MID(B255,FIND("E0",B255)+2,FIND("T",B255,FIND("E0",B255))-(FIND("E0",B255)+2)))
))),"")</f>
        <v>70</v>
      </c>
      <c r="G255">
        <f>IFERROR(
IF(ISNUMBER(FIND("T2",B255)),220,
IF(ISNUMBER(FIND("T4",B255)),440,
IF(ISNUMBER(FIND("T5",B255)),575,
IF(ISNUMBER(FIND("T6",B255)),690,"")))),
"")</f>
        <v>440</v>
      </c>
    </row>
    <row r="256" spans="1:7" x14ac:dyDescent="0.25">
      <c r="A256">
        <v>14882241</v>
      </c>
      <c r="B256" t="str">
        <f>VLOOKUP(A256,Planilha2!B:C,2,0)</f>
        <v>INVERSOR MSCFW110070T4OFAZ-UI</v>
      </c>
      <c r="C256" t="s">
        <v>1</v>
      </c>
      <c r="D256" t="str">
        <f>VLOOKUP(A256,Planilha2!B:H,7,0)</f>
        <v>LINHA M3</v>
      </c>
      <c r="E256" s="5">
        <v>31100</v>
      </c>
      <c r="F256">
        <f>IFERROR(
IF(ISNUMBER(FIND("CFW110",B256)),
VALUE(MID(B256,FIND("CFW110",B256)+6,FIND("T",B256,FIND("CFW110",B256))-(FIND("CFW110",B256)+6))),
IF(ISNUMBER(FIND("D",B256)),
VALUE(SUBSTITUTE(MID(B256,FIND("D",B256)+1,FIND("T",B256,FIND("D",B256))-(FIND("D",B256)+1)),"P",",")),
IF(ISNUMBER(FIND("CFW5",B256)),
VALUE(MID(B256,
IF(ISNUMBER(FIND("F",B256)),FIND("F",B256)+1,FIND("G",B256)+1),
FIND("T",B256)-(IF(ISNUMBER(FIND("F",B256)),FIND("F",B256)+1,FIND("G",B256)+1))
)),
VALUE(MID(B256,FIND("E0",B256)+2,FIND("T",B256,FIND("E0",B256))-(FIND("E0",B256)+2)))
))),"")</f>
        <v>70</v>
      </c>
      <c r="G256">
        <f>IFERROR(
IF(ISNUMBER(FIND("T2",B256)),220,
IF(ISNUMBER(FIND("T4",B256)),440,
IF(ISNUMBER(FIND("T5",B256)),575,
IF(ISNUMBER(FIND("T6",B256)),690,"")))),
"")</f>
        <v>440</v>
      </c>
    </row>
    <row r="257" spans="1:7" x14ac:dyDescent="0.25">
      <c r="A257">
        <v>14397284</v>
      </c>
      <c r="B257" t="str">
        <f>VLOOKUP(A257,Planilha2!B:C,2,0)</f>
        <v>INVERSOR BRCFW110142T4OYWZ-UI</v>
      </c>
      <c r="C257" t="s">
        <v>1</v>
      </c>
      <c r="D257" t="str">
        <f>VLOOKUP(A257,Planilha2!B:H,7,0)</f>
        <v>LINHA G1</v>
      </c>
      <c r="E257" s="5">
        <v>60360</v>
      </c>
      <c r="F257">
        <f>IFERROR(
IF(ISNUMBER(FIND("CFW110",B257)),
VALUE(MID(B257,FIND("CFW110",B257)+6,FIND("T",B257,FIND("CFW110",B257))-(FIND("CFW110",B257)+6))),
IF(ISNUMBER(FIND("D",B257)),
VALUE(SUBSTITUTE(MID(B257,FIND("D",B257)+1,FIND("T",B257,FIND("D",B257))-(FIND("D",B257)+1)),"P",",")),
IF(ISNUMBER(FIND("CFW5",B257)),
VALUE(MID(B257,
IF(ISNUMBER(FIND("F",B257)),FIND("F",B257)+1,FIND("G",B257)+1),
FIND("T",B257)-(IF(ISNUMBER(FIND("F",B257)),FIND("F",B257)+1,FIND("G",B257)+1))
)),
VALUE(MID(B257,FIND("E0",B257)+2,FIND("T",B257,FIND("E0",B257))-(FIND("E0",B257)+2)))
))),"")</f>
        <v>142</v>
      </c>
      <c r="G257">
        <f>IFERROR(
IF(ISNUMBER(FIND("T2",B257)),220,
IF(ISNUMBER(FIND("T4",B257)),440,
IF(ISNUMBER(FIND("T5",B257)),575,
IF(ISNUMBER(FIND("T6",B257)),690,"")))),
"")</f>
        <v>440</v>
      </c>
    </row>
    <row r="258" spans="1:7" x14ac:dyDescent="0.25">
      <c r="A258">
        <v>14922220</v>
      </c>
      <c r="B258" t="str">
        <f>VLOOKUP(A258,Planilha2!B:C,2,0)</f>
        <v>INVERSOR EUCFW110088T4OFAYWZ-UI</v>
      </c>
      <c r="C258" t="s">
        <v>1</v>
      </c>
      <c r="D258" t="str">
        <f>VLOOKUP(A258,Planilha2!B:H,7,0)</f>
        <v>LINHA M3</v>
      </c>
      <c r="E258" s="5">
        <v>32960</v>
      </c>
      <c r="F258">
        <f>IFERROR(
IF(ISNUMBER(FIND("CFW110",B258)),
VALUE(MID(B258,FIND("CFW110",B258)+6,FIND("T",B258,FIND("CFW110",B258))-(FIND("CFW110",B258)+6))),
IF(ISNUMBER(FIND("D",B258)),
VALUE(SUBSTITUTE(MID(B258,FIND("D",B258)+1,FIND("T",B258,FIND("D",B258))-(FIND("D",B258)+1)),"P",",")),
IF(ISNUMBER(FIND("CFW5",B258)),
VALUE(MID(B258,
IF(ISNUMBER(FIND("F",B258)),FIND("F",B258)+1,FIND("G",B258)+1),
FIND("T",B258)-(IF(ISNUMBER(FIND("F",B258)),FIND("F",B258)+1,FIND("G",B258)+1))
)),
VALUE(MID(B258,FIND("E0",B258)+2,FIND("T",B258,FIND("E0",B258))-(FIND("E0",B258)+2)))
))),"")</f>
        <v>88</v>
      </c>
      <c r="G258">
        <f>IFERROR(
IF(ISNUMBER(FIND("T2",B258)),220,
IF(ISNUMBER(FIND("T4",B258)),440,
IF(ISNUMBER(FIND("T5",B258)),575,
IF(ISNUMBER(FIND("T6",B258)),690,"")))),
"")</f>
        <v>440</v>
      </c>
    </row>
    <row r="259" spans="1:7" x14ac:dyDescent="0.25">
      <c r="A259">
        <v>11988847</v>
      </c>
      <c r="B259" t="str">
        <f>VLOOKUP(A259,Planilha2!B:C,2,0)</f>
        <v>INVERSOR EUCFW110004T6OYZ</v>
      </c>
      <c r="C259" t="s">
        <v>1</v>
      </c>
      <c r="D259" t="str">
        <f>VLOOKUP(A259,Planilha2!B:H,7,0)</f>
        <v>LINHA M3</v>
      </c>
      <c r="E259" s="5">
        <v>26360</v>
      </c>
      <c r="F259">
        <f>IFERROR(
IF(ISNUMBER(FIND("CFW110",B259)),
VALUE(MID(B259,FIND("CFW110",B259)+6,FIND("T",B259,FIND("CFW110",B259))-(FIND("CFW110",B259)+6))),
IF(ISNUMBER(FIND("D",B259)),
VALUE(SUBSTITUTE(MID(B259,FIND("D",B259)+1,FIND("T",B259,FIND("D",B259))-(FIND("D",B259)+1)),"P",",")),
IF(ISNUMBER(FIND("CFW5",B259)),
VALUE(MID(B259,
IF(ISNUMBER(FIND("F",B259)),FIND("F",B259)+1,FIND("G",B259)+1),
FIND("T",B259)-(IF(ISNUMBER(FIND("F",B259)),FIND("F",B259)+1,FIND("G",B259)+1))
)),
VALUE(MID(B259,FIND("E0",B259)+2,FIND("T",B259,FIND("E0",B259))-(FIND("E0",B259)+2)))
))),"")</f>
        <v>4</v>
      </c>
      <c r="G259">
        <f>IFERROR(
IF(ISNUMBER(FIND("T2",B259)),220,
IF(ISNUMBER(FIND("T4",B259)),440,
IF(ISNUMBER(FIND("T5",B259)),575,
IF(ISNUMBER(FIND("T6",B259)),690,"")))),
"")</f>
        <v>690</v>
      </c>
    </row>
    <row r="260" spans="1:7" x14ac:dyDescent="0.25">
      <c r="A260">
        <v>14949606</v>
      </c>
      <c r="B260" t="str">
        <f>VLOOKUP(A260,Planilha2!B:C,2,0)</f>
        <v>INVERSOR CFW700E0180T4NB55C3Y1</v>
      </c>
      <c r="C260" t="s">
        <v>1</v>
      </c>
      <c r="D260" t="str">
        <f>VLOOKUP(A260,Planilha2!B:H,7,0)</f>
        <v>OBSOLETOS DRIVES</v>
      </c>
      <c r="E260" s="5">
        <v>83370</v>
      </c>
      <c r="F260">
        <f>IFERROR(
IF(ISNUMBER(FIND("CFW110",B260)),
VALUE(MID(B260,FIND("CFW110",B260)+6,FIND("T",B260,FIND("CFW110",B260))-(FIND("CFW110",B260)+6))),
IF(ISNUMBER(FIND("D",B260)),
VALUE(SUBSTITUTE(MID(B260,FIND("D",B260)+1,FIND("T",B260,FIND("D",B260))-(FIND("D",B260)+1)),"P",",")),
IF(ISNUMBER(FIND("CFW5",B260)),
VALUE(MID(B260,
IF(ISNUMBER(FIND("F",B260)),FIND("F",B260)+1,FIND("G",B260)+1),
FIND("T",B260)-(IF(ISNUMBER(FIND("F",B260)),FIND("F",B260)+1,FIND("G",B260)+1))
)),
VALUE(MID(B260,FIND("E0",B260)+2,FIND("T",B260,FIND("E0",B260))-(FIND("E0",B260)+2)))
))),"")</f>
        <v>180</v>
      </c>
      <c r="G260">
        <f>IFERROR(
IF(ISNUMBER(FIND("T2",B260)),220,
IF(ISNUMBER(FIND("T4",B260)),440,
IF(ISNUMBER(FIND("T5",B260)),575,
IF(ISNUMBER(FIND("T6",B260)),690,"")))),
"")</f>
        <v>440</v>
      </c>
    </row>
    <row r="261" spans="1:7" x14ac:dyDescent="0.25">
      <c r="A261">
        <v>14995666</v>
      </c>
      <c r="B261" t="str">
        <f>VLOOKUP(A261,Planilha2!B:C,2,0)</f>
        <v>INVERSOR EUCFW110058T4OFAYWSUZ</v>
      </c>
      <c r="C261" t="s">
        <v>1</v>
      </c>
      <c r="D261" t="str">
        <f>VLOOKUP(A261,Planilha2!B:H,7,0)</f>
        <v>LINHA M1</v>
      </c>
      <c r="E261" s="5">
        <v>4500</v>
      </c>
      <c r="F261">
        <f>IFERROR(
IF(ISNUMBER(FIND("CFW110",B261)),
VALUE(MID(B261,FIND("CFW110",B261)+6,FIND("T",B261,FIND("CFW110",B261))-(FIND("CFW110",B261)+6))),
IF(ISNUMBER(FIND("D",B261)),
VALUE(SUBSTITUTE(MID(B261,FIND("D",B261)+1,FIND("T",B261,FIND("D",B261))-(FIND("D",B261)+1)),"P",",")),
IF(ISNUMBER(FIND("CFW5",B261)),
VALUE(MID(B261,
IF(ISNUMBER(FIND("F",B261)),FIND("F",B261)+1,FIND("G",B261)+1),
FIND("T",B261)-(IF(ISNUMBER(FIND("F",B261)),FIND("F",B261)+1,FIND("G",B261)+1))
)),
VALUE(MID(B261,FIND("E0",B261)+2,FIND("T",B261,FIND("E0",B261))-(FIND("E0",B261)+2)))
))),"")</f>
        <v>58</v>
      </c>
      <c r="G261">
        <f>IFERROR(
IF(ISNUMBER(FIND("T2",B261)),220,
IF(ISNUMBER(FIND("T4",B261)),440,
IF(ISNUMBER(FIND("T5",B261)),575,
IF(ISNUMBER(FIND("T6",B261)),690,"")))),
"")</f>
        <v>440</v>
      </c>
    </row>
    <row r="262" spans="1:7" x14ac:dyDescent="0.25">
      <c r="A262">
        <v>13920887</v>
      </c>
      <c r="B262" t="str">
        <f>VLOOKUP(A262,Planilha2!B:C,2,0)</f>
        <v>INVERSOR CFW700D70P5T4DB55C3DS</v>
      </c>
      <c r="C262" t="s">
        <v>1</v>
      </c>
      <c r="D262" t="str">
        <f>VLOOKUP(A262,Planilha2!B:H,7,0)</f>
        <v>OBSOLETOS DRIVES</v>
      </c>
      <c r="E262" s="5">
        <v>47200</v>
      </c>
      <c r="F262">
        <f>IFERROR(
IF(ISNUMBER(FIND("CFW110",B262)),
VALUE(MID(B262,FIND("CFW110",B262)+6,FIND("T",B262,FIND("CFW110",B262))-(FIND("CFW110",B262)+6))),
IF(ISNUMBER(FIND("D",B262)),
VALUE(SUBSTITUTE(MID(B262,FIND("D",B262)+1,FIND("T",B262,FIND("D",B262))-(FIND("D",B262)+1)),"P",",")),
IF(ISNUMBER(FIND("CFW5",B262)),
VALUE(MID(B262,
IF(ISNUMBER(FIND("F",B262)),FIND("F",B262)+1,FIND("G",B262)+1),
FIND("T",B262)-(IF(ISNUMBER(FIND("F",B262)),FIND("F",B262)+1,FIND("G",B262)+1))
)),
VALUE(MID(B262,FIND("E0",B262)+2,FIND("T",B262,FIND("E0",B262))-(FIND("E0",B262)+2)))
))),"")</f>
        <v>70.5</v>
      </c>
      <c r="G262">
        <f>IFERROR(
IF(ISNUMBER(FIND("T2",B262)),220,
IF(ISNUMBER(FIND("T4",B262)),440,
IF(ISNUMBER(FIND("T5",B262)),575,
IF(ISNUMBER(FIND("T6",B262)),690,"")))),
"")</f>
        <v>440</v>
      </c>
    </row>
    <row r="263" spans="1:7" x14ac:dyDescent="0.25">
      <c r="A263">
        <v>14995663</v>
      </c>
      <c r="B263" t="str">
        <f>VLOOKUP(A263,Planilha2!B:C,2,0)</f>
        <v>INVERSOR EUCFW110038T4OFAYWSUZ</v>
      </c>
      <c r="C263" t="s">
        <v>1</v>
      </c>
      <c r="D263" t="str">
        <f>VLOOKUP(A263,Planilha2!B:H,7,0)</f>
        <v>LINHA M1</v>
      </c>
      <c r="E263" s="5">
        <v>4500</v>
      </c>
      <c r="F263">
        <f>IFERROR(
IF(ISNUMBER(FIND("CFW110",B263)),
VALUE(MID(B263,FIND("CFW110",B263)+6,FIND("T",B263,FIND("CFW110",B263))-(FIND("CFW110",B263)+6))),
IF(ISNUMBER(FIND("D",B263)),
VALUE(SUBSTITUTE(MID(B263,FIND("D",B263)+1,FIND("T",B263,FIND("D",B263))-(FIND("D",B263)+1)),"P",",")),
IF(ISNUMBER(FIND("CFW5",B263)),
VALUE(MID(B263,
IF(ISNUMBER(FIND("F",B263)),FIND("F",B263)+1,FIND("G",B263)+1),
FIND("T",B263)-(IF(ISNUMBER(FIND("F",B263)),FIND("F",B263)+1,FIND("G",B263)+1))
)),
VALUE(MID(B263,FIND("E0",B263)+2,FIND("T",B263,FIND("E0",B263))-(FIND("E0",B263)+2)))
))),"")</f>
        <v>38</v>
      </c>
      <c r="G263">
        <f>IFERROR(
IF(ISNUMBER(FIND("T2",B263)),220,
IF(ISNUMBER(FIND("T4",B263)),440,
IF(ISNUMBER(FIND("T5",B263)),575,
IF(ISNUMBER(FIND("T6",B263)),690,"")))),
"")</f>
        <v>440</v>
      </c>
    </row>
    <row r="264" spans="1:7" x14ac:dyDescent="0.25">
      <c r="A264">
        <v>14995664</v>
      </c>
      <c r="B264" t="str">
        <f>VLOOKUP(A264,Planilha2!B:C,2,0)</f>
        <v>INVERSOR EUCFW110045T4OFAYWSUZ</v>
      </c>
      <c r="C264" t="s">
        <v>1</v>
      </c>
      <c r="D264" t="str">
        <f>VLOOKUP(A264,Planilha2!B:H,7,0)</f>
        <v>LINHA M1</v>
      </c>
      <c r="E264" s="5">
        <v>4500</v>
      </c>
      <c r="F264">
        <f>IFERROR(
IF(ISNUMBER(FIND("CFW110",B264)),
VALUE(MID(B264,FIND("CFW110",B264)+6,FIND("T",B264,FIND("CFW110",B264))-(FIND("CFW110",B264)+6))),
IF(ISNUMBER(FIND("D",B264)),
VALUE(SUBSTITUTE(MID(B264,FIND("D",B264)+1,FIND("T",B264,FIND("D",B264))-(FIND("D",B264)+1)),"P",",")),
IF(ISNUMBER(FIND("CFW5",B264)),
VALUE(MID(B264,
IF(ISNUMBER(FIND("F",B264)),FIND("F",B264)+1,FIND("G",B264)+1),
FIND("T",B264)-(IF(ISNUMBER(FIND("F",B264)),FIND("F",B264)+1,FIND("G",B264)+1))
)),
VALUE(MID(B264,FIND("E0",B264)+2,FIND("T",B264,FIND("E0",B264))-(FIND("E0",B264)+2)))
))),"")</f>
        <v>45</v>
      </c>
      <c r="G264">
        <f>IFERROR(
IF(ISNUMBER(FIND("T2",B264)),220,
IF(ISNUMBER(FIND("T4",B264)),440,
IF(ISNUMBER(FIND("T5",B264)),575,
IF(ISNUMBER(FIND("T6",B264)),690,"")))),
"")</f>
        <v>440</v>
      </c>
    </row>
    <row r="265" spans="1:7" x14ac:dyDescent="0.25">
      <c r="A265">
        <v>14995754</v>
      </c>
      <c r="B265" t="str">
        <f>VLOOKUP(A265,Planilha2!B:C,2,0)</f>
        <v>INVERSOR EUCFW110088T4OFAYWSUZ-UI</v>
      </c>
      <c r="C265" t="s">
        <v>1</v>
      </c>
      <c r="D265" t="str">
        <f>VLOOKUP(A265,Planilha2!B:H,7,0)</f>
        <v>LINHA M3</v>
      </c>
      <c r="E265" s="5">
        <v>29500</v>
      </c>
      <c r="F265">
        <f>IFERROR(
IF(ISNUMBER(FIND("CFW110",B265)),
VALUE(MID(B265,FIND("CFW110",B265)+6,FIND("T",B265,FIND("CFW110",B265))-(FIND("CFW110",B265)+6))),
IF(ISNUMBER(FIND("D",B265)),
VALUE(SUBSTITUTE(MID(B265,FIND("D",B265)+1,FIND("T",B265,FIND("D",B265))-(FIND("D",B265)+1)),"P",",")),
IF(ISNUMBER(FIND("CFW5",B265)),
VALUE(MID(B265,
IF(ISNUMBER(FIND("F",B265)),FIND("F",B265)+1,FIND("G",B265)+1),
FIND("T",B265)-(IF(ISNUMBER(FIND("F",B265)),FIND("F",B265)+1,FIND("G",B265)+1))
)),
VALUE(MID(B265,FIND("E0",B265)+2,FIND("T",B265,FIND("E0",B265))-(FIND("E0",B265)+2)))
))),"")</f>
        <v>88</v>
      </c>
      <c r="G265">
        <f>IFERROR(
IF(ISNUMBER(FIND("T2",B265)),220,
IF(ISNUMBER(FIND("T4",B265)),440,
IF(ISNUMBER(FIND("T5",B265)),575,
IF(ISNUMBER(FIND("T6",B265)),690,"")))),
"")</f>
        <v>440</v>
      </c>
    </row>
    <row r="266" spans="1:7" x14ac:dyDescent="0.25">
      <c r="A266">
        <v>14995753</v>
      </c>
      <c r="B266" t="str">
        <f>VLOOKUP(A266,Planilha2!B:C,2,0)</f>
        <v>INVERSOR EUCFW110070T4OFAYWSUZ-UI</v>
      </c>
      <c r="C266" t="s">
        <v>1</v>
      </c>
      <c r="D266" t="str">
        <f>VLOOKUP(A266,Planilha2!B:H,7,0)</f>
        <v>LINHA M3</v>
      </c>
      <c r="E266" s="5">
        <v>26000</v>
      </c>
      <c r="F266">
        <f>IFERROR(
IF(ISNUMBER(FIND("CFW110",B266)),
VALUE(MID(B266,FIND("CFW110",B266)+6,FIND("T",B266,FIND("CFW110",B266))-(FIND("CFW110",B266)+6))),
IF(ISNUMBER(FIND("D",B266)),
VALUE(SUBSTITUTE(MID(B266,FIND("D",B266)+1,FIND("T",B266,FIND("D",B266))-(FIND("D",B266)+1)),"P",",")),
IF(ISNUMBER(FIND("CFW5",B266)),
VALUE(MID(B266,
IF(ISNUMBER(FIND("F",B266)),FIND("F",B266)+1,FIND("G",B266)+1),
FIND("T",B266)-(IF(ISNUMBER(FIND("F",B266)),FIND("F",B266)+1,FIND("G",B266)+1))
)),
VALUE(MID(B266,FIND("E0",B266)+2,FIND("T",B266,FIND("E0",B266))-(FIND("E0",B266)+2)))
))),"")</f>
        <v>70</v>
      </c>
      <c r="G266">
        <f>IFERROR(
IF(ISNUMBER(FIND("T2",B266)),220,
IF(ISNUMBER(FIND("T4",B266)),440,
IF(ISNUMBER(FIND("T5",B266)),575,
IF(ISNUMBER(FIND("T6",B266)),690,"")))),
"")</f>
        <v>440</v>
      </c>
    </row>
    <row r="267" spans="1:7" x14ac:dyDescent="0.25">
      <c r="A267">
        <v>14995755</v>
      </c>
      <c r="B267" t="str">
        <f>VLOOKUP(A267,Planilha2!B:C,2,0)</f>
        <v>INVERSOR EUCFW110105T4OYWSUZ-UI</v>
      </c>
      <c r="C267" t="s">
        <v>1</v>
      </c>
      <c r="D267" t="str">
        <f>VLOOKUP(A267,Planilha2!B:H,7,0)</f>
        <v>LINHA G1</v>
      </c>
      <c r="E267" s="5">
        <v>64213</v>
      </c>
      <c r="F267">
        <f>IFERROR(
IF(ISNUMBER(FIND("CFW110",B267)),
VALUE(MID(B267,FIND("CFW110",B267)+6,FIND("T",B267,FIND("CFW110",B267))-(FIND("CFW110",B267)+6))),
IF(ISNUMBER(FIND("D",B267)),
VALUE(SUBSTITUTE(MID(B267,FIND("D",B267)+1,FIND("T",B267,FIND("D",B267))-(FIND("D",B267)+1)),"P",",")),
IF(ISNUMBER(FIND("CFW5",B267)),
VALUE(MID(B267,
IF(ISNUMBER(FIND("F",B267)),FIND("F",B267)+1,FIND("G",B267)+1),
FIND("T",B267)-(IF(ISNUMBER(FIND("F",B267)),FIND("F",B267)+1,FIND("G",B267)+1))
)),
VALUE(MID(B267,FIND("E0",B267)+2,FIND("T",B267,FIND("E0",B267))-(FIND("E0",B267)+2)))
))),"")</f>
        <v>105</v>
      </c>
      <c r="G267">
        <f>IFERROR(
IF(ISNUMBER(FIND("T2",B267)),220,
IF(ISNUMBER(FIND("T4",B267)),440,
IF(ISNUMBER(FIND("T5",B267)),575,
IF(ISNUMBER(FIND("T6",B267)),690,"")))),
"")</f>
        <v>440</v>
      </c>
    </row>
    <row r="268" spans="1:7" x14ac:dyDescent="0.25">
      <c r="A268">
        <v>15003381</v>
      </c>
      <c r="B268" t="str">
        <f>VLOOKUP(A268,Planilha2!B:C,2,0)</f>
        <v>INVERSOR BRCFW110045T4OFAYZ</v>
      </c>
      <c r="C268" t="s">
        <v>1</v>
      </c>
      <c r="D268" t="str">
        <f>VLOOKUP(A268,Planilha2!B:H,7,0)</f>
        <v>LINHA M1</v>
      </c>
      <c r="E268" s="5">
        <v>16000</v>
      </c>
      <c r="F268">
        <f>IFERROR(
IF(ISNUMBER(FIND("CFW110",B268)),
VALUE(MID(B268,FIND("CFW110",B268)+6,FIND("T",B268,FIND("CFW110",B268))-(FIND("CFW110",B268)+6))),
IF(ISNUMBER(FIND("D",B268)),
VALUE(SUBSTITUTE(MID(B268,FIND("D",B268)+1,FIND("T",B268,FIND("D",B268))-(FIND("D",B268)+1)),"P",",")),
IF(ISNUMBER(FIND("CFW5",B268)),
VALUE(MID(B268,
IF(ISNUMBER(FIND("F",B268)),FIND("F",B268)+1,FIND("G",B268)+1),
FIND("T",B268)-(IF(ISNUMBER(FIND("F",B268)),FIND("F",B268)+1,FIND("G",B268)+1))
)),
VALUE(MID(B268,FIND("E0",B268)+2,FIND("T",B268,FIND("E0",B268))-(FIND("E0",B268)+2)))
))),"")</f>
        <v>45</v>
      </c>
      <c r="G268">
        <f>IFERROR(
IF(ISNUMBER(FIND("T2",B268)),220,
IF(ISNUMBER(FIND("T4",B268)),440,
IF(ISNUMBER(FIND("T5",B268)),575,
IF(ISNUMBER(FIND("T6",B268)),690,"")))),
"")</f>
        <v>440</v>
      </c>
    </row>
    <row r="269" spans="1:7" x14ac:dyDescent="0.25">
      <c r="A269">
        <v>15070915</v>
      </c>
      <c r="B269" t="str">
        <f>VLOOKUP(A269,Planilha2!B:C,2,0)</f>
        <v>INVERSOR MSCFW110038T4OWZ</v>
      </c>
      <c r="C269" t="s">
        <v>1</v>
      </c>
      <c r="D269" t="str">
        <f>VLOOKUP(A269,Planilha2!B:H,7,0)</f>
        <v>LINHA M1</v>
      </c>
      <c r="E269" s="5">
        <v>16400</v>
      </c>
      <c r="F269">
        <f>IFERROR(
IF(ISNUMBER(FIND("CFW110",B269)),
VALUE(MID(B269,FIND("CFW110",B269)+6,FIND("T",B269,FIND("CFW110",B269))-(FIND("CFW110",B269)+6))),
IF(ISNUMBER(FIND("D",B269)),
VALUE(SUBSTITUTE(MID(B269,FIND("D",B269)+1,FIND("T",B269,FIND("D",B269))-(FIND("D",B269)+1)),"P",",")),
IF(ISNUMBER(FIND("CFW5",B269)),
VALUE(MID(B269,
IF(ISNUMBER(FIND("F",B269)),FIND("F",B269)+1,FIND("G",B269)+1),
FIND("T",B269)-(IF(ISNUMBER(FIND("F",B269)),FIND("F",B269)+1,FIND("G",B269)+1))
)),
VALUE(MID(B269,FIND("E0",B269)+2,FIND("T",B269,FIND("E0",B269))-(FIND("E0",B269)+2)))
))),"")</f>
        <v>38</v>
      </c>
      <c r="G269">
        <f>IFERROR(
IF(ISNUMBER(FIND("T2",B269)),220,
IF(ISNUMBER(FIND("T4",B269)),440,
IF(ISNUMBER(FIND("T5",B269)),575,
IF(ISNUMBER(FIND("T6",B269)),690,"")))),
"")</f>
        <v>440</v>
      </c>
    </row>
    <row r="270" spans="1:7" x14ac:dyDescent="0.25">
      <c r="A270">
        <v>15070916</v>
      </c>
      <c r="B270" t="str">
        <f>VLOOKUP(A270,Planilha2!B:C,2,0)</f>
        <v>INVERSOR MSCFW110070T4OWZ</v>
      </c>
      <c r="C270" t="s">
        <v>1</v>
      </c>
      <c r="D270" t="str">
        <f>VLOOKUP(A270,Planilha2!B:H,7,0)</f>
        <v>LINHA M3</v>
      </c>
      <c r="E270" s="5">
        <v>26000</v>
      </c>
      <c r="F270">
        <f>IFERROR(
IF(ISNUMBER(FIND("CFW110",B270)),
VALUE(MID(B270,FIND("CFW110",B270)+6,FIND("T",B270,FIND("CFW110",B270))-(FIND("CFW110",B270)+6))),
IF(ISNUMBER(FIND("D",B270)),
VALUE(SUBSTITUTE(MID(B270,FIND("D",B270)+1,FIND("T",B270,FIND("D",B270))-(FIND("D",B270)+1)),"P",",")),
IF(ISNUMBER(FIND("CFW5",B270)),
VALUE(MID(B270,
IF(ISNUMBER(FIND("F",B270)),FIND("F",B270)+1,FIND("G",B270)+1),
FIND("T",B270)-(IF(ISNUMBER(FIND("F",B270)),FIND("F",B270)+1,FIND("G",B270)+1))
)),
VALUE(MID(B270,FIND("E0",B270)+2,FIND("T",B270,FIND("E0",B270))-(FIND("E0",B270)+2)))
))),"")</f>
        <v>70</v>
      </c>
      <c r="G270">
        <f>IFERROR(
IF(ISNUMBER(FIND("T2",B270)),220,
IF(ISNUMBER(FIND("T4",B270)),440,
IF(ISNUMBER(FIND("T5",B270)),575,
IF(ISNUMBER(FIND("T6",B270)),690,"")))),
"")</f>
        <v>440</v>
      </c>
    </row>
    <row r="271" spans="1:7" x14ac:dyDescent="0.25">
      <c r="A271">
        <v>11994760</v>
      </c>
      <c r="B271" t="str">
        <f>VLOOKUP(A271,Planilha2!B:C,2,0)</f>
        <v>INVERSOR BRCFW110022T6ONBZ</v>
      </c>
      <c r="C271" t="s">
        <v>1</v>
      </c>
      <c r="D271" t="str">
        <f>VLOOKUP(A271,Planilha2!B:H,7,0)</f>
        <v>LINHA M3</v>
      </c>
      <c r="E271" s="5">
        <v>29500</v>
      </c>
      <c r="F271">
        <f>IFERROR(
IF(ISNUMBER(FIND("CFW110",B271)),
VALUE(MID(B271,FIND("CFW110",B271)+6,FIND("T",B271,FIND("CFW110",B271))-(FIND("CFW110",B271)+6))),
IF(ISNUMBER(FIND("D",B271)),
VALUE(SUBSTITUTE(MID(B271,FIND("D",B271)+1,FIND("T",B271,FIND("D",B271))-(FIND("D",B271)+1)),"P",",")),
IF(ISNUMBER(FIND("CFW5",B271)),
VALUE(MID(B271,
IF(ISNUMBER(FIND("F",B271)),FIND("F",B271)+1,FIND("G",B271)+1),
FIND("T",B271)-(IF(ISNUMBER(FIND("F",B271)),FIND("F",B271)+1,FIND("G",B271)+1))
)),
VALUE(MID(B271,FIND("E0",B271)+2,FIND("T",B271,FIND("E0",B271))-(FIND("E0",B271)+2)))
))),"")</f>
        <v>22</v>
      </c>
      <c r="G271">
        <f>IFERROR(
IF(ISNUMBER(FIND("T2",B271)),220,
IF(ISNUMBER(FIND("T4",B271)),440,
IF(ISNUMBER(FIND("T5",B271)),575,
IF(ISNUMBER(FIND("T6",B271)),690,"")))),
"")</f>
        <v>690</v>
      </c>
    </row>
    <row r="272" spans="1:7" x14ac:dyDescent="0.25">
      <c r="A272">
        <v>15061240</v>
      </c>
      <c r="B272" t="str">
        <f>VLOOKUP(A272,Planilha2!B:C,2,0)</f>
        <v>INVERSOR BRCFW110045T4O55ECZ</v>
      </c>
      <c r="C272" t="s">
        <v>1</v>
      </c>
      <c r="D272" t="str">
        <f>VLOOKUP(A272,Planilha2!B:H,7,0)</f>
        <v>LINHA M3</v>
      </c>
      <c r="E272" s="5">
        <v>19600</v>
      </c>
      <c r="F272">
        <f>IFERROR(
IF(ISNUMBER(FIND("CFW110",B272)),
VALUE(MID(B272,FIND("CFW110",B272)+6,FIND("T",B272,FIND("CFW110",B272))-(FIND("CFW110",B272)+6))),
IF(ISNUMBER(FIND("D",B272)),
VALUE(SUBSTITUTE(MID(B272,FIND("D",B272)+1,FIND("T",B272,FIND("D",B272))-(FIND("D",B272)+1)),"P",",")),
IF(ISNUMBER(FIND("CFW5",B272)),
VALUE(MID(B272,
IF(ISNUMBER(FIND("F",B272)),FIND("F",B272)+1,FIND("G",B272)+1),
FIND("T",B272)-(IF(ISNUMBER(FIND("F",B272)),FIND("F",B272)+1,FIND("G",B272)+1))
)),
VALUE(MID(B272,FIND("E0",B272)+2,FIND("T",B272,FIND("E0",B272))-(FIND("E0",B272)+2)))
))),"")</f>
        <v>45</v>
      </c>
      <c r="G272">
        <f>IFERROR(
IF(ISNUMBER(FIND("T2",B272)),220,
IF(ISNUMBER(FIND("T4",B272)),440,
IF(ISNUMBER(FIND("T5",B272)),575,
IF(ISNUMBER(FIND("T6",B272)),690,"")))),
"")</f>
        <v>440</v>
      </c>
    </row>
    <row r="273" spans="1:7" x14ac:dyDescent="0.25">
      <c r="A273">
        <v>14896291</v>
      </c>
      <c r="B273" t="str">
        <f>VLOOKUP(A273,Planilha2!B:C,2,0)</f>
        <v>INVERSOR BRCFW110058T4OYSKZ</v>
      </c>
      <c r="C273" t="s">
        <v>1</v>
      </c>
      <c r="D273" t="str">
        <f>VLOOKUP(A273,Planilha2!B:H,7,0)</f>
        <v>LINHA M1</v>
      </c>
      <c r="E273" s="5">
        <v>20960</v>
      </c>
      <c r="F273">
        <f>IFERROR(
IF(ISNUMBER(FIND("CFW110",B273)),
VALUE(MID(B273,FIND("CFW110",B273)+6,FIND("T",B273,FIND("CFW110",B273))-(FIND("CFW110",B273)+6))),
IF(ISNUMBER(FIND("D",B273)),
VALUE(SUBSTITUTE(MID(B273,FIND("D",B273)+1,FIND("T",B273,FIND("D",B273))-(FIND("D",B273)+1)),"P",",")),
IF(ISNUMBER(FIND("CFW5",B273)),
VALUE(MID(B273,
IF(ISNUMBER(FIND("F",B273)),FIND("F",B273)+1,FIND("G",B273)+1),
FIND("T",B273)-(IF(ISNUMBER(FIND("F",B273)),FIND("F",B273)+1,FIND("G",B273)+1))
)),
VALUE(MID(B273,FIND("E0",B273)+2,FIND("T",B273,FIND("E0",B273))-(FIND("E0",B273)+2)))
))),"")</f>
        <v>58</v>
      </c>
      <c r="G273">
        <f>IFERROR(
IF(ISNUMBER(FIND("T2",B273)),220,
IF(ISNUMBER(FIND("T4",B273)),440,
IF(ISNUMBER(FIND("T5",B273)),575,
IF(ISNUMBER(FIND("T6",B273)),690,"")))),
"")</f>
        <v>440</v>
      </c>
    </row>
    <row r="274" spans="1:7" x14ac:dyDescent="0.25">
      <c r="A274">
        <v>13858698</v>
      </c>
      <c r="B274" t="str">
        <f>VLOOKUP(A274,Planilha2!B:C,2,0)</f>
        <v>INVERSOR BRCFW110058T4OHFSEZ</v>
      </c>
      <c r="C274" t="s">
        <v>1</v>
      </c>
      <c r="D274" t="str">
        <f>VLOOKUP(A274,Planilha2!B:H,7,0)</f>
        <v>LINHA M1</v>
      </c>
      <c r="E274" s="5">
        <v>20500</v>
      </c>
      <c r="F274">
        <f>IFERROR(
IF(ISNUMBER(FIND("CFW110",B274)),
VALUE(MID(B274,FIND("CFW110",B274)+6,FIND("T",B274,FIND("CFW110",B274))-(FIND("CFW110",B274)+6))),
IF(ISNUMBER(FIND("D",B274)),
VALUE(SUBSTITUTE(MID(B274,FIND("D",B274)+1,FIND("T",B274,FIND("D",B274))-(FIND("D",B274)+1)),"P",",")),
IF(ISNUMBER(FIND("CFW5",B274)),
VALUE(MID(B274,
IF(ISNUMBER(FIND("F",B274)),FIND("F",B274)+1,FIND("G",B274)+1),
FIND("T",B274)-(IF(ISNUMBER(FIND("F",B274)),FIND("F",B274)+1,FIND("G",B274)+1))
)),
VALUE(MID(B274,FIND("E0",B274)+2,FIND("T",B274,FIND("E0",B274))-(FIND("E0",B274)+2)))
))),"")</f>
        <v>58</v>
      </c>
      <c r="G274">
        <f>IFERROR(
IF(ISNUMBER(FIND("T2",B274)),220,
IF(ISNUMBER(FIND("T4",B274)),440,
IF(ISNUMBER(FIND("T5",B274)),575,
IF(ISNUMBER(FIND("T6",B274)),690,"")))),
"")</f>
        <v>440</v>
      </c>
    </row>
    <row r="275" spans="1:7" x14ac:dyDescent="0.25">
      <c r="A275">
        <v>13858700</v>
      </c>
      <c r="B275" t="str">
        <f>VLOOKUP(A275,Planilha2!B:C,2,0)</f>
        <v>INVERSOR BRCFW110088T4OHFSEZ</v>
      </c>
      <c r="C275" t="s">
        <v>1</v>
      </c>
      <c r="D275" t="str">
        <f>VLOOKUP(A275,Planilha2!B:H,7,0)</f>
        <v>LINHA M3</v>
      </c>
      <c r="E275" s="5">
        <v>26535</v>
      </c>
      <c r="F275">
        <f>IFERROR(
IF(ISNUMBER(FIND("CFW110",B275)),
VALUE(MID(B275,FIND("CFW110",B275)+6,FIND("T",B275,FIND("CFW110",B275))-(FIND("CFW110",B275)+6))),
IF(ISNUMBER(FIND("D",B275)),
VALUE(SUBSTITUTE(MID(B275,FIND("D",B275)+1,FIND("T",B275,FIND("D",B275))-(FIND("D",B275)+1)),"P",",")),
IF(ISNUMBER(FIND("CFW5",B275)),
VALUE(MID(B275,
IF(ISNUMBER(FIND("F",B275)),FIND("F",B275)+1,FIND("G",B275)+1),
FIND("T",B275)-(IF(ISNUMBER(FIND("F",B275)),FIND("F",B275)+1,FIND("G",B275)+1))
)),
VALUE(MID(B275,FIND("E0",B275)+2,FIND("T",B275,FIND("E0",B275))-(FIND("E0",B275)+2)))
))),"")</f>
        <v>88</v>
      </c>
      <c r="G275">
        <f>IFERROR(
IF(ISNUMBER(FIND("T2",B275)),220,
IF(ISNUMBER(FIND("T4",B275)),440,
IF(ISNUMBER(FIND("T5",B275)),575,
IF(ISNUMBER(FIND("T6",B275)),690,"")))),
"")</f>
        <v>440</v>
      </c>
    </row>
    <row r="276" spans="1:7" x14ac:dyDescent="0.25">
      <c r="A276">
        <v>15177983</v>
      </c>
      <c r="B276" t="str">
        <f>VLOOKUP(A276,Planilha2!B:C,2,0)</f>
        <v>INVERSOR BRCFW110070T2O55FADSECZ</v>
      </c>
      <c r="C276" t="s">
        <v>1</v>
      </c>
      <c r="D276" t="str">
        <f>VLOOKUP(A276,Planilha2!B:H,7,0)</f>
        <v>LINHA M3</v>
      </c>
      <c r="E276" s="5">
        <v>18222</v>
      </c>
      <c r="F276">
        <f>IFERROR(
IF(ISNUMBER(FIND("CFW110",B276)),
VALUE(MID(B276,FIND("CFW110",B276)+6,FIND("T",B276,FIND("CFW110",B276))-(FIND("CFW110",B276)+6))),
IF(ISNUMBER(FIND("D",B276)),
VALUE(SUBSTITUTE(MID(B276,FIND("D",B276)+1,FIND("T",B276,FIND("D",B276))-(FIND("D",B276)+1)),"P",",")),
IF(ISNUMBER(FIND("CFW5",B276)),
VALUE(MID(B276,
IF(ISNUMBER(FIND("F",B276)),FIND("F",B276)+1,FIND("G",B276)+1),
FIND("T",B276)-(IF(ISNUMBER(FIND("F",B276)),FIND("F",B276)+1,FIND("G",B276)+1))
)),
VALUE(MID(B276,FIND("E0",B276)+2,FIND("T",B276,FIND("E0",B276))-(FIND("E0",B276)+2)))
))),"")</f>
        <v>70</v>
      </c>
      <c r="G276">
        <f>IFERROR(
IF(ISNUMBER(FIND("T2",B276)),220,
IF(ISNUMBER(FIND("T4",B276)),440,
IF(ISNUMBER(FIND("T5",B276)),575,
IF(ISNUMBER(FIND("T6",B276)),690,"")))),
"")</f>
        <v>220</v>
      </c>
    </row>
    <row r="277" spans="1:7" x14ac:dyDescent="0.25">
      <c r="A277">
        <v>15177985</v>
      </c>
      <c r="B277" t="str">
        <f>VLOOKUP(A277,Planilha2!B:C,2,0)</f>
        <v>INVERSOR BRCFW110038T4O55FADSECZ</v>
      </c>
      <c r="C277" t="s">
        <v>1</v>
      </c>
      <c r="D277" t="str">
        <f>VLOOKUP(A277,Planilha2!B:H,7,0)</f>
        <v>LINHA M3</v>
      </c>
      <c r="E277" s="5">
        <v>16722</v>
      </c>
      <c r="F277">
        <f>IFERROR(
IF(ISNUMBER(FIND("CFW110",B277)),
VALUE(MID(B277,FIND("CFW110",B277)+6,FIND("T",B277,FIND("CFW110",B277))-(FIND("CFW110",B277)+6))),
IF(ISNUMBER(FIND("D",B277)),
VALUE(SUBSTITUTE(MID(B277,FIND("D",B277)+1,FIND("T",B277,FIND("D",B277))-(FIND("D",B277)+1)),"P",",")),
IF(ISNUMBER(FIND("CFW5",B277)),
VALUE(MID(B277,
IF(ISNUMBER(FIND("F",B277)),FIND("F",B277)+1,FIND("G",B277)+1),
FIND("T",B277)-(IF(ISNUMBER(FIND("F",B277)),FIND("F",B277)+1,FIND("G",B277)+1))
)),
VALUE(MID(B277,FIND("E0",B277)+2,FIND("T",B277,FIND("E0",B277))-(FIND("E0",B277)+2)))
))),"")</f>
        <v>38</v>
      </c>
      <c r="G277">
        <f>IFERROR(
IF(ISNUMBER(FIND("T2",B277)),220,
IF(ISNUMBER(FIND("T4",B277)),440,
IF(ISNUMBER(FIND("T5",B277)),575,
IF(ISNUMBER(FIND("T6",B277)),690,"")))),
"")</f>
        <v>440</v>
      </c>
    </row>
    <row r="278" spans="1:7" x14ac:dyDescent="0.25">
      <c r="A278">
        <v>15178069</v>
      </c>
      <c r="B278" t="str">
        <f>VLOOKUP(A278,Planilha2!B:C,2,0)</f>
        <v>INVERSOR BRCFW110086T2O55FADSECZ</v>
      </c>
      <c r="C278" t="s">
        <v>1</v>
      </c>
      <c r="D278" t="str">
        <f>VLOOKUP(A278,Planilha2!B:H,7,0)</f>
        <v>LINHA M3</v>
      </c>
      <c r="E278" s="5">
        <v>42460</v>
      </c>
      <c r="F278">
        <f>IFERROR(
IF(ISNUMBER(FIND("CFW110",B278)),
VALUE(MID(B278,FIND("CFW110",B278)+6,FIND("T",B278,FIND("CFW110",B278))-(FIND("CFW110",B278)+6))),
IF(ISNUMBER(FIND("D",B278)),
VALUE(SUBSTITUTE(MID(B278,FIND("D",B278)+1,FIND("T",B278,FIND("D",B278))-(FIND("D",B278)+1)),"P",",")),
IF(ISNUMBER(FIND("CFW5",B278)),
VALUE(MID(B278,
IF(ISNUMBER(FIND("F",B278)),FIND("F",B278)+1,FIND("G",B278)+1),
FIND("T",B278)-(IF(ISNUMBER(FIND("F",B278)),FIND("F",B278)+1,FIND("G",B278)+1))
)),
VALUE(MID(B278,FIND("E0",B278)+2,FIND("T",B278,FIND("E0",B278))-(FIND("E0",B278)+2)))
))),"")</f>
        <v>86</v>
      </c>
      <c r="G278">
        <f>IFERROR(
IF(ISNUMBER(FIND("T2",B278)),220,
IF(ISNUMBER(FIND("T4",B278)),440,
IF(ISNUMBER(FIND("T5",B278)),575,
IF(ISNUMBER(FIND("T6",B278)),690,"")))),
"")</f>
        <v>220</v>
      </c>
    </row>
    <row r="279" spans="1:7" x14ac:dyDescent="0.25">
      <c r="A279">
        <v>15178071</v>
      </c>
      <c r="B279" t="str">
        <f>VLOOKUP(A279,Planilha2!B:C,2,0)</f>
        <v>INVERSOR BRCFW110105T2O55FADSECZ</v>
      </c>
      <c r="C279" t="s">
        <v>1</v>
      </c>
      <c r="D279" t="str">
        <f>VLOOKUP(A279,Planilha2!B:H,7,0)</f>
        <v>LINHA M3</v>
      </c>
      <c r="E279" s="5">
        <v>85760</v>
      </c>
      <c r="F279">
        <f>IFERROR(
IF(ISNUMBER(FIND("CFW110",B279)),
VALUE(MID(B279,FIND("CFW110",B279)+6,FIND("T",B279,FIND("CFW110",B279))-(FIND("CFW110",B279)+6))),
IF(ISNUMBER(FIND("D",B279)),
VALUE(SUBSTITUTE(MID(B279,FIND("D",B279)+1,FIND("T",B279,FIND("D",B279))-(FIND("D",B279)+1)),"P",",")),
IF(ISNUMBER(FIND("CFW5",B279)),
VALUE(MID(B279,
IF(ISNUMBER(FIND("F",B279)),FIND("F",B279)+1,FIND("G",B279)+1),
FIND("T",B279)-(IF(ISNUMBER(FIND("F",B279)),FIND("F",B279)+1,FIND("G",B279)+1))
)),
VALUE(MID(B279,FIND("E0",B279)+2,FIND("T",B279,FIND("E0",B279))-(FIND("E0",B279)+2)))
))),"")</f>
        <v>105</v>
      </c>
      <c r="G279">
        <f>IFERROR(
IF(ISNUMBER(FIND("T2",B279)),220,
IF(ISNUMBER(FIND("T4",B279)),440,
IF(ISNUMBER(FIND("T5",B279)),575,
IF(ISNUMBER(FIND("T6",B279)),690,"")))),
"")</f>
        <v>220</v>
      </c>
    </row>
    <row r="280" spans="1:7" x14ac:dyDescent="0.25">
      <c r="A280">
        <v>15164462</v>
      </c>
      <c r="B280" t="str">
        <f>VLOOKUP(A280,Planilha2!B:C,2,0)</f>
        <v>INVERSOR BRCFW110142T2O55ECZ</v>
      </c>
      <c r="C280" t="s">
        <v>1</v>
      </c>
      <c r="D280" t="str">
        <f>VLOOKUP(A280,Planilha2!B:H,7,0)</f>
        <v>LINHA E1</v>
      </c>
      <c r="E280" s="5">
        <v>88488</v>
      </c>
      <c r="F280">
        <f>IFERROR(
IF(ISNUMBER(FIND("CFW110",B280)),
VALUE(MID(B280,FIND("CFW110",B280)+6,FIND("T",B280,FIND("CFW110",B280))-(FIND("CFW110",B280)+6))),
IF(ISNUMBER(FIND("D",B280)),
VALUE(SUBSTITUTE(MID(B280,FIND("D",B280)+1,FIND("T",B280,FIND("D",B280))-(FIND("D",B280)+1)),"P",",")),
IF(ISNUMBER(FIND("CFW5",B280)),
VALUE(MID(B280,
IF(ISNUMBER(FIND("F",B280)),FIND("F",B280)+1,FIND("G",B280)+1),
FIND("T",B280)-(IF(ISNUMBER(FIND("F",B280)),FIND("F",B280)+1,FIND("G",B280)+1))
)),
VALUE(MID(B280,FIND("E0",B280)+2,FIND("T",B280,FIND("E0",B280))-(FIND("E0",B280)+2)))
))),"")</f>
        <v>142</v>
      </c>
      <c r="G280">
        <f>IFERROR(
IF(ISNUMBER(FIND("T2",B280)),220,
IF(ISNUMBER(FIND("T4",B280)),440,
IF(ISNUMBER(FIND("T5",B280)),575,
IF(ISNUMBER(FIND("T6",B280)),690,"")))),
"")</f>
        <v>220</v>
      </c>
    </row>
    <row r="281" spans="1:7" x14ac:dyDescent="0.25">
      <c r="A281">
        <v>15073391</v>
      </c>
      <c r="B281" t="str">
        <f>VLOOKUP(A281,Planilha2!B:C,2,0)</f>
        <v>INVERSOR BRCFW110088T4OYWZ-UI</v>
      </c>
      <c r="C281" t="s">
        <v>1</v>
      </c>
      <c r="D281" t="str">
        <f>VLOOKUP(A281,Planilha2!B:H,7,0)</f>
        <v>LINHA M3</v>
      </c>
      <c r="E281" s="5">
        <v>23285</v>
      </c>
      <c r="F281">
        <f>IFERROR(
IF(ISNUMBER(FIND("CFW110",B281)),
VALUE(MID(B281,FIND("CFW110",B281)+6,FIND("T",B281,FIND("CFW110",B281))-(FIND("CFW110",B281)+6))),
IF(ISNUMBER(FIND("D",B281)),
VALUE(SUBSTITUTE(MID(B281,FIND("D",B281)+1,FIND("T",B281,FIND("D",B281))-(FIND("D",B281)+1)),"P",",")),
IF(ISNUMBER(FIND("CFW5",B281)),
VALUE(MID(B281,
IF(ISNUMBER(FIND("F",B281)),FIND("F",B281)+1,FIND("G",B281)+1),
FIND("T",B281)-(IF(ISNUMBER(FIND("F",B281)),FIND("F",B281)+1,FIND("G",B281)+1))
)),
VALUE(MID(B281,FIND("E0",B281)+2,FIND("T",B281,FIND("E0",B281))-(FIND("E0",B281)+2)))
))),"")</f>
        <v>88</v>
      </c>
      <c r="G281">
        <f>IFERROR(
IF(ISNUMBER(FIND("T2",B281)),220,
IF(ISNUMBER(FIND("T4",B281)),440,
IF(ISNUMBER(FIND("T5",B281)),575,
IF(ISNUMBER(FIND("T6",B281)),690,"")))),
"")</f>
        <v>440</v>
      </c>
    </row>
    <row r="282" spans="1:7" x14ac:dyDescent="0.25">
      <c r="A282">
        <v>15207179</v>
      </c>
      <c r="B282" t="str">
        <f>VLOOKUP(A282,Planilha2!B:C,2,0)</f>
        <v>INVERSOR BRCFW110058T4OWHALS9Z</v>
      </c>
      <c r="C282" t="s">
        <v>1</v>
      </c>
      <c r="D282" t="str">
        <f>VLOOKUP(A282,Planilha2!B:H,7,0)</f>
        <v>LINHA M1</v>
      </c>
      <c r="E282" s="5">
        <v>4675</v>
      </c>
      <c r="F282">
        <f>IFERROR(
IF(ISNUMBER(FIND("CFW110",B282)),
VALUE(MID(B282,FIND("CFW110",B282)+6,FIND("T",B282,FIND("CFW110",B282))-(FIND("CFW110",B282)+6))),
IF(ISNUMBER(FIND("D",B282)),
VALUE(SUBSTITUTE(MID(B282,FIND("D",B282)+1,FIND("T",B282,FIND("D",B282))-(FIND("D",B282)+1)),"P",",")),
IF(ISNUMBER(FIND("CFW5",B282)),
VALUE(MID(B282,
IF(ISNUMBER(FIND("F",B282)),FIND("F",B282)+1,FIND("G",B282)+1),
FIND("T",B282)-(IF(ISNUMBER(FIND("F",B282)),FIND("F",B282)+1,FIND("G",B282)+1))
)),
VALUE(MID(B282,FIND("E0",B282)+2,FIND("T",B282,FIND("E0",B282))-(FIND("E0",B282)+2)))
))),"")</f>
        <v>58</v>
      </c>
      <c r="G282">
        <f>IFERROR(
IF(ISNUMBER(FIND("T2",B282)),220,
IF(ISNUMBER(FIND("T4",B282)),440,
IF(ISNUMBER(FIND("T5",B282)),575,
IF(ISNUMBER(FIND("T6",B282)),690,"")))),
"")</f>
        <v>440</v>
      </c>
    </row>
    <row r="283" spans="1:7" x14ac:dyDescent="0.25">
      <c r="A283">
        <v>11994639</v>
      </c>
      <c r="B283" t="str">
        <f>VLOOKUP(A283,Planilha2!B:C,2,0)</f>
        <v>INVERSOR BRCFW110002T6ONBZ</v>
      </c>
      <c r="C283" t="s">
        <v>1</v>
      </c>
      <c r="D283" t="str">
        <f>VLOOKUP(A283,Planilha2!B:H,7,0)</f>
        <v>LINHA M3</v>
      </c>
      <c r="E283" s="5">
        <v>29500</v>
      </c>
      <c r="F283">
        <f>IFERROR(
IF(ISNUMBER(FIND("CFW110",B283)),
VALUE(MID(B283,FIND("CFW110",B283)+6,FIND("T",B283,FIND("CFW110",B283))-(FIND("CFW110",B283)+6))),
IF(ISNUMBER(FIND("D",B283)),
VALUE(SUBSTITUTE(MID(B283,FIND("D",B283)+1,FIND("T",B283,FIND("D",B283))-(FIND("D",B283)+1)),"P",",")),
IF(ISNUMBER(FIND("CFW5",B283)),
VALUE(MID(B283,
IF(ISNUMBER(FIND("F",B283)),FIND("F",B283)+1,FIND("G",B283)+1),
FIND("T",B283)-(IF(ISNUMBER(FIND("F",B283)),FIND("F",B283)+1,FIND("G",B283)+1))
)),
VALUE(MID(B283,FIND("E0",B283)+2,FIND("T",B283,FIND("E0",B283))-(FIND("E0",B283)+2)))
))),"")</f>
        <v>2</v>
      </c>
      <c r="G283">
        <f>IFERROR(
IF(ISNUMBER(FIND("T2",B283)),220,
IF(ISNUMBER(FIND("T4",B283)),440,
IF(ISNUMBER(FIND("T5",B283)),575,
IF(ISNUMBER(FIND("T6",B283)),690,"")))),
"")</f>
        <v>690</v>
      </c>
    </row>
    <row r="284" spans="1:7" x14ac:dyDescent="0.25">
      <c r="A284">
        <v>15212512</v>
      </c>
      <c r="B284" t="str">
        <f>VLOOKUP(A284,Planilha2!B:C,2,0)</f>
        <v>INVERSOR BRCFW110088T4OWHALS9Z-UI</v>
      </c>
      <c r="C284" t="s">
        <v>1</v>
      </c>
      <c r="D284" t="str">
        <f>VLOOKUP(A284,Planilha2!B:H,7,0)</f>
        <v>LINHA M3</v>
      </c>
      <c r="E284" s="5">
        <v>26175</v>
      </c>
      <c r="F284">
        <f>IFERROR(
IF(ISNUMBER(FIND("CFW110",B284)),
VALUE(MID(B284,FIND("CFW110",B284)+6,FIND("T",B284,FIND("CFW110",B284))-(FIND("CFW110",B284)+6))),
IF(ISNUMBER(FIND("D",B284)),
VALUE(SUBSTITUTE(MID(B284,FIND("D",B284)+1,FIND("T",B284,FIND("D",B284))-(FIND("D",B284)+1)),"P",",")),
IF(ISNUMBER(FIND("CFW5",B284)),
VALUE(MID(B284,
IF(ISNUMBER(FIND("F",B284)),FIND("F",B284)+1,FIND("G",B284)+1),
FIND("T",B284)-(IF(ISNUMBER(FIND("F",B284)),FIND("F",B284)+1,FIND("G",B284)+1))
)),
VALUE(MID(B284,FIND("E0",B284)+2,FIND("T",B284,FIND("E0",B284))-(FIND("E0",B284)+2)))
))),"")</f>
        <v>88</v>
      </c>
      <c r="G284">
        <f>IFERROR(
IF(ISNUMBER(FIND("T2",B284)),220,
IF(ISNUMBER(FIND("T4",B284)),440,
IF(ISNUMBER(FIND("T5",B284)),575,
IF(ISNUMBER(FIND("T6",B284)),690,"")))),
"")</f>
        <v>440</v>
      </c>
    </row>
    <row r="285" spans="1:7" x14ac:dyDescent="0.25">
      <c r="A285">
        <v>11994721</v>
      </c>
      <c r="B285" t="str">
        <f>VLOOKUP(A285,Planilha2!B:C,2,0)</f>
        <v>INVERSOR BRCFW110004T6ONBZ</v>
      </c>
      <c r="C285" t="s">
        <v>1</v>
      </c>
      <c r="D285" t="str">
        <f>VLOOKUP(A285,Planilha2!B:H,7,0)</f>
        <v>LINHA M3</v>
      </c>
      <c r="E285" s="5">
        <v>29500</v>
      </c>
      <c r="F285">
        <f>IFERROR(
IF(ISNUMBER(FIND("CFW110",B285)),
VALUE(MID(B285,FIND("CFW110",B285)+6,FIND("T",B285,FIND("CFW110",B285))-(FIND("CFW110",B285)+6))),
IF(ISNUMBER(FIND("D",B285)),
VALUE(SUBSTITUTE(MID(B285,FIND("D",B285)+1,FIND("T",B285,FIND("D",B285))-(FIND("D",B285)+1)),"P",",")),
IF(ISNUMBER(FIND("CFW5",B285)),
VALUE(MID(B285,
IF(ISNUMBER(FIND("F",B285)),FIND("F",B285)+1,FIND("G",B285)+1),
FIND("T",B285)-(IF(ISNUMBER(FIND("F",B285)),FIND("F",B285)+1,FIND("G",B285)+1))
)),
VALUE(MID(B285,FIND("E0",B285)+2,FIND("T",B285,FIND("E0",B285))-(FIND("E0",B285)+2)))
))),"")</f>
        <v>4</v>
      </c>
      <c r="G285">
        <f>IFERROR(
IF(ISNUMBER(FIND("T2",B285)),220,
IF(ISNUMBER(FIND("T4",B285)),440,
IF(ISNUMBER(FIND("T5",B285)),575,
IF(ISNUMBER(FIND("T6",B285)),690,"")))),
"")</f>
        <v>690</v>
      </c>
    </row>
    <row r="286" spans="1:7" x14ac:dyDescent="0.25">
      <c r="A286">
        <v>11994723</v>
      </c>
      <c r="B286" t="str">
        <f>VLOOKUP(A286,Planilha2!B:C,2,0)</f>
        <v>INVERSOR BRCFW110007T6ONBZ</v>
      </c>
      <c r="C286" t="s">
        <v>1</v>
      </c>
      <c r="D286" t="str">
        <f>VLOOKUP(A286,Planilha2!B:H,7,0)</f>
        <v>LINHA M3</v>
      </c>
      <c r="E286" s="5">
        <v>29500</v>
      </c>
      <c r="F286">
        <f>IFERROR(
IF(ISNUMBER(FIND("CFW110",B286)),
VALUE(MID(B286,FIND("CFW110",B286)+6,FIND("T",B286,FIND("CFW110",B286))-(FIND("CFW110",B286)+6))),
IF(ISNUMBER(FIND("D",B286)),
VALUE(SUBSTITUTE(MID(B286,FIND("D",B286)+1,FIND("T",B286,FIND("D",B286))-(FIND("D",B286)+1)),"P",",")),
IF(ISNUMBER(FIND("CFW5",B286)),
VALUE(MID(B286,
IF(ISNUMBER(FIND("F",B286)),FIND("F",B286)+1,FIND("G",B286)+1),
FIND("T",B286)-(IF(ISNUMBER(FIND("F",B286)),FIND("F",B286)+1,FIND("G",B286)+1))
)),
VALUE(MID(B286,FIND("E0",B286)+2,FIND("T",B286,FIND("E0",B286))-(FIND("E0",B286)+2)))
))),"")</f>
        <v>7</v>
      </c>
      <c r="G286">
        <f>IFERROR(
IF(ISNUMBER(FIND("T2",B286)),220,
IF(ISNUMBER(FIND("T4",B286)),440,
IF(ISNUMBER(FIND("T5",B286)),575,
IF(ISNUMBER(FIND("T6",B286)),690,"")))),
"")</f>
        <v>690</v>
      </c>
    </row>
    <row r="287" spans="1:7" x14ac:dyDescent="0.25">
      <c r="A287">
        <v>11994726</v>
      </c>
      <c r="B287" t="str">
        <f>VLOOKUP(A287,Planilha2!B:C,2,0)</f>
        <v>INVERSOR BRCFW110010T6ONBZ</v>
      </c>
      <c r="C287" t="s">
        <v>1</v>
      </c>
      <c r="D287" t="str">
        <f>VLOOKUP(A287,Planilha2!B:H,7,0)</f>
        <v>LINHA M3</v>
      </c>
      <c r="E287" s="5">
        <v>29500</v>
      </c>
      <c r="F287">
        <f>IFERROR(
IF(ISNUMBER(FIND("CFW110",B287)),
VALUE(MID(B287,FIND("CFW110",B287)+6,FIND("T",B287,FIND("CFW110",B287))-(FIND("CFW110",B287)+6))),
IF(ISNUMBER(FIND("D",B287)),
VALUE(SUBSTITUTE(MID(B287,FIND("D",B287)+1,FIND("T",B287,FIND("D",B287))-(FIND("D",B287)+1)),"P",",")),
IF(ISNUMBER(FIND("CFW5",B287)),
VALUE(MID(B287,
IF(ISNUMBER(FIND("F",B287)),FIND("F",B287)+1,FIND("G",B287)+1),
FIND("T",B287)-(IF(ISNUMBER(FIND("F",B287)),FIND("F",B287)+1,FIND("G",B287)+1))
)),
VALUE(MID(B287,FIND("E0",B287)+2,FIND("T",B287,FIND("E0",B287))-(FIND("E0",B287)+2)))
))),"")</f>
        <v>10</v>
      </c>
      <c r="G287">
        <f>IFERROR(
IF(ISNUMBER(FIND("T2",B287)),220,
IF(ISNUMBER(FIND("T4",B287)),440,
IF(ISNUMBER(FIND("T5",B287)),575,
IF(ISNUMBER(FIND("T6",B287)),690,"")))),
"")</f>
        <v>690</v>
      </c>
    </row>
    <row r="288" spans="1:7" x14ac:dyDescent="0.25">
      <c r="A288">
        <v>11994758</v>
      </c>
      <c r="B288" t="str">
        <f>VLOOKUP(A288,Planilha2!B:C,2,0)</f>
        <v>INVERSOR BRCFW110012T6ONBZ</v>
      </c>
      <c r="C288" t="s">
        <v>1</v>
      </c>
      <c r="D288" t="str">
        <f>VLOOKUP(A288,Planilha2!B:H,7,0)</f>
        <v>LINHA M3</v>
      </c>
      <c r="E288" s="5">
        <v>29500</v>
      </c>
      <c r="F288">
        <f>IFERROR(
IF(ISNUMBER(FIND("CFW110",B288)),
VALUE(MID(B288,FIND("CFW110",B288)+6,FIND("T",B288,FIND("CFW110",B288))-(FIND("CFW110",B288)+6))),
IF(ISNUMBER(FIND("D",B288)),
VALUE(SUBSTITUTE(MID(B288,FIND("D",B288)+1,FIND("T",B288,FIND("D",B288))-(FIND("D",B288)+1)),"P",",")),
IF(ISNUMBER(FIND("CFW5",B288)),
VALUE(MID(B288,
IF(ISNUMBER(FIND("F",B288)),FIND("F",B288)+1,FIND("G",B288)+1),
FIND("T",B288)-(IF(ISNUMBER(FIND("F",B288)),FIND("F",B288)+1,FIND("G",B288)+1))
)),
VALUE(MID(B288,FIND("E0",B288)+2,FIND("T",B288,FIND("E0",B288))-(FIND("E0",B288)+2)))
))),"")</f>
        <v>12</v>
      </c>
      <c r="G288">
        <f>IFERROR(
IF(ISNUMBER(FIND("T2",B288)),220,
IF(ISNUMBER(FIND("T4",B288)),440,
IF(ISNUMBER(FIND("T5",B288)),575,
IF(ISNUMBER(FIND("T6",B288)),690,"")))),
"")</f>
        <v>690</v>
      </c>
    </row>
    <row r="289" spans="1:7" x14ac:dyDescent="0.25">
      <c r="A289">
        <v>11994759</v>
      </c>
      <c r="B289" t="str">
        <f>VLOOKUP(A289,Planilha2!B:C,2,0)</f>
        <v>INVERSOR BRCFW110017T6ONBZ</v>
      </c>
      <c r="C289" t="s">
        <v>1</v>
      </c>
      <c r="D289" t="str">
        <f>VLOOKUP(A289,Planilha2!B:H,7,0)</f>
        <v>LINHA M3</v>
      </c>
      <c r="E289" s="5">
        <v>29500</v>
      </c>
      <c r="F289">
        <f>IFERROR(
IF(ISNUMBER(FIND("CFW110",B289)),
VALUE(MID(B289,FIND("CFW110",B289)+6,FIND("T",B289,FIND("CFW110",B289))-(FIND("CFW110",B289)+6))),
IF(ISNUMBER(FIND("D",B289)),
VALUE(SUBSTITUTE(MID(B289,FIND("D",B289)+1,FIND("T",B289,FIND("D",B289))-(FIND("D",B289)+1)),"P",",")),
IF(ISNUMBER(FIND("CFW5",B289)),
VALUE(MID(B289,
IF(ISNUMBER(FIND("F",B289)),FIND("F",B289)+1,FIND("G",B289)+1),
FIND("T",B289)-(IF(ISNUMBER(FIND("F",B289)),FIND("F",B289)+1,FIND("G",B289)+1))
)),
VALUE(MID(B289,FIND("E0",B289)+2,FIND("T",B289,FIND("E0",B289))-(FIND("E0",B289)+2)))
))),"")</f>
        <v>17</v>
      </c>
      <c r="G289">
        <f>IFERROR(
IF(ISNUMBER(FIND("T2",B289)),220,
IF(ISNUMBER(FIND("T4",B289)),440,
IF(ISNUMBER(FIND("T5",B289)),575,
IF(ISNUMBER(FIND("T6",B289)),690,"")))),
"")</f>
        <v>690</v>
      </c>
    </row>
    <row r="290" spans="1:7" x14ac:dyDescent="0.25">
      <c r="A290">
        <v>11994761</v>
      </c>
      <c r="B290" t="str">
        <f>VLOOKUP(A290,Planilha2!B:C,2,0)</f>
        <v>INVERSOR BRCFW110027T6ONBZ</v>
      </c>
      <c r="C290" t="s">
        <v>1</v>
      </c>
      <c r="D290" t="str">
        <f>VLOOKUP(A290,Planilha2!B:H,7,0)</f>
        <v>LINHA M3</v>
      </c>
      <c r="E290" s="5">
        <v>29500</v>
      </c>
      <c r="F290">
        <f>IFERROR(
IF(ISNUMBER(FIND("CFW110",B290)),
VALUE(MID(B290,FIND("CFW110",B290)+6,FIND("T",B290,FIND("CFW110",B290))-(FIND("CFW110",B290)+6))),
IF(ISNUMBER(FIND("D",B290)),
VALUE(SUBSTITUTE(MID(B290,FIND("D",B290)+1,FIND("T",B290,FIND("D",B290))-(FIND("D",B290)+1)),"P",",")),
IF(ISNUMBER(FIND("CFW5",B290)),
VALUE(MID(B290,
IF(ISNUMBER(FIND("F",B290)),FIND("F",B290)+1,FIND("G",B290)+1),
FIND("T",B290)-(IF(ISNUMBER(FIND("F",B290)),FIND("F",B290)+1,FIND("G",B290)+1))
)),
VALUE(MID(B290,FIND("E0",B290)+2,FIND("T",B290,FIND("E0",B290))-(FIND("E0",B290)+2)))
))),"")</f>
        <v>27</v>
      </c>
      <c r="G290">
        <f>IFERROR(
IF(ISNUMBER(FIND("T2",B290)),220,
IF(ISNUMBER(FIND("T4",B290)),440,
IF(ISNUMBER(FIND("T5",B290)),575,
IF(ISNUMBER(FIND("T6",B290)),690,"")))),
"")</f>
        <v>690</v>
      </c>
    </row>
    <row r="291" spans="1:7" x14ac:dyDescent="0.25">
      <c r="A291">
        <v>11994762</v>
      </c>
      <c r="B291" t="str">
        <f>VLOOKUP(A291,Planilha2!B:C,2,0)</f>
        <v>INVERSOR BRCFW110032T6ONBZ</v>
      </c>
      <c r="C291" t="s">
        <v>1</v>
      </c>
      <c r="D291" t="str">
        <f>VLOOKUP(A291,Planilha2!B:H,7,0)</f>
        <v>LINHA M3</v>
      </c>
      <c r="E291" s="5">
        <v>29500</v>
      </c>
      <c r="F291">
        <f>IFERROR(
IF(ISNUMBER(FIND("CFW110",B291)),
VALUE(MID(B291,FIND("CFW110",B291)+6,FIND("T",B291,FIND("CFW110",B291))-(FIND("CFW110",B291)+6))),
IF(ISNUMBER(FIND("D",B291)),
VALUE(SUBSTITUTE(MID(B291,FIND("D",B291)+1,FIND("T",B291,FIND("D",B291))-(FIND("D",B291)+1)),"P",",")),
IF(ISNUMBER(FIND("CFW5",B291)),
VALUE(MID(B291,
IF(ISNUMBER(FIND("F",B291)),FIND("F",B291)+1,FIND("G",B291)+1),
FIND("T",B291)-(IF(ISNUMBER(FIND("F",B291)),FIND("F",B291)+1,FIND("G",B291)+1))
)),
VALUE(MID(B291,FIND("E0",B291)+2,FIND("T",B291,FIND("E0",B291))-(FIND("E0",B291)+2)))
))),"")</f>
        <v>32</v>
      </c>
      <c r="G291">
        <f>IFERROR(
IF(ISNUMBER(FIND("T2",B291)),220,
IF(ISNUMBER(FIND("T4",B291)),440,
IF(ISNUMBER(FIND("T5",B291)),575,
IF(ISNUMBER(FIND("T6",B291)),690,"")))),
"")</f>
        <v>690</v>
      </c>
    </row>
    <row r="292" spans="1:7" x14ac:dyDescent="0.25">
      <c r="A292">
        <v>15164377</v>
      </c>
      <c r="B292" t="str">
        <f>VLOOKUP(A292,Planilha2!B:C,2,0)</f>
        <v>INVERSOR BRCFW110070T4OFAWZ-UI</v>
      </c>
      <c r="C292" t="s">
        <v>1</v>
      </c>
      <c r="D292" t="str">
        <f>VLOOKUP(A292,Planilha2!B:H,7,0)</f>
        <v>LINHA M3</v>
      </c>
      <c r="E292" s="5">
        <v>26000</v>
      </c>
      <c r="F292">
        <f>IFERROR(
IF(ISNUMBER(FIND("CFW110",B292)),
VALUE(MID(B292,FIND("CFW110",B292)+6,FIND("T",B292,FIND("CFW110",B292))-(FIND("CFW110",B292)+6))),
IF(ISNUMBER(FIND("D",B292)),
VALUE(SUBSTITUTE(MID(B292,FIND("D",B292)+1,FIND("T",B292,FIND("D",B292))-(FIND("D",B292)+1)),"P",",")),
IF(ISNUMBER(FIND("CFW5",B292)),
VALUE(MID(B292,
IF(ISNUMBER(FIND("F",B292)),FIND("F",B292)+1,FIND("G",B292)+1),
FIND("T",B292)-(IF(ISNUMBER(FIND("F",B292)),FIND("F",B292)+1,FIND("G",B292)+1))
)),
VALUE(MID(B292,FIND("E0",B292)+2,FIND("T",B292,FIND("E0",B292))-(FIND("E0",B292)+2)))
))),"")</f>
        <v>70</v>
      </c>
      <c r="G292">
        <f>IFERROR(
IF(ISNUMBER(FIND("T2",B292)),220,
IF(ISNUMBER(FIND("T4",B292)),440,
IF(ISNUMBER(FIND("T5",B292)),575,
IF(ISNUMBER(FIND("T6",B292)),690,"")))),
"")</f>
        <v>440</v>
      </c>
    </row>
    <row r="293" spans="1:7" x14ac:dyDescent="0.25">
      <c r="A293">
        <v>15164402</v>
      </c>
      <c r="B293" t="str">
        <f>VLOOKUP(A293,Planilha2!B:C,2,0)</f>
        <v>INVERSOR BRCFW110088T4OFAWZ-UI</v>
      </c>
      <c r="C293" t="s">
        <v>1</v>
      </c>
      <c r="D293" t="str">
        <f>VLOOKUP(A293,Planilha2!B:H,7,0)</f>
        <v>LINHA M3</v>
      </c>
      <c r="E293" s="5">
        <v>33301</v>
      </c>
      <c r="F293">
        <f>IFERROR(
IF(ISNUMBER(FIND("CFW110",B293)),
VALUE(MID(B293,FIND("CFW110",B293)+6,FIND("T",B293,FIND("CFW110",B293))-(FIND("CFW110",B293)+6))),
IF(ISNUMBER(FIND("D",B293)),
VALUE(SUBSTITUTE(MID(B293,FIND("D",B293)+1,FIND("T",B293,FIND("D",B293))-(FIND("D",B293)+1)),"P",",")),
IF(ISNUMBER(FIND("CFW5",B293)),
VALUE(MID(B293,
IF(ISNUMBER(FIND("F",B293)),FIND("F",B293)+1,FIND("G",B293)+1),
FIND("T",B293)-(IF(ISNUMBER(FIND("F",B293)),FIND("F",B293)+1,FIND("G",B293)+1))
)),
VALUE(MID(B293,FIND("E0",B293)+2,FIND("T",B293,FIND("E0",B293))-(FIND("E0",B293)+2)))
))),"")</f>
        <v>88</v>
      </c>
      <c r="G293">
        <f>IFERROR(
IF(ISNUMBER(FIND("T2",B293)),220,
IF(ISNUMBER(FIND("T4",B293)),440,
IF(ISNUMBER(FIND("T5",B293)),575,
IF(ISNUMBER(FIND("T6",B293)),690,"")))),
"")</f>
        <v>440</v>
      </c>
    </row>
    <row r="294" spans="1:7" x14ac:dyDescent="0.25">
      <c r="A294">
        <v>15164478</v>
      </c>
      <c r="B294" t="str">
        <f>VLOOKUP(A294,Planilha2!B:C,2,0)</f>
        <v>INVERSOR BRCFW110088T4OFAYWZ-UI</v>
      </c>
      <c r="C294" t="s">
        <v>1</v>
      </c>
      <c r="D294" t="str">
        <f>VLOOKUP(A294,Planilha2!B:H,7,0)</f>
        <v>LINHA M3</v>
      </c>
      <c r="E294" s="5">
        <v>32600</v>
      </c>
      <c r="F294">
        <f>IFERROR(
IF(ISNUMBER(FIND("CFW110",B294)),
VALUE(MID(B294,FIND("CFW110",B294)+6,FIND("T",B294,FIND("CFW110",B294))-(FIND("CFW110",B294)+6))),
IF(ISNUMBER(FIND("D",B294)),
VALUE(SUBSTITUTE(MID(B294,FIND("D",B294)+1,FIND("T",B294,FIND("D",B294))-(FIND("D",B294)+1)),"P",",")),
IF(ISNUMBER(FIND("CFW5",B294)),
VALUE(MID(B294,
IF(ISNUMBER(FIND("F",B294)),FIND("F",B294)+1,FIND("G",B294)+1),
FIND("T",B294)-(IF(ISNUMBER(FIND("F",B294)),FIND("F",B294)+1,FIND("G",B294)+1))
)),
VALUE(MID(B294,FIND("E0",B294)+2,FIND("T",B294,FIND("E0",B294))-(FIND("E0",B294)+2)))
))),"")</f>
        <v>88</v>
      </c>
      <c r="G294">
        <f>IFERROR(
IF(ISNUMBER(FIND("T2",B294)),220,
IF(ISNUMBER(FIND("T4",B294)),440,
IF(ISNUMBER(FIND("T5",B294)),575,
IF(ISNUMBER(FIND("T6",B294)),690,"")))),
"")</f>
        <v>440</v>
      </c>
    </row>
    <row r="295" spans="1:7" x14ac:dyDescent="0.25">
      <c r="A295">
        <v>15192160</v>
      </c>
      <c r="B295" t="str">
        <f>VLOOKUP(A295,Planilha2!B:C,2,0)</f>
        <v>INVERSOR BRCFW110070T4OFAYWZ-UI</v>
      </c>
      <c r="C295" t="s">
        <v>1</v>
      </c>
      <c r="D295" t="str">
        <f>VLOOKUP(A295,Planilha2!B:H,7,0)</f>
        <v>LINHA M3</v>
      </c>
      <c r="E295" s="5">
        <v>29500</v>
      </c>
      <c r="F295">
        <f>IFERROR(
IF(ISNUMBER(FIND("CFW110",B295)),
VALUE(MID(B295,FIND("CFW110",B295)+6,FIND("T",B295,FIND("CFW110",B295))-(FIND("CFW110",B295)+6))),
IF(ISNUMBER(FIND("D",B295)),
VALUE(SUBSTITUTE(MID(B295,FIND("D",B295)+1,FIND("T",B295,FIND("D",B295))-(FIND("D",B295)+1)),"P",",")),
IF(ISNUMBER(FIND("CFW5",B295)),
VALUE(MID(B295,
IF(ISNUMBER(FIND("F",B295)),FIND("F",B295)+1,FIND("G",B295)+1),
FIND("T",B295)-(IF(ISNUMBER(FIND("F",B295)),FIND("F",B295)+1,FIND("G",B295)+1))
)),
VALUE(MID(B295,FIND("E0",B295)+2,FIND("T",B295,FIND("E0",B295))-(FIND("E0",B295)+2)))
))),"")</f>
        <v>70</v>
      </c>
      <c r="G295">
        <f>IFERROR(
IF(ISNUMBER(FIND("T2",B295)),220,
IF(ISNUMBER(FIND("T4",B295)),440,
IF(ISNUMBER(FIND("T5",B295)),575,
IF(ISNUMBER(FIND("T6",B295)),690,"")))),
"")</f>
        <v>440</v>
      </c>
    </row>
    <row r="296" spans="1:7" x14ac:dyDescent="0.25">
      <c r="A296">
        <v>15240752</v>
      </c>
      <c r="B296" t="str">
        <f>VLOOKUP(A296,Planilha2!B:C,2,0)</f>
        <v>INVERSOR BRCFW110058T4OHALS9Z</v>
      </c>
      <c r="C296" t="s">
        <v>1</v>
      </c>
      <c r="D296" t="str">
        <f>VLOOKUP(A296,Planilha2!B:H,7,0)</f>
        <v>LINHA M1</v>
      </c>
      <c r="E296" s="5">
        <v>23000</v>
      </c>
      <c r="F296">
        <f>IFERROR(
IF(ISNUMBER(FIND("CFW110",B296)),
VALUE(MID(B296,FIND("CFW110",B296)+6,FIND("T",B296,FIND("CFW110",B296))-(FIND("CFW110",B296)+6))),
IF(ISNUMBER(FIND("D",B296)),
VALUE(SUBSTITUTE(MID(B296,FIND("D",B296)+1,FIND("T",B296,FIND("D",B296))-(FIND("D",B296)+1)),"P",",")),
IF(ISNUMBER(FIND("CFW5",B296)),
VALUE(MID(B296,
IF(ISNUMBER(FIND("F",B296)),FIND("F",B296)+1,FIND("G",B296)+1),
FIND("T",B296)-(IF(ISNUMBER(FIND("F",B296)),FIND("F",B296)+1,FIND("G",B296)+1))
)),
VALUE(MID(B296,FIND("E0",B296)+2,FIND("T",B296,FIND("E0",B296))-(FIND("E0",B296)+2)))
))),"")</f>
        <v>58</v>
      </c>
      <c r="G296">
        <f>IFERROR(
IF(ISNUMBER(FIND("T2",B296)),220,
IF(ISNUMBER(FIND("T4",B296)),440,
IF(ISNUMBER(FIND("T5",B296)),575,
IF(ISNUMBER(FIND("T6",B296)),690,"")))),
"")</f>
        <v>440</v>
      </c>
    </row>
    <row r="297" spans="1:7" x14ac:dyDescent="0.25">
      <c r="A297">
        <v>15243396</v>
      </c>
      <c r="B297" t="str">
        <f>VLOOKUP(A297,Planilha2!B:C,2,0)</f>
        <v>INVERSOR BRCFW110070T4OFAH4SPZ</v>
      </c>
      <c r="C297" t="s">
        <v>1</v>
      </c>
      <c r="D297" t="str">
        <f>VLOOKUP(A297,Planilha2!B:H,7,0)</f>
        <v>LINHA M3</v>
      </c>
      <c r="E297" s="5">
        <v>31100</v>
      </c>
      <c r="F297">
        <f>IFERROR(
IF(ISNUMBER(FIND("CFW110",B297)),
VALUE(MID(B297,FIND("CFW110",B297)+6,FIND("T",B297,FIND("CFW110",B297))-(FIND("CFW110",B297)+6))),
IF(ISNUMBER(FIND("D",B297)),
VALUE(SUBSTITUTE(MID(B297,FIND("D",B297)+1,FIND("T",B297,FIND("D",B297))-(FIND("D",B297)+1)),"P",",")),
IF(ISNUMBER(FIND("CFW5",B297)),
VALUE(MID(B297,
IF(ISNUMBER(FIND("F",B297)),FIND("F",B297)+1,FIND("G",B297)+1),
FIND("T",B297)-(IF(ISNUMBER(FIND("F",B297)),FIND("F",B297)+1,FIND("G",B297)+1))
)),
VALUE(MID(B297,FIND("E0",B297)+2,FIND("T",B297,FIND("E0",B297))-(FIND("E0",B297)+2)))
))),"")</f>
        <v>70</v>
      </c>
      <c r="G297">
        <f>IFERROR(
IF(ISNUMBER(FIND("T2",B297)),220,
IF(ISNUMBER(FIND("T4",B297)),440,
IF(ISNUMBER(FIND("T5",B297)),575,
IF(ISNUMBER(FIND("T6",B297)),690,"")))),
"")</f>
        <v>440</v>
      </c>
    </row>
    <row r="298" spans="1:7" x14ac:dyDescent="0.25">
      <c r="A298">
        <v>15253951</v>
      </c>
      <c r="B298" t="str">
        <f>VLOOKUP(A298,Planilha2!B:C,2,0)</f>
        <v>INVERSOR BRCFW110088T4OWECZ</v>
      </c>
      <c r="C298" t="s">
        <v>1</v>
      </c>
      <c r="D298" t="str">
        <f>VLOOKUP(A298,Planilha2!B:H,7,0)</f>
        <v>LINHA M3</v>
      </c>
      <c r="E298" s="5">
        <v>34404</v>
      </c>
      <c r="F298">
        <f>IFERROR(
IF(ISNUMBER(FIND("CFW110",B298)),
VALUE(MID(B298,FIND("CFW110",B298)+6,FIND("T",B298,FIND("CFW110",B298))-(FIND("CFW110",B298)+6))),
IF(ISNUMBER(FIND("D",B298)),
VALUE(SUBSTITUTE(MID(B298,FIND("D",B298)+1,FIND("T",B298,FIND("D",B298))-(FIND("D",B298)+1)),"P",",")),
IF(ISNUMBER(FIND("CFW5",B298)),
VALUE(MID(B298,
IF(ISNUMBER(FIND("F",B298)),FIND("F",B298)+1,FIND("G",B298)+1),
FIND("T",B298)-(IF(ISNUMBER(FIND("F",B298)),FIND("F",B298)+1,FIND("G",B298)+1))
)),
VALUE(MID(B298,FIND("E0",B298)+2,FIND("T",B298,FIND("E0",B298))-(FIND("E0",B298)+2)))
))),"")</f>
        <v>88</v>
      </c>
      <c r="G298">
        <f>IFERROR(
IF(ISNUMBER(FIND("T2",B298)),220,
IF(ISNUMBER(FIND("T4",B298)),440,
IF(ISNUMBER(FIND("T5",B298)),575,
IF(ISNUMBER(FIND("T6",B298)),690,"")))),
"")</f>
        <v>440</v>
      </c>
    </row>
    <row r="299" spans="1:7" x14ac:dyDescent="0.25">
      <c r="A299">
        <v>15326344</v>
      </c>
      <c r="B299" t="str">
        <f>VLOOKUP(A299,Planilha2!B:C,2,0)</f>
        <v>INVERSOR BRCFW110038T4OWECZ</v>
      </c>
      <c r="C299" t="s">
        <v>1</v>
      </c>
      <c r="D299" t="str">
        <f>VLOOKUP(A299,Planilha2!B:H,7,0)</f>
        <v>LINHA M1</v>
      </c>
      <c r="E299" s="5">
        <v>16400</v>
      </c>
      <c r="F299">
        <f>IFERROR(
IF(ISNUMBER(FIND("CFW110",B299)),
VALUE(MID(B299,FIND("CFW110",B299)+6,FIND("T",B299,FIND("CFW110",B299))-(FIND("CFW110",B299)+6))),
IF(ISNUMBER(FIND("D",B299)),
VALUE(SUBSTITUTE(MID(B299,FIND("D",B299)+1,FIND("T",B299,FIND("D",B299))-(FIND("D",B299)+1)),"P",",")),
IF(ISNUMBER(FIND("CFW5",B299)),
VALUE(MID(B299,
IF(ISNUMBER(FIND("F",B299)),FIND("F",B299)+1,FIND("G",B299)+1),
FIND("T",B299)-(IF(ISNUMBER(FIND("F",B299)),FIND("F",B299)+1,FIND("G",B299)+1))
)),
VALUE(MID(B299,FIND("E0",B299)+2,FIND("T",B299,FIND("E0",B299))-(FIND("E0",B299)+2)))
))),"")</f>
        <v>38</v>
      </c>
      <c r="G299">
        <f>IFERROR(
IF(ISNUMBER(FIND("T2",B299)),220,
IF(ISNUMBER(FIND("T4",B299)),440,
IF(ISNUMBER(FIND("T5",B299)),575,
IF(ISNUMBER(FIND("T6",B299)),690,"")))),
"")</f>
        <v>440</v>
      </c>
    </row>
    <row r="300" spans="1:7" x14ac:dyDescent="0.25">
      <c r="A300">
        <v>11988881</v>
      </c>
      <c r="B300" t="str">
        <f>VLOOKUP(A300,Planilha2!B:C,2,0)</f>
        <v>INVERSOR EUCFW110017T6OYZ</v>
      </c>
      <c r="C300" t="s">
        <v>1</v>
      </c>
      <c r="D300" t="str">
        <f>VLOOKUP(A300,Planilha2!B:H,7,0)</f>
        <v>LINHA M3</v>
      </c>
      <c r="E300" s="5">
        <v>29360</v>
      </c>
      <c r="F300">
        <f>IFERROR(
IF(ISNUMBER(FIND("CFW110",B300)),
VALUE(MID(B300,FIND("CFW110",B300)+6,FIND("T",B300,FIND("CFW110",B300))-(FIND("CFW110",B300)+6))),
IF(ISNUMBER(FIND("D",B300)),
VALUE(SUBSTITUTE(MID(B300,FIND("D",B300)+1,FIND("T",B300,FIND("D",B300))-(FIND("D",B300)+1)),"P",",")),
IF(ISNUMBER(FIND("CFW5",B300)),
VALUE(MID(B300,
IF(ISNUMBER(FIND("F",B300)),FIND("F",B300)+1,FIND("G",B300)+1),
FIND("T",B300)-(IF(ISNUMBER(FIND("F",B300)),FIND("F",B300)+1,FIND("G",B300)+1))
)),
VALUE(MID(B300,FIND("E0",B300)+2,FIND("T",B300,FIND("E0",B300))-(FIND("E0",B300)+2)))
))),"")</f>
        <v>17</v>
      </c>
      <c r="G300">
        <f>IFERROR(
IF(ISNUMBER(FIND("T2",B300)),220,
IF(ISNUMBER(FIND("T4",B300)),440,
IF(ISNUMBER(FIND("T5",B300)),575,
IF(ISNUMBER(FIND("T6",B300)),690,"")))),
"")</f>
        <v>690</v>
      </c>
    </row>
    <row r="301" spans="1:7" x14ac:dyDescent="0.25">
      <c r="A301">
        <v>15354734</v>
      </c>
      <c r="B301" t="str">
        <f>VLOOKUP(A301,Planilha2!B:C,2,0)</f>
        <v>INVERSOR BRCFW110002T6OYHSZ</v>
      </c>
      <c r="C301" t="s">
        <v>1</v>
      </c>
      <c r="D301" t="str">
        <f>VLOOKUP(A301,Planilha2!B:H,7,0)</f>
        <v>LINHA M3</v>
      </c>
      <c r="E301" s="5">
        <v>29500</v>
      </c>
      <c r="F301">
        <f>IFERROR(
IF(ISNUMBER(FIND("CFW110",B301)),
VALUE(MID(B301,FIND("CFW110",B301)+6,FIND("T",B301,FIND("CFW110",B301))-(FIND("CFW110",B301)+6))),
IF(ISNUMBER(FIND("D",B301)),
VALUE(SUBSTITUTE(MID(B301,FIND("D",B301)+1,FIND("T",B301,FIND("D",B301))-(FIND("D",B301)+1)),"P",",")),
IF(ISNUMBER(FIND("CFW5",B301)),
VALUE(MID(B301,
IF(ISNUMBER(FIND("F",B301)),FIND("F",B301)+1,FIND("G",B301)+1),
FIND("T",B301)-(IF(ISNUMBER(FIND("F",B301)),FIND("F",B301)+1,FIND("G",B301)+1))
)),
VALUE(MID(B301,FIND("E0",B301)+2,FIND("T",B301,FIND("E0",B301))-(FIND("E0",B301)+2)))
))),"")</f>
        <v>2</v>
      </c>
      <c r="G301">
        <f>IFERROR(
IF(ISNUMBER(FIND("T2",B301)),220,
IF(ISNUMBER(FIND("T4",B301)),440,
IF(ISNUMBER(FIND("T5",B301)),575,
IF(ISNUMBER(FIND("T6",B301)),690,"")))),
"")</f>
        <v>690</v>
      </c>
    </row>
    <row r="302" spans="1:7" x14ac:dyDescent="0.25">
      <c r="A302">
        <v>15354735</v>
      </c>
      <c r="B302" t="str">
        <f>VLOOKUP(A302,Planilha2!B:C,2,0)</f>
        <v>INVERSOR BRCFW110004T6OYHSZ</v>
      </c>
      <c r="C302" t="s">
        <v>1</v>
      </c>
      <c r="D302" t="str">
        <f>VLOOKUP(A302,Planilha2!B:H,7,0)</f>
        <v>LINHA M3</v>
      </c>
      <c r="E302" s="5">
        <v>26000</v>
      </c>
      <c r="F302">
        <f>IFERROR(
IF(ISNUMBER(FIND("CFW110",B302)),
VALUE(MID(B302,FIND("CFW110",B302)+6,FIND("T",B302,FIND("CFW110",B302))-(FIND("CFW110",B302)+6))),
IF(ISNUMBER(FIND("D",B302)),
VALUE(SUBSTITUTE(MID(B302,FIND("D",B302)+1,FIND("T",B302,FIND("D",B302))-(FIND("D",B302)+1)),"P",",")),
IF(ISNUMBER(FIND("CFW5",B302)),
VALUE(MID(B302,
IF(ISNUMBER(FIND("F",B302)),FIND("F",B302)+1,FIND("G",B302)+1),
FIND("T",B302)-(IF(ISNUMBER(FIND("F",B302)),FIND("F",B302)+1,FIND("G",B302)+1))
)),
VALUE(MID(B302,FIND("E0",B302)+2,FIND("T",B302,FIND("E0",B302))-(FIND("E0",B302)+2)))
))),"")</f>
        <v>4</v>
      </c>
      <c r="G302">
        <f>IFERROR(
IF(ISNUMBER(FIND("T2",B302)),220,
IF(ISNUMBER(FIND("T4",B302)),440,
IF(ISNUMBER(FIND("T5",B302)),575,
IF(ISNUMBER(FIND("T6",B302)),690,"")))),
"")</f>
        <v>690</v>
      </c>
    </row>
    <row r="303" spans="1:7" x14ac:dyDescent="0.25">
      <c r="A303">
        <v>15354736</v>
      </c>
      <c r="B303" t="str">
        <f>VLOOKUP(A303,Planilha2!B:C,2,0)</f>
        <v>INVERSOR BRCFW110007T6OYHSZ</v>
      </c>
      <c r="C303" t="s">
        <v>1</v>
      </c>
      <c r="D303" t="str">
        <f>VLOOKUP(A303,Planilha2!B:H,7,0)</f>
        <v>LINHA M3</v>
      </c>
      <c r="E303" s="5">
        <v>26000</v>
      </c>
      <c r="F303">
        <f>IFERROR(
IF(ISNUMBER(FIND("CFW110",B303)),
VALUE(MID(B303,FIND("CFW110",B303)+6,FIND("T",B303,FIND("CFW110",B303))-(FIND("CFW110",B303)+6))),
IF(ISNUMBER(FIND("D",B303)),
VALUE(SUBSTITUTE(MID(B303,FIND("D",B303)+1,FIND("T",B303,FIND("D",B303))-(FIND("D",B303)+1)),"P",",")),
IF(ISNUMBER(FIND("CFW5",B303)),
VALUE(MID(B303,
IF(ISNUMBER(FIND("F",B303)),FIND("F",B303)+1,FIND("G",B303)+1),
FIND("T",B303)-(IF(ISNUMBER(FIND("F",B303)),FIND("F",B303)+1,FIND("G",B303)+1))
)),
VALUE(MID(B303,FIND("E0",B303)+2,FIND("T",B303,FIND("E0",B303))-(FIND("E0",B303)+2)))
))),"")</f>
        <v>7</v>
      </c>
      <c r="G303">
        <f>IFERROR(
IF(ISNUMBER(FIND("T2",B303)),220,
IF(ISNUMBER(FIND("T4",B303)),440,
IF(ISNUMBER(FIND("T5",B303)),575,
IF(ISNUMBER(FIND("T6",B303)),690,"")))),
"")</f>
        <v>690</v>
      </c>
    </row>
    <row r="304" spans="1:7" x14ac:dyDescent="0.25">
      <c r="A304">
        <v>15354772</v>
      </c>
      <c r="B304" t="str">
        <f>VLOOKUP(A304,Planilha2!B:C,2,0)</f>
        <v>INVERSOR BRCFW110012T6OYHSZ</v>
      </c>
      <c r="C304" t="s">
        <v>1</v>
      </c>
      <c r="D304" t="str">
        <f>VLOOKUP(A304,Planilha2!B:H,7,0)</f>
        <v>LINHA M3</v>
      </c>
      <c r="E304" s="5">
        <v>26000</v>
      </c>
      <c r="F304">
        <f>IFERROR(
IF(ISNUMBER(FIND("CFW110",B304)),
VALUE(MID(B304,FIND("CFW110",B304)+6,FIND("T",B304,FIND("CFW110",B304))-(FIND("CFW110",B304)+6))),
IF(ISNUMBER(FIND("D",B304)),
VALUE(SUBSTITUTE(MID(B304,FIND("D",B304)+1,FIND("T",B304,FIND("D",B304))-(FIND("D",B304)+1)),"P",",")),
IF(ISNUMBER(FIND("CFW5",B304)),
VALUE(MID(B304,
IF(ISNUMBER(FIND("F",B304)),FIND("F",B304)+1,FIND("G",B304)+1),
FIND("T",B304)-(IF(ISNUMBER(FIND("F",B304)),FIND("F",B304)+1,FIND("G",B304)+1))
)),
VALUE(MID(B304,FIND("E0",B304)+2,FIND("T",B304,FIND("E0",B304))-(FIND("E0",B304)+2)))
))),"")</f>
        <v>12</v>
      </c>
      <c r="G304">
        <f>IFERROR(
IF(ISNUMBER(FIND("T2",B304)),220,
IF(ISNUMBER(FIND("T4",B304)),440,
IF(ISNUMBER(FIND("T5",B304)),575,
IF(ISNUMBER(FIND("T6",B304)),690,"")))),
"")</f>
        <v>690</v>
      </c>
    </row>
    <row r="305" spans="1:7" x14ac:dyDescent="0.25">
      <c r="A305">
        <v>15354773</v>
      </c>
      <c r="B305" t="str">
        <f>VLOOKUP(A305,Planilha2!B:C,2,0)</f>
        <v>INVERSOR BRCFW110017T6OYHSZ</v>
      </c>
      <c r="C305" t="s">
        <v>1</v>
      </c>
      <c r="D305" t="str">
        <f>VLOOKUP(A305,Planilha2!B:H,7,0)</f>
        <v>LINHA M3</v>
      </c>
      <c r="E305" s="5">
        <v>26000</v>
      </c>
      <c r="F305">
        <f>IFERROR(
IF(ISNUMBER(FIND("CFW110",B305)),
VALUE(MID(B305,FIND("CFW110",B305)+6,FIND("T",B305,FIND("CFW110",B305))-(FIND("CFW110",B305)+6))),
IF(ISNUMBER(FIND("D",B305)),
VALUE(SUBSTITUTE(MID(B305,FIND("D",B305)+1,FIND("T",B305,FIND("D",B305))-(FIND("D",B305)+1)),"P",",")),
IF(ISNUMBER(FIND("CFW5",B305)),
VALUE(MID(B305,
IF(ISNUMBER(FIND("F",B305)),FIND("F",B305)+1,FIND("G",B305)+1),
FIND("T",B305)-(IF(ISNUMBER(FIND("F",B305)),FIND("F",B305)+1,FIND("G",B305)+1))
)),
VALUE(MID(B305,FIND("E0",B305)+2,FIND("T",B305,FIND("E0",B305))-(FIND("E0",B305)+2)))
))),"")</f>
        <v>17</v>
      </c>
      <c r="G305">
        <f>IFERROR(
IF(ISNUMBER(FIND("T2",B305)),220,
IF(ISNUMBER(FIND("T4",B305)),440,
IF(ISNUMBER(FIND("T5",B305)),575,
IF(ISNUMBER(FIND("T6",B305)),690,"")))),
"")</f>
        <v>690</v>
      </c>
    </row>
    <row r="306" spans="1:7" x14ac:dyDescent="0.25">
      <c r="A306">
        <v>15354775</v>
      </c>
      <c r="B306" t="str">
        <f>VLOOKUP(A306,Planilha2!B:C,2,0)</f>
        <v>INVERSOR BRCFW110022T6OYHSZ</v>
      </c>
      <c r="C306" t="s">
        <v>1</v>
      </c>
      <c r="D306" t="str">
        <f>VLOOKUP(A306,Planilha2!B:H,7,0)</f>
        <v>LINHA M3</v>
      </c>
      <c r="E306" s="5">
        <v>26000</v>
      </c>
      <c r="F306">
        <f>IFERROR(
IF(ISNUMBER(FIND("CFW110",B306)),
VALUE(MID(B306,FIND("CFW110",B306)+6,FIND("T",B306,FIND("CFW110",B306))-(FIND("CFW110",B306)+6))),
IF(ISNUMBER(FIND("D",B306)),
VALUE(SUBSTITUTE(MID(B306,FIND("D",B306)+1,FIND("T",B306,FIND("D",B306))-(FIND("D",B306)+1)),"P",",")),
IF(ISNUMBER(FIND("CFW5",B306)),
VALUE(MID(B306,
IF(ISNUMBER(FIND("F",B306)),FIND("F",B306)+1,FIND("G",B306)+1),
FIND("T",B306)-(IF(ISNUMBER(FIND("F",B306)),FIND("F",B306)+1,FIND("G",B306)+1))
)),
VALUE(MID(B306,FIND("E0",B306)+2,FIND("T",B306,FIND("E0",B306))-(FIND("E0",B306)+2)))
))),"")</f>
        <v>22</v>
      </c>
      <c r="G306">
        <f>IFERROR(
IF(ISNUMBER(FIND("T2",B306)),220,
IF(ISNUMBER(FIND("T4",B306)),440,
IF(ISNUMBER(FIND("T5",B306)),575,
IF(ISNUMBER(FIND("T6",B306)),690,"")))),
"")</f>
        <v>690</v>
      </c>
    </row>
    <row r="307" spans="1:7" x14ac:dyDescent="0.25">
      <c r="A307">
        <v>15354777</v>
      </c>
      <c r="B307" t="str">
        <f>VLOOKUP(A307,Planilha2!B:C,2,0)</f>
        <v>INVERSOR BRCFW110027T6OYHSZ</v>
      </c>
      <c r="C307" t="s">
        <v>1</v>
      </c>
      <c r="D307" t="str">
        <f>VLOOKUP(A307,Planilha2!B:H,7,0)</f>
        <v>LINHA M3</v>
      </c>
      <c r="E307" s="5">
        <v>26000</v>
      </c>
      <c r="F307">
        <f>IFERROR(
IF(ISNUMBER(FIND("CFW110",B307)),
VALUE(MID(B307,FIND("CFW110",B307)+6,FIND("T",B307,FIND("CFW110",B307))-(FIND("CFW110",B307)+6))),
IF(ISNUMBER(FIND("D",B307)),
VALUE(SUBSTITUTE(MID(B307,FIND("D",B307)+1,FIND("T",B307,FIND("D",B307))-(FIND("D",B307)+1)),"P",",")),
IF(ISNUMBER(FIND("CFW5",B307)),
VALUE(MID(B307,
IF(ISNUMBER(FIND("F",B307)),FIND("F",B307)+1,FIND("G",B307)+1),
FIND("T",B307)-(IF(ISNUMBER(FIND("F",B307)),FIND("F",B307)+1,FIND("G",B307)+1))
)),
VALUE(MID(B307,FIND("E0",B307)+2,FIND("T",B307,FIND("E0",B307))-(FIND("E0",B307)+2)))
))),"")</f>
        <v>27</v>
      </c>
      <c r="G307">
        <f>IFERROR(
IF(ISNUMBER(FIND("T2",B307)),220,
IF(ISNUMBER(FIND("T4",B307)),440,
IF(ISNUMBER(FIND("T5",B307)),575,
IF(ISNUMBER(FIND("T6",B307)),690,"")))),
"")</f>
        <v>690</v>
      </c>
    </row>
    <row r="308" spans="1:7" x14ac:dyDescent="0.25">
      <c r="A308">
        <v>15354778</v>
      </c>
      <c r="B308" t="str">
        <f>VLOOKUP(A308,Planilha2!B:C,2,0)</f>
        <v>INVERSOR BRCFW110032T6OYHSZ</v>
      </c>
      <c r="C308" t="s">
        <v>1</v>
      </c>
      <c r="D308" t="str">
        <f>VLOOKUP(A308,Planilha2!B:H,7,0)</f>
        <v>LINHA M3</v>
      </c>
      <c r="E308" s="5">
        <v>26000</v>
      </c>
      <c r="F308">
        <f>IFERROR(
IF(ISNUMBER(FIND("CFW110",B308)),
VALUE(MID(B308,FIND("CFW110",B308)+6,FIND("T",B308,FIND("CFW110",B308))-(FIND("CFW110",B308)+6))),
IF(ISNUMBER(FIND("D",B308)),
VALUE(SUBSTITUTE(MID(B308,FIND("D",B308)+1,FIND("T",B308,FIND("D",B308))-(FIND("D",B308)+1)),"P",",")),
IF(ISNUMBER(FIND("CFW5",B308)),
VALUE(MID(B308,
IF(ISNUMBER(FIND("F",B308)),FIND("F",B308)+1,FIND("G",B308)+1),
FIND("T",B308)-(IF(ISNUMBER(FIND("F",B308)),FIND("F",B308)+1,FIND("G",B308)+1))
)),
VALUE(MID(B308,FIND("E0",B308)+2,FIND("T",B308,FIND("E0",B308))-(FIND("E0",B308)+2)))
))),"")</f>
        <v>32</v>
      </c>
      <c r="G308">
        <f>IFERROR(
IF(ISNUMBER(FIND("T2",B308)),220,
IF(ISNUMBER(FIND("T4",B308)),440,
IF(ISNUMBER(FIND("T5",B308)),575,
IF(ISNUMBER(FIND("T6",B308)),690,"")))),
"")</f>
        <v>690</v>
      </c>
    </row>
    <row r="309" spans="1:7" x14ac:dyDescent="0.25">
      <c r="A309">
        <v>15354779</v>
      </c>
      <c r="B309" t="str">
        <f>VLOOKUP(A309,Planilha2!B:C,2,0)</f>
        <v>INVERSOR BRCFW110044T6OYHSZ</v>
      </c>
      <c r="C309" t="s">
        <v>1</v>
      </c>
      <c r="D309" t="str">
        <f>VLOOKUP(A309,Planilha2!B:H,7,0)</f>
        <v>LINHA M3</v>
      </c>
      <c r="E309" s="5">
        <v>26000</v>
      </c>
      <c r="F309">
        <f>IFERROR(
IF(ISNUMBER(FIND("CFW110",B309)),
VALUE(MID(B309,FIND("CFW110",B309)+6,FIND("T",B309,FIND("CFW110",B309))-(FIND("CFW110",B309)+6))),
IF(ISNUMBER(FIND("D",B309)),
VALUE(SUBSTITUTE(MID(B309,FIND("D",B309)+1,FIND("T",B309,FIND("D",B309))-(FIND("D",B309)+1)),"P",",")),
IF(ISNUMBER(FIND("CFW5",B309)),
VALUE(MID(B309,
IF(ISNUMBER(FIND("F",B309)),FIND("F",B309)+1,FIND("G",B309)+1),
FIND("T",B309)-(IF(ISNUMBER(FIND("F",B309)),FIND("F",B309)+1,FIND("G",B309)+1))
)),
VALUE(MID(B309,FIND("E0",B309)+2,FIND("T",B309,FIND("E0",B309))-(FIND("E0",B309)+2)))
))),"")</f>
        <v>44</v>
      </c>
      <c r="G309">
        <f>IFERROR(
IF(ISNUMBER(FIND("T2",B309)),220,
IF(ISNUMBER(FIND("T4",B309)),440,
IF(ISNUMBER(FIND("T5",B309)),575,
IF(ISNUMBER(FIND("T6",B309)),690,"")))),
"")</f>
        <v>690</v>
      </c>
    </row>
    <row r="310" spans="1:7" x14ac:dyDescent="0.25">
      <c r="A310">
        <v>15342917</v>
      </c>
      <c r="B310" t="str">
        <f>VLOOKUP(A310,Planilha2!B:C,2,0)</f>
        <v>INVERSOR CFW500F0105T2DB20H01SA</v>
      </c>
      <c r="C310" t="s">
        <v>1</v>
      </c>
      <c r="D310" t="str">
        <f>VLOOKUP(A310,Planilha2!B:H,7,0)</f>
        <v>LINHA M3</v>
      </c>
      <c r="E310" s="5">
        <v>24500</v>
      </c>
      <c r="F310" t="str">
        <f>IFERROR(
IF(ISNUMBER(FIND("CFW110",B310)),
VALUE(MID(B310,FIND("CFW110",B310)+6,FIND("T",B310,FIND("CFW110",B310))-(FIND("CFW110",B310)+6))),
IF(ISNUMBER(FIND("D",B310)),
VALUE(SUBSTITUTE(MID(B310,FIND("D",B310)+1,FIND("T",B310,FIND("D",B310))-(FIND("D",B310)+1)),"P",",")),
IF(ISNUMBER(FIND("CFW5",B310)),
VALUE(MID(B310,
IF(ISNUMBER(FIND("F",B310)),FIND("F",B310)+1,FIND("G",B310)+1),
FIND("T",B310)-(IF(ISNUMBER(FIND("F",B310)),FIND("F",B310)+1,FIND("G",B310)+1))
)),
VALUE(MID(B310,FIND("E0",B310)+2,FIND("T",B310,FIND("E0",B310))-(FIND("E0",B310)+2)))
))),"")</f>
        <v/>
      </c>
      <c r="G310">
        <f>IFERROR(
IF(ISNUMBER(FIND("T2",B310)),220,
IF(ISNUMBER(FIND("T4",B310)),440,
IF(ISNUMBER(FIND("T5",B310)),575,
IF(ISNUMBER(FIND("T6",B310)),690,"")))),
"")</f>
        <v>220</v>
      </c>
    </row>
    <row r="311" spans="1:7" x14ac:dyDescent="0.25">
      <c r="A311">
        <v>15342915</v>
      </c>
      <c r="B311" t="str">
        <f>VLOOKUP(A311,Planilha2!B:C,2,0)</f>
        <v>INVERSOR CFW500F0105T2DB20H00G2</v>
      </c>
      <c r="C311" t="s">
        <v>1</v>
      </c>
      <c r="D311" t="str">
        <f>VLOOKUP(A311,Planilha2!B:H,7,0)</f>
        <v>LINHA M3</v>
      </c>
      <c r="E311" s="5">
        <v>24500</v>
      </c>
      <c r="F311" t="str">
        <f>IFERROR(
IF(ISNUMBER(FIND("CFW110",B311)),
VALUE(MID(B311,FIND("CFW110",B311)+6,FIND("T",B311,FIND("CFW110",B311))-(FIND("CFW110",B311)+6))),
IF(ISNUMBER(FIND("D",B311)),
VALUE(SUBSTITUTE(MID(B311,FIND("D",B311)+1,FIND("T",B311,FIND("D",B311))-(FIND("D",B311)+1)),"P",",")),
IF(ISNUMBER(FIND("CFW5",B311)),
VALUE(MID(B311,
IF(ISNUMBER(FIND("F",B311)),FIND("F",B311)+1,FIND("G",B311)+1),
FIND("T",B311)-(IF(ISNUMBER(FIND("F",B311)),FIND("F",B311)+1,FIND("G",B311)+1))
)),
VALUE(MID(B311,FIND("E0",B311)+2,FIND("T",B311,FIND("E0",B311))-(FIND("E0",B311)+2)))
))),"")</f>
        <v/>
      </c>
      <c r="G311">
        <f>IFERROR(
IF(ISNUMBER(FIND("T2",B311)),220,
IF(ISNUMBER(FIND("T4",B311)),440,
IF(ISNUMBER(FIND("T5",B311)),575,
IF(ISNUMBER(FIND("T6",B311)),690,"")))),
"")</f>
        <v>220</v>
      </c>
    </row>
    <row r="312" spans="1:7" x14ac:dyDescent="0.25">
      <c r="A312">
        <v>15342914</v>
      </c>
      <c r="B312" t="str">
        <f>VLOOKUP(A312,Planilha2!B:C,2,0)</f>
        <v>INVERSOR CFW500F0105T2DB20C3H00G2</v>
      </c>
      <c r="C312" t="s">
        <v>1</v>
      </c>
      <c r="D312" t="str">
        <f>VLOOKUP(A312,Planilha2!B:H,7,0)</f>
        <v>LINHA M3</v>
      </c>
      <c r="E312" s="5">
        <v>24500</v>
      </c>
      <c r="F312" t="str">
        <f>IFERROR(
IF(ISNUMBER(FIND("CFW110",B312)),
VALUE(MID(B312,FIND("CFW110",B312)+6,FIND("T",B312,FIND("CFW110",B312))-(FIND("CFW110",B312)+6))),
IF(ISNUMBER(FIND("D",B312)),
VALUE(SUBSTITUTE(MID(B312,FIND("D",B312)+1,FIND("T",B312,FIND("D",B312))-(FIND("D",B312)+1)),"P",",")),
IF(ISNUMBER(FIND("CFW5",B312)),
VALUE(MID(B312,
IF(ISNUMBER(FIND("F",B312)),FIND("F",B312)+1,FIND("G",B312)+1),
FIND("T",B312)-(IF(ISNUMBER(FIND("F",B312)),FIND("F",B312)+1,FIND("G",B312)+1))
)),
VALUE(MID(B312,FIND("E0",B312)+2,FIND("T",B312,FIND("E0",B312))-(FIND("E0",B312)+2)))
))),"")</f>
        <v/>
      </c>
      <c r="G312">
        <f>IFERROR(
IF(ISNUMBER(FIND("T2",B312)),220,
IF(ISNUMBER(FIND("T4",B312)),440,
IF(ISNUMBER(FIND("T5",B312)),575,
IF(ISNUMBER(FIND("T6",B312)),690,"")))),
"")</f>
        <v>220</v>
      </c>
    </row>
    <row r="313" spans="1:7" x14ac:dyDescent="0.25">
      <c r="A313">
        <v>15342911</v>
      </c>
      <c r="B313" t="str">
        <f>VLOOKUP(A313,Planilha2!B:C,2,0)</f>
        <v>INVERSOR CFW500F0105T2DB20C3G2</v>
      </c>
      <c r="C313" t="s">
        <v>1</v>
      </c>
      <c r="D313" t="str">
        <f>VLOOKUP(A313,Planilha2!B:H,7,0)</f>
        <v>LINHA M3</v>
      </c>
      <c r="E313" s="5">
        <v>24500</v>
      </c>
      <c r="F313" t="str">
        <f>IFERROR(
IF(ISNUMBER(FIND("CFW110",B313)),
VALUE(MID(B313,FIND("CFW110",B313)+6,FIND("T",B313,FIND("CFW110",B313))-(FIND("CFW110",B313)+6))),
IF(ISNUMBER(FIND("D",B313)),
VALUE(SUBSTITUTE(MID(B313,FIND("D",B313)+1,FIND("T",B313,FIND("D",B313))-(FIND("D",B313)+1)),"P",",")),
IF(ISNUMBER(FIND("CFW5",B313)),
VALUE(MID(B313,
IF(ISNUMBER(FIND("F",B313)),FIND("F",B313)+1,FIND("G",B313)+1),
FIND("T",B313)-(IF(ISNUMBER(FIND("F",B313)),FIND("F",B313)+1,FIND("G",B313)+1))
)),
VALUE(MID(B313,FIND("E0",B313)+2,FIND("T",B313,FIND("E0",B313))-(FIND("E0",B313)+2)))
))),"")</f>
        <v/>
      </c>
      <c r="G313">
        <f>IFERROR(
IF(ISNUMBER(FIND("T2",B313)),220,
IF(ISNUMBER(FIND("T4",B313)),440,
IF(ISNUMBER(FIND("T5",B313)),575,
IF(ISNUMBER(FIND("T6",B313)),690,"")))),
"")</f>
        <v>220</v>
      </c>
    </row>
    <row r="314" spans="1:7" x14ac:dyDescent="0.25">
      <c r="A314">
        <v>15342909</v>
      </c>
      <c r="B314" t="str">
        <f>VLOOKUP(A314,Planilha2!B:C,2,0)</f>
        <v>INVERSOR CFW500F0105T2DB20G2</v>
      </c>
      <c r="C314" t="s">
        <v>1</v>
      </c>
      <c r="D314" t="str">
        <f>VLOOKUP(A314,Planilha2!B:H,7,0)</f>
        <v>LINHA M3</v>
      </c>
      <c r="E314" s="5">
        <v>24500</v>
      </c>
      <c r="F314" t="str">
        <f>IFERROR(
IF(ISNUMBER(FIND("CFW110",B314)),
VALUE(MID(B314,FIND("CFW110",B314)+6,FIND("T",B314,FIND("CFW110",B314))-(FIND("CFW110",B314)+6))),
IF(ISNUMBER(FIND("D",B314)),
VALUE(SUBSTITUTE(MID(B314,FIND("D",B314)+1,FIND("T",B314,FIND("D",B314))-(FIND("D",B314)+1)),"P",",")),
IF(ISNUMBER(FIND("CFW5",B314)),
VALUE(MID(B314,
IF(ISNUMBER(FIND("F",B314)),FIND("F",B314)+1,FIND("G",B314)+1),
FIND("T",B314)-(IF(ISNUMBER(FIND("F",B314)),FIND("F",B314)+1,FIND("G",B314)+1))
)),
VALUE(MID(B314,FIND("E0",B314)+2,FIND("T",B314,FIND("E0",B314))-(FIND("E0",B314)+2)))
))),"")</f>
        <v/>
      </c>
      <c r="G314">
        <f>IFERROR(
IF(ISNUMBER(FIND("T2",B314)),220,
IF(ISNUMBER(FIND("T4",B314)),440,
IF(ISNUMBER(FIND("T5",B314)),575,
IF(ISNUMBER(FIND("T6",B314)),690,"")))),
"")</f>
        <v>220</v>
      </c>
    </row>
    <row r="315" spans="1:7" x14ac:dyDescent="0.25">
      <c r="A315">
        <v>15342765</v>
      </c>
      <c r="B315" t="str">
        <f>VLOOKUP(A315,Planilha2!B:C,2,0)</f>
        <v>INVERSOR CFW500F88P0T2DB20H01SA</v>
      </c>
      <c r="C315" t="s">
        <v>1</v>
      </c>
      <c r="D315" t="str">
        <f>VLOOKUP(A315,Planilha2!B:H,7,0)</f>
        <v>LINHA M3</v>
      </c>
      <c r="E315" s="5">
        <v>24500</v>
      </c>
      <c r="F315" t="str">
        <f>IFERROR(
IF(ISNUMBER(FIND("CFW110",B315)),
VALUE(MID(B315,FIND("CFW110",B315)+6,FIND("T",B315,FIND("CFW110",B315))-(FIND("CFW110",B315)+6))),
IF(ISNUMBER(FIND("D",B315)),
VALUE(SUBSTITUTE(MID(B315,FIND("D",B315)+1,FIND("T",B315,FIND("D",B315))-(FIND("D",B315)+1)),"P",",")),
IF(ISNUMBER(FIND("CFW5",B315)),
VALUE(MID(B315,
IF(ISNUMBER(FIND("F",B315)),FIND("F",B315)+1,FIND("G",B315)+1),
FIND("T",B315)-(IF(ISNUMBER(FIND("F",B315)),FIND("F",B315)+1,FIND("G",B315)+1))
)),
VALUE(MID(B315,FIND("E0",B315)+2,FIND("T",B315,FIND("E0",B315))-(FIND("E0",B315)+2)))
))),"")</f>
        <v/>
      </c>
      <c r="G315">
        <f>IFERROR(
IF(ISNUMBER(FIND("T2",B315)),220,
IF(ISNUMBER(FIND("T4",B315)),440,
IF(ISNUMBER(FIND("T5",B315)),575,
IF(ISNUMBER(FIND("T6",B315)),690,"")))),
"")</f>
        <v>220</v>
      </c>
    </row>
    <row r="316" spans="1:7" x14ac:dyDescent="0.25">
      <c r="A316">
        <v>15342764</v>
      </c>
      <c r="B316" t="str">
        <f>VLOOKUP(A316,Planilha2!B:C,2,0)</f>
        <v>INVERSOR CFW500F88P0T2DB20H00G2</v>
      </c>
      <c r="C316" t="s">
        <v>1</v>
      </c>
      <c r="D316" t="str">
        <f>VLOOKUP(A316,Planilha2!B:H,7,0)</f>
        <v>LINHA M3</v>
      </c>
      <c r="E316" s="5">
        <v>24500</v>
      </c>
      <c r="F316" t="str">
        <f>IFERROR(
IF(ISNUMBER(FIND("CFW110",B316)),
VALUE(MID(B316,FIND("CFW110",B316)+6,FIND("T",B316,FIND("CFW110",B316))-(FIND("CFW110",B316)+6))),
IF(ISNUMBER(FIND("D",B316)),
VALUE(SUBSTITUTE(MID(B316,FIND("D",B316)+1,FIND("T",B316,FIND("D",B316))-(FIND("D",B316)+1)),"P",",")),
IF(ISNUMBER(FIND("CFW5",B316)),
VALUE(MID(B316,
IF(ISNUMBER(FIND("F",B316)),FIND("F",B316)+1,FIND("G",B316)+1),
FIND("T",B316)-(IF(ISNUMBER(FIND("F",B316)),FIND("F",B316)+1,FIND("G",B316)+1))
)),
VALUE(MID(B316,FIND("E0",B316)+2,FIND("T",B316,FIND("E0",B316))-(FIND("E0",B316)+2)))
))),"")</f>
        <v/>
      </c>
      <c r="G316">
        <f>IFERROR(
IF(ISNUMBER(FIND("T2",B316)),220,
IF(ISNUMBER(FIND("T4",B316)),440,
IF(ISNUMBER(FIND("T5",B316)),575,
IF(ISNUMBER(FIND("T6",B316)),690,"")))),
"")</f>
        <v>220</v>
      </c>
    </row>
    <row r="317" spans="1:7" x14ac:dyDescent="0.25">
      <c r="A317">
        <v>15342762</v>
      </c>
      <c r="B317" t="str">
        <f>VLOOKUP(A317,Planilha2!B:C,2,0)</f>
        <v>INVERSOR CFW500F88P0T2DB20C3H00G2</v>
      </c>
      <c r="C317" t="s">
        <v>1</v>
      </c>
      <c r="D317" t="str">
        <f>VLOOKUP(A317,Planilha2!B:H,7,0)</f>
        <v>LINHA M3</v>
      </c>
      <c r="E317" s="5">
        <v>24500</v>
      </c>
      <c r="F317" t="str">
        <f>IFERROR(
IF(ISNUMBER(FIND("CFW110",B317)),
VALUE(MID(B317,FIND("CFW110",B317)+6,FIND("T",B317,FIND("CFW110",B317))-(FIND("CFW110",B317)+6))),
IF(ISNUMBER(FIND("D",B317)),
VALUE(SUBSTITUTE(MID(B317,FIND("D",B317)+1,FIND("T",B317,FIND("D",B317))-(FIND("D",B317)+1)),"P",",")),
IF(ISNUMBER(FIND("CFW5",B317)),
VALUE(MID(B317,
IF(ISNUMBER(FIND("F",B317)),FIND("F",B317)+1,FIND("G",B317)+1),
FIND("T",B317)-(IF(ISNUMBER(FIND("F",B317)),FIND("F",B317)+1,FIND("G",B317)+1))
)),
VALUE(MID(B317,FIND("E0",B317)+2,FIND("T",B317,FIND("E0",B317))-(FIND("E0",B317)+2)))
))),"")</f>
        <v/>
      </c>
      <c r="G317">
        <f>IFERROR(
IF(ISNUMBER(FIND("T2",B317)),220,
IF(ISNUMBER(FIND("T4",B317)),440,
IF(ISNUMBER(FIND("T5",B317)),575,
IF(ISNUMBER(FIND("T6",B317)),690,"")))),
"")</f>
        <v>220</v>
      </c>
    </row>
    <row r="318" spans="1:7" x14ac:dyDescent="0.25">
      <c r="A318">
        <v>15342761</v>
      </c>
      <c r="B318" t="str">
        <f>VLOOKUP(A318,Planilha2!B:C,2,0)</f>
        <v>INVERSOR CFW500F88P0T2DB20C3G2</v>
      </c>
      <c r="C318" t="s">
        <v>1</v>
      </c>
      <c r="D318" t="str">
        <f>VLOOKUP(A318,Planilha2!B:H,7,0)</f>
        <v>LINHA M3</v>
      </c>
      <c r="E318" s="5">
        <v>24500</v>
      </c>
      <c r="F318" t="str">
        <f>IFERROR(
IF(ISNUMBER(FIND("CFW110",B318)),
VALUE(MID(B318,FIND("CFW110",B318)+6,FIND("T",B318,FIND("CFW110",B318))-(FIND("CFW110",B318)+6))),
IF(ISNUMBER(FIND("D",B318)),
VALUE(SUBSTITUTE(MID(B318,FIND("D",B318)+1,FIND("T",B318,FIND("D",B318))-(FIND("D",B318)+1)),"P",",")),
IF(ISNUMBER(FIND("CFW5",B318)),
VALUE(MID(B318,
IF(ISNUMBER(FIND("F",B318)),FIND("F",B318)+1,FIND("G",B318)+1),
FIND("T",B318)-(IF(ISNUMBER(FIND("F",B318)),FIND("F",B318)+1,FIND("G",B318)+1))
)),
VALUE(MID(B318,FIND("E0",B318)+2,FIND("T",B318,FIND("E0",B318))-(FIND("E0",B318)+2)))
))),"")</f>
        <v/>
      </c>
      <c r="G318">
        <f>IFERROR(
IF(ISNUMBER(FIND("T2",B318)),220,
IF(ISNUMBER(FIND("T4",B318)),440,
IF(ISNUMBER(FIND("T5",B318)),575,
IF(ISNUMBER(FIND("T6",B318)),690,"")))),
"")</f>
        <v>220</v>
      </c>
    </row>
    <row r="319" spans="1:7" x14ac:dyDescent="0.25">
      <c r="A319">
        <v>15342760</v>
      </c>
      <c r="B319" t="str">
        <f>VLOOKUP(A319,Planilha2!B:C,2,0)</f>
        <v>INVERSOR CFW500F88P0T2DB20G2</v>
      </c>
      <c r="C319" t="s">
        <v>1</v>
      </c>
      <c r="D319" t="str">
        <f>VLOOKUP(A319,Planilha2!B:H,7,0)</f>
        <v>LINHA M3</v>
      </c>
      <c r="E319" s="5">
        <v>24500</v>
      </c>
      <c r="F319" t="str">
        <f>IFERROR(
IF(ISNUMBER(FIND("CFW110",B319)),
VALUE(MID(B319,FIND("CFW110",B319)+6,FIND("T",B319,FIND("CFW110",B319))-(FIND("CFW110",B319)+6))),
IF(ISNUMBER(FIND("D",B319)),
VALUE(SUBSTITUTE(MID(B319,FIND("D",B319)+1,FIND("T",B319,FIND("D",B319))-(FIND("D",B319)+1)),"P",",")),
IF(ISNUMBER(FIND("CFW5",B319)),
VALUE(MID(B319,
IF(ISNUMBER(FIND("F",B319)),FIND("F",B319)+1,FIND("G",B319)+1),
FIND("T",B319)-(IF(ISNUMBER(FIND("F",B319)),FIND("F",B319)+1,FIND("G",B319)+1))
)),
VALUE(MID(B319,FIND("E0",B319)+2,FIND("T",B319,FIND("E0",B319))-(FIND("E0",B319)+2)))
))),"")</f>
        <v/>
      </c>
      <c r="G319">
        <f>IFERROR(
IF(ISNUMBER(FIND("T2",B319)),220,
IF(ISNUMBER(FIND("T4",B319)),440,
IF(ISNUMBER(FIND("T5",B319)),575,
IF(ISNUMBER(FIND("T6",B319)),690,"")))),
"")</f>
        <v>220</v>
      </c>
    </row>
    <row r="320" spans="1:7" x14ac:dyDescent="0.25">
      <c r="A320">
        <v>15342758</v>
      </c>
      <c r="B320" t="str">
        <f>VLOOKUP(A320,Planilha2!B:C,2,0)</f>
        <v>INVERSOR CFW500F77P0T2DB20H01SA</v>
      </c>
      <c r="C320" t="s">
        <v>1</v>
      </c>
      <c r="D320" t="str">
        <f>VLOOKUP(A320,Planilha2!B:H,7,0)</f>
        <v>LINHA M3</v>
      </c>
      <c r="E320" s="5">
        <v>24500</v>
      </c>
      <c r="F320" t="str">
        <f>IFERROR(
IF(ISNUMBER(FIND("CFW110",B320)),
VALUE(MID(B320,FIND("CFW110",B320)+6,FIND("T",B320,FIND("CFW110",B320))-(FIND("CFW110",B320)+6))),
IF(ISNUMBER(FIND("D",B320)),
VALUE(SUBSTITUTE(MID(B320,FIND("D",B320)+1,FIND("T",B320,FIND("D",B320))-(FIND("D",B320)+1)),"P",",")),
IF(ISNUMBER(FIND("CFW5",B320)),
VALUE(MID(B320,
IF(ISNUMBER(FIND("F",B320)),FIND("F",B320)+1,FIND("G",B320)+1),
FIND("T",B320)-(IF(ISNUMBER(FIND("F",B320)),FIND("F",B320)+1,FIND("G",B320)+1))
)),
VALUE(MID(B320,FIND("E0",B320)+2,FIND("T",B320,FIND("E0",B320))-(FIND("E0",B320)+2)))
))),"")</f>
        <v/>
      </c>
      <c r="G320">
        <f>IFERROR(
IF(ISNUMBER(FIND("T2",B320)),220,
IF(ISNUMBER(FIND("T4",B320)),440,
IF(ISNUMBER(FIND("T5",B320)),575,
IF(ISNUMBER(FIND("T6",B320)),690,"")))),
"")</f>
        <v>220</v>
      </c>
    </row>
    <row r="321" spans="1:7" x14ac:dyDescent="0.25">
      <c r="A321">
        <v>15342637</v>
      </c>
      <c r="B321" t="str">
        <f>VLOOKUP(A321,Planilha2!B:C,2,0)</f>
        <v>INVERSOR CFW500F77P0T2DB20H00G2</v>
      </c>
      <c r="C321" t="s">
        <v>1</v>
      </c>
      <c r="D321" t="str">
        <f>VLOOKUP(A321,Planilha2!B:H,7,0)</f>
        <v>LINHA M3</v>
      </c>
      <c r="E321" s="5">
        <v>24500</v>
      </c>
      <c r="F321" t="str">
        <f>IFERROR(
IF(ISNUMBER(FIND("CFW110",B321)),
VALUE(MID(B321,FIND("CFW110",B321)+6,FIND("T",B321,FIND("CFW110",B321))-(FIND("CFW110",B321)+6))),
IF(ISNUMBER(FIND("D",B321)),
VALUE(SUBSTITUTE(MID(B321,FIND("D",B321)+1,FIND("T",B321,FIND("D",B321))-(FIND("D",B321)+1)),"P",",")),
IF(ISNUMBER(FIND("CFW5",B321)),
VALUE(MID(B321,
IF(ISNUMBER(FIND("F",B321)),FIND("F",B321)+1,FIND("G",B321)+1),
FIND("T",B321)-(IF(ISNUMBER(FIND("F",B321)),FIND("F",B321)+1,FIND("G",B321)+1))
)),
VALUE(MID(B321,FIND("E0",B321)+2,FIND("T",B321,FIND("E0",B321))-(FIND("E0",B321)+2)))
))),"")</f>
        <v/>
      </c>
      <c r="G321">
        <f>IFERROR(
IF(ISNUMBER(FIND("T2",B321)),220,
IF(ISNUMBER(FIND("T4",B321)),440,
IF(ISNUMBER(FIND("T5",B321)),575,
IF(ISNUMBER(FIND("T6",B321)),690,"")))),
"")</f>
        <v>220</v>
      </c>
    </row>
    <row r="322" spans="1:7" x14ac:dyDescent="0.25">
      <c r="A322">
        <v>15342630</v>
      </c>
      <c r="B322" t="str">
        <f>VLOOKUP(A322,Planilha2!B:C,2,0)</f>
        <v>INVERSOR CFW500F77P0T2DB20C3H00G2</v>
      </c>
      <c r="C322" t="s">
        <v>1</v>
      </c>
      <c r="D322" t="str">
        <f>VLOOKUP(A322,Planilha2!B:H,7,0)</f>
        <v>LINHA M3</v>
      </c>
      <c r="E322" s="5">
        <v>24500</v>
      </c>
      <c r="F322" t="str">
        <f>IFERROR(
IF(ISNUMBER(FIND("CFW110",B322)),
VALUE(MID(B322,FIND("CFW110",B322)+6,FIND("T",B322,FIND("CFW110",B322))-(FIND("CFW110",B322)+6))),
IF(ISNUMBER(FIND("D",B322)),
VALUE(SUBSTITUTE(MID(B322,FIND("D",B322)+1,FIND("T",B322,FIND("D",B322))-(FIND("D",B322)+1)),"P",",")),
IF(ISNUMBER(FIND("CFW5",B322)),
VALUE(MID(B322,
IF(ISNUMBER(FIND("F",B322)),FIND("F",B322)+1,FIND("G",B322)+1),
FIND("T",B322)-(IF(ISNUMBER(FIND("F",B322)),FIND("F",B322)+1,FIND("G",B322)+1))
)),
VALUE(MID(B322,FIND("E0",B322)+2,FIND("T",B322,FIND("E0",B322))-(FIND("E0",B322)+2)))
))),"")</f>
        <v/>
      </c>
      <c r="G322">
        <f>IFERROR(
IF(ISNUMBER(FIND("T2",B322)),220,
IF(ISNUMBER(FIND("T4",B322)),440,
IF(ISNUMBER(FIND("T5",B322)),575,
IF(ISNUMBER(FIND("T6",B322)),690,"")))),
"")</f>
        <v>220</v>
      </c>
    </row>
    <row r="323" spans="1:7" x14ac:dyDescent="0.25">
      <c r="A323">
        <v>15342628</v>
      </c>
      <c r="B323" t="str">
        <f>VLOOKUP(A323,Planilha2!B:C,2,0)</f>
        <v>INVERSOR CFW500F77P0T2DB20C3G2</v>
      </c>
      <c r="C323" t="s">
        <v>1</v>
      </c>
      <c r="D323" t="str">
        <f>VLOOKUP(A323,Planilha2!B:H,7,0)</f>
        <v>LINHA M3</v>
      </c>
      <c r="E323" s="5">
        <v>24500</v>
      </c>
      <c r="F323" t="str">
        <f>IFERROR(
IF(ISNUMBER(FIND("CFW110",B323)),
VALUE(MID(B323,FIND("CFW110",B323)+6,FIND("T",B323,FIND("CFW110",B323))-(FIND("CFW110",B323)+6))),
IF(ISNUMBER(FIND("D",B323)),
VALUE(SUBSTITUTE(MID(B323,FIND("D",B323)+1,FIND("T",B323,FIND("D",B323))-(FIND("D",B323)+1)),"P",",")),
IF(ISNUMBER(FIND("CFW5",B323)),
VALUE(MID(B323,
IF(ISNUMBER(FIND("F",B323)),FIND("F",B323)+1,FIND("G",B323)+1),
FIND("T",B323)-(IF(ISNUMBER(FIND("F",B323)),FIND("F",B323)+1,FIND("G",B323)+1))
)),
VALUE(MID(B323,FIND("E0",B323)+2,FIND("T",B323,FIND("E0",B323))-(FIND("E0",B323)+2)))
))),"")</f>
        <v/>
      </c>
      <c r="G323">
        <f>IFERROR(
IF(ISNUMBER(FIND("T2",B323)),220,
IF(ISNUMBER(FIND("T4",B323)),440,
IF(ISNUMBER(FIND("T5",B323)),575,
IF(ISNUMBER(FIND("T6",B323)),690,"")))),
"")</f>
        <v>220</v>
      </c>
    </row>
    <row r="324" spans="1:7" x14ac:dyDescent="0.25">
      <c r="A324">
        <v>15342437</v>
      </c>
      <c r="B324" t="str">
        <f>VLOOKUP(A324,Planilha2!B:C,2,0)</f>
        <v>INVERSOR CFW500F77P0T2DB20G2</v>
      </c>
      <c r="C324" t="s">
        <v>1</v>
      </c>
      <c r="D324" t="str">
        <f>VLOOKUP(A324,Planilha2!B:H,7,0)</f>
        <v>LINHA M3</v>
      </c>
      <c r="E324" s="5">
        <v>24500</v>
      </c>
      <c r="F324" t="str">
        <f>IFERROR(
IF(ISNUMBER(FIND("CFW110",B324)),
VALUE(MID(B324,FIND("CFW110",B324)+6,FIND("T",B324,FIND("CFW110",B324))-(FIND("CFW110",B324)+6))),
IF(ISNUMBER(FIND("D",B324)),
VALUE(SUBSTITUTE(MID(B324,FIND("D",B324)+1,FIND("T",B324,FIND("D",B324))-(FIND("D",B324)+1)),"P",",")),
IF(ISNUMBER(FIND("CFW5",B324)),
VALUE(MID(B324,
IF(ISNUMBER(FIND("F",B324)),FIND("F",B324)+1,FIND("G",B324)+1),
FIND("T",B324)-(IF(ISNUMBER(FIND("F",B324)),FIND("F",B324)+1,FIND("G",B324)+1))
)),
VALUE(MID(B324,FIND("E0",B324)+2,FIND("T",B324,FIND("E0",B324))-(FIND("E0",B324)+2)))
))),"")</f>
        <v/>
      </c>
      <c r="G324">
        <f>IFERROR(
IF(ISNUMBER(FIND("T2",B324)),220,
IF(ISNUMBER(FIND("T4",B324)),440,
IF(ISNUMBER(FIND("T5",B324)),575,
IF(ISNUMBER(FIND("T6",B324)),690,"")))),
"")</f>
        <v>220</v>
      </c>
    </row>
    <row r="325" spans="1:7" x14ac:dyDescent="0.25">
      <c r="A325">
        <v>15341665</v>
      </c>
      <c r="B325" t="str">
        <f>VLOOKUP(A325,Planilha2!B:C,2,0)</f>
        <v>INVERSOR CFW500F77P0T4DB20H01SA</v>
      </c>
      <c r="C325" t="s">
        <v>1</v>
      </c>
      <c r="D325" t="str">
        <f>VLOOKUP(A325,Planilha2!B:H,7,0)</f>
        <v>LINHA M3</v>
      </c>
      <c r="E325" s="5">
        <v>24500</v>
      </c>
      <c r="F325" t="str">
        <f>IFERROR(
IF(ISNUMBER(FIND("CFW110",B325)),
VALUE(MID(B325,FIND("CFW110",B325)+6,FIND("T",B325,FIND("CFW110",B325))-(FIND("CFW110",B325)+6))),
IF(ISNUMBER(FIND("D",B325)),
VALUE(SUBSTITUTE(MID(B325,FIND("D",B325)+1,FIND("T",B325,FIND("D",B325))-(FIND("D",B325)+1)),"P",",")),
IF(ISNUMBER(FIND("CFW5",B325)),
VALUE(MID(B325,
IF(ISNUMBER(FIND("F",B325)),FIND("F",B325)+1,FIND("G",B325)+1),
FIND("T",B325)-(IF(ISNUMBER(FIND("F",B325)),FIND("F",B325)+1,FIND("G",B325)+1))
)),
VALUE(MID(B325,FIND("E0",B325)+2,FIND("T",B325,FIND("E0",B325))-(FIND("E0",B325)+2)))
))),"")</f>
        <v/>
      </c>
      <c r="G325">
        <f>IFERROR(
IF(ISNUMBER(FIND("T2",B325)),220,
IF(ISNUMBER(FIND("T4",B325)),440,
IF(ISNUMBER(FIND("T5",B325)),575,
IF(ISNUMBER(FIND("T6",B325)),690,"")))),
"")</f>
        <v>440</v>
      </c>
    </row>
    <row r="326" spans="1:7" x14ac:dyDescent="0.25">
      <c r="A326">
        <v>14538839</v>
      </c>
      <c r="B326" t="str">
        <f>VLOOKUP(A326,Planilha2!B:C,2,0)</f>
        <v>INVERSOR EUCFW110038T4O55FAYZ</v>
      </c>
      <c r="C326" t="s">
        <v>1</v>
      </c>
      <c r="D326" t="str">
        <f>VLOOKUP(A326,Planilha2!B:H,7,0)</f>
        <v>LINHA M3</v>
      </c>
      <c r="E326" s="5">
        <v>30000</v>
      </c>
      <c r="F326">
        <f>IFERROR(
IF(ISNUMBER(FIND("CFW110",B326)),
VALUE(MID(B326,FIND("CFW110",B326)+6,FIND("T",B326,FIND("CFW110",B326))-(FIND("CFW110",B326)+6))),
IF(ISNUMBER(FIND("D",B326)),
VALUE(SUBSTITUTE(MID(B326,FIND("D",B326)+1,FIND("T",B326,FIND("D",B326))-(FIND("D",B326)+1)),"P",",")),
IF(ISNUMBER(FIND("CFW5",B326)),
VALUE(MID(B326,
IF(ISNUMBER(FIND("F",B326)),FIND("F",B326)+1,FIND("G",B326)+1),
FIND("T",B326)-(IF(ISNUMBER(FIND("F",B326)),FIND("F",B326)+1,FIND("G",B326)+1))
)),
VALUE(MID(B326,FIND("E0",B326)+2,FIND("T",B326,FIND("E0",B326))-(FIND("E0",B326)+2)))
))),"")</f>
        <v>38</v>
      </c>
      <c r="G326">
        <f>IFERROR(
IF(ISNUMBER(FIND("T2",B326)),220,
IF(ISNUMBER(FIND("T4",B326)),440,
IF(ISNUMBER(FIND("T5",B326)),575,
IF(ISNUMBER(FIND("T6",B326)),690,"")))),
"")</f>
        <v>440</v>
      </c>
    </row>
    <row r="327" spans="1:7" x14ac:dyDescent="0.25">
      <c r="A327">
        <v>15419714</v>
      </c>
      <c r="B327" t="str">
        <f>VLOOKUP(A327,Planilha2!B:C,2,0)</f>
        <v>INVERSOR BRCFW110045T2OWZ</v>
      </c>
      <c r="C327" t="s">
        <v>1</v>
      </c>
      <c r="D327" t="str">
        <f>VLOOKUP(A327,Planilha2!B:H,7,0)</f>
        <v>LINHA M1</v>
      </c>
      <c r="E327" s="5">
        <v>26260</v>
      </c>
      <c r="F327">
        <f>IFERROR(
IF(ISNUMBER(FIND("CFW110",B327)),
VALUE(MID(B327,FIND("CFW110",B327)+6,FIND("T",B327,FIND("CFW110",B327))-(FIND("CFW110",B327)+6))),
IF(ISNUMBER(FIND("D",B327)),
VALUE(SUBSTITUTE(MID(B327,FIND("D",B327)+1,FIND("T",B327,FIND("D",B327))-(FIND("D",B327)+1)),"P",",")),
IF(ISNUMBER(FIND("CFW5",B327)),
VALUE(MID(B327,
IF(ISNUMBER(FIND("F",B327)),FIND("F",B327)+1,FIND("G",B327)+1),
FIND("T",B327)-(IF(ISNUMBER(FIND("F",B327)),FIND("F",B327)+1,FIND("G",B327)+1))
)),
VALUE(MID(B327,FIND("E0",B327)+2,FIND("T",B327,FIND("E0",B327))-(FIND("E0",B327)+2)))
))),"")</f>
        <v>45</v>
      </c>
      <c r="G327">
        <f>IFERROR(
IF(ISNUMBER(FIND("T2",B327)),220,
IF(ISNUMBER(FIND("T4",B327)),440,
IF(ISNUMBER(FIND("T5",B327)),575,
IF(ISNUMBER(FIND("T6",B327)),690,"")))),
"")</f>
        <v>220</v>
      </c>
    </row>
    <row r="328" spans="1:7" x14ac:dyDescent="0.25">
      <c r="A328">
        <v>15428066</v>
      </c>
      <c r="B328" t="str">
        <f>VLOOKUP(A328,Planilha2!B:C,2,0)</f>
        <v>INVERSOR EUCFW110142T4OYWSUZ</v>
      </c>
      <c r="C328" t="s">
        <v>1</v>
      </c>
      <c r="D328" t="str">
        <f>VLOOKUP(A328,Planilha2!B:H,7,0)</f>
        <v>LINHA G1</v>
      </c>
      <c r="E328" s="5">
        <v>64498</v>
      </c>
      <c r="F328">
        <f>IFERROR(
IF(ISNUMBER(FIND("CFW110",B328)),
VALUE(MID(B328,FIND("CFW110",B328)+6,FIND("T",B328,FIND("CFW110",B328))-(FIND("CFW110",B328)+6))),
IF(ISNUMBER(FIND("D",B328)),
VALUE(SUBSTITUTE(MID(B328,FIND("D",B328)+1,FIND("T",B328,FIND("D",B328))-(FIND("D",B328)+1)),"P",",")),
IF(ISNUMBER(FIND("CFW5",B328)),
VALUE(MID(B328,
IF(ISNUMBER(FIND("F",B328)),FIND("F",B328)+1,FIND("G",B328)+1),
FIND("T",B328)-(IF(ISNUMBER(FIND("F",B328)),FIND("F",B328)+1,FIND("G",B328)+1))
)),
VALUE(MID(B328,FIND("E0",B328)+2,FIND("T",B328,FIND("E0",B328))-(FIND("E0",B328)+2)))
))),"")</f>
        <v>142</v>
      </c>
      <c r="G328">
        <f>IFERROR(
IF(ISNUMBER(FIND("T2",B328)),220,
IF(ISNUMBER(FIND("T4",B328)),440,
IF(ISNUMBER(FIND("T5",B328)),575,
IF(ISNUMBER(FIND("T6",B328)),690,"")))),
"")</f>
        <v>440</v>
      </c>
    </row>
    <row r="329" spans="1:7" x14ac:dyDescent="0.25">
      <c r="A329">
        <v>15354737</v>
      </c>
      <c r="B329" t="str">
        <f>VLOOKUP(A329,Planilha2!B:C,2,0)</f>
        <v>INVERSOR BRCFW110010T6OYHSZ</v>
      </c>
      <c r="C329" t="s">
        <v>1</v>
      </c>
      <c r="D329" t="str">
        <f>VLOOKUP(A329,Planilha2!B:H,7,0)</f>
        <v>LINHA M3</v>
      </c>
      <c r="E329" s="5">
        <v>26000</v>
      </c>
      <c r="F329">
        <f>IFERROR(
IF(ISNUMBER(FIND("CFW110",B329)),
VALUE(MID(B329,FIND("CFW110",B329)+6,FIND("T",B329,FIND("CFW110",B329))-(FIND("CFW110",B329)+6))),
IF(ISNUMBER(FIND("D",B329)),
VALUE(SUBSTITUTE(MID(B329,FIND("D",B329)+1,FIND("T",B329,FIND("D",B329))-(FIND("D",B329)+1)),"P",",")),
IF(ISNUMBER(FIND("CFW5",B329)),
VALUE(MID(B329,
IF(ISNUMBER(FIND("F",B329)),FIND("F",B329)+1,FIND("G",B329)+1),
FIND("T",B329)-(IF(ISNUMBER(FIND("F",B329)),FIND("F",B329)+1,FIND("G",B329)+1))
)),
VALUE(MID(B329,FIND("E0",B329)+2,FIND("T",B329,FIND("E0",B329))-(FIND("E0",B329)+2)))
))),"")</f>
        <v>10</v>
      </c>
      <c r="G329">
        <f>IFERROR(
IF(ISNUMBER(FIND("T2",B329)),220,
IF(ISNUMBER(FIND("T4",B329)),440,
IF(ISNUMBER(FIND("T5",B329)),575,
IF(ISNUMBER(FIND("T6",B329)),690,"")))),
"")</f>
        <v>690</v>
      </c>
    </row>
    <row r="330" spans="1:7" x14ac:dyDescent="0.25">
      <c r="A330">
        <v>15207344</v>
      </c>
      <c r="B330" t="str">
        <f>VLOOKUP(A330,Planilha2!B:C,2,0)</f>
        <v>INVERSOR BRCFW110088T4OWHALS9Z</v>
      </c>
      <c r="C330" t="s">
        <v>1</v>
      </c>
      <c r="D330" t="str">
        <f>VLOOKUP(A330,Planilha2!B:H,7,0)</f>
        <v>LINHA M3</v>
      </c>
      <c r="E330" s="5">
        <v>26175</v>
      </c>
      <c r="F330">
        <f>IFERROR(
IF(ISNUMBER(FIND("CFW110",B330)),
VALUE(MID(B330,FIND("CFW110",B330)+6,FIND("T",B330,FIND("CFW110",B330))-(FIND("CFW110",B330)+6))),
IF(ISNUMBER(FIND("D",B330)),
VALUE(SUBSTITUTE(MID(B330,FIND("D",B330)+1,FIND("T",B330,FIND("D",B330))-(FIND("D",B330)+1)),"P",",")),
IF(ISNUMBER(FIND("CFW5",B330)),
VALUE(MID(B330,
IF(ISNUMBER(FIND("F",B330)),FIND("F",B330)+1,FIND("G",B330)+1),
FIND("T",B330)-(IF(ISNUMBER(FIND("F",B330)),FIND("F",B330)+1,FIND("G",B330)+1))
)),
VALUE(MID(B330,FIND("E0",B330)+2,FIND("T",B330,FIND("E0",B330))-(FIND("E0",B330)+2)))
))),"")</f>
        <v>88</v>
      </c>
      <c r="G330">
        <f>IFERROR(
IF(ISNUMBER(FIND("T2",B330)),220,
IF(ISNUMBER(FIND("T4",B330)),440,
IF(ISNUMBER(FIND("T5",B330)),575,
IF(ISNUMBER(FIND("T6",B330)),690,"")))),
"")</f>
        <v>440</v>
      </c>
    </row>
    <row r="331" spans="1:7" x14ac:dyDescent="0.25">
      <c r="A331">
        <v>15207340</v>
      </c>
      <c r="B331" t="str">
        <f>VLOOKUP(A331,Planilha2!B:C,2,0)</f>
        <v>INVERSOR BRCFW110070T4OWHALS9Z</v>
      </c>
      <c r="C331" t="s">
        <v>1</v>
      </c>
      <c r="D331" t="str">
        <f>VLOOKUP(A331,Planilha2!B:H,7,0)</f>
        <v>LINHA M3</v>
      </c>
      <c r="E331" s="5">
        <v>26175</v>
      </c>
      <c r="F331">
        <f>IFERROR(
IF(ISNUMBER(FIND("CFW110",B331)),
VALUE(MID(B331,FIND("CFW110",B331)+6,FIND("T",B331,FIND("CFW110",B331))-(FIND("CFW110",B331)+6))),
IF(ISNUMBER(FIND("D",B331)),
VALUE(SUBSTITUTE(MID(B331,FIND("D",B331)+1,FIND("T",B331,FIND("D",B331))-(FIND("D",B331)+1)),"P",",")),
IF(ISNUMBER(FIND("CFW5",B331)),
VALUE(MID(B331,
IF(ISNUMBER(FIND("F",B331)),FIND("F",B331)+1,FIND("G",B331)+1),
FIND("T",B331)-(IF(ISNUMBER(FIND("F",B331)),FIND("F",B331)+1,FIND("G",B331)+1))
)),
VALUE(MID(B331,FIND("E0",B331)+2,FIND("T",B331,FIND("E0",B331))-(FIND("E0",B331)+2)))
))),"")</f>
        <v>70</v>
      </c>
      <c r="G331">
        <f>IFERROR(
IF(ISNUMBER(FIND("T2",B331)),220,
IF(ISNUMBER(FIND("T4",B331)),440,
IF(ISNUMBER(FIND("T5",B331)),575,
IF(ISNUMBER(FIND("T6",B331)),690,"")))),
"")</f>
        <v>440</v>
      </c>
    </row>
    <row r="332" spans="1:7" x14ac:dyDescent="0.25">
      <c r="A332">
        <v>15212511</v>
      </c>
      <c r="B332" t="str">
        <f>VLOOKUP(A332,Planilha2!B:C,2,0)</f>
        <v>INVERSOR BRCFW110070T4OWHALS9Z-UI</v>
      </c>
      <c r="C332" t="s">
        <v>1</v>
      </c>
      <c r="D332" t="str">
        <f>VLOOKUP(A332,Planilha2!B:H,7,0)</f>
        <v>LINHA M3</v>
      </c>
      <c r="E332" s="5">
        <v>26175</v>
      </c>
      <c r="F332">
        <f>IFERROR(
IF(ISNUMBER(FIND("CFW110",B332)),
VALUE(MID(B332,FIND("CFW110",B332)+6,FIND("T",B332,FIND("CFW110",B332))-(FIND("CFW110",B332)+6))),
IF(ISNUMBER(FIND("D",B332)),
VALUE(SUBSTITUTE(MID(B332,FIND("D",B332)+1,FIND("T",B332,FIND("D",B332))-(FIND("D",B332)+1)),"P",",")),
IF(ISNUMBER(FIND("CFW5",B332)),
VALUE(MID(B332,
IF(ISNUMBER(FIND("F",B332)),FIND("F",B332)+1,FIND("G",B332)+1),
FIND("T",B332)-(IF(ISNUMBER(FIND("F",B332)),FIND("F",B332)+1,FIND("G",B332)+1))
)),
VALUE(MID(B332,FIND("E0",B332)+2,FIND("T",B332,FIND("E0",B332))-(FIND("E0",B332)+2)))
))),"")</f>
        <v>70</v>
      </c>
      <c r="G332">
        <f>IFERROR(
IF(ISNUMBER(FIND("T2",B332)),220,
IF(ISNUMBER(FIND("T4",B332)),440,
IF(ISNUMBER(FIND("T5",B332)),575,
IF(ISNUMBER(FIND("T6",B332)),690,"")))),
"")</f>
        <v>440</v>
      </c>
    </row>
    <row r="333" spans="1:7" x14ac:dyDescent="0.25">
      <c r="A333">
        <v>15240754</v>
      </c>
      <c r="B333" t="str">
        <f>VLOOKUP(A333,Planilha2!B:C,2,0)</f>
        <v>INVERSOR BRCFW110070T4OHALS9Z</v>
      </c>
      <c r="C333" t="s">
        <v>1</v>
      </c>
      <c r="D333" t="str">
        <f>VLOOKUP(A333,Planilha2!B:H,7,0)</f>
        <v>LINHA M3</v>
      </c>
      <c r="E333" s="5">
        <v>31100</v>
      </c>
      <c r="F333">
        <f>IFERROR(
IF(ISNUMBER(FIND("CFW110",B333)),
VALUE(MID(B333,FIND("CFW110",B333)+6,FIND("T",B333,FIND("CFW110",B333))-(FIND("CFW110",B333)+6))),
IF(ISNUMBER(FIND("D",B333)),
VALUE(SUBSTITUTE(MID(B333,FIND("D",B333)+1,FIND("T",B333,FIND("D",B333))-(FIND("D",B333)+1)),"P",",")),
IF(ISNUMBER(FIND("CFW5",B333)),
VALUE(MID(B333,
IF(ISNUMBER(FIND("F",B333)),FIND("F",B333)+1,FIND("G",B333)+1),
FIND("T",B333)-(IF(ISNUMBER(FIND("F",B333)),FIND("F",B333)+1,FIND("G",B333)+1))
)),
VALUE(MID(B333,FIND("E0",B333)+2,FIND("T",B333,FIND("E0",B333))-(FIND("E0",B333)+2)))
))),"")</f>
        <v>70</v>
      </c>
      <c r="G333">
        <f>IFERROR(
IF(ISNUMBER(FIND("T2",B333)),220,
IF(ISNUMBER(FIND("T4",B333)),440,
IF(ISNUMBER(FIND("T5",B333)),575,
IF(ISNUMBER(FIND("T6",B333)),690,"")))),
"")</f>
        <v>440</v>
      </c>
    </row>
    <row r="334" spans="1:7" x14ac:dyDescent="0.25">
      <c r="A334">
        <v>15253152</v>
      </c>
      <c r="B334" t="str">
        <f>VLOOKUP(A334,Planilha2!B:C,2,0)</f>
        <v>INVERSOR BRCFW110070T4OHALS9Z-UI</v>
      </c>
      <c r="C334" t="s">
        <v>1</v>
      </c>
      <c r="D334" t="str">
        <f>VLOOKUP(A334,Planilha2!B:H,7,0)</f>
        <v>LINHA M3</v>
      </c>
      <c r="E334" s="5">
        <v>26175</v>
      </c>
      <c r="F334">
        <f>IFERROR(
IF(ISNUMBER(FIND("CFW110",B334)),
VALUE(MID(B334,FIND("CFW110",B334)+6,FIND("T",B334,FIND("CFW110",B334))-(FIND("CFW110",B334)+6))),
IF(ISNUMBER(FIND("D",B334)),
VALUE(SUBSTITUTE(MID(B334,FIND("D",B334)+1,FIND("T",B334,FIND("D",B334))-(FIND("D",B334)+1)),"P",",")),
IF(ISNUMBER(FIND("CFW5",B334)),
VALUE(MID(B334,
IF(ISNUMBER(FIND("F",B334)),FIND("F",B334)+1,FIND("G",B334)+1),
FIND("T",B334)-(IF(ISNUMBER(FIND("F",B334)),FIND("F",B334)+1,FIND("G",B334)+1))
)),
VALUE(MID(B334,FIND("E0",B334)+2,FIND("T",B334,FIND("E0",B334))-(FIND("E0",B334)+2)))
))),"")</f>
        <v>70</v>
      </c>
      <c r="G334">
        <f>IFERROR(
IF(ISNUMBER(FIND("T2",B334)),220,
IF(ISNUMBER(FIND("T4",B334)),440,
IF(ISNUMBER(FIND("T5",B334)),575,
IF(ISNUMBER(FIND("T6",B334)),690,"")))),
"")</f>
        <v>440</v>
      </c>
    </row>
    <row r="335" spans="1:7" x14ac:dyDescent="0.25">
      <c r="A335">
        <v>15578452</v>
      </c>
      <c r="B335" t="str">
        <f>VLOOKUP(A335,Planilha2!B:C,2,0)</f>
        <v>INVERSOR CFW700D86P0T2DBN1Y1-UI</v>
      </c>
      <c r="C335" t="s">
        <v>1</v>
      </c>
      <c r="D335" t="str">
        <f>VLOOKUP(A335,Planilha2!B:H,7,0)</f>
        <v>LINHA M3</v>
      </c>
      <c r="E335" s="5">
        <v>31100</v>
      </c>
      <c r="F335">
        <f>IFERROR(
IF(ISNUMBER(FIND("CFW110",B335)),
VALUE(MID(B335,FIND("CFW110",B335)+6,FIND("T",B335,FIND("CFW110",B335))-(FIND("CFW110",B335)+6))),
IF(ISNUMBER(FIND("D",B335)),
VALUE(SUBSTITUTE(MID(B335,FIND("D",B335)+1,FIND("T",B335,FIND("D",B335))-(FIND("D",B335)+1)),"P",",")),
IF(ISNUMBER(FIND("CFW5",B335)),
VALUE(MID(B335,
IF(ISNUMBER(FIND("F",B335)),FIND("F",B335)+1,FIND("G",B335)+1),
FIND("T",B335)-(IF(ISNUMBER(FIND("F",B335)),FIND("F",B335)+1,FIND("G",B335)+1))
)),
VALUE(MID(B335,FIND("E0",B335)+2,FIND("T",B335,FIND("E0",B335))-(FIND("E0",B335)+2)))
))),"")</f>
        <v>86</v>
      </c>
      <c r="G335">
        <f>IFERROR(
IF(ISNUMBER(FIND("T2",B335)),220,
IF(ISNUMBER(FIND("T4",B335)),440,
IF(ISNUMBER(FIND("T5",B335)),575,
IF(ISNUMBER(FIND("T6",B335)),690,"")))),
"")</f>
        <v>220</v>
      </c>
    </row>
    <row r="336" spans="1:7" x14ac:dyDescent="0.25">
      <c r="A336">
        <v>15592853</v>
      </c>
      <c r="B336" t="str">
        <f>VLOOKUP(A336,Planilha2!B:C,2,0)</f>
        <v>INVERSOR BRCFW110054T2OFAYZ</v>
      </c>
      <c r="C336" t="s">
        <v>1</v>
      </c>
      <c r="D336" t="str">
        <f>VLOOKUP(A336,Planilha2!B:H,7,0)</f>
        <v>LINHA M1</v>
      </c>
      <c r="E336" s="5">
        <v>16000</v>
      </c>
      <c r="F336">
        <f>IFERROR(
IF(ISNUMBER(FIND("CFW110",B336)),
VALUE(MID(B336,FIND("CFW110",B336)+6,FIND("T",B336,FIND("CFW110",B336))-(FIND("CFW110",B336)+6))),
IF(ISNUMBER(FIND("D",B336)),
VALUE(SUBSTITUTE(MID(B336,FIND("D",B336)+1,FIND("T",B336,FIND("D",B336))-(FIND("D",B336)+1)),"P",",")),
IF(ISNUMBER(FIND("CFW5",B336)),
VALUE(MID(B336,
IF(ISNUMBER(FIND("F",B336)),FIND("F",B336)+1,FIND("G",B336)+1),
FIND("T",B336)-(IF(ISNUMBER(FIND("F",B336)),FIND("F",B336)+1,FIND("G",B336)+1))
)),
VALUE(MID(B336,FIND("E0",B336)+2,FIND("T",B336,FIND("E0",B336))-(FIND("E0",B336)+2)))
))),"")</f>
        <v>54</v>
      </c>
      <c r="G336">
        <f>IFERROR(
IF(ISNUMBER(FIND("T2",B336)),220,
IF(ISNUMBER(FIND("T4",B336)),440,
IF(ISNUMBER(FIND("T5",B336)),575,
IF(ISNUMBER(FIND("T6",B336)),690,"")))),
"")</f>
        <v>220</v>
      </c>
    </row>
    <row r="337" spans="1:7" x14ac:dyDescent="0.25">
      <c r="A337">
        <v>15625897</v>
      </c>
      <c r="B337" t="str">
        <f>VLOOKUP(A337,Planilha2!B:C,2,0)</f>
        <v>INVERSOR BRCFW110045T4OHALS9Z</v>
      </c>
      <c r="C337" t="s">
        <v>1</v>
      </c>
      <c r="D337" t="str">
        <f>VLOOKUP(A337,Planilha2!B:H,7,0)</f>
        <v>LINHA M1</v>
      </c>
      <c r="E337" s="5">
        <v>4675</v>
      </c>
      <c r="F337">
        <f>IFERROR(
IF(ISNUMBER(FIND("CFW110",B337)),
VALUE(MID(B337,FIND("CFW110",B337)+6,FIND("T",B337,FIND("CFW110",B337))-(FIND("CFW110",B337)+6))),
IF(ISNUMBER(FIND("D",B337)),
VALUE(SUBSTITUTE(MID(B337,FIND("D",B337)+1,FIND("T",B337,FIND("D",B337))-(FIND("D",B337)+1)),"P",",")),
IF(ISNUMBER(FIND("CFW5",B337)),
VALUE(MID(B337,
IF(ISNUMBER(FIND("F",B337)),FIND("F",B337)+1,FIND("G",B337)+1),
FIND("T",B337)-(IF(ISNUMBER(FIND("F",B337)),FIND("F",B337)+1,FIND("G",B337)+1))
)),
VALUE(MID(B337,FIND("E0",B337)+2,FIND("T",B337,FIND("E0",B337))-(FIND("E0",B337)+2)))
))),"")</f>
        <v>45</v>
      </c>
      <c r="G337">
        <f>IFERROR(
IF(ISNUMBER(FIND("T2",B337)),220,
IF(ISNUMBER(FIND("T4",B337)),440,
IF(ISNUMBER(FIND("T5",B337)),575,
IF(ISNUMBER(FIND("T6",B337)),690,"")))),
"")</f>
        <v>440</v>
      </c>
    </row>
    <row r="338" spans="1:7" x14ac:dyDescent="0.25">
      <c r="A338">
        <v>15644111</v>
      </c>
      <c r="B338" t="str">
        <f>VLOOKUP(A338,Planilha2!B:C,2,0)</f>
        <v>INVERSOR CFW500F77P0T4DB20ECG2</v>
      </c>
      <c r="C338" t="s">
        <v>1</v>
      </c>
      <c r="D338" t="str">
        <f>VLOOKUP(A338,Planilha2!B:H,7,0)</f>
        <v>LINHA M3</v>
      </c>
      <c r="E338" s="5">
        <v>20000</v>
      </c>
      <c r="F338" t="str">
        <f>IFERROR(
IF(ISNUMBER(FIND("CFW110",B338)),
VALUE(MID(B338,FIND("CFW110",B338)+6,FIND("T",B338,FIND("CFW110",B338))-(FIND("CFW110",B338)+6))),
IF(ISNUMBER(FIND("D",B338)),
VALUE(SUBSTITUTE(MID(B338,FIND("D",B338)+1,FIND("T",B338,FIND("D",B338))-(FIND("D",B338)+1)),"P",",")),
IF(ISNUMBER(FIND("CFW5",B338)),
VALUE(MID(B338,
IF(ISNUMBER(FIND("F",B338)),FIND("F",B338)+1,FIND("G",B338)+1),
FIND("T",B338)-(IF(ISNUMBER(FIND("F",B338)),FIND("F",B338)+1,FIND("G",B338)+1))
)),
VALUE(MID(B338,FIND("E0",B338)+2,FIND("T",B338,FIND("E0",B338))-(FIND("E0",B338)+2)))
))),"")</f>
        <v/>
      </c>
      <c r="G338">
        <f>IFERROR(
IF(ISNUMBER(FIND("T2",B338)),220,
IF(ISNUMBER(FIND("T4",B338)),440,
IF(ISNUMBER(FIND("T5",B338)),575,
IF(ISNUMBER(FIND("T6",B338)),690,"")))),
"")</f>
        <v>440</v>
      </c>
    </row>
    <row r="339" spans="1:7" x14ac:dyDescent="0.25">
      <c r="A339">
        <v>15644112</v>
      </c>
      <c r="B339" t="str">
        <f>VLOOKUP(A339,Planilha2!B:C,2,0)</f>
        <v>INVERSOR CFW500F88P0T4DB20ECG2</v>
      </c>
      <c r="C339" t="s">
        <v>1</v>
      </c>
      <c r="D339" t="str">
        <f>VLOOKUP(A339,Planilha2!B:H,7,0)</f>
        <v>LINHA M3</v>
      </c>
      <c r="E339" s="5">
        <v>20000</v>
      </c>
      <c r="F339" t="str">
        <f>IFERROR(
IF(ISNUMBER(FIND("CFW110",B339)),
VALUE(MID(B339,FIND("CFW110",B339)+6,FIND("T",B339,FIND("CFW110",B339))-(FIND("CFW110",B339)+6))),
IF(ISNUMBER(FIND("D",B339)),
VALUE(SUBSTITUTE(MID(B339,FIND("D",B339)+1,FIND("T",B339,FIND("D",B339))-(FIND("D",B339)+1)),"P",",")),
IF(ISNUMBER(FIND("CFW5",B339)),
VALUE(MID(B339,
IF(ISNUMBER(FIND("F",B339)),FIND("F",B339)+1,FIND("G",B339)+1),
FIND("T",B339)-(IF(ISNUMBER(FIND("F",B339)),FIND("F",B339)+1,FIND("G",B339)+1))
)),
VALUE(MID(B339,FIND("E0",B339)+2,FIND("T",B339,FIND("E0",B339))-(FIND("E0",B339)+2)))
))),"")</f>
        <v/>
      </c>
      <c r="G339">
        <f>IFERROR(
IF(ISNUMBER(FIND("T2",B339)),220,
IF(ISNUMBER(FIND("T4",B339)),440,
IF(ISNUMBER(FIND("T5",B339)),575,
IF(ISNUMBER(FIND("T6",B339)),690,"")))),
"")</f>
        <v>440</v>
      </c>
    </row>
    <row r="340" spans="1:7" x14ac:dyDescent="0.25">
      <c r="A340">
        <v>15644114</v>
      </c>
      <c r="B340" t="str">
        <f>VLOOKUP(A340,Planilha2!B:C,2,0)</f>
        <v>INVERSOR CFW500F0105T4DB20ECG2</v>
      </c>
      <c r="C340" t="s">
        <v>1</v>
      </c>
      <c r="D340" t="str">
        <f>VLOOKUP(A340,Planilha2!B:H,7,0)</f>
        <v>LINHA M3</v>
      </c>
      <c r="E340" s="5">
        <v>20000</v>
      </c>
      <c r="F340" t="str">
        <f>IFERROR(
IF(ISNUMBER(FIND("CFW110",B340)),
VALUE(MID(B340,FIND("CFW110",B340)+6,FIND("T",B340,FIND("CFW110",B340))-(FIND("CFW110",B340)+6))),
IF(ISNUMBER(FIND("D",B340)),
VALUE(SUBSTITUTE(MID(B340,FIND("D",B340)+1,FIND("T",B340,FIND("D",B340))-(FIND("D",B340)+1)),"P",",")),
IF(ISNUMBER(FIND("CFW5",B340)),
VALUE(MID(B340,
IF(ISNUMBER(FIND("F",B340)),FIND("F",B340)+1,FIND("G",B340)+1),
FIND("T",B340)-(IF(ISNUMBER(FIND("F",B340)),FIND("F",B340)+1,FIND("G",B340)+1))
)),
VALUE(MID(B340,FIND("E0",B340)+2,FIND("T",B340,FIND("E0",B340))-(FIND("E0",B340)+2)))
))),"")</f>
        <v/>
      </c>
      <c r="G340">
        <f>IFERROR(
IF(ISNUMBER(FIND("T2",B340)),220,
IF(ISNUMBER(FIND("T4",B340)),440,
IF(ISNUMBER(FIND("T5",B340)),575,
IF(ISNUMBER(FIND("T6",B340)),690,"")))),
"")</f>
        <v>440</v>
      </c>
    </row>
    <row r="341" spans="1:7" x14ac:dyDescent="0.25">
      <c r="A341">
        <v>15677510</v>
      </c>
      <c r="B341" t="str">
        <f>VLOOKUP(A341,Planilha2!B:C,2,0)</f>
        <v>INVERSOR CFW700D0105T2DBN1C3Y1-UI</v>
      </c>
      <c r="C341" t="s">
        <v>1</v>
      </c>
      <c r="D341" t="str">
        <f>VLOOKUP(A341,Planilha2!B:H,7,0)</f>
        <v>LINHA M3</v>
      </c>
      <c r="E341" s="5">
        <v>69100</v>
      </c>
      <c r="F341">
        <f>IFERROR(
IF(ISNUMBER(FIND("CFW110",B341)),
VALUE(MID(B341,FIND("CFW110",B341)+6,FIND("T",B341,FIND("CFW110",B341))-(FIND("CFW110",B341)+6))),
IF(ISNUMBER(FIND("D",B341)),
VALUE(SUBSTITUTE(MID(B341,FIND("D",B341)+1,FIND("T",B341,FIND("D",B341))-(FIND("D",B341)+1)),"P",",")),
IF(ISNUMBER(FIND("CFW5",B341)),
VALUE(MID(B341,
IF(ISNUMBER(FIND("F",B341)),FIND("F",B341)+1,FIND("G",B341)+1),
FIND("T",B341)-(IF(ISNUMBER(FIND("F",B341)),FIND("F",B341)+1,FIND("G",B341)+1))
)),
VALUE(MID(B341,FIND("E0",B341)+2,FIND("T",B341,FIND("E0",B341))-(FIND("E0",B341)+2)))
))),"")</f>
        <v>105</v>
      </c>
      <c r="G341">
        <f>IFERROR(
IF(ISNUMBER(FIND("T2",B341)),220,
IF(ISNUMBER(FIND("T4",B341)),440,
IF(ISNUMBER(FIND("T5",B341)),575,
IF(ISNUMBER(FIND("T6",B341)),690,"")))),
"")</f>
        <v>220</v>
      </c>
    </row>
    <row r="342" spans="1:7" x14ac:dyDescent="0.25">
      <c r="A342">
        <v>15677509</v>
      </c>
      <c r="B342" t="str">
        <f>VLOOKUP(A342,Planilha2!B:C,2,0)</f>
        <v>INVERSOR CFW700E0142T2NB20C3Y1-UI</v>
      </c>
      <c r="C342" t="s">
        <v>1</v>
      </c>
      <c r="D342" t="str">
        <f>VLOOKUP(A342,Planilha2!B:H,7,0)</f>
        <v>LINHA G1</v>
      </c>
      <c r="E342" s="5">
        <v>69100</v>
      </c>
      <c r="F342">
        <f>IFERROR(
IF(ISNUMBER(FIND("CFW110",B342)),
VALUE(MID(B342,FIND("CFW110",B342)+6,FIND("T",B342,FIND("CFW110",B342))-(FIND("CFW110",B342)+6))),
IF(ISNUMBER(FIND("D",B342)),
VALUE(SUBSTITUTE(MID(B342,FIND("D",B342)+1,FIND("T",B342,FIND("D",B342))-(FIND("D",B342)+1)),"P",",")),
IF(ISNUMBER(FIND("CFW5",B342)),
VALUE(MID(B342,
IF(ISNUMBER(FIND("F",B342)),FIND("F",B342)+1,FIND("G",B342)+1),
FIND("T",B342)-(IF(ISNUMBER(FIND("F",B342)),FIND("F",B342)+1,FIND("G",B342)+1))
)),
VALUE(MID(B342,FIND("E0",B342)+2,FIND("T",B342,FIND("E0",B342))-(FIND("E0",B342)+2)))
))),"")</f>
        <v>142</v>
      </c>
      <c r="G342">
        <f>IFERROR(
IF(ISNUMBER(FIND("T2",B342)),220,
IF(ISNUMBER(FIND("T4",B342)),440,
IF(ISNUMBER(FIND("T5",B342)),575,
IF(ISNUMBER(FIND("T6",B342)),690,"")))),
"")</f>
        <v>220</v>
      </c>
    </row>
    <row r="343" spans="1:7" x14ac:dyDescent="0.25">
      <c r="A343">
        <v>15641357</v>
      </c>
      <c r="B343" t="str">
        <f>VLOOKUP(A343,Planilha2!B:C,2,0)</f>
        <v>INVERSOR CFW700C58P5T4DB55C3Y1</v>
      </c>
      <c r="C343" t="s">
        <v>1</v>
      </c>
      <c r="D343" t="str">
        <f>VLOOKUP(A343,Planilha2!B:H,7,0)</f>
        <v>OBSOLETOS DRIVES</v>
      </c>
      <c r="E343" s="5">
        <v>20500</v>
      </c>
      <c r="F343" t="str">
        <f>IFERROR(
IF(ISNUMBER(FIND("CFW110",B343)),
VALUE(MID(B343,FIND("CFW110",B343)+6,FIND("T",B343,FIND("CFW110",B343))-(FIND("CFW110",B343)+6))),
IF(ISNUMBER(FIND("D",B343)),
VALUE(SUBSTITUTE(MID(B343,FIND("D",B343)+1,FIND("T",B343,FIND("D",B343))-(FIND("D",B343)+1)),"P",",")),
IF(ISNUMBER(FIND("CFW5",B343)),
VALUE(MID(B343,
IF(ISNUMBER(FIND("F",B343)),FIND("F",B343)+1,FIND("G",B343)+1),
FIND("T",B343)-(IF(ISNUMBER(FIND("F",B343)),FIND("F",B343)+1,FIND("G",B343)+1))
)),
VALUE(MID(B343,FIND("E0",B343)+2,FIND("T",B343,FIND("E0",B343))-(FIND("E0",B343)+2)))
))),"")</f>
        <v/>
      </c>
      <c r="G343">
        <f>IFERROR(
IF(ISNUMBER(FIND("T2",B343)),220,
IF(ISNUMBER(FIND("T4",B343)),440,
IF(ISNUMBER(FIND("T5",B343)),575,
IF(ISNUMBER(FIND("T6",B343)),690,"")))),
"")</f>
        <v>440</v>
      </c>
    </row>
    <row r="344" spans="1:7" x14ac:dyDescent="0.25">
      <c r="A344">
        <v>15709757</v>
      </c>
      <c r="B344" t="str">
        <f>VLOOKUP(A344,Planilha2!B:C,2,0)</f>
        <v>INVERSOR CFW700D0105T2DBN1W1</v>
      </c>
      <c r="C344" t="s">
        <v>1</v>
      </c>
      <c r="D344" t="str">
        <f>VLOOKUP(A344,Planilha2!B:H,7,0)</f>
        <v>OBSOLETOS DRIVES</v>
      </c>
      <c r="E344" s="5">
        <v>31100</v>
      </c>
      <c r="F344">
        <f>IFERROR(
IF(ISNUMBER(FIND("CFW110",B344)),
VALUE(MID(B344,FIND("CFW110",B344)+6,FIND("T",B344,FIND("CFW110",B344))-(FIND("CFW110",B344)+6))),
IF(ISNUMBER(FIND("D",B344)),
VALUE(SUBSTITUTE(MID(B344,FIND("D",B344)+1,FIND("T",B344,FIND("D",B344))-(FIND("D",B344)+1)),"P",",")),
IF(ISNUMBER(FIND("CFW5",B344)),
VALUE(MID(B344,
IF(ISNUMBER(FIND("F",B344)),FIND("F",B344)+1,FIND("G",B344)+1),
FIND("T",B344)-(IF(ISNUMBER(FIND("F",B344)),FIND("F",B344)+1,FIND("G",B344)+1))
)),
VALUE(MID(B344,FIND("E0",B344)+2,FIND("T",B344,FIND("E0",B344))-(FIND("E0",B344)+2)))
))),"")</f>
        <v>105</v>
      </c>
      <c r="G344">
        <f>IFERROR(
IF(ISNUMBER(FIND("T2",B344)),220,
IF(ISNUMBER(FIND("T4",B344)),440,
IF(ISNUMBER(FIND("T5",B344)),575,
IF(ISNUMBER(FIND("T6",B344)),690,"")))),
"")</f>
        <v>220</v>
      </c>
    </row>
    <row r="345" spans="1:7" x14ac:dyDescent="0.25">
      <c r="A345">
        <v>15701128</v>
      </c>
      <c r="B345" t="str">
        <f>VLOOKUP(A345,Planilha2!B:C,2,0)</f>
        <v>INVERSOR BRCFW110088T4OTVZ</v>
      </c>
      <c r="C345" t="s">
        <v>1</v>
      </c>
      <c r="D345" t="str">
        <f>VLOOKUP(A345,Planilha2!B:H,7,0)</f>
        <v>LINHA M3</v>
      </c>
      <c r="E345" s="5">
        <v>32600</v>
      </c>
      <c r="F345">
        <f>IFERROR(
IF(ISNUMBER(FIND("CFW110",B345)),
VALUE(MID(B345,FIND("CFW110",B345)+6,FIND("T",B345,FIND("CFW110",B345))-(FIND("CFW110",B345)+6))),
IF(ISNUMBER(FIND("D",B345)),
VALUE(SUBSTITUTE(MID(B345,FIND("D",B345)+1,FIND("T",B345,FIND("D",B345))-(FIND("D",B345)+1)),"P",",")),
IF(ISNUMBER(FIND("CFW5",B345)),
VALUE(MID(B345,
IF(ISNUMBER(FIND("F",B345)),FIND("F",B345)+1,FIND("G",B345)+1),
FIND("T",B345)-(IF(ISNUMBER(FIND("F",B345)),FIND("F",B345)+1,FIND("G",B345)+1))
)),
VALUE(MID(B345,FIND("E0",B345)+2,FIND("T",B345,FIND("E0",B345))-(FIND("E0",B345)+2)))
))),"")</f>
        <v>88</v>
      </c>
      <c r="G345">
        <f>IFERROR(
IF(ISNUMBER(FIND("T2",B345)),220,
IF(ISNUMBER(FIND("T4",B345)),440,
IF(ISNUMBER(FIND("T5",B345)),575,
IF(ISNUMBER(FIND("T6",B345)),690,"")))),
"")</f>
        <v>440</v>
      </c>
    </row>
    <row r="346" spans="1:7" x14ac:dyDescent="0.25">
      <c r="A346">
        <v>15701097</v>
      </c>
      <c r="B346" t="str">
        <f>VLOOKUP(A346,Planilha2!B:C,2,0)</f>
        <v>INVERSOR BRCFW110070T4OTVZ</v>
      </c>
      <c r="C346" t="s">
        <v>1</v>
      </c>
      <c r="D346" t="str">
        <f>VLOOKUP(A346,Planilha2!B:H,7,0)</f>
        <v>LINHA M3</v>
      </c>
      <c r="E346" s="5">
        <v>31100</v>
      </c>
      <c r="F346">
        <f>IFERROR(
IF(ISNUMBER(FIND("CFW110",B346)),
VALUE(MID(B346,FIND("CFW110",B346)+6,FIND("T",B346,FIND("CFW110",B346))-(FIND("CFW110",B346)+6))),
IF(ISNUMBER(FIND("D",B346)),
VALUE(SUBSTITUTE(MID(B346,FIND("D",B346)+1,FIND("T",B346,FIND("D",B346))-(FIND("D",B346)+1)),"P",",")),
IF(ISNUMBER(FIND("CFW5",B346)),
VALUE(MID(B346,
IF(ISNUMBER(FIND("F",B346)),FIND("F",B346)+1,FIND("G",B346)+1),
FIND("T",B346)-(IF(ISNUMBER(FIND("F",B346)),FIND("F",B346)+1,FIND("G",B346)+1))
)),
VALUE(MID(B346,FIND("E0",B346)+2,FIND("T",B346,FIND("E0",B346))-(FIND("E0",B346)+2)))
))),"")</f>
        <v>70</v>
      </c>
      <c r="G346">
        <f>IFERROR(
IF(ISNUMBER(FIND("T2",B346)),220,
IF(ISNUMBER(FIND("T4",B346)),440,
IF(ISNUMBER(FIND("T5",B346)),575,
IF(ISNUMBER(FIND("T6",B346)),690,"")))),
"")</f>
        <v>440</v>
      </c>
    </row>
    <row r="347" spans="1:7" x14ac:dyDescent="0.25">
      <c r="A347">
        <v>15701096</v>
      </c>
      <c r="B347" t="str">
        <f>VLOOKUP(A347,Planilha2!B:C,2,0)</f>
        <v>INVERSOR BRCFW110058T4OTVZ</v>
      </c>
      <c r="C347" t="s">
        <v>1</v>
      </c>
      <c r="D347" t="str">
        <f>VLOOKUP(A347,Planilha2!B:H,7,0)</f>
        <v>LINHA M1</v>
      </c>
      <c r="E347" s="5">
        <v>20500</v>
      </c>
      <c r="F347">
        <f>IFERROR(
IF(ISNUMBER(FIND("CFW110",B347)),
VALUE(MID(B347,FIND("CFW110",B347)+6,FIND("T",B347,FIND("CFW110",B347))-(FIND("CFW110",B347)+6))),
IF(ISNUMBER(FIND("D",B347)),
VALUE(SUBSTITUTE(MID(B347,FIND("D",B347)+1,FIND("T",B347,FIND("D",B347))-(FIND("D",B347)+1)),"P",",")),
IF(ISNUMBER(FIND("CFW5",B347)),
VALUE(MID(B347,
IF(ISNUMBER(FIND("F",B347)),FIND("F",B347)+1,FIND("G",B347)+1),
FIND("T",B347)-(IF(ISNUMBER(FIND("F",B347)),FIND("F",B347)+1,FIND("G",B347)+1))
)),
VALUE(MID(B347,FIND("E0",B347)+2,FIND("T",B347,FIND("E0",B347))-(FIND("E0",B347)+2)))
))),"")</f>
        <v>58</v>
      </c>
      <c r="G347">
        <f>IFERROR(
IF(ISNUMBER(FIND("T2",B347)),220,
IF(ISNUMBER(FIND("T4",B347)),440,
IF(ISNUMBER(FIND("T5",B347)),575,
IF(ISNUMBER(FIND("T6",B347)),690,"")))),
"")</f>
        <v>440</v>
      </c>
    </row>
    <row r="348" spans="1:7" x14ac:dyDescent="0.25">
      <c r="A348">
        <v>15701095</v>
      </c>
      <c r="B348" t="str">
        <f>VLOOKUP(A348,Planilha2!B:C,2,0)</f>
        <v>INVERSOR BRCFW110045T4OTVZ</v>
      </c>
      <c r="C348" t="s">
        <v>1</v>
      </c>
      <c r="D348" t="str">
        <f>VLOOKUP(A348,Planilha2!B:H,7,0)</f>
        <v>LINHA M1</v>
      </c>
      <c r="E348" s="5">
        <v>19600</v>
      </c>
      <c r="F348">
        <f>IFERROR(
IF(ISNUMBER(FIND("CFW110",B348)),
VALUE(MID(B348,FIND("CFW110",B348)+6,FIND("T",B348,FIND("CFW110",B348))-(FIND("CFW110",B348)+6))),
IF(ISNUMBER(FIND("D",B348)),
VALUE(SUBSTITUTE(MID(B348,FIND("D",B348)+1,FIND("T",B348,FIND("D",B348))-(FIND("D",B348)+1)),"P",",")),
IF(ISNUMBER(FIND("CFW5",B348)),
VALUE(MID(B348,
IF(ISNUMBER(FIND("F",B348)),FIND("F",B348)+1,FIND("G",B348)+1),
FIND("T",B348)-(IF(ISNUMBER(FIND("F",B348)),FIND("F",B348)+1,FIND("G",B348)+1))
)),
VALUE(MID(B348,FIND("E0",B348)+2,FIND("T",B348,FIND("E0",B348))-(FIND("E0",B348)+2)))
))),"")</f>
        <v>45</v>
      </c>
      <c r="G348">
        <f>IFERROR(
IF(ISNUMBER(FIND("T2",B348)),220,
IF(ISNUMBER(FIND("T4",B348)),440,
IF(ISNUMBER(FIND("T5",B348)),575,
IF(ISNUMBER(FIND("T6",B348)),690,"")))),
"")</f>
        <v>440</v>
      </c>
    </row>
    <row r="349" spans="1:7" x14ac:dyDescent="0.25">
      <c r="A349">
        <v>15701093</v>
      </c>
      <c r="B349" t="str">
        <f>VLOOKUP(A349,Planilha2!B:C,2,0)</f>
        <v>INVERSOR BRCFW110038T4OTVZ</v>
      </c>
      <c r="C349" t="s">
        <v>1</v>
      </c>
      <c r="D349" t="str">
        <f>VLOOKUP(A349,Planilha2!B:H,7,0)</f>
        <v>LINHA M1</v>
      </c>
      <c r="E349" s="5">
        <v>16400</v>
      </c>
      <c r="F349">
        <f>IFERROR(
IF(ISNUMBER(FIND("CFW110",B349)),
VALUE(MID(B349,FIND("CFW110",B349)+6,FIND("T",B349,FIND("CFW110",B349))-(FIND("CFW110",B349)+6))),
IF(ISNUMBER(FIND("D",B349)),
VALUE(SUBSTITUTE(MID(B349,FIND("D",B349)+1,FIND("T",B349,FIND("D",B349))-(FIND("D",B349)+1)),"P",",")),
IF(ISNUMBER(FIND("CFW5",B349)),
VALUE(MID(B349,
IF(ISNUMBER(FIND("F",B349)),FIND("F",B349)+1,FIND("G",B349)+1),
FIND("T",B349)-(IF(ISNUMBER(FIND("F",B349)),FIND("F",B349)+1,FIND("G",B349)+1))
)),
VALUE(MID(B349,FIND("E0",B349)+2,FIND("T",B349,FIND("E0",B349))-(FIND("E0",B349)+2)))
))),"")</f>
        <v>38</v>
      </c>
      <c r="G349">
        <f>IFERROR(
IF(ISNUMBER(FIND("T2",B349)),220,
IF(ISNUMBER(FIND("T4",B349)),440,
IF(ISNUMBER(FIND("T5",B349)),575,
IF(ISNUMBER(FIND("T6",B349)),690,"")))),
"")</f>
        <v>440</v>
      </c>
    </row>
    <row r="350" spans="1:7" x14ac:dyDescent="0.25">
      <c r="A350">
        <v>15700780</v>
      </c>
      <c r="B350" t="str">
        <f>VLOOKUP(A350,Planilha2!B:C,2,0)</f>
        <v>INVERSOR BRCFW110142T2OTVZ</v>
      </c>
      <c r="C350" t="s">
        <v>1</v>
      </c>
      <c r="D350" t="str">
        <f>VLOOKUP(A350,Planilha2!B:H,7,0)</f>
        <v>LINHA G1</v>
      </c>
      <c r="E350" s="5">
        <v>69100</v>
      </c>
      <c r="F350">
        <f>IFERROR(
IF(ISNUMBER(FIND("CFW110",B350)),
VALUE(MID(B350,FIND("CFW110",B350)+6,FIND("T",B350,FIND("CFW110",B350))-(FIND("CFW110",B350)+6))),
IF(ISNUMBER(FIND("D",B350)),
VALUE(SUBSTITUTE(MID(B350,FIND("D",B350)+1,FIND("T",B350,FIND("D",B350))-(FIND("D",B350)+1)),"P",",")),
IF(ISNUMBER(FIND("CFW5",B350)),
VALUE(MID(B350,
IF(ISNUMBER(FIND("F",B350)),FIND("F",B350)+1,FIND("G",B350)+1),
FIND("T",B350)-(IF(ISNUMBER(FIND("F",B350)),FIND("F",B350)+1,FIND("G",B350)+1))
)),
VALUE(MID(B350,FIND("E0",B350)+2,FIND("T",B350,FIND("E0",B350))-(FIND("E0",B350)+2)))
))),"")</f>
        <v>142</v>
      </c>
      <c r="G350">
        <f>IFERROR(
IF(ISNUMBER(FIND("T2",B350)),220,
IF(ISNUMBER(FIND("T4",B350)),440,
IF(ISNUMBER(FIND("T5",B350)),575,
IF(ISNUMBER(FIND("T6",B350)),690,"")))),
"")</f>
        <v>220</v>
      </c>
    </row>
    <row r="351" spans="1:7" x14ac:dyDescent="0.25">
      <c r="A351">
        <v>15700778</v>
      </c>
      <c r="B351" t="str">
        <f>VLOOKUP(A351,Planilha2!B:C,2,0)</f>
        <v>INVERSOR BRCFW110105T2OTVZ</v>
      </c>
      <c r="C351" t="s">
        <v>1</v>
      </c>
      <c r="D351" t="str">
        <f>VLOOKUP(A351,Planilha2!B:H,7,0)</f>
        <v>LINHA M3</v>
      </c>
      <c r="E351" s="5">
        <v>31400</v>
      </c>
      <c r="F351">
        <f>IFERROR(
IF(ISNUMBER(FIND("CFW110",B351)),
VALUE(MID(B351,FIND("CFW110",B351)+6,FIND("T",B351,FIND("CFW110",B351))-(FIND("CFW110",B351)+6))),
IF(ISNUMBER(FIND("D",B351)),
VALUE(SUBSTITUTE(MID(B351,FIND("D",B351)+1,FIND("T",B351,FIND("D",B351))-(FIND("D",B351)+1)),"P",",")),
IF(ISNUMBER(FIND("CFW5",B351)),
VALUE(MID(B351,
IF(ISNUMBER(FIND("F",B351)),FIND("F",B351)+1,FIND("G",B351)+1),
FIND("T",B351)-(IF(ISNUMBER(FIND("F",B351)),FIND("F",B351)+1,FIND("G",B351)+1))
)),
VALUE(MID(B351,FIND("E0",B351)+2,FIND("T",B351,FIND("E0",B351))-(FIND("E0",B351)+2)))
))),"")</f>
        <v>105</v>
      </c>
      <c r="G351">
        <f>IFERROR(
IF(ISNUMBER(FIND("T2",B351)),220,
IF(ISNUMBER(FIND("T4",B351)),440,
IF(ISNUMBER(FIND("T5",B351)),575,
IF(ISNUMBER(FIND("T6",B351)),690,"")))),
"")</f>
        <v>220</v>
      </c>
    </row>
    <row r="352" spans="1:7" x14ac:dyDescent="0.25">
      <c r="A352">
        <v>15700697</v>
      </c>
      <c r="B352" t="str">
        <f>VLOOKUP(A352,Planilha2!B:C,2,0)</f>
        <v>INVERSOR BRCFW110086T2OTVZ</v>
      </c>
      <c r="C352" t="s">
        <v>1</v>
      </c>
      <c r="D352" t="str">
        <f>VLOOKUP(A352,Planilha2!B:H,7,0)</f>
        <v>LINHA M3</v>
      </c>
      <c r="E352" s="5">
        <v>29500</v>
      </c>
      <c r="F352">
        <f>IFERROR(
IF(ISNUMBER(FIND("CFW110",B352)),
VALUE(MID(B352,FIND("CFW110",B352)+6,FIND("T",B352,FIND("CFW110",B352))-(FIND("CFW110",B352)+6))),
IF(ISNUMBER(FIND("D",B352)),
VALUE(SUBSTITUTE(MID(B352,FIND("D",B352)+1,FIND("T",B352,FIND("D",B352))-(FIND("D",B352)+1)),"P",",")),
IF(ISNUMBER(FIND("CFW5",B352)),
VALUE(MID(B352,
IF(ISNUMBER(FIND("F",B352)),FIND("F",B352)+1,FIND("G",B352)+1),
FIND("T",B352)-(IF(ISNUMBER(FIND("F",B352)),FIND("F",B352)+1,FIND("G",B352)+1))
)),
VALUE(MID(B352,FIND("E0",B352)+2,FIND("T",B352,FIND("E0",B352))-(FIND("E0",B352)+2)))
))),"")</f>
        <v>86</v>
      </c>
      <c r="G352">
        <f>IFERROR(
IF(ISNUMBER(FIND("T2",B352)),220,
IF(ISNUMBER(FIND("T4",B352)),440,
IF(ISNUMBER(FIND("T5",B352)),575,
IF(ISNUMBER(FIND("T6",B352)),690,"")))),
"")</f>
        <v>220</v>
      </c>
    </row>
    <row r="353" spans="1:7" x14ac:dyDescent="0.25">
      <c r="A353">
        <v>15700696</v>
      </c>
      <c r="B353" t="str">
        <f>VLOOKUP(A353,Planilha2!B:C,2,0)</f>
        <v>INVERSOR BRCFW110070T2OTVZ</v>
      </c>
      <c r="C353" t="s">
        <v>1</v>
      </c>
      <c r="D353" t="str">
        <f>VLOOKUP(A353,Planilha2!B:H,7,0)</f>
        <v>LINHA M1</v>
      </c>
      <c r="E353" s="5">
        <v>20100</v>
      </c>
      <c r="F353">
        <f>IFERROR(
IF(ISNUMBER(FIND("CFW110",B353)),
VALUE(MID(B353,FIND("CFW110",B353)+6,FIND("T",B353,FIND("CFW110",B353))-(FIND("CFW110",B353)+6))),
IF(ISNUMBER(FIND("D",B353)),
VALUE(SUBSTITUTE(MID(B353,FIND("D",B353)+1,FIND("T",B353,FIND("D",B353))-(FIND("D",B353)+1)),"P",",")),
IF(ISNUMBER(FIND("CFW5",B353)),
VALUE(MID(B353,
IF(ISNUMBER(FIND("F",B353)),FIND("F",B353)+1,FIND("G",B353)+1),
FIND("T",B353)-(IF(ISNUMBER(FIND("F",B353)),FIND("F",B353)+1,FIND("G",B353)+1))
)),
VALUE(MID(B353,FIND("E0",B353)+2,FIND("T",B353,FIND("E0",B353))-(FIND("E0",B353)+2)))
))),"")</f>
        <v>70</v>
      </c>
      <c r="G353">
        <f>IFERROR(
IF(ISNUMBER(FIND("T2",B353)),220,
IF(ISNUMBER(FIND("T4",B353)),440,
IF(ISNUMBER(FIND("T5",B353)),575,
IF(ISNUMBER(FIND("T6",B353)),690,"")))),
"")</f>
        <v>220</v>
      </c>
    </row>
    <row r="354" spans="1:7" x14ac:dyDescent="0.25">
      <c r="A354">
        <v>15700695</v>
      </c>
      <c r="B354" t="str">
        <f>VLOOKUP(A354,Planilha2!B:C,2,0)</f>
        <v>INVERSOR BRCFW110054T2OTVZ</v>
      </c>
      <c r="C354" t="s">
        <v>1</v>
      </c>
      <c r="D354" t="str">
        <f>VLOOKUP(A354,Planilha2!B:H,7,0)</f>
        <v>LINHA M1</v>
      </c>
      <c r="E354" s="5">
        <v>16000</v>
      </c>
      <c r="F354">
        <f>IFERROR(
IF(ISNUMBER(FIND("CFW110",B354)),
VALUE(MID(B354,FIND("CFW110",B354)+6,FIND("T",B354,FIND("CFW110",B354))-(FIND("CFW110",B354)+6))),
IF(ISNUMBER(FIND("D",B354)),
VALUE(SUBSTITUTE(MID(B354,FIND("D",B354)+1,FIND("T",B354,FIND("D",B354))-(FIND("D",B354)+1)),"P",",")),
IF(ISNUMBER(FIND("CFW5",B354)),
VALUE(MID(B354,
IF(ISNUMBER(FIND("F",B354)),FIND("F",B354)+1,FIND("G",B354)+1),
FIND("T",B354)-(IF(ISNUMBER(FIND("F",B354)),FIND("F",B354)+1,FIND("G",B354)+1))
)),
VALUE(MID(B354,FIND("E0",B354)+2,FIND("T",B354,FIND("E0",B354))-(FIND("E0",B354)+2)))
))),"")</f>
        <v>54</v>
      </c>
      <c r="G354">
        <f>IFERROR(
IF(ISNUMBER(FIND("T2",B354)),220,
IF(ISNUMBER(FIND("T4",B354)),440,
IF(ISNUMBER(FIND("T5",B354)),575,
IF(ISNUMBER(FIND("T6",B354)),690,"")))),
"")</f>
        <v>220</v>
      </c>
    </row>
    <row r="355" spans="1:7" x14ac:dyDescent="0.25">
      <c r="A355">
        <v>15700694</v>
      </c>
      <c r="B355" t="str">
        <f>VLOOKUP(A355,Planilha2!B:C,2,0)</f>
        <v>INVERSOR BRCFW110045T2OTVZ</v>
      </c>
      <c r="C355" t="s">
        <v>1</v>
      </c>
      <c r="D355" t="str">
        <f>VLOOKUP(A355,Planilha2!B:H,7,0)</f>
        <v>LINHA M1</v>
      </c>
      <c r="E355" s="5">
        <v>15600</v>
      </c>
      <c r="F355">
        <f>IFERROR(
IF(ISNUMBER(FIND("CFW110",B355)),
VALUE(MID(B355,FIND("CFW110",B355)+6,FIND("T",B355,FIND("CFW110",B355))-(FIND("CFW110",B355)+6))),
IF(ISNUMBER(FIND("D",B355)),
VALUE(SUBSTITUTE(MID(B355,FIND("D",B355)+1,FIND("T",B355,FIND("D",B355))-(FIND("D",B355)+1)),"P",",")),
IF(ISNUMBER(FIND("CFW5",B355)),
VALUE(MID(B355,
IF(ISNUMBER(FIND("F",B355)),FIND("F",B355)+1,FIND("G",B355)+1),
FIND("T",B355)-(IF(ISNUMBER(FIND("F",B355)),FIND("F",B355)+1,FIND("G",B355)+1))
)),
VALUE(MID(B355,FIND("E0",B355)+2,FIND("T",B355,FIND("E0",B355))-(FIND("E0",B355)+2)))
))),"")</f>
        <v>45</v>
      </c>
      <c r="G355">
        <f>IFERROR(
IF(ISNUMBER(FIND("T2",B355)),220,
IF(ISNUMBER(FIND("T4",B355)),440,
IF(ISNUMBER(FIND("T5",B355)),575,
IF(ISNUMBER(FIND("T6",B355)),690,"")))),
"")</f>
        <v>220</v>
      </c>
    </row>
    <row r="356" spans="1:7" x14ac:dyDescent="0.25">
      <c r="A356">
        <v>15598477</v>
      </c>
      <c r="B356" t="str">
        <f>VLOOKUP(A356,Planilha2!B:C,2,0)</f>
        <v>INVERSOR CFW500F0105T4DB20H03SDG2</v>
      </c>
      <c r="C356" t="s">
        <v>1</v>
      </c>
      <c r="D356" t="str">
        <f>VLOOKUP(A356,Planilha2!B:H,7,0)</f>
        <v>LINHA M3</v>
      </c>
      <c r="E356" s="5">
        <v>24000</v>
      </c>
      <c r="F356" t="str">
        <f>IFERROR(
IF(ISNUMBER(FIND("CFW110",B356)),
VALUE(MID(B356,FIND("CFW110",B356)+6,FIND("T",B356,FIND("CFW110",B356))-(FIND("CFW110",B356)+6))),
IF(ISNUMBER(FIND("D",B356)),
VALUE(SUBSTITUTE(MID(B356,FIND("D",B356)+1,FIND("T",B356,FIND("D",B356))-(FIND("D",B356)+1)),"P",",")),
IF(ISNUMBER(FIND("CFW5",B356)),
VALUE(MID(B356,
IF(ISNUMBER(FIND("F",B356)),FIND("F",B356)+1,FIND("G",B356)+1),
FIND("T",B356)-(IF(ISNUMBER(FIND("F",B356)),FIND("F",B356)+1,FIND("G",B356)+1))
)),
VALUE(MID(B356,FIND("E0",B356)+2,FIND("T",B356,FIND("E0",B356))-(FIND("E0",B356)+2)))
))),"")</f>
        <v/>
      </c>
      <c r="G356">
        <f>IFERROR(
IF(ISNUMBER(FIND("T2",B356)),220,
IF(ISNUMBER(FIND("T4",B356)),440,
IF(ISNUMBER(FIND("T5",B356)),575,
IF(ISNUMBER(FIND("T6",B356)),690,"")))),
"")</f>
        <v>440</v>
      </c>
    </row>
    <row r="357" spans="1:7" x14ac:dyDescent="0.25">
      <c r="A357">
        <v>15598421</v>
      </c>
      <c r="B357" t="str">
        <f>VLOOKUP(A357,Planilha2!B:C,2,0)</f>
        <v>INVERSOR CFW500F88P0T4DB20H03SDG2</v>
      </c>
      <c r="C357" t="s">
        <v>1</v>
      </c>
      <c r="D357" t="str">
        <f>VLOOKUP(A357,Planilha2!B:H,7,0)</f>
        <v>LINHA M3</v>
      </c>
      <c r="E357" s="5">
        <v>24000</v>
      </c>
      <c r="F357" t="str">
        <f>IFERROR(
IF(ISNUMBER(FIND("CFW110",B357)),
VALUE(MID(B357,FIND("CFW110",B357)+6,FIND("T",B357,FIND("CFW110",B357))-(FIND("CFW110",B357)+6))),
IF(ISNUMBER(FIND("D",B357)),
VALUE(SUBSTITUTE(MID(B357,FIND("D",B357)+1,FIND("T",B357,FIND("D",B357))-(FIND("D",B357)+1)),"P",",")),
IF(ISNUMBER(FIND("CFW5",B357)),
VALUE(MID(B357,
IF(ISNUMBER(FIND("F",B357)),FIND("F",B357)+1,FIND("G",B357)+1),
FIND("T",B357)-(IF(ISNUMBER(FIND("F",B357)),FIND("F",B357)+1,FIND("G",B357)+1))
)),
VALUE(MID(B357,FIND("E0",B357)+2,FIND("T",B357,FIND("E0",B357))-(FIND("E0",B357)+2)))
))),"")</f>
        <v/>
      </c>
      <c r="G357">
        <f>IFERROR(
IF(ISNUMBER(FIND("T2",B357)),220,
IF(ISNUMBER(FIND("T4",B357)),440,
IF(ISNUMBER(FIND("T5",B357)),575,
IF(ISNUMBER(FIND("T6",B357)),690,"")))),
"")</f>
        <v>440</v>
      </c>
    </row>
    <row r="358" spans="1:7" x14ac:dyDescent="0.25">
      <c r="A358">
        <v>15598419</v>
      </c>
      <c r="B358" t="str">
        <f>VLOOKUP(A358,Planilha2!B:C,2,0)</f>
        <v>INVERSOR CFW500F77P0T4DB20H03SDG2</v>
      </c>
      <c r="C358" t="s">
        <v>1</v>
      </c>
      <c r="D358" t="str">
        <f>VLOOKUP(A358,Planilha2!B:H,7,0)</f>
        <v>LINHA M3</v>
      </c>
      <c r="E358" s="5">
        <v>24000</v>
      </c>
      <c r="F358" t="str">
        <f>IFERROR(
IF(ISNUMBER(FIND("CFW110",B358)),
VALUE(MID(B358,FIND("CFW110",B358)+6,FIND("T",B358,FIND("CFW110",B358))-(FIND("CFW110",B358)+6))),
IF(ISNUMBER(FIND("D",B358)),
VALUE(SUBSTITUTE(MID(B358,FIND("D",B358)+1,FIND("T",B358,FIND("D",B358))-(FIND("D",B358)+1)),"P",",")),
IF(ISNUMBER(FIND("CFW5",B358)),
VALUE(MID(B358,
IF(ISNUMBER(FIND("F",B358)),FIND("F",B358)+1,FIND("G",B358)+1),
FIND("T",B358)-(IF(ISNUMBER(FIND("F",B358)),FIND("F",B358)+1,FIND("G",B358)+1))
)),
VALUE(MID(B358,FIND("E0",B358)+2,FIND("T",B358,FIND("E0",B358))-(FIND("E0",B358)+2)))
))),"")</f>
        <v/>
      </c>
      <c r="G358">
        <f>IFERROR(
IF(ISNUMBER(FIND("T2",B358)),220,
IF(ISNUMBER(FIND("T4",B358)),440,
IF(ISNUMBER(FIND("T5",B358)),575,
IF(ISNUMBER(FIND("T6",B358)),690,"")))),
"")</f>
        <v>440</v>
      </c>
    </row>
    <row r="359" spans="1:7" x14ac:dyDescent="0.25">
      <c r="A359">
        <v>15598390</v>
      </c>
      <c r="B359" t="str">
        <f>VLOOKUP(A359,Planilha2!B:C,2,0)</f>
        <v>INVERSOR CFW500F0105T2DB20H03SDG2</v>
      </c>
      <c r="C359" t="s">
        <v>1</v>
      </c>
      <c r="D359" t="str">
        <f>VLOOKUP(A359,Planilha2!B:H,7,0)</f>
        <v>LINHA M3</v>
      </c>
      <c r="E359" s="5">
        <v>24000</v>
      </c>
      <c r="F359" t="str">
        <f>IFERROR(
IF(ISNUMBER(FIND("CFW110",B359)),
VALUE(MID(B359,FIND("CFW110",B359)+6,FIND("T",B359,FIND("CFW110",B359))-(FIND("CFW110",B359)+6))),
IF(ISNUMBER(FIND("D",B359)),
VALUE(SUBSTITUTE(MID(B359,FIND("D",B359)+1,FIND("T",B359,FIND("D",B359))-(FIND("D",B359)+1)),"P",",")),
IF(ISNUMBER(FIND("CFW5",B359)),
VALUE(MID(B359,
IF(ISNUMBER(FIND("F",B359)),FIND("F",B359)+1,FIND("G",B359)+1),
FIND("T",B359)-(IF(ISNUMBER(FIND("F",B359)),FIND("F",B359)+1,FIND("G",B359)+1))
)),
VALUE(MID(B359,FIND("E0",B359)+2,FIND("T",B359,FIND("E0",B359))-(FIND("E0",B359)+2)))
))),"")</f>
        <v/>
      </c>
      <c r="G359">
        <f>IFERROR(
IF(ISNUMBER(FIND("T2",B359)),220,
IF(ISNUMBER(FIND("T4",B359)),440,
IF(ISNUMBER(FIND("T5",B359)),575,
IF(ISNUMBER(FIND("T6",B359)),690,"")))),
"")</f>
        <v>220</v>
      </c>
    </row>
    <row r="360" spans="1:7" x14ac:dyDescent="0.25">
      <c r="A360">
        <v>15598338</v>
      </c>
      <c r="B360" t="str">
        <f>VLOOKUP(A360,Planilha2!B:C,2,0)</f>
        <v>INVERSOR CFW500F88P0T2DB20H03SDG2</v>
      </c>
      <c r="C360" t="s">
        <v>1</v>
      </c>
      <c r="D360" t="str">
        <f>VLOOKUP(A360,Planilha2!B:H,7,0)</f>
        <v>LINHA M3</v>
      </c>
      <c r="E360" s="5">
        <v>24000</v>
      </c>
      <c r="F360" t="str">
        <f>IFERROR(
IF(ISNUMBER(FIND("CFW110",B360)),
VALUE(MID(B360,FIND("CFW110",B360)+6,FIND("T",B360,FIND("CFW110",B360))-(FIND("CFW110",B360)+6))),
IF(ISNUMBER(FIND("D",B360)),
VALUE(SUBSTITUTE(MID(B360,FIND("D",B360)+1,FIND("T",B360,FIND("D",B360))-(FIND("D",B360)+1)),"P",",")),
IF(ISNUMBER(FIND("CFW5",B360)),
VALUE(MID(B360,
IF(ISNUMBER(FIND("F",B360)),FIND("F",B360)+1,FIND("G",B360)+1),
FIND("T",B360)-(IF(ISNUMBER(FIND("F",B360)),FIND("F",B360)+1,FIND("G",B360)+1))
)),
VALUE(MID(B360,FIND("E0",B360)+2,FIND("T",B360,FIND("E0",B360))-(FIND("E0",B360)+2)))
))),"")</f>
        <v/>
      </c>
      <c r="G360">
        <f>IFERROR(
IF(ISNUMBER(FIND("T2",B360)),220,
IF(ISNUMBER(FIND("T4",B360)),440,
IF(ISNUMBER(FIND("T5",B360)),575,
IF(ISNUMBER(FIND("T6",B360)),690,"")))),
"")</f>
        <v>220</v>
      </c>
    </row>
    <row r="361" spans="1:7" x14ac:dyDescent="0.25">
      <c r="A361">
        <v>15598196</v>
      </c>
      <c r="B361" t="str">
        <f>VLOOKUP(A361,Planilha2!B:C,2,0)</f>
        <v>INVERSOR CFW500F77P0T2DB20H03SDG2</v>
      </c>
      <c r="C361" t="s">
        <v>1</v>
      </c>
      <c r="D361" t="str">
        <f>VLOOKUP(A361,Planilha2!B:H,7,0)</f>
        <v>LINHA M3</v>
      </c>
      <c r="E361" s="5">
        <v>24000</v>
      </c>
      <c r="F361" t="str">
        <f>IFERROR(
IF(ISNUMBER(FIND("CFW110",B361)),
VALUE(MID(B361,FIND("CFW110",B361)+6,FIND("T",B361,FIND("CFW110",B361))-(FIND("CFW110",B361)+6))),
IF(ISNUMBER(FIND("D",B361)),
VALUE(SUBSTITUTE(MID(B361,FIND("D",B361)+1,FIND("T",B361,FIND("D",B361))-(FIND("D",B361)+1)),"P",",")),
IF(ISNUMBER(FIND("CFW5",B361)),
VALUE(MID(B361,
IF(ISNUMBER(FIND("F",B361)),FIND("F",B361)+1,FIND("G",B361)+1),
FIND("T",B361)-(IF(ISNUMBER(FIND("F",B361)),FIND("F",B361)+1,FIND("G",B361)+1))
)),
VALUE(MID(B361,FIND("E0",B361)+2,FIND("T",B361,FIND("E0",B361))-(FIND("E0",B361)+2)))
))),"")</f>
        <v/>
      </c>
      <c r="G361">
        <f>IFERROR(
IF(ISNUMBER(FIND("T2",B361)),220,
IF(ISNUMBER(FIND("T4",B361)),440,
IF(ISNUMBER(FIND("T5",B361)),575,
IF(ISNUMBER(FIND("T6",B361)),690,"")))),
"")</f>
        <v>220</v>
      </c>
    </row>
    <row r="362" spans="1:7" x14ac:dyDescent="0.25">
      <c r="A362">
        <v>15733937</v>
      </c>
      <c r="B362" t="str">
        <f>VLOOKUP(A362,Planilha2!B:C,2,0)</f>
        <v>INVERSOR CFW500F77P0T4DB20G2</v>
      </c>
      <c r="C362" t="s">
        <v>1</v>
      </c>
      <c r="D362" t="str">
        <f>VLOOKUP(A362,Planilha2!B:H,7,0)</f>
        <v>LINHA M3</v>
      </c>
      <c r="E362" s="5">
        <v>24500</v>
      </c>
      <c r="F362" t="str">
        <f>IFERROR(
IF(ISNUMBER(FIND("CFW110",B362)),
VALUE(MID(B362,FIND("CFW110",B362)+6,FIND("T",B362,FIND("CFW110",B362))-(FIND("CFW110",B362)+6))),
IF(ISNUMBER(FIND("D",B362)),
VALUE(SUBSTITUTE(MID(B362,FIND("D",B362)+1,FIND("T",B362,FIND("D",B362))-(FIND("D",B362)+1)),"P",",")),
IF(ISNUMBER(FIND("CFW5",B362)),
VALUE(MID(B362,
IF(ISNUMBER(FIND("F",B362)),FIND("F",B362)+1,FIND("G",B362)+1),
FIND("T",B362)-(IF(ISNUMBER(FIND("F",B362)),FIND("F",B362)+1,FIND("G",B362)+1))
)),
VALUE(MID(B362,FIND("E0",B362)+2,FIND("T",B362,FIND("E0",B362))-(FIND("E0",B362)+2)))
))),"")</f>
        <v/>
      </c>
      <c r="G362">
        <f>IFERROR(
IF(ISNUMBER(FIND("T2",B362)),220,
IF(ISNUMBER(FIND("T4",B362)),440,
IF(ISNUMBER(FIND("T5",B362)),575,
IF(ISNUMBER(FIND("T6",B362)),690,"")))),
"")</f>
        <v>440</v>
      </c>
    </row>
    <row r="363" spans="1:7" x14ac:dyDescent="0.25">
      <c r="A363">
        <v>15734058</v>
      </c>
      <c r="B363" t="str">
        <f>VLOOKUP(A363,Planilha2!B:C,2,0)</f>
        <v>INVERSOR CFW500F77P0T4DB20C3G2</v>
      </c>
      <c r="C363" t="s">
        <v>1</v>
      </c>
      <c r="D363" t="str">
        <f>VLOOKUP(A363,Planilha2!B:H,7,0)</f>
        <v>LINHA M3</v>
      </c>
      <c r="E363" s="5">
        <v>26000</v>
      </c>
      <c r="F363" t="str">
        <f>IFERROR(
IF(ISNUMBER(FIND("CFW110",B363)),
VALUE(MID(B363,FIND("CFW110",B363)+6,FIND("T",B363,FIND("CFW110",B363))-(FIND("CFW110",B363)+6))),
IF(ISNUMBER(FIND("D",B363)),
VALUE(SUBSTITUTE(MID(B363,FIND("D",B363)+1,FIND("T",B363,FIND("D",B363))-(FIND("D",B363)+1)),"P",",")),
IF(ISNUMBER(FIND("CFW5",B363)),
VALUE(MID(B363,
IF(ISNUMBER(FIND("F",B363)),FIND("F",B363)+1,FIND("G",B363)+1),
FIND("T",B363)-(IF(ISNUMBER(FIND("F",B363)),FIND("F",B363)+1,FIND("G",B363)+1))
)),
VALUE(MID(B363,FIND("E0",B363)+2,FIND("T",B363,FIND("E0",B363))-(FIND("E0",B363)+2)))
))),"")</f>
        <v/>
      </c>
      <c r="G363">
        <f>IFERROR(
IF(ISNUMBER(FIND("T2",B363)),220,
IF(ISNUMBER(FIND("T4",B363)),440,
IF(ISNUMBER(FIND("T5",B363)),575,
IF(ISNUMBER(FIND("T6",B363)),690,"")))),
"")</f>
        <v>440</v>
      </c>
    </row>
    <row r="364" spans="1:7" x14ac:dyDescent="0.25">
      <c r="A364">
        <v>15734059</v>
      </c>
      <c r="B364" t="str">
        <f>VLOOKUP(A364,Planilha2!B:C,2,0)</f>
        <v>INVERSOR CFW500F77P0T4DB20C3H00G2</v>
      </c>
      <c r="C364" t="s">
        <v>1</v>
      </c>
      <c r="D364" t="str">
        <f>VLOOKUP(A364,Planilha2!B:H,7,0)</f>
        <v>LINHA M3</v>
      </c>
      <c r="E364" s="5">
        <v>26000</v>
      </c>
      <c r="F364" t="str">
        <f>IFERROR(
IF(ISNUMBER(FIND("CFW110",B364)),
VALUE(MID(B364,FIND("CFW110",B364)+6,FIND("T",B364,FIND("CFW110",B364))-(FIND("CFW110",B364)+6))),
IF(ISNUMBER(FIND("D",B364)),
VALUE(SUBSTITUTE(MID(B364,FIND("D",B364)+1,FIND("T",B364,FIND("D",B364))-(FIND("D",B364)+1)),"P",",")),
IF(ISNUMBER(FIND("CFW5",B364)),
VALUE(MID(B364,
IF(ISNUMBER(FIND("F",B364)),FIND("F",B364)+1,FIND("G",B364)+1),
FIND("T",B364)-(IF(ISNUMBER(FIND("F",B364)),FIND("F",B364)+1,FIND("G",B364)+1))
)),
VALUE(MID(B364,FIND("E0",B364)+2,FIND("T",B364,FIND("E0",B364))-(FIND("E0",B364)+2)))
))),"")</f>
        <v/>
      </c>
      <c r="G364">
        <f>IFERROR(
IF(ISNUMBER(FIND("T2",B364)),220,
IF(ISNUMBER(FIND("T4",B364)),440,
IF(ISNUMBER(FIND("T5",B364)),575,
IF(ISNUMBER(FIND("T6",B364)),690,"")))),
"")</f>
        <v>440</v>
      </c>
    </row>
    <row r="365" spans="1:7" x14ac:dyDescent="0.25">
      <c r="A365">
        <v>15734062</v>
      </c>
      <c r="B365" t="str">
        <f>VLOOKUP(A365,Planilha2!B:C,2,0)</f>
        <v>INVERSOR CFW500F77P0T4DB20H00G2</v>
      </c>
      <c r="C365" t="s">
        <v>1</v>
      </c>
      <c r="D365" t="str">
        <f>VLOOKUP(A365,Planilha2!B:H,7,0)</f>
        <v>LINHA M3</v>
      </c>
      <c r="E365" s="5">
        <v>24500</v>
      </c>
      <c r="F365" t="str">
        <f>IFERROR(
IF(ISNUMBER(FIND("CFW110",B365)),
VALUE(MID(B365,FIND("CFW110",B365)+6,FIND("T",B365,FIND("CFW110",B365))-(FIND("CFW110",B365)+6))),
IF(ISNUMBER(FIND("D",B365)),
VALUE(SUBSTITUTE(MID(B365,FIND("D",B365)+1,FIND("T",B365,FIND("D",B365))-(FIND("D",B365)+1)),"P",",")),
IF(ISNUMBER(FIND("CFW5",B365)),
VALUE(MID(B365,
IF(ISNUMBER(FIND("F",B365)),FIND("F",B365)+1,FIND("G",B365)+1),
FIND("T",B365)-(IF(ISNUMBER(FIND("F",B365)),FIND("F",B365)+1,FIND("G",B365)+1))
)),
VALUE(MID(B365,FIND("E0",B365)+2,FIND("T",B365,FIND("E0",B365))-(FIND("E0",B365)+2)))
))),"")</f>
        <v/>
      </c>
      <c r="G365">
        <f>IFERROR(
IF(ISNUMBER(FIND("T2",B365)),220,
IF(ISNUMBER(FIND("T4",B365)),440,
IF(ISNUMBER(FIND("T5",B365)),575,
IF(ISNUMBER(FIND("T6",B365)),690,"")))),
"")</f>
        <v>440</v>
      </c>
    </row>
    <row r="366" spans="1:7" x14ac:dyDescent="0.25">
      <c r="A366">
        <v>15734064</v>
      </c>
      <c r="B366" t="str">
        <f>VLOOKUP(A366,Planilha2!B:C,2,0)</f>
        <v>INVERSOR CFW500F88P0T4DB20G2</v>
      </c>
      <c r="C366" t="s">
        <v>1</v>
      </c>
      <c r="D366" t="str">
        <f>VLOOKUP(A366,Planilha2!B:H,7,0)</f>
        <v>LINHA M3</v>
      </c>
      <c r="E366" s="5">
        <v>24500</v>
      </c>
      <c r="F366" t="str">
        <f>IFERROR(
IF(ISNUMBER(FIND("CFW110",B366)),
VALUE(MID(B366,FIND("CFW110",B366)+6,FIND("T",B366,FIND("CFW110",B366))-(FIND("CFW110",B366)+6))),
IF(ISNUMBER(FIND("D",B366)),
VALUE(SUBSTITUTE(MID(B366,FIND("D",B366)+1,FIND("T",B366,FIND("D",B366))-(FIND("D",B366)+1)),"P",",")),
IF(ISNUMBER(FIND("CFW5",B366)),
VALUE(MID(B366,
IF(ISNUMBER(FIND("F",B366)),FIND("F",B366)+1,FIND("G",B366)+1),
FIND("T",B366)-(IF(ISNUMBER(FIND("F",B366)),FIND("F",B366)+1,FIND("G",B366)+1))
)),
VALUE(MID(B366,FIND("E0",B366)+2,FIND("T",B366,FIND("E0",B366))-(FIND("E0",B366)+2)))
))),"")</f>
        <v/>
      </c>
      <c r="G366">
        <f>IFERROR(
IF(ISNUMBER(FIND("T2",B366)),220,
IF(ISNUMBER(FIND("T4",B366)),440,
IF(ISNUMBER(FIND("T5",B366)),575,
IF(ISNUMBER(FIND("T6",B366)),690,"")))),
"")</f>
        <v>440</v>
      </c>
    </row>
    <row r="367" spans="1:7" x14ac:dyDescent="0.25">
      <c r="A367">
        <v>15734065</v>
      </c>
      <c r="B367" t="str">
        <f>VLOOKUP(A367,Planilha2!B:C,2,0)</f>
        <v>INVERSOR CFW500F88P0T4DB20H00G2</v>
      </c>
      <c r="C367" t="s">
        <v>1</v>
      </c>
      <c r="D367" t="str">
        <f>VLOOKUP(A367,Planilha2!B:H,7,0)</f>
        <v>LINHA M3</v>
      </c>
      <c r="E367" s="5">
        <v>24500</v>
      </c>
      <c r="F367" t="str">
        <f>IFERROR(
IF(ISNUMBER(FIND("CFW110",B367)),
VALUE(MID(B367,FIND("CFW110",B367)+6,FIND("T",B367,FIND("CFW110",B367))-(FIND("CFW110",B367)+6))),
IF(ISNUMBER(FIND("D",B367)),
VALUE(SUBSTITUTE(MID(B367,FIND("D",B367)+1,FIND("T",B367,FIND("D",B367))-(FIND("D",B367)+1)),"P",",")),
IF(ISNUMBER(FIND("CFW5",B367)),
VALUE(MID(B367,
IF(ISNUMBER(FIND("F",B367)),FIND("F",B367)+1,FIND("G",B367)+1),
FIND("T",B367)-(IF(ISNUMBER(FIND("F",B367)),FIND("F",B367)+1,FIND("G",B367)+1))
)),
VALUE(MID(B367,FIND("E0",B367)+2,FIND("T",B367,FIND("E0",B367))-(FIND("E0",B367)+2)))
))),"")</f>
        <v/>
      </c>
      <c r="G367">
        <f>IFERROR(
IF(ISNUMBER(FIND("T2",B367)),220,
IF(ISNUMBER(FIND("T4",B367)),440,
IF(ISNUMBER(FIND("T5",B367)),575,
IF(ISNUMBER(FIND("T6",B367)),690,"")))),
"")</f>
        <v>440</v>
      </c>
    </row>
    <row r="368" spans="1:7" x14ac:dyDescent="0.25">
      <c r="A368">
        <v>15734066</v>
      </c>
      <c r="B368" t="str">
        <f>VLOOKUP(A368,Planilha2!B:C,2,0)</f>
        <v>INVERSOR CFW500F88P0T4DB20C3G2</v>
      </c>
      <c r="C368" t="s">
        <v>1</v>
      </c>
      <c r="D368" t="str">
        <f>VLOOKUP(A368,Planilha2!B:H,7,0)</f>
        <v>LINHA M3</v>
      </c>
      <c r="E368" s="5">
        <v>26000</v>
      </c>
      <c r="F368" t="str">
        <f>IFERROR(
IF(ISNUMBER(FIND("CFW110",B368)),
VALUE(MID(B368,FIND("CFW110",B368)+6,FIND("T",B368,FIND("CFW110",B368))-(FIND("CFW110",B368)+6))),
IF(ISNUMBER(FIND("D",B368)),
VALUE(SUBSTITUTE(MID(B368,FIND("D",B368)+1,FIND("T",B368,FIND("D",B368))-(FIND("D",B368)+1)),"P",",")),
IF(ISNUMBER(FIND("CFW5",B368)),
VALUE(MID(B368,
IF(ISNUMBER(FIND("F",B368)),FIND("F",B368)+1,FIND("G",B368)+1),
FIND("T",B368)-(IF(ISNUMBER(FIND("F",B368)),FIND("F",B368)+1,FIND("G",B368)+1))
)),
VALUE(MID(B368,FIND("E0",B368)+2,FIND("T",B368,FIND("E0",B368))-(FIND("E0",B368)+2)))
))),"")</f>
        <v/>
      </c>
      <c r="G368">
        <f>IFERROR(
IF(ISNUMBER(FIND("T2",B368)),220,
IF(ISNUMBER(FIND("T4",B368)),440,
IF(ISNUMBER(FIND("T5",B368)),575,
IF(ISNUMBER(FIND("T6",B368)),690,"")))),
"")</f>
        <v>440</v>
      </c>
    </row>
    <row r="369" spans="1:7" x14ac:dyDescent="0.25">
      <c r="A369">
        <v>15734067</v>
      </c>
      <c r="B369" t="str">
        <f>VLOOKUP(A369,Planilha2!B:C,2,0)</f>
        <v>INVERSOR CFW500F88P0T4DB20C3H00G2</v>
      </c>
      <c r="C369" t="s">
        <v>1</v>
      </c>
      <c r="D369" t="str">
        <f>VLOOKUP(A369,Planilha2!B:H,7,0)</f>
        <v>LINHA M3</v>
      </c>
      <c r="E369" s="5">
        <v>26000</v>
      </c>
      <c r="F369" t="str">
        <f>IFERROR(
IF(ISNUMBER(FIND("CFW110",B369)),
VALUE(MID(B369,FIND("CFW110",B369)+6,FIND("T",B369,FIND("CFW110",B369))-(FIND("CFW110",B369)+6))),
IF(ISNUMBER(FIND("D",B369)),
VALUE(SUBSTITUTE(MID(B369,FIND("D",B369)+1,FIND("T",B369,FIND("D",B369))-(FIND("D",B369)+1)),"P",",")),
IF(ISNUMBER(FIND("CFW5",B369)),
VALUE(MID(B369,
IF(ISNUMBER(FIND("F",B369)),FIND("F",B369)+1,FIND("G",B369)+1),
FIND("T",B369)-(IF(ISNUMBER(FIND("F",B369)),FIND("F",B369)+1,FIND("G",B369)+1))
)),
VALUE(MID(B369,FIND("E0",B369)+2,FIND("T",B369,FIND("E0",B369))-(FIND("E0",B369)+2)))
))),"")</f>
        <v/>
      </c>
      <c r="G369">
        <f>IFERROR(
IF(ISNUMBER(FIND("T2",B369)),220,
IF(ISNUMBER(FIND("T4",B369)),440,
IF(ISNUMBER(FIND("T5",B369)),575,
IF(ISNUMBER(FIND("T6",B369)),690,"")))),
"")</f>
        <v>440</v>
      </c>
    </row>
    <row r="370" spans="1:7" x14ac:dyDescent="0.25">
      <c r="A370">
        <v>15734119</v>
      </c>
      <c r="B370" t="str">
        <f>VLOOKUP(A370,Planilha2!B:C,2,0)</f>
        <v>INVERSOR CFW500F0105T4DB20G2</v>
      </c>
      <c r="C370" t="s">
        <v>1</v>
      </c>
      <c r="D370" t="str">
        <f>VLOOKUP(A370,Planilha2!B:H,7,0)</f>
        <v>LINHA M3</v>
      </c>
      <c r="E370" s="5">
        <v>24500</v>
      </c>
      <c r="F370" t="str">
        <f>IFERROR(
IF(ISNUMBER(FIND("CFW110",B370)),
VALUE(MID(B370,FIND("CFW110",B370)+6,FIND("T",B370,FIND("CFW110",B370))-(FIND("CFW110",B370)+6))),
IF(ISNUMBER(FIND("D",B370)),
VALUE(SUBSTITUTE(MID(B370,FIND("D",B370)+1,FIND("T",B370,FIND("D",B370))-(FIND("D",B370)+1)),"P",",")),
IF(ISNUMBER(FIND("CFW5",B370)),
VALUE(MID(B370,
IF(ISNUMBER(FIND("F",B370)),FIND("F",B370)+1,FIND("G",B370)+1),
FIND("T",B370)-(IF(ISNUMBER(FIND("F",B370)),FIND("F",B370)+1,FIND("G",B370)+1))
)),
VALUE(MID(B370,FIND("E0",B370)+2,FIND("T",B370,FIND("E0",B370))-(FIND("E0",B370)+2)))
))),"")</f>
        <v/>
      </c>
      <c r="G370">
        <f>IFERROR(
IF(ISNUMBER(FIND("T2",B370)),220,
IF(ISNUMBER(FIND("T4",B370)),440,
IF(ISNUMBER(FIND("T5",B370)),575,
IF(ISNUMBER(FIND("T6",B370)),690,"")))),
"")</f>
        <v>440</v>
      </c>
    </row>
    <row r="371" spans="1:7" x14ac:dyDescent="0.25">
      <c r="A371">
        <v>15734120</v>
      </c>
      <c r="B371" t="str">
        <f>VLOOKUP(A371,Planilha2!B:C,2,0)</f>
        <v>INVERSOR CFW500F0105T4DB20H00G2</v>
      </c>
      <c r="C371" t="s">
        <v>1</v>
      </c>
      <c r="D371" t="str">
        <f>VLOOKUP(A371,Planilha2!B:H,7,0)</f>
        <v>LINHA M3</v>
      </c>
      <c r="E371" s="5">
        <v>24500</v>
      </c>
      <c r="F371" t="str">
        <f>IFERROR(
IF(ISNUMBER(FIND("CFW110",B371)),
VALUE(MID(B371,FIND("CFW110",B371)+6,FIND("T",B371,FIND("CFW110",B371))-(FIND("CFW110",B371)+6))),
IF(ISNUMBER(FIND("D",B371)),
VALUE(SUBSTITUTE(MID(B371,FIND("D",B371)+1,FIND("T",B371,FIND("D",B371))-(FIND("D",B371)+1)),"P",",")),
IF(ISNUMBER(FIND("CFW5",B371)),
VALUE(MID(B371,
IF(ISNUMBER(FIND("F",B371)),FIND("F",B371)+1,FIND("G",B371)+1),
FIND("T",B371)-(IF(ISNUMBER(FIND("F",B371)),FIND("F",B371)+1,FIND("G",B371)+1))
)),
VALUE(MID(B371,FIND("E0",B371)+2,FIND("T",B371,FIND("E0",B371))-(FIND("E0",B371)+2)))
))),"")</f>
        <v/>
      </c>
      <c r="G371">
        <f>IFERROR(
IF(ISNUMBER(FIND("T2",B371)),220,
IF(ISNUMBER(FIND("T4",B371)),440,
IF(ISNUMBER(FIND("T5",B371)),575,
IF(ISNUMBER(FIND("T6",B371)),690,"")))),
"")</f>
        <v>440</v>
      </c>
    </row>
    <row r="372" spans="1:7" x14ac:dyDescent="0.25">
      <c r="A372">
        <v>15734121</v>
      </c>
      <c r="B372" t="str">
        <f>VLOOKUP(A372,Planilha2!B:C,2,0)</f>
        <v>INVERSOR CFW500F0105T4DB20C3G2</v>
      </c>
      <c r="C372" t="s">
        <v>1</v>
      </c>
      <c r="D372" t="str">
        <f>VLOOKUP(A372,Planilha2!B:H,7,0)</f>
        <v>LINHA M3</v>
      </c>
      <c r="E372" s="5">
        <v>26000</v>
      </c>
      <c r="F372" t="str">
        <f>IFERROR(
IF(ISNUMBER(FIND("CFW110",B372)),
VALUE(MID(B372,FIND("CFW110",B372)+6,FIND("T",B372,FIND("CFW110",B372))-(FIND("CFW110",B372)+6))),
IF(ISNUMBER(FIND("D",B372)),
VALUE(SUBSTITUTE(MID(B372,FIND("D",B372)+1,FIND("T",B372,FIND("D",B372))-(FIND("D",B372)+1)),"P",",")),
IF(ISNUMBER(FIND("CFW5",B372)),
VALUE(MID(B372,
IF(ISNUMBER(FIND("F",B372)),FIND("F",B372)+1,FIND("G",B372)+1),
FIND("T",B372)-(IF(ISNUMBER(FIND("F",B372)),FIND("F",B372)+1,FIND("G",B372)+1))
)),
VALUE(MID(B372,FIND("E0",B372)+2,FIND("T",B372,FIND("E0",B372))-(FIND("E0",B372)+2)))
))),"")</f>
        <v/>
      </c>
      <c r="G372">
        <f>IFERROR(
IF(ISNUMBER(FIND("T2",B372)),220,
IF(ISNUMBER(FIND("T4",B372)),440,
IF(ISNUMBER(FIND("T5",B372)),575,
IF(ISNUMBER(FIND("T6",B372)),690,"")))),
"")</f>
        <v>440</v>
      </c>
    </row>
    <row r="373" spans="1:7" x14ac:dyDescent="0.25">
      <c r="A373">
        <v>15734882</v>
      </c>
      <c r="B373" t="str">
        <f>VLOOKUP(A373,Planilha2!B:C,2,0)</f>
        <v>INVERSOR CFW500F0105T4DB20C3H00G2</v>
      </c>
      <c r="C373" t="s">
        <v>1</v>
      </c>
      <c r="D373" t="str">
        <f>VLOOKUP(A373,Planilha2!B:H,7,0)</f>
        <v>LINHA M3</v>
      </c>
      <c r="E373" s="5">
        <v>26000</v>
      </c>
      <c r="F373" t="str">
        <f>IFERROR(
IF(ISNUMBER(FIND("CFW110",B373)),
VALUE(MID(B373,FIND("CFW110",B373)+6,FIND("T",B373,FIND("CFW110",B373))-(FIND("CFW110",B373)+6))),
IF(ISNUMBER(FIND("D",B373)),
VALUE(SUBSTITUTE(MID(B373,FIND("D",B373)+1,FIND("T",B373,FIND("D",B373))-(FIND("D",B373)+1)),"P",",")),
IF(ISNUMBER(FIND("CFW5",B373)),
VALUE(MID(B373,
IF(ISNUMBER(FIND("F",B373)),FIND("F",B373)+1,FIND("G",B373)+1),
FIND("T",B373)-(IF(ISNUMBER(FIND("F",B373)),FIND("F",B373)+1,FIND("G",B373)+1))
)),
VALUE(MID(B373,FIND("E0",B373)+2,FIND("T",B373,FIND("E0",B373))-(FIND("E0",B373)+2)))
))),"")</f>
        <v/>
      </c>
      <c r="G373">
        <f>IFERROR(
IF(ISNUMBER(FIND("T2",B373)),220,
IF(ISNUMBER(FIND("T4",B373)),440,
IF(ISNUMBER(FIND("T5",B373)),575,
IF(ISNUMBER(FIND("T6",B373)),690,"")))),
"")</f>
        <v>440</v>
      </c>
    </row>
    <row r="374" spans="1:7" x14ac:dyDescent="0.25">
      <c r="A374">
        <v>15745773</v>
      </c>
      <c r="B374" t="str">
        <f>VLOOKUP(A374,Planilha2!B:C,2,0)</f>
        <v>INVERSOR NACFW110070T4OTVZ</v>
      </c>
      <c r="C374" t="s">
        <v>1</v>
      </c>
      <c r="D374" t="str">
        <f>VLOOKUP(A374,Planilha2!B:H,7,0)</f>
        <v>LINHA M3</v>
      </c>
      <c r="E374" s="5">
        <v>31750</v>
      </c>
      <c r="F374">
        <f>IFERROR(
IF(ISNUMBER(FIND("CFW110",B374)),
VALUE(MID(B374,FIND("CFW110",B374)+6,FIND("T",B374,FIND("CFW110",B374))-(FIND("CFW110",B374)+6))),
IF(ISNUMBER(FIND("D",B374)),
VALUE(SUBSTITUTE(MID(B374,FIND("D",B374)+1,FIND("T",B374,FIND("D",B374))-(FIND("D",B374)+1)),"P",",")),
IF(ISNUMBER(FIND("CFW5",B374)),
VALUE(MID(B374,
IF(ISNUMBER(FIND("F",B374)),FIND("F",B374)+1,FIND("G",B374)+1),
FIND("T",B374)-(IF(ISNUMBER(FIND("F",B374)),FIND("F",B374)+1,FIND("G",B374)+1))
)),
VALUE(MID(B374,FIND("E0",B374)+2,FIND("T",B374,FIND("E0",B374))-(FIND("E0",B374)+2)))
))),"")</f>
        <v>70</v>
      </c>
      <c r="G374">
        <f>IFERROR(
IF(ISNUMBER(FIND("T2",B374)),220,
IF(ISNUMBER(FIND("T4",B374)),440,
IF(ISNUMBER(FIND("T5",B374)),575,
IF(ISNUMBER(FIND("T6",B374)),690,"")))),
"")</f>
        <v>440</v>
      </c>
    </row>
    <row r="375" spans="1:7" x14ac:dyDescent="0.25">
      <c r="A375">
        <v>15779847</v>
      </c>
      <c r="B375" t="str">
        <f>VLOOKUP(A375,Planilha2!B:C,2,0)</f>
        <v>INVERSOR MSCFW110045T4O55YZ</v>
      </c>
      <c r="C375" t="s">
        <v>1</v>
      </c>
      <c r="D375" t="str">
        <f>VLOOKUP(A375,Planilha2!B:H,7,0)</f>
        <v>LINHA M3</v>
      </c>
      <c r="E375" s="5">
        <v>19600</v>
      </c>
      <c r="F375">
        <f>IFERROR(
IF(ISNUMBER(FIND("CFW110",B375)),
VALUE(MID(B375,FIND("CFW110",B375)+6,FIND("T",B375,FIND("CFW110",B375))-(FIND("CFW110",B375)+6))),
IF(ISNUMBER(FIND("D",B375)),
VALUE(SUBSTITUTE(MID(B375,FIND("D",B375)+1,FIND("T",B375,FIND("D",B375))-(FIND("D",B375)+1)),"P",",")),
IF(ISNUMBER(FIND("CFW5",B375)),
VALUE(MID(B375,
IF(ISNUMBER(FIND("F",B375)),FIND("F",B375)+1,FIND("G",B375)+1),
FIND("T",B375)-(IF(ISNUMBER(FIND("F",B375)),FIND("F",B375)+1,FIND("G",B375)+1))
)),
VALUE(MID(B375,FIND("E0",B375)+2,FIND("T",B375,FIND("E0",B375))-(FIND("E0",B375)+2)))
))),"")</f>
        <v>45</v>
      </c>
      <c r="G375">
        <f>IFERROR(
IF(ISNUMBER(FIND("T2",B375)),220,
IF(ISNUMBER(FIND("T4",B375)),440,
IF(ISNUMBER(FIND("T5",B375)),575,
IF(ISNUMBER(FIND("T6",B375)),690,"")))),
"")</f>
        <v>440</v>
      </c>
    </row>
    <row r="376" spans="1:7" x14ac:dyDescent="0.25">
      <c r="A376">
        <v>15779845</v>
      </c>
      <c r="B376" t="str">
        <f>VLOOKUP(A376,Planilha2!B:C,2,0)</f>
        <v>INVERSOR MSCFW110038T4O55YZ</v>
      </c>
      <c r="C376" t="s">
        <v>1</v>
      </c>
      <c r="D376" t="str">
        <f>VLOOKUP(A376,Planilha2!B:H,7,0)</f>
        <v>LINHA M3</v>
      </c>
      <c r="E376" s="5">
        <v>16400</v>
      </c>
      <c r="F376">
        <f>IFERROR(
IF(ISNUMBER(FIND("CFW110",B376)),
VALUE(MID(B376,FIND("CFW110",B376)+6,FIND("T",B376,FIND("CFW110",B376))-(FIND("CFW110",B376)+6))),
IF(ISNUMBER(FIND("D",B376)),
VALUE(SUBSTITUTE(MID(B376,FIND("D",B376)+1,FIND("T",B376,FIND("D",B376))-(FIND("D",B376)+1)),"P",",")),
IF(ISNUMBER(FIND("CFW5",B376)),
VALUE(MID(B376,
IF(ISNUMBER(FIND("F",B376)),FIND("F",B376)+1,FIND("G",B376)+1),
FIND("T",B376)-(IF(ISNUMBER(FIND("F",B376)),FIND("F",B376)+1,FIND("G",B376)+1))
)),
VALUE(MID(B376,FIND("E0",B376)+2,FIND("T",B376,FIND("E0",B376))-(FIND("E0",B376)+2)))
))),"")</f>
        <v>38</v>
      </c>
      <c r="G376">
        <f>IFERROR(
IF(ISNUMBER(FIND("T2",B376)),220,
IF(ISNUMBER(FIND("T4",B376)),440,
IF(ISNUMBER(FIND("T5",B376)),575,
IF(ISNUMBER(FIND("T6",B376)),690,"")))),
"")</f>
        <v>440</v>
      </c>
    </row>
    <row r="377" spans="1:7" x14ac:dyDescent="0.25">
      <c r="A377">
        <v>15883457</v>
      </c>
      <c r="B377" t="str">
        <f>VLOOKUP(A377,Planilha2!B:C,2,0)</f>
        <v>INVERSOR EUCFW110142T4OYSUZ</v>
      </c>
      <c r="C377" t="s">
        <v>1</v>
      </c>
      <c r="D377" t="str">
        <f>VLOOKUP(A377,Planilha2!B:H,7,0)</f>
        <v>LINHA G1</v>
      </c>
      <c r="E377" s="5">
        <v>64210</v>
      </c>
      <c r="F377">
        <f>IFERROR(
IF(ISNUMBER(FIND("CFW110",B377)),
VALUE(MID(B377,FIND("CFW110",B377)+6,FIND("T",B377,FIND("CFW110",B377))-(FIND("CFW110",B377)+6))),
IF(ISNUMBER(FIND("D",B377)),
VALUE(SUBSTITUTE(MID(B377,FIND("D",B377)+1,FIND("T",B377,FIND("D",B377))-(FIND("D",B377)+1)),"P",",")),
IF(ISNUMBER(FIND("CFW5",B377)),
VALUE(MID(B377,
IF(ISNUMBER(FIND("F",B377)),FIND("F",B377)+1,FIND("G",B377)+1),
FIND("T",B377)-(IF(ISNUMBER(FIND("F",B377)),FIND("F",B377)+1,FIND("G",B377)+1))
)),
VALUE(MID(B377,FIND("E0",B377)+2,FIND("T",B377,FIND("E0",B377))-(FIND("E0",B377)+2)))
))),"")</f>
        <v>142</v>
      </c>
      <c r="G377">
        <f>IFERROR(
IF(ISNUMBER(FIND("T2",B377)),220,
IF(ISNUMBER(FIND("T4",B377)),440,
IF(ISNUMBER(FIND("T5",B377)),575,
IF(ISNUMBER(FIND("T6",B377)),690,"")))),
"")</f>
        <v>440</v>
      </c>
    </row>
    <row r="378" spans="1:7" x14ac:dyDescent="0.25">
      <c r="A378">
        <v>15906060</v>
      </c>
      <c r="B378" t="str">
        <f>VLOOKUP(A378,Planilha2!B:C,2,0)</f>
        <v>INVERSOR EUCFW110142T4OYSUZ-UI</v>
      </c>
      <c r="C378" t="s">
        <v>1</v>
      </c>
      <c r="D378" t="str">
        <f>VLOOKUP(A378,Planilha2!B:H,7,0)</f>
        <v>LINHA G1</v>
      </c>
      <c r="E378" s="5">
        <v>64210</v>
      </c>
      <c r="F378">
        <f>IFERROR(
IF(ISNUMBER(FIND("CFW110",B378)),
VALUE(MID(B378,FIND("CFW110",B378)+6,FIND("T",B378,FIND("CFW110",B378))-(FIND("CFW110",B378)+6))),
IF(ISNUMBER(FIND("D",B378)),
VALUE(SUBSTITUTE(MID(B378,FIND("D",B378)+1,FIND("T",B378,FIND("D",B378))-(FIND("D",B378)+1)),"P",",")),
IF(ISNUMBER(FIND("CFW5",B378)),
VALUE(MID(B378,
IF(ISNUMBER(FIND("F",B378)),FIND("F",B378)+1,FIND("G",B378)+1),
FIND("T",B378)-(IF(ISNUMBER(FIND("F",B378)),FIND("F",B378)+1,FIND("G",B378)+1))
)),
VALUE(MID(B378,FIND("E0",B378)+2,FIND("T",B378,FIND("E0",B378))-(FIND("E0",B378)+2)))
))),"")</f>
        <v>142</v>
      </c>
      <c r="G378">
        <f>IFERROR(
IF(ISNUMBER(FIND("T2",B378)),220,
IF(ISNUMBER(FIND("T4",B378)),440,
IF(ISNUMBER(FIND("T5",B378)),575,
IF(ISNUMBER(FIND("T6",B378)),690,"")))),
"")</f>
        <v>440</v>
      </c>
    </row>
    <row r="379" spans="1:7" x14ac:dyDescent="0.25">
      <c r="A379">
        <v>15912111</v>
      </c>
      <c r="B379" t="str">
        <f>VLOOKUP(A379,Planilha2!B:C,2,0)</f>
        <v>INVERSOR BRCFW110054T2OFASSZ</v>
      </c>
      <c r="C379" t="s">
        <v>1</v>
      </c>
      <c r="D379" t="str">
        <f>VLOOKUP(A379,Planilha2!B:H,7,0)</f>
        <v>LINHA M1</v>
      </c>
      <c r="E379" s="5">
        <v>26461</v>
      </c>
      <c r="F379">
        <f>IFERROR(
IF(ISNUMBER(FIND("CFW110",B379)),
VALUE(MID(B379,FIND("CFW110",B379)+6,FIND("T",B379,FIND("CFW110",B379))-(FIND("CFW110",B379)+6))),
IF(ISNUMBER(FIND("D",B379)),
VALUE(SUBSTITUTE(MID(B379,FIND("D",B379)+1,FIND("T",B379,FIND("D",B379))-(FIND("D",B379)+1)),"P",",")),
IF(ISNUMBER(FIND("CFW5",B379)),
VALUE(MID(B379,
IF(ISNUMBER(FIND("F",B379)),FIND("F",B379)+1,FIND("G",B379)+1),
FIND("T",B379)-(IF(ISNUMBER(FIND("F",B379)),FIND("F",B379)+1,FIND("G",B379)+1))
)),
VALUE(MID(B379,FIND("E0",B379)+2,FIND("T",B379,FIND("E0",B379))-(FIND("E0",B379)+2)))
))),"")</f>
        <v>54</v>
      </c>
      <c r="G379">
        <f>IFERROR(
IF(ISNUMBER(FIND("T2",B379)),220,
IF(ISNUMBER(FIND("T4",B379)),440,
IF(ISNUMBER(FIND("T5",B379)),575,
IF(ISNUMBER(FIND("T6",B379)),690,"")))),
"")</f>
        <v>220</v>
      </c>
    </row>
    <row r="380" spans="1:7" x14ac:dyDescent="0.25">
      <c r="A380">
        <v>15889150</v>
      </c>
      <c r="B380" t="str">
        <f>VLOOKUP(A380,Planilha2!B:C,2,0)</f>
        <v>INVERSOR CFW500G0145T2DB20H01SA</v>
      </c>
      <c r="C380" t="s">
        <v>1</v>
      </c>
      <c r="D380" t="str">
        <f>VLOOKUP(A380,Planilha2!B:H,7,0)</f>
        <v>LINHA G1</v>
      </c>
      <c r="E380" s="5">
        <v>45000</v>
      </c>
      <c r="F380" t="str">
        <f>IFERROR(
IF(ISNUMBER(FIND("CFW110",B380)),
VALUE(MID(B380,FIND("CFW110",B380)+6,FIND("T",B380,FIND("CFW110",B380))-(FIND("CFW110",B380)+6))),
IF(ISNUMBER(FIND("D",B380)),
VALUE(SUBSTITUTE(MID(B380,FIND("D",B380)+1,FIND("T",B380,FIND("D",B380))-(FIND("D",B380)+1)),"P",",")),
IF(ISNUMBER(FIND("CFW5",B380)),
VALUE(MID(B380,
IF(ISNUMBER(FIND("F",B380)),FIND("F",B380)+1,FIND("G",B380)+1),
FIND("T",B380)-(IF(ISNUMBER(FIND("F",B380)),FIND("F",B380)+1,FIND("G",B380)+1))
)),
VALUE(MID(B380,FIND("E0",B380)+2,FIND("T",B380,FIND("E0",B380))-(FIND("E0",B380)+2)))
))),"")</f>
        <v/>
      </c>
      <c r="G380">
        <f>IFERROR(
IF(ISNUMBER(FIND("T2",B380)),220,
IF(ISNUMBER(FIND("T4",B380)),440,
IF(ISNUMBER(FIND("T5",B380)),575,
IF(ISNUMBER(FIND("T6",B380)),690,"")))),
"")</f>
        <v>220</v>
      </c>
    </row>
    <row r="381" spans="1:7" x14ac:dyDescent="0.25">
      <c r="A381">
        <v>15759591</v>
      </c>
      <c r="B381" t="str">
        <f>VLOOKUP(A381,Planilha2!B:C,2,0)</f>
        <v>INVERSOR EUCFW110045T4OFATVZ</v>
      </c>
      <c r="C381" t="s">
        <v>1</v>
      </c>
      <c r="D381" t="str">
        <f>VLOOKUP(A381,Planilha2!B:H,7,0)</f>
        <v>LINHA M1</v>
      </c>
      <c r="E381" s="5">
        <v>19700</v>
      </c>
      <c r="F381">
        <f>IFERROR(
IF(ISNUMBER(FIND("CFW110",B381)),
VALUE(MID(B381,FIND("CFW110",B381)+6,FIND("T",B381,FIND("CFW110",B381))-(FIND("CFW110",B381)+6))),
IF(ISNUMBER(FIND("D",B381)),
VALUE(SUBSTITUTE(MID(B381,FIND("D",B381)+1,FIND("T",B381,FIND("D",B381))-(FIND("D",B381)+1)),"P",",")),
IF(ISNUMBER(FIND("CFW5",B381)),
VALUE(MID(B381,
IF(ISNUMBER(FIND("F",B381)),FIND("F",B381)+1,FIND("G",B381)+1),
FIND("T",B381)-(IF(ISNUMBER(FIND("F",B381)),FIND("F",B381)+1,FIND("G",B381)+1))
)),
VALUE(MID(B381,FIND("E0",B381)+2,FIND("T",B381,FIND("E0",B381))-(FIND("E0",B381)+2)))
))),"")</f>
        <v>45</v>
      </c>
      <c r="G381">
        <f>IFERROR(
IF(ISNUMBER(FIND("T2",B381)),220,
IF(ISNUMBER(FIND("T4",B381)),440,
IF(ISNUMBER(FIND("T5",B381)),575,
IF(ISNUMBER(FIND("T6",B381)),690,"")))),
"")</f>
        <v>440</v>
      </c>
    </row>
    <row r="382" spans="1:7" x14ac:dyDescent="0.25">
      <c r="A382">
        <v>15899790</v>
      </c>
      <c r="B382" t="str">
        <f>VLOOKUP(A382,Planilha2!B:C,2,0)</f>
        <v>INVERSOR CFW500G0180T2DB20H01SA</v>
      </c>
      <c r="C382" t="s">
        <v>1</v>
      </c>
      <c r="D382" t="str">
        <f>VLOOKUP(A382,Planilha2!B:H,7,0)</f>
        <v>LINHA G1</v>
      </c>
      <c r="E382" s="5">
        <v>30000</v>
      </c>
      <c r="F382" t="str">
        <f>IFERROR(
IF(ISNUMBER(FIND("CFW110",B382)),
VALUE(MID(B382,FIND("CFW110",B382)+6,FIND("T",B382,FIND("CFW110",B382))-(FIND("CFW110",B382)+6))),
IF(ISNUMBER(FIND("D",B382)),
VALUE(SUBSTITUTE(MID(B382,FIND("D",B382)+1,FIND("T",B382,FIND("D",B382))-(FIND("D",B382)+1)),"P",",")),
IF(ISNUMBER(FIND("CFW5",B382)),
VALUE(MID(B382,
IF(ISNUMBER(FIND("F",B382)),FIND("F",B382)+1,FIND("G",B382)+1),
FIND("T",B382)-(IF(ISNUMBER(FIND("F",B382)),FIND("F",B382)+1,FIND("G",B382)+1))
)),
VALUE(MID(B382,FIND("E0",B382)+2,FIND("T",B382,FIND("E0",B382))-(FIND("E0",B382)+2)))
))),"")</f>
        <v/>
      </c>
      <c r="G382">
        <f>IFERROR(
IF(ISNUMBER(FIND("T2",B382)),220,
IF(ISNUMBER(FIND("T4",B382)),440,
IF(ISNUMBER(FIND("T5",B382)),575,
IF(ISNUMBER(FIND("T6",B382)),690,"")))),
"")</f>
        <v>220</v>
      </c>
    </row>
    <row r="383" spans="1:7" x14ac:dyDescent="0.25">
      <c r="A383">
        <v>15759589</v>
      </c>
      <c r="B383" t="str">
        <f>VLOOKUP(A383,Planilha2!B:C,2,0)</f>
        <v>INVERSOR EUCFW110038T4OFATVZ</v>
      </c>
      <c r="C383" t="s">
        <v>1</v>
      </c>
      <c r="D383" t="str">
        <f>VLOOKUP(A383,Planilha2!B:H,7,0)</f>
        <v>LINHA M1</v>
      </c>
      <c r="E383" s="5">
        <v>16500</v>
      </c>
      <c r="F383">
        <f>IFERROR(
IF(ISNUMBER(FIND("CFW110",B383)),
VALUE(MID(B383,FIND("CFW110",B383)+6,FIND("T",B383,FIND("CFW110",B383))-(FIND("CFW110",B383)+6))),
IF(ISNUMBER(FIND("D",B383)),
VALUE(SUBSTITUTE(MID(B383,FIND("D",B383)+1,FIND("T",B383,FIND("D",B383))-(FIND("D",B383)+1)),"P",",")),
IF(ISNUMBER(FIND("CFW5",B383)),
VALUE(MID(B383,
IF(ISNUMBER(FIND("F",B383)),FIND("F",B383)+1,FIND("G",B383)+1),
FIND("T",B383)-(IF(ISNUMBER(FIND("F",B383)),FIND("F",B383)+1,FIND("G",B383)+1))
)),
VALUE(MID(B383,FIND("E0",B383)+2,FIND("T",B383,FIND("E0",B383))-(FIND("E0",B383)+2)))
))),"")</f>
        <v>38</v>
      </c>
      <c r="G383">
        <f>IFERROR(
IF(ISNUMBER(FIND("T2",B383)),220,
IF(ISNUMBER(FIND("T4",B383)),440,
IF(ISNUMBER(FIND("T5",B383)),575,
IF(ISNUMBER(FIND("T6",B383)),690,"")))),
"")</f>
        <v>440</v>
      </c>
    </row>
    <row r="384" spans="1:7" x14ac:dyDescent="0.25">
      <c r="A384">
        <v>16001405</v>
      </c>
      <c r="B384" t="str">
        <f>VLOOKUP(A384,Planilha2!B:C,2,0)</f>
        <v>INVERSOR NACFW110038T4OTVZ</v>
      </c>
      <c r="C384" t="s">
        <v>1</v>
      </c>
      <c r="D384" t="str">
        <f>VLOOKUP(A384,Planilha2!B:H,7,0)</f>
        <v>LINHA M1</v>
      </c>
      <c r="E384" s="5">
        <v>16400</v>
      </c>
      <c r="F384">
        <f>IFERROR(
IF(ISNUMBER(FIND("CFW110",B384)),
VALUE(MID(B384,FIND("CFW110",B384)+6,FIND("T",B384,FIND("CFW110",B384))-(FIND("CFW110",B384)+6))),
IF(ISNUMBER(FIND("D",B384)),
VALUE(SUBSTITUTE(MID(B384,FIND("D",B384)+1,FIND("T",B384,FIND("D",B384))-(FIND("D",B384)+1)),"P",",")),
IF(ISNUMBER(FIND("CFW5",B384)),
VALUE(MID(B384,
IF(ISNUMBER(FIND("F",B384)),FIND("F",B384)+1,FIND("G",B384)+1),
FIND("T",B384)-(IF(ISNUMBER(FIND("F",B384)),FIND("F",B384)+1,FIND("G",B384)+1))
)),
VALUE(MID(B384,FIND("E0",B384)+2,FIND("T",B384,FIND("E0",B384))-(FIND("E0",B384)+2)))
))),"")</f>
        <v>38</v>
      </c>
      <c r="G384">
        <f>IFERROR(
IF(ISNUMBER(FIND("T2",B384)),220,
IF(ISNUMBER(FIND("T4",B384)),440,
IF(ISNUMBER(FIND("T5",B384)),575,
IF(ISNUMBER(FIND("T6",B384)),690,"")))),
"")</f>
        <v>440</v>
      </c>
    </row>
    <row r="385" spans="1:7" x14ac:dyDescent="0.25">
      <c r="A385">
        <v>15752413</v>
      </c>
      <c r="B385" t="str">
        <f>VLOOKUP(A385,Planilha2!B:C,2,0)</f>
        <v>INVERSOR EUCFW110045T2OFATVZ</v>
      </c>
      <c r="C385" t="s">
        <v>1</v>
      </c>
      <c r="D385" t="str">
        <f>VLOOKUP(A385,Planilha2!B:H,7,0)</f>
        <v>LINHA M1</v>
      </c>
      <c r="E385" s="5">
        <v>15700</v>
      </c>
      <c r="F385">
        <f>IFERROR(
IF(ISNUMBER(FIND("CFW110",B385)),
VALUE(MID(B385,FIND("CFW110",B385)+6,FIND("T",B385,FIND("CFW110",B385))-(FIND("CFW110",B385)+6))),
IF(ISNUMBER(FIND("D",B385)),
VALUE(SUBSTITUTE(MID(B385,FIND("D",B385)+1,FIND("T",B385,FIND("D",B385))-(FIND("D",B385)+1)),"P",",")),
IF(ISNUMBER(FIND("CFW5",B385)),
VALUE(MID(B385,
IF(ISNUMBER(FIND("F",B385)),FIND("F",B385)+1,FIND("G",B385)+1),
FIND("T",B385)-(IF(ISNUMBER(FIND("F",B385)),FIND("F",B385)+1,FIND("G",B385)+1))
)),
VALUE(MID(B385,FIND("E0",B385)+2,FIND("T",B385,FIND("E0",B385))-(FIND("E0",B385)+2)))
))),"")</f>
        <v>45</v>
      </c>
      <c r="G385">
        <f>IFERROR(
IF(ISNUMBER(FIND("T2",B385)),220,
IF(ISNUMBER(FIND("T4",B385)),440,
IF(ISNUMBER(FIND("T5",B385)),575,
IF(ISNUMBER(FIND("T6",B385)),690,"")))),
"")</f>
        <v>220</v>
      </c>
    </row>
    <row r="386" spans="1:7" x14ac:dyDescent="0.25">
      <c r="A386">
        <v>16001227</v>
      </c>
      <c r="B386" t="str">
        <f>VLOOKUP(A386,Planilha2!B:C,2,0)</f>
        <v>INVERSOR NACFW110045T2OTVZ</v>
      </c>
      <c r="C386" t="s">
        <v>1</v>
      </c>
      <c r="D386" t="str">
        <f>VLOOKUP(A386,Planilha2!B:H,7,0)</f>
        <v>LINHA M1</v>
      </c>
      <c r="E386" s="5">
        <v>15600</v>
      </c>
      <c r="F386">
        <f>IFERROR(
IF(ISNUMBER(FIND("CFW110",B386)),
VALUE(MID(B386,FIND("CFW110",B386)+6,FIND("T",B386,FIND("CFW110",B386))-(FIND("CFW110",B386)+6))),
IF(ISNUMBER(FIND("D",B386)),
VALUE(SUBSTITUTE(MID(B386,FIND("D",B386)+1,FIND("T",B386,FIND("D",B386))-(FIND("D",B386)+1)),"P",",")),
IF(ISNUMBER(FIND("CFW5",B386)),
VALUE(MID(B386,
IF(ISNUMBER(FIND("F",B386)),FIND("F",B386)+1,FIND("G",B386)+1),
FIND("T",B386)-(IF(ISNUMBER(FIND("F",B386)),FIND("F",B386)+1,FIND("G",B386)+1))
)),
VALUE(MID(B386,FIND("E0",B386)+2,FIND("T",B386,FIND("E0",B386))-(FIND("E0",B386)+2)))
))),"")</f>
        <v>45</v>
      </c>
      <c r="G386">
        <f>IFERROR(
IF(ISNUMBER(FIND("T2",B386)),220,
IF(ISNUMBER(FIND("T4",B386)),440,
IF(ISNUMBER(FIND("T5",B386)),575,
IF(ISNUMBER(FIND("T6",B386)),690,"")))),
"")</f>
        <v>220</v>
      </c>
    </row>
    <row r="387" spans="1:7" x14ac:dyDescent="0.25">
      <c r="A387">
        <v>16001406</v>
      </c>
      <c r="B387" t="str">
        <f>VLOOKUP(A387,Planilha2!B:C,2,0)</f>
        <v>INVERSOR NACFW110045T4OTVZ</v>
      </c>
      <c r="C387" t="s">
        <v>1</v>
      </c>
      <c r="D387" t="str">
        <f>VLOOKUP(A387,Planilha2!B:H,7,0)</f>
        <v>LINHA M1</v>
      </c>
      <c r="E387" s="5">
        <v>19600</v>
      </c>
      <c r="F387">
        <f>IFERROR(
IF(ISNUMBER(FIND("CFW110",B387)),
VALUE(MID(B387,FIND("CFW110",B387)+6,FIND("T",B387,FIND("CFW110",B387))-(FIND("CFW110",B387)+6))),
IF(ISNUMBER(FIND("D",B387)),
VALUE(SUBSTITUTE(MID(B387,FIND("D",B387)+1,FIND("T",B387,FIND("D",B387))-(FIND("D",B387)+1)),"P",",")),
IF(ISNUMBER(FIND("CFW5",B387)),
VALUE(MID(B387,
IF(ISNUMBER(FIND("F",B387)),FIND("F",B387)+1,FIND("G",B387)+1),
FIND("T",B387)-(IF(ISNUMBER(FIND("F",B387)),FIND("F",B387)+1,FIND("G",B387)+1))
)),
VALUE(MID(B387,FIND("E0",B387)+2,FIND("T",B387,FIND("E0",B387))-(FIND("E0",B387)+2)))
))),"")</f>
        <v>45</v>
      </c>
      <c r="G387">
        <f>IFERROR(
IF(ISNUMBER(FIND("T2",B387)),220,
IF(ISNUMBER(FIND("T4",B387)),440,
IF(ISNUMBER(FIND("T5",B387)),575,
IF(ISNUMBER(FIND("T6",B387)),690,"")))),
"")</f>
        <v>440</v>
      </c>
    </row>
    <row r="388" spans="1:7" x14ac:dyDescent="0.25">
      <c r="A388">
        <v>15752414</v>
      </c>
      <c r="B388" t="str">
        <f>VLOOKUP(A388,Planilha2!B:C,2,0)</f>
        <v>INVERSOR EUCFW110054T2OFATVZ</v>
      </c>
      <c r="C388" t="s">
        <v>1</v>
      </c>
      <c r="D388" t="str">
        <f>VLOOKUP(A388,Planilha2!B:H,7,0)</f>
        <v>LINHA M1</v>
      </c>
      <c r="E388" s="5">
        <v>16100</v>
      </c>
      <c r="F388">
        <f>IFERROR(
IF(ISNUMBER(FIND("CFW110",B388)),
VALUE(MID(B388,FIND("CFW110",B388)+6,FIND("T",B388,FIND("CFW110",B388))-(FIND("CFW110",B388)+6))),
IF(ISNUMBER(FIND("D",B388)),
VALUE(SUBSTITUTE(MID(B388,FIND("D",B388)+1,FIND("T",B388,FIND("D",B388))-(FIND("D",B388)+1)),"P",",")),
IF(ISNUMBER(FIND("CFW5",B388)),
VALUE(MID(B388,
IF(ISNUMBER(FIND("F",B388)),FIND("F",B388)+1,FIND("G",B388)+1),
FIND("T",B388)-(IF(ISNUMBER(FIND("F",B388)),FIND("F",B388)+1,FIND("G",B388)+1))
)),
VALUE(MID(B388,FIND("E0",B388)+2,FIND("T",B388,FIND("E0",B388))-(FIND("E0",B388)+2)))
))),"")</f>
        <v>54</v>
      </c>
      <c r="G388">
        <f>IFERROR(
IF(ISNUMBER(FIND("T2",B388)),220,
IF(ISNUMBER(FIND("T4",B388)),440,
IF(ISNUMBER(FIND("T5",B388)),575,
IF(ISNUMBER(FIND("T6",B388)),690,"")))),
"")</f>
        <v>220</v>
      </c>
    </row>
    <row r="389" spans="1:7" x14ac:dyDescent="0.25">
      <c r="A389">
        <v>16001278</v>
      </c>
      <c r="B389" t="str">
        <f>VLOOKUP(A389,Planilha2!B:C,2,0)</f>
        <v>INVERSOR NACFW110054T2OTVZ</v>
      </c>
      <c r="C389" t="s">
        <v>1</v>
      </c>
      <c r="D389" t="str">
        <f>VLOOKUP(A389,Planilha2!B:H,7,0)</f>
        <v>LINHA M1</v>
      </c>
      <c r="E389" s="5">
        <v>16000</v>
      </c>
      <c r="F389">
        <f>IFERROR(
IF(ISNUMBER(FIND("CFW110",B389)),
VALUE(MID(B389,FIND("CFW110",B389)+6,FIND("T",B389,FIND("CFW110",B389))-(FIND("CFW110",B389)+6))),
IF(ISNUMBER(FIND("D",B389)),
VALUE(SUBSTITUTE(MID(B389,FIND("D",B389)+1,FIND("T",B389,FIND("D",B389))-(FIND("D",B389)+1)),"P",",")),
IF(ISNUMBER(FIND("CFW5",B389)),
VALUE(MID(B389,
IF(ISNUMBER(FIND("F",B389)),FIND("F",B389)+1,FIND("G",B389)+1),
FIND("T",B389)-(IF(ISNUMBER(FIND("F",B389)),FIND("F",B389)+1,FIND("G",B389)+1))
)),
VALUE(MID(B389,FIND("E0",B389)+2,FIND("T",B389,FIND("E0",B389))-(FIND("E0",B389)+2)))
))),"")</f>
        <v>54</v>
      </c>
      <c r="G389">
        <f>IFERROR(
IF(ISNUMBER(FIND("T2",B389)),220,
IF(ISNUMBER(FIND("T4",B389)),440,
IF(ISNUMBER(FIND("T5",B389)),575,
IF(ISNUMBER(FIND("T6",B389)),690,"")))),
"")</f>
        <v>220</v>
      </c>
    </row>
    <row r="390" spans="1:7" x14ac:dyDescent="0.25">
      <c r="A390">
        <v>15759592</v>
      </c>
      <c r="B390" t="str">
        <f>VLOOKUP(A390,Planilha2!B:C,2,0)</f>
        <v>INVERSOR EUCFW110058T4OFATVZ</v>
      </c>
      <c r="C390" t="s">
        <v>1</v>
      </c>
      <c r="D390" t="str">
        <f>VLOOKUP(A390,Planilha2!B:H,7,0)</f>
        <v>LINHA M1</v>
      </c>
      <c r="E390" s="5">
        <v>20600</v>
      </c>
      <c r="F390">
        <f>IFERROR(
IF(ISNUMBER(FIND("CFW110",B390)),
VALUE(MID(B390,FIND("CFW110",B390)+6,FIND("T",B390,FIND("CFW110",B390))-(FIND("CFW110",B390)+6))),
IF(ISNUMBER(FIND("D",B390)),
VALUE(SUBSTITUTE(MID(B390,FIND("D",B390)+1,FIND("T",B390,FIND("D",B390))-(FIND("D",B390)+1)),"P",",")),
IF(ISNUMBER(FIND("CFW5",B390)),
VALUE(MID(B390,
IF(ISNUMBER(FIND("F",B390)),FIND("F",B390)+1,FIND("G",B390)+1),
FIND("T",B390)-(IF(ISNUMBER(FIND("F",B390)),FIND("F",B390)+1,FIND("G",B390)+1))
)),
VALUE(MID(B390,FIND("E0",B390)+2,FIND("T",B390,FIND("E0",B390))-(FIND("E0",B390)+2)))
))),"")</f>
        <v>58</v>
      </c>
      <c r="G390">
        <f>IFERROR(
IF(ISNUMBER(FIND("T2",B390)),220,
IF(ISNUMBER(FIND("T4",B390)),440,
IF(ISNUMBER(FIND("T5",B390)),575,
IF(ISNUMBER(FIND("T6",B390)),690,"")))),
"")</f>
        <v>440</v>
      </c>
    </row>
    <row r="391" spans="1:7" x14ac:dyDescent="0.25">
      <c r="A391">
        <v>15752417</v>
      </c>
      <c r="B391" t="str">
        <f>VLOOKUP(A391,Planilha2!B:C,2,0)</f>
        <v>INVERSOR EUCFW110070T2OFATVZ</v>
      </c>
      <c r="C391" t="s">
        <v>1</v>
      </c>
      <c r="D391" t="str">
        <f>VLOOKUP(A391,Planilha2!B:H,7,0)</f>
        <v>LINHA M1</v>
      </c>
      <c r="E391" s="5">
        <v>18000</v>
      </c>
      <c r="F391">
        <f>IFERROR(
IF(ISNUMBER(FIND("CFW110",B391)),
VALUE(MID(B391,FIND("CFW110",B391)+6,FIND("T",B391,FIND("CFW110",B391))-(FIND("CFW110",B391)+6))),
IF(ISNUMBER(FIND("D",B391)),
VALUE(SUBSTITUTE(MID(B391,FIND("D",B391)+1,FIND("T",B391,FIND("D",B391))-(FIND("D",B391)+1)),"P",",")),
IF(ISNUMBER(FIND("CFW5",B391)),
VALUE(MID(B391,
IF(ISNUMBER(FIND("F",B391)),FIND("F",B391)+1,FIND("G",B391)+1),
FIND("T",B391)-(IF(ISNUMBER(FIND("F",B391)),FIND("F",B391)+1,FIND("G",B391)+1))
)),
VALUE(MID(B391,FIND("E0",B391)+2,FIND("T",B391,FIND("E0",B391))-(FIND("E0",B391)+2)))
))),"")</f>
        <v>70</v>
      </c>
      <c r="G391">
        <f>IFERROR(
IF(ISNUMBER(FIND("T2",B391)),220,
IF(ISNUMBER(FIND("T4",B391)),440,
IF(ISNUMBER(FIND("T5",B391)),575,
IF(ISNUMBER(FIND("T6",B391)),690,"")))),
"")</f>
        <v>220</v>
      </c>
    </row>
    <row r="392" spans="1:7" x14ac:dyDescent="0.25">
      <c r="A392">
        <v>16001448</v>
      </c>
      <c r="B392" t="str">
        <f>VLOOKUP(A392,Planilha2!B:C,2,0)</f>
        <v>INVERSOR NACFW110058T4OTVZ</v>
      </c>
      <c r="C392" t="s">
        <v>1</v>
      </c>
      <c r="D392" t="str">
        <f>VLOOKUP(A392,Planilha2!B:H,7,0)</f>
        <v>LINHA M1</v>
      </c>
      <c r="E392" s="5">
        <v>20500</v>
      </c>
      <c r="F392">
        <f>IFERROR(
IF(ISNUMBER(FIND("CFW110",B392)),
VALUE(MID(B392,FIND("CFW110",B392)+6,FIND("T",B392,FIND("CFW110",B392))-(FIND("CFW110",B392)+6))),
IF(ISNUMBER(FIND("D",B392)),
VALUE(SUBSTITUTE(MID(B392,FIND("D",B392)+1,FIND("T",B392,FIND("D",B392))-(FIND("D",B392)+1)),"P",",")),
IF(ISNUMBER(FIND("CFW5",B392)),
VALUE(MID(B392,
IF(ISNUMBER(FIND("F",B392)),FIND("F",B392)+1,FIND("G",B392)+1),
FIND("T",B392)-(IF(ISNUMBER(FIND("F",B392)),FIND("F",B392)+1,FIND("G",B392)+1))
)),
VALUE(MID(B392,FIND("E0",B392)+2,FIND("T",B392,FIND("E0",B392))-(FIND("E0",B392)+2)))
))),"")</f>
        <v>58</v>
      </c>
      <c r="G392">
        <f>IFERROR(
IF(ISNUMBER(FIND("T2",B392)),220,
IF(ISNUMBER(FIND("T4",B392)),440,
IF(ISNUMBER(FIND("T5",B392)),575,
IF(ISNUMBER(FIND("T6",B392)),690,"")))),
"")</f>
        <v>440</v>
      </c>
    </row>
    <row r="393" spans="1:7" x14ac:dyDescent="0.25">
      <c r="A393">
        <v>15759594</v>
      </c>
      <c r="B393" t="str">
        <f>VLOOKUP(A393,Planilha2!B:C,2,0)</f>
        <v>INVERSOR EUCFW110070T4OFATVZ</v>
      </c>
      <c r="C393" t="s">
        <v>1</v>
      </c>
      <c r="D393" t="str">
        <f>VLOOKUP(A393,Planilha2!B:H,7,0)</f>
        <v>LINHA M3</v>
      </c>
      <c r="E393" s="5">
        <v>31100</v>
      </c>
      <c r="F393">
        <f>IFERROR(
IF(ISNUMBER(FIND("CFW110",B393)),
VALUE(MID(B393,FIND("CFW110",B393)+6,FIND("T",B393,FIND("CFW110",B393))-(FIND("CFW110",B393)+6))),
IF(ISNUMBER(FIND("D",B393)),
VALUE(SUBSTITUTE(MID(B393,FIND("D",B393)+1,FIND("T",B393,FIND("D",B393))-(FIND("D",B393)+1)),"P",",")),
IF(ISNUMBER(FIND("CFW5",B393)),
VALUE(MID(B393,
IF(ISNUMBER(FIND("F",B393)),FIND("F",B393)+1,FIND("G",B393)+1),
FIND("T",B393)-(IF(ISNUMBER(FIND("F",B393)),FIND("F",B393)+1,FIND("G",B393)+1))
)),
VALUE(MID(B393,FIND("E0",B393)+2,FIND("T",B393,FIND("E0",B393))-(FIND("E0",B393)+2)))
))),"")</f>
        <v>70</v>
      </c>
      <c r="G393">
        <f>IFERROR(
IF(ISNUMBER(FIND("T2",B393)),220,
IF(ISNUMBER(FIND("T4",B393)),440,
IF(ISNUMBER(FIND("T5",B393)),575,
IF(ISNUMBER(FIND("T6",B393)),690,"")))),
"")</f>
        <v>440</v>
      </c>
    </row>
    <row r="394" spans="1:7" x14ac:dyDescent="0.25">
      <c r="A394">
        <v>16001279</v>
      </c>
      <c r="B394" t="str">
        <f>VLOOKUP(A394,Planilha2!B:C,2,0)</f>
        <v>INVERSOR NACFW110070T2OTVZ</v>
      </c>
      <c r="C394" t="s">
        <v>1</v>
      </c>
      <c r="D394" t="str">
        <f>VLOOKUP(A394,Planilha2!B:H,7,0)</f>
        <v>LINHA M1</v>
      </c>
      <c r="E394" s="5">
        <v>17900</v>
      </c>
      <c r="F394">
        <f>IFERROR(
IF(ISNUMBER(FIND("CFW110",B394)),
VALUE(MID(B394,FIND("CFW110",B394)+6,FIND("T",B394,FIND("CFW110",B394))-(FIND("CFW110",B394)+6))),
IF(ISNUMBER(FIND("D",B394)),
VALUE(SUBSTITUTE(MID(B394,FIND("D",B394)+1,FIND("T",B394,FIND("D",B394))-(FIND("D",B394)+1)),"P",",")),
IF(ISNUMBER(FIND("CFW5",B394)),
VALUE(MID(B394,
IF(ISNUMBER(FIND("F",B394)),FIND("F",B394)+1,FIND("G",B394)+1),
FIND("T",B394)-(IF(ISNUMBER(FIND("F",B394)),FIND("F",B394)+1,FIND("G",B394)+1))
)),
VALUE(MID(B394,FIND("E0",B394)+2,FIND("T",B394,FIND("E0",B394))-(FIND("E0",B394)+2)))
))),"")</f>
        <v>70</v>
      </c>
      <c r="G394">
        <f>IFERROR(
IF(ISNUMBER(FIND("T2",B394)),220,
IF(ISNUMBER(FIND("T4",B394)),440,
IF(ISNUMBER(FIND("T5",B394)),575,
IF(ISNUMBER(FIND("T6",B394)),690,"")))),
"")</f>
        <v>220</v>
      </c>
    </row>
    <row r="395" spans="1:7" x14ac:dyDescent="0.25">
      <c r="A395">
        <v>15752468</v>
      </c>
      <c r="B395" t="str">
        <f>VLOOKUP(A395,Planilha2!B:C,2,0)</f>
        <v>INVERSOR EUCFW110086T2OFATVZ</v>
      </c>
      <c r="C395" t="s">
        <v>1</v>
      </c>
      <c r="D395" t="str">
        <f>VLOOKUP(A395,Planilha2!B:H,7,0)</f>
        <v>LINHA M3</v>
      </c>
      <c r="E395" s="5">
        <v>29500</v>
      </c>
      <c r="F395">
        <f>IFERROR(
IF(ISNUMBER(FIND("CFW110",B395)),
VALUE(MID(B395,FIND("CFW110",B395)+6,FIND("T",B395,FIND("CFW110",B395))-(FIND("CFW110",B395)+6))),
IF(ISNUMBER(FIND("D",B395)),
VALUE(SUBSTITUTE(MID(B395,FIND("D",B395)+1,FIND("T",B395,FIND("D",B395))-(FIND("D",B395)+1)),"P",",")),
IF(ISNUMBER(FIND("CFW5",B395)),
VALUE(MID(B395,
IF(ISNUMBER(FIND("F",B395)),FIND("F",B395)+1,FIND("G",B395)+1),
FIND("T",B395)-(IF(ISNUMBER(FIND("F",B395)),FIND("F",B395)+1,FIND("G",B395)+1))
)),
VALUE(MID(B395,FIND("E0",B395)+2,FIND("T",B395,FIND("E0",B395))-(FIND("E0",B395)+2)))
))),"")</f>
        <v>86</v>
      </c>
      <c r="G395">
        <f>IFERROR(
IF(ISNUMBER(FIND("T2",B395)),220,
IF(ISNUMBER(FIND("T4",B395)),440,
IF(ISNUMBER(FIND("T5",B395)),575,
IF(ISNUMBER(FIND("T6",B395)),690,"")))),
"")</f>
        <v>220</v>
      </c>
    </row>
    <row r="396" spans="1:7" x14ac:dyDescent="0.25">
      <c r="A396">
        <v>16001280</v>
      </c>
      <c r="B396" t="str">
        <f>VLOOKUP(A396,Planilha2!B:C,2,0)</f>
        <v>INVERSOR NACFW110086T2OTVZ</v>
      </c>
      <c r="C396" t="s">
        <v>1</v>
      </c>
      <c r="D396" t="str">
        <f>VLOOKUP(A396,Planilha2!B:H,7,0)</f>
        <v>LINHA M3</v>
      </c>
      <c r="E396" s="5">
        <v>29500</v>
      </c>
      <c r="F396">
        <f>IFERROR(
IF(ISNUMBER(FIND("CFW110",B396)),
VALUE(MID(B396,FIND("CFW110",B396)+6,FIND("T",B396,FIND("CFW110",B396))-(FIND("CFW110",B396)+6))),
IF(ISNUMBER(FIND("D",B396)),
VALUE(SUBSTITUTE(MID(B396,FIND("D",B396)+1,FIND("T",B396,FIND("D",B396))-(FIND("D",B396)+1)),"P",",")),
IF(ISNUMBER(FIND("CFW5",B396)),
VALUE(MID(B396,
IF(ISNUMBER(FIND("F",B396)),FIND("F",B396)+1,FIND("G",B396)+1),
FIND("T",B396)-(IF(ISNUMBER(FIND("F",B396)),FIND("F",B396)+1,FIND("G",B396)+1))
)),
VALUE(MID(B396,FIND("E0",B396)+2,FIND("T",B396,FIND("E0",B396))-(FIND("E0",B396)+2)))
))),"")</f>
        <v>86</v>
      </c>
      <c r="G396">
        <f>IFERROR(
IF(ISNUMBER(FIND("T2",B396)),220,
IF(ISNUMBER(FIND("T4",B396)),440,
IF(ISNUMBER(FIND("T5",B396)),575,
IF(ISNUMBER(FIND("T6",B396)),690,"")))),
"")</f>
        <v>220</v>
      </c>
    </row>
    <row r="397" spans="1:7" x14ac:dyDescent="0.25">
      <c r="A397">
        <v>15759595</v>
      </c>
      <c r="B397" t="str">
        <f>VLOOKUP(A397,Planilha2!B:C,2,0)</f>
        <v>INVERSOR EUCFW110088T4OFATVZ</v>
      </c>
      <c r="C397" t="s">
        <v>1</v>
      </c>
      <c r="D397" t="str">
        <f>VLOOKUP(A397,Planilha2!B:H,7,0)</f>
        <v>LINHA M3</v>
      </c>
      <c r="E397" s="5">
        <v>32600</v>
      </c>
      <c r="F397">
        <f>IFERROR(
IF(ISNUMBER(FIND("CFW110",B397)),
VALUE(MID(B397,FIND("CFW110",B397)+6,FIND("T",B397,FIND("CFW110",B397))-(FIND("CFW110",B397)+6))),
IF(ISNUMBER(FIND("D",B397)),
VALUE(SUBSTITUTE(MID(B397,FIND("D",B397)+1,FIND("T",B397,FIND("D",B397))-(FIND("D",B397)+1)),"P",",")),
IF(ISNUMBER(FIND("CFW5",B397)),
VALUE(MID(B397,
IF(ISNUMBER(FIND("F",B397)),FIND("F",B397)+1,FIND("G",B397)+1),
FIND("T",B397)-(IF(ISNUMBER(FIND("F",B397)),FIND("F",B397)+1,FIND("G",B397)+1))
)),
VALUE(MID(B397,FIND("E0",B397)+2,FIND("T",B397,FIND("E0",B397))-(FIND("E0",B397)+2)))
))),"")</f>
        <v>88</v>
      </c>
      <c r="G397">
        <f>IFERROR(
IF(ISNUMBER(FIND("T2",B397)),220,
IF(ISNUMBER(FIND("T4",B397)),440,
IF(ISNUMBER(FIND("T5",B397)),575,
IF(ISNUMBER(FIND("T6",B397)),690,"")))),
"")</f>
        <v>440</v>
      </c>
    </row>
    <row r="398" spans="1:7" x14ac:dyDescent="0.25">
      <c r="A398">
        <v>16001449</v>
      </c>
      <c r="B398" t="str">
        <f>VLOOKUP(A398,Planilha2!B:C,2,0)</f>
        <v>INVERSOR NACFW110088T4OTVZ</v>
      </c>
      <c r="C398" t="s">
        <v>1</v>
      </c>
      <c r="D398" t="str">
        <f>VLOOKUP(A398,Planilha2!B:H,7,0)</f>
        <v>LINHA M3</v>
      </c>
      <c r="E398" s="5">
        <v>32600</v>
      </c>
      <c r="F398">
        <f>IFERROR(
IF(ISNUMBER(FIND("CFW110",B398)),
VALUE(MID(B398,FIND("CFW110",B398)+6,FIND("T",B398,FIND("CFW110",B398))-(FIND("CFW110",B398)+6))),
IF(ISNUMBER(FIND("D",B398)),
VALUE(SUBSTITUTE(MID(B398,FIND("D",B398)+1,FIND("T",B398,FIND("D",B398))-(FIND("D",B398)+1)),"P",",")),
IF(ISNUMBER(FIND("CFW5",B398)),
VALUE(MID(B398,
IF(ISNUMBER(FIND("F",B398)),FIND("F",B398)+1,FIND("G",B398)+1),
FIND("T",B398)-(IF(ISNUMBER(FIND("F",B398)),FIND("F",B398)+1,FIND("G",B398)+1))
)),
VALUE(MID(B398,FIND("E0",B398)+2,FIND("T",B398,FIND("E0",B398))-(FIND("E0",B398)+2)))
))),"")</f>
        <v>88</v>
      </c>
      <c r="G398">
        <f>IFERROR(
IF(ISNUMBER(FIND("T2",B398)),220,
IF(ISNUMBER(FIND("T4",B398)),440,
IF(ISNUMBER(FIND("T5",B398)),575,
IF(ISNUMBER(FIND("T6",B398)),690,"")))),
"")</f>
        <v>440</v>
      </c>
    </row>
    <row r="399" spans="1:7" x14ac:dyDescent="0.25">
      <c r="A399">
        <v>15752469</v>
      </c>
      <c r="B399" t="str">
        <f>VLOOKUP(A399,Planilha2!B:C,2,0)</f>
        <v>INVERSOR EUCFW110105T2OFATVZ</v>
      </c>
      <c r="C399" t="s">
        <v>1</v>
      </c>
      <c r="D399" t="str">
        <f>VLOOKUP(A399,Planilha2!B:H,7,0)</f>
        <v>LINHA M3</v>
      </c>
      <c r="E399" s="5">
        <v>31400</v>
      </c>
      <c r="F399">
        <f>IFERROR(
IF(ISNUMBER(FIND("CFW110",B399)),
VALUE(MID(B399,FIND("CFW110",B399)+6,FIND("T",B399,FIND("CFW110",B399))-(FIND("CFW110",B399)+6))),
IF(ISNUMBER(FIND("D",B399)),
VALUE(SUBSTITUTE(MID(B399,FIND("D",B399)+1,FIND("T",B399,FIND("D",B399))-(FIND("D",B399)+1)),"P",",")),
IF(ISNUMBER(FIND("CFW5",B399)),
VALUE(MID(B399,
IF(ISNUMBER(FIND("F",B399)),FIND("F",B399)+1,FIND("G",B399)+1),
FIND("T",B399)-(IF(ISNUMBER(FIND("F",B399)),FIND("F",B399)+1,FIND("G",B399)+1))
)),
VALUE(MID(B399,FIND("E0",B399)+2,FIND("T",B399,FIND("E0",B399))-(FIND("E0",B399)+2)))
))),"")</f>
        <v>105</v>
      </c>
      <c r="G399">
        <f>IFERROR(
IF(ISNUMBER(FIND("T2",B399)),220,
IF(ISNUMBER(FIND("T4",B399)),440,
IF(ISNUMBER(FIND("T5",B399)),575,
IF(ISNUMBER(FIND("T6",B399)),690,"")))),
"")</f>
        <v>220</v>
      </c>
    </row>
    <row r="400" spans="1:7" x14ac:dyDescent="0.25">
      <c r="A400">
        <v>16001281</v>
      </c>
      <c r="B400" t="str">
        <f>VLOOKUP(A400,Planilha2!B:C,2,0)</f>
        <v>INVERSOR NACFW110105T2OTVZ</v>
      </c>
      <c r="C400" t="s">
        <v>1</v>
      </c>
      <c r="D400" t="str">
        <f>VLOOKUP(A400,Planilha2!B:H,7,0)</f>
        <v>LINHA M3</v>
      </c>
      <c r="E400" s="5">
        <v>31400</v>
      </c>
      <c r="F400">
        <f>IFERROR(
IF(ISNUMBER(FIND("CFW110",B400)),
VALUE(MID(B400,FIND("CFW110",B400)+6,FIND("T",B400,FIND("CFW110",B400))-(FIND("CFW110",B400)+6))),
IF(ISNUMBER(FIND("D",B400)),
VALUE(SUBSTITUTE(MID(B400,FIND("D",B400)+1,FIND("T",B400,FIND("D",B400))-(FIND("D",B400)+1)),"P",",")),
IF(ISNUMBER(FIND("CFW5",B400)),
VALUE(MID(B400,
IF(ISNUMBER(FIND("F",B400)),FIND("F",B400)+1,FIND("G",B400)+1),
FIND("T",B400)-(IF(ISNUMBER(FIND("F",B400)),FIND("F",B400)+1,FIND("G",B400)+1))
)),
VALUE(MID(B400,FIND("E0",B400)+2,FIND("T",B400,FIND("E0",B400))-(FIND("E0",B400)+2)))
))),"")</f>
        <v>105</v>
      </c>
      <c r="G400">
        <f>IFERROR(
IF(ISNUMBER(FIND("T2",B400)),220,
IF(ISNUMBER(FIND("T4",B400)),440,
IF(ISNUMBER(FIND("T5",B400)),575,
IF(ISNUMBER(FIND("T6",B400)),690,"")))),
"")</f>
        <v>220</v>
      </c>
    </row>
    <row r="401" spans="1:7" x14ac:dyDescent="0.25">
      <c r="A401">
        <v>16001283</v>
      </c>
      <c r="B401" t="str">
        <f>VLOOKUP(A401,Planilha2!B:C,2,0)</f>
        <v>INVERSOR NACFW110142T2OTVZ</v>
      </c>
      <c r="C401" t="s">
        <v>1</v>
      </c>
      <c r="D401" t="str">
        <f>VLOOKUP(A401,Planilha2!B:H,7,0)</f>
        <v>LINHA G1</v>
      </c>
      <c r="E401" s="5">
        <v>64000</v>
      </c>
      <c r="F401">
        <f>IFERROR(
IF(ISNUMBER(FIND("CFW110",B401)),
VALUE(MID(B401,FIND("CFW110",B401)+6,FIND("T",B401,FIND("CFW110",B401))-(FIND("CFW110",B401)+6))),
IF(ISNUMBER(FIND("D",B401)),
VALUE(SUBSTITUTE(MID(B401,FIND("D",B401)+1,FIND("T",B401,FIND("D",B401))-(FIND("D",B401)+1)),"P",",")),
IF(ISNUMBER(FIND("CFW5",B401)),
VALUE(MID(B401,
IF(ISNUMBER(FIND("F",B401)),FIND("F",B401)+1,FIND("G",B401)+1),
FIND("T",B401)-(IF(ISNUMBER(FIND("F",B401)),FIND("F",B401)+1,FIND("G",B401)+1))
)),
VALUE(MID(B401,FIND("E0",B401)+2,FIND("T",B401,FIND("E0",B401))-(FIND("E0",B401)+2)))
))),"")</f>
        <v>142</v>
      </c>
      <c r="G401">
        <f>IFERROR(
IF(ISNUMBER(FIND("T2",B401)),220,
IF(ISNUMBER(FIND("T4",B401)),440,
IF(ISNUMBER(FIND("T5",B401)),575,
IF(ISNUMBER(FIND("T6",B401)),690,"")))),
"")</f>
        <v>220</v>
      </c>
    </row>
    <row r="402" spans="1:7" x14ac:dyDescent="0.25">
      <c r="A402">
        <v>15942029</v>
      </c>
      <c r="B402" t="str">
        <f>VLOOKUP(A402,Planilha2!B:C,2,0)</f>
        <v>INVERSOR CFW500F0105T4DB20H13G2</v>
      </c>
      <c r="C402" t="s">
        <v>1</v>
      </c>
      <c r="D402" t="str">
        <f>VLOOKUP(A402,Planilha2!B:H,7,0)</f>
        <v>LINHA M3</v>
      </c>
      <c r="E402" s="5">
        <v>24500</v>
      </c>
      <c r="F402" t="str">
        <f>IFERROR(
IF(ISNUMBER(FIND("CFW110",B402)),
VALUE(MID(B402,FIND("CFW110",B402)+6,FIND("T",B402,FIND("CFW110",B402))-(FIND("CFW110",B402)+6))),
IF(ISNUMBER(FIND("D",B402)),
VALUE(SUBSTITUTE(MID(B402,FIND("D",B402)+1,FIND("T",B402,FIND("D",B402))-(FIND("D",B402)+1)),"P",",")),
IF(ISNUMBER(FIND("CFW5",B402)),
VALUE(MID(B402,
IF(ISNUMBER(FIND("F",B402)),FIND("F",B402)+1,FIND("G",B402)+1),
FIND("T",B402)-(IF(ISNUMBER(FIND("F",B402)),FIND("F",B402)+1,FIND("G",B402)+1))
)),
VALUE(MID(B402,FIND("E0",B402)+2,FIND("T",B402,FIND("E0",B402))-(FIND("E0",B402)+2)))
))),"")</f>
        <v/>
      </c>
      <c r="G402">
        <f>IFERROR(
IF(ISNUMBER(FIND("T2",B402)),220,
IF(ISNUMBER(FIND("T4",B402)),440,
IF(ISNUMBER(FIND("T5",B402)),575,
IF(ISNUMBER(FIND("T6",B402)),690,"")))),
"")</f>
        <v>440</v>
      </c>
    </row>
    <row r="403" spans="1:7" x14ac:dyDescent="0.25">
      <c r="A403">
        <v>15941826</v>
      </c>
      <c r="B403" t="str">
        <f>VLOOKUP(A403,Planilha2!B:C,2,0)</f>
        <v>INVERSOR CFW500F88P0T4DB20H13G2</v>
      </c>
      <c r="C403" t="s">
        <v>1</v>
      </c>
      <c r="D403" t="str">
        <f>VLOOKUP(A403,Planilha2!B:H,7,0)</f>
        <v>LINHA M3</v>
      </c>
      <c r="E403" s="5">
        <v>24500</v>
      </c>
      <c r="F403" t="str">
        <f>IFERROR(
IF(ISNUMBER(FIND("CFW110",B403)),
VALUE(MID(B403,FIND("CFW110",B403)+6,FIND("T",B403,FIND("CFW110",B403))-(FIND("CFW110",B403)+6))),
IF(ISNUMBER(FIND("D",B403)),
VALUE(SUBSTITUTE(MID(B403,FIND("D",B403)+1,FIND("T",B403,FIND("D",B403))-(FIND("D",B403)+1)),"P",",")),
IF(ISNUMBER(FIND("CFW5",B403)),
VALUE(MID(B403,
IF(ISNUMBER(FIND("F",B403)),FIND("F",B403)+1,FIND("G",B403)+1),
FIND("T",B403)-(IF(ISNUMBER(FIND("F",B403)),FIND("F",B403)+1,FIND("G",B403)+1))
)),
VALUE(MID(B403,FIND("E0",B403)+2,FIND("T",B403,FIND("E0",B403))-(FIND("E0",B403)+2)))
))),"")</f>
        <v/>
      </c>
      <c r="G403">
        <f>IFERROR(
IF(ISNUMBER(FIND("T2",B403)),220,
IF(ISNUMBER(FIND("T4",B403)),440,
IF(ISNUMBER(FIND("T5",B403)),575,
IF(ISNUMBER(FIND("T6",B403)),690,"")))),
"")</f>
        <v>440</v>
      </c>
    </row>
    <row r="404" spans="1:7" x14ac:dyDescent="0.25">
      <c r="A404">
        <v>15941825</v>
      </c>
      <c r="B404" t="str">
        <f>VLOOKUP(A404,Planilha2!B:C,2,0)</f>
        <v>INVERSOR CFW500F77P0T4DB20H13G2</v>
      </c>
      <c r="C404" t="s">
        <v>1</v>
      </c>
      <c r="D404" t="str">
        <f>VLOOKUP(A404,Planilha2!B:H,7,0)</f>
        <v>LINHA M3</v>
      </c>
      <c r="E404" s="5">
        <v>24500</v>
      </c>
      <c r="F404" t="str">
        <f>IFERROR(
IF(ISNUMBER(FIND("CFW110",B404)),
VALUE(MID(B404,FIND("CFW110",B404)+6,FIND("T",B404,FIND("CFW110",B404))-(FIND("CFW110",B404)+6))),
IF(ISNUMBER(FIND("D",B404)),
VALUE(SUBSTITUTE(MID(B404,FIND("D",B404)+1,FIND("T",B404,FIND("D",B404))-(FIND("D",B404)+1)),"P",",")),
IF(ISNUMBER(FIND("CFW5",B404)),
VALUE(MID(B404,
IF(ISNUMBER(FIND("F",B404)),FIND("F",B404)+1,FIND("G",B404)+1),
FIND("T",B404)-(IF(ISNUMBER(FIND("F",B404)),FIND("F",B404)+1,FIND("G",B404)+1))
)),
VALUE(MID(B404,FIND("E0",B404)+2,FIND("T",B404,FIND("E0",B404))-(FIND("E0",B404)+2)))
))),"")</f>
        <v/>
      </c>
      <c r="G404">
        <f>IFERROR(
IF(ISNUMBER(FIND("T2",B404)),220,
IF(ISNUMBER(FIND("T4",B404)),440,
IF(ISNUMBER(FIND("T5",B404)),575,
IF(ISNUMBER(FIND("T6",B404)),690,"")))),
"")</f>
        <v>440</v>
      </c>
    </row>
    <row r="405" spans="1:7" x14ac:dyDescent="0.25">
      <c r="A405">
        <v>15822426</v>
      </c>
      <c r="B405" t="str">
        <f>VLOOKUP(A405,Planilha2!B:C,2,0)</f>
        <v>INVERSOR CFW500F88P0T4DB20C3H13G2</v>
      </c>
      <c r="C405" t="s">
        <v>1</v>
      </c>
      <c r="D405" t="str">
        <f>VLOOKUP(A405,Planilha2!B:H,7,0)</f>
        <v>LINHA M3</v>
      </c>
      <c r="E405" s="5">
        <v>25000</v>
      </c>
      <c r="F405" t="str">
        <f>IFERROR(
IF(ISNUMBER(FIND("CFW110",B405)),
VALUE(MID(B405,FIND("CFW110",B405)+6,FIND("T",B405,FIND("CFW110",B405))-(FIND("CFW110",B405)+6))),
IF(ISNUMBER(FIND("D",B405)),
VALUE(SUBSTITUTE(MID(B405,FIND("D",B405)+1,FIND("T",B405,FIND("D",B405))-(FIND("D",B405)+1)),"P",",")),
IF(ISNUMBER(FIND("CFW5",B405)),
VALUE(MID(B405,
IF(ISNUMBER(FIND("F",B405)),FIND("F",B405)+1,FIND("G",B405)+1),
FIND("T",B405)-(IF(ISNUMBER(FIND("F",B405)),FIND("F",B405)+1,FIND("G",B405)+1))
)),
VALUE(MID(B405,FIND("E0",B405)+2,FIND("T",B405,FIND("E0",B405))-(FIND("E0",B405)+2)))
))),"")</f>
        <v/>
      </c>
      <c r="G405">
        <f>IFERROR(
IF(ISNUMBER(FIND("T2",B405)),220,
IF(ISNUMBER(FIND("T4",B405)),440,
IF(ISNUMBER(FIND("T5",B405)),575,
IF(ISNUMBER(FIND("T6",B405)),690,"")))),
"")</f>
        <v>440</v>
      </c>
    </row>
    <row r="406" spans="1:7" x14ac:dyDescent="0.25">
      <c r="A406">
        <v>15822327</v>
      </c>
      <c r="B406" t="str">
        <f>VLOOKUP(A406,Planilha2!B:C,2,0)</f>
        <v>INVERSOR CFW500F77P0T4DB20C3H13G2</v>
      </c>
      <c r="C406" t="s">
        <v>1</v>
      </c>
      <c r="D406" t="str">
        <f>VLOOKUP(A406,Planilha2!B:H,7,0)</f>
        <v>LINHA M3</v>
      </c>
      <c r="E406" s="5">
        <v>25000</v>
      </c>
      <c r="F406" t="str">
        <f>IFERROR(
IF(ISNUMBER(FIND("CFW110",B406)),
VALUE(MID(B406,FIND("CFW110",B406)+6,FIND("T",B406,FIND("CFW110",B406))-(FIND("CFW110",B406)+6))),
IF(ISNUMBER(FIND("D",B406)),
VALUE(SUBSTITUTE(MID(B406,FIND("D",B406)+1,FIND("T",B406,FIND("D",B406))-(FIND("D",B406)+1)),"P",",")),
IF(ISNUMBER(FIND("CFW5",B406)),
VALUE(MID(B406,
IF(ISNUMBER(FIND("F",B406)),FIND("F",B406)+1,FIND("G",B406)+1),
FIND("T",B406)-(IF(ISNUMBER(FIND("F",B406)),FIND("F",B406)+1,FIND("G",B406)+1))
)),
VALUE(MID(B406,FIND("E0",B406)+2,FIND("T",B406,FIND("E0",B406))-(FIND("E0",B406)+2)))
))),"")</f>
        <v/>
      </c>
      <c r="G406">
        <f>IFERROR(
IF(ISNUMBER(FIND("T2",B406)),220,
IF(ISNUMBER(FIND("T4",B406)),440,
IF(ISNUMBER(FIND("T5",B406)),575,
IF(ISNUMBER(FIND("T6",B406)),690,"")))),
"")</f>
        <v>440</v>
      </c>
    </row>
    <row r="407" spans="1:7" x14ac:dyDescent="0.25">
      <c r="A407">
        <v>15822443</v>
      </c>
      <c r="B407" t="str">
        <f>VLOOKUP(A407,Planilha2!B:C,2,0)</f>
        <v>INVERSOR CFW500F0105T4DB20C3H13G2</v>
      </c>
      <c r="C407" t="s">
        <v>1</v>
      </c>
      <c r="D407" t="str">
        <f>VLOOKUP(A407,Planilha2!B:H,7,0)</f>
        <v>LINHA M3</v>
      </c>
      <c r="E407" s="5">
        <v>25000</v>
      </c>
      <c r="F407" t="str">
        <f>IFERROR(
IF(ISNUMBER(FIND("CFW110",B407)),
VALUE(MID(B407,FIND("CFW110",B407)+6,FIND("T",B407,FIND("CFW110",B407))-(FIND("CFW110",B407)+6))),
IF(ISNUMBER(FIND("D",B407)),
VALUE(SUBSTITUTE(MID(B407,FIND("D",B407)+1,FIND("T",B407,FIND("D",B407))-(FIND("D",B407)+1)),"P",",")),
IF(ISNUMBER(FIND("CFW5",B407)),
VALUE(MID(B407,
IF(ISNUMBER(FIND("F",B407)),FIND("F",B407)+1,FIND("G",B407)+1),
FIND("T",B407)-(IF(ISNUMBER(FIND("F",B407)),FIND("F",B407)+1,FIND("G",B407)+1))
)),
VALUE(MID(B407,FIND("E0",B407)+2,FIND("T",B407,FIND("E0",B407))-(FIND("E0",B407)+2)))
))),"")</f>
        <v/>
      </c>
      <c r="G407">
        <f>IFERROR(
IF(ISNUMBER(FIND("T2",B407)),220,
IF(ISNUMBER(FIND("T4",B407)),440,
IF(ISNUMBER(FIND("T5",B407)),575,
IF(ISNUMBER(FIND("T6",B407)),690,"")))),
"")</f>
        <v>440</v>
      </c>
    </row>
    <row r="408" spans="1:7" x14ac:dyDescent="0.25">
      <c r="A408">
        <v>16080631</v>
      </c>
      <c r="B408" t="str">
        <f>VLOOKUP(A408,Planilha2!B:C,2,0)</f>
        <v>INVERSOR CFW500F0105T2DB20H13G2</v>
      </c>
      <c r="C408" t="s">
        <v>1</v>
      </c>
      <c r="D408" t="str">
        <f>VLOOKUP(A408,Planilha2!B:H,7,0)</f>
        <v>LINHA M3</v>
      </c>
      <c r="E408" s="5">
        <v>24500</v>
      </c>
      <c r="F408" t="str">
        <f>IFERROR(
IF(ISNUMBER(FIND("CFW110",B408)),
VALUE(MID(B408,FIND("CFW110",B408)+6,FIND("T",B408,FIND("CFW110",B408))-(FIND("CFW110",B408)+6))),
IF(ISNUMBER(FIND("D",B408)),
VALUE(SUBSTITUTE(MID(B408,FIND("D",B408)+1,FIND("T",B408,FIND("D",B408))-(FIND("D",B408)+1)),"P",",")),
IF(ISNUMBER(FIND("CFW5",B408)),
VALUE(MID(B408,
IF(ISNUMBER(FIND("F",B408)),FIND("F",B408)+1,FIND("G",B408)+1),
FIND("T",B408)-(IF(ISNUMBER(FIND("F",B408)),FIND("F",B408)+1,FIND("G",B408)+1))
)),
VALUE(MID(B408,FIND("E0",B408)+2,FIND("T",B408,FIND("E0",B408))-(FIND("E0",B408)+2)))
))),"")</f>
        <v/>
      </c>
      <c r="G408">
        <f>IFERROR(
IF(ISNUMBER(FIND("T2",B408)),220,
IF(ISNUMBER(FIND("T4",B408)),440,
IF(ISNUMBER(FIND("T5",B408)),575,
IF(ISNUMBER(FIND("T6",B408)),690,"")))),
"")</f>
        <v>220</v>
      </c>
    </row>
    <row r="409" spans="1:7" x14ac:dyDescent="0.25">
      <c r="A409">
        <v>16080567</v>
      </c>
      <c r="B409" t="str">
        <f>VLOOKUP(A409,Planilha2!B:C,2,0)</f>
        <v>INVERSOR CFW500F88P0T2DB20H13G2</v>
      </c>
      <c r="C409" t="s">
        <v>1</v>
      </c>
      <c r="D409" t="str">
        <f>VLOOKUP(A409,Planilha2!B:H,7,0)</f>
        <v>LINHA M3</v>
      </c>
      <c r="E409" s="5">
        <v>24500</v>
      </c>
      <c r="F409" t="str">
        <f>IFERROR(
IF(ISNUMBER(FIND("CFW110",B409)),
VALUE(MID(B409,FIND("CFW110",B409)+6,FIND("T",B409,FIND("CFW110",B409))-(FIND("CFW110",B409)+6))),
IF(ISNUMBER(FIND("D",B409)),
VALUE(SUBSTITUTE(MID(B409,FIND("D",B409)+1,FIND("T",B409,FIND("D",B409))-(FIND("D",B409)+1)),"P",",")),
IF(ISNUMBER(FIND("CFW5",B409)),
VALUE(MID(B409,
IF(ISNUMBER(FIND("F",B409)),FIND("F",B409)+1,FIND("G",B409)+1),
FIND("T",B409)-(IF(ISNUMBER(FIND("F",B409)),FIND("F",B409)+1,FIND("G",B409)+1))
)),
VALUE(MID(B409,FIND("E0",B409)+2,FIND("T",B409,FIND("E0",B409))-(FIND("E0",B409)+2)))
))),"")</f>
        <v/>
      </c>
      <c r="G409">
        <f>IFERROR(
IF(ISNUMBER(FIND("T2",B409)),220,
IF(ISNUMBER(FIND("T4",B409)),440,
IF(ISNUMBER(FIND("T5",B409)),575,
IF(ISNUMBER(FIND("T6",B409)),690,"")))),
"")</f>
        <v>220</v>
      </c>
    </row>
    <row r="410" spans="1:7" x14ac:dyDescent="0.25">
      <c r="A410">
        <v>16080417</v>
      </c>
      <c r="B410" t="str">
        <f>VLOOKUP(A410,Planilha2!B:C,2,0)</f>
        <v>INVERSOR CFW500F77P0T2DB20H13G2</v>
      </c>
      <c r="C410" t="s">
        <v>1</v>
      </c>
      <c r="D410" t="str">
        <f>VLOOKUP(A410,Planilha2!B:H,7,0)</f>
        <v>LINHA M3</v>
      </c>
      <c r="E410" s="5">
        <v>24500</v>
      </c>
      <c r="F410" t="str">
        <f>IFERROR(
IF(ISNUMBER(FIND("CFW110",B410)),
VALUE(MID(B410,FIND("CFW110",B410)+6,FIND("T",B410,FIND("CFW110",B410))-(FIND("CFW110",B410)+6))),
IF(ISNUMBER(FIND("D",B410)),
VALUE(SUBSTITUTE(MID(B410,FIND("D",B410)+1,FIND("T",B410,FIND("D",B410))-(FIND("D",B410)+1)),"P",",")),
IF(ISNUMBER(FIND("CFW5",B410)),
VALUE(MID(B410,
IF(ISNUMBER(FIND("F",B410)),FIND("F",B410)+1,FIND("G",B410)+1),
FIND("T",B410)-(IF(ISNUMBER(FIND("F",B410)),FIND("F",B410)+1,FIND("G",B410)+1))
)),
VALUE(MID(B410,FIND("E0",B410)+2,FIND("T",B410,FIND("E0",B410))-(FIND("E0",B410)+2)))
))),"")</f>
        <v/>
      </c>
      <c r="G410">
        <f>IFERROR(
IF(ISNUMBER(FIND("T2",B410)),220,
IF(ISNUMBER(FIND("T4",B410)),440,
IF(ISNUMBER(FIND("T5",B410)),575,
IF(ISNUMBER(FIND("T6",B410)),690,"")))),
"")</f>
        <v>220</v>
      </c>
    </row>
    <row r="411" spans="1:7" x14ac:dyDescent="0.25">
      <c r="A411">
        <v>15876611</v>
      </c>
      <c r="B411" t="str">
        <f>VLOOKUP(A411,Planilha2!B:C,2,0)</f>
        <v>INVERSOR CFW500F0105T2DB20H11SIG2</v>
      </c>
      <c r="C411" t="s">
        <v>1</v>
      </c>
      <c r="D411" t="str">
        <f>VLOOKUP(A411,Planilha2!B:H,7,0)</f>
        <v>LINHA M3</v>
      </c>
      <c r="E411" s="5">
        <v>24500</v>
      </c>
      <c r="F411" t="str">
        <f>IFERROR(
IF(ISNUMBER(FIND("CFW110",B411)),
VALUE(MID(B411,FIND("CFW110",B411)+6,FIND("T",B411,FIND("CFW110",B411))-(FIND("CFW110",B411)+6))),
IF(ISNUMBER(FIND("D",B411)),
VALUE(SUBSTITUTE(MID(B411,FIND("D",B411)+1,FIND("T",B411,FIND("D",B411))-(FIND("D",B411)+1)),"P",",")),
IF(ISNUMBER(FIND("CFW5",B411)),
VALUE(MID(B411,
IF(ISNUMBER(FIND("F",B411)),FIND("F",B411)+1,FIND("G",B411)+1),
FIND("T",B411)-(IF(ISNUMBER(FIND("F",B411)),FIND("F",B411)+1,FIND("G",B411)+1))
)),
VALUE(MID(B411,FIND("E0",B411)+2,FIND("T",B411,FIND("E0",B411))-(FIND("E0",B411)+2)))
))),"")</f>
        <v/>
      </c>
      <c r="G411">
        <f>IFERROR(
IF(ISNUMBER(FIND("T2",B411)),220,
IF(ISNUMBER(FIND("T4",B411)),440,
IF(ISNUMBER(FIND("T5",B411)),575,
IF(ISNUMBER(FIND("T6",B411)),690,"")))),
"")</f>
        <v>220</v>
      </c>
    </row>
    <row r="412" spans="1:7" x14ac:dyDescent="0.25">
      <c r="A412">
        <v>15911230</v>
      </c>
      <c r="B412" t="str">
        <f>VLOOKUP(A412,Planilha2!B:C,2,0)</f>
        <v>INVERSOR CFW500G0142T4DB20H13G2</v>
      </c>
      <c r="C412" t="s">
        <v>1</v>
      </c>
      <c r="D412" t="str">
        <f>VLOOKUP(A412,Planilha2!B:H,7,0)</f>
        <v>LINHA G1</v>
      </c>
      <c r="E412" s="5">
        <v>30000</v>
      </c>
      <c r="F412" t="str">
        <f>IFERROR(
IF(ISNUMBER(FIND("CFW110",B412)),
VALUE(MID(B412,FIND("CFW110",B412)+6,FIND("T",B412,FIND("CFW110",B412))-(FIND("CFW110",B412)+6))),
IF(ISNUMBER(FIND("D",B412)),
VALUE(SUBSTITUTE(MID(B412,FIND("D",B412)+1,FIND("T",B412,FIND("D",B412))-(FIND("D",B412)+1)),"P",",")),
IF(ISNUMBER(FIND("CFW5",B412)),
VALUE(MID(B412,
IF(ISNUMBER(FIND("F",B412)),FIND("F",B412)+1,FIND("G",B412)+1),
FIND("T",B412)-(IF(ISNUMBER(FIND("F",B412)),FIND("F",B412)+1,FIND("G",B412)+1))
)),
VALUE(MID(B412,FIND("E0",B412)+2,FIND("T",B412,FIND("E0",B412))-(FIND("E0",B412)+2)))
))),"")</f>
        <v/>
      </c>
      <c r="G412">
        <f>IFERROR(
IF(ISNUMBER(FIND("T2",B412)),220,
IF(ISNUMBER(FIND("T4",B412)),440,
IF(ISNUMBER(FIND("T5",B412)),575,
IF(ISNUMBER(FIND("T6",B412)),690,"")))),
"")</f>
        <v>440</v>
      </c>
    </row>
    <row r="413" spans="1:7" x14ac:dyDescent="0.25">
      <c r="A413">
        <v>15911237</v>
      </c>
      <c r="B413" t="str">
        <f>VLOOKUP(A413,Planilha2!B:C,2,0)</f>
        <v>INVERSOR CFW500G0180T4DB20H13G2</v>
      </c>
      <c r="C413" t="s">
        <v>1</v>
      </c>
      <c r="D413" t="str">
        <f>VLOOKUP(A413,Planilha2!B:H,7,0)</f>
        <v>LINHA G1</v>
      </c>
      <c r="E413" s="5">
        <v>30000</v>
      </c>
      <c r="F413" t="str">
        <f>IFERROR(
IF(ISNUMBER(FIND("CFW110",B413)),
VALUE(MID(B413,FIND("CFW110",B413)+6,FIND("T",B413,FIND("CFW110",B413))-(FIND("CFW110",B413)+6))),
IF(ISNUMBER(FIND("D",B413)),
VALUE(SUBSTITUTE(MID(B413,FIND("D",B413)+1,FIND("T",B413,FIND("D",B413))-(FIND("D",B413)+1)),"P",",")),
IF(ISNUMBER(FIND("CFW5",B413)),
VALUE(MID(B413,
IF(ISNUMBER(FIND("F",B413)),FIND("F",B413)+1,FIND("G",B413)+1),
FIND("T",B413)-(IF(ISNUMBER(FIND("F",B413)),FIND("F",B413)+1,FIND("G",B413)+1))
)),
VALUE(MID(B413,FIND("E0",B413)+2,FIND("T",B413,FIND("E0",B413))-(FIND("E0",B413)+2)))
))),"")</f>
        <v/>
      </c>
      <c r="G413">
        <f>IFERROR(
IF(ISNUMBER(FIND("T2",B413)),220,
IF(ISNUMBER(FIND("T4",B413)),440,
IF(ISNUMBER(FIND("T5",B413)),575,
IF(ISNUMBER(FIND("T6",B413)),690,"")))),
"")</f>
        <v>440</v>
      </c>
    </row>
    <row r="414" spans="1:7" x14ac:dyDescent="0.25">
      <c r="A414">
        <v>15911289</v>
      </c>
      <c r="B414" t="str">
        <f>VLOOKUP(A414,Planilha2!B:C,2,0)</f>
        <v>INVERSOR CFW500G0211T4DB20H13G2</v>
      </c>
      <c r="C414" t="s">
        <v>1</v>
      </c>
      <c r="D414" t="str">
        <f>VLOOKUP(A414,Planilha2!B:H,7,0)</f>
        <v>LINHA G1</v>
      </c>
      <c r="E414" s="5">
        <v>30000</v>
      </c>
      <c r="F414" t="str">
        <f>IFERROR(
IF(ISNUMBER(FIND("CFW110",B414)),
VALUE(MID(B414,FIND("CFW110",B414)+6,FIND("T",B414,FIND("CFW110",B414))-(FIND("CFW110",B414)+6))),
IF(ISNUMBER(FIND("D",B414)),
VALUE(SUBSTITUTE(MID(B414,FIND("D",B414)+1,FIND("T",B414,FIND("D",B414))-(FIND("D",B414)+1)),"P",",")),
IF(ISNUMBER(FIND("CFW5",B414)),
VALUE(MID(B414,
IF(ISNUMBER(FIND("F",B414)),FIND("F",B414)+1,FIND("G",B414)+1),
FIND("T",B414)-(IF(ISNUMBER(FIND("F",B414)),FIND("F",B414)+1,FIND("G",B414)+1))
)),
VALUE(MID(B414,FIND("E0",B414)+2,FIND("T",B414,FIND("E0",B414))-(FIND("E0",B414)+2)))
))),"")</f>
        <v/>
      </c>
      <c r="G414">
        <f>IFERROR(
IF(ISNUMBER(FIND("T2",B414)),220,
IF(ISNUMBER(FIND("T4",B414)),440,
IF(ISNUMBER(FIND("T5",B414)),575,
IF(ISNUMBER(FIND("T6",B414)),690,"")))),
"")</f>
        <v>440</v>
      </c>
    </row>
    <row r="415" spans="1:7" x14ac:dyDescent="0.25">
      <c r="A415">
        <v>16083100</v>
      </c>
      <c r="B415" t="str">
        <f>VLOOKUP(A415,Planilha2!B:C,2,0)</f>
        <v>INVERSOR CFW500G0211T2DB20H13G2</v>
      </c>
      <c r="C415" t="s">
        <v>1</v>
      </c>
      <c r="D415" t="str">
        <f>VLOOKUP(A415,Planilha2!B:H,7,0)</f>
        <v>LINHA G1</v>
      </c>
      <c r="E415" s="5">
        <v>45000</v>
      </c>
      <c r="F415" t="str">
        <f>IFERROR(
IF(ISNUMBER(FIND("CFW110",B415)),
VALUE(MID(B415,FIND("CFW110",B415)+6,FIND("T",B415,FIND("CFW110",B415))-(FIND("CFW110",B415)+6))),
IF(ISNUMBER(FIND("D",B415)),
VALUE(SUBSTITUTE(MID(B415,FIND("D",B415)+1,FIND("T",B415,FIND("D",B415))-(FIND("D",B415)+1)),"P",",")),
IF(ISNUMBER(FIND("CFW5",B415)),
VALUE(MID(B415,
IF(ISNUMBER(FIND("F",B415)),FIND("F",B415)+1,FIND("G",B415)+1),
FIND("T",B415)-(IF(ISNUMBER(FIND("F",B415)),FIND("F",B415)+1,FIND("G",B415)+1))
)),
VALUE(MID(B415,FIND("E0",B415)+2,FIND("T",B415,FIND("E0",B415))-(FIND("E0",B415)+2)))
))),"")</f>
        <v/>
      </c>
      <c r="G415">
        <f>IFERROR(
IF(ISNUMBER(FIND("T2",B415)),220,
IF(ISNUMBER(FIND("T4",B415)),440,
IF(ISNUMBER(FIND("T5",B415)),575,
IF(ISNUMBER(FIND("T6",B415)),690,"")))),
"")</f>
        <v>220</v>
      </c>
    </row>
    <row r="416" spans="1:7" x14ac:dyDescent="0.25">
      <c r="A416">
        <v>16083067</v>
      </c>
      <c r="B416" t="str">
        <f>VLOOKUP(A416,Planilha2!B:C,2,0)</f>
        <v>INVERSOR CFW500G0180T2DB20H13G2</v>
      </c>
      <c r="C416" t="s">
        <v>1</v>
      </c>
      <c r="D416" t="str">
        <f>VLOOKUP(A416,Planilha2!B:H,7,0)</f>
        <v>LINHA G1</v>
      </c>
      <c r="E416" s="5">
        <v>45000</v>
      </c>
      <c r="F416" t="str">
        <f>IFERROR(
IF(ISNUMBER(FIND("CFW110",B416)),
VALUE(MID(B416,FIND("CFW110",B416)+6,FIND("T",B416,FIND("CFW110",B416))-(FIND("CFW110",B416)+6))),
IF(ISNUMBER(FIND("D",B416)),
VALUE(SUBSTITUTE(MID(B416,FIND("D",B416)+1,FIND("T",B416,FIND("D",B416))-(FIND("D",B416)+1)),"P",",")),
IF(ISNUMBER(FIND("CFW5",B416)),
VALUE(MID(B416,
IF(ISNUMBER(FIND("F",B416)),FIND("F",B416)+1,FIND("G",B416)+1),
FIND("T",B416)-(IF(ISNUMBER(FIND("F",B416)),FIND("F",B416)+1,FIND("G",B416)+1))
)),
VALUE(MID(B416,FIND("E0",B416)+2,FIND("T",B416,FIND("E0",B416))-(FIND("E0",B416)+2)))
))),"")</f>
        <v/>
      </c>
      <c r="G416">
        <f>IFERROR(
IF(ISNUMBER(FIND("T2",B416)),220,
IF(ISNUMBER(FIND("T4",B416)),440,
IF(ISNUMBER(FIND("T5",B416)),575,
IF(ISNUMBER(FIND("T6",B416)),690,"")))),
"")</f>
        <v>220</v>
      </c>
    </row>
    <row r="417" spans="1:7" x14ac:dyDescent="0.25">
      <c r="A417">
        <v>16082958</v>
      </c>
      <c r="B417" t="str">
        <f>VLOOKUP(A417,Planilha2!B:C,2,0)</f>
        <v>INVERSOR CFW500G0145T2DB20H13G2</v>
      </c>
      <c r="C417" t="s">
        <v>1</v>
      </c>
      <c r="D417" t="str">
        <f>VLOOKUP(A417,Planilha2!B:H,7,0)</f>
        <v>LINHA G1</v>
      </c>
      <c r="E417" s="5">
        <v>45000</v>
      </c>
      <c r="F417" t="str">
        <f>IFERROR(
IF(ISNUMBER(FIND("CFW110",B417)),
VALUE(MID(B417,FIND("CFW110",B417)+6,FIND("T",B417,FIND("CFW110",B417))-(FIND("CFW110",B417)+6))),
IF(ISNUMBER(FIND("D",B417)),
VALUE(SUBSTITUTE(MID(B417,FIND("D",B417)+1,FIND("T",B417,FIND("D",B417))-(FIND("D",B417)+1)),"P",",")),
IF(ISNUMBER(FIND("CFW5",B417)),
VALUE(MID(B417,
IF(ISNUMBER(FIND("F",B417)),FIND("F",B417)+1,FIND("G",B417)+1),
FIND("T",B417)-(IF(ISNUMBER(FIND("F",B417)),FIND("F",B417)+1,FIND("G",B417)+1))
)),
VALUE(MID(B417,FIND("E0",B417)+2,FIND("T",B417,FIND("E0",B417))-(FIND("E0",B417)+2)))
))),"")</f>
        <v/>
      </c>
      <c r="G417">
        <f>IFERROR(
IF(ISNUMBER(FIND("T2",B417)),220,
IF(ISNUMBER(FIND("T4",B417)),440,
IF(ISNUMBER(FIND("T5",B417)),575,
IF(ISNUMBER(FIND("T6",B417)),690,"")))),
"")</f>
        <v>220</v>
      </c>
    </row>
    <row r="418" spans="1:7" x14ac:dyDescent="0.25">
      <c r="A418">
        <v>16082874</v>
      </c>
      <c r="B418" t="str">
        <f>VLOOKUP(A418,Planilha2!B:C,2,0)</f>
        <v>INVERSOR CFW500G0211T2NB20H13G2</v>
      </c>
      <c r="C418" t="s">
        <v>1</v>
      </c>
      <c r="D418" t="str">
        <f>VLOOKUP(A418,Planilha2!B:H,7,0)</f>
        <v>LINHA G1</v>
      </c>
      <c r="E418" s="5">
        <v>45000</v>
      </c>
      <c r="F418" t="str">
        <f>IFERROR(
IF(ISNUMBER(FIND("CFW110",B418)),
VALUE(MID(B418,FIND("CFW110",B418)+6,FIND("T",B418,FIND("CFW110",B418))-(FIND("CFW110",B418)+6))),
IF(ISNUMBER(FIND("D",B418)),
VALUE(SUBSTITUTE(MID(B418,FIND("D",B418)+1,FIND("T",B418,FIND("D",B418))-(FIND("D",B418)+1)),"P",",")),
IF(ISNUMBER(FIND("CFW5",B418)),
VALUE(MID(B418,
IF(ISNUMBER(FIND("F",B418)),FIND("F",B418)+1,FIND("G",B418)+1),
FIND("T",B418)-(IF(ISNUMBER(FIND("F",B418)),FIND("F",B418)+1,FIND("G",B418)+1))
)),
VALUE(MID(B418,FIND("E0",B418)+2,FIND("T",B418,FIND("E0",B418))-(FIND("E0",B418)+2)))
))),"")</f>
        <v/>
      </c>
      <c r="G418">
        <f>IFERROR(
IF(ISNUMBER(FIND("T2",B418)),220,
IF(ISNUMBER(FIND("T4",B418)),440,
IF(ISNUMBER(FIND("T5",B418)),575,
IF(ISNUMBER(FIND("T6",B418)),690,"")))),
"")</f>
        <v>220</v>
      </c>
    </row>
    <row r="419" spans="1:7" x14ac:dyDescent="0.25">
      <c r="A419">
        <v>16082871</v>
      </c>
      <c r="B419" t="str">
        <f>VLOOKUP(A419,Planilha2!B:C,2,0)</f>
        <v>INVERSOR CFW500G0180T2NB20H13G2</v>
      </c>
      <c r="C419" t="s">
        <v>1</v>
      </c>
      <c r="D419" t="str">
        <f>VLOOKUP(A419,Planilha2!B:H,7,0)</f>
        <v>LINHA G1</v>
      </c>
      <c r="E419" s="5">
        <v>45000</v>
      </c>
      <c r="F419" t="str">
        <f>IFERROR(
IF(ISNUMBER(FIND("CFW110",B419)),
VALUE(MID(B419,FIND("CFW110",B419)+6,FIND("T",B419,FIND("CFW110",B419))-(FIND("CFW110",B419)+6))),
IF(ISNUMBER(FIND("D",B419)),
VALUE(SUBSTITUTE(MID(B419,FIND("D",B419)+1,FIND("T",B419,FIND("D",B419))-(FIND("D",B419)+1)),"P",",")),
IF(ISNUMBER(FIND("CFW5",B419)),
VALUE(MID(B419,
IF(ISNUMBER(FIND("F",B419)),FIND("F",B419)+1,FIND("G",B419)+1),
FIND("T",B419)-(IF(ISNUMBER(FIND("F",B419)),FIND("F",B419)+1,FIND("G",B419)+1))
)),
VALUE(MID(B419,FIND("E0",B419)+2,FIND("T",B419,FIND("E0",B419))-(FIND("E0",B419)+2)))
))),"")</f>
        <v/>
      </c>
      <c r="G419">
        <f>IFERROR(
IF(ISNUMBER(FIND("T2",B419)),220,
IF(ISNUMBER(FIND("T4",B419)),440,
IF(ISNUMBER(FIND("T5",B419)),575,
IF(ISNUMBER(FIND("T6",B419)),690,"")))),
"")</f>
        <v>220</v>
      </c>
    </row>
    <row r="420" spans="1:7" x14ac:dyDescent="0.25">
      <c r="A420">
        <v>16082807</v>
      </c>
      <c r="B420" t="str">
        <f>VLOOKUP(A420,Planilha2!B:C,2,0)</f>
        <v>INVERSOR CFW500G0145T2NB20H13G2</v>
      </c>
      <c r="C420" t="s">
        <v>1</v>
      </c>
      <c r="D420" t="str">
        <f>VLOOKUP(A420,Planilha2!B:H,7,0)</f>
        <v>LINHA G1</v>
      </c>
      <c r="E420" s="5">
        <v>45000</v>
      </c>
      <c r="F420" t="str">
        <f>IFERROR(
IF(ISNUMBER(FIND("CFW110",B420)),
VALUE(MID(B420,FIND("CFW110",B420)+6,FIND("T",B420,FIND("CFW110",B420))-(FIND("CFW110",B420)+6))),
IF(ISNUMBER(FIND("D",B420)),
VALUE(SUBSTITUTE(MID(B420,FIND("D",B420)+1,FIND("T",B420,FIND("D",B420))-(FIND("D",B420)+1)),"P",",")),
IF(ISNUMBER(FIND("CFW5",B420)),
VALUE(MID(B420,
IF(ISNUMBER(FIND("F",B420)),FIND("F",B420)+1,FIND("G",B420)+1),
FIND("T",B420)-(IF(ISNUMBER(FIND("F",B420)),FIND("F",B420)+1,FIND("G",B420)+1))
)),
VALUE(MID(B420,FIND("E0",B420)+2,FIND("T",B420,FIND("E0",B420))-(FIND("E0",B420)+2)))
))),"")</f>
        <v/>
      </c>
      <c r="G420">
        <f>IFERROR(
IF(ISNUMBER(FIND("T2",B420)),220,
IF(ISNUMBER(FIND("T4",B420)),440,
IF(ISNUMBER(FIND("T5",B420)),575,
IF(ISNUMBER(FIND("T6",B420)),690,"")))),
"")</f>
        <v>220</v>
      </c>
    </row>
    <row r="421" spans="1:7" x14ac:dyDescent="0.25">
      <c r="A421">
        <v>15911228</v>
      </c>
      <c r="B421" t="str">
        <f>VLOOKUP(A421,Planilha2!B:C,2,0)</f>
        <v>INVERSOR CFW500G0211T4NB20H13G2</v>
      </c>
      <c r="C421" t="s">
        <v>1</v>
      </c>
      <c r="D421" t="str">
        <f>VLOOKUP(A421,Planilha2!B:H,7,0)</f>
        <v>LINHA G1</v>
      </c>
      <c r="E421" s="5">
        <v>30000</v>
      </c>
      <c r="F421" t="str">
        <f>IFERROR(
IF(ISNUMBER(FIND("CFW110",B421)),
VALUE(MID(B421,FIND("CFW110",B421)+6,FIND("T",B421,FIND("CFW110",B421))-(FIND("CFW110",B421)+6))),
IF(ISNUMBER(FIND("D",B421)),
VALUE(SUBSTITUTE(MID(B421,FIND("D",B421)+1,FIND("T",B421,FIND("D",B421))-(FIND("D",B421)+1)),"P",",")),
IF(ISNUMBER(FIND("CFW5",B421)),
VALUE(MID(B421,
IF(ISNUMBER(FIND("F",B421)),FIND("F",B421)+1,FIND("G",B421)+1),
FIND("T",B421)-(IF(ISNUMBER(FIND("F",B421)),FIND("F",B421)+1,FIND("G",B421)+1))
)),
VALUE(MID(B421,FIND("E0",B421)+2,FIND("T",B421,FIND("E0",B421))-(FIND("E0",B421)+2)))
))),"")</f>
        <v/>
      </c>
      <c r="G421">
        <f>IFERROR(
IF(ISNUMBER(FIND("T2",B421)),220,
IF(ISNUMBER(FIND("T4",B421)),440,
IF(ISNUMBER(FIND("T5",B421)),575,
IF(ISNUMBER(FIND("T6",B421)),690,"")))),
"")</f>
        <v>440</v>
      </c>
    </row>
    <row r="422" spans="1:7" x14ac:dyDescent="0.25">
      <c r="A422">
        <v>15911166</v>
      </c>
      <c r="B422" t="str">
        <f>VLOOKUP(A422,Planilha2!B:C,2,0)</f>
        <v>INVERSOR CFW500G0180T4NB20H13G2</v>
      </c>
      <c r="C422" t="s">
        <v>1</v>
      </c>
      <c r="D422" t="str">
        <f>VLOOKUP(A422,Planilha2!B:H,7,0)</f>
        <v>LINHA G1</v>
      </c>
      <c r="E422" s="5">
        <v>30000</v>
      </c>
      <c r="F422" t="str">
        <f>IFERROR(
IF(ISNUMBER(FIND("CFW110",B422)),
VALUE(MID(B422,FIND("CFW110",B422)+6,FIND("T",B422,FIND("CFW110",B422))-(FIND("CFW110",B422)+6))),
IF(ISNUMBER(FIND("D",B422)),
VALUE(SUBSTITUTE(MID(B422,FIND("D",B422)+1,FIND("T",B422,FIND("D",B422))-(FIND("D",B422)+1)),"P",",")),
IF(ISNUMBER(FIND("CFW5",B422)),
VALUE(MID(B422,
IF(ISNUMBER(FIND("F",B422)),FIND("F",B422)+1,FIND("G",B422)+1),
FIND("T",B422)-(IF(ISNUMBER(FIND("F",B422)),FIND("F",B422)+1,FIND("G",B422)+1))
)),
VALUE(MID(B422,FIND("E0",B422)+2,FIND("T",B422,FIND("E0",B422))-(FIND("E0",B422)+2)))
))),"")</f>
        <v/>
      </c>
      <c r="G422">
        <f>IFERROR(
IF(ISNUMBER(FIND("T2",B422)),220,
IF(ISNUMBER(FIND("T4",B422)),440,
IF(ISNUMBER(FIND("T5",B422)),575,
IF(ISNUMBER(FIND("T6",B422)),690,"")))),
"")</f>
        <v>440</v>
      </c>
    </row>
    <row r="423" spans="1:7" x14ac:dyDescent="0.25">
      <c r="A423">
        <v>15911162</v>
      </c>
      <c r="B423" t="str">
        <f>VLOOKUP(A423,Planilha2!B:C,2,0)</f>
        <v>INVERSOR CFW500G0142T4NB20H13G2</v>
      </c>
      <c r="C423" t="s">
        <v>1</v>
      </c>
      <c r="D423" t="str">
        <f>VLOOKUP(A423,Planilha2!B:H,7,0)</f>
        <v>LINHA G1</v>
      </c>
      <c r="E423" s="5">
        <v>30000</v>
      </c>
      <c r="F423" t="str">
        <f>IFERROR(
IF(ISNUMBER(FIND("CFW110",B423)),
VALUE(MID(B423,FIND("CFW110",B423)+6,FIND("T",B423,FIND("CFW110",B423))-(FIND("CFW110",B423)+6))),
IF(ISNUMBER(FIND("D",B423)),
VALUE(SUBSTITUTE(MID(B423,FIND("D",B423)+1,FIND("T",B423,FIND("D",B423))-(FIND("D",B423)+1)),"P",",")),
IF(ISNUMBER(FIND("CFW5",B423)),
VALUE(MID(B423,
IF(ISNUMBER(FIND("F",B423)),FIND("F",B423)+1,FIND("G",B423)+1),
FIND("T",B423)-(IF(ISNUMBER(FIND("F",B423)),FIND("F",B423)+1,FIND("G",B423)+1))
)),
VALUE(MID(B423,FIND("E0",B423)+2,FIND("T",B423,FIND("E0",B423))-(FIND("E0",B423)+2)))
))),"")</f>
        <v/>
      </c>
      <c r="G423">
        <f>IFERROR(
IF(ISNUMBER(FIND("T2",B423)),220,
IF(ISNUMBER(FIND("T4",B423)),440,
IF(ISNUMBER(FIND("T5",B423)),575,
IF(ISNUMBER(FIND("T6",B423)),690,"")))),
"")</f>
        <v>440</v>
      </c>
    </row>
    <row r="424" spans="1:7" x14ac:dyDescent="0.25">
      <c r="A424">
        <v>16171581</v>
      </c>
      <c r="B424" t="str">
        <f>VLOOKUP(A424,Planilha2!B:C,2,0)</f>
        <v>INVERSOR BRCFW110088T4O55FADSZ</v>
      </c>
      <c r="C424" t="s">
        <v>1</v>
      </c>
      <c r="D424" t="str">
        <f>VLOOKUP(A424,Planilha2!B:H,7,0)</f>
        <v>LINHA M3</v>
      </c>
      <c r="E424" s="5">
        <v>47800</v>
      </c>
      <c r="F424">
        <f>IFERROR(
IF(ISNUMBER(FIND("CFW110",B424)),
VALUE(MID(B424,FIND("CFW110",B424)+6,FIND("T",B424,FIND("CFW110",B424))-(FIND("CFW110",B424)+6))),
IF(ISNUMBER(FIND("D",B424)),
VALUE(SUBSTITUTE(MID(B424,FIND("D",B424)+1,FIND("T",B424,FIND("D",B424))-(FIND("D",B424)+1)),"P",",")),
IF(ISNUMBER(FIND("CFW5",B424)),
VALUE(MID(B424,
IF(ISNUMBER(FIND("F",B424)),FIND("F",B424)+1,FIND("G",B424)+1),
FIND("T",B424)-(IF(ISNUMBER(FIND("F",B424)),FIND("F",B424)+1,FIND("G",B424)+1))
)),
VALUE(MID(B424,FIND("E0",B424)+2,FIND("T",B424,FIND("E0",B424))-(FIND("E0",B424)+2)))
))),"")</f>
        <v>88</v>
      </c>
      <c r="G424">
        <f>IFERROR(
IF(ISNUMBER(FIND("T2",B424)),220,
IF(ISNUMBER(FIND("T4",B424)),440,
IF(ISNUMBER(FIND("T5",B424)),575,
IF(ISNUMBER(FIND("T6",B424)),690,"")))),
"")</f>
        <v>440</v>
      </c>
    </row>
    <row r="425" spans="1:7" x14ac:dyDescent="0.25">
      <c r="A425">
        <v>16204844</v>
      </c>
      <c r="B425" t="str">
        <f>VLOOKUP(A425,Planilha2!B:C,2,0)</f>
        <v>INVERSOR CFW501F88P0T4DB20C3G2</v>
      </c>
      <c r="C425" t="s">
        <v>1</v>
      </c>
      <c r="D425" t="str">
        <f>VLOOKUP(A425,Planilha2!B:H,7,0)</f>
        <v>LINHA M3</v>
      </c>
      <c r="E425" s="5">
        <v>26000</v>
      </c>
      <c r="F425" t="str">
        <f>IFERROR(
IF(ISNUMBER(FIND("CFW110",B425)),
VALUE(MID(B425,FIND("CFW110",B425)+6,FIND("T",B425,FIND("CFW110",B425))-(FIND("CFW110",B425)+6))),
IF(ISNUMBER(FIND("D",B425)),
VALUE(SUBSTITUTE(MID(B425,FIND("D",B425)+1,FIND("T",B425,FIND("D",B425))-(FIND("D",B425)+1)),"P",",")),
IF(ISNUMBER(FIND("CFW5",B425)),
VALUE(MID(B425,
IF(ISNUMBER(FIND("F",B425)),FIND("F",B425)+1,FIND("G",B425)+1),
FIND("T",B425)-(IF(ISNUMBER(FIND("F",B425)),FIND("F",B425)+1,FIND("G",B425)+1))
)),
VALUE(MID(B425,FIND("E0",B425)+2,FIND("T",B425,FIND("E0",B425))-(FIND("E0",B425)+2)))
))),"")</f>
        <v/>
      </c>
      <c r="G425">
        <f>IFERROR(
IF(ISNUMBER(FIND("T2",B425)),220,
IF(ISNUMBER(FIND("T4",B425)),440,
IF(ISNUMBER(FIND("T5",B425)),575,
IF(ISNUMBER(FIND("T6",B425)),690,"")))),
"")</f>
        <v>440</v>
      </c>
    </row>
    <row r="426" spans="1:7" x14ac:dyDescent="0.25">
      <c r="A426">
        <v>16199001</v>
      </c>
      <c r="B426" t="str">
        <f>VLOOKUP(A426,Planilha2!B:C,2,0)</f>
        <v>INVERSOR EUCFW110070T4OFAZ-UI</v>
      </c>
      <c r="C426" t="s">
        <v>1</v>
      </c>
      <c r="D426" t="str">
        <f>VLOOKUP(A426,Planilha2!B:H,7,0)</f>
        <v>LINHA M3</v>
      </c>
      <c r="E426" s="5">
        <v>31100</v>
      </c>
      <c r="F426">
        <f>IFERROR(
IF(ISNUMBER(FIND("CFW110",B426)),
VALUE(MID(B426,FIND("CFW110",B426)+6,FIND("T",B426,FIND("CFW110",B426))-(FIND("CFW110",B426)+6))),
IF(ISNUMBER(FIND("D",B426)),
VALUE(SUBSTITUTE(MID(B426,FIND("D",B426)+1,FIND("T",B426,FIND("D",B426))-(FIND("D",B426)+1)),"P",",")),
IF(ISNUMBER(FIND("CFW5",B426)),
VALUE(MID(B426,
IF(ISNUMBER(FIND("F",B426)),FIND("F",B426)+1,FIND("G",B426)+1),
FIND("T",B426)-(IF(ISNUMBER(FIND("F",B426)),FIND("F",B426)+1,FIND("G",B426)+1))
)),
VALUE(MID(B426,FIND("E0",B426)+2,FIND("T",B426,FIND("E0",B426))-(FIND("E0",B426)+2)))
))),"")</f>
        <v>70</v>
      </c>
      <c r="G426">
        <f>IFERROR(
IF(ISNUMBER(FIND("T2",B426)),220,
IF(ISNUMBER(FIND("T4",B426)),440,
IF(ISNUMBER(FIND("T5",B426)),575,
IF(ISNUMBER(FIND("T6",B426)),690,"")))),
"")</f>
        <v>440</v>
      </c>
    </row>
    <row r="427" spans="1:7" x14ac:dyDescent="0.25">
      <c r="A427">
        <v>16136320</v>
      </c>
      <c r="B427" t="str">
        <f>VLOOKUP(A427,Planilha2!B:C,2,0)</f>
        <v>INVERSOR CFW700C58P5T4DB20C3EC</v>
      </c>
      <c r="C427" t="s">
        <v>1</v>
      </c>
      <c r="D427" t="str">
        <f>VLOOKUP(A427,Planilha2!B:H,7,0)</f>
        <v>OBSOLETOS DRIVES</v>
      </c>
      <c r="E427" s="5">
        <v>21000</v>
      </c>
      <c r="F427" t="str">
        <f>IFERROR(
IF(ISNUMBER(FIND("CFW110",B427)),
VALUE(MID(B427,FIND("CFW110",B427)+6,FIND("T",B427,FIND("CFW110",B427))-(FIND("CFW110",B427)+6))),
IF(ISNUMBER(FIND("D",B427)),
VALUE(SUBSTITUTE(MID(B427,FIND("D",B427)+1,FIND("T",B427,FIND("D",B427))-(FIND("D",B427)+1)),"P",",")),
IF(ISNUMBER(FIND("CFW5",B427)),
VALUE(MID(B427,
IF(ISNUMBER(FIND("F",B427)),FIND("F",B427)+1,FIND("G",B427)+1),
FIND("T",B427)-(IF(ISNUMBER(FIND("F",B427)),FIND("F",B427)+1,FIND("G",B427)+1))
)),
VALUE(MID(B427,FIND("E0",B427)+2,FIND("T",B427,FIND("E0",B427))-(FIND("E0",B427)+2)))
))),"")</f>
        <v/>
      </c>
      <c r="G427">
        <f>IFERROR(
IF(ISNUMBER(FIND("T2",B427)),220,
IF(ISNUMBER(FIND("T4",B427)),440,
IF(ISNUMBER(FIND("T5",B427)),575,
IF(ISNUMBER(FIND("T6",B427)),690,"")))),
"")</f>
        <v>440</v>
      </c>
    </row>
    <row r="428" spans="1:7" x14ac:dyDescent="0.25">
      <c r="A428">
        <v>16237127</v>
      </c>
      <c r="B428" t="str">
        <f>VLOOKUP(A428,Planilha2!B:C,2,0)</f>
        <v>INVERSOR CFW700C45P0T4DB20C3S2</v>
      </c>
      <c r="C428" t="s">
        <v>1</v>
      </c>
      <c r="D428" t="str">
        <f>VLOOKUP(A428,Planilha2!B:H,7,0)</f>
        <v>OBSOLETOS DRIVES</v>
      </c>
      <c r="E428" s="5">
        <v>16000</v>
      </c>
      <c r="F428" t="str">
        <f>IFERROR(
IF(ISNUMBER(FIND("CFW110",B428)),
VALUE(MID(B428,FIND("CFW110",B428)+6,FIND("T",B428,FIND("CFW110",B428))-(FIND("CFW110",B428)+6))),
IF(ISNUMBER(FIND("D",B428)),
VALUE(SUBSTITUTE(MID(B428,FIND("D",B428)+1,FIND("T",B428,FIND("D",B428))-(FIND("D",B428)+1)),"P",",")),
IF(ISNUMBER(FIND("CFW5",B428)),
VALUE(MID(B428,
IF(ISNUMBER(FIND("F",B428)),FIND("F",B428)+1,FIND("G",B428)+1),
FIND("T",B428)-(IF(ISNUMBER(FIND("F",B428)),FIND("F",B428)+1,FIND("G",B428)+1))
)),
VALUE(MID(B428,FIND("E0",B428)+2,FIND("T",B428,FIND("E0",B428))-(FIND("E0",B428)+2)))
))),"")</f>
        <v/>
      </c>
      <c r="G428">
        <f>IFERROR(
IF(ISNUMBER(FIND("T2",B428)),220,
IF(ISNUMBER(FIND("T4",B428)),440,
IF(ISNUMBER(FIND("T5",B428)),575,
IF(ISNUMBER(FIND("T6",B428)),690,"")))),
"")</f>
        <v>440</v>
      </c>
    </row>
    <row r="429" spans="1:7" x14ac:dyDescent="0.25">
      <c r="A429">
        <v>16236896</v>
      </c>
      <c r="B429" t="str">
        <f>VLOOKUP(A429,Planilha2!B:C,2,0)</f>
        <v>INVERSOR CFW700C58P5T4DB55C3DSS2</v>
      </c>
      <c r="C429" t="s">
        <v>1</v>
      </c>
      <c r="D429" t="str">
        <f>VLOOKUP(A429,Planilha2!B:H,7,0)</f>
        <v>OBSOLETOS DRIVES</v>
      </c>
      <c r="E429" s="5">
        <v>20500</v>
      </c>
      <c r="F429" t="str">
        <f>IFERROR(
IF(ISNUMBER(FIND("CFW110",B429)),
VALUE(MID(B429,FIND("CFW110",B429)+6,FIND("T",B429,FIND("CFW110",B429))-(FIND("CFW110",B429)+6))),
IF(ISNUMBER(FIND("D",B429)),
VALUE(SUBSTITUTE(MID(B429,FIND("D",B429)+1,FIND("T",B429,FIND("D",B429))-(FIND("D",B429)+1)),"P",",")),
IF(ISNUMBER(FIND("CFW5",B429)),
VALUE(MID(B429,
IF(ISNUMBER(FIND("F",B429)),FIND("F",B429)+1,FIND("G",B429)+1),
FIND("T",B429)-(IF(ISNUMBER(FIND("F",B429)),FIND("F",B429)+1,FIND("G",B429)+1))
)),
VALUE(MID(B429,FIND("E0",B429)+2,FIND("T",B429,FIND("E0",B429))-(FIND("E0",B429)+2)))
))),"")</f>
        <v/>
      </c>
      <c r="G429">
        <f>IFERROR(
IF(ISNUMBER(FIND("T2",B429)),220,
IF(ISNUMBER(FIND("T4",B429)),440,
IF(ISNUMBER(FIND("T5",B429)),575,
IF(ISNUMBER(FIND("T6",B429)),690,"")))),
"")</f>
        <v>440</v>
      </c>
    </row>
    <row r="430" spans="1:7" x14ac:dyDescent="0.25">
      <c r="A430">
        <v>16237125</v>
      </c>
      <c r="B430" t="str">
        <f>VLOOKUP(A430,Planilha2!B:C,2,0)</f>
        <v>INVERSOR CFW700C58P5T4DB20C3S2</v>
      </c>
      <c r="C430" t="s">
        <v>1</v>
      </c>
      <c r="D430" t="str">
        <f>VLOOKUP(A430,Planilha2!B:H,7,0)</f>
        <v>OBSOLETOS DRIVES</v>
      </c>
      <c r="E430" s="5">
        <v>16000</v>
      </c>
      <c r="F430" t="str">
        <f>IFERROR(
IF(ISNUMBER(FIND("CFW110",B430)),
VALUE(MID(B430,FIND("CFW110",B430)+6,FIND("T",B430,FIND("CFW110",B430))-(FIND("CFW110",B430)+6))),
IF(ISNUMBER(FIND("D",B430)),
VALUE(SUBSTITUTE(MID(B430,FIND("D",B430)+1,FIND("T",B430,FIND("D",B430))-(FIND("D",B430)+1)),"P",",")),
IF(ISNUMBER(FIND("CFW5",B430)),
VALUE(MID(B430,
IF(ISNUMBER(FIND("F",B430)),FIND("F",B430)+1,FIND("G",B430)+1),
FIND("T",B430)-(IF(ISNUMBER(FIND("F",B430)),FIND("F",B430)+1,FIND("G",B430)+1))
)),
VALUE(MID(B430,FIND("E0",B430)+2,FIND("T",B430,FIND("E0",B430))-(FIND("E0",B430)+2)))
))),"")</f>
        <v/>
      </c>
      <c r="G430">
        <f>IFERROR(
IF(ISNUMBER(FIND("T2",B430)),220,
IF(ISNUMBER(FIND("T4",B430)),440,
IF(ISNUMBER(FIND("T5",B430)),575,
IF(ISNUMBER(FIND("T6",B430)),690,"")))),
"")</f>
        <v>440</v>
      </c>
    </row>
    <row r="431" spans="1:7" x14ac:dyDescent="0.25">
      <c r="A431">
        <v>16236897</v>
      </c>
      <c r="B431" t="str">
        <f>VLOOKUP(A431,Planilha2!B:C,2,0)</f>
        <v>INVERSOR CFW700C45P0T4DB55C3DSS2</v>
      </c>
      <c r="C431" t="s">
        <v>1</v>
      </c>
      <c r="D431" t="str">
        <f>VLOOKUP(A431,Planilha2!B:H,7,0)</f>
        <v>OBSOLETOS DRIVES</v>
      </c>
      <c r="E431" s="5">
        <v>19600</v>
      </c>
      <c r="F431" t="str">
        <f>IFERROR(
IF(ISNUMBER(FIND("CFW110",B431)),
VALUE(MID(B431,FIND("CFW110",B431)+6,FIND("T",B431,FIND("CFW110",B431))-(FIND("CFW110",B431)+6))),
IF(ISNUMBER(FIND("D",B431)),
VALUE(SUBSTITUTE(MID(B431,FIND("D",B431)+1,FIND("T",B431,FIND("D",B431))-(FIND("D",B431)+1)),"P",",")),
IF(ISNUMBER(FIND("CFW5",B431)),
VALUE(MID(B431,
IF(ISNUMBER(FIND("F",B431)),FIND("F",B431)+1,FIND("G",B431)+1),
FIND("T",B431)-(IF(ISNUMBER(FIND("F",B431)),FIND("F",B431)+1,FIND("G",B431)+1))
)),
VALUE(MID(B431,FIND("E0",B431)+2,FIND("T",B431,FIND("E0",B431))-(FIND("E0",B431)+2)))
))),"")</f>
        <v/>
      </c>
      <c r="G431">
        <f>IFERROR(
IF(ISNUMBER(FIND("T2",B431)),220,
IF(ISNUMBER(FIND("T4",B431)),440,
IF(ISNUMBER(FIND("T5",B431)),575,
IF(ISNUMBER(FIND("T6",B431)),690,"")))),
"")</f>
        <v>440</v>
      </c>
    </row>
    <row r="432" spans="1:7" x14ac:dyDescent="0.25">
      <c r="A432">
        <v>16237118</v>
      </c>
      <c r="B432" t="str">
        <f>VLOOKUP(A432,Planilha2!B:C,2,0)</f>
        <v>INVERSOR CFW700D70P5T4DBN1C3S2</v>
      </c>
      <c r="C432" t="s">
        <v>1</v>
      </c>
      <c r="D432" t="str">
        <f>VLOOKUP(A432,Planilha2!B:H,7,0)</f>
        <v>OBSOLETOS DRIVES</v>
      </c>
      <c r="E432" s="5">
        <v>31100</v>
      </c>
      <c r="F432">
        <f>IFERROR(
IF(ISNUMBER(FIND("CFW110",B432)),
VALUE(MID(B432,FIND("CFW110",B432)+6,FIND("T",B432,FIND("CFW110",B432))-(FIND("CFW110",B432)+6))),
IF(ISNUMBER(FIND("D",B432)),
VALUE(SUBSTITUTE(MID(B432,FIND("D",B432)+1,FIND("T",B432,FIND("D",B432))-(FIND("D",B432)+1)),"P",",")),
IF(ISNUMBER(FIND("CFW5",B432)),
VALUE(MID(B432,
IF(ISNUMBER(FIND("F",B432)),FIND("F",B432)+1,FIND("G",B432)+1),
FIND("T",B432)-(IF(ISNUMBER(FIND("F",B432)),FIND("F",B432)+1,FIND("G",B432)+1))
)),
VALUE(MID(B432,FIND("E0",B432)+2,FIND("T",B432,FIND("E0",B432))-(FIND("E0",B432)+2)))
))),"")</f>
        <v>70.5</v>
      </c>
      <c r="G432">
        <f>IFERROR(
IF(ISNUMBER(FIND("T2",B432)),220,
IF(ISNUMBER(FIND("T4",B432)),440,
IF(ISNUMBER(FIND("T5",B432)),575,
IF(ISNUMBER(FIND("T6",B432)),690,"")))),
"")</f>
        <v>440</v>
      </c>
    </row>
    <row r="433" spans="1:7" x14ac:dyDescent="0.25">
      <c r="A433">
        <v>16236894</v>
      </c>
      <c r="B433" t="str">
        <f>VLOOKUP(A433,Planilha2!B:C,2,0)</f>
        <v>INVERSOR CFW700D88P0T4DB55C3DSS2</v>
      </c>
      <c r="C433" t="s">
        <v>1</v>
      </c>
      <c r="D433" t="str">
        <f>VLOOKUP(A433,Planilha2!B:H,7,0)</f>
        <v>OBSOLETOS DRIVES</v>
      </c>
      <c r="E433" s="5">
        <v>48700</v>
      </c>
      <c r="F433">
        <f>IFERROR(
IF(ISNUMBER(FIND("CFW110",B433)),
VALUE(MID(B433,FIND("CFW110",B433)+6,FIND("T",B433,FIND("CFW110",B433))-(FIND("CFW110",B433)+6))),
IF(ISNUMBER(FIND("D",B433)),
VALUE(SUBSTITUTE(MID(B433,FIND("D",B433)+1,FIND("T",B433,FIND("D",B433))-(FIND("D",B433)+1)),"P",",")),
IF(ISNUMBER(FIND("CFW5",B433)),
VALUE(MID(B433,
IF(ISNUMBER(FIND("F",B433)),FIND("F",B433)+1,FIND("G",B433)+1),
FIND("T",B433)-(IF(ISNUMBER(FIND("F",B433)),FIND("F",B433)+1,FIND("G",B433)+1))
)),
VALUE(MID(B433,FIND("E0",B433)+2,FIND("T",B433,FIND("E0",B433))-(FIND("E0",B433)+2)))
))),"")</f>
        <v>88</v>
      </c>
      <c r="G433">
        <f>IFERROR(
IF(ISNUMBER(FIND("T2",B433)),220,
IF(ISNUMBER(FIND("T4",B433)),440,
IF(ISNUMBER(FIND("T5",B433)),575,
IF(ISNUMBER(FIND("T6",B433)),690,"")))),
"")</f>
        <v>440</v>
      </c>
    </row>
    <row r="434" spans="1:7" x14ac:dyDescent="0.25">
      <c r="A434">
        <v>16236895</v>
      </c>
      <c r="B434" t="str">
        <f>VLOOKUP(A434,Planilha2!B:C,2,0)</f>
        <v>INVERSOR CFW700D70P5T4DB55C3DSS2</v>
      </c>
      <c r="C434" t="s">
        <v>1</v>
      </c>
      <c r="D434" t="str">
        <f>VLOOKUP(A434,Planilha2!B:H,7,0)</f>
        <v>OBSOLETOS DRIVES</v>
      </c>
      <c r="E434" s="5">
        <v>47200</v>
      </c>
      <c r="F434">
        <f>IFERROR(
IF(ISNUMBER(FIND("CFW110",B434)),
VALUE(MID(B434,FIND("CFW110",B434)+6,FIND("T",B434,FIND("CFW110",B434))-(FIND("CFW110",B434)+6))),
IF(ISNUMBER(FIND("D",B434)),
VALUE(SUBSTITUTE(MID(B434,FIND("D",B434)+1,FIND("T",B434,FIND("D",B434))-(FIND("D",B434)+1)),"P",",")),
IF(ISNUMBER(FIND("CFW5",B434)),
VALUE(MID(B434,
IF(ISNUMBER(FIND("F",B434)),FIND("F",B434)+1,FIND("G",B434)+1),
FIND("T",B434)-(IF(ISNUMBER(FIND("F",B434)),FIND("F",B434)+1,FIND("G",B434)+1))
)),
VALUE(MID(B434,FIND("E0",B434)+2,FIND("T",B434,FIND("E0",B434))-(FIND("E0",B434)+2)))
))),"")</f>
        <v>70.5</v>
      </c>
      <c r="G434">
        <f>IFERROR(
IF(ISNUMBER(FIND("T2",B434)),220,
IF(ISNUMBER(FIND("T4",B434)),440,
IF(ISNUMBER(FIND("T5",B434)),575,
IF(ISNUMBER(FIND("T6",B434)),690,"")))),
"")</f>
        <v>440</v>
      </c>
    </row>
    <row r="435" spans="1:7" x14ac:dyDescent="0.25">
      <c r="A435">
        <v>16237017</v>
      </c>
      <c r="B435" t="str">
        <f>VLOOKUP(A435,Planilha2!B:C,2,0)</f>
        <v>INVERSOR CFW700D88P0T4DBN1C3S2</v>
      </c>
      <c r="C435" t="s">
        <v>1</v>
      </c>
      <c r="D435" t="str">
        <f>VLOOKUP(A435,Planilha2!B:H,7,0)</f>
        <v>OBSOLETOS DRIVES</v>
      </c>
      <c r="E435" s="5">
        <v>31100</v>
      </c>
      <c r="F435">
        <f>IFERROR(
IF(ISNUMBER(FIND("CFW110",B435)),
VALUE(MID(B435,FIND("CFW110",B435)+6,FIND("T",B435,FIND("CFW110",B435))-(FIND("CFW110",B435)+6))),
IF(ISNUMBER(FIND("D",B435)),
VALUE(SUBSTITUTE(MID(B435,FIND("D",B435)+1,FIND("T",B435,FIND("D",B435))-(FIND("D",B435)+1)),"P",",")),
IF(ISNUMBER(FIND("CFW5",B435)),
VALUE(MID(B435,
IF(ISNUMBER(FIND("F",B435)),FIND("F",B435)+1,FIND("G",B435)+1),
FIND("T",B435)-(IF(ISNUMBER(FIND("F",B435)),FIND("F",B435)+1,FIND("G",B435)+1))
)),
VALUE(MID(B435,FIND("E0",B435)+2,FIND("T",B435,FIND("E0",B435))-(FIND("E0",B435)+2)))
))),"")</f>
        <v>88</v>
      </c>
      <c r="G435">
        <f>IFERROR(
IF(ISNUMBER(FIND("T2",B435)),220,
IF(ISNUMBER(FIND("T4",B435)),440,
IF(ISNUMBER(FIND("T5",B435)),575,
IF(ISNUMBER(FIND("T6",B435)),690,"")))),
"")</f>
        <v>440</v>
      </c>
    </row>
    <row r="436" spans="1:7" x14ac:dyDescent="0.25">
      <c r="A436">
        <v>16232286</v>
      </c>
      <c r="B436" t="str">
        <f>VLOOKUP(A436,Planilha2!B:C,2,0)</f>
        <v>INVERSOR BRCFW110105T2OFASSZ</v>
      </c>
      <c r="C436" t="s">
        <v>1</v>
      </c>
      <c r="D436" t="str">
        <f>VLOOKUP(A436,Planilha2!B:H,7,0)</f>
        <v>LINHA M3</v>
      </c>
      <c r="E436" s="5">
        <v>31400</v>
      </c>
      <c r="F436">
        <f>IFERROR(
IF(ISNUMBER(FIND("CFW110",B436)),
VALUE(MID(B436,FIND("CFW110",B436)+6,FIND("T",B436,FIND("CFW110",B436))-(FIND("CFW110",B436)+6))),
IF(ISNUMBER(FIND("D",B436)),
VALUE(SUBSTITUTE(MID(B436,FIND("D",B436)+1,FIND("T",B436,FIND("D",B436))-(FIND("D",B436)+1)),"P",",")),
IF(ISNUMBER(FIND("CFW5",B436)),
VALUE(MID(B436,
IF(ISNUMBER(FIND("F",B436)),FIND("F",B436)+1,FIND("G",B436)+1),
FIND("T",B436)-(IF(ISNUMBER(FIND("F",B436)),FIND("F",B436)+1,FIND("G",B436)+1))
)),
VALUE(MID(B436,FIND("E0",B436)+2,FIND("T",B436,FIND("E0",B436))-(FIND("E0",B436)+2)))
))),"")</f>
        <v>105</v>
      </c>
      <c r="G436">
        <f>IFERROR(
IF(ISNUMBER(FIND("T2",B436)),220,
IF(ISNUMBER(FIND("T4",B436)),440,
IF(ISNUMBER(FIND("T5",B436)),575,
IF(ISNUMBER(FIND("T6",B436)),690,"")))),
"")</f>
        <v>220</v>
      </c>
    </row>
    <row r="437" spans="1:7" x14ac:dyDescent="0.25">
      <c r="A437">
        <v>16204628</v>
      </c>
      <c r="B437" t="str">
        <f>VLOOKUP(A437,Planilha2!B:C,2,0)</f>
        <v>INVERSOR CFW501F77P0T2DB20C3G2</v>
      </c>
      <c r="C437" t="s">
        <v>1</v>
      </c>
      <c r="D437" t="str">
        <f>VLOOKUP(A437,Planilha2!B:H,7,0)</f>
        <v>LINHA M3</v>
      </c>
      <c r="E437" s="5">
        <v>26000</v>
      </c>
      <c r="F437" t="str">
        <f>IFERROR(
IF(ISNUMBER(FIND("CFW110",B437)),
VALUE(MID(B437,FIND("CFW110",B437)+6,FIND("T",B437,FIND("CFW110",B437))-(FIND("CFW110",B437)+6))),
IF(ISNUMBER(FIND("D",B437)),
VALUE(SUBSTITUTE(MID(B437,FIND("D",B437)+1,FIND("T",B437,FIND("D",B437))-(FIND("D",B437)+1)),"P",",")),
IF(ISNUMBER(FIND("CFW5",B437)),
VALUE(MID(B437,
IF(ISNUMBER(FIND("F",B437)),FIND("F",B437)+1,FIND("G",B437)+1),
FIND("T",B437)-(IF(ISNUMBER(FIND("F",B437)),FIND("F",B437)+1,FIND("G",B437)+1))
)),
VALUE(MID(B437,FIND("E0",B437)+2,FIND("T",B437,FIND("E0",B437))-(FIND("E0",B437)+2)))
))),"")</f>
        <v/>
      </c>
      <c r="G437">
        <f>IFERROR(
IF(ISNUMBER(FIND("T2",B437)),220,
IF(ISNUMBER(FIND("T4",B437)),440,
IF(ISNUMBER(FIND("T5",B437)),575,
IF(ISNUMBER(FIND("T6",B437)),690,"")))),
"")</f>
        <v>220</v>
      </c>
    </row>
    <row r="438" spans="1:7" x14ac:dyDescent="0.25">
      <c r="A438">
        <v>16206512</v>
      </c>
      <c r="B438" t="str">
        <f>VLOOKUP(A438,Planilha2!B:C,2,0)</f>
        <v>INVERSOR CFW501F77P0T2DBN1C3G2</v>
      </c>
      <c r="C438" t="s">
        <v>1</v>
      </c>
      <c r="D438" t="str">
        <f>VLOOKUP(A438,Planilha2!B:H,7,0)</f>
        <v>LINHA M3</v>
      </c>
      <c r="E438" s="5">
        <v>26000</v>
      </c>
      <c r="F438" t="str">
        <f>IFERROR(
IF(ISNUMBER(FIND("CFW110",B438)),
VALUE(MID(B438,FIND("CFW110",B438)+6,FIND("T",B438,FIND("CFW110",B438))-(FIND("CFW110",B438)+6))),
IF(ISNUMBER(FIND("D",B438)),
VALUE(SUBSTITUTE(MID(B438,FIND("D",B438)+1,FIND("T",B438,FIND("D",B438))-(FIND("D",B438)+1)),"P",",")),
IF(ISNUMBER(FIND("CFW5",B438)),
VALUE(MID(B438,
IF(ISNUMBER(FIND("F",B438)),FIND("F",B438)+1,FIND("G",B438)+1),
FIND("T",B438)-(IF(ISNUMBER(FIND("F",B438)),FIND("F",B438)+1,FIND("G",B438)+1))
)),
VALUE(MID(B438,FIND("E0",B438)+2,FIND("T",B438,FIND("E0",B438))-(FIND("E0",B438)+2)))
))),"")</f>
        <v/>
      </c>
      <c r="G438">
        <f>IFERROR(
IF(ISNUMBER(FIND("T2",B438)),220,
IF(ISNUMBER(FIND("T4",B438)),440,
IF(ISNUMBER(FIND("T5",B438)),575,
IF(ISNUMBER(FIND("T6",B438)),690,"")))),
"")</f>
        <v>220</v>
      </c>
    </row>
    <row r="439" spans="1:7" x14ac:dyDescent="0.25">
      <c r="A439">
        <v>16204838</v>
      </c>
      <c r="B439" t="str">
        <f>VLOOKUP(A439,Planilha2!B:C,2,0)</f>
        <v>INVERSOR CFW501F77P0T4DB20C3G2</v>
      </c>
      <c r="C439" t="s">
        <v>1</v>
      </c>
      <c r="D439" t="str">
        <f>VLOOKUP(A439,Planilha2!B:H,7,0)</f>
        <v>LINHA M3</v>
      </c>
      <c r="E439" s="5">
        <v>26000</v>
      </c>
      <c r="F439" t="str">
        <f>IFERROR(
IF(ISNUMBER(FIND("CFW110",B439)),
VALUE(MID(B439,FIND("CFW110",B439)+6,FIND("T",B439,FIND("CFW110",B439))-(FIND("CFW110",B439)+6))),
IF(ISNUMBER(FIND("D",B439)),
VALUE(SUBSTITUTE(MID(B439,FIND("D",B439)+1,FIND("T",B439,FIND("D",B439))-(FIND("D",B439)+1)),"P",",")),
IF(ISNUMBER(FIND("CFW5",B439)),
VALUE(MID(B439,
IF(ISNUMBER(FIND("F",B439)),FIND("F",B439)+1,FIND("G",B439)+1),
FIND("T",B439)-(IF(ISNUMBER(FIND("F",B439)),FIND("F",B439)+1,FIND("G",B439)+1))
)),
VALUE(MID(B439,FIND("E0",B439)+2,FIND("T",B439,FIND("E0",B439))-(FIND("E0",B439)+2)))
))),"")</f>
        <v/>
      </c>
      <c r="G439">
        <f>IFERROR(
IF(ISNUMBER(FIND("T2",B439)),220,
IF(ISNUMBER(FIND("T4",B439)),440,
IF(ISNUMBER(FIND("T5",B439)),575,
IF(ISNUMBER(FIND("T6",B439)),690,"")))),
"")</f>
        <v>440</v>
      </c>
    </row>
    <row r="440" spans="1:7" x14ac:dyDescent="0.25">
      <c r="A440">
        <v>16206528</v>
      </c>
      <c r="B440" t="str">
        <f>VLOOKUP(A440,Planilha2!B:C,2,0)</f>
        <v>INVERSOR CFW501F77P0T4DBN1C3G2</v>
      </c>
      <c r="C440" t="s">
        <v>1</v>
      </c>
      <c r="D440" t="str">
        <f>VLOOKUP(A440,Planilha2!B:H,7,0)</f>
        <v>LINHA M3</v>
      </c>
      <c r="E440" s="5">
        <v>26000</v>
      </c>
      <c r="F440" t="str">
        <f>IFERROR(
IF(ISNUMBER(FIND("CFW110",B440)),
VALUE(MID(B440,FIND("CFW110",B440)+6,FIND("T",B440,FIND("CFW110",B440))-(FIND("CFW110",B440)+6))),
IF(ISNUMBER(FIND("D",B440)),
VALUE(SUBSTITUTE(MID(B440,FIND("D",B440)+1,FIND("T",B440,FIND("D",B440))-(FIND("D",B440)+1)),"P",",")),
IF(ISNUMBER(FIND("CFW5",B440)),
VALUE(MID(B440,
IF(ISNUMBER(FIND("F",B440)),FIND("F",B440)+1,FIND("G",B440)+1),
FIND("T",B440)-(IF(ISNUMBER(FIND("F",B440)),FIND("F",B440)+1,FIND("G",B440)+1))
)),
VALUE(MID(B440,FIND("E0",B440)+2,FIND("T",B440,FIND("E0",B440))-(FIND("E0",B440)+2)))
))),"")</f>
        <v/>
      </c>
      <c r="G440">
        <f>IFERROR(
IF(ISNUMBER(FIND("T2",B440)),220,
IF(ISNUMBER(FIND("T4",B440)),440,
IF(ISNUMBER(FIND("T5",B440)),575,
IF(ISNUMBER(FIND("T6",B440)),690,"")))),
"")</f>
        <v>440</v>
      </c>
    </row>
    <row r="441" spans="1:7" x14ac:dyDescent="0.25">
      <c r="A441">
        <v>16204632</v>
      </c>
      <c r="B441" t="str">
        <f>VLOOKUP(A441,Planilha2!B:C,2,0)</f>
        <v>INVERSOR CFW501F88P0T2DB20C3G2</v>
      </c>
      <c r="C441" t="s">
        <v>1</v>
      </c>
      <c r="D441" t="str">
        <f>VLOOKUP(A441,Planilha2!B:H,7,0)</f>
        <v>LINHA M3</v>
      </c>
      <c r="E441" s="5">
        <v>26000</v>
      </c>
      <c r="F441" t="str">
        <f>IFERROR(
IF(ISNUMBER(FIND("CFW110",B441)),
VALUE(MID(B441,FIND("CFW110",B441)+6,FIND("T",B441,FIND("CFW110",B441))-(FIND("CFW110",B441)+6))),
IF(ISNUMBER(FIND("D",B441)),
VALUE(SUBSTITUTE(MID(B441,FIND("D",B441)+1,FIND("T",B441,FIND("D",B441))-(FIND("D",B441)+1)),"P",",")),
IF(ISNUMBER(FIND("CFW5",B441)),
VALUE(MID(B441,
IF(ISNUMBER(FIND("F",B441)),FIND("F",B441)+1,FIND("G",B441)+1),
FIND("T",B441)-(IF(ISNUMBER(FIND("F",B441)),FIND("F",B441)+1,FIND("G",B441)+1))
)),
VALUE(MID(B441,FIND("E0",B441)+2,FIND("T",B441,FIND("E0",B441))-(FIND("E0",B441)+2)))
))),"")</f>
        <v/>
      </c>
      <c r="G441">
        <f>IFERROR(
IF(ISNUMBER(FIND("T2",B441)),220,
IF(ISNUMBER(FIND("T4",B441)),440,
IF(ISNUMBER(FIND("T5",B441)),575,
IF(ISNUMBER(FIND("T6",B441)),690,"")))),
"")</f>
        <v>220</v>
      </c>
    </row>
    <row r="442" spans="1:7" x14ac:dyDescent="0.25">
      <c r="A442">
        <v>16206513</v>
      </c>
      <c r="B442" t="str">
        <f>VLOOKUP(A442,Planilha2!B:C,2,0)</f>
        <v>INVERSOR CFW501F88P0T2DBN1C3G2</v>
      </c>
      <c r="C442" t="s">
        <v>1</v>
      </c>
      <c r="D442" t="str">
        <f>VLOOKUP(A442,Planilha2!B:H,7,0)</f>
        <v>LINHA M3</v>
      </c>
      <c r="E442" s="5">
        <v>26000</v>
      </c>
      <c r="F442" t="str">
        <f>IFERROR(
IF(ISNUMBER(FIND("CFW110",B442)),
VALUE(MID(B442,FIND("CFW110",B442)+6,FIND("T",B442,FIND("CFW110",B442))-(FIND("CFW110",B442)+6))),
IF(ISNUMBER(FIND("D",B442)),
VALUE(SUBSTITUTE(MID(B442,FIND("D",B442)+1,FIND("T",B442,FIND("D",B442))-(FIND("D",B442)+1)),"P",",")),
IF(ISNUMBER(FIND("CFW5",B442)),
VALUE(MID(B442,
IF(ISNUMBER(FIND("F",B442)),FIND("F",B442)+1,FIND("G",B442)+1),
FIND("T",B442)-(IF(ISNUMBER(FIND("F",B442)),FIND("F",B442)+1,FIND("G",B442)+1))
)),
VALUE(MID(B442,FIND("E0",B442)+2,FIND("T",B442,FIND("E0",B442))-(FIND("E0",B442)+2)))
))),"")</f>
        <v/>
      </c>
      <c r="G442">
        <f>IFERROR(
IF(ISNUMBER(FIND("T2",B442)),220,
IF(ISNUMBER(FIND("T4",B442)),440,
IF(ISNUMBER(FIND("T5",B442)),575,
IF(ISNUMBER(FIND("T6",B442)),690,"")))),
"")</f>
        <v>220</v>
      </c>
    </row>
    <row r="443" spans="1:7" x14ac:dyDescent="0.25">
      <c r="A443">
        <v>16206530</v>
      </c>
      <c r="B443" t="str">
        <f>VLOOKUP(A443,Planilha2!B:C,2,0)</f>
        <v>INVERSOR CFW501F88P0T4DBN1C3G2</v>
      </c>
      <c r="C443" t="s">
        <v>1</v>
      </c>
      <c r="D443" t="str">
        <f>VLOOKUP(A443,Planilha2!B:H,7,0)</f>
        <v>LINHA M3</v>
      </c>
      <c r="E443" s="5">
        <v>26000</v>
      </c>
      <c r="F443" t="str">
        <f>IFERROR(
IF(ISNUMBER(FIND("CFW110",B443)),
VALUE(MID(B443,FIND("CFW110",B443)+6,FIND("T",B443,FIND("CFW110",B443))-(FIND("CFW110",B443)+6))),
IF(ISNUMBER(FIND("D",B443)),
VALUE(SUBSTITUTE(MID(B443,FIND("D",B443)+1,FIND("T",B443,FIND("D",B443))-(FIND("D",B443)+1)),"P",",")),
IF(ISNUMBER(FIND("CFW5",B443)),
VALUE(MID(B443,
IF(ISNUMBER(FIND("F",B443)),FIND("F",B443)+1,FIND("G",B443)+1),
FIND("T",B443)-(IF(ISNUMBER(FIND("F",B443)),FIND("F",B443)+1,FIND("G",B443)+1))
)),
VALUE(MID(B443,FIND("E0",B443)+2,FIND("T",B443,FIND("E0",B443))-(FIND("E0",B443)+2)))
))),"")</f>
        <v/>
      </c>
      <c r="G443">
        <f>IFERROR(
IF(ISNUMBER(FIND("T2",B443)),220,
IF(ISNUMBER(FIND("T4",B443)),440,
IF(ISNUMBER(FIND("T5",B443)),575,
IF(ISNUMBER(FIND("T6",B443)),690,"")))),
"")</f>
        <v>440</v>
      </c>
    </row>
    <row r="444" spans="1:7" x14ac:dyDescent="0.25">
      <c r="A444">
        <v>16204995</v>
      </c>
      <c r="B444" t="str">
        <f>VLOOKUP(A444,Planilha2!B:C,2,0)</f>
        <v>INVERSOR CFW501G0142T4DB20C3G2</v>
      </c>
      <c r="C444" t="s">
        <v>1</v>
      </c>
      <c r="D444" t="str">
        <f>VLOOKUP(A444,Planilha2!B:H,7,0)</f>
        <v>LINHA G1</v>
      </c>
      <c r="E444" s="5">
        <v>52000</v>
      </c>
      <c r="F444" t="str">
        <f>IFERROR(
IF(ISNUMBER(FIND("CFW110",B444)),
VALUE(MID(B444,FIND("CFW110",B444)+6,FIND("T",B444,FIND("CFW110",B444))-(FIND("CFW110",B444)+6))),
IF(ISNUMBER(FIND("D",B444)),
VALUE(SUBSTITUTE(MID(B444,FIND("D",B444)+1,FIND("T",B444,FIND("D",B444))-(FIND("D",B444)+1)),"P",",")),
IF(ISNUMBER(FIND("CFW5",B444)),
VALUE(MID(B444,
IF(ISNUMBER(FIND("F",B444)),FIND("F",B444)+1,FIND("G",B444)+1),
FIND("T",B444)-(IF(ISNUMBER(FIND("F",B444)),FIND("F",B444)+1,FIND("G",B444)+1))
)),
VALUE(MID(B444,FIND("E0",B444)+2,FIND("T",B444,FIND("E0",B444))-(FIND("E0",B444)+2)))
))),"")</f>
        <v/>
      </c>
      <c r="G444">
        <f>IFERROR(
IF(ISNUMBER(FIND("T2",B444)),220,
IF(ISNUMBER(FIND("T4",B444)),440,
IF(ISNUMBER(FIND("T5",B444)),575,
IF(ISNUMBER(FIND("T6",B444)),690,"")))),
"")</f>
        <v>440</v>
      </c>
    </row>
    <row r="445" spans="1:7" x14ac:dyDescent="0.25">
      <c r="A445">
        <v>16206642</v>
      </c>
      <c r="B445" t="str">
        <f>VLOOKUP(A445,Planilha2!B:C,2,0)</f>
        <v>INVERSOR CFW501G0142T4DBN1C3G2</v>
      </c>
      <c r="C445" t="s">
        <v>1</v>
      </c>
      <c r="D445" t="str">
        <f>VLOOKUP(A445,Planilha2!B:H,7,0)</f>
        <v>LINHA G1</v>
      </c>
      <c r="E445" s="5">
        <v>52000</v>
      </c>
      <c r="F445" t="str">
        <f>IFERROR(
IF(ISNUMBER(FIND("CFW110",B445)),
VALUE(MID(B445,FIND("CFW110",B445)+6,FIND("T",B445,FIND("CFW110",B445))-(FIND("CFW110",B445)+6))),
IF(ISNUMBER(FIND("D",B445)),
VALUE(SUBSTITUTE(MID(B445,FIND("D",B445)+1,FIND("T",B445,FIND("D",B445))-(FIND("D",B445)+1)),"P",",")),
IF(ISNUMBER(FIND("CFW5",B445)),
VALUE(MID(B445,
IF(ISNUMBER(FIND("F",B445)),FIND("F",B445)+1,FIND("G",B445)+1),
FIND("T",B445)-(IF(ISNUMBER(FIND("F",B445)),FIND("F",B445)+1,FIND("G",B445)+1))
)),
VALUE(MID(B445,FIND("E0",B445)+2,FIND("T",B445,FIND("E0",B445))-(FIND("E0",B445)+2)))
))),"")</f>
        <v/>
      </c>
      <c r="G445">
        <f>IFERROR(
IF(ISNUMBER(FIND("T2",B445)),220,
IF(ISNUMBER(FIND("T4",B445)),440,
IF(ISNUMBER(FIND("T5",B445)),575,
IF(ISNUMBER(FIND("T6",B445)),690,"")))),
"")</f>
        <v>440</v>
      </c>
    </row>
    <row r="446" spans="1:7" x14ac:dyDescent="0.25">
      <c r="A446">
        <v>16204997</v>
      </c>
      <c r="B446" t="str">
        <f>VLOOKUP(A446,Planilha2!B:C,2,0)</f>
        <v>INVERSOR CFW501G0142T4NB20C3G2</v>
      </c>
      <c r="C446" t="s">
        <v>1</v>
      </c>
      <c r="D446" t="str">
        <f>VLOOKUP(A446,Planilha2!B:H,7,0)</f>
        <v>LINHA G1</v>
      </c>
      <c r="E446" s="5">
        <v>52000</v>
      </c>
      <c r="F446" t="str">
        <f>IFERROR(
IF(ISNUMBER(FIND("CFW110",B446)),
VALUE(MID(B446,FIND("CFW110",B446)+6,FIND("T",B446,FIND("CFW110",B446))-(FIND("CFW110",B446)+6))),
IF(ISNUMBER(FIND("D",B446)),
VALUE(SUBSTITUTE(MID(B446,FIND("D",B446)+1,FIND("T",B446,FIND("D",B446))-(FIND("D",B446)+1)),"P",",")),
IF(ISNUMBER(FIND("CFW5",B446)),
VALUE(MID(B446,
IF(ISNUMBER(FIND("F",B446)),FIND("F",B446)+1,FIND("G",B446)+1),
FIND("T",B446)-(IF(ISNUMBER(FIND("F",B446)),FIND("F",B446)+1,FIND("G",B446)+1))
)),
VALUE(MID(B446,FIND("E0",B446)+2,FIND("T",B446,FIND("E0",B446))-(FIND("E0",B446)+2)))
))),"")</f>
        <v/>
      </c>
      <c r="G446">
        <f>IFERROR(
IF(ISNUMBER(FIND("T2",B446)),220,
IF(ISNUMBER(FIND("T4",B446)),440,
IF(ISNUMBER(FIND("T5",B446)),575,
IF(ISNUMBER(FIND("T6",B446)),690,"")))),
"")</f>
        <v>440</v>
      </c>
    </row>
    <row r="447" spans="1:7" x14ac:dyDescent="0.25">
      <c r="A447">
        <v>16206644</v>
      </c>
      <c r="B447" t="str">
        <f>VLOOKUP(A447,Planilha2!B:C,2,0)</f>
        <v>INVERSOR CFW501G0142T4NBN1C3G2</v>
      </c>
      <c r="C447" t="s">
        <v>1</v>
      </c>
      <c r="D447" t="str">
        <f>VLOOKUP(A447,Planilha2!B:H,7,0)</f>
        <v>LINHA G1</v>
      </c>
      <c r="E447" s="5">
        <v>52000</v>
      </c>
      <c r="F447" t="str">
        <f>IFERROR(
IF(ISNUMBER(FIND("CFW110",B447)),
VALUE(MID(B447,FIND("CFW110",B447)+6,FIND("T",B447,FIND("CFW110",B447))-(FIND("CFW110",B447)+6))),
IF(ISNUMBER(FIND("D",B447)),
VALUE(SUBSTITUTE(MID(B447,FIND("D",B447)+1,FIND("T",B447,FIND("D",B447))-(FIND("D",B447)+1)),"P",",")),
IF(ISNUMBER(FIND("CFW5",B447)),
VALUE(MID(B447,
IF(ISNUMBER(FIND("F",B447)),FIND("F",B447)+1,FIND("G",B447)+1),
FIND("T",B447)-(IF(ISNUMBER(FIND("F",B447)),FIND("F",B447)+1,FIND("G",B447)+1))
)),
VALUE(MID(B447,FIND("E0",B447)+2,FIND("T",B447,FIND("E0",B447))-(FIND("E0",B447)+2)))
))),"")</f>
        <v/>
      </c>
      <c r="G447">
        <f>IFERROR(
IF(ISNUMBER(FIND("T2",B447)),220,
IF(ISNUMBER(FIND("T4",B447)),440,
IF(ISNUMBER(FIND("T5",B447)),575,
IF(ISNUMBER(FIND("T6",B447)),690,"")))),
"")</f>
        <v>440</v>
      </c>
    </row>
    <row r="448" spans="1:7" x14ac:dyDescent="0.25">
      <c r="A448">
        <v>16204862</v>
      </c>
      <c r="B448" t="str">
        <f>VLOOKUP(A448,Planilha2!B:C,2,0)</f>
        <v>INVERSOR CFW501G0145T2DB20C3G2</v>
      </c>
      <c r="C448" t="s">
        <v>1</v>
      </c>
      <c r="D448" t="str">
        <f>VLOOKUP(A448,Planilha2!B:H,7,0)</f>
        <v>LINHA G1</v>
      </c>
      <c r="E448" s="5">
        <v>26000</v>
      </c>
      <c r="F448" t="str">
        <f>IFERROR(
IF(ISNUMBER(FIND("CFW110",B448)),
VALUE(MID(B448,FIND("CFW110",B448)+6,FIND("T",B448,FIND("CFW110",B448))-(FIND("CFW110",B448)+6))),
IF(ISNUMBER(FIND("D",B448)),
VALUE(SUBSTITUTE(MID(B448,FIND("D",B448)+1,FIND("T",B448,FIND("D",B448))-(FIND("D",B448)+1)),"P",",")),
IF(ISNUMBER(FIND("CFW5",B448)),
VALUE(MID(B448,
IF(ISNUMBER(FIND("F",B448)),FIND("F",B448)+1,FIND("G",B448)+1),
FIND("T",B448)-(IF(ISNUMBER(FIND("F",B448)),FIND("F",B448)+1,FIND("G",B448)+1))
)),
VALUE(MID(B448,FIND("E0",B448)+2,FIND("T",B448,FIND("E0",B448))-(FIND("E0",B448)+2)))
))),"")</f>
        <v/>
      </c>
      <c r="G448">
        <f>IFERROR(
IF(ISNUMBER(FIND("T2",B448)),220,
IF(ISNUMBER(FIND("T4",B448)),440,
IF(ISNUMBER(FIND("T5",B448)),575,
IF(ISNUMBER(FIND("T6",B448)),690,"")))),
"")</f>
        <v>220</v>
      </c>
    </row>
    <row r="449" spans="1:7" x14ac:dyDescent="0.25">
      <c r="A449">
        <v>16206532</v>
      </c>
      <c r="B449" t="str">
        <f>VLOOKUP(A449,Planilha2!B:C,2,0)</f>
        <v>INVERSOR CFW501G0145T2DBN1C3G2</v>
      </c>
      <c r="C449" t="s">
        <v>1</v>
      </c>
      <c r="D449" t="str">
        <f>VLOOKUP(A449,Planilha2!B:H,7,0)</f>
        <v>LINHA G1</v>
      </c>
      <c r="E449" s="5">
        <v>52000</v>
      </c>
      <c r="F449" t="str">
        <f>IFERROR(
IF(ISNUMBER(FIND("CFW110",B449)),
VALUE(MID(B449,FIND("CFW110",B449)+6,FIND("T",B449,FIND("CFW110",B449))-(FIND("CFW110",B449)+6))),
IF(ISNUMBER(FIND("D",B449)),
VALUE(SUBSTITUTE(MID(B449,FIND("D",B449)+1,FIND("T",B449,FIND("D",B449))-(FIND("D",B449)+1)),"P",",")),
IF(ISNUMBER(FIND("CFW5",B449)),
VALUE(MID(B449,
IF(ISNUMBER(FIND("F",B449)),FIND("F",B449)+1,FIND("G",B449)+1),
FIND("T",B449)-(IF(ISNUMBER(FIND("F",B449)),FIND("F",B449)+1,FIND("G",B449)+1))
)),
VALUE(MID(B449,FIND("E0",B449)+2,FIND("T",B449,FIND("E0",B449))-(FIND("E0",B449)+2)))
))),"")</f>
        <v/>
      </c>
      <c r="G449">
        <f>IFERROR(
IF(ISNUMBER(FIND("T2",B449)),220,
IF(ISNUMBER(FIND("T4",B449)),440,
IF(ISNUMBER(FIND("T5",B449)),575,
IF(ISNUMBER(FIND("T6",B449)),690,"")))),
"")</f>
        <v>220</v>
      </c>
    </row>
    <row r="450" spans="1:7" x14ac:dyDescent="0.25">
      <c r="A450">
        <v>16204888</v>
      </c>
      <c r="B450" t="str">
        <f>VLOOKUP(A450,Planilha2!B:C,2,0)</f>
        <v>INVERSOR CFW501G0145T2NB20C3G2</v>
      </c>
      <c r="C450" t="s">
        <v>1</v>
      </c>
      <c r="D450" t="str">
        <f>VLOOKUP(A450,Planilha2!B:H,7,0)</f>
        <v>LINHA G1</v>
      </c>
      <c r="E450" s="5">
        <v>26000</v>
      </c>
      <c r="F450" t="str">
        <f>IFERROR(
IF(ISNUMBER(FIND("CFW110",B450)),
VALUE(MID(B450,FIND("CFW110",B450)+6,FIND("T",B450,FIND("CFW110",B450))-(FIND("CFW110",B450)+6))),
IF(ISNUMBER(FIND("D",B450)),
VALUE(SUBSTITUTE(MID(B450,FIND("D",B450)+1,FIND("T",B450,FIND("D",B450))-(FIND("D",B450)+1)),"P",",")),
IF(ISNUMBER(FIND("CFW5",B450)),
VALUE(MID(B450,
IF(ISNUMBER(FIND("F",B450)),FIND("F",B450)+1,FIND("G",B450)+1),
FIND("T",B450)-(IF(ISNUMBER(FIND("F",B450)),FIND("F",B450)+1,FIND("G",B450)+1))
)),
VALUE(MID(B450,FIND("E0",B450)+2,FIND("T",B450,FIND("E0",B450))-(FIND("E0",B450)+2)))
))),"")</f>
        <v/>
      </c>
      <c r="G450">
        <f>IFERROR(
IF(ISNUMBER(FIND("T2",B450)),220,
IF(ISNUMBER(FIND("T4",B450)),440,
IF(ISNUMBER(FIND("T5",B450)),575,
IF(ISNUMBER(FIND("T6",B450)),690,"")))),
"")</f>
        <v>220</v>
      </c>
    </row>
    <row r="451" spans="1:7" x14ac:dyDescent="0.25">
      <c r="A451">
        <v>16206533</v>
      </c>
      <c r="B451" t="str">
        <f>VLOOKUP(A451,Planilha2!B:C,2,0)</f>
        <v>INVERSOR CFW501G0145T2NBN1C3G2</v>
      </c>
      <c r="C451" t="s">
        <v>1</v>
      </c>
      <c r="D451" t="str">
        <f>VLOOKUP(A451,Planilha2!B:H,7,0)</f>
        <v>LINHA G1</v>
      </c>
      <c r="E451" s="5">
        <v>52000</v>
      </c>
      <c r="F451" t="str">
        <f>IFERROR(
IF(ISNUMBER(FIND("CFW110",B451)),
VALUE(MID(B451,FIND("CFW110",B451)+6,FIND("T",B451,FIND("CFW110",B451))-(FIND("CFW110",B451)+6))),
IF(ISNUMBER(FIND("D",B451)),
VALUE(SUBSTITUTE(MID(B451,FIND("D",B451)+1,FIND("T",B451,FIND("D",B451))-(FIND("D",B451)+1)),"P",",")),
IF(ISNUMBER(FIND("CFW5",B451)),
VALUE(MID(B451,
IF(ISNUMBER(FIND("F",B451)),FIND("F",B451)+1,FIND("G",B451)+1),
FIND("T",B451)-(IF(ISNUMBER(FIND("F",B451)),FIND("F",B451)+1,FIND("G",B451)+1))
)),
VALUE(MID(B451,FIND("E0",B451)+2,FIND("T",B451,FIND("E0",B451))-(FIND("E0",B451)+2)))
))),"")</f>
        <v/>
      </c>
      <c r="G451">
        <f>IFERROR(
IF(ISNUMBER(FIND("T2",B451)),220,
IF(ISNUMBER(FIND("T4",B451)),440,
IF(ISNUMBER(FIND("T5",B451)),575,
IF(ISNUMBER(FIND("T6",B451)),690,"")))),
"")</f>
        <v>220</v>
      </c>
    </row>
    <row r="452" spans="1:7" x14ac:dyDescent="0.25">
      <c r="A452">
        <v>16204896</v>
      </c>
      <c r="B452" t="str">
        <f>VLOOKUP(A452,Planilha2!B:C,2,0)</f>
        <v>INVERSOR CFW501G0180T2DB20C3G2</v>
      </c>
      <c r="C452" t="s">
        <v>1</v>
      </c>
      <c r="D452" t="str">
        <f>VLOOKUP(A452,Planilha2!B:H,7,0)</f>
        <v>LINHA G1</v>
      </c>
      <c r="E452" s="5">
        <v>52000</v>
      </c>
      <c r="F452" t="str">
        <f>IFERROR(
IF(ISNUMBER(FIND("CFW110",B452)),
VALUE(MID(B452,FIND("CFW110",B452)+6,FIND("T",B452,FIND("CFW110",B452))-(FIND("CFW110",B452)+6))),
IF(ISNUMBER(FIND("D",B452)),
VALUE(SUBSTITUTE(MID(B452,FIND("D",B452)+1,FIND("T",B452,FIND("D",B452))-(FIND("D",B452)+1)),"P",",")),
IF(ISNUMBER(FIND("CFW5",B452)),
VALUE(MID(B452,
IF(ISNUMBER(FIND("F",B452)),FIND("F",B452)+1,FIND("G",B452)+1),
FIND("T",B452)-(IF(ISNUMBER(FIND("F",B452)),FIND("F",B452)+1,FIND("G",B452)+1))
)),
VALUE(MID(B452,FIND("E0",B452)+2,FIND("T",B452,FIND("E0",B452))-(FIND("E0",B452)+2)))
))),"")</f>
        <v/>
      </c>
      <c r="G452">
        <f>IFERROR(
IF(ISNUMBER(FIND("T2",B452)),220,
IF(ISNUMBER(FIND("T4",B452)),440,
IF(ISNUMBER(FIND("T5",B452)),575,
IF(ISNUMBER(FIND("T6",B452)),690,"")))),
"")</f>
        <v>220</v>
      </c>
    </row>
    <row r="453" spans="1:7" x14ac:dyDescent="0.25">
      <c r="A453">
        <v>16206536</v>
      </c>
      <c r="B453" t="str">
        <f>VLOOKUP(A453,Planilha2!B:C,2,0)</f>
        <v>INVERSOR CFW501G0180T2DBN1C3G2</v>
      </c>
      <c r="C453" t="s">
        <v>1</v>
      </c>
      <c r="D453" t="str">
        <f>VLOOKUP(A453,Planilha2!B:H,7,0)</f>
        <v>LINHA G1</v>
      </c>
      <c r="E453" s="5">
        <v>52000</v>
      </c>
      <c r="F453" t="str">
        <f>IFERROR(
IF(ISNUMBER(FIND("CFW110",B453)),
VALUE(MID(B453,FIND("CFW110",B453)+6,FIND("T",B453,FIND("CFW110",B453))-(FIND("CFW110",B453)+6))),
IF(ISNUMBER(FIND("D",B453)),
VALUE(SUBSTITUTE(MID(B453,FIND("D",B453)+1,FIND("T",B453,FIND("D",B453))-(FIND("D",B453)+1)),"P",",")),
IF(ISNUMBER(FIND("CFW5",B453)),
VALUE(MID(B453,
IF(ISNUMBER(FIND("F",B453)),FIND("F",B453)+1,FIND("G",B453)+1),
FIND("T",B453)-(IF(ISNUMBER(FIND("F",B453)),FIND("F",B453)+1,FIND("G",B453)+1))
)),
VALUE(MID(B453,FIND("E0",B453)+2,FIND("T",B453,FIND("E0",B453))-(FIND("E0",B453)+2)))
))),"")</f>
        <v/>
      </c>
      <c r="G453">
        <f>IFERROR(
IF(ISNUMBER(FIND("T2",B453)),220,
IF(ISNUMBER(FIND("T4",B453)),440,
IF(ISNUMBER(FIND("T5",B453)),575,
IF(ISNUMBER(FIND("T6",B453)),690,"")))),
"")</f>
        <v>220</v>
      </c>
    </row>
    <row r="454" spans="1:7" x14ac:dyDescent="0.25">
      <c r="A454">
        <v>16204989</v>
      </c>
      <c r="B454" t="str">
        <f>VLOOKUP(A454,Planilha2!B:C,2,0)</f>
        <v>INVERSOR CFW501G0180T2NB20C3G2</v>
      </c>
      <c r="C454" t="s">
        <v>1</v>
      </c>
      <c r="D454" t="str">
        <f>VLOOKUP(A454,Planilha2!B:H,7,0)</f>
        <v>LINHA G1</v>
      </c>
      <c r="E454" s="5">
        <v>52000</v>
      </c>
      <c r="F454" t="str">
        <f>IFERROR(
IF(ISNUMBER(FIND("CFW110",B454)),
VALUE(MID(B454,FIND("CFW110",B454)+6,FIND("T",B454,FIND("CFW110",B454))-(FIND("CFW110",B454)+6))),
IF(ISNUMBER(FIND("D",B454)),
VALUE(SUBSTITUTE(MID(B454,FIND("D",B454)+1,FIND("T",B454,FIND("D",B454))-(FIND("D",B454)+1)),"P",",")),
IF(ISNUMBER(FIND("CFW5",B454)),
VALUE(MID(B454,
IF(ISNUMBER(FIND("F",B454)),FIND("F",B454)+1,FIND("G",B454)+1),
FIND("T",B454)-(IF(ISNUMBER(FIND("F",B454)),FIND("F",B454)+1,FIND("G",B454)+1))
)),
VALUE(MID(B454,FIND("E0",B454)+2,FIND("T",B454,FIND("E0",B454))-(FIND("E0",B454)+2)))
))),"")</f>
        <v/>
      </c>
      <c r="G454">
        <f>IFERROR(
IF(ISNUMBER(FIND("T2",B454)),220,
IF(ISNUMBER(FIND("T4",B454)),440,
IF(ISNUMBER(FIND("T5",B454)),575,
IF(ISNUMBER(FIND("T6",B454)),690,"")))),
"")</f>
        <v>220</v>
      </c>
    </row>
    <row r="455" spans="1:7" x14ac:dyDescent="0.25">
      <c r="A455">
        <v>16206639</v>
      </c>
      <c r="B455" t="str">
        <f>VLOOKUP(A455,Planilha2!B:C,2,0)</f>
        <v>INVERSOR CFW501G0180T2NBN1C3G2</v>
      </c>
      <c r="C455" t="s">
        <v>1</v>
      </c>
      <c r="D455" t="str">
        <f>VLOOKUP(A455,Planilha2!B:H,7,0)</f>
        <v>LINHA G1</v>
      </c>
      <c r="E455" s="5">
        <v>52000</v>
      </c>
      <c r="F455" t="str">
        <f>IFERROR(
IF(ISNUMBER(FIND("CFW110",B455)),
VALUE(MID(B455,FIND("CFW110",B455)+6,FIND("T",B455,FIND("CFW110",B455))-(FIND("CFW110",B455)+6))),
IF(ISNUMBER(FIND("D",B455)),
VALUE(SUBSTITUTE(MID(B455,FIND("D",B455)+1,FIND("T",B455,FIND("D",B455))-(FIND("D",B455)+1)),"P",",")),
IF(ISNUMBER(FIND("CFW5",B455)),
VALUE(MID(B455,
IF(ISNUMBER(FIND("F",B455)),FIND("F",B455)+1,FIND("G",B455)+1),
FIND("T",B455)-(IF(ISNUMBER(FIND("F",B455)),FIND("F",B455)+1,FIND("G",B455)+1))
)),
VALUE(MID(B455,FIND("E0",B455)+2,FIND("T",B455,FIND("E0",B455))-(FIND("E0",B455)+2)))
))),"")</f>
        <v/>
      </c>
      <c r="G455">
        <f>IFERROR(
IF(ISNUMBER(FIND("T2",B455)),220,
IF(ISNUMBER(FIND("T4",B455)),440,
IF(ISNUMBER(FIND("T5",B455)),575,
IF(ISNUMBER(FIND("T6",B455)),690,"")))),
"")</f>
        <v>220</v>
      </c>
    </row>
    <row r="456" spans="1:7" x14ac:dyDescent="0.25">
      <c r="A456">
        <v>16205099</v>
      </c>
      <c r="B456" t="str">
        <f>VLOOKUP(A456,Planilha2!B:C,2,0)</f>
        <v>INVERSOR CFW501G0180T4DB20C3G2</v>
      </c>
      <c r="C456" t="s">
        <v>1</v>
      </c>
      <c r="D456" t="str">
        <f>VLOOKUP(A456,Planilha2!B:H,7,0)</f>
        <v>LINHA G1</v>
      </c>
      <c r="E456" s="5">
        <v>52000</v>
      </c>
      <c r="F456" t="str">
        <f>IFERROR(
IF(ISNUMBER(FIND("CFW110",B456)),
VALUE(MID(B456,FIND("CFW110",B456)+6,FIND("T",B456,FIND("CFW110",B456))-(FIND("CFW110",B456)+6))),
IF(ISNUMBER(FIND("D",B456)),
VALUE(SUBSTITUTE(MID(B456,FIND("D",B456)+1,FIND("T",B456,FIND("D",B456))-(FIND("D",B456)+1)),"P",",")),
IF(ISNUMBER(FIND("CFW5",B456)),
VALUE(MID(B456,
IF(ISNUMBER(FIND("F",B456)),FIND("F",B456)+1,FIND("G",B456)+1),
FIND("T",B456)-(IF(ISNUMBER(FIND("F",B456)),FIND("F",B456)+1,FIND("G",B456)+1))
)),
VALUE(MID(B456,FIND("E0",B456)+2,FIND("T",B456,FIND("E0",B456))-(FIND("E0",B456)+2)))
))),"")</f>
        <v/>
      </c>
      <c r="G456">
        <f>IFERROR(
IF(ISNUMBER(FIND("T2",B456)),220,
IF(ISNUMBER(FIND("T4",B456)),440,
IF(ISNUMBER(FIND("T5",B456)),575,
IF(ISNUMBER(FIND("T6",B456)),690,"")))),
"")</f>
        <v>440</v>
      </c>
    </row>
    <row r="457" spans="1:7" x14ac:dyDescent="0.25">
      <c r="A457">
        <v>16206645</v>
      </c>
      <c r="B457" t="str">
        <f>VLOOKUP(A457,Planilha2!B:C,2,0)</f>
        <v>INVERSOR CFW501G0180T4DBN1C3G2</v>
      </c>
      <c r="C457" t="s">
        <v>1</v>
      </c>
      <c r="D457" t="str">
        <f>VLOOKUP(A457,Planilha2!B:H,7,0)</f>
        <v>LINHA G1</v>
      </c>
      <c r="E457" s="5">
        <v>52000</v>
      </c>
      <c r="F457" t="str">
        <f>IFERROR(
IF(ISNUMBER(FIND("CFW110",B457)),
VALUE(MID(B457,FIND("CFW110",B457)+6,FIND("T",B457,FIND("CFW110",B457))-(FIND("CFW110",B457)+6))),
IF(ISNUMBER(FIND("D",B457)),
VALUE(SUBSTITUTE(MID(B457,FIND("D",B457)+1,FIND("T",B457,FIND("D",B457))-(FIND("D",B457)+1)),"P",",")),
IF(ISNUMBER(FIND("CFW5",B457)),
VALUE(MID(B457,
IF(ISNUMBER(FIND("F",B457)),FIND("F",B457)+1,FIND("G",B457)+1),
FIND("T",B457)-(IF(ISNUMBER(FIND("F",B457)),FIND("F",B457)+1,FIND("G",B457)+1))
)),
VALUE(MID(B457,FIND("E0",B457)+2,FIND("T",B457,FIND("E0",B457))-(FIND("E0",B457)+2)))
))),"")</f>
        <v/>
      </c>
      <c r="G457">
        <f>IFERROR(
IF(ISNUMBER(FIND("T2",B457)),220,
IF(ISNUMBER(FIND("T4",B457)),440,
IF(ISNUMBER(FIND("T5",B457)),575,
IF(ISNUMBER(FIND("T6",B457)),690,"")))),
"")</f>
        <v>440</v>
      </c>
    </row>
    <row r="458" spans="1:7" x14ac:dyDescent="0.25">
      <c r="A458">
        <v>16206661</v>
      </c>
      <c r="B458" t="str">
        <f>VLOOKUP(A458,Planilha2!B:C,2,0)</f>
        <v>INVERSOR CFW501G0211T4NBN1C3G2</v>
      </c>
      <c r="C458" t="s">
        <v>1</v>
      </c>
      <c r="D458" t="str">
        <f>VLOOKUP(A458,Planilha2!B:H,7,0)</f>
        <v>LINHA G1</v>
      </c>
      <c r="E458" s="5">
        <v>52000</v>
      </c>
      <c r="F458" t="str">
        <f>IFERROR(
IF(ISNUMBER(FIND("CFW110",B458)),
VALUE(MID(B458,FIND("CFW110",B458)+6,FIND("T",B458,FIND("CFW110",B458))-(FIND("CFW110",B458)+6))),
IF(ISNUMBER(FIND("D",B458)),
VALUE(SUBSTITUTE(MID(B458,FIND("D",B458)+1,FIND("T",B458,FIND("D",B458))-(FIND("D",B458)+1)),"P",",")),
IF(ISNUMBER(FIND("CFW5",B458)),
VALUE(MID(B458,
IF(ISNUMBER(FIND("F",B458)),FIND("F",B458)+1,FIND("G",B458)+1),
FIND("T",B458)-(IF(ISNUMBER(FIND("F",B458)),FIND("F",B458)+1,FIND("G",B458)+1))
)),
VALUE(MID(B458,FIND("E0",B458)+2,FIND("T",B458,FIND("E0",B458))-(FIND("E0",B458)+2)))
))),"")</f>
        <v/>
      </c>
      <c r="G458">
        <f>IFERROR(
IF(ISNUMBER(FIND("T2",B458)),220,
IF(ISNUMBER(FIND("T4",B458)),440,
IF(ISNUMBER(FIND("T5",B458)),575,
IF(ISNUMBER(FIND("T6",B458)),690,"")))),
"")</f>
        <v>440</v>
      </c>
    </row>
    <row r="459" spans="1:7" x14ac:dyDescent="0.25">
      <c r="A459">
        <v>16206660</v>
      </c>
      <c r="B459" t="str">
        <f>VLOOKUP(A459,Planilha2!B:C,2,0)</f>
        <v>INVERSOR CFW501G0211T4DBN1C3G2</v>
      </c>
      <c r="C459" t="s">
        <v>1</v>
      </c>
      <c r="D459" t="str">
        <f>VLOOKUP(A459,Planilha2!B:H,7,0)</f>
        <v>LINHA G1</v>
      </c>
      <c r="E459" s="5">
        <v>52000</v>
      </c>
      <c r="F459" t="str">
        <f>IFERROR(
IF(ISNUMBER(FIND("CFW110",B459)),
VALUE(MID(B459,FIND("CFW110",B459)+6,FIND("T",B459,FIND("CFW110",B459))-(FIND("CFW110",B459)+6))),
IF(ISNUMBER(FIND("D",B459)),
VALUE(SUBSTITUTE(MID(B459,FIND("D",B459)+1,FIND("T",B459,FIND("D",B459))-(FIND("D",B459)+1)),"P",",")),
IF(ISNUMBER(FIND("CFW5",B459)),
VALUE(MID(B459,
IF(ISNUMBER(FIND("F",B459)),FIND("F",B459)+1,FIND("G",B459)+1),
FIND("T",B459)-(IF(ISNUMBER(FIND("F",B459)),FIND("F",B459)+1,FIND("G",B459)+1))
)),
VALUE(MID(B459,FIND("E0",B459)+2,FIND("T",B459,FIND("E0",B459))-(FIND("E0",B459)+2)))
))),"")</f>
        <v/>
      </c>
      <c r="G459">
        <f>IFERROR(
IF(ISNUMBER(FIND("T2",B459)),220,
IF(ISNUMBER(FIND("T4",B459)),440,
IF(ISNUMBER(FIND("T5",B459)),575,
IF(ISNUMBER(FIND("T6",B459)),690,"")))),
"")</f>
        <v>440</v>
      </c>
    </row>
    <row r="460" spans="1:7" x14ac:dyDescent="0.25">
      <c r="A460">
        <v>16205974</v>
      </c>
      <c r="B460" t="str">
        <f>VLOOKUP(A460,Planilha2!B:C,2,0)</f>
        <v>INVERSOR CFW501G0211T4NB20C3G2</v>
      </c>
      <c r="C460" t="s">
        <v>1</v>
      </c>
      <c r="D460" t="str">
        <f>VLOOKUP(A460,Planilha2!B:H,7,0)</f>
        <v>LINHA G1</v>
      </c>
      <c r="E460" s="5">
        <v>52000</v>
      </c>
      <c r="F460" t="str">
        <f>IFERROR(
IF(ISNUMBER(FIND("CFW110",B460)),
VALUE(MID(B460,FIND("CFW110",B460)+6,FIND("T",B460,FIND("CFW110",B460))-(FIND("CFW110",B460)+6))),
IF(ISNUMBER(FIND("D",B460)),
VALUE(SUBSTITUTE(MID(B460,FIND("D",B460)+1,FIND("T",B460,FIND("D",B460))-(FIND("D",B460)+1)),"P",",")),
IF(ISNUMBER(FIND("CFW5",B460)),
VALUE(MID(B460,
IF(ISNUMBER(FIND("F",B460)),FIND("F",B460)+1,FIND("G",B460)+1),
FIND("T",B460)-(IF(ISNUMBER(FIND("F",B460)),FIND("F",B460)+1,FIND("G",B460)+1))
)),
VALUE(MID(B460,FIND("E0",B460)+2,FIND("T",B460,FIND("E0",B460))-(FIND("E0",B460)+2)))
))),"")</f>
        <v/>
      </c>
      <c r="G460">
        <f>IFERROR(
IF(ISNUMBER(FIND("T2",B460)),220,
IF(ISNUMBER(FIND("T4",B460)),440,
IF(ISNUMBER(FIND("T5",B460)),575,
IF(ISNUMBER(FIND("T6",B460)),690,"")))),
"")</f>
        <v>440</v>
      </c>
    </row>
    <row r="461" spans="1:7" x14ac:dyDescent="0.25">
      <c r="A461">
        <v>16205973</v>
      </c>
      <c r="B461" t="str">
        <f>VLOOKUP(A461,Planilha2!B:C,2,0)</f>
        <v>INVERSOR CFW501G0211T4DB20C3G2</v>
      </c>
      <c r="C461" t="s">
        <v>1</v>
      </c>
      <c r="D461" t="str">
        <f>VLOOKUP(A461,Planilha2!B:H,7,0)</f>
        <v>LINHA G1</v>
      </c>
      <c r="E461" s="5">
        <v>52000</v>
      </c>
      <c r="F461" t="str">
        <f>IFERROR(
IF(ISNUMBER(FIND("CFW110",B461)),
VALUE(MID(B461,FIND("CFW110",B461)+6,FIND("T",B461,FIND("CFW110",B461))-(FIND("CFW110",B461)+6))),
IF(ISNUMBER(FIND("D",B461)),
VALUE(SUBSTITUTE(MID(B461,FIND("D",B461)+1,FIND("T",B461,FIND("D",B461))-(FIND("D",B461)+1)),"P",",")),
IF(ISNUMBER(FIND("CFW5",B461)),
VALUE(MID(B461,
IF(ISNUMBER(FIND("F",B461)),FIND("F",B461)+1,FIND("G",B461)+1),
FIND("T",B461)-(IF(ISNUMBER(FIND("F",B461)),FIND("F",B461)+1,FIND("G",B461)+1))
)),
VALUE(MID(B461,FIND("E0",B461)+2,FIND("T",B461,FIND("E0",B461))-(FIND("E0",B461)+2)))
))),"")</f>
        <v/>
      </c>
      <c r="G461">
        <f>IFERROR(
IF(ISNUMBER(FIND("T2",B461)),220,
IF(ISNUMBER(FIND("T4",B461)),440,
IF(ISNUMBER(FIND("T5",B461)),575,
IF(ISNUMBER(FIND("T6",B461)),690,"")))),
"")</f>
        <v>440</v>
      </c>
    </row>
    <row r="462" spans="1:7" x14ac:dyDescent="0.25">
      <c r="A462">
        <v>16206641</v>
      </c>
      <c r="B462" t="str">
        <f>VLOOKUP(A462,Planilha2!B:C,2,0)</f>
        <v>INVERSOR CFW501G0211T2NBN1C3G2</v>
      </c>
      <c r="C462" t="s">
        <v>1</v>
      </c>
      <c r="D462" t="str">
        <f>VLOOKUP(A462,Planilha2!B:H,7,0)</f>
        <v>LINHA G1</v>
      </c>
      <c r="E462" s="5">
        <v>52000</v>
      </c>
      <c r="F462" t="str">
        <f>IFERROR(
IF(ISNUMBER(FIND("CFW110",B462)),
VALUE(MID(B462,FIND("CFW110",B462)+6,FIND("T",B462,FIND("CFW110",B462))-(FIND("CFW110",B462)+6))),
IF(ISNUMBER(FIND("D",B462)),
VALUE(SUBSTITUTE(MID(B462,FIND("D",B462)+1,FIND("T",B462,FIND("D",B462))-(FIND("D",B462)+1)),"P",",")),
IF(ISNUMBER(FIND("CFW5",B462)),
VALUE(MID(B462,
IF(ISNUMBER(FIND("F",B462)),FIND("F",B462)+1,FIND("G",B462)+1),
FIND("T",B462)-(IF(ISNUMBER(FIND("F",B462)),FIND("F",B462)+1,FIND("G",B462)+1))
)),
VALUE(MID(B462,FIND("E0",B462)+2,FIND("T",B462,FIND("E0",B462))-(FIND("E0",B462)+2)))
))),"")</f>
        <v/>
      </c>
      <c r="G462">
        <f>IFERROR(
IF(ISNUMBER(FIND("T2",B462)),220,
IF(ISNUMBER(FIND("T4",B462)),440,
IF(ISNUMBER(FIND("T5",B462)),575,
IF(ISNUMBER(FIND("T6",B462)),690,"")))),
"")</f>
        <v>220</v>
      </c>
    </row>
    <row r="463" spans="1:7" x14ac:dyDescent="0.25">
      <c r="A463">
        <v>16206640</v>
      </c>
      <c r="B463" t="str">
        <f>VLOOKUP(A463,Planilha2!B:C,2,0)</f>
        <v>INVERSOR CFW501G0211T2DBN1C3G2</v>
      </c>
      <c r="C463" t="s">
        <v>1</v>
      </c>
      <c r="D463" t="str">
        <f>VLOOKUP(A463,Planilha2!B:H,7,0)</f>
        <v>LINHA G1</v>
      </c>
      <c r="E463" s="5">
        <v>52000</v>
      </c>
      <c r="F463" t="str">
        <f>IFERROR(
IF(ISNUMBER(FIND("CFW110",B463)),
VALUE(MID(B463,FIND("CFW110",B463)+6,FIND("T",B463,FIND("CFW110",B463))-(FIND("CFW110",B463)+6))),
IF(ISNUMBER(FIND("D",B463)),
VALUE(SUBSTITUTE(MID(B463,FIND("D",B463)+1,FIND("T",B463,FIND("D",B463))-(FIND("D",B463)+1)),"P",",")),
IF(ISNUMBER(FIND("CFW5",B463)),
VALUE(MID(B463,
IF(ISNUMBER(FIND("F",B463)),FIND("F",B463)+1,FIND("G",B463)+1),
FIND("T",B463)-(IF(ISNUMBER(FIND("F",B463)),FIND("F",B463)+1,FIND("G",B463)+1))
)),
VALUE(MID(B463,FIND("E0",B463)+2,FIND("T",B463,FIND("E0",B463))-(FIND("E0",B463)+2)))
))),"")</f>
        <v/>
      </c>
      <c r="G463">
        <f>IFERROR(
IF(ISNUMBER(FIND("T2",B463)),220,
IF(ISNUMBER(FIND("T4",B463)),440,
IF(ISNUMBER(FIND("T5",B463)),575,
IF(ISNUMBER(FIND("T6",B463)),690,"")))),
"")</f>
        <v>220</v>
      </c>
    </row>
    <row r="464" spans="1:7" x14ac:dyDescent="0.25">
      <c r="A464">
        <v>16204994</v>
      </c>
      <c r="B464" t="str">
        <f>VLOOKUP(A464,Planilha2!B:C,2,0)</f>
        <v>INVERSOR CFW501G0211T2NB20C3G2</v>
      </c>
      <c r="C464" t="s">
        <v>1</v>
      </c>
      <c r="D464" t="str">
        <f>VLOOKUP(A464,Planilha2!B:H,7,0)</f>
        <v>LINHA G1</v>
      </c>
      <c r="E464" s="5">
        <v>52000</v>
      </c>
      <c r="F464" t="str">
        <f>IFERROR(
IF(ISNUMBER(FIND("CFW110",B464)),
VALUE(MID(B464,FIND("CFW110",B464)+6,FIND("T",B464,FIND("CFW110",B464))-(FIND("CFW110",B464)+6))),
IF(ISNUMBER(FIND("D",B464)),
VALUE(SUBSTITUTE(MID(B464,FIND("D",B464)+1,FIND("T",B464,FIND("D",B464))-(FIND("D",B464)+1)),"P",",")),
IF(ISNUMBER(FIND("CFW5",B464)),
VALUE(MID(B464,
IF(ISNUMBER(FIND("F",B464)),FIND("F",B464)+1,FIND("G",B464)+1),
FIND("T",B464)-(IF(ISNUMBER(FIND("F",B464)),FIND("F",B464)+1,FIND("G",B464)+1))
)),
VALUE(MID(B464,FIND("E0",B464)+2,FIND("T",B464,FIND("E0",B464))-(FIND("E0",B464)+2)))
))),"")</f>
        <v/>
      </c>
      <c r="G464">
        <f>IFERROR(
IF(ISNUMBER(FIND("T2",B464)),220,
IF(ISNUMBER(FIND("T4",B464)),440,
IF(ISNUMBER(FIND("T5",B464)),575,
IF(ISNUMBER(FIND("T6",B464)),690,"")))),
"")</f>
        <v>220</v>
      </c>
    </row>
    <row r="465" spans="1:7" x14ac:dyDescent="0.25">
      <c r="A465">
        <v>16204992</v>
      </c>
      <c r="B465" t="str">
        <f>VLOOKUP(A465,Planilha2!B:C,2,0)</f>
        <v>INVERSOR CFW501G0211T2DB20C3G2</v>
      </c>
      <c r="C465" t="s">
        <v>1</v>
      </c>
      <c r="D465" t="str">
        <f>VLOOKUP(A465,Planilha2!B:H,7,0)</f>
        <v>LINHA G1</v>
      </c>
      <c r="E465" s="5">
        <v>52000</v>
      </c>
      <c r="F465" t="str">
        <f>IFERROR(
IF(ISNUMBER(FIND("CFW110",B465)),
VALUE(MID(B465,FIND("CFW110",B465)+6,FIND("T",B465,FIND("CFW110",B465))-(FIND("CFW110",B465)+6))),
IF(ISNUMBER(FIND("D",B465)),
VALUE(SUBSTITUTE(MID(B465,FIND("D",B465)+1,FIND("T",B465,FIND("D",B465))-(FIND("D",B465)+1)),"P",",")),
IF(ISNUMBER(FIND("CFW5",B465)),
VALUE(MID(B465,
IF(ISNUMBER(FIND("F",B465)),FIND("F",B465)+1,FIND("G",B465)+1),
FIND("T",B465)-(IF(ISNUMBER(FIND("F",B465)),FIND("F",B465)+1,FIND("G",B465)+1))
)),
VALUE(MID(B465,FIND("E0",B465)+2,FIND("T",B465,FIND("E0",B465))-(FIND("E0",B465)+2)))
))),"")</f>
        <v/>
      </c>
      <c r="G465">
        <f>IFERROR(
IF(ISNUMBER(FIND("T2",B465)),220,
IF(ISNUMBER(FIND("T4",B465)),440,
IF(ISNUMBER(FIND("T5",B465)),575,
IF(ISNUMBER(FIND("T6",B465)),690,"")))),
"")</f>
        <v>220</v>
      </c>
    </row>
    <row r="466" spans="1:7" x14ac:dyDescent="0.25">
      <c r="A466">
        <v>16206646</v>
      </c>
      <c r="B466" t="str">
        <f>VLOOKUP(A466,Planilha2!B:C,2,0)</f>
        <v>INVERSOR CFW501G0180T4NBN1C3G2</v>
      </c>
      <c r="C466" t="s">
        <v>1</v>
      </c>
      <c r="D466" t="str">
        <f>VLOOKUP(A466,Planilha2!B:H,7,0)</f>
        <v>LINHA G1</v>
      </c>
      <c r="E466" s="5">
        <v>52000</v>
      </c>
      <c r="F466" t="str">
        <f>IFERROR(
IF(ISNUMBER(FIND("CFW110",B466)),
VALUE(MID(B466,FIND("CFW110",B466)+6,FIND("T",B466,FIND("CFW110",B466))-(FIND("CFW110",B466)+6))),
IF(ISNUMBER(FIND("D",B466)),
VALUE(SUBSTITUTE(MID(B466,FIND("D",B466)+1,FIND("T",B466,FIND("D",B466))-(FIND("D",B466)+1)),"P",",")),
IF(ISNUMBER(FIND("CFW5",B466)),
VALUE(MID(B466,
IF(ISNUMBER(FIND("F",B466)),FIND("F",B466)+1,FIND("G",B466)+1),
FIND("T",B466)-(IF(ISNUMBER(FIND("F",B466)),FIND("F",B466)+1,FIND("G",B466)+1))
)),
VALUE(MID(B466,FIND("E0",B466)+2,FIND("T",B466,FIND("E0",B466))-(FIND("E0",B466)+2)))
))),"")</f>
        <v/>
      </c>
      <c r="G466">
        <f>IFERROR(
IF(ISNUMBER(FIND("T2",B466)),220,
IF(ISNUMBER(FIND("T4",B466)),440,
IF(ISNUMBER(FIND("T5",B466)),575,
IF(ISNUMBER(FIND("T6",B466)),690,"")))),
"")</f>
        <v>440</v>
      </c>
    </row>
    <row r="467" spans="1:7" x14ac:dyDescent="0.25">
      <c r="A467">
        <v>16205972</v>
      </c>
      <c r="B467" t="str">
        <f>VLOOKUP(A467,Planilha2!B:C,2,0)</f>
        <v>INVERSOR CFW501G0180T4NB20C3G2</v>
      </c>
      <c r="C467" t="s">
        <v>1</v>
      </c>
      <c r="D467" t="str">
        <f>VLOOKUP(A467,Planilha2!B:H,7,0)</f>
        <v>LINHA G1</v>
      </c>
      <c r="E467" s="5">
        <v>52000</v>
      </c>
      <c r="F467" t="str">
        <f>IFERROR(
IF(ISNUMBER(FIND("CFW110",B467)),
VALUE(MID(B467,FIND("CFW110",B467)+6,FIND("T",B467,FIND("CFW110",B467))-(FIND("CFW110",B467)+6))),
IF(ISNUMBER(FIND("D",B467)),
VALUE(SUBSTITUTE(MID(B467,FIND("D",B467)+1,FIND("T",B467,FIND("D",B467))-(FIND("D",B467)+1)),"P",",")),
IF(ISNUMBER(FIND("CFW5",B467)),
VALUE(MID(B467,
IF(ISNUMBER(FIND("F",B467)),FIND("F",B467)+1,FIND("G",B467)+1),
FIND("T",B467)-(IF(ISNUMBER(FIND("F",B467)),FIND("F",B467)+1,FIND("G",B467)+1))
)),
VALUE(MID(B467,FIND("E0",B467)+2,FIND("T",B467,FIND("E0",B467))-(FIND("E0",B467)+2)))
))),"")</f>
        <v/>
      </c>
      <c r="G467">
        <f>IFERROR(
IF(ISNUMBER(FIND("T2",B467)),220,
IF(ISNUMBER(FIND("T4",B467)),440,
IF(ISNUMBER(FIND("T5",B467)),575,
IF(ISNUMBER(FIND("T6",B467)),690,"")))),
"")</f>
        <v>440</v>
      </c>
    </row>
    <row r="468" spans="1:7" x14ac:dyDescent="0.25">
      <c r="A468">
        <v>16206531</v>
      </c>
      <c r="B468" t="str">
        <f>VLOOKUP(A468,Planilha2!B:C,2,0)</f>
        <v>INVERSOR CFW501F0105T4DBN1C3G2</v>
      </c>
      <c r="C468" t="s">
        <v>1</v>
      </c>
      <c r="D468" t="str">
        <f>VLOOKUP(A468,Planilha2!B:H,7,0)</f>
        <v>LINHA M3</v>
      </c>
      <c r="E468" s="5">
        <v>26000</v>
      </c>
      <c r="F468" t="str">
        <f>IFERROR(
IF(ISNUMBER(FIND("CFW110",B468)),
VALUE(MID(B468,FIND("CFW110",B468)+6,FIND("T",B468,FIND("CFW110",B468))-(FIND("CFW110",B468)+6))),
IF(ISNUMBER(FIND("D",B468)),
VALUE(SUBSTITUTE(MID(B468,FIND("D",B468)+1,FIND("T",B468,FIND("D",B468))-(FIND("D",B468)+1)),"P",",")),
IF(ISNUMBER(FIND("CFW5",B468)),
VALUE(MID(B468,
IF(ISNUMBER(FIND("F",B468)),FIND("F",B468)+1,FIND("G",B468)+1),
FIND("T",B468)-(IF(ISNUMBER(FIND("F",B468)),FIND("F",B468)+1,FIND("G",B468)+1))
)),
VALUE(MID(B468,FIND("E0",B468)+2,FIND("T",B468,FIND("E0",B468))-(FIND("E0",B468)+2)))
))),"")</f>
        <v/>
      </c>
      <c r="G468">
        <f>IFERROR(
IF(ISNUMBER(FIND("T2",B468)),220,
IF(ISNUMBER(FIND("T4",B468)),440,
IF(ISNUMBER(FIND("T5",B468)),575,
IF(ISNUMBER(FIND("T6",B468)),690,"")))),
"")</f>
        <v>440</v>
      </c>
    </row>
    <row r="469" spans="1:7" x14ac:dyDescent="0.25">
      <c r="A469">
        <v>16204858</v>
      </c>
      <c r="B469" t="str">
        <f>VLOOKUP(A469,Planilha2!B:C,2,0)</f>
        <v>INVERSOR CFW501F0105T4DB20C3G2</v>
      </c>
      <c r="C469" t="s">
        <v>1</v>
      </c>
      <c r="D469" t="str">
        <f>VLOOKUP(A469,Planilha2!B:H,7,0)</f>
        <v>LINHA M3</v>
      </c>
      <c r="E469" s="5">
        <v>26000</v>
      </c>
      <c r="F469" t="str">
        <f>IFERROR(
IF(ISNUMBER(FIND("CFW110",B469)),
VALUE(MID(B469,FIND("CFW110",B469)+6,FIND("T",B469,FIND("CFW110",B469))-(FIND("CFW110",B469)+6))),
IF(ISNUMBER(FIND("D",B469)),
VALUE(SUBSTITUTE(MID(B469,FIND("D",B469)+1,FIND("T",B469,FIND("D",B469))-(FIND("D",B469)+1)),"P",",")),
IF(ISNUMBER(FIND("CFW5",B469)),
VALUE(MID(B469,
IF(ISNUMBER(FIND("F",B469)),FIND("F",B469)+1,FIND("G",B469)+1),
FIND("T",B469)-(IF(ISNUMBER(FIND("F",B469)),FIND("F",B469)+1,FIND("G",B469)+1))
)),
VALUE(MID(B469,FIND("E0",B469)+2,FIND("T",B469,FIND("E0",B469))-(FIND("E0",B469)+2)))
))),"")</f>
        <v/>
      </c>
      <c r="G469">
        <f>IFERROR(
IF(ISNUMBER(FIND("T2",B469)),220,
IF(ISNUMBER(FIND("T4",B469)),440,
IF(ISNUMBER(FIND("T5",B469)),575,
IF(ISNUMBER(FIND("T6",B469)),690,"")))),
"")</f>
        <v>440</v>
      </c>
    </row>
    <row r="470" spans="1:7" x14ac:dyDescent="0.25">
      <c r="A470">
        <v>16206515</v>
      </c>
      <c r="B470" t="str">
        <f>VLOOKUP(A470,Planilha2!B:C,2,0)</f>
        <v>INVERSOR CFW501F0105T2DBN1C3G2</v>
      </c>
      <c r="C470" t="s">
        <v>1</v>
      </c>
      <c r="D470" t="str">
        <f>VLOOKUP(A470,Planilha2!B:H,7,0)</f>
        <v>LINHA M3</v>
      </c>
      <c r="E470" s="5">
        <v>26000</v>
      </c>
      <c r="F470" t="str">
        <f>IFERROR(
IF(ISNUMBER(FIND("CFW110",B470)),
VALUE(MID(B470,FIND("CFW110",B470)+6,FIND("T",B470,FIND("CFW110",B470))-(FIND("CFW110",B470)+6))),
IF(ISNUMBER(FIND("D",B470)),
VALUE(SUBSTITUTE(MID(B470,FIND("D",B470)+1,FIND("T",B470,FIND("D",B470))-(FIND("D",B470)+1)),"P",",")),
IF(ISNUMBER(FIND("CFW5",B470)),
VALUE(MID(B470,
IF(ISNUMBER(FIND("F",B470)),FIND("F",B470)+1,FIND("G",B470)+1),
FIND("T",B470)-(IF(ISNUMBER(FIND("F",B470)),FIND("F",B470)+1,FIND("G",B470)+1))
)),
VALUE(MID(B470,FIND("E0",B470)+2,FIND("T",B470,FIND("E0",B470))-(FIND("E0",B470)+2)))
))),"")</f>
        <v/>
      </c>
      <c r="G470">
        <f>IFERROR(
IF(ISNUMBER(FIND("T2",B470)),220,
IF(ISNUMBER(FIND("T4",B470)),440,
IF(ISNUMBER(FIND("T5",B470)),575,
IF(ISNUMBER(FIND("T6",B470)),690,"")))),
"")</f>
        <v>220</v>
      </c>
    </row>
    <row r="471" spans="1:7" x14ac:dyDescent="0.25">
      <c r="A471">
        <v>16204792</v>
      </c>
      <c r="B471" t="str">
        <f>VLOOKUP(A471,Planilha2!B:C,2,0)</f>
        <v>INVERSOR CFW501F0105T2DB20C3G2</v>
      </c>
      <c r="C471" t="s">
        <v>1</v>
      </c>
      <c r="D471" t="str">
        <f>VLOOKUP(A471,Planilha2!B:H,7,0)</f>
        <v>LINHA M3</v>
      </c>
      <c r="E471" s="5">
        <v>26000</v>
      </c>
      <c r="F471" t="str">
        <f>IFERROR(
IF(ISNUMBER(FIND("CFW110",B471)),
VALUE(MID(B471,FIND("CFW110",B471)+6,FIND("T",B471,FIND("CFW110",B471))-(FIND("CFW110",B471)+6))),
IF(ISNUMBER(FIND("D",B471)),
VALUE(SUBSTITUTE(MID(B471,FIND("D",B471)+1,FIND("T",B471,FIND("D",B471))-(FIND("D",B471)+1)),"P",",")),
IF(ISNUMBER(FIND("CFW5",B471)),
VALUE(MID(B471,
IF(ISNUMBER(FIND("F",B471)),FIND("F",B471)+1,FIND("G",B471)+1),
FIND("T",B471)-(IF(ISNUMBER(FIND("F",B471)),FIND("F",B471)+1,FIND("G",B471)+1))
)),
VALUE(MID(B471,FIND("E0",B471)+2,FIND("T",B471,FIND("E0",B471))-(FIND("E0",B471)+2)))
))),"")</f>
        <v/>
      </c>
      <c r="G471">
        <f>IFERROR(
IF(ISNUMBER(FIND("T2",B471)),220,
IF(ISNUMBER(FIND("T4",B471)),440,
IF(ISNUMBER(FIND("T5",B471)),575,
IF(ISNUMBER(FIND("T6",B471)),690,"")))),
"")</f>
        <v>220</v>
      </c>
    </row>
    <row r="472" spans="1:7" x14ac:dyDescent="0.25">
      <c r="A472">
        <v>16250352</v>
      </c>
      <c r="B472" t="str">
        <f>VLOOKUP(A472,Planilha2!B:C,2,0)</f>
        <v>INVERSOR BRCFW110070T4O55FAECZ</v>
      </c>
      <c r="C472" t="s">
        <v>1</v>
      </c>
      <c r="D472" t="str">
        <f>VLOOKUP(A472,Planilha2!B:H,7,0)</f>
        <v>LINHA M3</v>
      </c>
      <c r="E472" s="5">
        <v>47200</v>
      </c>
      <c r="F472">
        <f>IFERROR(
IF(ISNUMBER(FIND("CFW110",B472)),
VALUE(MID(B472,FIND("CFW110",B472)+6,FIND("T",B472,FIND("CFW110",B472))-(FIND("CFW110",B472)+6))),
IF(ISNUMBER(FIND("D",B472)),
VALUE(SUBSTITUTE(MID(B472,FIND("D",B472)+1,FIND("T",B472,FIND("D",B472))-(FIND("D",B472)+1)),"P",",")),
IF(ISNUMBER(FIND("CFW5",B472)),
VALUE(MID(B472,
IF(ISNUMBER(FIND("F",B472)),FIND("F",B472)+1,FIND("G",B472)+1),
FIND("T",B472)-(IF(ISNUMBER(FIND("F",B472)),FIND("F",B472)+1,FIND("G",B472)+1))
)),
VALUE(MID(B472,FIND("E0",B472)+2,FIND("T",B472,FIND("E0",B472))-(FIND("E0",B472)+2)))
))),"")</f>
        <v>70</v>
      </c>
      <c r="G472">
        <f>IFERROR(
IF(ISNUMBER(FIND("T2",B472)),220,
IF(ISNUMBER(FIND("T4",B472)),440,
IF(ISNUMBER(FIND("T5",B472)),575,
IF(ISNUMBER(FIND("T6",B472)),690,"")))),
"")</f>
        <v>440</v>
      </c>
    </row>
    <row r="473" spans="1:7" x14ac:dyDescent="0.25">
      <c r="A473">
        <v>16236839</v>
      </c>
      <c r="B473" t="str">
        <f>VLOOKUP(A473,Planilha2!B:C,2,0)</f>
        <v>INVERSOR CFW500G0211T4NB20C3H00G2-UI</v>
      </c>
      <c r="C473" t="s">
        <v>1</v>
      </c>
      <c r="D473" t="str">
        <f>VLOOKUP(A473,Planilha2!B:H,7,0)</f>
        <v>LINHA G1</v>
      </c>
      <c r="E473" s="5">
        <v>45000</v>
      </c>
      <c r="F473" t="str">
        <f>IFERROR(
IF(ISNUMBER(FIND("CFW110",B473)),
VALUE(MID(B473,FIND("CFW110",B473)+6,FIND("T",B473,FIND("CFW110",B473))-(FIND("CFW110",B473)+6))),
IF(ISNUMBER(FIND("D",B473)),
VALUE(SUBSTITUTE(MID(B473,FIND("D",B473)+1,FIND("T",B473,FIND("D",B473))-(FIND("D",B473)+1)),"P",",")),
IF(ISNUMBER(FIND("CFW5",B473)),
VALUE(MID(B473,
IF(ISNUMBER(FIND("F",B473)),FIND("F",B473)+1,FIND("G",B473)+1),
FIND("T",B473)-(IF(ISNUMBER(FIND("F",B473)),FIND("F",B473)+1,FIND("G",B473)+1))
)),
VALUE(MID(B473,FIND("E0",B473)+2,FIND("T",B473,FIND("E0",B473))-(FIND("E0",B473)+2)))
))),"")</f>
        <v/>
      </c>
      <c r="G473">
        <f>IFERROR(
IF(ISNUMBER(FIND("T2",B473)),220,
IF(ISNUMBER(FIND("T4",B473)),440,
IF(ISNUMBER(FIND("T5",B473)),575,
IF(ISNUMBER(FIND("T6",B473)),690,"")))),
"")</f>
        <v>440</v>
      </c>
    </row>
    <row r="474" spans="1:7" x14ac:dyDescent="0.25">
      <c r="A474">
        <v>14585885</v>
      </c>
      <c r="B474" t="str">
        <f>VLOOKUP(A474,Planilha2!B:C,2,0)</f>
        <v>INVERSOR CFW701D70P5T4DBN1C3Y1</v>
      </c>
      <c r="C474" t="s">
        <v>1</v>
      </c>
      <c r="D474" t="str">
        <f>VLOOKUP(A474,Planilha2!B:H,7,0)</f>
        <v>OBSOLETOS DRIVES</v>
      </c>
      <c r="E474" s="5">
        <v>31380</v>
      </c>
      <c r="F474">
        <f>IFERROR(
IF(ISNUMBER(FIND("CFW110",B474)),
VALUE(MID(B474,FIND("CFW110",B474)+6,FIND("T",B474,FIND("CFW110",B474))-(FIND("CFW110",B474)+6))),
IF(ISNUMBER(FIND("D",B474)),
VALUE(SUBSTITUTE(MID(B474,FIND("D",B474)+1,FIND("T",B474,FIND("D",B474))-(FIND("D",B474)+1)),"P",",")),
IF(ISNUMBER(FIND("CFW5",B474)),
VALUE(MID(B474,
IF(ISNUMBER(FIND("F",B474)),FIND("F",B474)+1,FIND("G",B474)+1),
FIND("T",B474)-(IF(ISNUMBER(FIND("F",B474)),FIND("F",B474)+1,FIND("G",B474)+1))
)),
VALUE(MID(B474,FIND("E0",B474)+2,FIND("T",B474,FIND("E0",B474))-(FIND("E0",B474)+2)))
))),"")</f>
        <v>70.5</v>
      </c>
      <c r="G474">
        <f>IFERROR(
IF(ISNUMBER(FIND("T2",B474)),220,
IF(ISNUMBER(FIND("T4",B474)),440,
IF(ISNUMBER(FIND("T5",B474)),575,
IF(ISNUMBER(FIND("T6",B474)),690,"")))),
"")</f>
        <v>440</v>
      </c>
    </row>
    <row r="475" spans="1:7" x14ac:dyDescent="0.25">
      <c r="A475">
        <v>16321956</v>
      </c>
      <c r="B475" t="str">
        <f>VLOOKUP(A475,Planilha2!B:C,2,0)</f>
        <v>INVERSOR MSCFW110058T4OFAZ</v>
      </c>
      <c r="C475" t="s">
        <v>1</v>
      </c>
      <c r="D475" t="str">
        <f>VLOOKUP(A475,Planilha2!B:H,7,0)</f>
        <v>LINHA M1</v>
      </c>
      <c r="E475" s="5">
        <v>4500</v>
      </c>
      <c r="F475">
        <f>IFERROR(
IF(ISNUMBER(FIND("CFW110",B475)),
VALUE(MID(B475,FIND("CFW110",B475)+6,FIND("T",B475,FIND("CFW110",B475))-(FIND("CFW110",B475)+6))),
IF(ISNUMBER(FIND("D",B475)),
VALUE(SUBSTITUTE(MID(B475,FIND("D",B475)+1,FIND("T",B475,FIND("D",B475))-(FIND("D",B475)+1)),"P",",")),
IF(ISNUMBER(FIND("CFW5",B475)),
VALUE(MID(B475,
IF(ISNUMBER(FIND("F",B475)),FIND("F",B475)+1,FIND("G",B475)+1),
FIND("T",B475)-(IF(ISNUMBER(FIND("F",B475)),FIND("F",B475)+1,FIND("G",B475)+1))
)),
VALUE(MID(B475,FIND("E0",B475)+2,FIND("T",B475,FIND("E0",B475))-(FIND("E0",B475)+2)))
))),"")</f>
        <v>58</v>
      </c>
      <c r="G475">
        <f>IFERROR(
IF(ISNUMBER(FIND("T2",B475)),220,
IF(ISNUMBER(FIND("T4",B475)),440,
IF(ISNUMBER(FIND("T5",B475)),575,
IF(ISNUMBER(FIND("T6",B475)),690,"")))),
"")</f>
        <v>440</v>
      </c>
    </row>
    <row r="476" spans="1:7" x14ac:dyDescent="0.25">
      <c r="A476">
        <v>16338935</v>
      </c>
      <c r="B476" t="str">
        <f>VLOOKUP(A476,Planilha2!B:C,2,0)</f>
        <v>INVERSOR BRCFW110038T4O55FADSZ</v>
      </c>
      <c r="C476" t="s">
        <v>1</v>
      </c>
      <c r="D476" t="str">
        <f>VLOOKUP(A476,Planilha2!B:H,7,0)</f>
        <v>LINHA M3</v>
      </c>
      <c r="E476" s="5">
        <v>4500</v>
      </c>
      <c r="F476">
        <f>IFERROR(
IF(ISNUMBER(FIND("CFW110",B476)),
VALUE(MID(B476,FIND("CFW110",B476)+6,FIND("T",B476,FIND("CFW110",B476))-(FIND("CFW110",B476)+6))),
IF(ISNUMBER(FIND("D",B476)),
VALUE(SUBSTITUTE(MID(B476,FIND("D",B476)+1,FIND("T",B476,FIND("D",B476))-(FIND("D",B476)+1)),"P",",")),
IF(ISNUMBER(FIND("CFW5",B476)),
VALUE(MID(B476,
IF(ISNUMBER(FIND("F",B476)),FIND("F",B476)+1,FIND("G",B476)+1),
FIND("T",B476)-(IF(ISNUMBER(FIND("F",B476)),FIND("F",B476)+1,FIND("G",B476)+1))
)),
VALUE(MID(B476,FIND("E0",B476)+2,FIND("T",B476,FIND("E0",B476))-(FIND("E0",B476)+2)))
))),"")</f>
        <v>38</v>
      </c>
      <c r="G476">
        <f>IFERROR(
IF(ISNUMBER(FIND("T2",B476)),220,
IF(ISNUMBER(FIND("T4",B476)),440,
IF(ISNUMBER(FIND("T5",B476)),575,
IF(ISNUMBER(FIND("T6",B476)),690,"")))),
"")</f>
        <v>440</v>
      </c>
    </row>
    <row r="477" spans="1:7" x14ac:dyDescent="0.25">
      <c r="A477">
        <v>16381152</v>
      </c>
      <c r="B477" t="str">
        <f>VLOOKUP(A477,Planilha2!B:C,2,0)</f>
        <v>INVERSOR BRCFW110045T2OFAYZ</v>
      </c>
      <c r="C477" t="s">
        <v>1</v>
      </c>
      <c r="D477" t="str">
        <f>VLOOKUP(A477,Planilha2!B:H,7,0)</f>
        <v>LINHA M1</v>
      </c>
      <c r="E477" s="5">
        <v>15600</v>
      </c>
      <c r="F477">
        <f>IFERROR(
IF(ISNUMBER(FIND("CFW110",B477)),
VALUE(MID(B477,FIND("CFW110",B477)+6,FIND("T",B477,FIND("CFW110",B477))-(FIND("CFW110",B477)+6))),
IF(ISNUMBER(FIND("D",B477)),
VALUE(SUBSTITUTE(MID(B477,FIND("D",B477)+1,FIND("T",B477,FIND("D",B477))-(FIND("D",B477)+1)),"P",",")),
IF(ISNUMBER(FIND("CFW5",B477)),
VALUE(MID(B477,
IF(ISNUMBER(FIND("F",B477)),FIND("F",B477)+1,FIND("G",B477)+1),
FIND("T",B477)-(IF(ISNUMBER(FIND("F",B477)),FIND("F",B477)+1,FIND("G",B477)+1))
)),
VALUE(MID(B477,FIND("E0",B477)+2,FIND("T",B477,FIND("E0",B477))-(FIND("E0",B477)+2)))
))),"")</f>
        <v>45</v>
      </c>
      <c r="G477">
        <f>IFERROR(
IF(ISNUMBER(FIND("T2",B477)),220,
IF(ISNUMBER(FIND("T4",B477)),440,
IF(ISNUMBER(FIND("T5",B477)),575,
IF(ISNUMBER(FIND("T6",B477)),690,"")))),
"")</f>
        <v>220</v>
      </c>
    </row>
    <row r="478" spans="1:7" x14ac:dyDescent="0.25">
      <c r="A478">
        <v>16381153</v>
      </c>
      <c r="B478" t="str">
        <f>VLOOKUP(A478,Planilha2!B:C,2,0)</f>
        <v>INVERSOR BRCFW110086T2OFAYZ</v>
      </c>
      <c r="C478" t="s">
        <v>1</v>
      </c>
      <c r="D478" t="str">
        <f>VLOOKUP(A478,Planilha2!B:H,7,0)</f>
        <v>LINHA M3</v>
      </c>
      <c r="E478" s="5">
        <v>29500</v>
      </c>
      <c r="F478">
        <f>IFERROR(
IF(ISNUMBER(FIND("CFW110",B478)),
VALUE(MID(B478,FIND("CFW110",B478)+6,FIND("T",B478,FIND("CFW110",B478))-(FIND("CFW110",B478)+6))),
IF(ISNUMBER(FIND("D",B478)),
VALUE(SUBSTITUTE(MID(B478,FIND("D",B478)+1,FIND("T",B478,FIND("D",B478))-(FIND("D",B478)+1)),"P",",")),
IF(ISNUMBER(FIND("CFW5",B478)),
VALUE(MID(B478,
IF(ISNUMBER(FIND("F",B478)),FIND("F",B478)+1,FIND("G",B478)+1),
FIND("T",B478)-(IF(ISNUMBER(FIND("F",B478)),FIND("F",B478)+1,FIND("G",B478)+1))
)),
VALUE(MID(B478,FIND("E0",B478)+2,FIND("T",B478,FIND("E0",B478))-(FIND("E0",B478)+2)))
))),"")</f>
        <v>86</v>
      </c>
      <c r="G478">
        <f>IFERROR(
IF(ISNUMBER(FIND("T2",B478)),220,
IF(ISNUMBER(FIND("T4",B478)),440,
IF(ISNUMBER(FIND("T5",B478)),575,
IF(ISNUMBER(FIND("T6",B478)),690,"")))),
"")</f>
        <v>220</v>
      </c>
    </row>
    <row r="479" spans="1:7" x14ac:dyDescent="0.25">
      <c r="A479">
        <v>16381155</v>
      </c>
      <c r="B479" t="str">
        <f>VLOOKUP(A479,Planilha2!B:C,2,0)</f>
        <v>INVERSOR BRCFW110105T2OFAYZ</v>
      </c>
      <c r="C479" t="s">
        <v>1</v>
      </c>
      <c r="D479" t="str">
        <f>VLOOKUP(A479,Planilha2!B:H,7,0)</f>
        <v>LINHA M3</v>
      </c>
      <c r="E479" s="5">
        <v>31400</v>
      </c>
      <c r="F479">
        <f>IFERROR(
IF(ISNUMBER(FIND("CFW110",B479)),
VALUE(MID(B479,FIND("CFW110",B479)+6,FIND("T",B479,FIND("CFW110",B479))-(FIND("CFW110",B479)+6))),
IF(ISNUMBER(FIND("D",B479)),
VALUE(SUBSTITUTE(MID(B479,FIND("D",B479)+1,FIND("T",B479,FIND("D",B479))-(FIND("D",B479)+1)),"P",",")),
IF(ISNUMBER(FIND("CFW5",B479)),
VALUE(MID(B479,
IF(ISNUMBER(FIND("F",B479)),FIND("F",B479)+1,FIND("G",B479)+1),
FIND("T",B479)-(IF(ISNUMBER(FIND("F",B479)),FIND("F",B479)+1,FIND("G",B479)+1))
)),
VALUE(MID(B479,FIND("E0",B479)+2,FIND("T",B479,FIND("E0",B479))-(FIND("E0",B479)+2)))
))),"")</f>
        <v>105</v>
      </c>
      <c r="G479">
        <f>IFERROR(
IF(ISNUMBER(FIND("T2",B479)),220,
IF(ISNUMBER(FIND("T4",B479)),440,
IF(ISNUMBER(FIND("T5",B479)),575,
IF(ISNUMBER(FIND("T6",B479)),690,"")))),
"")</f>
        <v>220</v>
      </c>
    </row>
    <row r="480" spans="1:7" x14ac:dyDescent="0.25">
      <c r="A480">
        <v>16394809</v>
      </c>
      <c r="B480" t="str">
        <f>VLOOKUP(A480,Planilha2!B:C,2,0)</f>
        <v>INVERSOR BRCFW110058T4ON1Z</v>
      </c>
      <c r="C480" t="s">
        <v>1</v>
      </c>
      <c r="D480" t="str">
        <f>VLOOKUP(A480,Planilha2!B:H,7,0)</f>
        <v>LINHA M1</v>
      </c>
      <c r="E480" s="5">
        <v>4500</v>
      </c>
      <c r="F480">
        <f>IFERROR(
IF(ISNUMBER(FIND("CFW110",B480)),
VALUE(MID(B480,FIND("CFW110",B480)+6,FIND("T",B480,FIND("CFW110",B480))-(FIND("CFW110",B480)+6))),
IF(ISNUMBER(FIND("D",B480)),
VALUE(SUBSTITUTE(MID(B480,FIND("D",B480)+1,FIND("T",B480,FIND("D",B480))-(FIND("D",B480)+1)),"P",",")),
IF(ISNUMBER(FIND("CFW5",B480)),
VALUE(MID(B480,
IF(ISNUMBER(FIND("F",B480)),FIND("F",B480)+1,FIND("G",B480)+1),
FIND("T",B480)-(IF(ISNUMBER(FIND("F",B480)),FIND("F",B480)+1,FIND("G",B480)+1))
)),
VALUE(MID(B480,FIND("E0",B480)+2,FIND("T",B480,FIND("E0",B480))-(FIND("E0",B480)+2)))
))),"")</f>
        <v>58</v>
      </c>
      <c r="G480">
        <f>IFERROR(
IF(ISNUMBER(FIND("T2",B480)),220,
IF(ISNUMBER(FIND("T4",B480)),440,
IF(ISNUMBER(FIND("T5",B480)),575,
IF(ISNUMBER(FIND("T6",B480)),690,"")))),
"")</f>
        <v>440</v>
      </c>
    </row>
    <row r="481" spans="1:7" x14ac:dyDescent="0.25">
      <c r="A481">
        <v>16341322</v>
      </c>
      <c r="B481" t="str">
        <f>VLOOKUP(A481,Planilha2!B:C,2,0)</f>
        <v>INVERSOR MSCFW110045T4O55YHIZ</v>
      </c>
      <c r="C481" t="s">
        <v>1</v>
      </c>
      <c r="D481" t="str">
        <f>VLOOKUP(A481,Planilha2!B:H,7,0)</f>
        <v>LINHA M3</v>
      </c>
      <c r="E481" s="5">
        <v>19600</v>
      </c>
      <c r="F481">
        <f>IFERROR(
IF(ISNUMBER(FIND("CFW110",B481)),
VALUE(MID(B481,FIND("CFW110",B481)+6,FIND("T",B481,FIND("CFW110",B481))-(FIND("CFW110",B481)+6))),
IF(ISNUMBER(FIND("D",B481)),
VALUE(SUBSTITUTE(MID(B481,FIND("D",B481)+1,FIND("T",B481,FIND("D",B481))-(FIND("D",B481)+1)),"P",",")),
IF(ISNUMBER(FIND("CFW5",B481)),
VALUE(MID(B481,
IF(ISNUMBER(FIND("F",B481)),FIND("F",B481)+1,FIND("G",B481)+1),
FIND("T",B481)-(IF(ISNUMBER(FIND("F",B481)),FIND("F",B481)+1,FIND("G",B481)+1))
)),
VALUE(MID(B481,FIND("E0",B481)+2,FIND("T",B481,FIND("E0",B481))-(FIND("E0",B481)+2)))
))),"")</f>
        <v>45</v>
      </c>
      <c r="G481">
        <f>IFERROR(
IF(ISNUMBER(FIND("T2",B481)),220,
IF(ISNUMBER(FIND("T4",B481)),440,
IF(ISNUMBER(FIND("T5",B481)),575,
IF(ISNUMBER(FIND("T6",B481)),690,"")))),
"")</f>
        <v>440</v>
      </c>
    </row>
    <row r="482" spans="1:7" x14ac:dyDescent="0.25">
      <c r="A482">
        <v>16341321</v>
      </c>
      <c r="B482" t="str">
        <f>VLOOKUP(A482,Planilha2!B:C,2,0)</f>
        <v>INVERSOR MSCFW110038T4O55YHIZ</v>
      </c>
      <c r="C482" t="s">
        <v>1</v>
      </c>
      <c r="D482" t="str">
        <f>VLOOKUP(A482,Planilha2!B:H,7,0)</f>
        <v>LINHA M3</v>
      </c>
      <c r="E482" s="5">
        <v>16400</v>
      </c>
      <c r="F482">
        <f>IFERROR(
IF(ISNUMBER(FIND("CFW110",B482)),
VALUE(MID(B482,FIND("CFW110",B482)+6,FIND("T",B482,FIND("CFW110",B482))-(FIND("CFW110",B482)+6))),
IF(ISNUMBER(FIND("D",B482)),
VALUE(SUBSTITUTE(MID(B482,FIND("D",B482)+1,FIND("T",B482,FIND("D",B482))-(FIND("D",B482)+1)),"P",",")),
IF(ISNUMBER(FIND("CFW5",B482)),
VALUE(MID(B482,
IF(ISNUMBER(FIND("F",B482)),FIND("F",B482)+1,FIND("G",B482)+1),
FIND("T",B482)-(IF(ISNUMBER(FIND("F",B482)),FIND("F",B482)+1,FIND("G",B482)+1))
)),
VALUE(MID(B482,FIND("E0",B482)+2,FIND("T",B482,FIND("E0",B482))-(FIND("E0",B482)+2)))
))),"")</f>
        <v>38</v>
      </c>
      <c r="G482">
        <f>IFERROR(
IF(ISNUMBER(FIND("T2",B482)),220,
IF(ISNUMBER(FIND("T4",B482)),440,
IF(ISNUMBER(FIND("T5",B482)),575,
IF(ISNUMBER(FIND("T6",B482)),690,"")))),
"")</f>
        <v>440</v>
      </c>
    </row>
    <row r="483" spans="1:7" x14ac:dyDescent="0.25">
      <c r="A483">
        <v>16425897</v>
      </c>
      <c r="B483" t="str">
        <f>VLOOKUP(A483,Planilha2!B:C,2,0)</f>
        <v>INVERSOR CFW500G0211T4NB20ECG2</v>
      </c>
      <c r="C483" t="s">
        <v>1</v>
      </c>
      <c r="D483" t="str">
        <f>VLOOKUP(A483,Planilha2!B:H,7,0)</f>
        <v>LINHA G1</v>
      </c>
      <c r="E483" s="5">
        <v>30000</v>
      </c>
      <c r="F483" t="str">
        <f>IFERROR(
IF(ISNUMBER(FIND("CFW110",B483)),
VALUE(MID(B483,FIND("CFW110",B483)+6,FIND("T",B483,FIND("CFW110",B483))-(FIND("CFW110",B483)+6))),
IF(ISNUMBER(FIND("D",B483)),
VALUE(SUBSTITUTE(MID(B483,FIND("D",B483)+1,FIND("T",B483,FIND("D",B483))-(FIND("D",B483)+1)),"P",",")),
IF(ISNUMBER(FIND("CFW5",B483)),
VALUE(MID(B483,
IF(ISNUMBER(FIND("F",B483)),FIND("F",B483)+1,FIND("G",B483)+1),
FIND("T",B483)-(IF(ISNUMBER(FIND("F",B483)),FIND("F",B483)+1,FIND("G",B483)+1))
)),
VALUE(MID(B483,FIND("E0",B483)+2,FIND("T",B483,FIND("E0",B483))-(FIND("E0",B483)+2)))
))),"")</f>
        <v/>
      </c>
      <c r="G483">
        <f>IFERROR(
IF(ISNUMBER(FIND("T2",B483)),220,
IF(ISNUMBER(FIND("T4",B483)),440,
IF(ISNUMBER(FIND("T5",B483)),575,
IF(ISNUMBER(FIND("T6",B483)),690,"")))),
"")</f>
        <v>440</v>
      </c>
    </row>
    <row r="484" spans="1:7" x14ac:dyDescent="0.25">
      <c r="A484">
        <v>15658348</v>
      </c>
      <c r="B484" t="str">
        <f>VLOOKUP(A484,Planilha2!B:C,2,0)</f>
        <v>INVERSOR BRCFW110045T2OFAECZ</v>
      </c>
      <c r="C484" t="s">
        <v>1</v>
      </c>
      <c r="D484" t="str">
        <f>VLOOKUP(A484,Planilha2!B:H,7,0)</f>
        <v>LINHA M1</v>
      </c>
      <c r="E484" s="5">
        <v>15700</v>
      </c>
      <c r="F484">
        <f>IFERROR(
IF(ISNUMBER(FIND("CFW110",B484)),
VALUE(MID(B484,FIND("CFW110",B484)+6,FIND("T",B484,FIND("CFW110",B484))-(FIND("CFW110",B484)+6))),
IF(ISNUMBER(FIND("D",B484)),
VALUE(SUBSTITUTE(MID(B484,FIND("D",B484)+1,FIND("T",B484,FIND("D",B484))-(FIND("D",B484)+1)),"P",",")),
IF(ISNUMBER(FIND("CFW5",B484)),
VALUE(MID(B484,
IF(ISNUMBER(FIND("F",B484)),FIND("F",B484)+1,FIND("G",B484)+1),
FIND("T",B484)-(IF(ISNUMBER(FIND("F",B484)),FIND("F",B484)+1,FIND("G",B484)+1))
)),
VALUE(MID(B484,FIND("E0",B484)+2,FIND("T",B484,FIND("E0",B484))-(FIND("E0",B484)+2)))
))),"")</f>
        <v>45</v>
      </c>
      <c r="G484">
        <f>IFERROR(
IF(ISNUMBER(FIND("T2",B484)),220,
IF(ISNUMBER(FIND("T4",B484)),440,
IF(ISNUMBER(FIND("T5",B484)),575,
IF(ISNUMBER(FIND("T6",B484)),690,"")))),
"")</f>
        <v>220</v>
      </c>
    </row>
    <row r="485" spans="1:7" x14ac:dyDescent="0.25">
      <c r="A485">
        <v>15841299</v>
      </c>
      <c r="B485" t="str">
        <f>VLOOKUP(A485,Planilha2!B:C,2,0)</f>
        <v>INVERSOR EUCFW110142T4ODB55DSYZ</v>
      </c>
      <c r="C485" t="s">
        <v>1</v>
      </c>
      <c r="D485" t="str">
        <f>VLOOKUP(A485,Planilha2!B:H,7,0)</f>
        <v>LINHA E1</v>
      </c>
      <c r="E485" t="s">
        <v>3172</v>
      </c>
      <c r="F485">
        <f>IFERROR(
IF(ISNUMBER(FIND("CFW110",B485)),
VALUE(MID(B485,FIND("CFW110",B485)+6,FIND("T",B485,FIND("CFW110",B485))-(FIND("CFW110",B485)+6))),
IF(ISNUMBER(FIND("D",B485)),
VALUE(SUBSTITUTE(MID(B485,FIND("D",B485)+1,FIND("T",B485,FIND("D",B485))-(FIND("D",B485)+1)),"P",",")),
IF(ISNUMBER(FIND("CFW5",B485)),
VALUE(MID(B485,
IF(ISNUMBER(FIND("F",B485)),FIND("F",B485)+1,FIND("G",B485)+1),
FIND("T",B485)-(IF(ISNUMBER(FIND("F",B485)),FIND("F",B485)+1,FIND("G",B485)+1))
)),
VALUE(MID(B485,FIND("E0",B485)+2,FIND("T",B485,FIND("E0",B485))-(FIND("E0",B485)+2)))
))),"")</f>
        <v>142</v>
      </c>
      <c r="G485">
        <f>IFERROR(
IF(ISNUMBER(FIND("T2",B485)),220,
IF(ISNUMBER(FIND("T4",B485)),440,
IF(ISNUMBER(FIND("T5",B485)),575,
IF(ISNUMBER(FIND("T6",B485)),690,"")))),
"")</f>
        <v>440</v>
      </c>
    </row>
    <row r="486" spans="1:7" x14ac:dyDescent="0.25">
      <c r="A486">
        <v>16494931</v>
      </c>
      <c r="B486" t="str">
        <f>VLOOKUP(A486,Planilha2!B:C,2,0)</f>
        <v>INVERSOR BRCFW110070T2OH4Z</v>
      </c>
      <c r="C486" t="s">
        <v>1</v>
      </c>
      <c r="D486" t="str">
        <f>VLOOKUP(A486,Planilha2!B:H,7,0)</f>
        <v>LINHA M1</v>
      </c>
      <c r="E486" s="5">
        <v>28100</v>
      </c>
      <c r="F486">
        <f>IFERROR(
IF(ISNUMBER(FIND("CFW110",B486)),
VALUE(MID(B486,FIND("CFW110",B486)+6,FIND("T",B486,FIND("CFW110",B486))-(FIND("CFW110",B486)+6))),
IF(ISNUMBER(FIND("D",B486)),
VALUE(SUBSTITUTE(MID(B486,FIND("D",B486)+1,FIND("T",B486,FIND("D",B486))-(FIND("D",B486)+1)),"P",",")),
IF(ISNUMBER(FIND("CFW5",B486)),
VALUE(MID(B486,
IF(ISNUMBER(FIND("F",B486)),FIND("F",B486)+1,FIND("G",B486)+1),
FIND("T",B486)-(IF(ISNUMBER(FIND("F",B486)),FIND("F",B486)+1,FIND("G",B486)+1))
)),
VALUE(MID(B486,FIND("E0",B486)+2,FIND("T",B486,FIND("E0",B486))-(FIND("E0",B486)+2)))
))),"")</f>
        <v>70</v>
      </c>
      <c r="G486">
        <f>IFERROR(
IF(ISNUMBER(FIND("T2",B486)),220,
IF(ISNUMBER(FIND("T4",B486)),440,
IF(ISNUMBER(FIND("T5",B486)),575,
IF(ISNUMBER(FIND("T6",B486)),690,"")))),
"")</f>
        <v>220</v>
      </c>
    </row>
    <row r="487" spans="1:7" x14ac:dyDescent="0.25">
      <c r="A487">
        <v>16645612</v>
      </c>
      <c r="B487" t="str">
        <f>VLOOKUP(A487,Planilha2!B:C,2,0)</f>
        <v>INVERSOR BRCFW110038T4OFAYECZ</v>
      </c>
      <c r="C487" t="s">
        <v>1</v>
      </c>
      <c r="D487" t="str">
        <f>VLOOKUP(A487,Planilha2!B:H,7,0)</f>
        <v>LINHA M1</v>
      </c>
      <c r="E487" s="5">
        <v>4500</v>
      </c>
      <c r="F487">
        <f>IFERROR(
IF(ISNUMBER(FIND("CFW110",B487)),
VALUE(MID(B487,FIND("CFW110",B487)+6,FIND("T",B487,FIND("CFW110",B487))-(FIND("CFW110",B487)+6))),
IF(ISNUMBER(FIND("D",B487)),
VALUE(SUBSTITUTE(MID(B487,FIND("D",B487)+1,FIND("T",B487,FIND("D",B487))-(FIND("D",B487)+1)),"P",",")),
IF(ISNUMBER(FIND("CFW5",B487)),
VALUE(MID(B487,
IF(ISNUMBER(FIND("F",B487)),FIND("F",B487)+1,FIND("G",B487)+1),
FIND("T",B487)-(IF(ISNUMBER(FIND("F",B487)),FIND("F",B487)+1,FIND("G",B487)+1))
)),
VALUE(MID(B487,FIND("E0",B487)+2,FIND("T",B487,FIND("E0",B487))-(FIND("E0",B487)+2)))
))),"")</f>
        <v>38</v>
      </c>
      <c r="G487">
        <f>IFERROR(
IF(ISNUMBER(FIND("T2",B487)),220,
IF(ISNUMBER(FIND("T4",B487)),440,
IF(ISNUMBER(FIND("T5",B487)),575,
IF(ISNUMBER(FIND("T6",B487)),690,"")))),
"")</f>
        <v>440</v>
      </c>
    </row>
    <row r="488" spans="1:7" x14ac:dyDescent="0.25">
      <c r="A488">
        <v>16645439</v>
      </c>
      <c r="B488" t="str">
        <f>VLOOKUP(A488,Planilha2!B:C,2,0)</f>
        <v>INVERSOR BRCFW110058T4OFAYECZ</v>
      </c>
      <c r="C488" t="s">
        <v>1</v>
      </c>
      <c r="D488" t="str">
        <f>VLOOKUP(A488,Planilha2!B:H,7,0)</f>
        <v>LINHA M1</v>
      </c>
      <c r="E488" s="5">
        <v>21201</v>
      </c>
      <c r="F488">
        <f>IFERROR(
IF(ISNUMBER(FIND("CFW110",B488)),
VALUE(MID(B488,FIND("CFW110",B488)+6,FIND("T",B488,FIND("CFW110",B488))-(FIND("CFW110",B488)+6))),
IF(ISNUMBER(FIND("D",B488)),
VALUE(SUBSTITUTE(MID(B488,FIND("D",B488)+1,FIND("T",B488,FIND("D",B488))-(FIND("D",B488)+1)),"P",",")),
IF(ISNUMBER(FIND("CFW5",B488)),
VALUE(MID(B488,
IF(ISNUMBER(FIND("F",B488)),FIND("F",B488)+1,FIND("G",B488)+1),
FIND("T",B488)-(IF(ISNUMBER(FIND("F",B488)),FIND("F",B488)+1,FIND("G",B488)+1))
)),
VALUE(MID(B488,FIND("E0",B488)+2,FIND("T",B488,FIND("E0",B488))-(FIND("E0",B488)+2)))
))),"")</f>
        <v>58</v>
      </c>
      <c r="G488">
        <f>IFERROR(
IF(ISNUMBER(FIND("T2",B488)),220,
IF(ISNUMBER(FIND("T4",B488)),440,
IF(ISNUMBER(FIND("T5",B488)),575,
IF(ISNUMBER(FIND("T6",B488)),690,"")))),
"")</f>
        <v>440</v>
      </c>
    </row>
    <row r="489" spans="1:7" x14ac:dyDescent="0.25">
      <c r="A489">
        <v>16641543</v>
      </c>
      <c r="B489" t="str">
        <f>VLOOKUP(A489,Planilha2!B:C,2,0)</f>
        <v>INVERSOR CFW700C58P5T4DB20C3Y1HWEN</v>
      </c>
      <c r="C489" t="s">
        <v>1</v>
      </c>
      <c r="D489" t="str">
        <f>VLOOKUP(A489,Planilha2!B:H,7,0)</f>
        <v>OBSOLETOS DRIVES</v>
      </c>
      <c r="E489" s="5">
        <v>16000</v>
      </c>
      <c r="F489" t="str">
        <f>IFERROR(
IF(ISNUMBER(FIND("CFW110",B489)),
VALUE(MID(B489,FIND("CFW110",B489)+6,FIND("T",B489,FIND("CFW110",B489))-(FIND("CFW110",B489)+6))),
IF(ISNUMBER(FIND("D",B489)),
VALUE(SUBSTITUTE(MID(B489,FIND("D",B489)+1,FIND("T",B489,FIND("D",B489))-(FIND("D",B489)+1)),"P",",")),
IF(ISNUMBER(FIND("CFW5",B489)),
VALUE(MID(B489,
IF(ISNUMBER(FIND("F",B489)),FIND("F",B489)+1,FIND("G",B489)+1),
FIND("T",B489)-(IF(ISNUMBER(FIND("F",B489)),FIND("F",B489)+1,FIND("G",B489)+1))
)),
VALUE(MID(B489,FIND("E0",B489)+2,FIND("T",B489,FIND("E0",B489))-(FIND("E0",B489)+2)))
))),"")</f>
        <v/>
      </c>
      <c r="G489">
        <f>IFERROR(
IF(ISNUMBER(FIND("T2",B489)),220,
IF(ISNUMBER(FIND("T4",B489)),440,
IF(ISNUMBER(FIND("T5",B489)),575,
IF(ISNUMBER(FIND("T6",B489)),690,"")))),
"")</f>
        <v>440</v>
      </c>
    </row>
    <row r="490" spans="1:7" x14ac:dyDescent="0.25">
      <c r="A490">
        <v>16706018</v>
      </c>
      <c r="B490" t="str">
        <f>VLOOKUP(A490,Planilha2!B:C,2,0)</f>
        <v>INVERSOR CFW500G0142T4DB20H03SDG2</v>
      </c>
      <c r="C490" t="s">
        <v>1</v>
      </c>
      <c r="D490" t="str">
        <f>VLOOKUP(A490,Planilha2!B:H,7,0)</f>
        <v>LINHA G1</v>
      </c>
      <c r="E490" s="5">
        <v>30000</v>
      </c>
      <c r="F490" t="str">
        <f>IFERROR(
IF(ISNUMBER(FIND("CFW110",B490)),
VALUE(MID(B490,FIND("CFW110",B490)+6,FIND("T",B490,FIND("CFW110",B490))-(FIND("CFW110",B490)+6))),
IF(ISNUMBER(FIND("D",B490)),
VALUE(SUBSTITUTE(MID(B490,FIND("D",B490)+1,FIND("T",B490,FIND("D",B490))-(FIND("D",B490)+1)),"P",",")),
IF(ISNUMBER(FIND("CFW5",B490)),
VALUE(MID(B490,
IF(ISNUMBER(FIND("F",B490)),FIND("F",B490)+1,FIND("G",B490)+1),
FIND("T",B490)-(IF(ISNUMBER(FIND("F",B490)),FIND("F",B490)+1,FIND("G",B490)+1))
)),
VALUE(MID(B490,FIND("E0",B490)+2,FIND("T",B490,FIND("E0",B490))-(FIND("E0",B490)+2)))
))),"")</f>
        <v/>
      </c>
      <c r="G490">
        <f>IFERROR(
IF(ISNUMBER(FIND("T2",B490)),220,
IF(ISNUMBER(FIND("T4",B490)),440,
IF(ISNUMBER(FIND("T5",B490)),575,
IF(ISNUMBER(FIND("T6",B490)),690,"")))),
"")</f>
        <v>440</v>
      </c>
    </row>
    <row r="491" spans="1:7" x14ac:dyDescent="0.25">
      <c r="A491">
        <v>16706021</v>
      </c>
      <c r="B491" t="str">
        <f>VLOOKUP(A491,Planilha2!B:C,2,0)</f>
        <v>INVERSOR CFW500G0180T4DB20H03SDG2</v>
      </c>
      <c r="C491" t="s">
        <v>1</v>
      </c>
      <c r="D491" t="str">
        <f>VLOOKUP(A491,Planilha2!B:H,7,0)</f>
        <v>LINHA G1</v>
      </c>
      <c r="E491" s="5">
        <v>30000</v>
      </c>
      <c r="F491" t="str">
        <f>IFERROR(
IF(ISNUMBER(FIND("CFW110",B491)),
VALUE(MID(B491,FIND("CFW110",B491)+6,FIND("T",B491,FIND("CFW110",B491))-(FIND("CFW110",B491)+6))),
IF(ISNUMBER(FIND("D",B491)),
VALUE(SUBSTITUTE(MID(B491,FIND("D",B491)+1,FIND("T",B491,FIND("D",B491))-(FIND("D",B491)+1)),"P",",")),
IF(ISNUMBER(FIND("CFW5",B491)),
VALUE(MID(B491,
IF(ISNUMBER(FIND("F",B491)),FIND("F",B491)+1,FIND("G",B491)+1),
FIND("T",B491)-(IF(ISNUMBER(FIND("F",B491)),FIND("F",B491)+1,FIND("G",B491)+1))
)),
VALUE(MID(B491,FIND("E0",B491)+2,FIND("T",B491,FIND("E0",B491))-(FIND("E0",B491)+2)))
))),"")</f>
        <v/>
      </c>
      <c r="G491">
        <f>IFERROR(
IF(ISNUMBER(FIND("T2",B491)),220,
IF(ISNUMBER(FIND("T4",B491)),440,
IF(ISNUMBER(FIND("T5",B491)),575,
IF(ISNUMBER(FIND("T6",B491)),690,"")))),
"")</f>
        <v>440</v>
      </c>
    </row>
    <row r="492" spans="1:7" x14ac:dyDescent="0.25">
      <c r="A492">
        <v>16706025</v>
      </c>
      <c r="B492" t="str">
        <f>VLOOKUP(A492,Planilha2!B:C,2,0)</f>
        <v>INVERSOR CFW500G0211T4DB20H03SDG2</v>
      </c>
      <c r="C492" t="s">
        <v>1</v>
      </c>
      <c r="D492" t="str">
        <f>VLOOKUP(A492,Planilha2!B:H,7,0)</f>
        <v>LINHA G1</v>
      </c>
      <c r="E492" s="5">
        <v>30000</v>
      </c>
      <c r="F492" t="str">
        <f>IFERROR(
IF(ISNUMBER(FIND("CFW110",B492)),
VALUE(MID(B492,FIND("CFW110",B492)+6,FIND("T",B492,FIND("CFW110",B492))-(FIND("CFW110",B492)+6))),
IF(ISNUMBER(FIND("D",B492)),
VALUE(SUBSTITUTE(MID(B492,FIND("D",B492)+1,FIND("T",B492,FIND("D",B492))-(FIND("D",B492)+1)),"P",",")),
IF(ISNUMBER(FIND("CFW5",B492)),
VALUE(MID(B492,
IF(ISNUMBER(FIND("F",B492)),FIND("F",B492)+1,FIND("G",B492)+1),
FIND("T",B492)-(IF(ISNUMBER(FIND("F",B492)),FIND("F",B492)+1,FIND("G",B492)+1))
)),
VALUE(MID(B492,FIND("E0",B492)+2,FIND("T",B492,FIND("E0",B492))-(FIND("E0",B492)+2)))
))),"")</f>
        <v/>
      </c>
      <c r="G492">
        <f>IFERROR(
IF(ISNUMBER(FIND("T2",B492)),220,
IF(ISNUMBER(FIND("T4",B492)),440,
IF(ISNUMBER(FIND("T5",B492)),575,
IF(ISNUMBER(FIND("T6",B492)),690,"")))),
"")</f>
        <v>440</v>
      </c>
    </row>
    <row r="493" spans="1:7" x14ac:dyDescent="0.25">
      <c r="A493">
        <v>16747614</v>
      </c>
      <c r="B493" t="str">
        <f>VLOOKUP(A493,Planilha2!B:C,2,0)</f>
        <v>INVERSOR BRCFW110032T6ONBYHSZ</v>
      </c>
      <c r="C493" t="s">
        <v>1</v>
      </c>
      <c r="D493" t="str">
        <f>VLOOKUP(A493,Planilha2!B:H,7,0)</f>
        <v>LINHA M3</v>
      </c>
      <c r="E493" s="5">
        <v>26000</v>
      </c>
      <c r="F493">
        <f>IFERROR(
IF(ISNUMBER(FIND("CFW110",B493)),
VALUE(MID(B493,FIND("CFW110",B493)+6,FIND("T",B493,FIND("CFW110",B493))-(FIND("CFW110",B493)+6))),
IF(ISNUMBER(FIND("D",B493)),
VALUE(SUBSTITUTE(MID(B493,FIND("D",B493)+1,FIND("T",B493,FIND("D",B493))-(FIND("D",B493)+1)),"P",",")),
IF(ISNUMBER(FIND("CFW5",B493)),
VALUE(MID(B493,
IF(ISNUMBER(FIND("F",B493)),FIND("F",B493)+1,FIND("G",B493)+1),
FIND("T",B493)-(IF(ISNUMBER(FIND("F",B493)),FIND("F",B493)+1,FIND("G",B493)+1))
)),
VALUE(MID(B493,FIND("E0",B493)+2,FIND("T",B493,FIND("E0",B493))-(FIND("E0",B493)+2)))
))),"")</f>
        <v>32</v>
      </c>
      <c r="G493">
        <f>IFERROR(
IF(ISNUMBER(FIND("T2",B493)),220,
IF(ISNUMBER(FIND("T4",B493)),440,
IF(ISNUMBER(FIND("T5",B493)),575,
IF(ISNUMBER(FIND("T6",B493)),690,"")))),
"")</f>
        <v>690</v>
      </c>
    </row>
    <row r="494" spans="1:7" x14ac:dyDescent="0.25">
      <c r="A494">
        <v>16747045</v>
      </c>
      <c r="B494" t="str">
        <f>VLOOKUP(A494,Planilha2!B:C,2,0)</f>
        <v>INVERSOR BRCFW110027T6ONBYHSZ</v>
      </c>
      <c r="C494" t="s">
        <v>1</v>
      </c>
      <c r="D494" t="str">
        <f>VLOOKUP(A494,Planilha2!B:H,7,0)</f>
        <v>LINHA M3</v>
      </c>
      <c r="E494" s="5">
        <v>26000</v>
      </c>
      <c r="F494">
        <f>IFERROR(
IF(ISNUMBER(FIND("CFW110",B494)),
VALUE(MID(B494,FIND("CFW110",B494)+6,FIND("T",B494,FIND("CFW110",B494))-(FIND("CFW110",B494)+6))),
IF(ISNUMBER(FIND("D",B494)),
VALUE(SUBSTITUTE(MID(B494,FIND("D",B494)+1,FIND("T",B494,FIND("D",B494))-(FIND("D",B494)+1)),"P",",")),
IF(ISNUMBER(FIND("CFW5",B494)),
VALUE(MID(B494,
IF(ISNUMBER(FIND("F",B494)),FIND("F",B494)+1,FIND("G",B494)+1),
FIND("T",B494)-(IF(ISNUMBER(FIND("F",B494)),FIND("F",B494)+1,FIND("G",B494)+1))
)),
VALUE(MID(B494,FIND("E0",B494)+2,FIND("T",B494,FIND("E0",B494))-(FIND("E0",B494)+2)))
))),"")</f>
        <v>27</v>
      </c>
      <c r="G494">
        <f>IFERROR(
IF(ISNUMBER(FIND("T2",B494)),220,
IF(ISNUMBER(FIND("T4",B494)),440,
IF(ISNUMBER(FIND("T5",B494)),575,
IF(ISNUMBER(FIND("T6",B494)),690,"")))),
"")</f>
        <v>690</v>
      </c>
    </row>
    <row r="495" spans="1:7" x14ac:dyDescent="0.25">
      <c r="A495">
        <v>16746980</v>
      </c>
      <c r="B495" t="str">
        <f>VLOOKUP(A495,Planilha2!B:C,2,0)</f>
        <v>INVERSOR BRCFW110022T6ONBYHSZ</v>
      </c>
      <c r="C495" t="s">
        <v>1</v>
      </c>
      <c r="D495" t="str">
        <f>VLOOKUP(A495,Planilha2!B:H,7,0)</f>
        <v>LINHA M3</v>
      </c>
      <c r="E495" s="5">
        <v>26000</v>
      </c>
      <c r="F495">
        <f>IFERROR(
IF(ISNUMBER(FIND("CFW110",B495)),
VALUE(MID(B495,FIND("CFW110",B495)+6,FIND("T",B495,FIND("CFW110",B495))-(FIND("CFW110",B495)+6))),
IF(ISNUMBER(FIND("D",B495)),
VALUE(SUBSTITUTE(MID(B495,FIND("D",B495)+1,FIND("T",B495,FIND("D",B495))-(FIND("D",B495)+1)),"P",",")),
IF(ISNUMBER(FIND("CFW5",B495)),
VALUE(MID(B495,
IF(ISNUMBER(FIND("F",B495)),FIND("F",B495)+1,FIND("G",B495)+1),
FIND("T",B495)-(IF(ISNUMBER(FIND("F",B495)),FIND("F",B495)+1,FIND("G",B495)+1))
)),
VALUE(MID(B495,FIND("E0",B495)+2,FIND("T",B495,FIND("E0",B495))-(FIND("E0",B495)+2)))
))),"")</f>
        <v>22</v>
      </c>
      <c r="G495">
        <f>IFERROR(
IF(ISNUMBER(FIND("T2",B495)),220,
IF(ISNUMBER(FIND("T4",B495)),440,
IF(ISNUMBER(FIND("T5",B495)),575,
IF(ISNUMBER(FIND("T6",B495)),690,"")))),
"")</f>
        <v>690</v>
      </c>
    </row>
    <row r="496" spans="1:7" x14ac:dyDescent="0.25">
      <c r="A496">
        <v>16746978</v>
      </c>
      <c r="B496" t="str">
        <f>VLOOKUP(A496,Planilha2!B:C,2,0)</f>
        <v>INVERSOR BRCFW110017T6ONBYHSZ</v>
      </c>
      <c r="C496" t="s">
        <v>1</v>
      </c>
      <c r="D496" t="str">
        <f>VLOOKUP(A496,Planilha2!B:H,7,0)</f>
        <v>LINHA M3</v>
      </c>
      <c r="E496" s="5">
        <v>26000</v>
      </c>
      <c r="F496">
        <f>IFERROR(
IF(ISNUMBER(FIND("CFW110",B496)),
VALUE(MID(B496,FIND("CFW110",B496)+6,FIND("T",B496,FIND("CFW110",B496))-(FIND("CFW110",B496)+6))),
IF(ISNUMBER(FIND("D",B496)),
VALUE(SUBSTITUTE(MID(B496,FIND("D",B496)+1,FIND("T",B496,FIND("D",B496))-(FIND("D",B496)+1)),"P",",")),
IF(ISNUMBER(FIND("CFW5",B496)),
VALUE(MID(B496,
IF(ISNUMBER(FIND("F",B496)),FIND("F",B496)+1,FIND("G",B496)+1),
FIND("T",B496)-(IF(ISNUMBER(FIND("F",B496)),FIND("F",B496)+1,FIND("G",B496)+1))
)),
VALUE(MID(B496,FIND("E0",B496)+2,FIND("T",B496,FIND("E0",B496))-(FIND("E0",B496)+2)))
))),"")</f>
        <v>17</v>
      </c>
      <c r="G496">
        <f>IFERROR(
IF(ISNUMBER(FIND("T2",B496)),220,
IF(ISNUMBER(FIND("T4",B496)),440,
IF(ISNUMBER(FIND("T5",B496)),575,
IF(ISNUMBER(FIND("T6",B496)),690,"")))),
"")</f>
        <v>690</v>
      </c>
    </row>
    <row r="497" spans="1:7" x14ac:dyDescent="0.25">
      <c r="A497">
        <v>16746947</v>
      </c>
      <c r="B497" t="str">
        <f>VLOOKUP(A497,Planilha2!B:C,2,0)</f>
        <v>INVERSOR BRCFW110012T6ONBYHSZ</v>
      </c>
      <c r="C497" t="s">
        <v>1</v>
      </c>
      <c r="D497" t="str">
        <f>VLOOKUP(A497,Planilha2!B:H,7,0)</f>
        <v>LINHA M3</v>
      </c>
      <c r="E497" s="5">
        <v>26000</v>
      </c>
      <c r="F497">
        <f>IFERROR(
IF(ISNUMBER(FIND("CFW110",B497)),
VALUE(MID(B497,FIND("CFW110",B497)+6,FIND("T",B497,FIND("CFW110",B497))-(FIND("CFW110",B497)+6))),
IF(ISNUMBER(FIND("D",B497)),
VALUE(SUBSTITUTE(MID(B497,FIND("D",B497)+1,FIND("T",B497,FIND("D",B497))-(FIND("D",B497)+1)),"P",",")),
IF(ISNUMBER(FIND("CFW5",B497)),
VALUE(MID(B497,
IF(ISNUMBER(FIND("F",B497)),FIND("F",B497)+1,FIND("G",B497)+1),
FIND("T",B497)-(IF(ISNUMBER(FIND("F",B497)),FIND("F",B497)+1,FIND("G",B497)+1))
)),
VALUE(MID(B497,FIND("E0",B497)+2,FIND("T",B497,FIND("E0",B497))-(FIND("E0",B497)+2)))
))),"")</f>
        <v>12</v>
      </c>
      <c r="G497">
        <f>IFERROR(
IF(ISNUMBER(FIND("T2",B497)),220,
IF(ISNUMBER(FIND("T4",B497)),440,
IF(ISNUMBER(FIND("T5",B497)),575,
IF(ISNUMBER(FIND("T6",B497)),690,"")))),
"")</f>
        <v>690</v>
      </c>
    </row>
    <row r="498" spans="1:7" x14ac:dyDescent="0.25">
      <c r="A498">
        <v>16746943</v>
      </c>
      <c r="B498" t="str">
        <f>VLOOKUP(A498,Planilha2!B:C,2,0)</f>
        <v>INVERSOR BRCFW110010T6ONBYHSZ</v>
      </c>
      <c r="C498" t="s">
        <v>1</v>
      </c>
      <c r="D498" t="str">
        <f>VLOOKUP(A498,Planilha2!B:H,7,0)</f>
        <v>LINHA M3</v>
      </c>
      <c r="E498" s="5">
        <v>26000</v>
      </c>
      <c r="F498">
        <f>IFERROR(
IF(ISNUMBER(FIND("CFW110",B498)),
VALUE(MID(B498,FIND("CFW110",B498)+6,FIND("T",B498,FIND("CFW110",B498))-(FIND("CFW110",B498)+6))),
IF(ISNUMBER(FIND("D",B498)),
VALUE(SUBSTITUTE(MID(B498,FIND("D",B498)+1,FIND("T",B498,FIND("D",B498))-(FIND("D",B498)+1)),"P",",")),
IF(ISNUMBER(FIND("CFW5",B498)),
VALUE(MID(B498,
IF(ISNUMBER(FIND("F",B498)),FIND("F",B498)+1,FIND("G",B498)+1),
FIND("T",B498)-(IF(ISNUMBER(FIND("F",B498)),FIND("F",B498)+1,FIND("G",B498)+1))
)),
VALUE(MID(B498,FIND("E0",B498)+2,FIND("T",B498,FIND("E0",B498))-(FIND("E0",B498)+2)))
))),"")</f>
        <v>10</v>
      </c>
      <c r="G498">
        <f>IFERROR(
IF(ISNUMBER(FIND("T2",B498)),220,
IF(ISNUMBER(FIND("T4",B498)),440,
IF(ISNUMBER(FIND("T5",B498)),575,
IF(ISNUMBER(FIND("T6",B498)),690,"")))),
"")</f>
        <v>690</v>
      </c>
    </row>
    <row r="499" spans="1:7" x14ac:dyDescent="0.25">
      <c r="A499">
        <v>16774397</v>
      </c>
      <c r="B499" t="str">
        <f>VLOOKUP(A499,Planilha2!B:C,2,0)</f>
        <v>INVERSOR BRCFW110032T6ONBYHSZ-UI</v>
      </c>
      <c r="C499" t="s">
        <v>1</v>
      </c>
      <c r="D499" t="str">
        <f>VLOOKUP(A499,Planilha2!B:H,7,0)</f>
        <v>LINHA M3</v>
      </c>
      <c r="E499" s="5">
        <v>26000</v>
      </c>
      <c r="F499">
        <f>IFERROR(
IF(ISNUMBER(FIND("CFW110",B499)),
VALUE(MID(B499,FIND("CFW110",B499)+6,FIND("T",B499,FIND("CFW110",B499))-(FIND("CFW110",B499)+6))),
IF(ISNUMBER(FIND("D",B499)),
VALUE(SUBSTITUTE(MID(B499,FIND("D",B499)+1,FIND("T",B499,FIND("D",B499))-(FIND("D",B499)+1)),"P",",")),
IF(ISNUMBER(FIND("CFW5",B499)),
VALUE(MID(B499,
IF(ISNUMBER(FIND("F",B499)),FIND("F",B499)+1,FIND("G",B499)+1),
FIND("T",B499)-(IF(ISNUMBER(FIND("F",B499)),FIND("F",B499)+1,FIND("G",B499)+1))
)),
VALUE(MID(B499,FIND("E0",B499)+2,FIND("T",B499,FIND("E0",B499))-(FIND("E0",B499)+2)))
))),"")</f>
        <v>32</v>
      </c>
      <c r="G499">
        <f>IFERROR(
IF(ISNUMBER(FIND("T2",B499)),220,
IF(ISNUMBER(FIND("T4",B499)),440,
IF(ISNUMBER(FIND("T5",B499)),575,
IF(ISNUMBER(FIND("T6",B499)),690,"")))),
"")</f>
        <v>690</v>
      </c>
    </row>
    <row r="500" spans="1:7" x14ac:dyDescent="0.25">
      <c r="A500">
        <v>16774396</v>
      </c>
      <c r="B500" t="str">
        <f>VLOOKUP(A500,Planilha2!B:C,2,0)</f>
        <v>INVERSOR BRCFW110027T6ONBYHSZ-UI</v>
      </c>
      <c r="C500" t="s">
        <v>1</v>
      </c>
      <c r="D500" t="str">
        <f>VLOOKUP(A500,Planilha2!B:H,7,0)</f>
        <v>LINHA M3</v>
      </c>
      <c r="E500" s="5">
        <v>26000</v>
      </c>
      <c r="F500">
        <f>IFERROR(
IF(ISNUMBER(FIND("CFW110",B500)),
VALUE(MID(B500,FIND("CFW110",B500)+6,FIND("T",B500,FIND("CFW110",B500))-(FIND("CFW110",B500)+6))),
IF(ISNUMBER(FIND("D",B500)),
VALUE(SUBSTITUTE(MID(B500,FIND("D",B500)+1,FIND("T",B500,FIND("D",B500))-(FIND("D",B500)+1)),"P",",")),
IF(ISNUMBER(FIND("CFW5",B500)),
VALUE(MID(B500,
IF(ISNUMBER(FIND("F",B500)),FIND("F",B500)+1,FIND("G",B500)+1),
FIND("T",B500)-(IF(ISNUMBER(FIND("F",B500)),FIND("F",B500)+1,FIND("G",B500)+1))
)),
VALUE(MID(B500,FIND("E0",B500)+2,FIND("T",B500,FIND("E0",B500))-(FIND("E0",B500)+2)))
))),"")</f>
        <v>27</v>
      </c>
      <c r="G500">
        <f>IFERROR(
IF(ISNUMBER(FIND("T2",B500)),220,
IF(ISNUMBER(FIND("T4",B500)),440,
IF(ISNUMBER(FIND("T5",B500)),575,
IF(ISNUMBER(FIND("T6",B500)),690,"")))),
"")</f>
        <v>690</v>
      </c>
    </row>
    <row r="501" spans="1:7" x14ac:dyDescent="0.25">
      <c r="A501">
        <v>16774394</v>
      </c>
      <c r="B501" t="str">
        <f>VLOOKUP(A501,Planilha2!B:C,2,0)</f>
        <v>INVERSOR BRCFW110022T6ONBYHSZ-UI</v>
      </c>
      <c r="C501" t="s">
        <v>1</v>
      </c>
      <c r="D501" t="str">
        <f>VLOOKUP(A501,Planilha2!B:H,7,0)</f>
        <v>LINHA M3</v>
      </c>
      <c r="E501" s="5">
        <v>26000</v>
      </c>
      <c r="F501">
        <f>IFERROR(
IF(ISNUMBER(FIND("CFW110",B501)),
VALUE(MID(B501,FIND("CFW110",B501)+6,FIND("T",B501,FIND("CFW110",B501))-(FIND("CFW110",B501)+6))),
IF(ISNUMBER(FIND("D",B501)),
VALUE(SUBSTITUTE(MID(B501,FIND("D",B501)+1,FIND("T",B501,FIND("D",B501))-(FIND("D",B501)+1)),"P",",")),
IF(ISNUMBER(FIND("CFW5",B501)),
VALUE(MID(B501,
IF(ISNUMBER(FIND("F",B501)),FIND("F",B501)+1,FIND("G",B501)+1),
FIND("T",B501)-(IF(ISNUMBER(FIND("F",B501)),FIND("F",B501)+1,FIND("G",B501)+1))
)),
VALUE(MID(B501,FIND("E0",B501)+2,FIND("T",B501,FIND("E0",B501))-(FIND("E0",B501)+2)))
))),"")</f>
        <v>22</v>
      </c>
      <c r="G501">
        <f>IFERROR(
IF(ISNUMBER(FIND("T2",B501)),220,
IF(ISNUMBER(FIND("T4",B501)),440,
IF(ISNUMBER(FIND("T5",B501)),575,
IF(ISNUMBER(FIND("T6",B501)),690,"")))),
"")</f>
        <v>690</v>
      </c>
    </row>
    <row r="502" spans="1:7" x14ac:dyDescent="0.25">
      <c r="A502">
        <v>16774393</v>
      </c>
      <c r="B502" t="str">
        <f>VLOOKUP(A502,Planilha2!B:C,2,0)</f>
        <v>INVERSOR BRCFW110017T6ONBYHSZ-UI</v>
      </c>
      <c r="C502" t="s">
        <v>1</v>
      </c>
      <c r="D502" t="str">
        <f>VLOOKUP(A502,Planilha2!B:H,7,0)</f>
        <v>LINHA M3</v>
      </c>
      <c r="E502" s="5">
        <v>26000</v>
      </c>
      <c r="F502">
        <f>IFERROR(
IF(ISNUMBER(FIND("CFW110",B502)),
VALUE(MID(B502,FIND("CFW110",B502)+6,FIND("T",B502,FIND("CFW110",B502))-(FIND("CFW110",B502)+6))),
IF(ISNUMBER(FIND("D",B502)),
VALUE(SUBSTITUTE(MID(B502,FIND("D",B502)+1,FIND("T",B502,FIND("D",B502))-(FIND("D",B502)+1)),"P",",")),
IF(ISNUMBER(FIND("CFW5",B502)),
VALUE(MID(B502,
IF(ISNUMBER(FIND("F",B502)),FIND("F",B502)+1,FIND("G",B502)+1),
FIND("T",B502)-(IF(ISNUMBER(FIND("F",B502)),FIND("F",B502)+1,FIND("G",B502)+1))
)),
VALUE(MID(B502,FIND("E0",B502)+2,FIND("T",B502,FIND("E0",B502))-(FIND("E0",B502)+2)))
))),"")</f>
        <v>17</v>
      </c>
      <c r="G502">
        <f>IFERROR(
IF(ISNUMBER(FIND("T2",B502)),220,
IF(ISNUMBER(FIND("T4",B502)),440,
IF(ISNUMBER(FIND("T5",B502)),575,
IF(ISNUMBER(FIND("T6",B502)),690,"")))),
"")</f>
        <v>690</v>
      </c>
    </row>
    <row r="503" spans="1:7" x14ac:dyDescent="0.25">
      <c r="A503">
        <v>16774389</v>
      </c>
      <c r="B503" t="str">
        <f>VLOOKUP(A503,Planilha2!B:C,2,0)</f>
        <v>INVERSOR BRCFW110012T6ONBYHSZ-UI</v>
      </c>
      <c r="C503" t="s">
        <v>1</v>
      </c>
      <c r="D503" t="str">
        <f>VLOOKUP(A503,Planilha2!B:H,7,0)</f>
        <v>LINHA M3</v>
      </c>
      <c r="E503" s="5">
        <v>26000</v>
      </c>
      <c r="F503">
        <f>IFERROR(
IF(ISNUMBER(FIND("CFW110",B503)),
VALUE(MID(B503,FIND("CFW110",B503)+6,FIND("T",B503,FIND("CFW110",B503))-(FIND("CFW110",B503)+6))),
IF(ISNUMBER(FIND("D",B503)),
VALUE(SUBSTITUTE(MID(B503,FIND("D",B503)+1,FIND("T",B503,FIND("D",B503))-(FIND("D",B503)+1)),"P",",")),
IF(ISNUMBER(FIND("CFW5",B503)),
VALUE(MID(B503,
IF(ISNUMBER(FIND("F",B503)),FIND("F",B503)+1,FIND("G",B503)+1),
FIND("T",B503)-(IF(ISNUMBER(FIND("F",B503)),FIND("F",B503)+1,FIND("G",B503)+1))
)),
VALUE(MID(B503,FIND("E0",B503)+2,FIND("T",B503,FIND("E0",B503))-(FIND("E0",B503)+2)))
))),"")</f>
        <v>12</v>
      </c>
      <c r="G503">
        <f>IFERROR(
IF(ISNUMBER(FIND("T2",B503)),220,
IF(ISNUMBER(FIND("T4",B503)),440,
IF(ISNUMBER(FIND("T5",B503)),575,
IF(ISNUMBER(FIND("T6",B503)),690,"")))),
"")</f>
        <v>690</v>
      </c>
    </row>
    <row r="504" spans="1:7" x14ac:dyDescent="0.25">
      <c r="A504">
        <v>16774388</v>
      </c>
      <c r="B504" t="str">
        <f>VLOOKUP(A504,Planilha2!B:C,2,0)</f>
        <v>INVERSOR BRCFW110010T6ONBYHSZ-UI</v>
      </c>
      <c r="C504" t="s">
        <v>1</v>
      </c>
      <c r="D504" t="str">
        <f>VLOOKUP(A504,Planilha2!B:H,7,0)</f>
        <v>LINHA M3</v>
      </c>
      <c r="E504" s="5">
        <v>26000</v>
      </c>
      <c r="F504">
        <f>IFERROR(
IF(ISNUMBER(FIND("CFW110",B504)),
VALUE(MID(B504,FIND("CFW110",B504)+6,FIND("T",B504,FIND("CFW110",B504))-(FIND("CFW110",B504)+6))),
IF(ISNUMBER(FIND("D",B504)),
VALUE(SUBSTITUTE(MID(B504,FIND("D",B504)+1,FIND("T",B504,FIND("D",B504))-(FIND("D",B504)+1)),"P",",")),
IF(ISNUMBER(FIND("CFW5",B504)),
VALUE(MID(B504,
IF(ISNUMBER(FIND("F",B504)),FIND("F",B504)+1,FIND("G",B504)+1),
FIND("T",B504)-(IF(ISNUMBER(FIND("F",B504)),FIND("F",B504)+1,FIND("G",B504)+1))
)),
VALUE(MID(B504,FIND("E0",B504)+2,FIND("T",B504,FIND("E0",B504))-(FIND("E0",B504)+2)))
))),"")</f>
        <v>10</v>
      </c>
      <c r="G504">
        <f>IFERROR(
IF(ISNUMBER(FIND("T2",B504)),220,
IF(ISNUMBER(FIND("T4",B504)),440,
IF(ISNUMBER(FIND("T5",B504)),575,
IF(ISNUMBER(FIND("T6",B504)),690,"")))),
"")</f>
        <v>690</v>
      </c>
    </row>
    <row r="505" spans="1:7" x14ac:dyDescent="0.25">
      <c r="A505">
        <v>16780079</v>
      </c>
      <c r="B505" t="str">
        <f>VLOOKUP(A505,Planilha2!B:C,2,0)</f>
        <v>INVERSOR EUCFW110012T6OYZ-UI</v>
      </c>
      <c r="C505" t="s">
        <v>1</v>
      </c>
      <c r="D505" t="str">
        <f>VLOOKUP(A505,Planilha2!B:H,7,0)</f>
        <v>LINHA M3</v>
      </c>
      <c r="E505" s="5">
        <v>29500</v>
      </c>
      <c r="F505">
        <f>IFERROR(
IF(ISNUMBER(FIND("CFW110",B505)),
VALUE(MID(B505,FIND("CFW110",B505)+6,FIND("T",B505,FIND("CFW110",B505))-(FIND("CFW110",B505)+6))),
IF(ISNUMBER(FIND("D",B505)),
VALUE(SUBSTITUTE(MID(B505,FIND("D",B505)+1,FIND("T",B505,FIND("D",B505))-(FIND("D",B505)+1)),"P",",")),
IF(ISNUMBER(FIND("CFW5",B505)),
VALUE(MID(B505,
IF(ISNUMBER(FIND("F",B505)),FIND("F",B505)+1,FIND("G",B505)+1),
FIND("T",B505)-(IF(ISNUMBER(FIND("F",B505)),FIND("F",B505)+1,FIND("G",B505)+1))
)),
VALUE(MID(B505,FIND("E0",B505)+2,FIND("T",B505,FIND("E0",B505))-(FIND("E0",B505)+2)))
))),"")</f>
        <v>12</v>
      </c>
      <c r="G505">
        <f>IFERROR(
IF(ISNUMBER(FIND("T2",B505)),220,
IF(ISNUMBER(FIND("T4",B505)),440,
IF(ISNUMBER(FIND("T5",B505)),575,
IF(ISNUMBER(FIND("T6",B505)),690,"")))),
"")</f>
        <v>690</v>
      </c>
    </row>
    <row r="506" spans="1:7" x14ac:dyDescent="0.25">
      <c r="A506">
        <v>16800085</v>
      </c>
      <c r="B506" t="str">
        <f>VLOOKUP(A506,Planilha2!B:C,2,0)</f>
        <v>INVERSOR BRCFW110054T2OFAWZ</v>
      </c>
      <c r="C506" t="s">
        <v>1</v>
      </c>
      <c r="D506" t="str">
        <f>VLOOKUP(A506,Planilha2!B:H,7,0)</f>
        <v>LINHA M1</v>
      </c>
      <c r="E506" s="5">
        <v>26701</v>
      </c>
      <c r="F506">
        <f>IFERROR(
IF(ISNUMBER(FIND("CFW110",B506)),
VALUE(MID(B506,FIND("CFW110",B506)+6,FIND("T",B506,FIND("CFW110",B506))-(FIND("CFW110",B506)+6))),
IF(ISNUMBER(FIND("D",B506)),
VALUE(SUBSTITUTE(MID(B506,FIND("D",B506)+1,FIND("T",B506,FIND("D",B506))-(FIND("D",B506)+1)),"P",",")),
IF(ISNUMBER(FIND("CFW5",B506)),
VALUE(MID(B506,
IF(ISNUMBER(FIND("F",B506)),FIND("F",B506)+1,FIND("G",B506)+1),
FIND("T",B506)-(IF(ISNUMBER(FIND("F",B506)),FIND("F",B506)+1,FIND("G",B506)+1))
)),
VALUE(MID(B506,FIND("E0",B506)+2,FIND("T",B506,FIND("E0",B506))-(FIND("E0",B506)+2)))
))),"")</f>
        <v>54</v>
      </c>
      <c r="G506">
        <f>IFERROR(
IF(ISNUMBER(FIND("T2",B506)),220,
IF(ISNUMBER(FIND("T4",B506)),440,
IF(ISNUMBER(FIND("T5",B506)),575,
IF(ISNUMBER(FIND("T6",B506)),690,"")))),
"")</f>
        <v>220</v>
      </c>
    </row>
    <row r="507" spans="1:7" x14ac:dyDescent="0.25">
      <c r="A507">
        <v>16800080</v>
      </c>
      <c r="B507" t="str">
        <f>VLOOKUP(A507,Planilha2!B:C,2,0)</f>
        <v>INVERSOR BRCFW110045T2OFAWZ</v>
      </c>
      <c r="C507" t="s">
        <v>1</v>
      </c>
      <c r="D507" t="str">
        <f>VLOOKUP(A507,Planilha2!B:H,7,0)</f>
        <v>LINHA M1</v>
      </c>
      <c r="E507" s="5">
        <v>26701</v>
      </c>
      <c r="F507">
        <f>IFERROR(
IF(ISNUMBER(FIND("CFW110",B507)),
VALUE(MID(B507,FIND("CFW110",B507)+6,FIND("T",B507,FIND("CFW110",B507))-(FIND("CFW110",B507)+6))),
IF(ISNUMBER(FIND("D",B507)),
VALUE(SUBSTITUTE(MID(B507,FIND("D",B507)+1,FIND("T",B507,FIND("D",B507))-(FIND("D",B507)+1)),"P",",")),
IF(ISNUMBER(FIND("CFW5",B507)),
VALUE(MID(B507,
IF(ISNUMBER(FIND("F",B507)),FIND("F",B507)+1,FIND("G",B507)+1),
FIND("T",B507)-(IF(ISNUMBER(FIND("F",B507)),FIND("F",B507)+1,FIND("G",B507)+1))
)),
VALUE(MID(B507,FIND("E0",B507)+2,FIND("T",B507,FIND("E0",B507))-(FIND("E0",B507)+2)))
))),"")</f>
        <v>45</v>
      </c>
      <c r="G507">
        <f>IFERROR(
IF(ISNUMBER(FIND("T2",B507)),220,
IF(ISNUMBER(FIND("T4",B507)),440,
IF(ISNUMBER(FIND("T5",B507)),575,
IF(ISNUMBER(FIND("T6",B507)),690,"")))),
"")</f>
        <v>220</v>
      </c>
    </row>
    <row r="508" spans="1:7" x14ac:dyDescent="0.25">
      <c r="A508">
        <v>16766369</v>
      </c>
      <c r="B508" t="str">
        <f>VLOOKUP(A508,Planilha2!B:C,2,0)</f>
        <v>INVERSOR BRCFW110044T6ONBYHSZ</v>
      </c>
      <c r="C508" t="s">
        <v>1</v>
      </c>
      <c r="D508" t="str">
        <f>VLOOKUP(A508,Planilha2!B:H,7,0)</f>
        <v>LINHA M3</v>
      </c>
      <c r="E508" s="5">
        <v>26000</v>
      </c>
      <c r="F508">
        <f>IFERROR(
IF(ISNUMBER(FIND("CFW110",B508)),
VALUE(MID(B508,FIND("CFW110",B508)+6,FIND("T",B508,FIND("CFW110",B508))-(FIND("CFW110",B508)+6))),
IF(ISNUMBER(FIND("D",B508)),
VALUE(SUBSTITUTE(MID(B508,FIND("D",B508)+1,FIND("T",B508,FIND("D",B508))-(FIND("D",B508)+1)),"P",",")),
IF(ISNUMBER(FIND("CFW5",B508)),
VALUE(MID(B508,
IF(ISNUMBER(FIND("F",B508)),FIND("F",B508)+1,FIND("G",B508)+1),
FIND("T",B508)-(IF(ISNUMBER(FIND("F",B508)),FIND("F",B508)+1,FIND("G",B508)+1))
)),
VALUE(MID(B508,FIND("E0",B508)+2,FIND("T",B508,FIND("E0",B508))-(FIND("E0",B508)+2)))
))),"")</f>
        <v>44</v>
      </c>
      <c r="G508">
        <f>IFERROR(
IF(ISNUMBER(FIND("T2",B508)),220,
IF(ISNUMBER(FIND("T4",B508)),440,
IF(ISNUMBER(FIND("T5",B508)),575,
IF(ISNUMBER(FIND("T6",B508)),690,"")))),
"")</f>
        <v>690</v>
      </c>
    </row>
    <row r="509" spans="1:7" x14ac:dyDescent="0.25">
      <c r="A509">
        <v>16834734</v>
      </c>
      <c r="B509" t="str">
        <f>VLOOKUP(A509,Planilha2!B:C,2,0)</f>
        <v>INVERSOR BRCFW110088T4OFAYSSZ</v>
      </c>
      <c r="C509" t="s">
        <v>1</v>
      </c>
      <c r="D509" t="str">
        <f>VLOOKUP(A509,Planilha2!B:H,7,0)</f>
        <v>LINHA M3</v>
      </c>
      <c r="E509" s="5">
        <v>29500</v>
      </c>
      <c r="F509">
        <f>IFERROR(
IF(ISNUMBER(FIND("CFW110",B509)),
VALUE(MID(B509,FIND("CFW110",B509)+6,FIND("T",B509,FIND("CFW110",B509))-(FIND("CFW110",B509)+6))),
IF(ISNUMBER(FIND("D",B509)),
VALUE(SUBSTITUTE(MID(B509,FIND("D",B509)+1,FIND("T",B509,FIND("D",B509))-(FIND("D",B509)+1)),"P",",")),
IF(ISNUMBER(FIND("CFW5",B509)),
VALUE(MID(B509,
IF(ISNUMBER(FIND("F",B509)),FIND("F",B509)+1,FIND("G",B509)+1),
FIND("T",B509)-(IF(ISNUMBER(FIND("F",B509)),FIND("F",B509)+1,FIND("G",B509)+1))
)),
VALUE(MID(B509,FIND("E0",B509)+2,FIND("T",B509,FIND("E0",B509))-(FIND("E0",B509)+2)))
))),"")</f>
        <v>88</v>
      </c>
      <c r="G509">
        <f>IFERROR(
IF(ISNUMBER(FIND("T2",B509)),220,
IF(ISNUMBER(FIND("T4",B509)),440,
IF(ISNUMBER(FIND("T5",B509)),575,
IF(ISNUMBER(FIND("T6",B509)),690,"")))),
"")</f>
        <v>440</v>
      </c>
    </row>
    <row r="510" spans="1:7" x14ac:dyDescent="0.25">
      <c r="A510">
        <v>16825551</v>
      </c>
      <c r="B510" t="str">
        <f>VLOOKUP(A510,Planilha2!B:C,2,0)</f>
        <v>INVERSOR BRCFW110044T6ONBYHSZ-UI</v>
      </c>
      <c r="C510" t="s">
        <v>1</v>
      </c>
      <c r="D510" t="str">
        <f>VLOOKUP(A510,Planilha2!B:H,7,0)</f>
        <v>LINHA M3</v>
      </c>
      <c r="E510" s="5">
        <v>26000</v>
      </c>
      <c r="F510">
        <f>IFERROR(
IF(ISNUMBER(FIND("CFW110",B510)),
VALUE(MID(B510,FIND("CFW110",B510)+6,FIND("T",B510,FIND("CFW110",B510))-(FIND("CFW110",B510)+6))),
IF(ISNUMBER(FIND("D",B510)),
VALUE(SUBSTITUTE(MID(B510,FIND("D",B510)+1,FIND("T",B510,FIND("D",B510))-(FIND("D",B510)+1)),"P",",")),
IF(ISNUMBER(FIND("CFW5",B510)),
VALUE(MID(B510,
IF(ISNUMBER(FIND("F",B510)),FIND("F",B510)+1,FIND("G",B510)+1),
FIND("T",B510)-(IF(ISNUMBER(FIND("F",B510)),FIND("F",B510)+1,FIND("G",B510)+1))
)),
VALUE(MID(B510,FIND("E0",B510)+2,FIND("T",B510,FIND("E0",B510))-(FIND("E0",B510)+2)))
))),"")</f>
        <v>44</v>
      </c>
      <c r="G510">
        <f>IFERROR(
IF(ISNUMBER(FIND("T2",B510)),220,
IF(ISNUMBER(FIND("T4",B510)),440,
IF(ISNUMBER(FIND("T5",B510)),575,
IF(ISNUMBER(FIND("T6",B510)),690,"")))),
"")</f>
        <v>690</v>
      </c>
    </row>
    <row r="511" spans="1:7" x14ac:dyDescent="0.25">
      <c r="A511">
        <v>15658524</v>
      </c>
      <c r="B511" t="str">
        <f>VLOOKUP(A511,Planilha2!B:C,2,0)</f>
        <v>INVERSOR BRCFW110045T4OECZ</v>
      </c>
      <c r="C511" t="s">
        <v>1</v>
      </c>
      <c r="D511" t="str">
        <f>VLOOKUP(A511,Planilha2!B:H,7,0)</f>
        <v>LINHA M1</v>
      </c>
      <c r="E511" s="5">
        <v>4960</v>
      </c>
      <c r="F511">
        <f>IFERROR(
IF(ISNUMBER(FIND("CFW110",B511)),
VALUE(MID(B511,FIND("CFW110",B511)+6,FIND("T",B511,FIND("CFW110",B511))-(FIND("CFW110",B511)+6))),
IF(ISNUMBER(FIND("D",B511)),
VALUE(SUBSTITUTE(MID(B511,FIND("D",B511)+1,FIND("T",B511,FIND("D",B511))-(FIND("D",B511)+1)),"P",",")),
IF(ISNUMBER(FIND("CFW5",B511)),
VALUE(MID(B511,
IF(ISNUMBER(FIND("F",B511)),FIND("F",B511)+1,FIND("G",B511)+1),
FIND("T",B511)-(IF(ISNUMBER(FIND("F",B511)),FIND("F",B511)+1,FIND("G",B511)+1))
)),
VALUE(MID(B511,FIND("E0",B511)+2,FIND("T",B511,FIND("E0",B511))-(FIND("E0",B511)+2)))
))),"")</f>
        <v>45</v>
      </c>
      <c r="G511">
        <f>IFERROR(
IF(ISNUMBER(FIND("T2",B511)),220,
IF(ISNUMBER(FIND("T4",B511)),440,
IF(ISNUMBER(FIND("T5",B511)),575,
IF(ISNUMBER(FIND("T6",B511)),690,"")))),
"")</f>
        <v>440</v>
      </c>
    </row>
    <row r="512" spans="1:7" x14ac:dyDescent="0.25">
      <c r="A512">
        <v>16943095</v>
      </c>
      <c r="B512" t="str">
        <f>VLOOKUP(A512,Planilha2!B:C,2,0)</f>
        <v>INVERSOR BRCFW110086T2O55FAYZ</v>
      </c>
      <c r="C512" t="s">
        <v>1</v>
      </c>
      <c r="D512" t="str">
        <f>VLOOKUP(A512,Planilha2!B:H,7,0)</f>
        <v>LINHA M3</v>
      </c>
      <c r="E512" s="5">
        <v>47800</v>
      </c>
      <c r="F512">
        <f>IFERROR(
IF(ISNUMBER(FIND("CFW110",B512)),
VALUE(MID(B512,FIND("CFW110",B512)+6,FIND("T",B512,FIND("CFW110",B512))-(FIND("CFW110",B512)+6))),
IF(ISNUMBER(FIND("D",B512)),
VALUE(SUBSTITUTE(MID(B512,FIND("D",B512)+1,FIND("T",B512,FIND("D",B512))-(FIND("D",B512)+1)),"P",",")),
IF(ISNUMBER(FIND("CFW5",B512)),
VALUE(MID(B512,
IF(ISNUMBER(FIND("F",B512)),FIND("F",B512)+1,FIND("G",B512)+1),
FIND("T",B512)-(IF(ISNUMBER(FIND("F",B512)),FIND("F",B512)+1,FIND("G",B512)+1))
)),
VALUE(MID(B512,FIND("E0",B512)+2,FIND("T",B512,FIND("E0",B512))-(FIND("E0",B512)+2)))
))),"")</f>
        <v>86</v>
      </c>
      <c r="G512">
        <f>IFERROR(
IF(ISNUMBER(FIND("T2",B512)),220,
IF(ISNUMBER(FIND("T4",B512)),440,
IF(ISNUMBER(FIND("T5",B512)),575,
IF(ISNUMBER(FIND("T6",B512)),690,"")))),
"")</f>
        <v>220</v>
      </c>
    </row>
    <row r="513" spans="1:7" x14ac:dyDescent="0.25">
      <c r="A513">
        <v>16960590</v>
      </c>
      <c r="B513" t="str">
        <f>VLOOKUP(A513,Planilha2!B:C,2,0)</f>
        <v>INVERSOR CFW500F77P0T4DB20C3Y2H17G2</v>
      </c>
      <c r="C513" t="s">
        <v>1</v>
      </c>
      <c r="D513" t="str">
        <f>VLOOKUP(A513,Planilha2!B:H,7,0)</f>
        <v>LINHA M3</v>
      </c>
      <c r="E513" s="5">
        <v>26000</v>
      </c>
      <c r="F513" t="str">
        <f>IFERROR(
IF(ISNUMBER(FIND("CFW110",B513)),
VALUE(MID(B513,FIND("CFW110",B513)+6,FIND("T",B513,FIND("CFW110",B513))-(FIND("CFW110",B513)+6))),
IF(ISNUMBER(FIND("D",B513)),
VALUE(SUBSTITUTE(MID(B513,FIND("D",B513)+1,FIND("T",B513,FIND("D",B513))-(FIND("D",B513)+1)),"P",",")),
IF(ISNUMBER(FIND("CFW5",B513)),
VALUE(MID(B513,
IF(ISNUMBER(FIND("F",B513)),FIND("F",B513)+1,FIND("G",B513)+1),
FIND("T",B513)-(IF(ISNUMBER(FIND("F",B513)),FIND("F",B513)+1,FIND("G",B513)+1))
)),
VALUE(MID(B513,FIND("E0",B513)+2,FIND("T",B513,FIND("E0",B513))-(FIND("E0",B513)+2)))
))),"")</f>
        <v/>
      </c>
      <c r="G513">
        <f>IFERROR(
IF(ISNUMBER(FIND("T2",B513)),220,
IF(ISNUMBER(FIND("T4",B513)),440,
IF(ISNUMBER(FIND("T5",B513)),575,
IF(ISNUMBER(FIND("T6",B513)),690,"")))),
"")</f>
        <v>440</v>
      </c>
    </row>
    <row r="514" spans="1:7" x14ac:dyDescent="0.25">
      <c r="A514">
        <v>16980232</v>
      </c>
      <c r="B514" t="str">
        <f>VLOOKUP(A514,Planilha2!B:C,2,0)</f>
        <v>INVERSOR CFW500F0105T4DB20C3HMPSMG2</v>
      </c>
      <c r="C514" t="s">
        <v>1</v>
      </c>
      <c r="D514" t="str">
        <f>VLOOKUP(A514,Planilha2!B:H,7,0)</f>
        <v>LINHA M3</v>
      </c>
      <c r="E514" s="5">
        <v>26000</v>
      </c>
      <c r="F514" t="str">
        <f>IFERROR(
IF(ISNUMBER(FIND("CFW110",B514)),
VALUE(MID(B514,FIND("CFW110",B514)+6,FIND("T",B514,FIND("CFW110",B514))-(FIND("CFW110",B514)+6))),
IF(ISNUMBER(FIND("D",B514)),
VALUE(SUBSTITUTE(MID(B514,FIND("D",B514)+1,FIND("T",B514,FIND("D",B514))-(FIND("D",B514)+1)),"P",",")),
IF(ISNUMBER(FIND("CFW5",B514)),
VALUE(MID(B514,
IF(ISNUMBER(FIND("F",B514)),FIND("F",B514)+1,FIND("G",B514)+1),
FIND("T",B514)-(IF(ISNUMBER(FIND("F",B514)),FIND("F",B514)+1,FIND("G",B514)+1))
)),
VALUE(MID(B514,FIND("E0",B514)+2,FIND("T",B514,FIND("E0",B514))-(FIND("E0",B514)+2)))
))),"")</f>
        <v/>
      </c>
      <c r="G514">
        <f>IFERROR(
IF(ISNUMBER(FIND("T2",B514)),220,
IF(ISNUMBER(FIND("T4",B514)),440,
IF(ISNUMBER(FIND("T5",B514)),575,
IF(ISNUMBER(FIND("T6",B514)),690,"")))),
"")</f>
        <v>440</v>
      </c>
    </row>
    <row r="515" spans="1:7" x14ac:dyDescent="0.25">
      <c r="A515">
        <v>11544010</v>
      </c>
      <c r="B515" t="str">
        <f>VLOOKUP(A515,Planilha2!B:C,2,0)</f>
        <v>INVERSOR CFW700D88P0T4DBN1C3</v>
      </c>
      <c r="C515" t="s">
        <v>1</v>
      </c>
      <c r="D515" t="str">
        <f>VLOOKUP(A515,Planilha2!B:H,7,0)</f>
        <v>OBSOLETOS DRIVES</v>
      </c>
      <c r="E515" s="5">
        <v>31100</v>
      </c>
      <c r="F515">
        <f>IFERROR(
IF(ISNUMBER(FIND("CFW110",B515)),
VALUE(MID(B515,FIND("CFW110",B515)+6,FIND("T",B515,FIND("CFW110",B515))-(FIND("CFW110",B515)+6))),
IF(ISNUMBER(FIND("D",B515)),
VALUE(SUBSTITUTE(MID(B515,FIND("D",B515)+1,FIND("T",B515,FIND("D",B515))-(FIND("D",B515)+1)),"P",",")),
IF(ISNUMBER(FIND("CFW5",B515)),
VALUE(MID(B515,
IF(ISNUMBER(FIND("F",B515)),FIND("F",B515)+1,FIND("G",B515)+1),
FIND("T",B515)-(IF(ISNUMBER(FIND("F",B515)),FIND("F",B515)+1,FIND("G",B515)+1))
)),
VALUE(MID(B515,FIND("E0",B515)+2,FIND("T",B515,FIND("E0",B515))-(FIND("E0",B515)+2)))
))),"")</f>
        <v>88</v>
      </c>
      <c r="G515">
        <f>IFERROR(
IF(ISNUMBER(FIND("T2",B515)),220,
IF(ISNUMBER(FIND("T4",B515)),440,
IF(ISNUMBER(FIND("T5",B515)),575,
IF(ISNUMBER(FIND("T6",B515)),690,"")))),
"")</f>
        <v>440</v>
      </c>
    </row>
    <row r="516" spans="1:7" x14ac:dyDescent="0.25">
      <c r="A516">
        <v>11876845</v>
      </c>
      <c r="B516" t="str">
        <f>VLOOKUP(A516,Planilha2!B:C,2,0)</f>
        <v>INVERSOR CFW700C70P0T2DB20C3Y1</v>
      </c>
      <c r="C516" t="s">
        <v>1</v>
      </c>
      <c r="D516" t="str">
        <f>VLOOKUP(A516,Planilha2!B:H,7,0)</f>
        <v>OBSOLETOS DRIVES</v>
      </c>
      <c r="E516" s="5">
        <v>16000</v>
      </c>
      <c r="F516" t="str">
        <f>IFERROR(
IF(ISNUMBER(FIND("CFW110",B516)),
VALUE(MID(B516,FIND("CFW110",B516)+6,FIND("T",B516,FIND("CFW110",B516))-(FIND("CFW110",B516)+6))),
IF(ISNUMBER(FIND("D",B516)),
VALUE(SUBSTITUTE(MID(B516,FIND("D",B516)+1,FIND("T",B516,FIND("D",B516))-(FIND("D",B516)+1)),"P",",")),
IF(ISNUMBER(FIND("CFW5",B516)),
VALUE(MID(B516,
IF(ISNUMBER(FIND("F",B516)),FIND("F",B516)+1,FIND("G",B516)+1),
FIND("T",B516)-(IF(ISNUMBER(FIND("F",B516)),FIND("F",B516)+1,FIND("G",B516)+1))
)),
VALUE(MID(B516,FIND("E0",B516)+2,FIND("T",B516,FIND("E0",B516))-(FIND("E0",B516)+2)))
))),"")</f>
        <v/>
      </c>
      <c r="G516">
        <f>IFERROR(
IF(ISNUMBER(FIND("T2",B516)),220,
IF(ISNUMBER(FIND("T4",B516)),440,
IF(ISNUMBER(FIND("T5",B516)),575,
IF(ISNUMBER(FIND("T6",B516)),690,"")))),
"")</f>
        <v>220</v>
      </c>
    </row>
    <row r="517" spans="1:7" x14ac:dyDescent="0.25">
      <c r="A517">
        <v>16996795</v>
      </c>
      <c r="B517" t="str">
        <f>VLOOKUP(A517,Planilha2!B:C,2,0)</f>
        <v>INVERSOR CFW500F0105T4DB20C3H00ECG2</v>
      </c>
      <c r="C517" t="s">
        <v>1</v>
      </c>
      <c r="D517" t="str">
        <f>VLOOKUP(A517,Planilha2!B:H,7,0)</f>
        <v>LINHA M3</v>
      </c>
      <c r="E517" s="5">
        <v>26000</v>
      </c>
      <c r="F517" t="str">
        <f>IFERROR(
IF(ISNUMBER(FIND("CFW110",B517)),
VALUE(MID(B517,FIND("CFW110",B517)+6,FIND("T",B517,FIND("CFW110",B517))-(FIND("CFW110",B517)+6))),
IF(ISNUMBER(FIND("D",B517)),
VALUE(SUBSTITUTE(MID(B517,FIND("D",B517)+1,FIND("T",B517,FIND("D",B517))-(FIND("D",B517)+1)),"P",",")),
IF(ISNUMBER(FIND("CFW5",B517)),
VALUE(MID(B517,
IF(ISNUMBER(FIND("F",B517)),FIND("F",B517)+1,FIND("G",B517)+1),
FIND("T",B517)-(IF(ISNUMBER(FIND("F",B517)),FIND("F",B517)+1,FIND("G",B517)+1))
)),
VALUE(MID(B517,FIND("E0",B517)+2,FIND("T",B517,FIND("E0",B517))-(FIND("E0",B517)+2)))
))),"")</f>
        <v/>
      </c>
      <c r="G517">
        <f>IFERROR(
IF(ISNUMBER(FIND("T2",B517)),220,
IF(ISNUMBER(FIND("T4",B517)),440,
IF(ISNUMBER(FIND("T5",B517)),575,
IF(ISNUMBER(FIND("T6",B517)),690,"")))),
"")</f>
        <v>440</v>
      </c>
    </row>
    <row r="518" spans="1:7" x14ac:dyDescent="0.25">
      <c r="A518">
        <v>11988880</v>
      </c>
      <c r="B518" t="str">
        <f>VLOOKUP(A518,Planilha2!B:C,2,0)</f>
        <v>INVERSOR EUCFW110012T6OYZ</v>
      </c>
      <c r="C518" t="s">
        <v>1</v>
      </c>
      <c r="D518" t="str">
        <f>VLOOKUP(A518,Planilha2!B:H,7,0)</f>
        <v>LINHA M3</v>
      </c>
      <c r="E518" s="5">
        <v>29500</v>
      </c>
      <c r="F518">
        <f>IFERROR(
IF(ISNUMBER(FIND("CFW110",B518)),
VALUE(MID(B518,FIND("CFW110",B518)+6,FIND("T",B518,FIND("CFW110",B518))-(FIND("CFW110",B518)+6))),
IF(ISNUMBER(FIND("D",B518)),
VALUE(SUBSTITUTE(MID(B518,FIND("D",B518)+1,FIND("T",B518,FIND("D",B518))-(FIND("D",B518)+1)),"P",",")),
IF(ISNUMBER(FIND("CFW5",B518)),
VALUE(MID(B518,
IF(ISNUMBER(FIND("F",B518)),FIND("F",B518)+1,FIND("G",B518)+1),
FIND("T",B518)-(IF(ISNUMBER(FIND("F",B518)),FIND("F",B518)+1,FIND("G",B518)+1))
)),
VALUE(MID(B518,FIND("E0",B518)+2,FIND("T",B518,FIND("E0",B518))-(FIND("E0",B518)+2)))
))),"")</f>
        <v>12</v>
      </c>
      <c r="G518">
        <f>IFERROR(
IF(ISNUMBER(FIND("T2",B518)),220,
IF(ISNUMBER(FIND("T4",B518)),440,
IF(ISNUMBER(FIND("T5",B518)),575,
IF(ISNUMBER(FIND("T6",B518)),690,"")))),
"")</f>
        <v>690</v>
      </c>
    </row>
    <row r="519" spans="1:7" x14ac:dyDescent="0.25">
      <c r="A519">
        <v>16996883</v>
      </c>
      <c r="B519" t="str">
        <f>VLOOKUP(A519,Planilha2!B:C,2,0)</f>
        <v>INVERSOR BRCFW110070T4OYS4Z</v>
      </c>
      <c r="C519" t="s">
        <v>1</v>
      </c>
      <c r="D519" t="str">
        <f>VLOOKUP(A519,Planilha2!B:H,7,0)</f>
        <v>LINHA M3</v>
      </c>
      <c r="E519" s="5">
        <v>26000</v>
      </c>
      <c r="F519">
        <f>IFERROR(
IF(ISNUMBER(FIND("CFW110",B519)),
VALUE(MID(B519,FIND("CFW110",B519)+6,FIND("T",B519,FIND("CFW110",B519))-(FIND("CFW110",B519)+6))),
IF(ISNUMBER(FIND("D",B519)),
VALUE(SUBSTITUTE(MID(B519,FIND("D",B519)+1,FIND("T",B519,FIND("D",B519))-(FIND("D",B519)+1)),"P",",")),
IF(ISNUMBER(FIND("CFW5",B519)),
VALUE(MID(B519,
IF(ISNUMBER(FIND("F",B519)),FIND("F",B519)+1,FIND("G",B519)+1),
FIND("T",B519)-(IF(ISNUMBER(FIND("F",B519)),FIND("F",B519)+1,FIND("G",B519)+1))
)),
VALUE(MID(B519,FIND("E0",B519)+2,FIND("T",B519,FIND("E0",B519))-(FIND("E0",B519)+2)))
))),"")</f>
        <v>70</v>
      </c>
      <c r="G519">
        <f>IFERROR(
IF(ISNUMBER(FIND("T2",B519)),220,
IF(ISNUMBER(FIND("T4",B519)),440,
IF(ISNUMBER(FIND("T5",B519)),575,
IF(ISNUMBER(FIND("T6",B519)),690,"")))),
"")</f>
        <v>440</v>
      </c>
    </row>
    <row r="520" spans="1:7" x14ac:dyDescent="0.25">
      <c r="A520">
        <v>17019773</v>
      </c>
      <c r="B520" t="str">
        <f>VLOOKUP(A520,Planilha2!B:C,2,0)</f>
        <v>INVERSOR BRCFW110070T4OYS4Z-UI</v>
      </c>
      <c r="C520" t="s">
        <v>1</v>
      </c>
      <c r="D520" t="str">
        <f>VLOOKUP(A520,Planilha2!B:H,7,0)</f>
        <v>LINHA M3</v>
      </c>
      <c r="E520" s="5">
        <v>26000</v>
      </c>
      <c r="F520">
        <f>IFERROR(
IF(ISNUMBER(FIND("CFW110",B520)),
VALUE(MID(B520,FIND("CFW110",B520)+6,FIND("T",B520,FIND("CFW110",B520))-(FIND("CFW110",B520)+6))),
IF(ISNUMBER(FIND("D",B520)),
VALUE(SUBSTITUTE(MID(B520,FIND("D",B520)+1,FIND("T",B520,FIND("D",B520))-(FIND("D",B520)+1)),"P",",")),
IF(ISNUMBER(FIND("CFW5",B520)),
VALUE(MID(B520,
IF(ISNUMBER(FIND("F",B520)),FIND("F",B520)+1,FIND("G",B520)+1),
FIND("T",B520)-(IF(ISNUMBER(FIND("F",B520)),FIND("F",B520)+1,FIND("G",B520)+1))
)),
VALUE(MID(B520,FIND("E0",B520)+2,FIND("T",B520,FIND("E0",B520))-(FIND("E0",B520)+2)))
))),"")</f>
        <v>70</v>
      </c>
      <c r="G520">
        <f>IFERROR(
IF(ISNUMBER(FIND("T2",B520)),220,
IF(ISNUMBER(FIND("T4",B520)),440,
IF(ISNUMBER(FIND("T5",B520)),575,
IF(ISNUMBER(FIND("T6",B520)),690,"")))),
"")</f>
        <v>440</v>
      </c>
    </row>
    <row r="521" spans="1:7" x14ac:dyDescent="0.25">
      <c r="A521">
        <v>17036517</v>
      </c>
      <c r="B521" t="str">
        <f>VLOOKUP(A521,Planilha2!B:C,2,0)</f>
        <v>INVERSOR BRCFW110105T2O55FAZ</v>
      </c>
      <c r="C521" t="s">
        <v>1</v>
      </c>
      <c r="D521" t="str">
        <f>VLOOKUP(A521,Planilha2!B:H,7,0)</f>
        <v>LINHA M3</v>
      </c>
      <c r="E521" s="5">
        <v>85300</v>
      </c>
      <c r="F521">
        <f>IFERROR(
IF(ISNUMBER(FIND("CFW110",B521)),
VALUE(MID(B521,FIND("CFW110",B521)+6,FIND("T",B521,FIND("CFW110",B521))-(FIND("CFW110",B521)+6))),
IF(ISNUMBER(FIND("D",B521)),
VALUE(SUBSTITUTE(MID(B521,FIND("D",B521)+1,FIND("T",B521,FIND("D",B521))-(FIND("D",B521)+1)),"P",",")),
IF(ISNUMBER(FIND("CFW5",B521)),
VALUE(MID(B521,
IF(ISNUMBER(FIND("F",B521)),FIND("F",B521)+1,FIND("G",B521)+1),
FIND("T",B521)-(IF(ISNUMBER(FIND("F",B521)),FIND("F",B521)+1,FIND("G",B521)+1))
)),
VALUE(MID(B521,FIND("E0",B521)+2,FIND("T",B521,FIND("E0",B521))-(FIND("E0",B521)+2)))
))),"")</f>
        <v>105</v>
      </c>
      <c r="G521">
        <f>IFERROR(
IF(ISNUMBER(FIND("T2",B521)),220,
IF(ISNUMBER(FIND("T4",B521)),440,
IF(ISNUMBER(FIND("T5",B521)),575,
IF(ISNUMBER(FIND("T6",B521)),690,"")))),
"")</f>
        <v>220</v>
      </c>
    </row>
    <row r="522" spans="1:7" x14ac:dyDescent="0.25">
      <c r="A522">
        <v>17036790</v>
      </c>
      <c r="B522" t="str">
        <f>VLOOKUP(A522,Planilha2!B:C,2,0)</f>
        <v>INVERSOR BRCFW110088T4O55FAZ</v>
      </c>
      <c r="C522" t="s">
        <v>1</v>
      </c>
      <c r="D522" t="str">
        <f>VLOOKUP(A522,Planilha2!B:H,7,0)</f>
        <v>LINHA M3</v>
      </c>
      <c r="E522" s="5">
        <v>47800</v>
      </c>
      <c r="F522">
        <f>IFERROR(
IF(ISNUMBER(FIND("CFW110",B522)),
VALUE(MID(B522,FIND("CFW110",B522)+6,FIND("T",B522,FIND("CFW110",B522))-(FIND("CFW110",B522)+6))),
IF(ISNUMBER(FIND("D",B522)),
VALUE(SUBSTITUTE(MID(B522,FIND("D",B522)+1,FIND("T",B522,FIND("D",B522))-(FIND("D",B522)+1)),"P",",")),
IF(ISNUMBER(FIND("CFW5",B522)),
VALUE(MID(B522,
IF(ISNUMBER(FIND("F",B522)),FIND("F",B522)+1,FIND("G",B522)+1),
FIND("T",B522)-(IF(ISNUMBER(FIND("F",B522)),FIND("F",B522)+1,FIND("G",B522)+1))
)),
VALUE(MID(B522,FIND("E0",B522)+2,FIND("T",B522,FIND("E0",B522))-(FIND("E0",B522)+2)))
))),"")</f>
        <v>88</v>
      </c>
      <c r="G522">
        <f>IFERROR(
IF(ISNUMBER(FIND("T2",B522)),220,
IF(ISNUMBER(FIND("T4",B522)),440,
IF(ISNUMBER(FIND("T5",B522)),575,
IF(ISNUMBER(FIND("T6",B522)),690,"")))),
"")</f>
        <v>440</v>
      </c>
    </row>
    <row r="523" spans="1:7" x14ac:dyDescent="0.25">
      <c r="A523">
        <v>17027215</v>
      </c>
      <c r="B523" t="str">
        <f>VLOOKUP(A523,Planilha2!B:C,2,0)</f>
        <v>INVERSOR CFW500G0211T4DB20C3H01SAG2</v>
      </c>
      <c r="C523" t="s">
        <v>1</v>
      </c>
      <c r="D523" t="str">
        <f>VLOOKUP(A523,Planilha2!B:H,7,0)</f>
        <v>LINHA G1</v>
      </c>
      <c r="E523" s="5">
        <v>45000</v>
      </c>
      <c r="F523" t="str">
        <f>IFERROR(
IF(ISNUMBER(FIND("CFW110",B523)),
VALUE(MID(B523,FIND("CFW110",B523)+6,FIND("T",B523,FIND("CFW110",B523))-(FIND("CFW110",B523)+6))),
IF(ISNUMBER(FIND("D",B523)),
VALUE(SUBSTITUTE(MID(B523,FIND("D",B523)+1,FIND("T",B523,FIND("D",B523))-(FIND("D",B523)+1)),"P",",")),
IF(ISNUMBER(FIND("CFW5",B523)),
VALUE(MID(B523,
IF(ISNUMBER(FIND("F",B523)),FIND("F",B523)+1,FIND("G",B523)+1),
FIND("T",B523)-(IF(ISNUMBER(FIND("F",B523)),FIND("F",B523)+1,FIND("G",B523)+1))
)),
VALUE(MID(B523,FIND("E0",B523)+2,FIND("T",B523,FIND("E0",B523))-(FIND("E0",B523)+2)))
))),"")</f>
        <v/>
      </c>
      <c r="G523">
        <f>IFERROR(
IF(ISNUMBER(FIND("T2",B523)),220,
IF(ISNUMBER(FIND("T4",B523)),440,
IF(ISNUMBER(FIND("T5",B523)),575,
IF(ISNUMBER(FIND("T6",B523)),690,"")))),
"")</f>
        <v>440</v>
      </c>
    </row>
    <row r="524" spans="1:7" x14ac:dyDescent="0.25">
      <c r="A524">
        <v>17027214</v>
      </c>
      <c r="B524" t="str">
        <f>VLOOKUP(A524,Planilha2!B:C,2,0)</f>
        <v>INVERSOR CFW500G0180T4DB20C3H01SAG2</v>
      </c>
      <c r="C524" t="s">
        <v>1</v>
      </c>
      <c r="D524" t="str">
        <f>VLOOKUP(A524,Planilha2!B:H,7,0)</f>
        <v>LINHA G1</v>
      </c>
      <c r="E524" s="5">
        <v>45000</v>
      </c>
      <c r="F524" t="str">
        <f>IFERROR(
IF(ISNUMBER(FIND("CFW110",B524)),
VALUE(MID(B524,FIND("CFW110",B524)+6,FIND("T",B524,FIND("CFW110",B524))-(FIND("CFW110",B524)+6))),
IF(ISNUMBER(FIND("D",B524)),
VALUE(SUBSTITUTE(MID(B524,FIND("D",B524)+1,FIND("T",B524,FIND("D",B524))-(FIND("D",B524)+1)),"P",",")),
IF(ISNUMBER(FIND("CFW5",B524)),
VALUE(MID(B524,
IF(ISNUMBER(FIND("F",B524)),FIND("F",B524)+1,FIND("G",B524)+1),
FIND("T",B524)-(IF(ISNUMBER(FIND("F",B524)),FIND("F",B524)+1,FIND("G",B524)+1))
)),
VALUE(MID(B524,FIND("E0",B524)+2,FIND("T",B524,FIND("E0",B524))-(FIND("E0",B524)+2)))
))),"")</f>
        <v/>
      </c>
      <c r="G524">
        <f>IFERROR(
IF(ISNUMBER(FIND("T2",B524)),220,
IF(ISNUMBER(FIND("T4",B524)),440,
IF(ISNUMBER(FIND("T5",B524)),575,
IF(ISNUMBER(FIND("T6",B524)),690,"")))),
"")</f>
        <v>440</v>
      </c>
    </row>
    <row r="525" spans="1:7" x14ac:dyDescent="0.25">
      <c r="A525">
        <v>17027213</v>
      </c>
      <c r="B525" t="str">
        <f>VLOOKUP(A525,Planilha2!B:C,2,0)</f>
        <v>INVERSOR CFW500G0142T4DB20C3H01SAG2</v>
      </c>
      <c r="C525" t="s">
        <v>1</v>
      </c>
      <c r="D525" t="str">
        <f>VLOOKUP(A525,Planilha2!B:H,7,0)</f>
        <v>LINHA G1</v>
      </c>
      <c r="E525" s="5">
        <v>45000</v>
      </c>
      <c r="F525" t="str">
        <f>IFERROR(
IF(ISNUMBER(FIND("CFW110",B525)),
VALUE(MID(B525,FIND("CFW110",B525)+6,FIND("T",B525,FIND("CFW110",B525))-(FIND("CFW110",B525)+6))),
IF(ISNUMBER(FIND("D",B525)),
VALUE(SUBSTITUTE(MID(B525,FIND("D",B525)+1,FIND("T",B525,FIND("D",B525))-(FIND("D",B525)+1)),"P",",")),
IF(ISNUMBER(FIND("CFW5",B525)),
VALUE(MID(B525,
IF(ISNUMBER(FIND("F",B525)),FIND("F",B525)+1,FIND("G",B525)+1),
FIND("T",B525)-(IF(ISNUMBER(FIND("F",B525)),FIND("F",B525)+1,FIND("G",B525)+1))
)),
VALUE(MID(B525,FIND("E0",B525)+2,FIND("T",B525,FIND("E0",B525))-(FIND("E0",B525)+2)))
))),"")</f>
        <v/>
      </c>
      <c r="G525">
        <f>IFERROR(
IF(ISNUMBER(FIND("T2",B525)),220,
IF(ISNUMBER(FIND("T4",B525)),440,
IF(ISNUMBER(FIND("T5",B525)),575,
IF(ISNUMBER(FIND("T6",B525)),690,"")))),
"")</f>
        <v>440</v>
      </c>
    </row>
    <row r="526" spans="1:7" x14ac:dyDescent="0.25">
      <c r="A526">
        <v>17027212</v>
      </c>
      <c r="B526" t="str">
        <f>VLOOKUP(A526,Planilha2!B:C,2,0)</f>
        <v>INVERSOR CFW500F0105T4DB20H01SAG2</v>
      </c>
      <c r="C526" t="s">
        <v>1</v>
      </c>
      <c r="D526" t="str">
        <f>VLOOKUP(A526,Planilha2!B:H,7,0)</f>
        <v>LINHA M3</v>
      </c>
      <c r="E526" s="5">
        <v>24500</v>
      </c>
      <c r="F526" t="str">
        <f>IFERROR(
IF(ISNUMBER(FIND("CFW110",B526)),
VALUE(MID(B526,FIND("CFW110",B526)+6,FIND("T",B526,FIND("CFW110",B526))-(FIND("CFW110",B526)+6))),
IF(ISNUMBER(FIND("D",B526)),
VALUE(SUBSTITUTE(MID(B526,FIND("D",B526)+1,FIND("T",B526,FIND("D",B526))-(FIND("D",B526)+1)),"P",",")),
IF(ISNUMBER(FIND("CFW5",B526)),
VALUE(MID(B526,
IF(ISNUMBER(FIND("F",B526)),FIND("F",B526)+1,FIND("G",B526)+1),
FIND("T",B526)-(IF(ISNUMBER(FIND("F",B526)),FIND("F",B526)+1,FIND("G",B526)+1))
)),
VALUE(MID(B526,FIND("E0",B526)+2,FIND("T",B526,FIND("E0",B526))-(FIND("E0",B526)+2)))
))),"")</f>
        <v/>
      </c>
      <c r="G526">
        <f>IFERROR(
IF(ISNUMBER(FIND("T2",B526)),220,
IF(ISNUMBER(FIND("T4",B526)),440,
IF(ISNUMBER(FIND("T5",B526)),575,
IF(ISNUMBER(FIND("T6",B526)),690,"")))),
"")</f>
        <v>440</v>
      </c>
    </row>
    <row r="527" spans="1:7" x14ac:dyDescent="0.25">
      <c r="A527">
        <v>17027211</v>
      </c>
      <c r="B527" t="str">
        <f>VLOOKUP(A527,Planilha2!B:C,2,0)</f>
        <v>INVERSOR CFW500F88P0T4DB20H01SAG2</v>
      </c>
      <c r="C527" t="s">
        <v>1</v>
      </c>
      <c r="D527" t="str">
        <f>VLOOKUP(A527,Planilha2!B:H,7,0)</f>
        <v>LINHA M3</v>
      </c>
      <c r="E527" s="5">
        <v>24500</v>
      </c>
      <c r="F527" t="str">
        <f>IFERROR(
IF(ISNUMBER(FIND("CFW110",B527)),
VALUE(MID(B527,FIND("CFW110",B527)+6,FIND("T",B527,FIND("CFW110",B527))-(FIND("CFW110",B527)+6))),
IF(ISNUMBER(FIND("D",B527)),
VALUE(SUBSTITUTE(MID(B527,FIND("D",B527)+1,FIND("T",B527,FIND("D",B527))-(FIND("D",B527)+1)),"P",",")),
IF(ISNUMBER(FIND("CFW5",B527)),
VALUE(MID(B527,
IF(ISNUMBER(FIND("F",B527)),FIND("F",B527)+1,FIND("G",B527)+1),
FIND("T",B527)-(IF(ISNUMBER(FIND("F",B527)),FIND("F",B527)+1,FIND("G",B527)+1))
)),
VALUE(MID(B527,FIND("E0",B527)+2,FIND("T",B527,FIND("E0",B527))-(FIND("E0",B527)+2)))
))),"")</f>
        <v/>
      </c>
      <c r="G527">
        <f>IFERROR(
IF(ISNUMBER(FIND("T2",B527)),220,
IF(ISNUMBER(FIND("T4",B527)),440,
IF(ISNUMBER(FIND("T5",B527)),575,
IF(ISNUMBER(FIND("T6",B527)),690,"")))),
"")</f>
        <v>440</v>
      </c>
    </row>
    <row r="528" spans="1:7" x14ac:dyDescent="0.25">
      <c r="A528">
        <v>17026949</v>
      </c>
      <c r="B528" t="str">
        <f>VLOOKUP(A528,Planilha2!B:C,2,0)</f>
        <v>INVERSOR CFW500G0211T2DB20C3H01SAG2</v>
      </c>
      <c r="C528" t="s">
        <v>1</v>
      </c>
      <c r="D528" t="str">
        <f>VLOOKUP(A528,Planilha2!B:H,7,0)</f>
        <v>LINHA G1</v>
      </c>
      <c r="E528" s="5">
        <v>45000</v>
      </c>
      <c r="F528" t="str">
        <f>IFERROR(
IF(ISNUMBER(FIND("CFW110",B528)),
VALUE(MID(B528,FIND("CFW110",B528)+6,FIND("T",B528,FIND("CFW110",B528))-(FIND("CFW110",B528)+6))),
IF(ISNUMBER(FIND("D",B528)),
VALUE(SUBSTITUTE(MID(B528,FIND("D",B528)+1,FIND("T",B528,FIND("D",B528))-(FIND("D",B528)+1)),"P",",")),
IF(ISNUMBER(FIND("CFW5",B528)),
VALUE(MID(B528,
IF(ISNUMBER(FIND("F",B528)),FIND("F",B528)+1,FIND("G",B528)+1),
FIND("T",B528)-(IF(ISNUMBER(FIND("F",B528)),FIND("F",B528)+1,FIND("G",B528)+1))
)),
VALUE(MID(B528,FIND("E0",B528)+2,FIND("T",B528,FIND("E0",B528))-(FIND("E0",B528)+2)))
))),"")</f>
        <v/>
      </c>
      <c r="G528">
        <f>IFERROR(
IF(ISNUMBER(FIND("T2",B528)),220,
IF(ISNUMBER(FIND("T4",B528)),440,
IF(ISNUMBER(FIND("T5",B528)),575,
IF(ISNUMBER(FIND("T6",B528)),690,"")))),
"")</f>
        <v>220</v>
      </c>
    </row>
    <row r="529" spans="1:7" x14ac:dyDescent="0.25">
      <c r="A529">
        <v>17026836</v>
      </c>
      <c r="B529" t="str">
        <f>VLOOKUP(A529,Planilha2!B:C,2,0)</f>
        <v>INVERSOR CFW500G0180T2DB20C3H01SAG2</v>
      </c>
      <c r="C529" t="s">
        <v>1</v>
      </c>
      <c r="D529" t="str">
        <f>VLOOKUP(A529,Planilha2!B:H,7,0)</f>
        <v>LINHA G1</v>
      </c>
      <c r="E529" s="5">
        <v>45000</v>
      </c>
      <c r="F529" t="str">
        <f>IFERROR(
IF(ISNUMBER(FIND("CFW110",B529)),
VALUE(MID(B529,FIND("CFW110",B529)+6,FIND("T",B529,FIND("CFW110",B529))-(FIND("CFW110",B529)+6))),
IF(ISNUMBER(FIND("D",B529)),
VALUE(SUBSTITUTE(MID(B529,FIND("D",B529)+1,FIND("T",B529,FIND("D",B529))-(FIND("D",B529)+1)),"P",",")),
IF(ISNUMBER(FIND("CFW5",B529)),
VALUE(MID(B529,
IF(ISNUMBER(FIND("F",B529)),FIND("F",B529)+1,FIND("G",B529)+1),
FIND("T",B529)-(IF(ISNUMBER(FIND("F",B529)),FIND("F",B529)+1,FIND("G",B529)+1))
)),
VALUE(MID(B529,FIND("E0",B529)+2,FIND("T",B529,FIND("E0",B529))-(FIND("E0",B529)+2)))
))),"")</f>
        <v/>
      </c>
      <c r="G529">
        <f>IFERROR(
IF(ISNUMBER(FIND("T2",B529)),220,
IF(ISNUMBER(FIND("T4",B529)),440,
IF(ISNUMBER(FIND("T5",B529)),575,
IF(ISNUMBER(FIND("T6",B529)),690,"")))),
"")</f>
        <v>220</v>
      </c>
    </row>
    <row r="530" spans="1:7" x14ac:dyDescent="0.25">
      <c r="A530">
        <v>17026832</v>
      </c>
      <c r="B530" t="str">
        <f>VLOOKUP(A530,Planilha2!B:C,2,0)</f>
        <v>INVERSOR CFW500G0145T2DB20C3H01SAG2</v>
      </c>
      <c r="C530" t="s">
        <v>1</v>
      </c>
      <c r="D530" t="str">
        <f>VLOOKUP(A530,Planilha2!B:H,7,0)</f>
        <v>LINHA G1</v>
      </c>
      <c r="E530" s="5">
        <v>45000</v>
      </c>
      <c r="F530" t="str">
        <f>IFERROR(
IF(ISNUMBER(FIND("CFW110",B530)),
VALUE(MID(B530,FIND("CFW110",B530)+6,FIND("T",B530,FIND("CFW110",B530))-(FIND("CFW110",B530)+6))),
IF(ISNUMBER(FIND("D",B530)),
VALUE(SUBSTITUTE(MID(B530,FIND("D",B530)+1,FIND("T",B530,FIND("D",B530))-(FIND("D",B530)+1)),"P",",")),
IF(ISNUMBER(FIND("CFW5",B530)),
VALUE(MID(B530,
IF(ISNUMBER(FIND("F",B530)),FIND("F",B530)+1,FIND("G",B530)+1),
FIND("T",B530)-(IF(ISNUMBER(FIND("F",B530)),FIND("F",B530)+1,FIND("G",B530)+1))
)),
VALUE(MID(B530,FIND("E0",B530)+2,FIND("T",B530,FIND("E0",B530))-(FIND("E0",B530)+2)))
))),"")</f>
        <v/>
      </c>
      <c r="G530">
        <f>IFERROR(
IF(ISNUMBER(FIND("T2",B530)),220,
IF(ISNUMBER(FIND("T4",B530)),440,
IF(ISNUMBER(FIND("T5",B530)),575,
IF(ISNUMBER(FIND("T6",B530)),690,"")))),
"")</f>
        <v>220</v>
      </c>
    </row>
    <row r="531" spans="1:7" x14ac:dyDescent="0.25">
      <c r="A531">
        <v>17026787</v>
      </c>
      <c r="B531" t="str">
        <f>VLOOKUP(A531,Planilha2!B:C,2,0)</f>
        <v>INVERSOR CFW500F0105T2DB20H01SAG2</v>
      </c>
      <c r="C531" t="s">
        <v>1</v>
      </c>
      <c r="D531" t="str">
        <f>VLOOKUP(A531,Planilha2!B:H,7,0)</f>
        <v>LINHA M3</v>
      </c>
      <c r="E531" s="5">
        <v>24500</v>
      </c>
      <c r="F531" t="str">
        <f>IFERROR(
IF(ISNUMBER(FIND("CFW110",B531)),
VALUE(MID(B531,FIND("CFW110",B531)+6,FIND("T",B531,FIND("CFW110",B531))-(FIND("CFW110",B531)+6))),
IF(ISNUMBER(FIND("D",B531)),
VALUE(SUBSTITUTE(MID(B531,FIND("D",B531)+1,FIND("T",B531,FIND("D",B531))-(FIND("D",B531)+1)),"P",",")),
IF(ISNUMBER(FIND("CFW5",B531)),
VALUE(MID(B531,
IF(ISNUMBER(FIND("F",B531)),FIND("F",B531)+1,FIND("G",B531)+1),
FIND("T",B531)-(IF(ISNUMBER(FIND("F",B531)),FIND("F",B531)+1,FIND("G",B531)+1))
)),
VALUE(MID(B531,FIND("E0",B531)+2,FIND("T",B531,FIND("E0",B531))-(FIND("E0",B531)+2)))
))),"")</f>
        <v/>
      </c>
      <c r="G531">
        <f>IFERROR(
IF(ISNUMBER(FIND("T2",B531)),220,
IF(ISNUMBER(FIND("T4",B531)),440,
IF(ISNUMBER(FIND("T5",B531)),575,
IF(ISNUMBER(FIND("T6",B531)),690,"")))),
"")</f>
        <v>220</v>
      </c>
    </row>
    <row r="532" spans="1:7" x14ac:dyDescent="0.25">
      <c r="A532">
        <v>17026783</v>
      </c>
      <c r="B532" t="str">
        <f>VLOOKUP(A532,Planilha2!B:C,2,0)</f>
        <v>INVERSOR CFW500F88P0T2DB20H01SAG2</v>
      </c>
      <c r="C532" t="s">
        <v>1</v>
      </c>
      <c r="D532" t="str">
        <f>VLOOKUP(A532,Planilha2!B:H,7,0)</f>
        <v>LINHA M3</v>
      </c>
      <c r="E532" s="5">
        <v>24500</v>
      </c>
      <c r="F532" t="str">
        <f>IFERROR(
IF(ISNUMBER(FIND("CFW110",B532)),
VALUE(MID(B532,FIND("CFW110",B532)+6,FIND("T",B532,FIND("CFW110",B532))-(FIND("CFW110",B532)+6))),
IF(ISNUMBER(FIND("D",B532)),
VALUE(SUBSTITUTE(MID(B532,FIND("D",B532)+1,FIND("T",B532,FIND("D",B532))-(FIND("D",B532)+1)),"P",",")),
IF(ISNUMBER(FIND("CFW5",B532)),
VALUE(MID(B532,
IF(ISNUMBER(FIND("F",B532)),FIND("F",B532)+1,FIND("G",B532)+1),
FIND("T",B532)-(IF(ISNUMBER(FIND("F",B532)),FIND("F",B532)+1,FIND("G",B532)+1))
)),
VALUE(MID(B532,FIND("E0",B532)+2,FIND("T",B532,FIND("E0",B532))-(FIND("E0",B532)+2)))
))),"")</f>
        <v/>
      </c>
      <c r="G532">
        <f>IFERROR(
IF(ISNUMBER(FIND("T2",B532)),220,
IF(ISNUMBER(FIND("T4",B532)),440,
IF(ISNUMBER(FIND("T5",B532)),575,
IF(ISNUMBER(FIND("T6",B532)),690,"")))),
"")</f>
        <v>220</v>
      </c>
    </row>
    <row r="533" spans="1:7" x14ac:dyDescent="0.25">
      <c r="A533">
        <v>17026781</v>
      </c>
      <c r="B533" t="str">
        <f>VLOOKUP(A533,Planilha2!B:C,2,0)</f>
        <v>INVERSOR CFW500F77P0T2DB20H01SAG2</v>
      </c>
      <c r="C533" t="s">
        <v>1</v>
      </c>
      <c r="D533" t="str">
        <f>VLOOKUP(A533,Planilha2!B:H,7,0)</f>
        <v>LINHA M3</v>
      </c>
      <c r="E533" s="5">
        <v>24500</v>
      </c>
      <c r="F533" t="str">
        <f>IFERROR(
IF(ISNUMBER(FIND("CFW110",B533)),
VALUE(MID(B533,FIND("CFW110",B533)+6,FIND("T",B533,FIND("CFW110",B533))-(FIND("CFW110",B533)+6))),
IF(ISNUMBER(FIND("D",B533)),
VALUE(SUBSTITUTE(MID(B533,FIND("D",B533)+1,FIND("T",B533,FIND("D",B533))-(FIND("D",B533)+1)),"P",",")),
IF(ISNUMBER(FIND("CFW5",B533)),
VALUE(MID(B533,
IF(ISNUMBER(FIND("F",B533)),FIND("F",B533)+1,FIND("G",B533)+1),
FIND("T",B533)-(IF(ISNUMBER(FIND("F",B533)),FIND("F",B533)+1,FIND("G",B533)+1))
)),
VALUE(MID(B533,FIND("E0",B533)+2,FIND("T",B533,FIND("E0",B533))-(FIND("E0",B533)+2)))
))),"")</f>
        <v/>
      </c>
      <c r="G533">
        <f>IFERROR(
IF(ISNUMBER(FIND("T2",B533)),220,
IF(ISNUMBER(FIND("T4",B533)),440,
IF(ISNUMBER(FIND("T5",B533)),575,
IF(ISNUMBER(FIND("T6",B533)),690,"")))),
"")</f>
        <v>220</v>
      </c>
    </row>
    <row r="534" spans="1:7" x14ac:dyDescent="0.25">
      <c r="A534">
        <v>15735044</v>
      </c>
      <c r="B534" t="str">
        <f>VLOOKUP(A534,Planilha2!B:C,2,0)</f>
        <v>INVERSOR CFW500F77P0T4DB20H01SAG2</v>
      </c>
      <c r="C534" t="s">
        <v>1</v>
      </c>
      <c r="D534" t="str">
        <f>VLOOKUP(A534,Planilha2!B:H,7,0)</f>
        <v>LINHA M3</v>
      </c>
      <c r="E534" s="5">
        <v>24500</v>
      </c>
      <c r="F534" t="str">
        <f>IFERROR(
IF(ISNUMBER(FIND("CFW110",B534)),
VALUE(MID(B534,FIND("CFW110",B534)+6,FIND("T",B534,FIND("CFW110",B534))-(FIND("CFW110",B534)+6))),
IF(ISNUMBER(FIND("D",B534)),
VALUE(SUBSTITUTE(MID(B534,FIND("D",B534)+1,FIND("T",B534,FIND("D",B534))-(FIND("D",B534)+1)),"P",",")),
IF(ISNUMBER(FIND("CFW5",B534)),
VALUE(MID(B534,
IF(ISNUMBER(FIND("F",B534)),FIND("F",B534)+1,FIND("G",B534)+1),
FIND("T",B534)-(IF(ISNUMBER(FIND("F",B534)),FIND("F",B534)+1,FIND("G",B534)+1))
)),
VALUE(MID(B534,FIND("E0",B534)+2,FIND("T",B534,FIND("E0",B534))-(FIND("E0",B534)+2)))
))),"")</f>
        <v/>
      </c>
      <c r="G534">
        <f>IFERROR(
IF(ISNUMBER(FIND("T2",B534)),220,
IF(ISNUMBER(FIND("T4",B534)),440,
IF(ISNUMBER(FIND("T5",B534)),575,
IF(ISNUMBER(FIND("T6",B534)),690,"")))),
"")</f>
        <v>440</v>
      </c>
    </row>
    <row r="535" spans="1:7" x14ac:dyDescent="0.25">
      <c r="A535">
        <v>17086316</v>
      </c>
      <c r="B535" t="str">
        <f>VLOOKUP(A535,Planilha2!B:C,2,0)</f>
        <v>INVERSOR BRCFW110086T2O55FAZ</v>
      </c>
      <c r="C535" t="s">
        <v>1</v>
      </c>
      <c r="D535" t="str">
        <f>VLOOKUP(A535,Planilha2!B:H,7,0)</f>
        <v>LINHA M3</v>
      </c>
      <c r="E535" s="5">
        <v>42000</v>
      </c>
      <c r="F535">
        <f>IFERROR(
IF(ISNUMBER(FIND("CFW110",B535)),
VALUE(MID(B535,FIND("CFW110",B535)+6,FIND("T",B535,FIND("CFW110",B535))-(FIND("CFW110",B535)+6))),
IF(ISNUMBER(FIND("D",B535)),
VALUE(SUBSTITUTE(MID(B535,FIND("D",B535)+1,FIND("T",B535,FIND("D",B535))-(FIND("D",B535)+1)),"P",",")),
IF(ISNUMBER(FIND("CFW5",B535)),
VALUE(MID(B535,
IF(ISNUMBER(FIND("F",B535)),FIND("F",B535)+1,FIND("G",B535)+1),
FIND("T",B535)-(IF(ISNUMBER(FIND("F",B535)),FIND("F",B535)+1,FIND("G",B535)+1))
)),
VALUE(MID(B535,FIND("E0",B535)+2,FIND("T",B535,FIND("E0",B535))-(FIND("E0",B535)+2)))
))),"")</f>
        <v>86</v>
      </c>
      <c r="G535">
        <f>IFERROR(
IF(ISNUMBER(FIND("T2",B535)),220,
IF(ISNUMBER(FIND("T4",B535)),440,
IF(ISNUMBER(FIND("T5",B535)),575,
IF(ISNUMBER(FIND("T6",B535)),690,"")))),
"")</f>
        <v>220</v>
      </c>
    </row>
    <row r="536" spans="1:7" x14ac:dyDescent="0.25">
      <c r="A536">
        <v>17096016</v>
      </c>
      <c r="B536" t="str">
        <f>VLOOKUP(A536,Planilha2!B:C,2,0)</f>
        <v>INVERSOR BRCFW110070T2OFAWZ</v>
      </c>
      <c r="C536" t="s">
        <v>1</v>
      </c>
      <c r="D536" t="str">
        <f>VLOOKUP(A536,Planilha2!B:H,7,0)</f>
        <v>LINHA M1</v>
      </c>
      <c r="E536" s="5">
        <v>18000</v>
      </c>
      <c r="F536">
        <f>IFERROR(
IF(ISNUMBER(FIND("CFW110",B536)),
VALUE(MID(B536,FIND("CFW110",B536)+6,FIND("T",B536,FIND("CFW110",B536))-(FIND("CFW110",B536)+6))),
IF(ISNUMBER(FIND("D",B536)),
VALUE(SUBSTITUTE(MID(B536,FIND("D",B536)+1,FIND("T",B536,FIND("D",B536))-(FIND("D",B536)+1)),"P",",")),
IF(ISNUMBER(FIND("CFW5",B536)),
VALUE(MID(B536,
IF(ISNUMBER(FIND("F",B536)),FIND("F",B536)+1,FIND("G",B536)+1),
FIND("T",B536)-(IF(ISNUMBER(FIND("F",B536)),FIND("F",B536)+1,FIND("G",B536)+1))
)),
VALUE(MID(B536,FIND("E0",B536)+2,FIND("T",B536,FIND("E0",B536))-(FIND("E0",B536)+2)))
))),"")</f>
        <v>70</v>
      </c>
      <c r="G536">
        <f>IFERROR(
IF(ISNUMBER(FIND("T2",B536)),220,
IF(ISNUMBER(FIND("T4",B536)),440,
IF(ISNUMBER(FIND("T5",B536)),575,
IF(ISNUMBER(FIND("T6",B536)),690,"")))),
"")</f>
        <v>220</v>
      </c>
    </row>
    <row r="537" spans="1:7" x14ac:dyDescent="0.25">
      <c r="A537">
        <v>17096017</v>
      </c>
      <c r="B537" t="str">
        <f>VLOOKUP(A537,Planilha2!B:C,2,0)</f>
        <v>INVERSOR BRCFW110142T2OWZ</v>
      </c>
      <c r="C537" t="s">
        <v>1</v>
      </c>
      <c r="D537" t="str">
        <f>VLOOKUP(A537,Planilha2!B:H,7,0)</f>
        <v>LINHA G1</v>
      </c>
      <c r="E537" s="5">
        <v>69100</v>
      </c>
      <c r="F537">
        <f>IFERROR(
IF(ISNUMBER(FIND("CFW110",B537)),
VALUE(MID(B537,FIND("CFW110",B537)+6,FIND("T",B537,FIND("CFW110",B537))-(FIND("CFW110",B537)+6))),
IF(ISNUMBER(FIND("D",B537)),
VALUE(SUBSTITUTE(MID(B537,FIND("D",B537)+1,FIND("T",B537,FIND("D",B537))-(FIND("D",B537)+1)),"P",",")),
IF(ISNUMBER(FIND("CFW5",B537)),
VALUE(MID(B537,
IF(ISNUMBER(FIND("F",B537)),FIND("F",B537)+1,FIND("G",B537)+1),
FIND("T",B537)-(IF(ISNUMBER(FIND("F",B537)),FIND("F",B537)+1,FIND("G",B537)+1))
)),
VALUE(MID(B537,FIND("E0",B537)+2,FIND("T",B537,FIND("E0",B537))-(FIND("E0",B537)+2)))
))),"")</f>
        <v>142</v>
      </c>
      <c r="G537">
        <f>IFERROR(
IF(ISNUMBER(FIND("T2",B537)),220,
IF(ISNUMBER(FIND("T4",B537)),440,
IF(ISNUMBER(FIND("T5",B537)),575,
IF(ISNUMBER(FIND("T6",B537)),690,"")))),
"")</f>
        <v>220</v>
      </c>
    </row>
    <row r="538" spans="1:7" x14ac:dyDescent="0.25">
      <c r="A538">
        <v>17135594</v>
      </c>
      <c r="B538" t="str">
        <f>VLOOKUP(A538,Planilha2!B:C,2,0)</f>
        <v>INVERSOR BRCFW110070T4OFAECZ</v>
      </c>
      <c r="C538" t="s">
        <v>1</v>
      </c>
      <c r="D538" t="str">
        <f>VLOOKUP(A538,Planilha2!B:H,7,0)</f>
        <v>LINHA M3</v>
      </c>
      <c r="E538" s="5">
        <v>26701</v>
      </c>
      <c r="F538">
        <f>IFERROR(
IF(ISNUMBER(FIND("CFW110",B538)),
VALUE(MID(B538,FIND("CFW110",B538)+6,FIND("T",B538,FIND("CFW110",B538))-(FIND("CFW110",B538)+6))),
IF(ISNUMBER(FIND("D",B538)),
VALUE(SUBSTITUTE(MID(B538,FIND("D",B538)+1,FIND("T",B538,FIND("D",B538))-(FIND("D",B538)+1)),"P",",")),
IF(ISNUMBER(FIND("CFW5",B538)),
VALUE(MID(B538,
IF(ISNUMBER(FIND("F",B538)),FIND("F",B538)+1,FIND("G",B538)+1),
FIND("T",B538)-(IF(ISNUMBER(FIND("F",B538)),FIND("F",B538)+1,FIND("G",B538)+1))
)),
VALUE(MID(B538,FIND("E0",B538)+2,FIND("T",B538,FIND("E0",B538))-(FIND("E0",B538)+2)))
))),"")</f>
        <v>70</v>
      </c>
      <c r="G538">
        <f>IFERROR(
IF(ISNUMBER(FIND("T2",B538)),220,
IF(ISNUMBER(FIND("T4",B538)),440,
IF(ISNUMBER(FIND("T5",B538)),575,
IF(ISNUMBER(FIND("T6",B538)),690,"")))),
"")</f>
        <v>440</v>
      </c>
    </row>
    <row r="539" spans="1:7" x14ac:dyDescent="0.25">
      <c r="A539">
        <v>17223171</v>
      </c>
      <c r="B539" t="str">
        <f>VLOOKUP(A539,Planilha2!B:C,2,0)</f>
        <v>INVERSOR EUCFW110070T4OFASUZ-UI</v>
      </c>
      <c r="C539" t="s">
        <v>1</v>
      </c>
      <c r="D539" t="str">
        <f>VLOOKUP(A539,Planilha2!B:H,7,0)</f>
        <v>LINHA M3</v>
      </c>
      <c r="E539" s="5">
        <v>31100</v>
      </c>
      <c r="F539">
        <f>IFERROR(
IF(ISNUMBER(FIND("CFW110",B539)),
VALUE(MID(B539,FIND("CFW110",B539)+6,FIND("T",B539,FIND("CFW110",B539))-(FIND("CFW110",B539)+6))),
IF(ISNUMBER(FIND("D",B539)),
VALUE(SUBSTITUTE(MID(B539,FIND("D",B539)+1,FIND("T",B539,FIND("D",B539))-(FIND("D",B539)+1)),"P",",")),
IF(ISNUMBER(FIND("CFW5",B539)),
VALUE(MID(B539,
IF(ISNUMBER(FIND("F",B539)),FIND("F",B539)+1,FIND("G",B539)+1),
FIND("T",B539)-(IF(ISNUMBER(FIND("F",B539)),FIND("F",B539)+1,FIND("G",B539)+1))
)),
VALUE(MID(B539,FIND("E0",B539)+2,FIND("T",B539,FIND("E0",B539))-(FIND("E0",B539)+2)))
))),"")</f>
        <v>70</v>
      </c>
      <c r="G539">
        <f>IFERROR(
IF(ISNUMBER(FIND("T2",B539)),220,
IF(ISNUMBER(FIND("T4",B539)),440,
IF(ISNUMBER(FIND("T5",B539)),575,
IF(ISNUMBER(FIND("T6",B539)),690,"")))),
"")</f>
        <v>440</v>
      </c>
    </row>
    <row r="540" spans="1:7" x14ac:dyDescent="0.25">
      <c r="A540">
        <v>17222155</v>
      </c>
      <c r="B540" t="str">
        <f>VLOOKUP(A540,Planilha2!B:C,2,0)</f>
        <v>INVERSOR EUCFW110070T4OFASUZ</v>
      </c>
      <c r="C540" t="s">
        <v>1</v>
      </c>
      <c r="D540" t="str">
        <f>VLOOKUP(A540,Planilha2!B:H,7,0)</f>
        <v>LINHA M3</v>
      </c>
      <c r="E540" s="5">
        <v>31100</v>
      </c>
      <c r="F540">
        <f>IFERROR(
IF(ISNUMBER(FIND("CFW110",B540)),
VALUE(MID(B540,FIND("CFW110",B540)+6,FIND("T",B540,FIND("CFW110",B540))-(FIND("CFW110",B540)+6))),
IF(ISNUMBER(FIND("D",B540)),
VALUE(SUBSTITUTE(MID(B540,FIND("D",B540)+1,FIND("T",B540,FIND("D",B540))-(FIND("D",B540)+1)),"P",",")),
IF(ISNUMBER(FIND("CFW5",B540)),
VALUE(MID(B540,
IF(ISNUMBER(FIND("F",B540)),FIND("F",B540)+1,FIND("G",B540)+1),
FIND("T",B540)-(IF(ISNUMBER(FIND("F",B540)),FIND("F",B540)+1,FIND("G",B540)+1))
)),
VALUE(MID(B540,FIND("E0",B540)+2,FIND("T",B540,FIND("E0",B540))-(FIND("E0",B540)+2)))
))),"")</f>
        <v>70</v>
      </c>
      <c r="G540">
        <f>IFERROR(
IF(ISNUMBER(FIND("T2",B540)),220,
IF(ISNUMBER(FIND("T4",B540)),440,
IF(ISNUMBER(FIND("T5",B540)),575,
IF(ISNUMBER(FIND("T6",B540)),690,"")))),
"")</f>
        <v>440</v>
      </c>
    </row>
    <row r="541" spans="1:7" x14ac:dyDescent="0.25">
      <c r="A541">
        <v>17270579</v>
      </c>
      <c r="B541" t="str">
        <f>VLOOKUP(A541,Planilha2!B:C,2,0)</f>
        <v>INVERSOR MSCFW110088T4ORBHP1Z</v>
      </c>
      <c r="C541" t="s">
        <v>1</v>
      </c>
      <c r="D541" t="str">
        <f>VLOOKUP(A541,Planilha2!B:H,7,0)</f>
        <v>LINHA M3</v>
      </c>
      <c r="E541" s="5">
        <v>32600</v>
      </c>
      <c r="F541">
        <f>IFERROR(
IF(ISNUMBER(FIND("CFW110",B541)),
VALUE(MID(B541,FIND("CFW110",B541)+6,FIND("T",B541,FIND("CFW110",B541))-(FIND("CFW110",B541)+6))),
IF(ISNUMBER(FIND("D",B541)),
VALUE(SUBSTITUTE(MID(B541,FIND("D",B541)+1,FIND("T",B541,FIND("D",B541))-(FIND("D",B541)+1)),"P",",")),
IF(ISNUMBER(FIND("CFW5",B541)),
VALUE(MID(B541,
IF(ISNUMBER(FIND("F",B541)),FIND("F",B541)+1,FIND("G",B541)+1),
FIND("T",B541)-(IF(ISNUMBER(FIND("F",B541)),FIND("F",B541)+1,FIND("G",B541)+1))
)),
VALUE(MID(B541,FIND("E0",B541)+2,FIND("T",B541,FIND("E0",B541))-(FIND("E0",B541)+2)))
))),"")</f>
        <v>88</v>
      </c>
      <c r="G541">
        <f>IFERROR(
IF(ISNUMBER(FIND("T2",B541)),220,
IF(ISNUMBER(FIND("T4",B541)),440,
IF(ISNUMBER(FIND("T5",B541)),575,
IF(ISNUMBER(FIND("T6",B541)),690,"")))),
"")</f>
        <v>440</v>
      </c>
    </row>
    <row r="542" spans="1:7" x14ac:dyDescent="0.25">
      <c r="A542">
        <v>17317765</v>
      </c>
      <c r="B542" t="str">
        <f>VLOOKUP(A542,Planilha2!B:C,2,0)</f>
        <v>INVERSOR SACFW110004T6OYWZ</v>
      </c>
      <c r="C542" t="s">
        <v>1</v>
      </c>
      <c r="D542" t="str">
        <f>VLOOKUP(A542,Planilha2!B:H,7,0)</f>
        <v>LINHA M3</v>
      </c>
      <c r="E542" s="5">
        <v>29500</v>
      </c>
      <c r="F542">
        <f>IFERROR(
IF(ISNUMBER(FIND("CFW110",B542)),
VALUE(MID(B542,FIND("CFW110",B542)+6,FIND("T",B542,FIND("CFW110",B542))-(FIND("CFW110",B542)+6))),
IF(ISNUMBER(FIND("D",B542)),
VALUE(SUBSTITUTE(MID(B542,FIND("D",B542)+1,FIND("T",B542,FIND("D",B542))-(FIND("D",B542)+1)),"P",",")),
IF(ISNUMBER(FIND("CFW5",B542)),
VALUE(MID(B542,
IF(ISNUMBER(FIND("F",B542)),FIND("F",B542)+1,FIND("G",B542)+1),
FIND("T",B542)-(IF(ISNUMBER(FIND("F",B542)),FIND("F",B542)+1,FIND("G",B542)+1))
)),
VALUE(MID(B542,FIND("E0",B542)+2,FIND("T",B542,FIND("E0",B542))-(FIND("E0",B542)+2)))
))),"")</f>
        <v>4</v>
      </c>
      <c r="G542">
        <f>IFERROR(
IF(ISNUMBER(FIND("T2",B542)),220,
IF(ISNUMBER(FIND("T4",B542)),440,
IF(ISNUMBER(FIND("T5",B542)),575,
IF(ISNUMBER(FIND("T6",B542)),690,"")))),
"")</f>
        <v>690</v>
      </c>
    </row>
    <row r="543" spans="1:7" x14ac:dyDescent="0.25">
      <c r="A543">
        <v>17319653</v>
      </c>
      <c r="B543" t="str">
        <f>VLOOKUP(A543,Planilha2!B:C,2,0)</f>
        <v>INVERSOR SACFW110032T6OYWZ</v>
      </c>
      <c r="C543" t="s">
        <v>1</v>
      </c>
      <c r="D543" t="str">
        <f>VLOOKUP(A543,Planilha2!B:H,7,0)</f>
        <v>LINHA M3</v>
      </c>
      <c r="E543" s="5">
        <v>29500</v>
      </c>
      <c r="F543">
        <f>IFERROR(
IF(ISNUMBER(FIND("CFW110",B543)),
VALUE(MID(B543,FIND("CFW110",B543)+6,FIND("T",B543,FIND("CFW110",B543))-(FIND("CFW110",B543)+6))),
IF(ISNUMBER(FIND("D",B543)),
VALUE(SUBSTITUTE(MID(B543,FIND("D",B543)+1,FIND("T",B543,FIND("D",B543))-(FIND("D",B543)+1)),"P",",")),
IF(ISNUMBER(FIND("CFW5",B543)),
VALUE(MID(B543,
IF(ISNUMBER(FIND("F",B543)),FIND("F",B543)+1,FIND("G",B543)+1),
FIND("T",B543)-(IF(ISNUMBER(FIND("F",B543)),FIND("F",B543)+1,FIND("G",B543)+1))
)),
VALUE(MID(B543,FIND("E0",B543)+2,FIND("T",B543,FIND("E0",B543))-(FIND("E0",B543)+2)))
))),"")</f>
        <v>32</v>
      </c>
      <c r="G543">
        <f>IFERROR(
IF(ISNUMBER(FIND("T2",B543)),220,
IF(ISNUMBER(FIND("T4",B543)),440,
IF(ISNUMBER(FIND("T5",B543)),575,
IF(ISNUMBER(FIND("T6",B543)),690,"")))),
"")</f>
        <v>690</v>
      </c>
    </row>
    <row r="544" spans="1:7" x14ac:dyDescent="0.25">
      <c r="A544">
        <v>17262550</v>
      </c>
      <c r="B544" t="str">
        <f>VLOOKUP(A544,Planilha2!B:C,2,0)</f>
        <v>INVERSOR EUCFW110088T4OFASUZ</v>
      </c>
      <c r="C544" t="s">
        <v>1</v>
      </c>
      <c r="D544" t="str">
        <f>VLOOKUP(A544,Planilha2!B:H,7,0)</f>
        <v>LINHA M3</v>
      </c>
      <c r="E544" s="5">
        <v>32600</v>
      </c>
      <c r="F544">
        <f>IFERROR(
IF(ISNUMBER(FIND("CFW110",B544)),
VALUE(MID(B544,FIND("CFW110",B544)+6,FIND("T",B544,FIND("CFW110",B544))-(FIND("CFW110",B544)+6))),
IF(ISNUMBER(FIND("D",B544)),
VALUE(SUBSTITUTE(MID(B544,FIND("D",B544)+1,FIND("T",B544,FIND("D",B544))-(FIND("D",B544)+1)),"P",",")),
IF(ISNUMBER(FIND("CFW5",B544)),
VALUE(MID(B544,
IF(ISNUMBER(FIND("F",B544)),FIND("F",B544)+1,FIND("G",B544)+1),
FIND("T",B544)-(IF(ISNUMBER(FIND("F",B544)),FIND("F",B544)+1,FIND("G",B544)+1))
)),
VALUE(MID(B544,FIND("E0",B544)+2,FIND("T",B544,FIND("E0",B544))-(FIND("E0",B544)+2)))
))),"")</f>
        <v>88</v>
      </c>
      <c r="G544">
        <f>IFERROR(
IF(ISNUMBER(FIND("T2",B544)),220,
IF(ISNUMBER(FIND("T4",B544)),440,
IF(ISNUMBER(FIND("T5",B544)),575,
IF(ISNUMBER(FIND("T6",B544)),690,"")))),
"")</f>
        <v>440</v>
      </c>
    </row>
    <row r="545" spans="1:7" x14ac:dyDescent="0.25">
      <c r="A545">
        <v>17262630</v>
      </c>
      <c r="B545" t="str">
        <f>VLOOKUP(A545,Planilha2!B:C,2,0)</f>
        <v>INVERSOR EUCFW110045T4OFASUZ</v>
      </c>
      <c r="C545" t="s">
        <v>1</v>
      </c>
      <c r="D545" t="str">
        <f>VLOOKUP(A545,Planilha2!B:H,7,0)</f>
        <v>LINHA M1</v>
      </c>
      <c r="E545" s="5">
        <v>19700</v>
      </c>
      <c r="F545">
        <f>IFERROR(
IF(ISNUMBER(FIND("CFW110",B545)),
VALUE(MID(B545,FIND("CFW110",B545)+6,FIND("T",B545,FIND("CFW110",B545))-(FIND("CFW110",B545)+6))),
IF(ISNUMBER(FIND("D",B545)),
VALUE(SUBSTITUTE(MID(B545,FIND("D",B545)+1,FIND("T",B545,FIND("D",B545))-(FIND("D",B545)+1)),"P",",")),
IF(ISNUMBER(FIND("CFW5",B545)),
VALUE(MID(B545,
IF(ISNUMBER(FIND("F",B545)),FIND("F",B545)+1,FIND("G",B545)+1),
FIND("T",B545)-(IF(ISNUMBER(FIND("F",B545)),FIND("F",B545)+1,FIND("G",B545)+1))
)),
VALUE(MID(B545,FIND("E0",B545)+2,FIND("T",B545,FIND("E0",B545))-(FIND("E0",B545)+2)))
))),"")</f>
        <v>45</v>
      </c>
      <c r="G545">
        <f>IFERROR(
IF(ISNUMBER(FIND("T2",B545)),220,
IF(ISNUMBER(FIND("T4",B545)),440,
IF(ISNUMBER(FIND("T5",B545)),575,
IF(ISNUMBER(FIND("T6",B545)),690,"")))),
"")</f>
        <v>440</v>
      </c>
    </row>
    <row r="546" spans="1:7" x14ac:dyDescent="0.25">
      <c r="A546">
        <v>17262635</v>
      </c>
      <c r="B546" t="str">
        <f>VLOOKUP(A546,Planilha2!B:C,2,0)</f>
        <v>INVERSOR EUCFW110058T4OFASUZ</v>
      </c>
      <c r="C546" t="s">
        <v>1</v>
      </c>
      <c r="D546" t="str">
        <f>VLOOKUP(A546,Planilha2!B:H,7,0)</f>
        <v>LINHA M1</v>
      </c>
      <c r="E546" s="5">
        <v>20600</v>
      </c>
      <c r="F546">
        <f>IFERROR(
IF(ISNUMBER(FIND("CFW110",B546)),
VALUE(MID(B546,FIND("CFW110",B546)+6,FIND("T",B546,FIND("CFW110",B546))-(FIND("CFW110",B546)+6))),
IF(ISNUMBER(FIND("D",B546)),
VALUE(SUBSTITUTE(MID(B546,FIND("D",B546)+1,FIND("T",B546,FIND("D",B546))-(FIND("D",B546)+1)),"P",",")),
IF(ISNUMBER(FIND("CFW5",B546)),
VALUE(MID(B546,
IF(ISNUMBER(FIND("F",B546)),FIND("F",B546)+1,FIND("G",B546)+1),
FIND("T",B546)-(IF(ISNUMBER(FIND("F",B546)),FIND("F",B546)+1,FIND("G",B546)+1))
)),
VALUE(MID(B546,FIND("E0",B546)+2,FIND("T",B546,FIND("E0",B546))-(FIND("E0",B546)+2)))
))),"")</f>
        <v>58</v>
      </c>
      <c r="G546">
        <f>IFERROR(
IF(ISNUMBER(FIND("T2",B546)),220,
IF(ISNUMBER(FIND("T4",B546)),440,
IF(ISNUMBER(FIND("T5",B546)),575,
IF(ISNUMBER(FIND("T6",B546)),690,"")))),
"")</f>
        <v>440</v>
      </c>
    </row>
    <row r="547" spans="1:7" x14ac:dyDescent="0.25">
      <c r="A547">
        <v>17358110</v>
      </c>
      <c r="B547" t="str">
        <f>VLOOKUP(A547,Planilha2!B:C,2,0)</f>
        <v>INVERSOR EUCFW110010T6OYWZ</v>
      </c>
      <c r="C547" t="s">
        <v>1</v>
      </c>
      <c r="D547" t="str">
        <f>VLOOKUP(A547,Planilha2!B:H,7,0)</f>
        <v>LINHA M3</v>
      </c>
      <c r="E547" s="5">
        <v>26260</v>
      </c>
      <c r="F547">
        <f>IFERROR(
IF(ISNUMBER(FIND("CFW110",B547)),
VALUE(MID(B547,FIND("CFW110",B547)+6,FIND("T",B547,FIND("CFW110",B547))-(FIND("CFW110",B547)+6))),
IF(ISNUMBER(FIND("D",B547)),
VALUE(SUBSTITUTE(MID(B547,FIND("D",B547)+1,FIND("T",B547,FIND("D",B547))-(FIND("D",B547)+1)),"P",",")),
IF(ISNUMBER(FIND("CFW5",B547)),
VALUE(MID(B547,
IF(ISNUMBER(FIND("F",B547)),FIND("F",B547)+1,FIND("G",B547)+1),
FIND("T",B547)-(IF(ISNUMBER(FIND("F",B547)),FIND("F",B547)+1,FIND("G",B547)+1))
)),
VALUE(MID(B547,FIND("E0",B547)+2,FIND("T",B547,FIND("E0",B547))-(FIND("E0",B547)+2)))
))),"")</f>
        <v>10</v>
      </c>
      <c r="G547">
        <f>IFERROR(
IF(ISNUMBER(FIND("T2",B547)),220,
IF(ISNUMBER(FIND("T4",B547)),440,
IF(ISNUMBER(FIND("T5",B547)),575,
IF(ISNUMBER(FIND("T6",B547)),690,"")))),
"")</f>
        <v>690</v>
      </c>
    </row>
    <row r="548" spans="1:7" x14ac:dyDescent="0.25">
      <c r="A548">
        <v>14803485</v>
      </c>
      <c r="B548" t="str">
        <f>VLOOKUP(A548,Planilha2!B:C,2,0)</f>
        <v>INVERSOR EUCFW110022T6OYWZ</v>
      </c>
      <c r="C548" t="s">
        <v>1</v>
      </c>
      <c r="D548" t="str">
        <f>VLOOKUP(A548,Planilha2!B:H,7,0)</f>
        <v>LINHA M3</v>
      </c>
      <c r="E548" s="5">
        <v>25000</v>
      </c>
      <c r="F548">
        <f>IFERROR(
IF(ISNUMBER(FIND("CFW110",B548)),
VALUE(MID(B548,FIND("CFW110",B548)+6,FIND("T",B548,FIND("CFW110",B548))-(FIND("CFW110",B548)+6))),
IF(ISNUMBER(FIND("D",B548)),
VALUE(SUBSTITUTE(MID(B548,FIND("D",B548)+1,FIND("T",B548,FIND("D",B548))-(FIND("D",B548)+1)),"P",",")),
IF(ISNUMBER(FIND("CFW5",B548)),
VALUE(MID(B548,
IF(ISNUMBER(FIND("F",B548)),FIND("F",B548)+1,FIND("G",B548)+1),
FIND("T",B548)-(IF(ISNUMBER(FIND("F",B548)),FIND("F",B548)+1,FIND("G",B548)+1))
)),
VALUE(MID(B548,FIND("E0",B548)+2,FIND("T",B548,FIND("E0",B548))-(FIND("E0",B548)+2)))
))),"")</f>
        <v>22</v>
      </c>
      <c r="G548">
        <f>IFERROR(
IF(ISNUMBER(FIND("T2",B548)),220,
IF(ISNUMBER(FIND("T4",B548)),440,
IF(ISNUMBER(FIND("T5",B548)),575,
IF(ISNUMBER(FIND("T6",B548)),690,"")))),
"")</f>
        <v>690</v>
      </c>
    </row>
    <row r="549" spans="1:7" x14ac:dyDescent="0.25">
      <c r="A549">
        <v>14803482</v>
      </c>
      <c r="B549" t="str">
        <f>VLOOKUP(A549,Planilha2!B:C,2,0)</f>
        <v>INVERSOR EUCFW110007T6OYWZ</v>
      </c>
      <c r="C549" t="s">
        <v>1</v>
      </c>
      <c r="D549" t="str">
        <f>VLOOKUP(A549,Planilha2!B:H,7,0)</f>
        <v>LINHA M3</v>
      </c>
      <c r="E549" t="s">
        <v>3172</v>
      </c>
      <c r="F549">
        <f>IFERROR(
IF(ISNUMBER(FIND("CFW110",B549)),
VALUE(MID(B549,FIND("CFW110",B549)+6,FIND("T",B549,FIND("CFW110",B549))-(FIND("CFW110",B549)+6))),
IF(ISNUMBER(FIND("D",B549)),
VALUE(SUBSTITUTE(MID(B549,FIND("D",B549)+1,FIND("T",B549,FIND("D",B549))-(FIND("D",B549)+1)),"P",",")),
IF(ISNUMBER(FIND("CFW5",B549)),
VALUE(MID(B549,
IF(ISNUMBER(FIND("F",B549)),FIND("F",B549)+1,FIND("G",B549)+1),
FIND("T",B549)-(IF(ISNUMBER(FIND("F",B549)),FIND("F",B549)+1,FIND("G",B549)+1))
)),
VALUE(MID(B549,FIND("E0",B549)+2,FIND("T",B549,FIND("E0",B549))-(FIND("E0",B549)+2)))
))),"")</f>
        <v>7</v>
      </c>
      <c r="G549">
        <f>IFERROR(
IF(ISNUMBER(FIND("T2",B549)),220,
IF(ISNUMBER(FIND("T4",B549)),440,
IF(ISNUMBER(FIND("T5",B549)),575,
IF(ISNUMBER(FIND("T6",B549)),690,"")))),
"")</f>
        <v>690</v>
      </c>
    </row>
    <row r="550" spans="1:7" x14ac:dyDescent="0.25">
      <c r="A550">
        <v>17329610</v>
      </c>
      <c r="B550" t="str">
        <f>VLOOKUP(A550,Planilha2!B:C,2,0)</f>
        <v>INVERSOR EUCFW110088T4OFASUZ-UI</v>
      </c>
      <c r="C550" t="s">
        <v>1</v>
      </c>
      <c r="D550" t="str">
        <f>VLOOKUP(A550,Planilha2!B:H,7,0)</f>
        <v>LINHA M3</v>
      </c>
      <c r="E550" s="5">
        <v>32600</v>
      </c>
      <c r="F550">
        <f>IFERROR(
IF(ISNUMBER(FIND("CFW110",B550)),
VALUE(MID(B550,FIND("CFW110",B550)+6,FIND("T",B550,FIND("CFW110",B550))-(FIND("CFW110",B550)+6))),
IF(ISNUMBER(FIND("D",B550)),
VALUE(SUBSTITUTE(MID(B550,FIND("D",B550)+1,FIND("T",B550,FIND("D",B550))-(FIND("D",B550)+1)),"P",",")),
IF(ISNUMBER(FIND("CFW5",B550)),
VALUE(MID(B550,
IF(ISNUMBER(FIND("F",B550)),FIND("F",B550)+1,FIND("G",B550)+1),
FIND("T",B550)-(IF(ISNUMBER(FIND("F",B550)),FIND("F",B550)+1,FIND("G",B550)+1))
)),
VALUE(MID(B550,FIND("E0",B550)+2,FIND("T",B550,FIND("E0",B550))-(FIND("E0",B550)+2)))
))),"")</f>
        <v>88</v>
      </c>
      <c r="G550">
        <f>IFERROR(
IF(ISNUMBER(FIND("T2",B550)),220,
IF(ISNUMBER(FIND("T4",B550)),440,
IF(ISNUMBER(FIND("T5",B550)),575,
IF(ISNUMBER(FIND("T6",B550)),690,"")))),
"")</f>
        <v>440</v>
      </c>
    </row>
    <row r="551" spans="1:7" x14ac:dyDescent="0.25">
      <c r="A551">
        <v>17436902</v>
      </c>
      <c r="B551" t="str">
        <f>VLOOKUP(A551,Planilha2!B:C,2,0)</f>
        <v>INVERSOR EUCFW110032T6OYHASCZ</v>
      </c>
      <c r="C551" t="s">
        <v>1</v>
      </c>
      <c r="D551" t="str">
        <f>VLOOKUP(A551,Planilha2!B:H,7,0)</f>
        <v>LINHA M3</v>
      </c>
      <c r="E551" s="5">
        <v>32600</v>
      </c>
      <c r="F551">
        <f>IFERROR(
IF(ISNUMBER(FIND("CFW110",B551)),
VALUE(MID(B551,FIND("CFW110",B551)+6,FIND("T",B551,FIND("CFW110",B551))-(FIND("CFW110",B551)+6))),
IF(ISNUMBER(FIND("D",B551)),
VALUE(SUBSTITUTE(MID(B551,FIND("D",B551)+1,FIND("T",B551,FIND("D",B551))-(FIND("D",B551)+1)),"P",",")),
IF(ISNUMBER(FIND("CFW5",B551)),
VALUE(MID(B551,
IF(ISNUMBER(FIND("F",B551)),FIND("F",B551)+1,FIND("G",B551)+1),
FIND("T",B551)-(IF(ISNUMBER(FIND("F",B551)),FIND("F",B551)+1,FIND("G",B551)+1))
)),
VALUE(MID(B551,FIND("E0",B551)+2,FIND("T",B551,FIND("E0",B551))-(FIND("E0",B551)+2)))
))),"")</f>
        <v>32</v>
      </c>
      <c r="G551">
        <f>IFERROR(
IF(ISNUMBER(FIND("T2",B551)),220,
IF(ISNUMBER(FIND("T4",B551)),440,
IF(ISNUMBER(FIND("T5",B551)),575,
IF(ISNUMBER(FIND("T6",B551)),690,"")))),
"")</f>
        <v>690</v>
      </c>
    </row>
    <row r="552" spans="1:7" x14ac:dyDescent="0.25">
      <c r="A552">
        <v>17411571</v>
      </c>
      <c r="B552" t="str">
        <f>VLOOKUP(A552,Planilha2!B:C,2,0)</f>
        <v>INVERSOR EUCFW110045T4OFAYSUZ</v>
      </c>
      <c r="C552" t="s">
        <v>1</v>
      </c>
      <c r="D552" t="str">
        <f>VLOOKUP(A552,Planilha2!B:H,7,0)</f>
        <v>LINHA M1</v>
      </c>
      <c r="E552" s="5">
        <v>16000</v>
      </c>
      <c r="F552">
        <f>IFERROR(
IF(ISNUMBER(FIND("CFW110",B552)),
VALUE(MID(B552,FIND("CFW110",B552)+6,FIND("T",B552,FIND("CFW110",B552))-(FIND("CFW110",B552)+6))),
IF(ISNUMBER(FIND("D",B552)),
VALUE(SUBSTITUTE(MID(B552,FIND("D",B552)+1,FIND("T",B552,FIND("D",B552))-(FIND("D",B552)+1)),"P",",")),
IF(ISNUMBER(FIND("CFW5",B552)),
VALUE(MID(B552,
IF(ISNUMBER(FIND("F",B552)),FIND("F",B552)+1,FIND("G",B552)+1),
FIND("T",B552)-(IF(ISNUMBER(FIND("F",B552)),FIND("F",B552)+1,FIND("G",B552)+1))
)),
VALUE(MID(B552,FIND("E0",B552)+2,FIND("T",B552,FIND("E0",B552))-(FIND("E0",B552)+2)))
))),"")</f>
        <v>45</v>
      </c>
      <c r="G552">
        <f>IFERROR(
IF(ISNUMBER(FIND("T2",B552)),220,
IF(ISNUMBER(FIND("T4",B552)),440,
IF(ISNUMBER(FIND("T5",B552)),575,
IF(ISNUMBER(FIND("T6",B552)),690,"")))),
"")</f>
        <v>440</v>
      </c>
    </row>
    <row r="553" spans="1:7" x14ac:dyDescent="0.25">
      <c r="A553">
        <v>17412023</v>
      </c>
      <c r="B553" t="str">
        <f>VLOOKUP(A553,Planilha2!B:C,2,0)</f>
        <v>INVERSOR EUCFW110058T4OFAYSUZ</v>
      </c>
      <c r="C553" t="s">
        <v>1</v>
      </c>
      <c r="D553" t="str">
        <f>VLOOKUP(A553,Planilha2!B:H,7,0)</f>
        <v>LINHA M1</v>
      </c>
      <c r="E553" s="5">
        <v>18000</v>
      </c>
      <c r="F553">
        <f>IFERROR(
IF(ISNUMBER(FIND("CFW110",B553)),
VALUE(MID(B553,FIND("CFW110",B553)+6,FIND("T",B553,FIND("CFW110",B553))-(FIND("CFW110",B553)+6))),
IF(ISNUMBER(FIND("D",B553)),
VALUE(SUBSTITUTE(MID(B553,FIND("D",B553)+1,FIND("T",B553,FIND("D",B553))-(FIND("D",B553)+1)),"P",",")),
IF(ISNUMBER(FIND("CFW5",B553)),
VALUE(MID(B553,
IF(ISNUMBER(FIND("F",B553)),FIND("F",B553)+1,FIND("G",B553)+1),
FIND("T",B553)-(IF(ISNUMBER(FIND("F",B553)),FIND("F",B553)+1,FIND("G",B553)+1))
)),
VALUE(MID(B553,FIND("E0",B553)+2,FIND("T",B553,FIND("E0",B553))-(FIND("E0",B553)+2)))
))),"")</f>
        <v>58</v>
      </c>
      <c r="G553">
        <f>IFERROR(
IF(ISNUMBER(FIND("T2",B553)),220,
IF(ISNUMBER(FIND("T4",B553)),440,
IF(ISNUMBER(FIND("T5",B553)),575,
IF(ISNUMBER(FIND("T6",B553)),690,"")))),
"")</f>
        <v>440</v>
      </c>
    </row>
    <row r="554" spans="1:7" x14ac:dyDescent="0.25">
      <c r="A554">
        <v>17412024</v>
      </c>
      <c r="B554" t="str">
        <f>VLOOKUP(A554,Planilha2!B:C,2,0)</f>
        <v>INVERSOR EUCFW110070T4OFAYSUZ</v>
      </c>
      <c r="C554" t="s">
        <v>1</v>
      </c>
      <c r="D554" t="str">
        <f>VLOOKUP(A554,Planilha2!B:H,7,0)</f>
        <v>LINHA M3</v>
      </c>
      <c r="E554" s="5">
        <v>31100</v>
      </c>
      <c r="F554">
        <f>IFERROR(
IF(ISNUMBER(FIND("CFW110",B554)),
VALUE(MID(B554,FIND("CFW110",B554)+6,FIND("T",B554,FIND("CFW110",B554))-(FIND("CFW110",B554)+6))),
IF(ISNUMBER(FIND("D",B554)),
VALUE(SUBSTITUTE(MID(B554,FIND("D",B554)+1,FIND("T",B554,FIND("D",B554))-(FIND("D",B554)+1)),"P",",")),
IF(ISNUMBER(FIND("CFW5",B554)),
VALUE(MID(B554,
IF(ISNUMBER(FIND("F",B554)),FIND("F",B554)+1,FIND("G",B554)+1),
FIND("T",B554)-(IF(ISNUMBER(FIND("F",B554)),FIND("F",B554)+1,FIND("G",B554)+1))
)),
VALUE(MID(B554,FIND("E0",B554)+2,FIND("T",B554,FIND("E0",B554))-(FIND("E0",B554)+2)))
))),"")</f>
        <v>70</v>
      </c>
      <c r="G554">
        <f>IFERROR(
IF(ISNUMBER(FIND("T2",B554)),220,
IF(ISNUMBER(FIND("T4",B554)),440,
IF(ISNUMBER(FIND("T5",B554)),575,
IF(ISNUMBER(FIND("T6",B554)),690,"")))),
"")</f>
        <v>440</v>
      </c>
    </row>
    <row r="555" spans="1:7" x14ac:dyDescent="0.25">
      <c r="A555">
        <v>17412026</v>
      </c>
      <c r="B555" t="str">
        <f>VLOOKUP(A555,Planilha2!B:C,2,0)</f>
        <v>INVERSOR EUCFW110088T4OFAYSUZ</v>
      </c>
      <c r="C555" t="s">
        <v>1</v>
      </c>
      <c r="D555" t="str">
        <f>VLOOKUP(A555,Planilha2!B:H,7,0)</f>
        <v>LINHA M3</v>
      </c>
      <c r="E555" s="5">
        <v>31100</v>
      </c>
      <c r="F555">
        <f>IFERROR(
IF(ISNUMBER(FIND("CFW110",B555)),
VALUE(MID(B555,FIND("CFW110",B555)+6,FIND("T",B555,FIND("CFW110",B555))-(FIND("CFW110",B555)+6))),
IF(ISNUMBER(FIND("D",B555)),
VALUE(SUBSTITUTE(MID(B555,FIND("D",B555)+1,FIND("T",B555,FIND("D",B555))-(FIND("D",B555)+1)),"P",",")),
IF(ISNUMBER(FIND("CFW5",B555)),
VALUE(MID(B555,
IF(ISNUMBER(FIND("F",B555)),FIND("F",B555)+1,FIND("G",B555)+1),
FIND("T",B555)-(IF(ISNUMBER(FIND("F",B555)),FIND("F",B555)+1,FIND("G",B555)+1))
)),
VALUE(MID(B555,FIND("E0",B555)+2,FIND("T",B555,FIND("E0",B555))-(FIND("E0",B555)+2)))
))),"")</f>
        <v>88</v>
      </c>
      <c r="G555">
        <f>IFERROR(
IF(ISNUMBER(FIND("T2",B555)),220,
IF(ISNUMBER(FIND("T4",B555)),440,
IF(ISNUMBER(FIND("T5",B555)),575,
IF(ISNUMBER(FIND("T6",B555)),690,"")))),
"")</f>
        <v>440</v>
      </c>
    </row>
    <row r="556" spans="1:7" x14ac:dyDescent="0.25">
      <c r="A556">
        <v>17412192</v>
      </c>
      <c r="B556" t="str">
        <f>VLOOKUP(A556,Planilha2!B:C,2,0)</f>
        <v>INVERSOR EUCFW110038T4OFAYSUZ</v>
      </c>
      <c r="C556" t="s">
        <v>1</v>
      </c>
      <c r="D556" t="str">
        <f>VLOOKUP(A556,Planilha2!B:H,7,0)</f>
        <v>LINHA M1</v>
      </c>
      <c r="E556" s="5">
        <v>18000</v>
      </c>
      <c r="F556">
        <f>IFERROR(
IF(ISNUMBER(FIND("CFW110",B556)),
VALUE(MID(B556,FIND("CFW110",B556)+6,FIND("T",B556,FIND("CFW110",B556))-(FIND("CFW110",B556)+6))),
IF(ISNUMBER(FIND("D",B556)),
VALUE(SUBSTITUTE(MID(B556,FIND("D",B556)+1,FIND("T",B556,FIND("D",B556))-(FIND("D",B556)+1)),"P",",")),
IF(ISNUMBER(FIND("CFW5",B556)),
VALUE(MID(B556,
IF(ISNUMBER(FIND("F",B556)),FIND("F",B556)+1,FIND("G",B556)+1),
FIND("T",B556)-(IF(ISNUMBER(FIND("F",B556)),FIND("F",B556)+1,FIND("G",B556)+1))
)),
VALUE(MID(B556,FIND("E0",B556)+2,FIND("T",B556,FIND("E0",B556))-(FIND("E0",B556)+2)))
))),"")</f>
        <v>38</v>
      </c>
      <c r="G556">
        <f>IFERROR(
IF(ISNUMBER(FIND("T2",B556)),220,
IF(ISNUMBER(FIND("T4",B556)),440,
IF(ISNUMBER(FIND("T5",B556)),575,
IF(ISNUMBER(FIND("T6",B556)),690,"")))),
"")</f>
        <v>440</v>
      </c>
    </row>
    <row r="557" spans="1:7" x14ac:dyDescent="0.25">
      <c r="A557">
        <v>17416361</v>
      </c>
      <c r="B557" t="str">
        <f>VLOOKUP(A557,Planilha2!B:C,2,0)</f>
        <v>INVERSOR EUCFW110088T4OFAYSUZ-UI</v>
      </c>
      <c r="C557" t="s">
        <v>1</v>
      </c>
      <c r="D557" t="str">
        <f>VLOOKUP(A557,Planilha2!B:H,7,0)</f>
        <v>LINHA M3</v>
      </c>
      <c r="E557" s="5">
        <v>31100</v>
      </c>
      <c r="F557">
        <f>IFERROR(
IF(ISNUMBER(FIND("CFW110",B557)),
VALUE(MID(B557,FIND("CFW110",B557)+6,FIND("T",B557,FIND("CFW110",B557))-(FIND("CFW110",B557)+6))),
IF(ISNUMBER(FIND("D",B557)),
VALUE(SUBSTITUTE(MID(B557,FIND("D",B557)+1,FIND("T",B557,FIND("D",B557))-(FIND("D",B557)+1)),"P",",")),
IF(ISNUMBER(FIND("CFW5",B557)),
VALUE(MID(B557,
IF(ISNUMBER(FIND("F",B557)),FIND("F",B557)+1,FIND("G",B557)+1),
FIND("T",B557)-(IF(ISNUMBER(FIND("F",B557)),FIND("F",B557)+1,FIND("G",B557)+1))
)),
VALUE(MID(B557,FIND("E0",B557)+2,FIND("T",B557,FIND("E0",B557))-(FIND("E0",B557)+2)))
))),"")</f>
        <v>88</v>
      </c>
      <c r="G557">
        <f>IFERROR(
IF(ISNUMBER(FIND("T2",B557)),220,
IF(ISNUMBER(FIND("T4",B557)),440,
IF(ISNUMBER(FIND("T5",B557)),575,
IF(ISNUMBER(FIND("T6",B557)),690,"")))),
"")</f>
        <v>440</v>
      </c>
    </row>
    <row r="558" spans="1:7" x14ac:dyDescent="0.25">
      <c r="A558">
        <v>17416552</v>
      </c>
      <c r="B558" t="str">
        <f>VLOOKUP(A558,Planilha2!B:C,2,0)</f>
        <v>INVERSOR EUCFW110070T4OFAYSUZ-UI</v>
      </c>
      <c r="C558" t="s">
        <v>1</v>
      </c>
      <c r="D558" t="str">
        <f>VLOOKUP(A558,Planilha2!B:H,7,0)</f>
        <v>LINHA M3</v>
      </c>
      <c r="E558" s="5">
        <v>31100</v>
      </c>
      <c r="F558">
        <f>IFERROR(
IF(ISNUMBER(FIND("CFW110",B558)),
VALUE(MID(B558,FIND("CFW110",B558)+6,FIND("T",B558,FIND("CFW110",B558))-(FIND("CFW110",B558)+6))),
IF(ISNUMBER(FIND("D",B558)),
VALUE(SUBSTITUTE(MID(B558,FIND("D",B558)+1,FIND("T",B558,FIND("D",B558))-(FIND("D",B558)+1)),"P",",")),
IF(ISNUMBER(FIND("CFW5",B558)),
VALUE(MID(B558,
IF(ISNUMBER(FIND("F",B558)),FIND("F",B558)+1,FIND("G",B558)+1),
FIND("T",B558)-(IF(ISNUMBER(FIND("F",B558)),FIND("F",B558)+1,FIND("G",B558)+1))
)),
VALUE(MID(B558,FIND("E0",B558)+2,FIND("T",B558,FIND("E0",B558))-(FIND("E0",B558)+2)))
))),"")</f>
        <v>70</v>
      </c>
      <c r="G558">
        <f>IFERROR(
IF(ISNUMBER(FIND("T2",B558)),220,
IF(ISNUMBER(FIND("T4",B558)),440,
IF(ISNUMBER(FIND("T5",B558)),575,
IF(ISNUMBER(FIND("T6",B558)),690,"")))),
"")</f>
        <v>440</v>
      </c>
    </row>
    <row r="559" spans="1:7" x14ac:dyDescent="0.25">
      <c r="A559">
        <v>17458690</v>
      </c>
      <c r="B559" t="str">
        <f>VLOOKUP(A559,Planilha2!B:C,2,0)</f>
        <v>INVERSOR CFW900D0146T4NB20Y2B-UI</v>
      </c>
      <c r="C559" t="s">
        <v>1</v>
      </c>
      <c r="D559" t="str">
        <f>VLOOKUP(A559,Planilha2!B:H,7,0)</f>
        <v>LINHA G1</v>
      </c>
      <c r="E559" s="5">
        <v>33500</v>
      </c>
      <c r="F559">
        <f>IFERROR(
IF(ISNUMBER(FIND("CFW110",B559)),
VALUE(MID(B559,FIND("CFW110",B559)+6,FIND("T",B559,FIND("CFW110",B559))-(FIND("CFW110",B559)+6))),
IF(ISNUMBER(FIND("D",B559)),
VALUE(SUBSTITUTE(MID(B559,FIND("D",B559)+1,FIND("T",B559,FIND("D",B559))-(FIND("D",B559)+1)),"P",",")),
IF(ISNUMBER(FIND("CFW5",B559)),
VALUE(MID(B559,
IF(ISNUMBER(FIND("F",B559)),FIND("F",B559)+1,FIND("G",B559)+1),
FIND("T",B559)-(IF(ISNUMBER(FIND("F",B559)),FIND("F",B559)+1,FIND("G",B559)+1))
)),
VALUE(MID(B559,FIND("E0",B559)+2,FIND("T",B559,FIND("E0",B559))-(FIND("E0",B559)+2)))
))),"")</f>
        <v>146</v>
      </c>
      <c r="G559">
        <f>IFERROR(
IF(ISNUMBER(FIND("T2",B559)),220,
IF(ISNUMBER(FIND("T4",B559)),440,
IF(ISNUMBER(FIND("T5",B559)),575,
IF(ISNUMBER(FIND("T6",B559)),690,"")))),
"")</f>
        <v>440</v>
      </c>
    </row>
    <row r="560" spans="1:7" x14ac:dyDescent="0.25">
      <c r="A560">
        <v>17458688</v>
      </c>
      <c r="B560" t="str">
        <f>VLOOKUP(A560,Planilha2!B:C,2,0)</f>
        <v>INVERSOR CFW900D96P0T4NB20Y2B-UI</v>
      </c>
      <c r="C560" t="s">
        <v>1</v>
      </c>
      <c r="D560" t="str">
        <f>VLOOKUP(A560,Planilha2!B:H,7,0)</f>
        <v>LINHA G1</v>
      </c>
      <c r="E560" s="5">
        <v>33500</v>
      </c>
      <c r="F560">
        <f>IFERROR(
IF(ISNUMBER(FIND("CFW110",B560)),
VALUE(MID(B560,FIND("CFW110",B560)+6,FIND("T",B560,FIND("CFW110",B560))-(FIND("CFW110",B560)+6))),
IF(ISNUMBER(FIND("D",B560)),
VALUE(SUBSTITUTE(MID(B560,FIND("D",B560)+1,FIND("T",B560,FIND("D",B560))-(FIND("D",B560)+1)),"P",",")),
IF(ISNUMBER(FIND("CFW5",B560)),
VALUE(MID(B560,
IF(ISNUMBER(FIND("F",B560)),FIND("F",B560)+1,FIND("G",B560)+1),
FIND("T",B560)-(IF(ISNUMBER(FIND("F",B560)),FIND("F",B560)+1,FIND("G",B560)+1))
)),
VALUE(MID(B560,FIND("E0",B560)+2,FIND("T",B560,FIND("E0",B560))-(FIND("E0",B560)+2)))
))),"")</f>
        <v>96</v>
      </c>
      <c r="G560">
        <f>IFERROR(
IF(ISNUMBER(FIND("T2",B560)),220,
IF(ISNUMBER(FIND("T4",B560)),440,
IF(ISNUMBER(FIND("T5",B560)),575,
IF(ISNUMBER(FIND("T6",B560)),690,"")))),
"")</f>
        <v>440</v>
      </c>
    </row>
    <row r="561" spans="1:7" x14ac:dyDescent="0.25">
      <c r="A561">
        <v>17472690</v>
      </c>
      <c r="B561" t="str">
        <f>VLOOKUP(A561,Planilha2!B:C,2,0)</f>
        <v>INVERSOR CFW900C74P0T4DB20Y2HEC</v>
      </c>
      <c r="C561" t="s">
        <v>1</v>
      </c>
      <c r="D561" t="str">
        <f>VLOOKUP(A561,Planilha2!B:H,7,0)</f>
        <v>LINHA M1</v>
      </c>
      <c r="E561" s="5">
        <v>20500</v>
      </c>
      <c r="F561" t="str">
        <f>IFERROR(
IF(ISNUMBER(FIND("CFW110",B561)),
VALUE(MID(B561,FIND("CFW110",B561)+6,FIND("T",B561,FIND("CFW110",B561))-(FIND("CFW110",B561)+6))),
IF(ISNUMBER(FIND("D",B561)),
VALUE(SUBSTITUTE(MID(B561,FIND("D",B561)+1,FIND("T",B561,FIND("D",B561))-(FIND("D",B561)+1)),"P",",")),
IF(ISNUMBER(FIND("CFW5",B561)),
VALUE(MID(B561,
IF(ISNUMBER(FIND("F",B561)),FIND("F",B561)+1,FIND("G",B561)+1),
FIND("T",B561)-(IF(ISNUMBER(FIND("F",B561)),FIND("F",B561)+1,FIND("G",B561)+1))
)),
VALUE(MID(B561,FIND("E0",B561)+2,FIND("T",B561,FIND("E0",B561))-(FIND("E0",B561)+2)))
))),"")</f>
        <v/>
      </c>
      <c r="G561">
        <f>IFERROR(
IF(ISNUMBER(FIND("T2",B561)),220,
IF(ISNUMBER(FIND("T4",B561)),440,
IF(ISNUMBER(FIND("T5",B561)),575,
IF(ISNUMBER(FIND("T6",B561)),690,"")))),
"")</f>
        <v>440</v>
      </c>
    </row>
    <row r="562" spans="1:7" x14ac:dyDescent="0.25">
      <c r="A562">
        <v>17533500</v>
      </c>
      <c r="B562" t="str">
        <f>VLOOKUP(A562,Planilha2!B:C,2,0)</f>
        <v>INVERSOR CFW500F88P0T4DB20C3H00ECG2</v>
      </c>
      <c r="C562" t="s">
        <v>1</v>
      </c>
      <c r="D562" t="str">
        <f>VLOOKUP(A562,Planilha2!B:H,7,0)</f>
        <v>LINHA M3</v>
      </c>
      <c r="E562" s="5">
        <v>26000</v>
      </c>
      <c r="F562" t="str">
        <f>IFERROR(
IF(ISNUMBER(FIND("CFW110",B562)),
VALUE(MID(B562,FIND("CFW110",B562)+6,FIND("T",B562,FIND("CFW110",B562))-(FIND("CFW110",B562)+6))),
IF(ISNUMBER(FIND("D",B562)),
VALUE(SUBSTITUTE(MID(B562,FIND("D",B562)+1,FIND("T",B562,FIND("D",B562))-(FIND("D",B562)+1)),"P",",")),
IF(ISNUMBER(FIND("CFW5",B562)),
VALUE(MID(B562,
IF(ISNUMBER(FIND("F",B562)),FIND("F",B562)+1,FIND("G",B562)+1),
FIND("T",B562)-(IF(ISNUMBER(FIND("F",B562)),FIND("F",B562)+1,FIND("G",B562)+1))
)),
VALUE(MID(B562,FIND("E0",B562)+2,FIND("T",B562,FIND("E0",B562))-(FIND("E0",B562)+2)))
))),"")</f>
        <v/>
      </c>
      <c r="G562">
        <f>IFERROR(
IF(ISNUMBER(FIND("T2",B562)),220,
IF(ISNUMBER(FIND("T4",B562)),440,
IF(ISNUMBER(FIND("T5",B562)),575,
IF(ISNUMBER(FIND("T6",B562)),690,"")))),
"")</f>
        <v>440</v>
      </c>
    </row>
    <row r="563" spans="1:7" x14ac:dyDescent="0.25">
      <c r="A563">
        <v>17541242</v>
      </c>
      <c r="B563" t="str">
        <f>VLOOKUP(A563,Planilha2!B:C,2,0)</f>
        <v>INVERSOR NACFW110032T6OYZ-UI</v>
      </c>
      <c r="C563" t="s">
        <v>1</v>
      </c>
      <c r="D563" t="str">
        <f>VLOOKUP(A563,Planilha2!B:H,7,0)</f>
        <v>LINHA M3</v>
      </c>
      <c r="E563" s="5">
        <v>29500</v>
      </c>
      <c r="F563">
        <f>IFERROR(
IF(ISNUMBER(FIND("CFW110",B563)),
VALUE(MID(B563,FIND("CFW110",B563)+6,FIND("T",B563,FIND("CFW110",B563))-(FIND("CFW110",B563)+6))),
IF(ISNUMBER(FIND("D",B563)),
VALUE(SUBSTITUTE(MID(B563,FIND("D",B563)+1,FIND("T",B563,FIND("D",B563))-(FIND("D",B563)+1)),"P",",")),
IF(ISNUMBER(FIND("CFW5",B563)),
VALUE(MID(B563,
IF(ISNUMBER(FIND("F",B563)),FIND("F",B563)+1,FIND("G",B563)+1),
FIND("T",B563)-(IF(ISNUMBER(FIND("F",B563)),FIND("F",B563)+1,FIND("G",B563)+1))
)),
VALUE(MID(B563,FIND("E0",B563)+2,FIND("T",B563,FIND("E0",B563))-(FIND("E0",B563)+2)))
))),"")</f>
        <v>32</v>
      </c>
      <c r="G563">
        <f>IFERROR(
IF(ISNUMBER(FIND("T2",B563)),220,
IF(ISNUMBER(FIND("T4",B563)),440,
IF(ISNUMBER(FIND("T5",B563)),575,
IF(ISNUMBER(FIND("T6",B563)),690,"")))),
"")</f>
        <v>690</v>
      </c>
    </row>
    <row r="564" spans="1:7" x14ac:dyDescent="0.25">
      <c r="A564">
        <v>17597197</v>
      </c>
      <c r="B564" t="str">
        <f>VLOOKUP(A564,Planilha2!B:C,2,0)</f>
        <v>INVERSOR BRCFW110058T4ORBWHP1Z</v>
      </c>
      <c r="C564" t="s">
        <v>1</v>
      </c>
      <c r="D564" t="str">
        <f>VLOOKUP(A564,Planilha2!B:H,7,0)</f>
        <v>LINHA M1</v>
      </c>
      <c r="E564" s="5">
        <v>17000</v>
      </c>
      <c r="F564">
        <f>IFERROR(
IF(ISNUMBER(FIND("CFW110",B564)),
VALUE(MID(B564,FIND("CFW110",B564)+6,FIND("T",B564,FIND("CFW110",B564))-(FIND("CFW110",B564)+6))),
IF(ISNUMBER(FIND("D",B564)),
VALUE(SUBSTITUTE(MID(B564,FIND("D",B564)+1,FIND("T",B564,FIND("D",B564))-(FIND("D",B564)+1)),"P",",")),
IF(ISNUMBER(FIND("CFW5",B564)),
VALUE(MID(B564,
IF(ISNUMBER(FIND("F",B564)),FIND("F",B564)+1,FIND("G",B564)+1),
FIND("T",B564)-(IF(ISNUMBER(FIND("F",B564)),FIND("F",B564)+1,FIND("G",B564)+1))
)),
VALUE(MID(B564,FIND("E0",B564)+2,FIND("T",B564,FIND("E0",B564))-(FIND("E0",B564)+2)))
))),"")</f>
        <v>58</v>
      </c>
      <c r="G564">
        <f>IFERROR(
IF(ISNUMBER(FIND("T2",B564)),220,
IF(ISNUMBER(FIND("T4",B564)),440,
IF(ISNUMBER(FIND("T5",B564)),575,
IF(ISNUMBER(FIND("T6",B564)),690,"")))),
"")</f>
        <v>440</v>
      </c>
    </row>
    <row r="565" spans="1:7" x14ac:dyDescent="0.25">
      <c r="A565">
        <v>17598938</v>
      </c>
      <c r="B565" t="str">
        <f>VLOOKUP(A565,Planilha2!B:C,2,0)</f>
        <v>INVERSOR BRCFW110058T4OWDCZ</v>
      </c>
      <c r="C565" t="s">
        <v>1</v>
      </c>
      <c r="D565" t="str">
        <f>VLOOKUP(A565,Planilha2!B:H,7,0)</f>
        <v>LINHA M1</v>
      </c>
      <c r="E565" s="5">
        <v>20500</v>
      </c>
      <c r="F565">
        <f>IFERROR(
IF(ISNUMBER(FIND("CFW110",B565)),
VALUE(MID(B565,FIND("CFW110",B565)+6,FIND("T",B565,FIND("CFW110",B565))-(FIND("CFW110",B565)+6))),
IF(ISNUMBER(FIND("D",B565)),
VALUE(SUBSTITUTE(MID(B565,FIND("D",B565)+1,FIND("T",B565,FIND("D",B565))-(FIND("D",B565)+1)),"P",",")),
IF(ISNUMBER(FIND("CFW5",B565)),
VALUE(MID(B565,
IF(ISNUMBER(FIND("F",B565)),FIND("F",B565)+1,FIND("G",B565)+1),
FIND("T",B565)-(IF(ISNUMBER(FIND("F",B565)),FIND("F",B565)+1,FIND("G",B565)+1))
)),
VALUE(MID(B565,FIND("E0",B565)+2,FIND("T",B565,FIND("E0",B565))-(FIND("E0",B565)+2)))
))),"")</f>
        <v>58</v>
      </c>
      <c r="G565">
        <f>IFERROR(
IF(ISNUMBER(FIND("T2",B565)),220,
IF(ISNUMBER(FIND("T4",B565)),440,
IF(ISNUMBER(FIND("T5",B565)),575,
IF(ISNUMBER(FIND("T6",B565)),690,"")))),
"")</f>
        <v>440</v>
      </c>
    </row>
    <row r="566" spans="1:7" x14ac:dyDescent="0.25">
      <c r="A566">
        <v>17458689</v>
      </c>
      <c r="B566" t="str">
        <f>VLOOKUP(A566,Planilha2!B:C,2,0)</f>
        <v>INVERSOR CFW900D0124T4NB20Y2B-UI</v>
      </c>
      <c r="C566" t="s">
        <v>1</v>
      </c>
      <c r="D566" t="str">
        <f>VLOOKUP(A566,Planilha2!B:H,7,0)</f>
        <v>LINHA G1</v>
      </c>
      <c r="E566" s="5">
        <v>33500</v>
      </c>
      <c r="F566">
        <f>IFERROR(
IF(ISNUMBER(FIND("CFW110",B566)),
VALUE(MID(B566,FIND("CFW110",B566)+6,FIND("T",B566,FIND("CFW110",B566))-(FIND("CFW110",B566)+6))),
IF(ISNUMBER(FIND("D",B566)),
VALUE(SUBSTITUTE(MID(B566,FIND("D",B566)+1,FIND("T",B566,FIND("D",B566))-(FIND("D",B566)+1)),"P",",")),
IF(ISNUMBER(FIND("CFW5",B566)),
VALUE(MID(B566,
IF(ISNUMBER(FIND("F",B566)),FIND("F",B566)+1,FIND("G",B566)+1),
FIND("T",B566)-(IF(ISNUMBER(FIND("F",B566)),FIND("F",B566)+1,FIND("G",B566)+1))
)),
VALUE(MID(B566,FIND("E0",B566)+2,FIND("T",B566,FIND("E0",B566))-(FIND("E0",B566)+2)))
))),"")</f>
        <v>124</v>
      </c>
      <c r="G566">
        <f>IFERROR(
IF(ISNUMBER(FIND("T2",B566)),220,
IF(ISNUMBER(FIND("T4",B566)),440,
IF(ISNUMBER(FIND("T5",B566)),575,
IF(ISNUMBER(FIND("T6",B566)),690,"")))),
"")</f>
        <v>440</v>
      </c>
    </row>
    <row r="567" spans="1:7" x14ac:dyDescent="0.25">
      <c r="A567">
        <v>17229588</v>
      </c>
      <c r="B567" t="str">
        <f>VLOOKUP(A567,Planilha2!B:C,2,0)</f>
        <v>INVERSOR BRCFW110070T2OHIRZ</v>
      </c>
      <c r="C567" t="s">
        <v>1</v>
      </c>
      <c r="D567" t="str">
        <f>VLOOKUP(A567,Planilha2!B:H,7,0)</f>
        <v>LINHA M1</v>
      </c>
      <c r="E567" s="5">
        <v>17900</v>
      </c>
      <c r="F567">
        <f>IFERROR(
IF(ISNUMBER(FIND("CFW110",B567)),
VALUE(MID(B567,FIND("CFW110",B567)+6,FIND("T",B567,FIND("CFW110",B567))-(FIND("CFW110",B567)+6))),
IF(ISNUMBER(FIND("D",B567)),
VALUE(SUBSTITUTE(MID(B567,FIND("D",B567)+1,FIND("T",B567,FIND("D",B567))-(FIND("D",B567)+1)),"P",",")),
IF(ISNUMBER(FIND("CFW5",B567)),
VALUE(MID(B567,
IF(ISNUMBER(FIND("F",B567)),FIND("F",B567)+1,FIND("G",B567)+1),
FIND("T",B567)-(IF(ISNUMBER(FIND("F",B567)),FIND("F",B567)+1,FIND("G",B567)+1))
)),
VALUE(MID(B567,FIND("E0",B567)+2,FIND("T",B567,FIND("E0",B567))-(FIND("E0",B567)+2)))
))),"")</f>
        <v>70</v>
      </c>
      <c r="G567">
        <f>IFERROR(
IF(ISNUMBER(FIND("T2",B567)),220,
IF(ISNUMBER(FIND("T4",B567)),440,
IF(ISNUMBER(FIND("T5",B567)),575,
IF(ISNUMBER(FIND("T6",B567)),690,"")))),
"")</f>
        <v>220</v>
      </c>
    </row>
    <row r="568" spans="1:7" x14ac:dyDescent="0.25">
      <c r="A568">
        <v>17229594</v>
      </c>
      <c r="B568" t="str">
        <f>VLOOKUP(A568,Planilha2!B:C,2,0)</f>
        <v>INVERSOR BRCFW110086T2OHIRZ</v>
      </c>
      <c r="C568" t="s">
        <v>1</v>
      </c>
      <c r="D568" t="str">
        <f>VLOOKUP(A568,Planilha2!B:H,7,0)</f>
        <v>LINHA M3</v>
      </c>
      <c r="E568" s="5">
        <v>29500</v>
      </c>
      <c r="F568">
        <f>IFERROR(
IF(ISNUMBER(FIND("CFW110",B568)),
VALUE(MID(B568,FIND("CFW110",B568)+6,FIND("T",B568,FIND("CFW110",B568))-(FIND("CFW110",B568)+6))),
IF(ISNUMBER(FIND("D",B568)),
VALUE(SUBSTITUTE(MID(B568,FIND("D",B568)+1,FIND("T",B568,FIND("D",B568))-(FIND("D",B568)+1)),"P",",")),
IF(ISNUMBER(FIND("CFW5",B568)),
VALUE(MID(B568,
IF(ISNUMBER(FIND("F",B568)),FIND("F",B568)+1,FIND("G",B568)+1),
FIND("T",B568)-(IF(ISNUMBER(FIND("F",B568)),FIND("F",B568)+1,FIND("G",B568)+1))
)),
VALUE(MID(B568,FIND("E0",B568)+2,FIND("T",B568,FIND("E0",B568))-(FIND("E0",B568)+2)))
))),"")</f>
        <v>86</v>
      </c>
      <c r="G568">
        <f>IFERROR(
IF(ISNUMBER(FIND("T2",B568)),220,
IF(ISNUMBER(FIND("T4",B568)),440,
IF(ISNUMBER(FIND("T5",B568)),575,
IF(ISNUMBER(FIND("T6",B568)),690,"")))),
"")</f>
        <v>220</v>
      </c>
    </row>
    <row r="569" spans="1:7" x14ac:dyDescent="0.25">
      <c r="A569">
        <v>17229734</v>
      </c>
      <c r="B569" t="str">
        <f>VLOOKUP(A569,Planilha2!B:C,2,0)</f>
        <v>INVERSOR BRCFW110105T2OHIRZ</v>
      </c>
      <c r="C569" t="s">
        <v>1</v>
      </c>
      <c r="D569" t="str">
        <f>VLOOKUP(A569,Planilha2!B:H,7,0)</f>
        <v>LINHA M3</v>
      </c>
      <c r="E569" s="5">
        <v>31400</v>
      </c>
      <c r="F569">
        <f>IFERROR(
IF(ISNUMBER(FIND("CFW110",B569)),
VALUE(MID(B569,FIND("CFW110",B569)+6,FIND("T",B569,FIND("CFW110",B569))-(FIND("CFW110",B569)+6))),
IF(ISNUMBER(FIND("D",B569)),
VALUE(SUBSTITUTE(MID(B569,FIND("D",B569)+1,FIND("T",B569,FIND("D",B569))-(FIND("D",B569)+1)),"P",",")),
IF(ISNUMBER(FIND("CFW5",B569)),
VALUE(MID(B569,
IF(ISNUMBER(FIND("F",B569)),FIND("F",B569)+1,FIND("G",B569)+1),
FIND("T",B569)-(IF(ISNUMBER(FIND("F",B569)),FIND("F",B569)+1,FIND("G",B569)+1))
)),
VALUE(MID(B569,FIND("E0",B569)+2,FIND("T",B569,FIND("E0",B569))-(FIND("E0",B569)+2)))
))),"")</f>
        <v>105</v>
      </c>
      <c r="G569">
        <f>IFERROR(
IF(ISNUMBER(FIND("T2",B569)),220,
IF(ISNUMBER(FIND("T4",B569)),440,
IF(ISNUMBER(FIND("T5",B569)),575,
IF(ISNUMBER(FIND("T6",B569)),690,"")))),
"")</f>
        <v>220</v>
      </c>
    </row>
    <row r="570" spans="1:7" x14ac:dyDescent="0.25">
      <c r="A570">
        <v>17739814</v>
      </c>
      <c r="B570" t="str">
        <f>VLOOKUP(A570,Planilha2!B:C,2,0)</f>
        <v>INVERSOR MSCFW110045T4OFAYWZ</v>
      </c>
      <c r="C570" t="s">
        <v>1</v>
      </c>
      <c r="D570" t="str">
        <f>VLOOKUP(A570,Planilha2!B:H,7,0)</f>
        <v>LINHA M1</v>
      </c>
      <c r="E570" s="5">
        <v>4500</v>
      </c>
      <c r="F570">
        <f>IFERROR(
IF(ISNUMBER(FIND("CFW110",B570)),
VALUE(MID(B570,FIND("CFW110",B570)+6,FIND("T",B570,FIND("CFW110",B570))-(FIND("CFW110",B570)+6))),
IF(ISNUMBER(FIND("D",B570)),
VALUE(SUBSTITUTE(MID(B570,FIND("D",B570)+1,FIND("T",B570,FIND("D",B570))-(FIND("D",B570)+1)),"P",",")),
IF(ISNUMBER(FIND("CFW5",B570)),
VALUE(MID(B570,
IF(ISNUMBER(FIND("F",B570)),FIND("F",B570)+1,FIND("G",B570)+1),
FIND("T",B570)-(IF(ISNUMBER(FIND("F",B570)),FIND("F",B570)+1,FIND("G",B570)+1))
)),
VALUE(MID(B570,FIND("E0",B570)+2,FIND("T",B570,FIND("E0",B570))-(FIND("E0",B570)+2)))
))),"")</f>
        <v>45</v>
      </c>
      <c r="G570">
        <f>IFERROR(
IF(ISNUMBER(FIND("T2",B570)),220,
IF(ISNUMBER(FIND("T4",B570)),440,
IF(ISNUMBER(FIND("T5",B570)),575,
IF(ISNUMBER(FIND("T6",B570)),690,"")))),
"")</f>
        <v>440</v>
      </c>
    </row>
    <row r="571" spans="1:7" x14ac:dyDescent="0.25">
      <c r="A571">
        <v>17739816</v>
      </c>
      <c r="B571" t="str">
        <f>VLOOKUP(A571,Planilha2!B:C,2,0)</f>
        <v>INVERSOR MSCFW110058T4OFAYWZ</v>
      </c>
      <c r="C571" t="s">
        <v>1</v>
      </c>
      <c r="D571" t="str">
        <f>VLOOKUP(A571,Planilha2!B:H,7,0)</f>
        <v>LINHA M1</v>
      </c>
      <c r="E571" s="5">
        <v>21201</v>
      </c>
      <c r="F571">
        <f>IFERROR(
IF(ISNUMBER(FIND("CFW110",B571)),
VALUE(MID(B571,FIND("CFW110",B571)+6,FIND("T",B571,FIND("CFW110",B571))-(FIND("CFW110",B571)+6))),
IF(ISNUMBER(FIND("D",B571)),
VALUE(SUBSTITUTE(MID(B571,FIND("D",B571)+1,FIND("T",B571,FIND("D",B571))-(FIND("D",B571)+1)),"P",",")),
IF(ISNUMBER(FIND("CFW5",B571)),
VALUE(MID(B571,
IF(ISNUMBER(FIND("F",B571)),FIND("F",B571)+1,FIND("G",B571)+1),
FIND("T",B571)-(IF(ISNUMBER(FIND("F",B571)),FIND("F",B571)+1,FIND("G",B571)+1))
)),
VALUE(MID(B571,FIND("E0",B571)+2,FIND("T",B571,FIND("E0",B571))-(FIND("E0",B571)+2)))
))),"")</f>
        <v>58</v>
      </c>
      <c r="G571">
        <f>IFERROR(
IF(ISNUMBER(FIND("T2",B571)),220,
IF(ISNUMBER(FIND("T4",B571)),440,
IF(ISNUMBER(FIND("T5",B571)),575,
IF(ISNUMBER(FIND("T6",B571)),690,"")))),
"")</f>
        <v>440</v>
      </c>
    </row>
    <row r="572" spans="1:7" x14ac:dyDescent="0.25">
      <c r="A572">
        <v>17839966</v>
      </c>
      <c r="B572" t="str">
        <f>VLOOKUP(A572,Planilha2!B:C,2,0)</f>
        <v>INVERSOR CFW500G0180T4DB20C3H00ECG2</v>
      </c>
      <c r="C572" t="s">
        <v>1</v>
      </c>
      <c r="D572" t="str">
        <f>VLOOKUP(A572,Planilha2!B:H,7,0)</f>
        <v>LINHA G1</v>
      </c>
      <c r="E572" s="5">
        <v>45000</v>
      </c>
      <c r="F572" t="str">
        <f>IFERROR(
IF(ISNUMBER(FIND("CFW110",B572)),
VALUE(MID(B572,FIND("CFW110",B572)+6,FIND("T",B572,FIND("CFW110",B572))-(FIND("CFW110",B572)+6))),
IF(ISNUMBER(FIND("D",B572)),
VALUE(SUBSTITUTE(MID(B572,FIND("D",B572)+1,FIND("T",B572,FIND("D",B572))-(FIND("D",B572)+1)),"P",",")),
IF(ISNUMBER(FIND("CFW5",B572)),
VALUE(MID(B572,
IF(ISNUMBER(FIND("F",B572)),FIND("F",B572)+1,FIND("G",B572)+1),
FIND("T",B572)-(IF(ISNUMBER(FIND("F",B572)),FIND("F",B572)+1,FIND("G",B572)+1))
)),
VALUE(MID(B572,FIND("E0",B572)+2,FIND("T",B572,FIND("E0",B572))-(FIND("E0",B572)+2)))
))),"")</f>
        <v/>
      </c>
      <c r="G572">
        <f>IFERROR(
IF(ISNUMBER(FIND("T2",B572)),220,
IF(ISNUMBER(FIND("T4",B572)),440,
IF(ISNUMBER(FIND("T5",B572)),575,
IF(ISNUMBER(FIND("T6",B572)),690,"")))),
"")</f>
        <v>440</v>
      </c>
    </row>
    <row r="573" spans="1:7" x14ac:dyDescent="0.25">
      <c r="A573">
        <v>17838479</v>
      </c>
      <c r="B573" t="str">
        <f>VLOOKUP(A573,Planilha2!B:C,2,0)</f>
        <v>INVERSOR CFW500G0211T4NB20C3ECG2</v>
      </c>
      <c r="C573" t="s">
        <v>1</v>
      </c>
      <c r="D573" t="str">
        <f>VLOOKUP(A573,Planilha2!B:H,7,0)</f>
        <v>LINHA G1</v>
      </c>
      <c r="E573" s="5">
        <v>45000</v>
      </c>
      <c r="F573" t="str">
        <f>IFERROR(
IF(ISNUMBER(FIND("CFW110",B573)),
VALUE(MID(B573,FIND("CFW110",B573)+6,FIND("T",B573,FIND("CFW110",B573))-(FIND("CFW110",B573)+6))),
IF(ISNUMBER(FIND("D",B573)),
VALUE(SUBSTITUTE(MID(B573,FIND("D",B573)+1,FIND("T",B573,FIND("D",B573))-(FIND("D",B573)+1)),"P",",")),
IF(ISNUMBER(FIND("CFW5",B573)),
VALUE(MID(B573,
IF(ISNUMBER(FIND("F",B573)),FIND("F",B573)+1,FIND("G",B573)+1),
FIND("T",B573)-(IF(ISNUMBER(FIND("F",B573)),FIND("F",B573)+1,FIND("G",B573)+1))
)),
VALUE(MID(B573,FIND("E0",B573)+2,FIND("T",B573,FIND("E0",B573))-(FIND("E0",B573)+2)))
))),"")</f>
        <v/>
      </c>
      <c r="G573">
        <f>IFERROR(
IF(ISNUMBER(FIND("T2",B573)),220,
IF(ISNUMBER(FIND("T4",B573)),440,
IF(ISNUMBER(FIND("T5",B573)),575,
IF(ISNUMBER(FIND("T6",B573)),690,"")))),
"")</f>
        <v>440</v>
      </c>
    </row>
    <row r="574" spans="1:7" x14ac:dyDescent="0.25">
      <c r="A574">
        <v>10193868</v>
      </c>
      <c r="B574" t="str">
        <f>VLOOKUP(A574,Planilha2!B:C,2,0)</f>
        <v>INVERSOR BRCFW110088T4SZ</v>
      </c>
      <c r="C574" t="s">
        <v>1</v>
      </c>
      <c r="D574" t="str">
        <f>VLOOKUP(A574,Planilha2!B:H,7,0)</f>
        <v>LINHA M3</v>
      </c>
      <c r="E574" s="5">
        <v>32600</v>
      </c>
      <c r="F574">
        <f>IFERROR(
IF(ISNUMBER(FIND("CFW110",B574)),
VALUE(MID(B574,FIND("CFW110",B574)+6,FIND("T",B574,FIND("CFW110",B574))-(FIND("CFW110",B574)+6))),
IF(ISNUMBER(FIND("D",B574)),
VALUE(SUBSTITUTE(MID(B574,FIND("D",B574)+1,FIND("T",B574,FIND("D",B574))-(FIND("D",B574)+1)),"P",",")),
IF(ISNUMBER(FIND("CFW5",B574)),
VALUE(MID(B574,
IF(ISNUMBER(FIND("F",B574)),FIND("F",B574)+1,FIND("G",B574)+1),
FIND("T",B574)-(IF(ISNUMBER(FIND("F",B574)),FIND("F",B574)+1,FIND("G",B574)+1))
)),
VALUE(MID(B574,FIND("E0",B574)+2,FIND("T",B574,FIND("E0",B574))-(FIND("E0",B574)+2)))
))),"")</f>
        <v>88</v>
      </c>
      <c r="G574">
        <f>IFERROR(
IF(ISNUMBER(FIND("T2",B574)),220,
IF(ISNUMBER(FIND("T4",B574)),440,
IF(ISNUMBER(FIND("T5",B574)),575,
IF(ISNUMBER(FIND("T6",B574)),690,"")))),
"")</f>
        <v>440</v>
      </c>
    </row>
    <row r="575" spans="1:7" x14ac:dyDescent="0.25">
      <c r="A575">
        <v>17896623</v>
      </c>
      <c r="B575" t="str">
        <f>VLOOKUP(A575,Planilha2!B:C,2,0)</f>
        <v>INVERSOR BRCFW110058T4O55ECZ</v>
      </c>
      <c r="C575" t="s">
        <v>1</v>
      </c>
      <c r="D575" t="str">
        <f>VLOOKUP(A575,Planilha2!B:H,7,0)</f>
        <v>LINHA M1</v>
      </c>
      <c r="E575" s="5">
        <v>20500</v>
      </c>
      <c r="F575">
        <f>IFERROR(
IF(ISNUMBER(FIND("CFW110",B575)),
VALUE(MID(B575,FIND("CFW110",B575)+6,FIND("T",B575,FIND("CFW110",B575))-(FIND("CFW110",B575)+6))),
IF(ISNUMBER(FIND("D",B575)),
VALUE(SUBSTITUTE(MID(B575,FIND("D",B575)+1,FIND("T",B575,FIND("D",B575))-(FIND("D",B575)+1)),"P",",")),
IF(ISNUMBER(FIND("CFW5",B575)),
VALUE(MID(B575,
IF(ISNUMBER(FIND("F",B575)),FIND("F",B575)+1,FIND("G",B575)+1),
FIND("T",B575)-(IF(ISNUMBER(FIND("F",B575)),FIND("F",B575)+1,FIND("G",B575)+1))
)),
VALUE(MID(B575,FIND("E0",B575)+2,FIND("T",B575,FIND("E0",B575))-(FIND("E0",B575)+2)))
))),"")</f>
        <v>58</v>
      </c>
      <c r="G575">
        <f>IFERROR(
IF(ISNUMBER(FIND("T2",B575)),220,
IF(ISNUMBER(FIND("T4",B575)),440,
IF(ISNUMBER(FIND("T5",B575)),575,
IF(ISNUMBER(FIND("T6",B575)),690,"")))),
"")</f>
        <v>440</v>
      </c>
    </row>
    <row r="576" spans="1:7" x14ac:dyDescent="0.25">
      <c r="A576">
        <v>17874787</v>
      </c>
      <c r="B576" t="str">
        <f>VLOOKUP(A576,Planilha2!B:C,2,0)</f>
        <v>INVERSOR EUCFW110070T4OHALSRPZ</v>
      </c>
      <c r="C576" t="s">
        <v>1</v>
      </c>
      <c r="D576" t="str">
        <f>VLOOKUP(A576,Planilha2!B:H,7,0)</f>
        <v>LINHA M3</v>
      </c>
      <c r="E576" s="5">
        <v>31100</v>
      </c>
      <c r="F576">
        <f>IFERROR(
IF(ISNUMBER(FIND("CFW110",B576)),
VALUE(MID(B576,FIND("CFW110",B576)+6,FIND("T",B576,FIND("CFW110",B576))-(FIND("CFW110",B576)+6))),
IF(ISNUMBER(FIND("D",B576)),
VALUE(SUBSTITUTE(MID(B576,FIND("D",B576)+1,FIND("T",B576,FIND("D",B576))-(FIND("D",B576)+1)),"P",",")),
IF(ISNUMBER(FIND("CFW5",B576)),
VALUE(MID(B576,
IF(ISNUMBER(FIND("F",B576)),FIND("F",B576)+1,FIND("G",B576)+1),
FIND("T",B576)-(IF(ISNUMBER(FIND("F",B576)),FIND("F",B576)+1,FIND("G",B576)+1))
)),
VALUE(MID(B576,FIND("E0",B576)+2,FIND("T",B576,FIND("E0",B576))-(FIND("E0",B576)+2)))
))),"")</f>
        <v>70</v>
      </c>
      <c r="G576">
        <f>IFERROR(
IF(ISNUMBER(FIND("T2",B576)),220,
IF(ISNUMBER(FIND("T4",B576)),440,
IF(ISNUMBER(FIND("T5",B576)),575,
IF(ISNUMBER(FIND("T6",B576)),690,"")))),
"")</f>
        <v>440</v>
      </c>
    </row>
    <row r="577" spans="1:7" x14ac:dyDescent="0.25">
      <c r="A577">
        <v>17902110</v>
      </c>
      <c r="B577" t="str">
        <f>VLOOKUP(A577,Planilha2!B:C,2,0)</f>
        <v>INVERSOR BRCFW110045T2OTTZ</v>
      </c>
      <c r="C577" t="s">
        <v>1</v>
      </c>
      <c r="D577" t="str">
        <f>VLOOKUP(A577,Planilha2!B:H,7,0)</f>
        <v>LINHA M1</v>
      </c>
      <c r="E577" s="5">
        <v>15600</v>
      </c>
      <c r="F577">
        <f>IFERROR(
IF(ISNUMBER(FIND("CFW110",B577)),
VALUE(MID(B577,FIND("CFW110",B577)+6,FIND("T",B577,FIND("CFW110",B577))-(FIND("CFW110",B577)+6))),
IF(ISNUMBER(FIND("D",B577)),
VALUE(SUBSTITUTE(MID(B577,FIND("D",B577)+1,FIND("T",B577,FIND("D",B577))-(FIND("D",B577)+1)),"P",",")),
IF(ISNUMBER(FIND("CFW5",B577)),
VALUE(MID(B577,
IF(ISNUMBER(FIND("F",B577)),FIND("F",B577)+1,FIND("G",B577)+1),
FIND("T",B577)-(IF(ISNUMBER(FIND("F",B577)),FIND("F",B577)+1,FIND("G",B577)+1))
)),
VALUE(MID(B577,FIND("E0",B577)+2,FIND("T",B577,FIND("E0",B577))-(FIND("E0",B577)+2)))
))),"")</f>
        <v>45</v>
      </c>
      <c r="G577">
        <f>IFERROR(
IF(ISNUMBER(FIND("T2",B577)),220,
IF(ISNUMBER(FIND("T4",B577)),440,
IF(ISNUMBER(FIND("T5",B577)),575,
IF(ISNUMBER(FIND("T6",B577)),690,"")))),
"")</f>
        <v>220</v>
      </c>
    </row>
    <row r="578" spans="1:7" x14ac:dyDescent="0.25">
      <c r="A578">
        <v>10193865</v>
      </c>
      <c r="B578" t="str">
        <f>VLOOKUP(A578,Planilha2!B:C,2,0)</f>
        <v>INVERSOR BRCFW110045T4SZ</v>
      </c>
      <c r="C578" t="s">
        <v>1</v>
      </c>
      <c r="D578" t="str">
        <f>VLOOKUP(A578,Planilha2!B:H,7,0)</f>
        <v>LINHA M1</v>
      </c>
      <c r="E578" s="5">
        <v>19600</v>
      </c>
      <c r="F578">
        <f>IFERROR(
IF(ISNUMBER(FIND("CFW110",B578)),
VALUE(MID(B578,FIND("CFW110",B578)+6,FIND("T",B578,FIND("CFW110",B578))-(FIND("CFW110",B578)+6))),
IF(ISNUMBER(FIND("D",B578)),
VALUE(SUBSTITUTE(MID(B578,FIND("D",B578)+1,FIND("T",B578,FIND("D",B578))-(FIND("D",B578)+1)),"P",",")),
IF(ISNUMBER(FIND("CFW5",B578)),
VALUE(MID(B578,
IF(ISNUMBER(FIND("F",B578)),FIND("F",B578)+1,FIND("G",B578)+1),
FIND("T",B578)-(IF(ISNUMBER(FIND("F",B578)),FIND("F",B578)+1,FIND("G",B578)+1))
)),
VALUE(MID(B578,FIND("E0",B578)+2,FIND("T",B578,FIND("E0",B578))-(FIND("E0",B578)+2)))
))),"")</f>
        <v>45</v>
      </c>
      <c r="G578">
        <f>IFERROR(
IF(ISNUMBER(FIND("T2",B578)),220,
IF(ISNUMBER(FIND("T4",B578)),440,
IF(ISNUMBER(FIND("T5",B578)),575,
IF(ISNUMBER(FIND("T6",B578)),690,"")))),
"")</f>
        <v>440</v>
      </c>
    </row>
    <row r="579" spans="1:7" x14ac:dyDescent="0.25">
      <c r="A579">
        <v>10193867</v>
      </c>
      <c r="B579" t="str">
        <f>VLOOKUP(A579,Planilha2!B:C,2,0)</f>
        <v>INVERSOR BRCFW110070T4SZ</v>
      </c>
      <c r="C579" t="s">
        <v>1</v>
      </c>
      <c r="D579" t="str">
        <f>VLOOKUP(A579,Planilha2!B:H,7,0)</f>
        <v>LINHA M3</v>
      </c>
      <c r="E579" s="5">
        <v>31100</v>
      </c>
      <c r="F579">
        <f>IFERROR(
IF(ISNUMBER(FIND("CFW110",B579)),
VALUE(MID(B579,FIND("CFW110",B579)+6,FIND("T",B579,FIND("CFW110",B579))-(FIND("CFW110",B579)+6))),
IF(ISNUMBER(FIND("D",B579)),
VALUE(SUBSTITUTE(MID(B579,FIND("D",B579)+1,FIND("T",B579,FIND("D",B579))-(FIND("D",B579)+1)),"P",",")),
IF(ISNUMBER(FIND("CFW5",B579)),
VALUE(MID(B579,
IF(ISNUMBER(FIND("F",B579)),FIND("F",B579)+1,FIND("G",B579)+1),
FIND("T",B579)-(IF(ISNUMBER(FIND("F",B579)),FIND("F",B579)+1,FIND("G",B579)+1))
)),
VALUE(MID(B579,FIND("E0",B579)+2,FIND("T",B579,FIND("E0",B579))-(FIND("E0",B579)+2)))
))),"")</f>
        <v>70</v>
      </c>
      <c r="G579">
        <f>IFERROR(
IF(ISNUMBER(FIND("T2",B579)),220,
IF(ISNUMBER(FIND("T4",B579)),440,
IF(ISNUMBER(FIND("T5",B579)),575,
IF(ISNUMBER(FIND("T6",B579)),690,"")))),
"")</f>
        <v>440</v>
      </c>
    </row>
    <row r="580" spans="1:7" x14ac:dyDescent="0.25">
      <c r="A580">
        <v>18072511</v>
      </c>
      <c r="B580" t="str">
        <f>VLOOKUP(A580,Planilha2!B:C,2,0)</f>
        <v>INVERSOR EUCFW110038T4OFAWZ</v>
      </c>
      <c r="C580" t="s">
        <v>1</v>
      </c>
      <c r="D580" t="str">
        <f>VLOOKUP(A580,Planilha2!B:H,7,0)</f>
        <v>LINHA M1</v>
      </c>
      <c r="E580" s="5">
        <v>16500</v>
      </c>
      <c r="F580">
        <f>IFERROR(
IF(ISNUMBER(FIND("CFW110",B580)),
VALUE(MID(B580,FIND("CFW110",B580)+6,FIND("T",B580,FIND("CFW110",B580))-(FIND("CFW110",B580)+6))),
IF(ISNUMBER(FIND("D",B580)),
VALUE(SUBSTITUTE(MID(B580,FIND("D",B580)+1,FIND("T",B580,FIND("D",B580))-(FIND("D",B580)+1)),"P",",")),
IF(ISNUMBER(FIND("CFW5",B580)),
VALUE(MID(B580,
IF(ISNUMBER(FIND("F",B580)),FIND("F",B580)+1,FIND("G",B580)+1),
FIND("T",B580)-(IF(ISNUMBER(FIND("F",B580)),FIND("F",B580)+1,FIND("G",B580)+1))
)),
VALUE(MID(B580,FIND("E0",B580)+2,FIND("T",B580,FIND("E0",B580))-(FIND("E0",B580)+2)))
))),"")</f>
        <v>38</v>
      </c>
      <c r="G580">
        <f>IFERROR(
IF(ISNUMBER(FIND("T2",B580)),220,
IF(ISNUMBER(FIND("T4",B580)),440,
IF(ISNUMBER(FIND("T5",B580)),575,
IF(ISNUMBER(FIND("T6",B580)),690,"")))),
"")</f>
        <v>440</v>
      </c>
    </row>
    <row r="581" spans="1:7" x14ac:dyDescent="0.25">
      <c r="A581">
        <v>18072512</v>
      </c>
      <c r="B581" t="str">
        <f>VLOOKUP(A581,Planilha2!B:C,2,0)</f>
        <v>INVERSOR EUCFW110058T4OFAWZ</v>
      </c>
      <c r="C581" t="s">
        <v>1</v>
      </c>
      <c r="D581" t="str">
        <f>VLOOKUP(A581,Planilha2!B:H,7,0)</f>
        <v>LINHA M1</v>
      </c>
      <c r="E581" s="5">
        <v>20600</v>
      </c>
      <c r="F581">
        <f>IFERROR(
IF(ISNUMBER(FIND("CFW110",B581)),
VALUE(MID(B581,FIND("CFW110",B581)+6,FIND("T",B581,FIND("CFW110",B581))-(FIND("CFW110",B581)+6))),
IF(ISNUMBER(FIND("D",B581)),
VALUE(SUBSTITUTE(MID(B581,FIND("D",B581)+1,FIND("T",B581,FIND("D",B581))-(FIND("D",B581)+1)),"P",",")),
IF(ISNUMBER(FIND("CFW5",B581)),
VALUE(MID(B581,
IF(ISNUMBER(FIND("F",B581)),FIND("F",B581)+1,FIND("G",B581)+1),
FIND("T",B581)-(IF(ISNUMBER(FIND("F",B581)),FIND("F",B581)+1,FIND("G",B581)+1))
)),
VALUE(MID(B581,FIND("E0",B581)+2,FIND("T",B581,FIND("E0",B581))-(FIND("E0",B581)+2)))
))),"")</f>
        <v>58</v>
      </c>
      <c r="G581">
        <f>IFERROR(
IF(ISNUMBER(FIND("T2",B581)),220,
IF(ISNUMBER(FIND("T4",B581)),440,
IF(ISNUMBER(FIND("T5",B581)),575,
IF(ISNUMBER(FIND("T6",B581)),690,"")))),
"")</f>
        <v>440</v>
      </c>
    </row>
    <row r="582" spans="1:7" x14ac:dyDescent="0.25">
      <c r="A582">
        <v>18073239</v>
      </c>
      <c r="B582" t="str">
        <f>VLOOKUP(A582,Planilha2!B:C,2,0)</f>
        <v>INVERSOR EUCFW110070T4OFAWZ</v>
      </c>
      <c r="C582" t="s">
        <v>1</v>
      </c>
      <c r="D582" t="str">
        <f>VLOOKUP(A582,Planilha2!B:H,7,0)</f>
        <v>LINHA M3</v>
      </c>
      <c r="E582" s="5">
        <v>31100</v>
      </c>
      <c r="F582">
        <f>IFERROR(
IF(ISNUMBER(FIND("CFW110",B582)),
VALUE(MID(B582,FIND("CFW110",B582)+6,FIND("T",B582,FIND("CFW110",B582))-(FIND("CFW110",B582)+6))),
IF(ISNUMBER(FIND("D",B582)),
VALUE(SUBSTITUTE(MID(B582,FIND("D",B582)+1,FIND("T",B582,FIND("D",B582))-(FIND("D",B582)+1)),"P",",")),
IF(ISNUMBER(FIND("CFW5",B582)),
VALUE(MID(B582,
IF(ISNUMBER(FIND("F",B582)),FIND("F",B582)+1,FIND("G",B582)+1),
FIND("T",B582)-(IF(ISNUMBER(FIND("F",B582)),FIND("F",B582)+1,FIND("G",B582)+1))
)),
VALUE(MID(B582,FIND("E0",B582)+2,FIND("T",B582,FIND("E0",B582))-(FIND("E0",B582)+2)))
))),"")</f>
        <v>70</v>
      </c>
      <c r="G582">
        <f>IFERROR(
IF(ISNUMBER(FIND("T2",B582)),220,
IF(ISNUMBER(FIND("T4",B582)),440,
IF(ISNUMBER(FIND("T5",B582)),575,
IF(ISNUMBER(FIND("T6",B582)),690,"")))),
"")</f>
        <v>440</v>
      </c>
    </row>
    <row r="583" spans="1:7" x14ac:dyDescent="0.25">
      <c r="A583">
        <v>18093313</v>
      </c>
      <c r="B583" t="str">
        <f>VLOOKUP(A583,Planilha2!B:C,2,0)</f>
        <v>INVERSOR BRCFW110086T2OFAYECZ</v>
      </c>
      <c r="C583" t="s">
        <v>1</v>
      </c>
      <c r="D583" t="str">
        <f>VLOOKUP(A583,Planilha2!B:H,7,0)</f>
        <v>LINHA M3</v>
      </c>
      <c r="E583" s="5">
        <v>29500</v>
      </c>
      <c r="F583">
        <f>IFERROR(
IF(ISNUMBER(FIND("CFW110",B583)),
VALUE(MID(B583,FIND("CFW110",B583)+6,FIND("T",B583,FIND("CFW110",B583))-(FIND("CFW110",B583)+6))),
IF(ISNUMBER(FIND("D",B583)),
VALUE(SUBSTITUTE(MID(B583,FIND("D",B583)+1,FIND("T",B583,FIND("D",B583))-(FIND("D",B583)+1)),"P",",")),
IF(ISNUMBER(FIND("CFW5",B583)),
VALUE(MID(B583,
IF(ISNUMBER(FIND("F",B583)),FIND("F",B583)+1,FIND("G",B583)+1),
FIND("T",B583)-(IF(ISNUMBER(FIND("F",B583)),FIND("F",B583)+1,FIND("G",B583)+1))
)),
VALUE(MID(B583,FIND("E0",B583)+2,FIND("T",B583,FIND("E0",B583))-(FIND("E0",B583)+2)))
))),"")</f>
        <v>86</v>
      </c>
      <c r="G583">
        <f>IFERROR(
IF(ISNUMBER(FIND("T2",B583)),220,
IF(ISNUMBER(FIND("T4",B583)),440,
IF(ISNUMBER(FIND("T5",B583)),575,
IF(ISNUMBER(FIND("T6",B583)),690,"")))),
"")</f>
        <v>220</v>
      </c>
    </row>
    <row r="584" spans="1:7" x14ac:dyDescent="0.25">
      <c r="A584">
        <v>18154122</v>
      </c>
      <c r="B584" t="str">
        <f>VLOOKUP(A584,Planilha2!B:C,2,0)</f>
        <v>INVERSOR BRCFW110070T2OWZ</v>
      </c>
      <c r="C584" t="s">
        <v>1</v>
      </c>
      <c r="D584" t="str">
        <f>VLOOKUP(A584,Planilha2!B:H,7,0)</f>
        <v>LINHA M1</v>
      </c>
      <c r="E584" s="5">
        <v>17900</v>
      </c>
      <c r="F584">
        <f>IFERROR(
IF(ISNUMBER(FIND("CFW110",B584)),
VALUE(MID(B584,FIND("CFW110",B584)+6,FIND("T",B584,FIND("CFW110",B584))-(FIND("CFW110",B584)+6))),
IF(ISNUMBER(FIND("D",B584)),
VALUE(SUBSTITUTE(MID(B584,FIND("D",B584)+1,FIND("T",B584,FIND("D",B584))-(FIND("D",B584)+1)),"P",",")),
IF(ISNUMBER(FIND("CFW5",B584)),
VALUE(MID(B584,
IF(ISNUMBER(FIND("F",B584)),FIND("F",B584)+1,FIND("G",B584)+1),
FIND("T",B584)-(IF(ISNUMBER(FIND("F",B584)),FIND("F",B584)+1,FIND("G",B584)+1))
)),
VALUE(MID(B584,FIND("E0",B584)+2,FIND("T",B584,FIND("E0",B584))-(FIND("E0",B584)+2)))
))),"")</f>
        <v>70</v>
      </c>
      <c r="G584">
        <f>IFERROR(
IF(ISNUMBER(FIND("T2",B584)),220,
IF(ISNUMBER(FIND("T4",B584)),440,
IF(ISNUMBER(FIND("T5",B584)),575,
IF(ISNUMBER(FIND("T6",B584)),690,"")))),
"")</f>
        <v>220</v>
      </c>
    </row>
    <row r="585" spans="1:7" x14ac:dyDescent="0.25">
      <c r="A585">
        <v>18169203</v>
      </c>
      <c r="B585" t="str">
        <f>VLOOKUP(A585,Planilha2!B:C,2,0)</f>
        <v>INVERSOR CFW900D0110T2NB20Y2B-UI</v>
      </c>
      <c r="C585" t="s">
        <v>1</v>
      </c>
      <c r="D585" t="str">
        <f>VLOOKUP(A585,Planilha2!B:H,7,0)</f>
        <v>LINHA G1</v>
      </c>
      <c r="E585" s="5">
        <v>59800</v>
      </c>
      <c r="F585">
        <f>IFERROR(
IF(ISNUMBER(FIND("CFW110",B585)),
VALUE(MID(B585,FIND("CFW110",B585)+6,FIND("T",B585,FIND("CFW110",B585))-(FIND("CFW110",B585)+6))),
IF(ISNUMBER(FIND("D",B585)),
VALUE(SUBSTITUTE(MID(B585,FIND("D",B585)+1,FIND("T",B585,FIND("D",B585))-(FIND("D",B585)+1)),"P",",")),
IF(ISNUMBER(FIND("CFW5",B585)),
VALUE(MID(B585,
IF(ISNUMBER(FIND("F",B585)),FIND("F",B585)+1,FIND("G",B585)+1),
FIND("T",B585)-(IF(ISNUMBER(FIND("F",B585)),FIND("F",B585)+1,FIND("G",B585)+1))
)),
VALUE(MID(B585,FIND("E0",B585)+2,FIND("T",B585,FIND("E0",B585))-(FIND("E0",B585)+2)))
))),"")</f>
        <v>110</v>
      </c>
      <c r="G585">
        <f>IFERROR(
IF(ISNUMBER(FIND("T2",B585)),220,
IF(ISNUMBER(FIND("T4",B585)),440,
IF(ISNUMBER(FIND("T5",B585)),575,
IF(ISNUMBER(FIND("T6",B585)),690,"")))),
"")</f>
        <v>220</v>
      </c>
    </row>
    <row r="586" spans="1:7" x14ac:dyDescent="0.25">
      <c r="A586">
        <v>18169204</v>
      </c>
      <c r="B586" t="str">
        <f>VLOOKUP(A586,Planilha2!B:C,2,0)</f>
        <v>INVERSOR CFW900D0135T2NB20Y2B-UI</v>
      </c>
      <c r="C586" t="s">
        <v>1</v>
      </c>
      <c r="D586" t="str">
        <f>VLOOKUP(A586,Planilha2!B:H,7,0)</f>
        <v>LINHA G1</v>
      </c>
      <c r="E586" s="5">
        <v>59800</v>
      </c>
      <c r="F586">
        <f>IFERROR(
IF(ISNUMBER(FIND("CFW110",B586)),
VALUE(MID(B586,FIND("CFW110",B586)+6,FIND("T",B586,FIND("CFW110",B586))-(FIND("CFW110",B586)+6))),
IF(ISNUMBER(FIND("D",B586)),
VALUE(SUBSTITUTE(MID(B586,FIND("D",B586)+1,FIND("T",B586,FIND("D",B586))-(FIND("D",B586)+1)),"P",",")),
IF(ISNUMBER(FIND("CFW5",B586)),
VALUE(MID(B586,
IF(ISNUMBER(FIND("F",B586)),FIND("F",B586)+1,FIND("G",B586)+1),
FIND("T",B586)-(IF(ISNUMBER(FIND("F",B586)),FIND("F",B586)+1,FIND("G",B586)+1))
)),
VALUE(MID(B586,FIND("E0",B586)+2,FIND("T",B586,FIND("E0",B586))-(FIND("E0",B586)+2)))
))),"")</f>
        <v>135</v>
      </c>
      <c r="G586">
        <f>IFERROR(
IF(ISNUMBER(FIND("T2",B586)),220,
IF(ISNUMBER(FIND("T4",B586)),440,
IF(ISNUMBER(FIND("T5",B586)),575,
IF(ISNUMBER(FIND("T6",B586)),690,"")))),
"")</f>
        <v>220</v>
      </c>
    </row>
    <row r="587" spans="1:7" x14ac:dyDescent="0.25">
      <c r="A587">
        <v>18169205</v>
      </c>
      <c r="B587" t="str">
        <f>VLOOKUP(A587,Planilha2!B:C,2,0)</f>
        <v>INVERSOR CFW900D0150T2NB20Y2B-UI</v>
      </c>
      <c r="C587" t="s">
        <v>1</v>
      </c>
      <c r="D587" t="str">
        <f>VLOOKUP(A587,Planilha2!B:H,7,0)</f>
        <v>LINHA G1</v>
      </c>
      <c r="E587" s="5">
        <v>59800</v>
      </c>
      <c r="F587">
        <f>IFERROR(
IF(ISNUMBER(FIND("CFW110",B587)),
VALUE(MID(B587,FIND("CFW110",B587)+6,FIND("T",B587,FIND("CFW110",B587))-(FIND("CFW110",B587)+6))),
IF(ISNUMBER(FIND("D",B587)),
VALUE(SUBSTITUTE(MID(B587,FIND("D",B587)+1,FIND("T",B587,FIND("D",B587))-(FIND("D",B587)+1)),"P",",")),
IF(ISNUMBER(FIND("CFW5",B587)),
VALUE(MID(B587,
IF(ISNUMBER(FIND("F",B587)),FIND("F",B587)+1,FIND("G",B587)+1),
FIND("T",B587)-(IF(ISNUMBER(FIND("F",B587)),FIND("F",B587)+1,FIND("G",B587)+1))
)),
VALUE(MID(B587,FIND("E0",B587)+2,FIND("T",B587,FIND("E0",B587))-(FIND("E0",B587)+2)))
))),"")</f>
        <v>150</v>
      </c>
      <c r="G587">
        <f>IFERROR(
IF(ISNUMBER(FIND("T2",B587)),220,
IF(ISNUMBER(FIND("T4",B587)),440,
IF(ISNUMBER(FIND("T5",B587)),575,
IF(ISNUMBER(FIND("T6",B587)),690,"")))),
"")</f>
        <v>220</v>
      </c>
    </row>
    <row r="588" spans="1:7" x14ac:dyDescent="0.25">
      <c r="A588">
        <v>11385296</v>
      </c>
      <c r="B588" t="str">
        <f>VLOOKUP(A588,Planilha2!B:C,2,0)</f>
        <v>INVERSOR BRCFW110070T4OFAZ</v>
      </c>
      <c r="C588" t="s">
        <v>1</v>
      </c>
      <c r="D588" t="str">
        <f>VLOOKUP(A588,Planilha2!B:H,7,0)</f>
        <v>LINHA M3</v>
      </c>
      <c r="E588" s="5">
        <v>26701</v>
      </c>
      <c r="F588">
        <f>IFERROR(
IF(ISNUMBER(FIND("CFW110",B588)),
VALUE(MID(B588,FIND("CFW110",B588)+6,FIND("T",B588,FIND("CFW110",B588))-(FIND("CFW110",B588)+6))),
IF(ISNUMBER(FIND("D",B588)),
VALUE(SUBSTITUTE(MID(B588,FIND("D",B588)+1,FIND("T",B588,FIND("D",B588))-(FIND("D",B588)+1)),"P",",")),
IF(ISNUMBER(FIND("CFW5",B588)),
VALUE(MID(B588,
IF(ISNUMBER(FIND("F",B588)),FIND("F",B588)+1,FIND("G",B588)+1),
FIND("T",B588)-(IF(ISNUMBER(FIND("F",B588)),FIND("F",B588)+1,FIND("G",B588)+1))
)),
VALUE(MID(B588,FIND("E0",B588)+2,FIND("T",B588,FIND("E0",B588))-(FIND("E0",B588)+2)))
))),"")</f>
        <v>70</v>
      </c>
      <c r="G588">
        <f>IFERROR(
IF(ISNUMBER(FIND("T2",B588)),220,
IF(ISNUMBER(FIND("T4",B588)),440,
IF(ISNUMBER(FIND("T5",B588)),575,
IF(ISNUMBER(FIND("T6",B588)),690,"")))),
"")</f>
        <v>440</v>
      </c>
    </row>
    <row r="589" spans="1:7" x14ac:dyDescent="0.25">
      <c r="A589">
        <v>18295134</v>
      </c>
      <c r="B589" t="str">
        <f>VLOOKUP(A589,Planilha2!B:C,2,0)</f>
        <v>INVERSOR NACFW110105T2O55ECZ</v>
      </c>
      <c r="C589" t="s">
        <v>1</v>
      </c>
      <c r="D589" t="str">
        <f>VLOOKUP(A589,Planilha2!B:H,7,0)</f>
        <v>LINHA M3</v>
      </c>
      <c r="E589" s="5">
        <v>85300</v>
      </c>
      <c r="F589">
        <f>IFERROR(
IF(ISNUMBER(FIND("CFW110",B589)),
VALUE(MID(B589,FIND("CFW110",B589)+6,FIND("T",B589,FIND("CFW110",B589))-(FIND("CFW110",B589)+6))),
IF(ISNUMBER(FIND("D",B589)),
VALUE(SUBSTITUTE(MID(B589,FIND("D",B589)+1,FIND("T",B589,FIND("D",B589))-(FIND("D",B589)+1)),"P",",")),
IF(ISNUMBER(FIND("CFW5",B589)),
VALUE(MID(B589,
IF(ISNUMBER(FIND("F",B589)),FIND("F",B589)+1,FIND("G",B589)+1),
FIND("T",B589)-(IF(ISNUMBER(FIND("F",B589)),FIND("F",B589)+1,FIND("G",B589)+1))
)),
VALUE(MID(B589,FIND("E0",B589)+2,FIND("T",B589,FIND("E0",B589))-(FIND("E0",B589)+2)))
))),"")</f>
        <v>105</v>
      </c>
      <c r="G589">
        <f>IFERROR(
IF(ISNUMBER(FIND("T2",B589)),220,
IF(ISNUMBER(FIND("T4",B589)),440,
IF(ISNUMBER(FIND("T5",B589)),575,
IF(ISNUMBER(FIND("T6",B589)),690,"")))),
"")</f>
        <v>220</v>
      </c>
    </row>
    <row r="590" spans="1:7" x14ac:dyDescent="0.25">
      <c r="A590">
        <v>18289595</v>
      </c>
      <c r="B590" t="str">
        <f>VLOOKUP(A590,Planilha2!B:C,2,0)</f>
        <v>INVERSOR CM500C47P0T2DB66G2</v>
      </c>
      <c r="C590" t="s">
        <v>1</v>
      </c>
      <c r="D590" t="str">
        <f>VLOOKUP(A590,Planilha2!B:H,7,0)</f>
        <v>LINHA M4</v>
      </c>
      <c r="E590" s="5">
        <v>1000</v>
      </c>
      <c r="F590" t="str">
        <f>IFERROR(
IF(ISNUMBER(FIND("CFW110",B590)),
VALUE(MID(B590,FIND("CFW110",B590)+6,FIND("T",B590,FIND("CFW110",B590))-(FIND("CFW110",B590)+6))),
IF(ISNUMBER(FIND("D",B590)),
VALUE(SUBSTITUTE(MID(B590,FIND("D",B590)+1,FIND("T",B590,FIND("D",B590))-(FIND("D",B590)+1)),"P",",")),
IF(ISNUMBER(FIND("CFW5",B590)),
VALUE(MID(B590,
IF(ISNUMBER(FIND("F",B590)),FIND("F",B590)+1,FIND("G",B590)+1),
FIND("T",B590)-(IF(ISNUMBER(FIND("F",B590)),FIND("F",B590)+1,FIND("G",B590)+1))
)),
VALUE(MID(B590,FIND("E0",B590)+2,FIND("T",B590,FIND("E0",B590))-(FIND("E0",B590)+2)))
))),"")</f>
        <v/>
      </c>
      <c r="G590">
        <f>IFERROR(
IF(ISNUMBER(FIND("T2",B590)),220,
IF(ISNUMBER(FIND("T4",B590)),440,
IF(ISNUMBER(FIND("T5",B590)),575,
IF(ISNUMBER(FIND("T6",B590)),690,"")))),
"")</f>
        <v>220</v>
      </c>
    </row>
    <row r="591" spans="1:7" x14ac:dyDescent="0.25">
      <c r="A591">
        <v>18289599</v>
      </c>
      <c r="B591" t="str">
        <f>VLOOKUP(A591,Planilha2!B:C,2,0)</f>
        <v>INVERSOR CM500C56P0T2DB66G2</v>
      </c>
      <c r="C591" t="s">
        <v>1</v>
      </c>
      <c r="D591" t="str">
        <f>VLOOKUP(A591,Planilha2!B:H,7,0)</f>
        <v>LINHA M4</v>
      </c>
      <c r="E591" s="5">
        <v>1000</v>
      </c>
      <c r="F591" t="str">
        <f>IFERROR(
IF(ISNUMBER(FIND("CFW110",B591)),
VALUE(MID(B591,FIND("CFW110",B591)+6,FIND("T",B591,FIND("CFW110",B591))-(FIND("CFW110",B591)+6))),
IF(ISNUMBER(FIND("D",B591)),
VALUE(SUBSTITUTE(MID(B591,FIND("D",B591)+1,FIND("T",B591,FIND("D",B591))-(FIND("D",B591)+1)),"P",",")),
IF(ISNUMBER(FIND("CFW5",B591)),
VALUE(MID(B591,
IF(ISNUMBER(FIND("F",B591)),FIND("F",B591)+1,FIND("G",B591)+1),
FIND("T",B591)-(IF(ISNUMBER(FIND("F",B591)),FIND("F",B591)+1,FIND("G",B591)+1))
)),
VALUE(MID(B591,FIND("E0",B591)+2,FIND("T",B591,FIND("E0",B591))-(FIND("E0",B591)+2)))
))),"")</f>
        <v/>
      </c>
      <c r="G591">
        <f>IFERROR(
IF(ISNUMBER(FIND("T2",B591)),220,
IF(ISNUMBER(FIND("T4",B591)),440,
IF(ISNUMBER(FIND("T5",B591)),575,
IF(ISNUMBER(FIND("T6",B591)),690,"")))),
"")</f>
        <v>220</v>
      </c>
    </row>
    <row r="592" spans="1:7" x14ac:dyDescent="0.25">
      <c r="A592">
        <v>18289648</v>
      </c>
      <c r="B592" t="str">
        <f>VLOOKUP(A592,Planilha2!B:C,2,0)</f>
        <v>INVERSOR CM500F0105T2DB20G2</v>
      </c>
      <c r="C592" t="s">
        <v>1</v>
      </c>
      <c r="D592" t="str">
        <f>VLOOKUP(A592,Planilha2!B:H,7,0)</f>
        <v>LINHA M3</v>
      </c>
      <c r="E592" s="5">
        <v>1000</v>
      </c>
      <c r="F592" t="str">
        <f>IFERROR(
IF(ISNUMBER(FIND("CFW110",B592)),
VALUE(MID(B592,FIND("CFW110",B592)+6,FIND("T",B592,FIND("CFW110",B592))-(FIND("CFW110",B592)+6))),
IF(ISNUMBER(FIND("D",B592)),
VALUE(SUBSTITUTE(MID(B592,FIND("D",B592)+1,FIND("T",B592,FIND("D",B592))-(FIND("D",B592)+1)),"P",",")),
IF(ISNUMBER(FIND("CFW5",B592)),
VALUE(MID(B592,
IF(ISNUMBER(FIND("F",B592)),FIND("F",B592)+1,FIND("G",B592)+1),
FIND("T",B592)-(IF(ISNUMBER(FIND("F",B592)),FIND("F",B592)+1,FIND("G",B592)+1))
)),
VALUE(MID(B592,FIND("E0",B592)+2,FIND("T",B592,FIND("E0",B592))-(FIND("E0",B592)+2)))
))),"")</f>
        <v/>
      </c>
      <c r="G592">
        <f>IFERROR(
IF(ISNUMBER(FIND("T2",B592)),220,
IF(ISNUMBER(FIND("T4",B592)),440,
IF(ISNUMBER(FIND("T5",B592)),575,
IF(ISNUMBER(FIND("T6",B592)),690,"")))),
"")</f>
        <v>220</v>
      </c>
    </row>
    <row r="593" spans="1:7" x14ac:dyDescent="0.25">
      <c r="A593">
        <v>18289649</v>
      </c>
      <c r="B593" t="str">
        <f>VLOOKUP(A593,Planilha2!B:C,2,0)</f>
        <v>INVERSOR CM500F0105T2DB20C3G2</v>
      </c>
      <c r="C593" t="s">
        <v>1</v>
      </c>
      <c r="D593" t="str">
        <f>VLOOKUP(A593,Planilha2!B:H,7,0)</f>
        <v>LINHA M3</v>
      </c>
      <c r="E593" s="5">
        <v>1000</v>
      </c>
      <c r="F593" t="str">
        <f>IFERROR(
IF(ISNUMBER(FIND("CFW110",B593)),
VALUE(MID(B593,FIND("CFW110",B593)+6,FIND("T",B593,FIND("CFW110",B593))-(FIND("CFW110",B593)+6))),
IF(ISNUMBER(FIND("D",B593)),
VALUE(SUBSTITUTE(MID(B593,FIND("D",B593)+1,FIND("T",B593,FIND("D",B593))-(FIND("D",B593)+1)),"P",",")),
IF(ISNUMBER(FIND("CFW5",B593)),
VALUE(MID(B593,
IF(ISNUMBER(FIND("F",B593)),FIND("F",B593)+1,FIND("G",B593)+1),
FIND("T",B593)-(IF(ISNUMBER(FIND("F",B593)),FIND("F",B593)+1,FIND("G",B593)+1))
)),
VALUE(MID(B593,FIND("E0",B593)+2,FIND("T",B593,FIND("E0",B593))-(FIND("E0",B593)+2)))
))),"")</f>
        <v/>
      </c>
      <c r="G593">
        <f>IFERROR(
IF(ISNUMBER(FIND("T2",B593)),220,
IF(ISNUMBER(FIND("T4",B593)),440,
IF(ISNUMBER(FIND("T5",B593)),575,
IF(ISNUMBER(FIND("T6",B593)),690,"")))),
"")</f>
        <v>220</v>
      </c>
    </row>
    <row r="594" spans="1:7" x14ac:dyDescent="0.25">
      <c r="A594">
        <v>18289650</v>
      </c>
      <c r="B594" t="str">
        <f>VLOOKUP(A594,Planilha2!B:C,2,0)</f>
        <v>INVERSOR CM500F77P0T2DB20G2</v>
      </c>
      <c r="C594" t="s">
        <v>1</v>
      </c>
      <c r="D594" t="str">
        <f>VLOOKUP(A594,Planilha2!B:H,7,0)</f>
        <v>LINHA M3</v>
      </c>
      <c r="E594" s="5">
        <v>1000</v>
      </c>
      <c r="F594" t="str">
        <f>IFERROR(
IF(ISNUMBER(FIND("CFW110",B594)),
VALUE(MID(B594,FIND("CFW110",B594)+6,FIND("T",B594,FIND("CFW110",B594))-(FIND("CFW110",B594)+6))),
IF(ISNUMBER(FIND("D",B594)),
VALUE(SUBSTITUTE(MID(B594,FIND("D",B594)+1,FIND("T",B594,FIND("D",B594))-(FIND("D",B594)+1)),"P",",")),
IF(ISNUMBER(FIND("CFW5",B594)),
VALUE(MID(B594,
IF(ISNUMBER(FIND("F",B594)),FIND("F",B594)+1,FIND("G",B594)+1),
FIND("T",B594)-(IF(ISNUMBER(FIND("F",B594)),FIND("F",B594)+1,FIND("G",B594)+1))
)),
VALUE(MID(B594,FIND("E0",B594)+2,FIND("T",B594,FIND("E0",B594))-(FIND("E0",B594)+2)))
))),"")</f>
        <v/>
      </c>
      <c r="G594">
        <f>IFERROR(
IF(ISNUMBER(FIND("T2",B594)),220,
IF(ISNUMBER(FIND("T4",B594)),440,
IF(ISNUMBER(FIND("T5",B594)),575,
IF(ISNUMBER(FIND("T6",B594)),690,"")))),
"")</f>
        <v>220</v>
      </c>
    </row>
    <row r="595" spans="1:7" x14ac:dyDescent="0.25">
      <c r="A595">
        <v>18289651</v>
      </c>
      <c r="B595" t="str">
        <f>VLOOKUP(A595,Planilha2!B:C,2,0)</f>
        <v>INVERSOR CM500F77P0T2DB20C3G2</v>
      </c>
      <c r="C595" t="s">
        <v>1</v>
      </c>
      <c r="D595" t="str">
        <f>VLOOKUP(A595,Planilha2!B:H,7,0)</f>
        <v>LINHA M3</v>
      </c>
      <c r="E595" s="5">
        <v>1000</v>
      </c>
      <c r="F595" t="str">
        <f>IFERROR(
IF(ISNUMBER(FIND("CFW110",B595)),
VALUE(MID(B595,FIND("CFW110",B595)+6,FIND("T",B595,FIND("CFW110",B595))-(FIND("CFW110",B595)+6))),
IF(ISNUMBER(FIND("D",B595)),
VALUE(SUBSTITUTE(MID(B595,FIND("D",B595)+1,FIND("T",B595,FIND("D",B595))-(FIND("D",B595)+1)),"P",",")),
IF(ISNUMBER(FIND("CFW5",B595)),
VALUE(MID(B595,
IF(ISNUMBER(FIND("F",B595)),FIND("F",B595)+1,FIND("G",B595)+1),
FIND("T",B595)-(IF(ISNUMBER(FIND("F",B595)),FIND("F",B595)+1,FIND("G",B595)+1))
)),
VALUE(MID(B595,FIND("E0",B595)+2,FIND("T",B595,FIND("E0",B595))-(FIND("E0",B595)+2)))
))),"")</f>
        <v/>
      </c>
      <c r="G595">
        <f>IFERROR(
IF(ISNUMBER(FIND("T2",B595)),220,
IF(ISNUMBER(FIND("T4",B595)),440,
IF(ISNUMBER(FIND("T5",B595)),575,
IF(ISNUMBER(FIND("T6",B595)),690,"")))),
"")</f>
        <v>220</v>
      </c>
    </row>
    <row r="596" spans="1:7" x14ac:dyDescent="0.25">
      <c r="A596">
        <v>18289652</v>
      </c>
      <c r="B596" t="str">
        <f>VLOOKUP(A596,Planilha2!B:C,2,0)</f>
        <v>INVERSOR CM500F88P0T2DB20G2</v>
      </c>
      <c r="C596" t="s">
        <v>1</v>
      </c>
      <c r="D596" t="str">
        <f>VLOOKUP(A596,Planilha2!B:H,7,0)</f>
        <v>LINHA M3</v>
      </c>
      <c r="E596" s="5">
        <v>1000</v>
      </c>
      <c r="F596" t="str">
        <f>IFERROR(
IF(ISNUMBER(FIND("CFW110",B596)),
VALUE(MID(B596,FIND("CFW110",B596)+6,FIND("T",B596,FIND("CFW110",B596))-(FIND("CFW110",B596)+6))),
IF(ISNUMBER(FIND("D",B596)),
VALUE(SUBSTITUTE(MID(B596,FIND("D",B596)+1,FIND("T",B596,FIND("D",B596))-(FIND("D",B596)+1)),"P",",")),
IF(ISNUMBER(FIND("CFW5",B596)),
VALUE(MID(B596,
IF(ISNUMBER(FIND("F",B596)),FIND("F",B596)+1,FIND("G",B596)+1),
FIND("T",B596)-(IF(ISNUMBER(FIND("F",B596)),FIND("F",B596)+1,FIND("G",B596)+1))
)),
VALUE(MID(B596,FIND("E0",B596)+2,FIND("T",B596,FIND("E0",B596))-(FIND("E0",B596)+2)))
))),"")</f>
        <v/>
      </c>
      <c r="G596">
        <f>IFERROR(
IF(ISNUMBER(FIND("T2",B596)),220,
IF(ISNUMBER(FIND("T4",B596)),440,
IF(ISNUMBER(FIND("T5",B596)),575,
IF(ISNUMBER(FIND("T6",B596)),690,"")))),
"")</f>
        <v>220</v>
      </c>
    </row>
    <row r="597" spans="1:7" x14ac:dyDescent="0.25">
      <c r="A597">
        <v>18289653</v>
      </c>
      <c r="B597" t="str">
        <f>VLOOKUP(A597,Planilha2!B:C,2,0)</f>
        <v>INVERSOR CM500F88P0T2DB20C3G2</v>
      </c>
      <c r="C597" t="s">
        <v>1</v>
      </c>
      <c r="D597" t="str">
        <f>VLOOKUP(A597,Planilha2!B:H,7,0)</f>
        <v>LINHA M3</v>
      </c>
      <c r="E597" s="5">
        <v>1000</v>
      </c>
      <c r="F597" t="str">
        <f>IFERROR(
IF(ISNUMBER(FIND("CFW110",B597)),
VALUE(MID(B597,FIND("CFW110",B597)+6,FIND("T",B597,FIND("CFW110",B597))-(FIND("CFW110",B597)+6))),
IF(ISNUMBER(FIND("D",B597)),
VALUE(SUBSTITUTE(MID(B597,FIND("D",B597)+1,FIND("T",B597,FIND("D",B597))-(FIND("D",B597)+1)),"P",",")),
IF(ISNUMBER(FIND("CFW5",B597)),
VALUE(MID(B597,
IF(ISNUMBER(FIND("F",B597)),FIND("F",B597)+1,FIND("G",B597)+1),
FIND("T",B597)-(IF(ISNUMBER(FIND("F",B597)),FIND("F",B597)+1,FIND("G",B597)+1))
)),
VALUE(MID(B597,FIND("E0",B597)+2,FIND("T",B597,FIND("E0",B597))-(FIND("E0",B597)+2)))
))),"")</f>
        <v/>
      </c>
      <c r="G597">
        <f>IFERROR(
IF(ISNUMBER(FIND("T2",B597)),220,
IF(ISNUMBER(FIND("T4",B597)),440,
IF(ISNUMBER(FIND("T5",B597)),575,
IF(ISNUMBER(FIND("T6",B597)),690,"")))),
"")</f>
        <v>220</v>
      </c>
    </row>
    <row r="598" spans="1:7" x14ac:dyDescent="0.25">
      <c r="A598">
        <v>18289654</v>
      </c>
      <c r="B598" t="str">
        <f>VLOOKUP(A598,Planilha2!B:C,2,0)</f>
        <v>INVERSOR CM500F0105T4DB20G2</v>
      </c>
      <c r="C598" t="s">
        <v>1</v>
      </c>
      <c r="D598" t="str">
        <f>VLOOKUP(A598,Planilha2!B:H,7,0)</f>
        <v>LINHA M3</v>
      </c>
      <c r="E598" s="5">
        <v>1000</v>
      </c>
      <c r="F598" t="str">
        <f>IFERROR(
IF(ISNUMBER(FIND("CFW110",B598)),
VALUE(MID(B598,FIND("CFW110",B598)+6,FIND("T",B598,FIND("CFW110",B598))-(FIND("CFW110",B598)+6))),
IF(ISNUMBER(FIND("D",B598)),
VALUE(SUBSTITUTE(MID(B598,FIND("D",B598)+1,FIND("T",B598,FIND("D",B598))-(FIND("D",B598)+1)),"P",",")),
IF(ISNUMBER(FIND("CFW5",B598)),
VALUE(MID(B598,
IF(ISNUMBER(FIND("F",B598)),FIND("F",B598)+1,FIND("G",B598)+1),
FIND("T",B598)-(IF(ISNUMBER(FIND("F",B598)),FIND("F",B598)+1,FIND("G",B598)+1))
)),
VALUE(MID(B598,FIND("E0",B598)+2,FIND("T",B598,FIND("E0",B598))-(FIND("E0",B598)+2)))
))),"")</f>
        <v/>
      </c>
      <c r="G598">
        <f>IFERROR(
IF(ISNUMBER(FIND("T2",B598)),220,
IF(ISNUMBER(FIND("T4",B598)),440,
IF(ISNUMBER(FIND("T5",B598)),575,
IF(ISNUMBER(FIND("T6",B598)),690,"")))),
"")</f>
        <v>440</v>
      </c>
    </row>
    <row r="599" spans="1:7" x14ac:dyDescent="0.25">
      <c r="A599">
        <v>18289655</v>
      </c>
      <c r="B599" t="str">
        <f>VLOOKUP(A599,Planilha2!B:C,2,0)</f>
        <v>INVERSOR CM500F0105T4DB20C3G2</v>
      </c>
      <c r="C599" t="s">
        <v>1</v>
      </c>
      <c r="D599" t="str">
        <f>VLOOKUP(A599,Planilha2!B:H,7,0)</f>
        <v>LINHA M3</v>
      </c>
      <c r="E599" s="5">
        <v>1000</v>
      </c>
      <c r="F599" t="str">
        <f>IFERROR(
IF(ISNUMBER(FIND("CFW110",B599)),
VALUE(MID(B599,FIND("CFW110",B599)+6,FIND("T",B599,FIND("CFW110",B599))-(FIND("CFW110",B599)+6))),
IF(ISNUMBER(FIND("D",B599)),
VALUE(SUBSTITUTE(MID(B599,FIND("D",B599)+1,FIND("T",B599,FIND("D",B599))-(FIND("D",B599)+1)),"P",",")),
IF(ISNUMBER(FIND("CFW5",B599)),
VALUE(MID(B599,
IF(ISNUMBER(FIND("F",B599)),FIND("F",B599)+1,FIND("G",B599)+1),
FIND("T",B599)-(IF(ISNUMBER(FIND("F",B599)),FIND("F",B599)+1,FIND("G",B599)+1))
)),
VALUE(MID(B599,FIND("E0",B599)+2,FIND("T",B599,FIND("E0",B599))-(FIND("E0",B599)+2)))
))),"")</f>
        <v/>
      </c>
      <c r="G599">
        <f>IFERROR(
IF(ISNUMBER(FIND("T2",B599)),220,
IF(ISNUMBER(FIND("T4",B599)),440,
IF(ISNUMBER(FIND("T5",B599)),575,
IF(ISNUMBER(FIND("T6",B599)),690,"")))),
"")</f>
        <v>440</v>
      </c>
    </row>
    <row r="600" spans="1:7" x14ac:dyDescent="0.25">
      <c r="A600">
        <v>18289656</v>
      </c>
      <c r="B600" t="str">
        <f>VLOOKUP(A600,Planilha2!B:C,2,0)</f>
        <v>INVERSOR CM500F77P0T4DB20G2</v>
      </c>
      <c r="C600" t="s">
        <v>1</v>
      </c>
      <c r="D600" t="str">
        <f>VLOOKUP(A600,Planilha2!B:H,7,0)</f>
        <v>LINHA M3</v>
      </c>
      <c r="E600" s="5">
        <v>1000</v>
      </c>
      <c r="F600" t="str">
        <f>IFERROR(
IF(ISNUMBER(FIND("CFW110",B600)),
VALUE(MID(B600,FIND("CFW110",B600)+6,FIND("T",B600,FIND("CFW110",B600))-(FIND("CFW110",B600)+6))),
IF(ISNUMBER(FIND("D",B600)),
VALUE(SUBSTITUTE(MID(B600,FIND("D",B600)+1,FIND("T",B600,FIND("D",B600))-(FIND("D",B600)+1)),"P",",")),
IF(ISNUMBER(FIND("CFW5",B600)),
VALUE(MID(B600,
IF(ISNUMBER(FIND("F",B600)),FIND("F",B600)+1,FIND("G",B600)+1),
FIND("T",B600)-(IF(ISNUMBER(FIND("F",B600)),FIND("F",B600)+1,FIND("G",B600)+1))
)),
VALUE(MID(B600,FIND("E0",B600)+2,FIND("T",B600,FIND("E0",B600))-(FIND("E0",B600)+2)))
))),"")</f>
        <v/>
      </c>
      <c r="G600">
        <f>IFERROR(
IF(ISNUMBER(FIND("T2",B600)),220,
IF(ISNUMBER(FIND("T4",B600)),440,
IF(ISNUMBER(FIND("T5",B600)),575,
IF(ISNUMBER(FIND("T6",B600)),690,"")))),
"")</f>
        <v>440</v>
      </c>
    </row>
    <row r="601" spans="1:7" x14ac:dyDescent="0.25">
      <c r="A601">
        <v>18289657</v>
      </c>
      <c r="B601" t="str">
        <f>VLOOKUP(A601,Planilha2!B:C,2,0)</f>
        <v>INVERSOR CM500F77P0T4DB20C3G2</v>
      </c>
      <c r="C601" t="s">
        <v>1</v>
      </c>
      <c r="D601" t="str">
        <f>VLOOKUP(A601,Planilha2!B:H,7,0)</f>
        <v>LINHA M3</v>
      </c>
      <c r="E601" s="5">
        <v>1000</v>
      </c>
      <c r="F601" t="str">
        <f>IFERROR(
IF(ISNUMBER(FIND("CFW110",B601)),
VALUE(MID(B601,FIND("CFW110",B601)+6,FIND("T",B601,FIND("CFW110",B601))-(FIND("CFW110",B601)+6))),
IF(ISNUMBER(FIND("D",B601)),
VALUE(SUBSTITUTE(MID(B601,FIND("D",B601)+1,FIND("T",B601,FIND("D",B601))-(FIND("D",B601)+1)),"P",",")),
IF(ISNUMBER(FIND("CFW5",B601)),
VALUE(MID(B601,
IF(ISNUMBER(FIND("F",B601)),FIND("F",B601)+1,FIND("G",B601)+1),
FIND("T",B601)-(IF(ISNUMBER(FIND("F",B601)),FIND("F",B601)+1,FIND("G",B601)+1))
)),
VALUE(MID(B601,FIND("E0",B601)+2,FIND("T",B601,FIND("E0",B601))-(FIND("E0",B601)+2)))
))),"")</f>
        <v/>
      </c>
      <c r="G601">
        <f>IFERROR(
IF(ISNUMBER(FIND("T2",B601)),220,
IF(ISNUMBER(FIND("T4",B601)),440,
IF(ISNUMBER(FIND("T5",B601)),575,
IF(ISNUMBER(FIND("T6",B601)),690,"")))),
"")</f>
        <v>440</v>
      </c>
    </row>
    <row r="602" spans="1:7" x14ac:dyDescent="0.25">
      <c r="A602">
        <v>18289658</v>
      </c>
      <c r="B602" t="str">
        <f>VLOOKUP(A602,Planilha2!B:C,2,0)</f>
        <v>INVERSOR CM500F88P0T4DB20G2</v>
      </c>
      <c r="C602" t="s">
        <v>1</v>
      </c>
      <c r="D602" t="str">
        <f>VLOOKUP(A602,Planilha2!B:H,7,0)</f>
        <v>LINHA M3</v>
      </c>
      <c r="E602" s="5">
        <v>1000</v>
      </c>
      <c r="F602" t="str">
        <f>IFERROR(
IF(ISNUMBER(FIND("CFW110",B602)),
VALUE(MID(B602,FIND("CFW110",B602)+6,FIND("T",B602,FIND("CFW110",B602))-(FIND("CFW110",B602)+6))),
IF(ISNUMBER(FIND("D",B602)),
VALUE(SUBSTITUTE(MID(B602,FIND("D",B602)+1,FIND("T",B602,FIND("D",B602))-(FIND("D",B602)+1)),"P",",")),
IF(ISNUMBER(FIND("CFW5",B602)),
VALUE(MID(B602,
IF(ISNUMBER(FIND("F",B602)),FIND("F",B602)+1,FIND("G",B602)+1),
FIND("T",B602)-(IF(ISNUMBER(FIND("F",B602)),FIND("F",B602)+1,FIND("G",B602)+1))
)),
VALUE(MID(B602,FIND("E0",B602)+2,FIND("T",B602,FIND("E0",B602))-(FIND("E0",B602)+2)))
))),"")</f>
        <v/>
      </c>
      <c r="G602">
        <f>IFERROR(
IF(ISNUMBER(FIND("T2",B602)),220,
IF(ISNUMBER(FIND("T4",B602)),440,
IF(ISNUMBER(FIND("T5",B602)),575,
IF(ISNUMBER(FIND("T6",B602)),690,"")))),
"")</f>
        <v>440</v>
      </c>
    </row>
    <row r="603" spans="1:7" x14ac:dyDescent="0.25">
      <c r="A603">
        <v>18289659</v>
      </c>
      <c r="B603" t="str">
        <f>VLOOKUP(A603,Planilha2!B:C,2,0)</f>
        <v>INVERSOR CM500F88P0T4DB20C3G2</v>
      </c>
      <c r="C603" t="s">
        <v>1</v>
      </c>
      <c r="D603" t="str">
        <f>VLOOKUP(A603,Planilha2!B:H,7,0)</f>
        <v>LINHA M3</v>
      </c>
      <c r="E603" s="5">
        <v>1000</v>
      </c>
      <c r="F603" t="str">
        <f>IFERROR(
IF(ISNUMBER(FIND("CFW110",B603)),
VALUE(MID(B603,FIND("CFW110",B603)+6,FIND("T",B603,FIND("CFW110",B603))-(FIND("CFW110",B603)+6))),
IF(ISNUMBER(FIND("D",B603)),
VALUE(SUBSTITUTE(MID(B603,FIND("D",B603)+1,FIND("T",B603,FIND("D",B603))-(FIND("D",B603)+1)),"P",",")),
IF(ISNUMBER(FIND("CFW5",B603)),
VALUE(MID(B603,
IF(ISNUMBER(FIND("F",B603)),FIND("F",B603)+1,FIND("G",B603)+1),
FIND("T",B603)-(IF(ISNUMBER(FIND("F",B603)),FIND("F",B603)+1,FIND("G",B603)+1))
)),
VALUE(MID(B603,FIND("E0",B603)+2,FIND("T",B603,FIND("E0",B603))-(FIND("E0",B603)+2)))
))),"")</f>
        <v/>
      </c>
      <c r="G603">
        <f>IFERROR(
IF(ISNUMBER(FIND("T2",B603)),220,
IF(ISNUMBER(FIND("T4",B603)),440,
IF(ISNUMBER(FIND("T5",B603)),575,
IF(ISNUMBER(FIND("T6",B603)),690,"")))),
"")</f>
        <v>440</v>
      </c>
    </row>
    <row r="604" spans="1:7" x14ac:dyDescent="0.25">
      <c r="A604">
        <v>18289660</v>
      </c>
      <c r="B604" t="str">
        <f>VLOOKUP(A604,Planilha2!B:C,2,0)</f>
        <v>INVERSOR CM500G0145T2DB20C3G2</v>
      </c>
      <c r="C604" t="s">
        <v>1</v>
      </c>
      <c r="D604" t="str">
        <f>VLOOKUP(A604,Planilha2!B:H,7,0)</f>
        <v>LINHA G1</v>
      </c>
      <c r="E604" s="5">
        <v>1000</v>
      </c>
      <c r="F604" t="str">
        <f>IFERROR(
IF(ISNUMBER(FIND("CFW110",B604)),
VALUE(MID(B604,FIND("CFW110",B604)+6,FIND("T",B604,FIND("CFW110",B604))-(FIND("CFW110",B604)+6))),
IF(ISNUMBER(FIND("D",B604)),
VALUE(SUBSTITUTE(MID(B604,FIND("D",B604)+1,FIND("T",B604,FIND("D",B604))-(FIND("D",B604)+1)),"P",",")),
IF(ISNUMBER(FIND("CFW5",B604)),
VALUE(MID(B604,
IF(ISNUMBER(FIND("F",B604)),FIND("F",B604)+1,FIND("G",B604)+1),
FIND("T",B604)-(IF(ISNUMBER(FIND("F",B604)),FIND("F",B604)+1,FIND("G",B604)+1))
)),
VALUE(MID(B604,FIND("E0",B604)+2,FIND("T",B604,FIND("E0",B604))-(FIND("E0",B604)+2)))
))),"")</f>
        <v/>
      </c>
      <c r="G604">
        <f>IFERROR(
IF(ISNUMBER(FIND("T2",B604)),220,
IF(ISNUMBER(FIND("T4",B604)),440,
IF(ISNUMBER(FIND("T5",B604)),575,
IF(ISNUMBER(FIND("T6",B604)),690,"")))),
"")</f>
        <v>220</v>
      </c>
    </row>
    <row r="605" spans="1:7" x14ac:dyDescent="0.25">
      <c r="A605">
        <v>18289661</v>
      </c>
      <c r="B605" t="str">
        <f>VLOOKUP(A605,Planilha2!B:C,2,0)</f>
        <v>INVERSOR CM500G0145T2NB20C3G2</v>
      </c>
      <c r="C605" t="s">
        <v>1</v>
      </c>
      <c r="D605" t="str">
        <f>VLOOKUP(A605,Planilha2!B:H,7,0)</f>
        <v>LINHA G1</v>
      </c>
      <c r="E605" s="5">
        <v>1000</v>
      </c>
      <c r="F605" t="str">
        <f>IFERROR(
IF(ISNUMBER(FIND("CFW110",B605)),
VALUE(MID(B605,FIND("CFW110",B605)+6,FIND("T",B605,FIND("CFW110",B605))-(FIND("CFW110",B605)+6))),
IF(ISNUMBER(FIND("D",B605)),
VALUE(SUBSTITUTE(MID(B605,FIND("D",B605)+1,FIND("T",B605,FIND("D",B605))-(FIND("D",B605)+1)),"P",",")),
IF(ISNUMBER(FIND("CFW5",B605)),
VALUE(MID(B605,
IF(ISNUMBER(FIND("F",B605)),FIND("F",B605)+1,FIND("G",B605)+1),
FIND("T",B605)-(IF(ISNUMBER(FIND("F",B605)),FIND("F",B605)+1,FIND("G",B605)+1))
)),
VALUE(MID(B605,FIND("E0",B605)+2,FIND("T",B605,FIND("E0",B605))-(FIND("E0",B605)+2)))
))),"")</f>
        <v/>
      </c>
      <c r="G605">
        <f>IFERROR(
IF(ISNUMBER(FIND("T2",B605)),220,
IF(ISNUMBER(FIND("T4",B605)),440,
IF(ISNUMBER(FIND("T5",B605)),575,
IF(ISNUMBER(FIND("T6",B605)),690,"")))),
"")</f>
        <v>220</v>
      </c>
    </row>
    <row r="606" spans="1:7" x14ac:dyDescent="0.25">
      <c r="A606">
        <v>18289663</v>
      </c>
      <c r="B606" t="str">
        <f>VLOOKUP(A606,Planilha2!B:C,2,0)</f>
        <v>INVERSOR CM500G0145T2DB20G2</v>
      </c>
      <c r="C606" t="s">
        <v>1</v>
      </c>
      <c r="D606" t="str">
        <f>VLOOKUP(A606,Planilha2!B:H,7,0)</f>
        <v>LINHA G1</v>
      </c>
      <c r="E606" s="5">
        <v>1000</v>
      </c>
      <c r="F606" t="str">
        <f>IFERROR(
IF(ISNUMBER(FIND("CFW110",B606)),
VALUE(MID(B606,FIND("CFW110",B606)+6,FIND("T",B606,FIND("CFW110",B606))-(FIND("CFW110",B606)+6))),
IF(ISNUMBER(FIND("D",B606)),
VALUE(SUBSTITUTE(MID(B606,FIND("D",B606)+1,FIND("T",B606,FIND("D",B606))-(FIND("D",B606)+1)),"P",",")),
IF(ISNUMBER(FIND("CFW5",B606)),
VALUE(MID(B606,
IF(ISNUMBER(FIND("F",B606)),FIND("F",B606)+1,FIND("G",B606)+1),
FIND("T",B606)-(IF(ISNUMBER(FIND("F",B606)),FIND("F",B606)+1,FIND("G",B606)+1))
)),
VALUE(MID(B606,FIND("E0",B606)+2,FIND("T",B606,FIND("E0",B606))-(FIND("E0",B606)+2)))
))),"")</f>
        <v/>
      </c>
      <c r="G606">
        <f>IFERROR(
IF(ISNUMBER(FIND("T2",B606)),220,
IF(ISNUMBER(FIND("T4",B606)),440,
IF(ISNUMBER(FIND("T5",B606)),575,
IF(ISNUMBER(FIND("T6",B606)),690,"")))),
"")</f>
        <v>220</v>
      </c>
    </row>
    <row r="607" spans="1:7" x14ac:dyDescent="0.25">
      <c r="A607">
        <v>18289664</v>
      </c>
      <c r="B607" t="str">
        <f>VLOOKUP(A607,Planilha2!B:C,2,0)</f>
        <v>INVERSOR CM500G0145T2NB20G2</v>
      </c>
      <c r="C607" t="s">
        <v>1</v>
      </c>
      <c r="D607" t="str">
        <f>VLOOKUP(A607,Planilha2!B:H,7,0)</f>
        <v>LINHA G1</v>
      </c>
      <c r="E607" s="5">
        <v>1000</v>
      </c>
      <c r="F607" t="str">
        <f>IFERROR(
IF(ISNUMBER(FIND("CFW110",B607)),
VALUE(MID(B607,FIND("CFW110",B607)+6,FIND("T",B607,FIND("CFW110",B607))-(FIND("CFW110",B607)+6))),
IF(ISNUMBER(FIND("D",B607)),
VALUE(SUBSTITUTE(MID(B607,FIND("D",B607)+1,FIND("T",B607,FIND("D",B607))-(FIND("D",B607)+1)),"P",",")),
IF(ISNUMBER(FIND("CFW5",B607)),
VALUE(MID(B607,
IF(ISNUMBER(FIND("F",B607)),FIND("F",B607)+1,FIND("G",B607)+1),
FIND("T",B607)-(IF(ISNUMBER(FIND("F",B607)),FIND("F",B607)+1,FIND("G",B607)+1))
)),
VALUE(MID(B607,FIND("E0",B607)+2,FIND("T",B607,FIND("E0",B607))-(FIND("E0",B607)+2)))
))),"")</f>
        <v/>
      </c>
      <c r="G607">
        <f>IFERROR(
IF(ISNUMBER(FIND("T2",B607)),220,
IF(ISNUMBER(FIND("T4",B607)),440,
IF(ISNUMBER(FIND("T5",B607)),575,
IF(ISNUMBER(FIND("T6",B607)),690,"")))),
"")</f>
        <v>220</v>
      </c>
    </row>
    <row r="608" spans="1:7" x14ac:dyDescent="0.25">
      <c r="A608">
        <v>18289665</v>
      </c>
      <c r="B608" t="str">
        <f>VLOOKUP(A608,Planilha2!B:C,2,0)</f>
        <v>INVERSOR CM500G0180T2DB20C3G2</v>
      </c>
      <c r="C608" t="s">
        <v>1</v>
      </c>
      <c r="D608" t="str">
        <f>VLOOKUP(A608,Planilha2!B:H,7,0)</f>
        <v>LINHA G1</v>
      </c>
      <c r="E608" s="5">
        <v>1000</v>
      </c>
      <c r="F608" t="str">
        <f>IFERROR(
IF(ISNUMBER(FIND("CFW110",B608)),
VALUE(MID(B608,FIND("CFW110",B608)+6,FIND("T",B608,FIND("CFW110",B608))-(FIND("CFW110",B608)+6))),
IF(ISNUMBER(FIND("D",B608)),
VALUE(SUBSTITUTE(MID(B608,FIND("D",B608)+1,FIND("T",B608,FIND("D",B608))-(FIND("D",B608)+1)),"P",",")),
IF(ISNUMBER(FIND("CFW5",B608)),
VALUE(MID(B608,
IF(ISNUMBER(FIND("F",B608)),FIND("F",B608)+1,FIND("G",B608)+1),
FIND("T",B608)-(IF(ISNUMBER(FIND("F",B608)),FIND("F",B608)+1,FIND("G",B608)+1))
)),
VALUE(MID(B608,FIND("E0",B608)+2,FIND("T",B608,FIND("E0",B608))-(FIND("E0",B608)+2)))
))),"")</f>
        <v/>
      </c>
      <c r="G608">
        <f>IFERROR(
IF(ISNUMBER(FIND("T2",B608)),220,
IF(ISNUMBER(FIND("T4",B608)),440,
IF(ISNUMBER(FIND("T5",B608)),575,
IF(ISNUMBER(FIND("T6",B608)),690,"")))),
"")</f>
        <v>220</v>
      </c>
    </row>
    <row r="609" spans="1:7" x14ac:dyDescent="0.25">
      <c r="A609">
        <v>18289666</v>
      </c>
      <c r="B609" t="str">
        <f>VLOOKUP(A609,Planilha2!B:C,2,0)</f>
        <v>INVERSOR CM500G0180T2NB20C3G2</v>
      </c>
      <c r="C609" t="s">
        <v>1</v>
      </c>
      <c r="D609" t="str">
        <f>VLOOKUP(A609,Planilha2!B:H,7,0)</f>
        <v>LINHA G1</v>
      </c>
      <c r="E609" s="5">
        <v>1000</v>
      </c>
      <c r="F609" t="str">
        <f>IFERROR(
IF(ISNUMBER(FIND("CFW110",B609)),
VALUE(MID(B609,FIND("CFW110",B609)+6,FIND("T",B609,FIND("CFW110",B609))-(FIND("CFW110",B609)+6))),
IF(ISNUMBER(FIND("D",B609)),
VALUE(SUBSTITUTE(MID(B609,FIND("D",B609)+1,FIND("T",B609,FIND("D",B609))-(FIND("D",B609)+1)),"P",",")),
IF(ISNUMBER(FIND("CFW5",B609)),
VALUE(MID(B609,
IF(ISNUMBER(FIND("F",B609)),FIND("F",B609)+1,FIND("G",B609)+1),
FIND("T",B609)-(IF(ISNUMBER(FIND("F",B609)),FIND("F",B609)+1,FIND("G",B609)+1))
)),
VALUE(MID(B609,FIND("E0",B609)+2,FIND("T",B609,FIND("E0",B609))-(FIND("E0",B609)+2)))
))),"")</f>
        <v/>
      </c>
      <c r="G609">
        <f>IFERROR(
IF(ISNUMBER(FIND("T2",B609)),220,
IF(ISNUMBER(FIND("T4",B609)),440,
IF(ISNUMBER(FIND("T5",B609)),575,
IF(ISNUMBER(FIND("T6",B609)),690,"")))),
"")</f>
        <v>220</v>
      </c>
    </row>
    <row r="610" spans="1:7" x14ac:dyDescent="0.25">
      <c r="A610">
        <v>18289667</v>
      </c>
      <c r="B610" t="str">
        <f>VLOOKUP(A610,Planilha2!B:C,2,0)</f>
        <v>INVERSOR CM500G0180T2DB20G2</v>
      </c>
      <c r="C610" t="s">
        <v>1</v>
      </c>
      <c r="D610" t="str">
        <f>VLOOKUP(A610,Planilha2!B:H,7,0)</f>
        <v>LINHA G1</v>
      </c>
      <c r="E610" s="5">
        <v>1000</v>
      </c>
      <c r="F610" t="str">
        <f>IFERROR(
IF(ISNUMBER(FIND("CFW110",B610)),
VALUE(MID(B610,FIND("CFW110",B610)+6,FIND("T",B610,FIND("CFW110",B610))-(FIND("CFW110",B610)+6))),
IF(ISNUMBER(FIND("D",B610)),
VALUE(SUBSTITUTE(MID(B610,FIND("D",B610)+1,FIND("T",B610,FIND("D",B610))-(FIND("D",B610)+1)),"P",",")),
IF(ISNUMBER(FIND("CFW5",B610)),
VALUE(MID(B610,
IF(ISNUMBER(FIND("F",B610)),FIND("F",B610)+1,FIND("G",B610)+1),
FIND("T",B610)-(IF(ISNUMBER(FIND("F",B610)),FIND("F",B610)+1,FIND("G",B610)+1))
)),
VALUE(MID(B610,FIND("E0",B610)+2,FIND("T",B610,FIND("E0",B610))-(FIND("E0",B610)+2)))
))),"")</f>
        <v/>
      </c>
      <c r="G610">
        <f>IFERROR(
IF(ISNUMBER(FIND("T2",B610)),220,
IF(ISNUMBER(FIND("T4",B610)),440,
IF(ISNUMBER(FIND("T5",B610)),575,
IF(ISNUMBER(FIND("T6",B610)),690,"")))),
"")</f>
        <v>220</v>
      </c>
    </row>
    <row r="611" spans="1:7" x14ac:dyDescent="0.25">
      <c r="A611">
        <v>18289678</v>
      </c>
      <c r="B611" t="str">
        <f>VLOOKUP(A611,Planilha2!B:C,2,0)</f>
        <v>INVERSOR CM500G0180T2NB20G2</v>
      </c>
      <c r="C611" t="s">
        <v>1</v>
      </c>
      <c r="D611" t="str">
        <f>VLOOKUP(A611,Planilha2!B:H,7,0)</f>
        <v>LINHA G1</v>
      </c>
      <c r="E611" s="5">
        <v>1000</v>
      </c>
      <c r="F611" t="str">
        <f>IFERROR(
IF(ISNUMBER(FIND("CFW110",B611)),
VALUE(MID(B611,FIND("CFW110",B611)+6,FIND("T",B611,FIND("CFW110",B611))-(FIND("CFW110",B611)+6))),
IF(ISNUMBER(FIND("D",B611)),
VALUE(SUBSTITUTE(MID(B611,FIND("D",B611)+1,FIND("T",B611,FIND("D",B611))-(FIND("D",B611)+1)),"P",",")),
IF(ISNUMBER(FIND("CFW5",B611)),
VALUE(MID(B611,
IF(ISNUMBER(FIND("F",B611)),FIND("F",B611)+1,FIND("G",B611)+1),
FIND("T",B611)-(IF(ISNUMBER(FIND("F",B611)),FIND("F",B611)+1,FIND("G",B611)+1))
)),
VALUE(MID(B611,FIND("E0",B611)+2,FIND("T",B611,FIND("E0",B611))-(FIND("E0",B611)+2)))
))),"")</f>
        <v/>
      </c>
      <c r="G611">
        <f>IFERROR(
IF(ISNUMBER(FIND("T2",B611)),220,
IF(ISNUMBER(FIND("T4",B611)),440,
IF(ISNUMBER(FIND("T5",B611)),575,
IF(ISNUMBER(FIND("T6",B611)),690,"")))),
"")</f>
        <v>220</v>
      </c>
    </row>
    <row r="612" spans="1:7" x14ac:dyDescent="0.25">
      <c r="A612">
        <v>18289679</v>
      </c>
      <c r="B612" t="str">
        <f>VLOOKUP(A612,Planilha2!B:C,2,0)</f>
        <v>INVERSOR CM500G0211T2DB20C3G2</v>
      </c>
      <c r="C612" t="s">
        <v>1</v>
      </c>
      <c r="D612" t="str">
        <f>VLOOKUP(A612,Planilha2!B:H,7,0)</f>
        <v>LINHA G1</v>
      </c>
      <c r="E612" s="5">
        <v>1000</v>
      </c>
      <c r="F612" t="str">
        <f>IFERROR(
IF(ISNUMBER(FIND("CFW110",B612)),
VALUE(MID(B612,FIND("CFW110",B612)+6,FIND("T",B612,FIND("CFW110",B612))-(FIND("CFW110",B612)+6))),
IF(ISNUMBER(FIND("D",B612)),
VALUE(SUBSTITUTE(MID(B612,FIND("D",B612)+1,FIND("T",B612,FIND("D",B612))-(FIND("D",B612)+1)),"P",",")),
IF(ISNUMBER(FIND("CFW5",B612)),
VALUE(MID(B612,
IF(ISNUMBER(FIND("F",B612)),FIND("F",B612)+1,FIND("G",B612)+1),
FIND("T",B612)-(IF(ISNUMBER(FIND("F",B612)),FIND("F",B612)+1,FIND("G",B612)+1))
)),
VALUE(MID(B612,FIND("E0",B612)+2,FIND("T",B612,FIND("E0",B612))-(FIND("E0",B612)+2)))
))),"")</f>
        <v/>
      </c>
      <c r="G612">
        <f>IFERROR(
IF(ISNUMBER(FIND("T2",B612)),220,
IF(ISNUMBER(FIND("T4",B612)),440,
IF(ISNUMBER(FIND("T5",B612)),575,
IF(ISNUMBER(FIND("T6",B612)),690,"")))),
"")</f>
        <v>220</v>
      </c>
    </row>
    <row r="613" spans="1:7" x14ac:dyDescent="0.25">
      <c r="A613">
        <v>18289680</v>
      </c>
      <c r="B613" t="str">
        <f>VLOOKUP(A613,Planilha2!B:C,2,0)</f>
        <v>INVERSOR CM500G0211T2NB20C3G2</v>
      </c>
      <c r="C613" t="s">
        <v>1</v>
      </c>
      <c r="D613" t="str">
        <f>VLOOKUP(A613,Planilha2!B:H,7,0)</f>
        <v>LINHA G1</v>
      </c>
      <c r="E613" s="5">
        <v>1000</v>
      </c>
      <c r="F613" t="str">
        <f>IFERROR(
IF(ISNUMBER(FIND("CFW110",B613)),
VALUE(MID(B613,FIND("CFW110",B613)+6,FIND("T",B613,FIND("CFW110",B613))-(FIND("CFW110",B613)+6))),
IF(ISNUMBER(FIND("D",B613)),
VALUE(SUBSTITUTE(MID(B613,FIND("D",B613)+1,FIND("T",B613,FIND("D",B613))-(FIND("D",B613)+1)),"P",",")),
IF(ISNUMBER(FIND("CFW5",B613)),
VALUE(MID(B613,
IF(ISNUMBER(FIND("F",B613)),FIND("F",B613)+1,FIND("G",B613)+1),
FIND("T",B613)-(IF(ISNUMBER(FIND("F",B613)),FIND("F",B613)+1,FIND("G",B613)+1))
)),
VALUE(MID(B613,FIND("E0",B613)+2,FIND("T",B613,FIND("E0",B613))-(FIND("E0",B613)+2)))
))),"")</f>
        <v/>
      </c>
      <c r="G613">
        <f>IFERROR(
IF(ISNUMBER(FIND("T2",B613)),220,
IF(ISNUMBER(FIND("T4",B613)),440,
IF(ISNUMBER(FIND("T5",B613)),575,
IF(ISNUMBER(FIND("T6",B613)),690,"")))),
"")</f>
        <v>220</v>
      </c>
    </row>
    <row r="614" spans="1:7" x14ac:dyDescent="0.25">
      <c r="A614">
        <v>18289681</v>
      </c>
      <c r="B614" t="str">
        <f>VLOOKUP(A614,Planilha2!B:C,2,0)</f>
        <v>INVERSOR CM500G0211T2DB20G2</v>
      </c>
      <c r="C614" t="s">
        <v>1</v>
      </c>
      <c r="D614" t="str">
        <f>VLOOKUP(A614,Planilha2!B:H,7,0)</f>
        <v>LINHA G1</v>
      </c>
      <c r="E614" s="5">
        <v>1000</v>
      </c>
      <c r="F614" t="str">
        <f>IFERROR(
IF(ISNUMBER(FIND("CFW110",B614)),
VALUE(MID(B614,FIND("CFW110",B614)+6,FIND("T",B614,FIND("CFW110",B614))-(FIND("CFW110",B614)+6))),
IF(ISNUMBER(FIND("D",B614)),
VALUE(SUBSTITUTE(MID(B614,FIND("D",B614)+1,FIND("T",B614,FIND("D",B614))-(FIND("D",B614)+1)),"P",",")),
IF(ISNUMBER(FIND("CFW5",B614)),
VALUE(MID(B614,
IF(ISNUMBER(FIND("F",B614)),FIND("F",B614)+1,FIND("G",B614)+1),
FIND("T",B614)-(IF(ISNUMBER(FIND("F",B614)),FIND("F",B614)+1,FIND("G",B614)+1))
)),
VALUE(MID(B614,FIND("E0",B614)+2,FIND("T",B614,FIND("E0",B614))-(FIND("E0",B614)+2)))
))),"")</f>
        <v/>
      </c>
      <c r="G614">
        <f>IFERROR(
IF(ISNUMBER(FIND("T2",B614)),220,
IF(ISNUMBER(FIND("T4",B614)),440,
IF(ISNUMBER(FIND("T5",B614)),575,
IF(ISNUMBER(FIND("T6",B614)),690,"")))),
"")</f>
        <v>220</v>
      </c>
    </row>
    <row r="615" spans="1:7" x14ac:dyDescent="0.25">
      <c r="A615">
        <v>18289682</v>
      </c>
      <c r="B615" t="str">
        <f>VLOOKUP(A615,Planilha2!B:C,2,0)</f>
        <v>INVERSOR CM500G0211T2NB20G2</v>
      </c>
      <c r="C615" t="s">
        <v>1</v>
      </c>
      <c r="D615" t="str">
        <f>VLOOKUP(A615,Planilha2!B:H,7,0)</f>
        <v>LINHA G1</v>
      </c>
      <c r="E615" s="5">
        <v>1000</v>
      </c>
      <c r="F615" t="str">
        <f>IFERROR(
IF(ISNUMBER(FIND("CFW110",B615)),
VALUE(MID(B615,FIND("CFW110",B615)+6,FIND("T",B615,FIND("CFW110",B615))-(FIND("CFW110",B615)+6))),
IF(ISNUMBER(FIND("D",B615)),
VALUE(SUBSTITUTE(MID(B615,FIND("D",B615)+1,FIND("T",B615,FIND("D",B615))-(FIND("D",B615)+1)),"P",",")),
IF(ISNUMBER(FIND("CFW5",B615)),
VALUE(MID(B615,
IF(ISNUMBER(FIND("F",B615)),FIND("F",B615)+1,FIND("G",B615)+1),
FIND("T",B615)-(IF(ISNUMBER(FIND("F",B615)),FIND("F",B615)+1,FIND("G",B615)+1))
)),
VALUE(MID(B615,FIND("E0",B615)+2,FIND("T",B615,FIND("E0",B615))-(FIND("E0",B615)+2)))
))),"")</f>
        <v/>
      </c>
      <c r="G615">
        <f>IFERROR(
IF(ISNUMBER(FIND("T2",B615)),220,
IF(ISNUMBER(FIND("T4",B615)),440,
IF(ISNUMBER(FIND("T5",B615)),575,
IF(ISNUMBER(FIND("T6",B615)),690,"")))),
"")</f>
        <v>220</v>
      </c>
    </row>
    <row r="616" spans="1:7" x14ac:dyDescent="0.25">
      <c r="A616">
        <v>18289683</v>
      </c>
      <c r="B616" t="str">
        <f>VLOOKUP(A616,Planilha2!B:C,2,0)</f>
        <v>INVERSOR CM500G0142T4DB20C3G2</v>
      </c>
      <c r="C616" t="s">
        <v>1</v>
      </c>
      <c r="D616" t="str">
        <f>VLOOKUP(A616,Planilha2!B:H,7,0)</f>
        <v>LINHA G1</v>
      </c>
      <c r="E616" s="5">
        <v>1000</v>
      </c>
      <c r="F616" t="str">
        <f>IFERROR(
IF(ISNUMBER(FIND("CFW110",B616)),
VALUE(MID(B616,FIND("CFW110",B616)+6,FIND("T",B616,FIND("CFW110",B616))-(FIND("CFW110",B616)+6))),
IF(ISNUMBER(FIND("D",B616)),
VALUE(SUBSTITUTE(MID(B616,FIND("D",B616)+1,FIND("T",B616,FIND("D",B616))-(FIND("D",B616)+1)),"P",",")),
IF(ISNUMBER(FIND("CFW5",B616)),
VALUE(MID(B616,
IF(ISNUMBER(FIND("F",B616)),FIND("F",B616)+1,FIND("G",B616)+1),
FIND("T",B616)-(IF(ISNUMBER(FIND("F",B616)),FIND("F",B616)+1,FIND("G",B616)+1))
)),
VALUE(MID(B616,FIND("E0",B616)+2,FIND("T",B616,FIND("E0",B616))-(FIND("E0",B616)+2)))
))),"")</f>
        <v/>
      </c>
      <c r="G616">
        <f>IFERROR(
IF(ISNUMBER(FIND("T2",B616)),220,
IF(ISNUMBER(FIND("T4",B616)),440,
IF(ISNUMBER(FIND("T5",B616)),575,
IF(ISNUMBER(FIND("T6",B616)),690,"")))),
"")</f>
        <v>440</v>
      </c>
    </row>
    <row r="617" spans="1:7" x14ac:dyDescent="0.25">
      <c r="A617">
        <v>18289684</v>
      </c>
      <c r="B617" t="str">
        <f>VLOOKUP(A617,Planilha2!B:C,2,0)</f>
        <v>INVERSOR CM500G0142T4NB20C3G2</v>
      </c>
      <c r="C617" t="s">
        <v>1</v>
      </c>
      <c r="D617" t="str">
        <f>VLOOKUP(A617,Planilha2!B:H,7,0)</f>
        <v>LINHA G1</v>
      </c>
      <c r="E617" s="5">
        <v>1000</v>
      </c>
      <c r="F617" t="str">
        <f>IFERROR(
IF(ISNUMBER(FIND("CFW110",B617)),
VALUE(MID(B617,FIND("CFW110",B617)+6,FIND("T",B617,FIND("CFW110",B617))-(FIND("CFW110",B617)+6))),
IF(ISNUMBER(FIND("D",B617)),
VALUE(SUBSTITUTE(MID(B617,FIND("D",B617)+1,FIND("T",B617,FIND("D",B617))-(FIND("D",B617)+1)),"P",",")),
IF(ISNUMBER(FIND("CFW5",B617)),
VALUE(MID(B617,
IF(ISNUMBER(FIND("F",B617)),FIND("F",B617)+1,FIND("G",B617)+1),
FIND("T",B617)-(IF(ISNUMBER(FIND("F",B617)),FIND("F",B617)+1,FIND("G",B617)+1))
)),
VALUE(MID(B617,FIND("E0",B617)+2,FIND("T",B617,FIND("E0",B617))-(FIND("E0",B617)+2)))
))),"")</f>
        <v/>
      </c>
      <c r="G617">
        <f>IFERROR(
IF(ISNUMBER(FIND("T2",B617)),220,
IF(ISNUMBER(FIND("T4",B617)),440,
IF(ISNUMBER(FIND("T5",B617)),575,
IF(ISNUMBER(FIND("T6",B617)),690,"")))),
"")</f>
        <v>440</v>
      </c>
    </row>
    <row r="618" spans="1:7" x14ac:dyDescent="0.25">
      <c r="A618">
        <v>18289685</v>
      </c>
      <c r="B618" t="str">
        <f>VLOOKUP(A618,Planilha2!B:C,2,0)</f>
        <v>INVERSOR CM500G0142T4DB20G2</v>
      </c>
      <c r="C618" t="s">
        <v>1</v>
      </c>
      <c r="D618" t="str">
        <f>VLOOKUP(A618,Planilha2!B:H,7,0)</f>
        <v>LINHA G1</v>
      </c>
      <c r="E618" s="5">
        <v>1000</v>
      </c>
      <c r="F618" t="str">
        <f>IFERROR(
IF(ISNUMBER(FIND("CFW110",B618)),
VALUE(MID(B618,FIND("CFW110",B618)+6,FIND("T",B618,FIND("CFW110",B618))-(FIND("CFW110",B618)+6))),
IF(ISNUMBER(FIND("D",B618)),
VALUE(SUBSTITUTE(MID(B618,FIND("D",B618)+1,FIND("T",B618,FIND("D",B618))-(FIND("D",B618)+1)),"P",",")),
IF(ISNUMBER(FIND("CFW5",B618)),
VALUE(MID(B618,
IF(ISNUMBER(FIND("F",B618)),FIND("F",B618)+1,FIND("G",B618)+1),
FIND("T",B618)-(IF(ISNUMBER(FIND("F",B618)),FIND("F",B618)+1,FIND("G",B618)+1))
)),
VALUE(MID(B618,FIND("E0",B618)+2,FIND("T",B618,FIND("E0",B618))-(FIND("E0",B618)+2)))
))),"")</f>
        <v/>
      </c>
      <c r="G618">
        <f>IFERROR(
IF(ISNUMBER(FIND("T2",B618)),220,
IF(ISNUMBER(FIND("T4",B618)),440,
IF(ISNUMBER(FIND("T5",B618)),575,
IF(ISNUMBER(FIND("T6",B618)),690,"")))),
"")</f>
        <v>440</v>
      </c>
    </row>
    <row r="619" spans="1:7" x14ac:dyDescent="0.25">
      <c r="A619">
        <v>18289686</v>
      </c>
      <c r="B619" t="str">
        <f>VLOOKUP(A619,Planilha2!B:C,2,0)</f>
        <v>INVERSOR CM500G0142T4NB20G2</v>
      </c>
      <c r="C619" t="s">
        <v>1</v>
      </c>
      <c r="D619" t="str">
        <f>VLOOKUP(A619,Planilha2!B:H,7,0)</f>
        <v>LINHA G1</v>
      </c>
      <c r="E619" s="5">
        <v>1000</v>
      </c>
      <c r="F619" t="str">
        <f>IFERROR(
IF(ISNUMBER(FIND("CFW110",B619)),
VALUE(MID(B619,FIND("CFW110",B619)+6,FIND("T",B619,FIND("CFW110",B619))-(FIND("CFW110",B619)+6))),
IF(ISNUMBER(FIND("D",B619)),
VALUE(SUBSTITUTE(MID(B619,FIND("D",B619)+1,FIND("T",B619,FIND("D",B619))-(FIND("D",B619)+1)),"P",",")),
IF(ISNUMBER(FIND("CFW5",B619)),
VALUE(MID(B619,
IF(ISNUMBER(FIND("F",B619)),FIND("F",B619)+1,FIND("G",B619)+1),
FIND("T",B619)-(IF(ISNUMBER(FIND("F",B619)),FIND("F",B619)+1,FIND("G",B619)+1))
)),
VALUE(MID(B619,FIND("E0",B619)+2,FIND("T",B619,FIND("E0",B619))-(FIND("E0",B619)+2)))
))),"")</f>
        <v/>
      </c>
      <c r="G619">
        <f>IFERROR(
IF(ISNUMBER(FIND("T2",B619)),220,
IF(ISNUMBER(FIND("T4",B619)),440,
IF(ISNUMBER(FIND("T5",B619)),575,
IF(ISNUMBER(FIND("T6",B619)),690,"")))),
"")</f>
        <v>440</v>
      </c>
    </row>
    <row r="620" spans="1:7" x14ac:dyDescent="0.25">
      <c r="A620">
        <v>18289687</v>
      </c>
      <c r="B620" t="str">
        <f>VLOOKUP(A620,Planilha2!B:C,2,0)</f>
        <v>INVERSOR CM500G0180T4DB20C3G2</v>
      </c>
      <c r="C620" t="s">
        <v>1</v>
      </c>
      <c r="D620" t="str">
        <f>VLOOKUP(A620,Planilha2!B:H,7,0)</f>
        <v>LINHA G1</v>
      </c>
      <c r="E620" s="5">
        <v>1000</v>
      </c>
      <c r="F620" t="str">
        <f>IFERROR(
IF(ISNUMBER(FIND("CFW110",B620)),
VALUE(MID(B620,FIND("CFW110",B620)+6,FIND("T",B620,FIND("CFW110",B620))-(FIND("CFW110",B620)+6))),
IF(ISNUMBER(FIND("D",B620)),
VALUE(SUBSTITUTE(MID(B620,FIND("D",B620)+1,FIND("T",B620,FIND("D",B620))-(FIND("D",B620)+1)),"P",",")),
IF(ISNUMBER(FIND("CFW5",B620)),
VALUE(MID(B620,
IF(ISNUMBER(FIND("F",B620)),FIND("F",B620)+1,FIND("G",B620)+1),
FIND("T",B620)-(IF(ISNUMBER(FIND("F",B620)),FIND("F",B620)+1,FIND("G",B620)+1))
)),
VALUE(MID(B620,FIND("E0",B620)+2,FIND("T",B620,FIND("E0",B620))-(FIND("E0",B620)+2)))
))),"")</f>
        <v/>
      </c>
      <c r="G620">
        <f>IFERROR(
IF(ISNUMBER(FIND("T2",B620)),220,
IF(ISNUMBER(FIND("T4",B620)),440,
IF(ISNUMBER(FIND("T5",B620)),575,
IF(ISNUMBER(FIND("T6",B620)),690,"")))),
"")</f>
        <v>440</v>
      </c>
    </row>
    <row r="621" spans="1:7" x14ac:dyDescent="0.25">
      <c r="A621">
        <v>18289698</v>
      </c>
      <c r="B621" t="str">
        <f>VLOOKUP(A621,Planilha2!B:C,2,0)</f>
        <v>INVERSOR CM500G0180T4NB20C3G2</v>
      </c>
      <c r="C621" t="s">
        <v>1</v>
      </c>
      <c r="D621" t="str">
        <f>VLOOKUP(A621,Planilha2!B:H,7,0)</f>
        <v>LINHA G1</v>
      </c>
      <c r="E621" s="5">
        <v>1000</v>
      </c>
      <c r="F621" t="str">
        <f>IFERROR(
IF(ISNUMBER(FIND("CFW110",B621)),
VALUE(MID(B621,FIND("CFW110",B621)+6,FIND("T",B621,FIND("CFW110",B621))-(FIND("CFW110",B621)+6))),
IF(ISNUMBER(FIND("D",B621)),
VALUE(SUBSTITUTE(MID(B621,FIND("D",B621)+1,FIND("T",B621,FIND("D",B621))-(FIND("D",B621)+1)),"P",",")),
IF(ISNUMBER(FIND("CFW5",B621)),
VALUE(MID(B621,
IF(ISNUMBER(FIND("F",B621)),FIND("F",B621)+1,FIND("G",B621)+1),
FIND("T",B621)-(IF(ISNUMBER(FIND("F",B621)),FIND("F",B621)+1,FIND("G",B621)+1))
)),
VALUE(MID(B621,FIND("E0",B621)+2,FIND("T",B621,FIND("E0",B621))-(FIND("E0",B621)+2)))
))),"")</f>
        <v/>
      </c>
      <c r="G621">
        <f>IFERROR(
IF(ISNUMBER(FIND("T2",B621)),220,
IF(ISNUMBER(FIND("T4",B621)),440,
IF(ISNUMBER(FIND("T5",B621)),575,
IF(ISNUMBER(FIND("T6",B621)),690,"")))),
"")</f>
        <v>440</v>
      </c>
    </row>
    <row r="622" spans="1:7" x14ac:dyDescent="0.25">
      <c r="A622">
        <v>18289699</v>
      </c>
      <c r="B622" t="str">
        <f>VLOOKUP(A622,Planilha2!B:C,2,0)</f>
        <v>INVERSOR CM500G0180T4DB20G2</v>
      </c>
      <c r="C622" t="s">
        <v>1</v>
      </c>
      <c r="D622" t="str">
        <f>VLOOKUP(A622,Planilha2!B:H,7,0)</f>
        <v>LINHA G1</v>
      </c>
      <c r="E622" s="5">
        <v>1000</v>
      </c>
      <c r="F622" t="str">
        <f>IFERROR(
IF(ISNUMBER(FIND("CFW110",B622)),
VALUE(MID(B622,FIND("CFW110",B622)+6,FIND("T",B622,FIND("CFW110",B622))-(FIND("CFW110",B622)+6))),
IF(ISNUMBER(FIND("D",B622)),
VALUE(SUBSTITUTE(MID(B622,FIND("D",B622)+1,FIND("T",B622,FIND("D",B622))-(FIND("D",B622)+1)),"P",",")),
IF(ISNUMBER(FIND("CFW5",B622)),
VALUE(MID(B622,
IF(ISNUMBER(FIND("F",B622)),FIND("F",B622)+1,FIND("G",B622)+1),
FIND("T",B622)-(IF(ISNUMBER(FIND("F",B622)),FIND("F",B622)+1,FIND("G",B622)+1))
)),
VALUE(MID(B622,FIND("E0",B622)+2,FIND("T",B622,FIND("E0",B622))-(FIND("E0",B622)+2)))
))),"")</f>
        <v/>
      </c>
      <c r="G622">
        <f>IFERROR(
IF(ISNUMBER(FIND("T2",B622)),220,
IF(ISNUMBER(FIND("T4",B622)),440,
IF(ISNUMBER(FIND("T5",B622)),575,
IF(ISNUMBER(FIND("T6",B622)),690,"")))),
"")</f>
        <v>440</v>
      </c>
    </row>
    <row r="623" spans="1:7" x14ac:dyDescent="0.25">
      <c r="A623">
        <v>18289700</v>
      </c>
      <c r="B623" t="str">
        <f>VLOOKUP(A623,Planilha2!B:C,2,0)</f>
        <v>INVERSOR CM500G0180T4NB20G2</v>
      </c>
      <c r="C623" t="s">
        <v>1</v>
      </c>
      <c r="D623" t="str">
        <f>VLOOKUP(A623,Planilha2!B:H,7,0)</f>
        <v>LINHA G1</v>
      </c>
      <c r="E623" s="5">
        <v>1000</v>
      </c>
      <c r="F623" t="str">
        <f>IFERROR(
IF(ISNUMBER(FIND("CFW110",B623)),
VALUE(MID(B623,FIND("CFW110",B623)+6,FIND("T",B623,FIND("CFW110",B623))-(FIND("CFW110",B623)+6))),
IF(ISNUMBER(FIND("D",B623)),
VALUE(SUBSTITUTE(MID(B623,FIND("D",B623)+1,FIND("T",B623,FIND("D",B623))-(FIND("D",B623)+1)),"P",",")),
IF(ISNUMBER(FIND("CFW5",B623)),
VALUE(MID(B623,
IF(ISNUMBER(FIND("F",B623)),FIND("F",B623)+1,FIND("G",B623)+1),
FIND("T",B623)-(IF(ISNUMBER(FIND("F",B623)),FIND("F",B623)+1,FIND("G",B623)+1))
)),
VALUE(MID(B623,FIND("E0",B623)+2,FIND("T",B623,FIND("E0",B623))-(FIND("E0",B623)+2)))
))),"")</f>
        <v/>
      </c>
      <c r="G623">
        <f>IFERROR(
IF(ISNUMBER(FIND("T2",B623)),220,
IF(ISNUMBER(FIND("T4",B623)),440,
IF(ISNUMBER(FIND("T5",B623)),575,
IF(ISNUMBER(FIND("T6",B623)),690,"")))),
"")</f>
        <v>440</v>
      </c>
    </row>
    <row r="624" spans="1:7" x14ac:dyDescent="0.25">
      <c r="A624">
        <v>18289701</v>
      </c>
      <c r="B624" t="str">
        <f>VLOOKUP(A624,Planilha2!B:C,2,0)</f>
        <v>INVERSOR CM500G0211T4DB20C3G2</v>
      </c>
      <c r="C624" t="s">
        <v>1</v>
      </c>
      <c r="D624" t="str">
        <f>VLOOKUP(A624,Planilha2!B:H,7,0)</f>
        <v>LINHA G1</v>
      </c>
      <c r="E624" s="5">
        <v>1000</v>
      </c>
      <c r="F624" t="str">
        <f>IFERROR(
IF(ISNUMBER(FIND("CFW110",B624)),
VALUE(MID(B624,FIND("CFW110",B624)+6,FIND("T",B624,FIND("CFW110",B624))-(FIND("CFW110",B624)+6))),
IF(ISNUMBER(FIND("D",B624)),
VALUE(SUBSTITUTE(MID(B624,FIND("D",B624)+1,FIND("T",B624,FIND("D",B624))-(FIND("D",B624)+1)),"P",",")),
IF(ISNUMBER(FIND("CFW5",B624)),
VALUE(MID(B624,
IF(ISNUMBER(FIND("F",B624)),FIND("F",B624)+1,FIND("G",B624)+1),
FIND("T",B624)-(IF(ISNUMBER(FIND("F",B624)),FIND("F",B624)+1,FIND("G",B624)+1))
)),
VALUE(MID(B624,FIND("E0",B624)+2,FIND("T",B624,FIND("E0",B624))-(FIND("E0",B624)+2)))
))),"")</f>
        <v/>
      </c>
      <c r="G624">
        <f>IFERROR(
IF(ISNUMBER(FIND("T2",B624)),220,
IF(ISNUMBER(FIND("T4",B624)),440,
IF(ISNUMBER(FIND("T5",B624)),575,
IF(ISNUMBER(FIND("T6",B624)),690,"")))),
"")</f>
        <v>440</v>
      </c>
    </row>
    <row r="625" spans="1:7" x14ac:dyDescent="0.25">
      <c r="A625">
        <v>18289702</v>
      </c>
      <c r="B625" t="str">
        <f>VLOOKUP(A625,Planilha2!B:C,2,0)</f>
        <v>INVERSOR CM500G0211T4NB20C3G2</v>
      </c>
      <c r="C625" t="s">
        <v>1</v>
      </c>
      <c r="D625" t="str">
        <f>VLOOKUP(A625,Planilha2!B:H,7,0)</f>
        <v>LINHA G1</v>
      </c>
      <c r="E625" s="5">
        <v>1000</v>
      </c>
      <c r="F625" t="str">
        <f>IFERROR(
IF(ISNUMBER(FIND("CFW110",B625)),
VALUE(MID(B625,FIND("CFW110",B625)+6,FIND("T",B625,FIND("CFW110",B625))-(FIND("CFW110",B625)+6))),
IF(ISNUMBER(FIND("D",B625)),
VALUE(SUBSTITUTE(MID(B625,FIND("D",B625)+1,FIND("T",B625,FIND("D",B625))-(FIND("D",B625)+1)),"P",",")),
IF(ISNUMBER(FIND("CFW5",B625)),
VALUE(MID(B625,
IF(ISNUMBER(FIND("F",B625)),FIND("F",B625)+1,FIND("G",B625)+1),
FIND("T",B625)-(IF(ISNUMBER(FIND("F",B625)),FIND("F",B625)+1,FIND("G",B625)+1))
)),
VALUE(MID(B625,FIND("E0",B625)+2,FIND("T",B625,FIND("E0",B625))-(FIND("E0",B625)+2)))
))),"")</f>
        <v/>
      </c>
      <c r="G625">
        <f>IFERROR(
IF(ISNUMBER(FIND("T2",B625)),220,
IF(ISNUMBER(FIND("T4",B625)),440,
IF(ISNUMBER(FIND("T5",B625)),575,
IF(ISNUMBER(FIND("T6",B625)),690,"")))),
"")</f>
        <v>440</v>
      </c>
    </row>
    <row r="626" spans="1:7" x14ac:dyDescent="0.25">
      <c r="A626">
        <v>18289703</v>
      </c>
      <c r="B626" t="str">
        <f>VLOOKUP(A626,Planilha2!B:C,2,0)</f>
        <v>INVERSOR CM500G0211T4DB20G2</v>
      </c>
      <c r="C626" t="s">
        <v>1</v>
      </c>
      <c r="D626" t="str">
        <f>VLOOKUP(A626,Planilha2!B:H,7,0)</f>
        <v>LINHA G1</v>
      </c>
      <c r="E626" s="5">
        <v>1000</v>
      </c>
      <c r="F626" t="str">
        <f>IFERROR(
IF(ISNUMBER(FIND("CFW110",B626)),
VALUE(MID(B626,FIND("CFW110",B626)+6,FIND("T",B626,FIND("CFW110",B626))-(FIND("CFW110",B626)+6))),
IF(ISNUMBER(FIND("D",B626)),
VALUE(SUBSTITUTE(MID(B626,FIND("D",B626)+1,FIND("T",B626,FIND("D",B626))-(FIND("D",B626)+1)),"P",",")),
IF(ISNUMBER(FIND("CFW5",B626)),
VALUE(MID(B626,
IF(ISNUMBER(FIND("F",B626)),FIND("F",B626)+1,FIND("G",B626)+1),
FIND("T",B626)-(IF(ISNUMBER(FIND("F",B626)),FIND("F",B626)+1,FIND("G",B626)+1))
)),
VALUE(MID(B626,FIND("E0",B626)+2,FIND("T",B626,FIND("E0",B626))-(FIND("E0",B626)+2)))
))),"")</f>
        <v/>
      </c>
      <c r="G626">
        <f>IFERROR(
IF(ISNUMBER(FIND("T2",B626)),220,
IF(ISNUMBER(FIND("T4",B626)),440,
IF(ISNUMBER(FIND("T5",B626)),575,
IF(ISNUMBER(FIND("T6",B626)),690,"")))),
"")</f>
        <v>440</v>
      </c>
    </row>
    <row r="627" spans="1:7" x14ac:dyDescent="0.25">
      <c r="A627">
        <v>18289704</v>
      </c>
      <c r="B627" t="str">
        <f>VLOOKUP(A627,Planilha2!B:C,2,0)</f>
        <v>INVERSOR CM500G0211T4NB20G2</v>
      </c>
      <c r="C627" t="s">
        <v>1</v>
      </c>
      <c r="D627" t="str">
        <f>VLOOKUP(A627,Planilha2!B:H,7,0)</f>
        <v>LINHA G1</v>
      </c>
      <c r="E627" s="5">
        <v>1000</v>
      </c>
      <c r="F627" t="str">
        <f>IFERROR(
IF(ISNUMBER(FIND("CFW110",B627)),
VALUE(MID(B627,FIND("CFW110",B627)+6,FIND("T",B627,FIND("CFW110",B627))-(FIND("CFW110",B627)+6))),
IF(ISNUMBER(FIND("D",B627)),
VALUE(SUBSTITUTE(MID(B627,FIND("D",B627)+1,FIND("T",B627,FIND("D",B627))-(FIND("D",B627)+1)),"P",",")),
IF(ISNUMBER(FIND("CFW5",B627)),
VALUE(MID(B627,
IF(ISNUMBER(FIND("F",B627)),FIND("F",B627)+1,FIND("G",B627)+1),
FIND("T",B627)-(IF(ISNUMBER(FIND("F",B627)),FIND("F",B627)+1,FIND("G",B627)+1))
)),
VALUE(MID(B627,FIND("E0",B627)+2,FIND("T",B627,FIND("E0",B627))-(FIND("E0",B627)+2)))
))),"")</f>
        <v/>
      </c>
      <c r="G627">
        <f>IFERROR(
IF(ISNUMBER(FIND("T2",B627)),220,
IF(ISNUMBER(FIND("T4",B627)),440,
IF(ISNUMBER(FIND("T5",B627)),575,
IF(ISNUMBER(FIND("T6",B627)),690,"")))),
"")</f>
        <v>440</v>
      </c>
    </row>
    <row r="628" spans="1:7" x14ac:dyDescent="0.25">
      <c r="A628">
        <v>10193872</v>
      </c>
      <c r="B628" t="str">
        <f>VLOOKUP(A628,Planilha2!B:C,2,0)</f>
        <v>INVERSOR BRCFW110070T2OFAZ</v>
      </c>
      <c r="C628" t="s">
        <v>1</v>
      </c>
      <c r="D628" t="str">
        <f>VLOOKUP(A628,Planilha2!B:H,7,0)</f>
        <v>LINHA M1</v>
      </c>
      <c r="E628" s="5">
        <v>18000</v>
      </c>
      <c r="F628">
        <f>IFERROR(
IF(ISNUMBER(FIND("CFW110",B628)),
VALUE(MID(B628,FIND("CFW110",B628)+6,FIND("T",B628,FIND("CFW110",B628))-(FIND("CFW110",B628)+6))),
IF(ISNUMBER(FIND("D",B628)),
VALUE(SUBSTITUTE(MID(B628,FIND("D",B628)+1,FIND("T",B628,FIND("D",B628))-(FIND("D",B628)+1)),"P",",")),
IF(ISNUMBER(FIND("CFW5",B628)),
VALUE(MID(B628,
IF(ISNUMBER(FIND("F",B628)),FIND("F",B628)+1,FIND("G",B628)+1),
FIND("T",B628)-(IF(ISNUMBER(FIND("F",B628)),FIND("F",B628)+1,FIND("G",B628)+1))
)),
VALUE(MID(B628,FIND("E0",B628)+2,FIND("T",B628,FIND("E0",B628))-(FIND("E0",B628)+2)))
))),"")</f>
        <v>70</v>
      </c>
      <c r="G628">
        <f>IFERROR(
IF(ISNUMBER(FIND("T2",B628)),220,
IF(ISNUMBER(FIND("T4",B628)),440,
IF(ISNUMBER(FIND("T5",B628)),575,
IF(ISNUMBER(FIND("T6",B628)),690,"")))),
"")</f>
        <v>220</v>
      </c>
    </row>
    <row r="629" spans="1:7" x14ac:dyDescent="0.25">
      <c r="A629">
        <v>10193875</v>
      </c>
      <c r="B629" t="str">
        <f>VLOOKUP(A629,Planilha2!B:C,2,0)</f>
        <v>INVERSOR BRCFW110038T4OFAZ</v>
      </c>
      <c r="C629" t="s">
        <v>1</v>
      </c>
      <c r="D629" t="str">
        <f>VLOOKUP(A629,Planilha2!B:H,7,0)</f>
        <v>LINHA M1</v>
      </c>
      <c r="E629" s="5">
        <v>16500</v>
      </c>
      <c r="F629">
        <f>IFERROR(
IF(ISNUMBER(FIND("CFW110",B629)),
VALUE(MID(B629,FIND("CFW110",B629)+6,FIND("T",B629,FIND("CFW110",B629))-(FIND("CFW110",B629)+6))),
IF(ISNUMBER(FIND("D",B629)),
VALUE(SUBSTITUTE(MID(B629,FIND("D",B629)+1,FIND("T",B629,FIND("D",B629))-(FIND("D",B629)+1)),"P",",")),
IF(ISNUMBER(FIND("CFW5",B629)),
VALUE(MID(B629,
IF(ISNUMBER(FIND("F",B629)),FIND("F",B629)+1,FIND("G",B629)+1),
FIND("T",B629)-(IF(ISNUMBER(FIND("F",B629)),FIND("F",B629)+1,FIND("G",B629)+1))
)),
VALUE(MID(B629,FIND("E0",B629)+2,FIND("T",B629,FIND("E0",B629))-(FIND("E0",B629)+2)))
))),"")</f>
        <v>38</v>
      </c>
      <c r="G629">
        <f>IFERROR(
IF(ISNUMBER(FIND("T2",B629)),220,
IF(ISNUMBER(FIND("T4",B629)),440,
IF(ISNUMBER(FIND("T5",B629)),575,
IF(ISNUMBER(FIND("T6",B629)),690,"")))),
"")</f>
        <v>440</v>
      </c>
    </row>
    <row r="630" spans="1:7" x14ac:dyDescent="0.25">
      <c r="A630">
        <v>18407625</v>
      </c>
      <c r="B630" t="str">
        <f>VLOOKUP(A630,Planilha2!B:C,2,0)</f>
        <v>INVERSOR CFW900D0124T4NB20Y2BHEC</v>
      </c>
      <c r="C630" t="s">
        <v>1</v>
      </c>
      <c r="D630" t="str">
        <f>VLOOKUP(A630,Planilha2!B:H,7,0)</f>
        <v>LINHA G1</v>
      </c>
      <c r="E630" s="5">
        <v>33500</v>
      </c>
      <c r="F630">
        <f>IFERROR(
IF(ISNUMBER(FIND("CFW110",B630)),
VALUE(MID(B630,FIND("CFW110",B630)+6,FIND("T",B630,FIND("CFW110",B630))-(FIND("CFW110",B630)+6))),
IF(ISNUMBER(FIND("D",B630)),
VALUE(SUBSTITUTE(MID(B630,FIND("D",B630)+1,FIND("T",B630,FIND("D",B630))-(FIND("D",B630)+1)),"P",",")),
IF(ISNUMBER(FIND("CFW5",B630)),
VALUE(MID(B630,
IF(ISNUMBER(FIND("F",B630)),FIND("F",B630)+1,FIND("G",B630)+1),
FIND("T",B630)-(IF(ISNUMBER(FIND("F",B630)),FIND("F",B630)+1,FIND("G",B630)+1))
)),
VALUE(MID(B630,FIND("E0",B630)+2,FIND("T",B630,FIND("E0",B630))-(FIND("E0",B630)+2)))
))),"")</f>
        <v>124</v>
      </c>
      <c r="G630">
        <f>IFERROR(
IF(ISNUMBER(FIND("T2",B630)),220,
IF(ISNUMBER(FIND("T4",B630)),440,
IF(ISNUMBER(FIND("T5",B630)),575,
IF(ISNUMBER(FIND("T6",B630)),690,"")))),
"")</f>
        <v>440</v>
      </c>
    </row>
    <row r="631" spans="1:7" x14ac:dyDescent="0.25">
      <c r="A631">
        <v>18522632</v>
      </c>
      <c r="B631" t="str">
        <f>VLOOKUP(A631,Planilha2!B:C,2,0)</f>
        <v>INVERSOR CFW900C50P0T4DB20Y2BHEC</v>
      </c>
      <c r="C631" t="s">
        <v>1</v>
      </c>
      <c r="D631" t="str">
        <f>VLOOKUP(A631,Planilha2!B:H,7,0)</f>
        <v>LINHA M1</v>
      </c>
      <c r="E631" s="5">
        <v>20500</v>
      </c>
      <c r="F631" t="str">
        <f>IFERROR(
IF(ISNUMBER(FIND("CFW110",B631)),
VALUE(MID(B631,FIND("CFW110",B631)+6,FIND("T",B631,FIND("CFW110",B631))-(FIND("CFW110",B631)+6))),
IF(ISNUMBER(FIND("D",B631)),
VALUE(SUBSTITUTE(MID(B631,FIND("D",B631)+1,FIND("T",B631,FIND("D",B631))-(FIND("D",B631)+1)),"P",",")),
IF(ISNUMBER(FIND("CFW5",B631)),
VALUE(MID(B631,
IF(ISNUMBER(FIND("F",B631)),FIND("F",B631)+1,FIND("G",B631)+1),
FIND("T",B631)-(IF(ISNUMBER(FIND("F",B631)),FIND("F",B631)+1,FIND("G",B631)+1))
)),
VALUE(MID(B631,FIND("E0",B631)+2,FIND("T",B631,FIND("E0",B631))-(FIND("E0",B631)+2)))
))),"")</f>
        <v/>
      </c>
      <c r="G631">
        <f>IFERROR(
IF(ISNUMBER(FIND("T2",B631)),220,
IF(ISNUMBER(FIND("T4",B631)),440,
IF(ISNUMBER(FIND("T5",B631)),575,
IF(ISNUMBER(FIND("T6",B631)),690,"")))),
"")</f>
        <v>440</v>
      </c>
    </row>
    <row r="632" spans="1:7" x14ac:dyDescent="0.25">
      <c r="A632">
        <v>18486066</v>
      </c>
      <c r="B632" t="str">
        <f>VLOOKUP(A632,Planilha2!B:C,2,0)</f>
        <v>INVERSOR BRCFW110045T4O55FAECZ</v>
      </c>
      <c r="C632" t="s">
        <v>1</v>
      </c>
      <c r="D632" t="str">
        <f>VLOOKUP(A632,Planilha2!B:H,7,0)</f>
        <v>LINHA M3</v>
      </c>
      <c r="E632" s="5">
        <v>20600</v>
      </c>
      <c r="F632">
        <f>IFERROR(
IF(ISNUMBER(FIND("CFW110",B632)),
VALUE(MID(B632,FIND("CFW110",B632)+6,FIND("T",B632,FIND("CFW110",B632))-(FIND("CFW110",B632)+6))),
IF(ISNUMBER(FIND("D",B632)),
VALUE(SUBSTITUTE(MID(B632,FIND("D",B632)+1,FIND("T",B632,FIND("D",B632))-(FIND("D",B632)+1)),"P",",")),
IF(ISNUMBER(FIND("CFW5",B632)),
VALUE(MID(B632,
IF(ISNUMBER(FIND("F",B632)),FIND("F",B632)+1,FIND("G",B632)+1),
FIND("T",B632)-(IF(ISNUMBER(FIND("F",B632)),FIND("F",B632)+1,FIND("G",B632)+1))
)),
VALUE(MID(B632,FIND("E0",B632)+2,FIND("T",B632,FIND("E0",B632))-(FIND("E0",B632)+2)))
))),"")</f>
        <v>45</v>
      </c>
      <c r="G632">
        <f>IFERROR(
IF(ISNUMBER(FIND("T2",B632)),220,
IF(ISNUMBER(FIND("T4",B632)),440,
IF(ISNUMBER(FIND("T5",B632)),575,
IF(ISNUMBER(FIND("T6",B632)),690,"")))),
"")</f>
        <v>440</v>
      </c>
    </row>
    <row r="633" spans="1:7" x14ac:dyDescent="0.25">
      <c r="A633">
        <v>18488108</v>
      </c>
      <c r="B633" t="str">
        <f>VLOOKUP(A633,Planilha2!B:C,2,0)</f>
        <v>INVERSOR BRCFW110058T4O55FAECZ</v>
      </c>
      <c r="C633" t="s">
        <v>1</v>
      </c>
      <c r="D633" t="str">
        <f>VLOOKUP(A633,Planilha2!B:H,7,0)</f>
        <v>LINHA M3</v>
      </c>
      <c r="E633" s="5">
        <v>20600</v>
      </c>
      <c r="F633">
        <f>IFERROR(
IF(ISNUMBER(FIND("CFW110",B633)),
VALUE(MID(B633,FIND("CFW110",B633)+6,FIND("T",B633,FIND("CFW110",B633))-(FIND("CFW110",B633)+6))),
IF(ISNUMBER(FIND("D",B633)),
VALUE(SUBSTITUTE(MID(B633,FIND("D",B633)+1,FIND("T",B633,FIND("D",B633))-(FIND("D",B633)+1)),"P",",")),
IF(ISNUMBER(FIND("CFW5",B633)),
VALUE(MID(B633,
IF(ISNUMBER(FIND("F",B633)),FIND("F",B633)+1,FIND("G",B633)+1),
FIND("T",B633)-(IF(ISNUMBER(FIND("F",B633)),FIND("F",B633)+1,FIND("G",B633)+1))
)),
VALUE(MID(B633,FIND("E0",B633)+2,FIND("T",B633,FIND("E0",B633))-(FIND("E0",B633)+2)))
))),"")</f>
        <v>58</v>
      </c>
      <c r="G633">
        <f>IFERROR(
IF(ISNUMBER(FIND("T2",B633)),220,
IF(ISNUMBER(FIND("T4",B633)),440,
IF(ISNUMBER(FIND("T5",B633)),575,
IF(ISNUMBER(FIND("T6",B633)),690,"")))),
"")</f>
        <v>440</v>
      </c>
    </row>
    <row r="634" spans="1:7" x14ac:dyDescent="0.25">
      <c r="A634">
        <v>18488777</v>
      </c>
      <c r="B634" t="str">
        <f>VLOOKUP(A634,Planilha2!B:C,2,0)</f>
        <v>INVERSOR BRCFW110088T4O55FAECZ</v>
      </c>
      <c r="C634" t="s">
        <v>1</v>
      </c>
      <c r="D634" t="str">
        <f>VLOOKUP(A634,Planilha2!B:H,7,0)</f>
        <v>LINHA M3</v>
      </c>
      <c r="E634" s="5">
        <v>47800</v>
      </c>
      <c r="F634">
        <f>IFERROR(
IF(ISNUMBER(FIND("CFW110",B634)),
VALUE(MID(B634,FIND("CFW110",B634)+6,FIND("T",B634,FIND("CFW110",B634))-(FIND("CFW110",B634)+6))),
IF(ISNUMBER(FIND("D",B634)),
VALUE(SUBSTITUTE(MID(B634,FIND("D",B634)+1,FIND("T",B634,FIND("D",B634))-(FIND("D",B634)+1)),"P",",")),
IF(ISNUMBER(FIND("CFW5",B634)),
VALUE(MID(B634,
IF(ISNUMBER(FIND("F",B634)),FIND("F",B634)+1,FIND("G",B634)+1),
FIND("T",B634)-(IF(ISNUMBER(FIND("F",B634)),FIND("F",B634)+1,FIND("G",B634)+1))
)),
VALUE(MID(B634,FIND("E0",B634)+2,FIND("T",B634,FIND("E0",B634))-(FIND("E0",B634)+2)))
))),"")</f>
        <v>88</v>
      </c>
      <c r="G634">
        <f>IFERROR(
IF(ISNUMBER(FIND("T2",B634)),220,
IF(ISNUMBER(FIND("T4",B634)),440,
IF(ISNUMBER(FIND("T5",B634)),575,
IF(ISNUMBER(FIND("T6",B634)),690,"")))),
"")</f>
        <v>440</v>
      </c>
    </row>
    <row r="635" spans="1:7" x14ac:dyDescent="0.25">
      <c r="A635">
        <v>18422657</v>
      </c>
      <c r="B635" t="str">
        <f>VLOOKUP(A635,Planilha2!B:C,2,0)</f>
        <v>INVERSOR CFW900C50P0T4DB20Y2B</v>
      </c>
      <c r="C635" t="s">
        <v>1</v>
      </c>
      <c r="D635" t="str">
        <f>VLOOKUP(A635,Planilha2!B:H,7,0)</f>
        <v>LINHA M1</v>
      </c>
      <c r="E635" s="5">
        <v>20500</v>
      </c>
      <c r="F635" t="str">
        <f>IFERROR(
IF(ISNUMBER(FIND("CFW110",B635)),
VALUE(MID(B635,FIND("CFW110",B635)+6,FIND("T",B635,FIND("CFW110",B635))-(FIND("CFW110",B635)+6))),
IF(ISNUMBER(FIND("D",B635)),
VALUE(SUBSTITUTE(MID(B635,FIND("D",B635)+1,FIND("T",B635,FIND("D",B635))-(FIND("D",B635)+1)),"P",",")),
IF(ISNUMBER(FIND("CFW5",B635)),
VALUE(MID(B635,
IF(ISNUMBER(FIND("F",B635)),FIND("F",B635)+1,FIND("G",B635)+1),
FIND("T",B635)-(IF(ISNUMBER(FIND("F",B635)),FIND("F",B635)+1,FIND("G",B635)+1))
)),
VALUE(MID(B635,FIND("E0",B635)+2,FIND("T",B635,FIND("E0",B635))-(FIND("E0",B635)+2)))
))),"")</f>
        <v/>
      </c>
      <c r="G635">
        <f>IFERROR(
IF(ISNUMBER(FIND("T2",B635)),220,
IF(ISNUMBER(FIND("T4",B635)),440,
IF(ISNUMBER(FIND("T5",B635)),575,
IF(ISNUMBER(FIND("T6",B635)),690,"")))),
"")</f>
        <v>440</v>
      </c>
    </row>
    <row r="636" spans="1:7" x14ac:dyDescent="0.25">
      <c r="A636">
        <v>18422959</v>
      </c>
      <c r="B636" t="str">
        <f>VLOOKUP(A636,Planilha2!B:C,2,0)</f>
        <v>INVERSOR CFW900C50P0T4DB20Y2</v>
      </c>
      <c r="C636" t="s">
        <v>1</v>
      </c>
      <c r="D636" t="str">
        <f>VLOOKUP(A636,Planilha2!B:H,7,0)</f>
        <v>LINHA M1</v>
      </c>
      <c r="E636" s="5">
        <v>20500</v>
      </c>
      <c r="F636" t="str">
        <f>IFERROR(
IF(ISNUMBER(FIND("CFW110",B636)),
VALUE(MID(B636,FIND("CFW110",B636)+6,FIND("T",B636,FIND("CFW110",B636))-(FIND("CFW110",B636)+6))),
IF(ISNUMBER(FIND("D",B636)),
VALUE(SUBSTITUTE(MID(B636,FIND("D",B636)+1,FIND("T",B636,FIND("D",B636))-(FIND("D",B636)+1)),"P",",")),
IF(ISNUMBER(FIND("CFW5",B636)),
VALUE(MID(B636,
IF(ISNUMBER(FIND("F",B636)),FIND("F",B636)+1,FIND("G",B636)+1),
FIND("T",B636)-(IF(ISNUMBER(FIND("F",B636)),FIND("F",B636)+1,FIND("G",B636)+1))
)),
VALUE(MID(B636,FIND("E0",B636)+2,FIND("T",B636,FIND("E0",B636))-(FIND("E0",B636)+2)))
))),"")</f>
        <v/>
      </c>
      <c r="G636">
        <f>IFERROR(
IF(ISNUMBER(FIND("T2",B636)),220,
IF(ISNUMBER(FIND("T4",B636)),440,
IF(ISNUMBER(FIND("T5",B636)),575,
IF(ISNUMBER(FIND("T6",B636)),690,"")))),
"")</f>
        <v>440</v>
      </c>
    </row>
    <row r="637" spans="1:7" x14ac:dyDescent="0.25">
      <c r="A637">
        <v>18422961</v>
      </c>
      <c r="B637" t="str">
        <f>VLOOKUP(A637,Planilha2!B:C,2,0)</f>
        <v>INVERSOR CFW900C62P0T4DB20Y2B</v>
      </c>
      <c r="C637" t="s">
        <v>1</v>
      </c>
      <c r="D637" t="str">
        <f>VLOOKUP(A637,Planilha2!B:H,7,0)</f>
        <v>LINHA M1</v>
      </c>
      <c r="E637" s="5">
        <v>18500</v>
      </c>
      <c r="F637" t="str">
        <f>IFERROR(
IF(ISNUMBER(FIND("CFW110",B637)),
VALUE(MID(B637,FIND("CFW110",B637)+6,FIND("T",B637,FIND("CFW110",B637))-(FIND("CFW110",B637)+6))),
IF(ISNUMBER(FIND("D",B637)),
VALUE(SUBSTITUTE(MID(B637,FIND("D",B637)+1,FIND("T",B637,FIND("D",B637))-(FIND("D",B637)+1)),"P",",")),
IF(ISNUMBER(FIND("CFW5",B637)),
VALUE(MID(B637,
IF(ISNUMBER(FIND("F",B637)),FIND("F",B637)+1,FIND("G",B637)+1),
FIND("T",B637)-(IF(ISNUMBER(FIND("F",B637)),FIND("F",B637)+1,FIND("G",B637)+1))
)),
VALUE(MID(B637,FIND("E0",B637)+2,FIND("T",B637,FIND("E0",B637))-(FIND("E0",B637)+2)))
))),"")</f>
        <v/>
      </c>
      <c r="G637">
        <f>IFERROR(
IF(ISNUMBER(FIND("T2",B637)),220,
IF(ISNUMBER(FIND("T4",B637)),440,
IF(ISNUMBER(FIND("T5",B637)),575,
IF(ISNUMBER(FIND("T6",B637)),690,"")))),
"")</f>
        <v>440</v>
      </c>
    </row>
    <row r="638" spans="1:7" x14ac:dyDescent="0.25">
      <c r="A638">
        <v>18422962</v>
      </c>
      <c r="B638" t="str">
        <f>VLOOKUP(A638,Planilha2!B:C,2,0)</f>
        <v>INVERSOR CFW900C62P0T4DB20Y2</v>
      </c>
      <c r="C638" t="s">
        <v>1</v>
      </c>
      <c r="D638" t="str">
        <f>VLOOKUP(A638,Planilha2!B:H,7,0)</f>
        <v>LINHA M1</v>
      </c>
      <c r="E638" s="5">
        <v>20500</v>
      </c>
      <c r="F638" t="str">
        <f>IFERROR(
IF(ISNUMBER(FIND("CFW110",B638)),
VALUE(MID(B638,FIND("CFW110",B638)+6,FIND("T",B638,FIND("CFW110",B638))-(FIND("CFW110",B638)+6))),
IF(ISNUMBER(FIND("D",B638)),
VALUE(SUBSTITUTE(MID(B638,FIND("D",B638)+1,FIND("T",B638,FIND("D",B638))-(FIND("D",B638)+1)),"P",",")),
IF(ISNUMBER(FIND("CFW5",B638)),
VALUE(MID(B638,
IF(ISNUMBER(FIND("F",B638)),FIND("F",B638)+1,FIND("G",B638)+1),
FIND("T",B638)-(IF(ISNUMBER(FIND("F",B638)),FIND("F",B638)+1,FIND("G",B638)+1))
)),
VALUE(MID(B638,FIND("E0",B638)+2,FIND("T",B638,FIND("E0",B638))-(FIND("E0",B638)+2)))
))),"")</f>
        <v/>
      </c>
      <c r="G638">
        <f>IFERROR(
IF(ISNUMBER(FIND("T2",B638)),220,
IF(ISNUMBER(FIND("T4",B638)),440,
IF(ISNUMBER(FIND("T5",B638)),575,
IF(ISNUMBER(FIND("T6",B638)),690,"")))),
"")</f>
        <v>440</v>
      </c>
    </row>
    <row r="639" spans="1:7" x14ac:dyDescent="0.25">
      <c r="A639">
        <v>18422963</v>
      </c>
      <c r="B639" t="str">
        <f>VLOOKUP(A639,Planilha2!B:C,2,0)</f>
        <v>INVERSOR CFW900C74P0T4DB20Y2B</v>
      </c>
      <c r="C639" t="s">
        <v>1</v>
      </c>
      <c r="D639" t="str">
        <f>VLOOKUP(A639,Planilha2!B:H,7,0)</f>
        <v>LINHA M1</v>
      </c>
      <c r="E639" s="5">
        <v>20500</v>
      </c>
      <c r="F639" t="str">
        <f>IFERROR(
IF(ISNUMBER(FIND("CFW110",B639)),
VALUE(MID(B639,FIND("CFW110",B639)+6,FIND("T",B639,FIND("CFW110",B639))-(FIND("CFW110",B639)+6))),
IF(ISNUMBER(FIND("D",B639)),
VALUE(SUBSTITUTE(MID(B639,FIND("D",B639)+1,FIND("T",B639,FIND("D",B639))-(FIND("D",B639)+1)),"P",",")),
IF(ISNUMBER(FIND("CFW5",B639)),
VALUE(MID(B639,
IF(ISNUMBER(FIND("F",B639)),FIND("F",B639)+1,FIND("G",B639)+1),
FIND("T",B639)-(IF(ISNUMBER(FIND("F",B639)),FIND("F",B639)+1,FIND("G",B639)+1))
)),
VALUE(MID(B639,FIND("E0",B639)+2,FIND("T",B639,FIND("E0",B639))-(FIND("E0",B639)+2)))
))),"")</f>
        <v/>
      </c>
      <c r="G639">
        <f>IFERROR(
IF(ISNUMBER(FIND("T2",B639)),220,
IF(ISNUMBER(FIND("T4",B639)),440,
IF(ISNUMBER(FIND("T5",B639)),575,
IF(ISNUMBER(FIND("T6",B639)),690,"")))),
"")</f>
        <v>440</v>
      </c>
    </row>
    <row r="640" spans="1:7" x14ac:dyDescent="0.25">
      <c r="A640">
        <v>18422967</v>
      </c>
      <c r="B640" t="str">
        <f>VLOOKUP(A640,Planilha2!B:C,2,0)</f>
        <v>INVERSOR CFW900C74P0T4DB20Y2</v>
      </c>
      <c r="C640" t="s">
        <v>1</v>
      </c>
      <c r="D640" t="str">
        <f>VLOOKUP(A640,Planilha2!B:H,7,0)</f>
        <v>LINHA M1</v>
      </c>
      <c r="E640" s="5">
        <v>20500</v>
      </c>
      <c r="F640" t="str">
        <f>IFERROR(
IF(ISNUMBER(FIND("CFW110",B640)),
VALUE(MID(B640,FIND("CFW110",B640)+6,FIND("T",B640,FIND("CFW110",B640))-(FIND("CFW110",B640)+6))),
IF(ISNUMBER(FIND("D",B640)),
VALUE(SUBSTITUTE(MID(B640,FIND("D",B640)+1,FIND("T",B640,FIND("D",B640))-(FIND("D",B640)+1)),"P",",")),
IF(ISNUMBER(FIND("CFW5",B640)),
VALUE(MID(B640,
IF(ISNUMBER(FIND("F",B640)),FIND("F",B640)+1,FIND("G",B640)+1),
FIND("T",B640)-(IF(ISNUMBER(FIND("F",B640)),FIND("F",B640)+1,FIND("G",B640)+1))
)),
VALUE(MID(B640,FIND("E0",B640)+2,FIND("T",B640,FIND("E0",B640))-(FIND("E0",B640)+2)))
))),"")</f>
        <v/>
      </c>
      <c r="G640">
        <f>IFERROR(
IF(ISNUMBER(FIND("T2",B640)),220,
IF(ISNUMBER(FIND("T4",B640)),440,
IF(ISNUMBER(FIND("T5",B640)),575,
IF(ISNUMBER(FIND("T6",B640)),690,"")))),
"")</f>
        <v>440</v>
      </c>
    </row>
    <row r="641" spans="1:7" x14ac:dyDescent="0.25">
      <c r="A641">
        <v>18457667</v>
      </c>
      <c r="B641" t="str">
        <f>VLOOKUP(A641,Planilha2!B:C,2,0)</f>
        <v>INVERSOR CFW900C74P0T4DB20Y2HEC</v>
      </c>
      <c r="C641" t="s">
        <v>1</v>
      </c>
      <c r="D641" t="str">
        <f>VLOOKUP(A641,Planilha2!B:H,7,0)</f>
        <v>LINHA M1</v>
      </c>
      <c r="E641" s="5">
        <v>20500</v>
      </c>
      <c r="F641" t="str">
        <f>IFERROR(
IF(ISNUMBER(FIND("CFW110",B641)),
VALUE(MID(B641,FIND("CFW110",B641)+6,FIND("T",B641,FIND("CFW110",B641))-(FIND("CFW110",B641)+6))),
IF(ISNUMBER(FIND("D",B641)),
VALUE(SUBSTITUTE(MID(B641,FIND("D",B641)+1,FIND("T",B641,FIND("D",B641))-(FIND("D",B641)+1)),"P",",")),
IF(ISNUMBER(FIND("CFW5",B641)),
VALUE(MID(B641,
IF(ISNUMBER(FIND("F",B641)),FIND("F",B641)+1,FIND("G",B641)+1),
FIND("T",B641)-(IF(ISNUMBER(FIND("F",B641)),FIND("F",B641)+1,FIND("G",B641)+1))
)),
VALUE(MID(B641,FIND("E0",B641)+2,FIND("T",B641,FIND("E0",B641))-(FIND("E0",B641)+2)))
))),"")</f>
        <v/>
      </c>
      <c r="G641">
        <f>IFERROR(
IF(ISNUMBER(FIND("T2",B641)),220,
IF(ISNUMBER(FIND("T4",B641)),440,
IF(ISNUMBER(FIND("T5",B641)),575,
IF(ISNUMBER(FIND("T6",B641)),690,"")))),
"")</f>
        <v>440</v>
      </c>
    </row>
    <row r="642" spans="1:7" x14ac:dyDescent="0.25">
      <c r="A642">
        <v>18455099</v>
      </c>
      <c r="B642" t="str">
        <f>VLOOKUP(A642,Planilha2!B:C,2,0)</f>
        <v>INVERSOR CFW900D96P0T4NB20Y2B-UI</v>
      </c>
      <c r="C642" t="s">
        <v>1</v>
      </c>
      <c r="D642" t="str">
        <f>VLOOKUP(A642,Planilha2!B:H,7,0)</f>
        <v>LINHA G1</v>
      </c>
      <c r="E642" s="5">
        <v>33500</v>
      </c>
      <c r="F642">
        <f>IFERROR(
IF(ISNUMBER(FIND("CFW110",B642)),
VALUE(MID(B642,FIND("CFW110",B642)+6,FIND("T",B642,FIND("CFW110",B642))-(FIND("CFW110",B642)+6))),
IF(ISNUMBER(FIND("D",B642)),
VALUE(SUBSTITUTE(MID(B642,FIND("D",B642)+1,FIND("T",B642,FIND("D",B642))-(FIND("D",B642)+1)),"P",",")),
IF(ISNUMBER(FIND("CFW5",B642)),
VALUE(MID(B642,
IF(ISNUMBER(FIND("F",B642)),FIND("F",B642)+1,FIND("G",B642)+1),
FIND("T",B642)-(IF(ISNUMBER(FIND("F",B642)),FIND("F",B642)+1,FIND("G",B642)+1))
)),
VALUE(MID(B642,FIND("E0",B642)+2,FIND("T",B642,FIND("E0",B642))-(FIND("E0",B642)+2)))
))),"")</f>
        <v>96</v>
      </c>
      <c r="G642">
        <f>IFERROR(
IF(ISNUMBER(FIND("T2",B642)),220,
IF(ISNUMBER(FIND("T4",B642)),440,
IF(ISNUMBER(FIND("T5",B642)),575,
IF(ISNUMBER(FIND("T6",B642)),690,"")))),
"")</f>
        <v>440</v>
      </c>
    </row>
    <row r="643" spans="1:7" x14ac:dyDescent="0.25">
      <c r="A643">
        <v>18455101</v>
      </c>
      <c r="B643" t="str">
        <f>VLOOKUP(A643,Planilha2!B:C,2,0)</f>
        <v>INVERSOR CFW900D0124T4NB20Y2B-UI</v>
      </c>
      <c r="C643" t="s">
        <v>1</v>
      </c>
      <c r="D643" t="str">
        <f>VLOOKUP(A643,Planilha2!B:H,7,0)</f>
        <v>LINHA G1</v>
      </c>
      <c r="E643" s="5">
        <v>33500</v>
      </c>
      <c r="F643">
        <f>IFERROR(
IF(ISNUMBER(FIND("CFW110",B643)),
VALUE(MID(B643,FIND("CFW110",B643)+6,FIND("T",B643,FIND("CFW110",B643))-(FIND("CFW110",B643)+6))),
IF(ISNUMBER(FIND("D",B643)),
VALUE(SUBSTITUTE(MID(B643,FIND("D",B643)+1,FIND("T",B643,FIND("D",B643))-(FIND("D",B643)+1)),"P",",")),
IF(ISNUMBER(FIND("CFW5",B643)),
VALUE(MID(B643,
IF(ISNUMBER(FIND("F",B643)),FIND("F",B643)+1,FIND("G",B643)+1),
FIND("T",B643)-(IF(ISNUMBER(FIND("F",B643)),FIND("F",B643)+1,FIND("G",B643)+1))
)),
VALUE(MID(B643,FIND("E0",B643)+2,FIND("T",B643,FIND("E0",B643))-(FIND("E0",B643)+2)))
))),"")</f>
        <v>124</v>
      </c>
      <c r="G643">
        <f>IFERROR(
IF(ISNUMBER(FIND("T2",B643)),220,
IF(ISNUMBER(FIND("T4",B643)),440,
IF(ISNUMBER(FIND("T5",B643)),575,
IF(ISNUMBER(FIND("T6",B643)),690,"")))),
"")</f>
        <v>440</v>
      </c>
    </row>
    <row r="644" spans="1:7" x14ac:dyDescent="0.25">
      <c r="A644">
        <v>18455102</v>
      </c>
      <c r="B644" t="str">
        <f>VLOOKUP(A644,Planilha2!B:C,2,0)</f>
        <v>INVERSOR CFW900D0146T4NB20Y2B-UI</v>
      </c>
      <c r="C644" t="s">
        <v>1</v>
      </c>
      <c r="D644" t="str">
        <f>VLOOKUP(A644,Planilha2!B:H,7,0)</f>
        <v>LINHA G1</v>
      </c>
      <c r="E644" s="5">
        <v>33500</v>
      </c>
      <c r="F644">
        <f>IFERROR(
IF(ISNUMBER(FIND("CFW110",B644)),
VALUE(MID(B644,FIND("CFW110",B644)+6,FIND("T",B644,FIND("CFW110",B644))-(FIND("CFW110",B644)+6))),
IF(ISNUMBER(FIND("D",B644)),
VALUE(SUBSTITUTE(MID(B644,FIND("D",B644)+1,FIND("T",B644,FIND("D",B644))-(FIND("D",B644)+1)),"P",",")),
IF(ISNUMBER(FIND("CFW5",B644)),
VALUE(MID(B644,
IF(ISNUMBER(FIND("F",B644)),FIND("F",B644)+1,FIND("G",B644)+1),
FIND("T",B644)-(IF(ISNUMBER(FIND("F",B644)),FIND("F",B644)+1,FIND("G",B644)+1))
)),
VALUE(MID(B644,FIND("E0",B644)+2,FIND("T",B644,FIND("E0",B644))-(FIND("E0",B644)+2)))
))),"")</f>
        <v>146</v>
      </c>
      <c r="G644">
        <f>IFERROR(
IF(ISNUMBER(FIND("T2",B644)),220,
IF(ISNUMBER(FIND("T4",B644)),440,
IF(ISNUMBER(FIND("T5",B644)),575,
IF(ISNUMBER(FIND("T6",B644)),690,"")))),
"")</f>
        <v>440</v>
      </c>
    </row>
    <row r="645" spans="1:7" x14ac:dyDescent="0.25">
      <c r="A645">
        <v>18424519</v>
      </c>
      <c r="B645" t="str">
        <f>VLOOKUP(A645,Planilha2!B:C,2,0)</f>
        <v>INVERSOR CFW900D96P0T4DB20Y2B</v>
      </c>
      <c r="C645" t="s">
        <v>1</v>
      </c>
      <c r="D645" t="str">
        <f>VLOOKUP(A645,Planilha2!B:H,7,0)</f>
        <v>LINHA G1</v>
      </c>
      <c r="E645" s="5">
        <v>33500</v>
      </c>
      <c r="F645">
        <f>IFERROR(
IF(ISNUMBER(FIND("CFW110",B645)),
VALUE(MID(B645,FIND("CFW110",B645)+6,FIND("T",B645,FIND("CFW110",B645))-(FIND("CFW110",B645)+6))),
IF(ISNUMBER(FIND("D",B645)),
VALUE(SUBSTITUTE(MID(B645,FIND("D",B645)+1,FIND("T",B645,FIND("D",B645))-(FIND("D",B645)+1)),"P",",")),
IF(ISNUMBER(FIND("CFW5",B645)),
VALUE(MID(B645,
IF(ISNUMBER(FIND("F",B645)),FIND("F",B645)+1,FIND("G",B645)+1),
FIND("T",B645)-(IF(ISNUMBER(FIND("F",B645)),FIND("F",B645)+1,FIND("G",B645)+1))
)),
VALUE(MID(B645,FIND("E0",B645)+2,FIND("T",B645,FIND("E0",B645))-(FIND("E0",B645)+2)))
))),"")</f>
        <v>96</v>
      </c>
      <c r="G645">
        <f>IFERROR(
IF(ISNUMBER(FIND("T2",B645)),220,
IF(ISNUMBER(FIND("T4",B645)),440,
IF(ISNUMBER(FIND("T5",B645)),575,
IF(ISNUMBER(FIND("T6",B645)),690,"")))),
"")</f>
        <v>440</v>
      </c>
    </row>
    <row r="646" spans="1:7" x14ac:dyDescent="0.25">
      <c r="A646">
        <v>18424521</v>
      </c>
      <c r="B646" t="str">
        <f>VLOOKUP(A646,Planilha2!B:C,2,0)</f>
        <v>INVERSOR CFW900D96P0T4NB20Y2B</v>
      </c>
      <c r="C646" t="s">
        <v>1</v>
      </c>
      <c r="D646" t="str">
        <f>VLOOKUP(A646,Planilha2!B:H,7,0)</f>
        <v>LINHA G1</v>
      </c>
      <c r="E646" s="5">
        <v>33500</v>
      </c>
      <c r="F646">
        <f>IFERROR(
IF(ISNUMBER(FIND("CFW110",B646)),
VALUE(MID(B646,FIND("CFW110",B646)+6,FIND("T",B646,FIND("CFW110",B646))-(FIND("CFW110",B646)+6))),
IF(ISNUMBER(FIND("D",B646)),
VALUE(SUBSTITUTE(MID(B646,FIND("D",B646)+1,FIND("T",B646,FIND("D",B646))-(FIND("D",B646)+1)),"P",",")),
IF(ISNUMBER(FIND("CFW5",B646)),
VALUE(MID(B646,
IF(ISNUMBER(FIND("F",B646)),FIND("F",B646)+1,FIND("G",B646)+1),
FIND("T",B646)-(IF(ISNUMBER(FIND("F",B646)),FIND("F",B646)+1,FIND("G",B646)+1))
)),
VALUE(MID(B646,FIND("E0",B646)+2,FIND("T",B646,FIND("E0",B646))-(FIND("E0",B646)+2)))
))),"")</f>
        <v>96</v>
      </c>
      <c r="G646">
        <f>IFERROR(
IF(ISNUMBER(FIND("T2",B646)),220,
IF(ISNUMBER(FIND("T4",B646)),440,
IF(ISNUMBER(FIND("T5",B646)),575,
IF(ISNUMBER(FIND("T6",B646)),690,"")))),
"")</f>
        <v>440</v>
      </c>
    </row>
    <row r="647" spans="1:7" x14ac:dyDescent="0.25">
      <c r="A647">
        <v>18424568</v>
      </c>
      <c r="B647" t="str">
        <f>VLOOKUP(A647,Planilha2!B:C,2,0)</f>
        <v>INVERSOR CFW900D96P0T4DB20Y2</v>
      </c>
      <c r="C647" t="s">
        <v>1</v>
      </c>
      <c r="D647" t="str">
        <f>VLOOKUP(A647,Planilha2!B:H,7,0)</f>
        <v>LINHA G1</v>
      </c>
      <c r="E647" s="5">
        <v>33500</v>
      </c>
      <c r="F647">
        <f>IFERROR(
IF(ISNUMBER(FIND("CFW110",B647)),
VALUE(MID(B647,FIND("CFW110",B647)+6,FIND("T",B647,FIND("CFW110",B647))-(FIND("CFW110",B647)+6))),
IF(ISNUMBER(FIND("D",B647)),
VALUE(SUBSTITUTE(MID(B647,FIND("D",B647)+1,FIND("T",B647,FIND("D",B647))-(FIND("D",B647)+1)),"P",",")),
IF(ISNUMBER(FIND("CFW5",B647)),
VALUE(MID(B647,
IF(ISNUMBER(FIND("F",B647)),FIND("F",B647)+1,FIND("G",B647)+1),
FIND("T",B647)-(IF(ISNUMBER(FIND("F",B647)),FIND("F",B647)+1,FIND("G",B647)+1))
)),
VALUE(MID(B647,FIND("E0",B647)+2,FIND("T",B647,FIND("E0",B647))-(FIND("E0",B647)+2)))
))),"")</f>
        <v>96</v>
      </c>
      <c r="G647">
        <f>IFERROR(
IF(ISNUMBER(FIND("T2",B647)),220,
IF(ISNUMBER(FIND("T4",B647)),440,
IF(ISNUMBER(FIND("T5",B647)),575,
IF(ISNUMBER(FIND("T6",B647)),690,"")))),
"")</f>
        <v>440</v>
      </c>
    </row>
    <row r="648" spans="1:7" x14ac:dyDescent="0.25">
      <c r="A648">
        <v>18424574</v>
      </c>
      <c r="B648" t="str">
        <f>VLOOKUP(A648,Planilha2!B:C,2,0)</f>
        <v>INVERSOR CFW900D96P0T4NB20Y2</v>
      </c>
      <c r="C648" t="s">
        <v>1</v>
      </c>
      <c r="D648" t="str">
        <f>VLOOKUP(A648,Planilha2!B:H,7,0)</f>
        <v>LINHA G1</v>
      </c>
      <c r="E648" s="5">
        <v>33500</v>
      </c>
      <c r="F648">
        <f>IFERROR(
IF(ISNUMBER(FIND("CFW110",B648)),
VALUE(MID(B648,FIND("CFW110",B648)+6,FIND("T",B648,FIND("CFW110",B648))-(FIND("CFW110",B648)+6))),
IF(ISNUMBER(FIND("D",B648)),
VALUE(SUBSTITUTE(MID(B648,FIND("D",B648)+1,FIND("T",B648,FIND("D",B648))-(FIND("D",B648)+1)),"P",",")),
IF(ISNUMBER(FIND("CFW5",B648)),
VALUE(MID(B648,
IF(ISNUMBER(FIND("F",B648)),FIND("F",B648)+1,FIND("G",B648)+1),
FIND("T",B648)-(IF(ISNUMBER(FIND("F",B648)),FIND("F",B648)+1,FIND("G",B648)+1))
)),
VALUE(MID(B648,FIND("E0",B648)+2,FIND("T",B648,FIND("E0",B648))-(FIND("E0",B648)+2)))
))),"")</f>
        <v>96</v>
      </c>
      <c r="G648">
        <f>IFERROR(
IF(ISNUMBER(FIND("T2",B648)),220,
IF(ISNUMBER(FIND("T4",B648)),440,
IF(ISNUMBER(FIND("T5",B648)),575,
IF(ISNUMBER(FIND("T6",B648)),690,"")))),
"")</f>
        <v>440</v>
      </c>
    </row>
    <row r="649" spans="1:7" x14ac:dyDescent="0.25">
      <c r="A649">
        <v>18424606</v>
      </c>
      <c r="B649" t="str">
        <f>VLOOKUP(A649,Planilha2!B:C,2,0)</f>
        <v>INVERSOR CFW900D0124T4DB20Y2B</v>
      </c>
      <c r="C649" t="s">
        <v>1</v>
      </c>
      <c r="D649" t="str">
        <f>VLOOKUP(A649,Planilha2!B:H,7,0)</f>
        <v>LINHA G1</v>
      </c>
      <c r="E649" s="5">
        <v>33500</v>
      </c>
      <c r="F649">
        <f>IFERROR(
IF(ISNUMBER(FIND("CFW110",B649)),
VALUE(MID(B649,FIND("CFW110",B649)+6,FIND("T",B649,FIND("CFW110",B649))-(FIND("CFW110",B649)+6))),
IF(ISNUMBER(FIND("D",B649)),
VALUE(SUBSTITUTE(MID(B649,FIND("D",B649)+1,FIND("T",B649,FIND("D",B649))-(FIND("D",B649)+1)),"P",",")),
IF(ISNUMBER(FIND("CFW5",B649)),
VALUE(MID(B649,
IF(ISNUMBER(FIND("F",B649)),FIND("F",B649)+1,FIND("G",B649)+1),
FIND("T",B649)-(IF(ISNUMBER(FIND("F",B649)),FIND("F",B649)+1,FIND("G",B649)+1))
)),
VALUE(MID(B649,FIND("E0",B649)+2,FIND("T",B649,FIND("E0",B649))-(FIND("E0",B649)+2)))
))),"")</f>
        <v>124</v>
      </c>
      <c r="G649">
        <f>IFERROR(
IF(ISNUMBER(FIND("T2",B649)),220,
IF(ISNUMBER(FIND("T4",B649)),440,
IF(ISNUMBER(FIND("T5",B649)),575,
IF(ISNUMBER(FIND("T6",B649)),690,"")))),
"")</f>
        <v>440</v>
      </c>
    </row>
    <row r="650" spans="1:7" x14ac:dyDescent="0.25">
      <c r="A650">
        <v>18424629</v>
      </c>
      <c r="B650" t="str">
        <f>VLOOKUP(A650,Planilha2!B:C,2,0)</f>
        <v>INVERSOR CFW900D0124T4NB20Y2B</v>
      </c>
      <c r="C650" t="s">
        <v>1</v>
      </c>
      <c r="D650" t="str">
        <f>VLOOKUP(A650,Planilha2!B:H,7,0)</f>
        <v>LINHA G1</v>
      </c>
      <c r="E650" s="5">
        <v>33500</v>
      </c>
      <c r="F650">
        <f>IFERROR(
IF(ISNUMBER(FIND("CFW110",B650)),
VALUE(MID(B650,FIND("CFW110",B650)+6,FIND("T",B650,FIND("CFW110",B650))-(FIND("CFW110",B650)+6))),
IF(ISNUMBER(FIND("D",B650)),
VALUE(SUBSTITUTE(MID(B650,FIND("D",B650)+1,FIND("T",B650,FIND("D",B650))-(FIND("D",B650)+1)),"P",",")),
IF(ISNUMBER(FIND("CFW5",B650)),
VALUE(MID(B650,
IF(ISNUMBER(FIND("F",B650)),FIND("F",B650)+1,FIND("G",B650)+1),
FIND("T",B650)-(IF(ISNUMBER(FIND("F",B650)),FIND("F",B650)+1,FIND("G",B650)+1))
)),
VALUE(MID(B650,FIND("E0",B650)+2,FIND("T",B650,FIND("E0",B650))-(FIND("E0",B650)+2)))
))),"")</f>
        <v>124</v>
      </c>
      <c r="G650">
        <f>IFERROR(
IF(ISNUMBER(FIND("T2",B650)),220,
IF(ISNUMBER(FIND("T4",B650)),440,
IF(ISNUMBER(FIND("T5",B650)),575,
IF(ISNUMBER(FIND("T6",B650)),690,"")))),
"")</f>
        <v>440</v>
      </c>
    </row>
    <row r="651" spans="1:7" x14ac:dyDescent="0.25">
      <c r="A651">
        <v>18424633</v>
      </c>
      <c r="B651" t="str">
        <f>VLOOKUP(A651,Planilha2!B:C,2,0)</f>
        <v>INVERSOR CFW900D0124T4DB20Y2</v>
      </c>
      <c r="C651" t="s">
        <v>1</v>
      </c>
      <c r="D651" t="str">
        <f>VLOOKUP(A651,Planilha2!B:H,7,0)</f>
        <v>LINHA G1</v>
      </c>
      <c r="E651" s="5">
        <v>33500</v>
      </c>
      <c r="F651">
        <f>IFERROR(
IF(ISNUMBER(FIND("CFW110",B651)),
VALUE(MID(B651,FIND("CFW110",B651)+6,FIND("T",B651,FIND("CFW110",B651))-(FIND("CFW110",B651)+6))),
IF(ISNUMBER(FIND("D",B651)),
VALUE(SUBSTITUTE(MID(B651,FIND("D",B651)+1,FIND("T",B651,FIND("D",B651))-(FIND("D",B651)+1)),"P",",")),
IF(ISNUMBER(FIND("CFW5",B651)),
VALUE(MID(B651,
IF(ISNUMBER(FIND("F",B651)),FIND("F",B651)+1,FIND("G",B651)+1),
FIND("T",B651)-(IF(ISNUMBER(FIND("F",B651)),FIND("F",B651)+1,FIND("G",B651)+1))
)),
VALUE(MID(B651,FIND("E0",B651)+2,FIND("T",B651,FIND("E0",B651))-(FIND("E0",B651)+2)))
))),"")</f>
        <v>124</v>
      </c>
      <c r="G651">
        <f>IFERROR(
IF(ISNUMBER(FIND("T2",B651)),220,
IF(ISNUMBER(FIND("T4",B651)),440,
IF(ISNUMBER(FIND("T5",B651)),575,
IF(ISNUMBER(FIND("T6",B651)),690,"")))),
"")</f>
        <v>440</v>
      </c>
    </row>
    <row r="652" spans="1:7" x14ac:dyDescent="0.25">
      <c r="A652">
        <v>18424635</v>
      </c>
      <c r="B652" t="str">
        <f>VLOOKUP(A652,Planilha2!B:C,2,0)</f>
        <v>INVERSOR CFW900D0124T4NB20Y2</v>
      </c>
      <c r="C652" t="s">
        <v>1</v>
      </c>
      <c r="D652" t="str">
        <f>VLOOKUP(A652,Planilha2!B:H,7,0)</f>
        <v>LINHA G1</v>
      </c>
      <c r="E652" s="5">
        <v>33500</v>
      </c>
      <c r="F652">
        <f>IFERROR(
IF(ISNUMBER(FIND("CFW110",B652)),
VALUE(MID(B652,FIND("CFW110",B652)+6,FIND("T",B652,FIND("CFW110",B652))-(FIND("CFW110",B652)+6))),
IF(ISNUMBER(FIND("D",B652)),
VALUE(SUBSTITUTE(MID(B652,FIND("D",B652)+1,FIND("T",B652,FIND("D",B652))-(FIND("D",B652)+1)),"P",",")),
IF(ISNUMBER(FIND("CFW5",B652)),
VALUE(MID(B652,
IF(ISNUMBER(FIND("F",B652)),FIND("F",B652)+1,FIND("G",B652)+1),
FIND("T",B652)-(IF(ISNUMBER(FIND("F",B652)),FIND("F",B652)+1,FIND("G",B652)+1))
)),
VALUE(MID(B652,FIND("E0",B652)+2,FIND("T",B652,FIND("E0",B652))-(FIND("E0",B652)+2)))
))),"")</f>
        <v>124</v>
      </c>
      <c r="G652">
        <f>IFERROR(
IF(ISNUMBER(FIND("T2",B652)),220,
IF(ISNUMBER(FIND("T4",B652)),440,
IF(ISNUMBER(FIND("T5",B652)),575,
IF(ISNUMBER(FIND("T6",B652)),690,"")))),
"")</f>
        <v>440</v>
      </c>
    </row>
    <row r="653" spans="1:7" x14ac:dyDescent="0.25">
      <c r="A653">
        <v>18424637</v>
      </c>
      <c r="B653" t="str">
        <f>VLOOKUP(A653,Planilha2!B:C,2,0)</f>
        <v>INVERSOR CFW900D0146T4DB20Y2B</v>
      </c>
      <c r="C653" t="s">
        <v>1</v>
      </c>
      <c r="D653" t="str">
        <f>VLOOKUP(A653,Planilha2!B:H,7,0)</f>
        <v>LINHA G1</v>
      </c>
      <c r="E653" s="5">
        <v>33500</v>
      </c>
      <c r="F653">
        <f>IFERROR(
IF(ISNUMBER(FIND("CFW110",B653)),
VALUE(MID(B653,FIND("CFW110",B653)+6,FIND("T",B653,FIND("CFW110",B653))-(FIND("CFW110",B653)+6))),
IF(ISNUMBER(FIND("D",B653)),
VALUE(SUBSTITUTE(MID(B653,FIND("D",B653)+1,FIND("T",B653,FIND("D",B653))-(FIND("D",B653)+1)),"P",",")),
IF(ISNUMBER(FIND("CFW5",B653)),
VALUE(MID(B653,
IF(ISNUMBER(FIND("F",B653)),FIND("F",B653)+1,FIND("G",B653)+1),
FIND("T",B653)-(IF(ISNUMBER(FIND("F",B653)),FIND("F",B653)+1,FIND("G",B653)+1))
)),
VALUE(MID(B653,FIND("E0",B653)+2,FIND("T",B653,FIND("E0",B653))-(FIND("E0",B653)+2)))
))),"")</f>
        <v>146</v>
      </c>
      <c r="G653">
        <f>IFERROR(
IF(ISNUMBER(FIND("T2",B653)),220,
IF(ISNUMBER(FIND("T4",B653)),440,
IF(ISNUMBER(FIND("T5",B653)),575,
IF(ISNUMBER(FIND("T6",B653)),690,"")))),
"")</f>
        <v>440</v>
      </c>
    </row>
    <row r="654" spans="1:7" x14ac:dyDescent="0.25">
      <c r="A654">
        <v>18424718</v>
      </c>
      <c r="B654" t="str">
        <f>VLOOKUP(A654,Planilha2!B:C,2,0)</f>
        <v>INVERSOR CFW900D0146T4NB20Y2B</v>
      </c>
      <c r="C654" t="s">
        <v>1</v>
      </c>
      <c r="D654" t="str">
        <f>VLOOKUP(A654,Planilha2!B:H,7,0)</f>
        <v>LINHA G1</v>
      </c>
      <c r="E654" s="5">
        <v>33500</v>
      </c>
      <c r="F654">
        <f>IFERROR(
IF(ISNUMBER(FIND("CFW110",B654)),
VALUE(MID(B654,FIND("CFW110",B654)+6,FIND("T",B654,FIND("CFW110",B654))-(FIND("CFW110",B654)+6))),
IF(ISNUMBER(FIND("D",B654)),
VALUE(SUBSTITUTE(MID(B654,FIND("D",B654)+1,FIND("T",B654,FIND("D",B654))-(FIND("D",B654)+1)),"P",",")),
IF(ISNUMBER(FIND("CFW5",B654)),
VALUE(MID(B654,
IF(ISNUMBER(FIND("F",B654)),FIND("F",B654)+1,FIND("G",B654)+1),
FIND("T",B654)-(IF(ISNUMBER(FIND("F",B654)),FIND("F",B654)+1,FIND("G",B654)+1))
)),
VALUE(MID(B654,FIND("E0",B654)+2,FIND("T",B654,FIND("E0",B654))-(FIND("E0",B654)+2)))
))),"")</f>
        <v>146</v>
      </c>
      <c r="G654">
        <f>IFERROR(
IF(ISNUMBER(FIND("T2",B654)),220,
IF(ISNUMBER(FIND("T4",B654)),440,
IF(ISNUMBER(FIND("T5",B654)),575,
IF(ISNUMBER(FIND("T6",B654)),690,"")))),
"")</f>
        <v>440</v>
      </c>
    </row>
    <row r="655" spans="1:7" x14ac:dyDescent="0.25">
      <c r="A655">
        <v>18424720</v>
      </c>
      <c r="B655" t="str">
        <f>VLOOKUP(A655,Planilha2!B:C,2,0)</f>
        <v>INVERSOR CFW900D0146T4DB20Y2</v>
      </c>
      <c r="C655" t="s">
        <v>1</v>
      </c>
      <c r="D655" t="str">
        <f>VLOOKUP(A655,Planilha2!B:H,7,0)</f>
        <v>LINHA G1</v>
      </c>
      <c r="E655" s="5">
        <v>33500</v>
      </c>
      <c r="F655">
        <f>IFERROR(
IF(ISNUMBER(FIND("CFW110",B655)),
VALUE(MID(B655,FIND("CFW110",B655)+6,FIND("T",B655,FIND("CFW110",B655))-(FIND("CFW110",B655)+6))),
IF(ISNUMBER(FIND("D",B655)),
VALUE(SUBSTITUTE(MID(B655,FIND("D",B655)+1,FIND("T",B655,FIND("D",B655))-(FIND("D",B655)+1)),"P",",")),
IF(ISNUMBER(FIND("CFW5",B655)),
VALUE(MID(B655,
IF(ISNUMBER(FIND("F",B655)),FIND("F",B655)+1,FIND("G",B655)+1),
FIND("T",B655)-(IF(ISNUMBER(FIND("F",B655)),FIND("F",B655)+1,FIND("G",B655)+1))
)),
VALUE(MID(B655,FIND("E0",B655)+2,FIND("T",B655,FIND("E0",B655))-(FIND("E0",B655)+2)))
))),"")</f>
        <v>146</v>
      </c>
      <c r="G655">
        <f>IFERROR(
IF(ISNUMBER(FIND("T2",B655)),220,
IF(ISNUMBER(FIND("T4",B655)),440,
IF(ISNUMBER(FIND("T5",B655)),575,
IF(ISNUMBER(FIND("T6",B655)),690,"")))),
"")</f>
        <v>440</v>
      </c>
    </row>
    <row r="656" spans="1:7" x14ac:dyDescent="0.25">
      <c r="A656">
        <v>18424722</v>
      </c>
      <c r="B656" t="str">
        <f>VLOOKUP(A656,Planilha2!B:C,2,0)</f>
        <v>INVERSOR CFW900D0146T4NB20Y2</v>
      </c>
      <c r="C656" t="s">
        <v>1</v>
      </c>
      <c r="D656" t="str">
        <f>VLOOKUP(A656,Planilha2!B:H,7,0)</f>
        <v>LINHA G1</v>
      </c>
      <c r="E656" s="5">
        <v>33500</v>
      </c>
      <c r="F656">
        <f>IFERROR(
IF(ISNUMBER(FIND("CFW110",B656)),
VALUE(MID(B656,FIND("CFW110",B656)+6,FIND("T",B656,FIND("CFW110",B656))-(FIND("CFW110",B656)+6))),
IF(ISNUMBER(FIND("D",B656)),
VALUE(SUBSTITUTE(MID(B656,FIND("D",B656)+1,FIND("T",B656,FIND("D",B656))-(FIND("D",B656)+1)),"P",",")),
IF(ISNUMBER(FIND("CFW5",B656)),
VALUE(MID(B656,
IF(ISNUMBER(FIND("F",B656)),FIND("F",B656)+1,FIND("G",B656)+1),
FIND("T",B656)-(IF(ISNUMBER(FIND("F",B656)),FIND("F",B656)+1,FIND("G",B656)+1))
)),
VALUE(MID(B656,FIND("E0",B656)+2,FIND("T",B656,FIND("E0",B656))-(FIND("E0",B656)+2)))
))),"")</f>
        <v>146</v>
      </c>
      <c r="G656">
        <f>IFERROR(
IF(ISNUMBER(FIND("T2",B656)),220,
IF(ISNUMBER(FIND("T4",B656)),440,
IF(ISNUMBER(FIND("T5",B656)),575,
IF(ISNUMBER(FIND("T6",B656)),690,"")))),
"")</f>
        <v>440</v>
      </c>
    </row>
    <row r="657" spans="1:7" x14ac:dyDescent="0.25">
      <c r="A657">
        <v>18522850</v>
      </c>
      <c r="B657" t="str">
        <f>VLOOKUP(A657,Planilha2!B:C,2,0)</f>
        <v>INVERSOR CFW900C62P0T4DB20Y2BHEC</v>
      </c>
      <c r="C657" t="s">
        <v>1</v>
      </c>
      <c r="D657" t="str">
        <f>VLOOKUP(A657,Planilha2!B:H,7,0)</f>
        <v>LINHA M1</v>
      </c>
      <c r="E657" s="5">
        <v>18500</v>
      </c>
      <c r="F657" t="str">
        <f>IFERROR(
IF(ISNUMBER(FIND("CFW110",B657)),
VALUE(MID(B657,FIND("CFW110",B657)+6,FIND("T",B657,FIND("CFW110",B657))-(FIND("CFW110",B657)+6))),
IF(ISNUMBER(FIND("D",B657)),
VALUE(SUBSTITUTE(MID(B657,FIND("D",B657)+1,FIND("T",B657,FIND("D",B657))-(FIND("D",B657)+1)),"P",",")),
IF(ISNUMBER(FIND("CFW5",B657)),
VALUE(MID(B657,
IF(ISNUMBER(FIND("F",B657)),FIND("F",B657)+1,FIND("G",B657)+1),
FIND("T",B657)-(IF(ISNUMBER(FIND("F",B657)),FIND("F",B657)+1,FIND("G",B657)+1))
)),
VALUE(MID(B657,FIND("E0",B657)+2,FIND("T",B657,FIND("E0",B657))-(FIND("E0",B657)+2)))
))),"")</f>
        <v/>
      </c>
      <c r="G657">
        <f>IFERROR(
IF(ISNUMBER(FIND("T2",B657)),220,
IF(ISNUMBER(FIND("T4",B657)),440,
IF(ISNUMBER(FIND("T5",B657)),575,
IF(ISNUMBER(FIND("T6",B657)),690,"")))),
"")</f>
        <v>440</v>
      </c>
    </row>
    <row r="658" spans="1:7" x14ac:dyDescent="0.25">
      <c r="A658">
        <v>18523302</v>
      </c>
      <c r="B658" t="str">
        <f>VLOOKUP(A658,Planilha2!B:C,2,0)</f>
        <v>INVERSOR CFW900D96P0T4NB20Y2BHEC</v>
      </c>
      <c r="C658" t="s">
        <v>1</v>
      </c>
      <c r="D658" t="str">
        <f>VLOOKUP(A658,Planilha2!B:H,7,0)</f>
        <v>LINHA G1</v>
      </c>
      <c r="E658" s="5">
        <v>33500</v>
      </c>
      <c r="F658">
        <f>IFERROR(
IF(ISNUMBER(FIND("CFW110",B658)),
VALUE(MID(B658,FIND("CFW110",B658)+6,FIND("T",B658,FIND("CFW110",B658))-(FIND("CFW110",B658)+6))),
IF(ISNUMBER(FIND("D",B658)),
VALUE(SUBSTITUTE(MID(B658,FIND("D",B658)+1,FIND("T",B658,FIND("D",B658))-(FIND("D",B658)+1)),"P",",")),
IF(ISNUMBER(FIND("CFW5",B658)),
VALUE(MID(B658,
IF(ISNUMBER(FIND("F",B658)),FIND("F",B658)+1,FIND("G",B658)+1),
FIND("T",B658)-(IF(ISNUMBER(FIND("F",B658)),FIND("F",B658)+1,FIND("G",B658)+1))
)),
VALUE(MID(B658,FIND("E0",B658)+2,FIND("T",B658,FIND("E0",B658))-(FIND("E0",B658)+2)))
))),"")</f>
        <v>96</v>
      </c>
      <c r="G658">
        <f>IFERROR(
IF(ISNUMBER(FIND("T2",B658)),220,
IF(ISNUMBER(FIND("T4",B658)),440,
IF(ISNUMBER(FIND("T5",B658)),575,
IF(ISNUMBER(FIND("T6",B658)),690,"")))),
"")</f>
        <v>440</v>
      </c>
    </row>
    <row r="659" spans="1:7" x14ac:dyDescent="0.25">
      <c r="A659">
        <v>18525932</v>
      </c>
      <c r="B659" t="str">
        <f>VLOOKUP(A659,Planilha2!B:C,2,0)</f>
        <v>INVERSOR CFW900D0146T4NB20Y2BHEC</v>
      </c>
      <c r="C659" t="s">
        <v>1</v>
      </c>
      <c r="D659" t="str">
        <f>VLOOKUP(A659,Planilha2!B:H,7,0)</f>
        <v>LINHA G1</v>
      </c>
      <c r="E659" s="5">
        <v>33500</v>
      </c>
      <c r="F659">
        <f>IFERROR(
IF(ISNUMBER(FIND("CFW110",B659)),
VALUE(MID(B659,FIND("CFW110",B659)+6,FIND("T",B659,FIND("CFW110",B659))-(FIND("CFW110",B659)+6))),
IF(ISNUMBER(FIND("D",B659)),
VALUE(SUBSTITUTE(MID(B659,FIND("D",B659)+1,FIND("T",B659,FIND("D",B659))-(FIND("D",B659)+1)),"P",",")),
IF(ISNUMBER(FIND("CFW5",B659)),
VALUE(MID(B659,
IF(ISNUMBER(FIND("F",B659)),FIND("F",B659)+1,FIND("G",B659)+1),
FIND("T",B659)-(IF(ISNUMBER(FIND("F",B659)),FIND("F",B659)+1,FIND("G",B659)+1))
)),
VALUE(MID(B659,FIND("E0",B659)+2,FIND("T",B659,FIND("E0",B659))-(FIND("E0",B659)+2)))
))),"")</f>
        <v>146</v>
      </c>
      <c r="G659">
        <f>IFERROR(
IF(ISNUMBER(FIND("T2",B659)),220,
IF(ISNUMBER(FIND("T4",B659)),440,
IF(ISNUMBER(FIND("T5",B659)),575,
IF(ISNUMBER(FIND("T6",B659)),690,"")))),
"")</f>
        <v>440</v>
      </c>
    </row>
    <row r="660" spans="1:7" x14ac:dyDescent="0.25">
      <c r="A660">
        <v>11130183</v>
      </c>
      <c r="B660" t="str">
        <f>VLOOKUP(A660,Planilha2!B:C,2,0)</f>
        <v>INVERSOR BRCFW110045T4OWZ</v>
      </c>
      <c r="C660" t="s">
        <v>1</v>
      </c>
      <c r="D660" t="str">
        <f>VLOOKUP(A660,Planilha2!B:H,7,0)</f>
        <v>LINHA M1</v>
      </c>
      <c r="E660" s="5">
        <v>20870</v>
      </c>
      <c r="F660">
        <f>IFERROR(
IF(ISNUMBER(FIND("CFW110",B660)),
VALUE(MID(B660,FIND("CFW110",B660)+6,FIND("T",B660,FIND("CFW110",B660))-(FIND("CFW110",B660)+6))),
IF(ISNUMBER(FIND("D",B660)),
VALUE(SUBSTITUTE(MID(B660,FIND("D",B660)+1,FIND("T",B660,FIND("D",B660))-(FIND("D",B660)+1)),"P",",")),
IF(ISNUMBER(FIND("CFW5",B660)),
VALUE(MID(B660,
IF(ISNUMBER(FIND("F",B660)),FIND("F",B660)+1,FIND("G",B660)+1),
FIND("T",B660)-(IF(ISNUMBER(FIND("F",B660)),FIND("F",B660)+1,FIND("G",B660)+1))
)),
VALUE(MID(B660,FIND("E0",B660)+2,FIND("T",B660,FIND("E0",B660))-(FIND("E0",B660)+2)))
))),"")</f>
        <v>45</v>
      </c>
      <c r="G660">
        <f>IFERROR(
IF(ISNUMBER(FIND("T2",B660)),220,
IF(ISNUMBER(FIND("T4",B660)),440,
IF(ISNUMBER(FIND("T5",B660)),575,
IF(ISNUMBER(FIND("T6",B660)),690,"")))),
"")</f>
        <v>440</v>
      </c>
    </row>
    <row r="661" spans="1:7" x14ac:dyDescent="0.25">
      <c r="A661">
        <v>10193877</v>
      </c>
      <c r="B661" t="str">
        <f>VLOOKUP(A661,Planilha2!B:C,2,0)</f>
        <v>INVERSOR BRCFW110058T4OFAZ</v>
      </c>
      <c r="C661" t="s">
        <v>1</v>
      </c>
      <c r="D661" t="str">
        <f>VLOOKUP(A661,Planilha2!B:H,7,0)</f>
        <v>LINHA M1</v>
      </c>
      <c r="E661" s="5">
        <v>20600</v>
      </c>
      <c r="F661">
        <f>IFERROR(
IF(ISNUMBER(FIND("CFW110",B661)),
VALUE(MID(B661,FIND("CFW110",B661)+6,FIND("T",B661,FIND("CFW110",B661))-(FIND("CFW110",B661)+6))),
IF(ISNUMBER(FIND("D",B661)),
VALUE(SUBSTITUTE(MID(B661,FIND("D",B661)+1,FIND("T",B661,FIND("D",B661))-(FIND("D",B661)+1)),"P",",")),
IF(ISNUMBER(FIND("CFW5",B661)),
VALUE(MID(B661,
IF(ISNUMBER(FIND("F",B661)),FIND("F",B661)+1,FIND("G",B661)+1),
FIND("T",B661)-(IF(ISNUMBER(FIND("F",B661)),FIND("F",B661)+1,FIND("G",B661)+1))
)),
VALUE(MID(B661,FIND("E0",B661)+2,FIND("T",B661,FIND("E0",B661))-(FIND("E0",B661)+2)))
))),"")</f>
        <v>58</v>
      </c>
      <c r="G661">
        <f>IFERROR(
IF(ISNUMBER(FIND("T2",B661)),220,
IF(ISNUMBER(FIND("T4",B661)),440,
IF(ISNUMBER(FIND("T5",B661)),575,
IF(ISNUMBER(FIND("T6",B661)),690,"")))),
"")</f>
        <v>440</v>
      </c>
    </row>
    <row r="662" spans="1:7" x14ac:dyDescent="0.25">
      <c r="A662">
        <v>13537860</v>
      </c>
      <c r="B662" t="str">
        <f>VLOOKUP(A662,Planilha2!B:C,2,0)</f>
        <v>INVERSOR BRCFW110058T4O55Z</v>
      </c>
      <c r="C662" t="s">
        <v>1</v>
      </c>
      <c r="D662" t="str">
        <f>VLOOKUP(A662,Planilha2!B:H,7,0)</f>
        <v>LINHA M3</v>
      </c>
      <c r="E662" s="5">
        <v>40000</v>
      </c>
      <c r="F662">
        <f>IFERROR(
IF(ISNUMBER(FIND("CFW110",B662)),
VALUE(MID(B662,FIND("CFW110",B662)+6,FIND("T",B662,FIND("CFW110",B662))-(FIND("CFW110",B662)+6))),
IF(ISNUMBER(FIND("D",B662)),
VALUE(SUBSTITUTE(MID(B662,FIND("D",B662)+1,FIND("T",B662,FIND("D",B662))-(FIND("D",B662)+1)),"P",",")),
IF(ISNUMBER(FIND("CFW5",B662)),
VALUE(MID(B662,
IF(ISNUMBER(FIND("F",B662)),FIND("F",B662)+1,FIND("G",B662)+1),
FIND("T",B662)-(IF(ISNUMBER(FIND("F",B662)),FIND("F",B662)+1,FIND("G",B662)+1))
)),
VALUE(MID(B662,FIND("E0",B662)+2,FIND("T",B662,FIND("E0",B662))-(FIND("E0",B662)+2)))
))),"")</f>
        <v>58</v>
      </c>
      <c r="G662">
        <f>IFERROR(
IF(ISNUMBER(FIND("T2",B662)),220,
IF(ISNUMBER(FIND("T4",B662)),440,
IF(ISNUMBER(FIND("T5",B662)),575,
IF(ISNUMBER(FIND("T6",B662)),690,"")))),
"")</f>
        <v>440</v>
      </c>
    </row>
    <row r="663" spans="1:7" x14ac:dyDescent="0.25">
      <c r="A663">
        <v>18541076</v>
      </c>
      <c r="B663" t="str">
        <f>VLOOKUP(A663,Planilha2!B:C,2,0)</f>
        <v>INVERSOR EUCFW110058T4OHALPCPZ</v>
      </c>
      <c r="C663" t="s">
        <v>1</v>
      </c>
      <c r="D663" t="str">
        <f>VLOOKUP(A663,Planilha2!B:H,7,0)</f>
        <v>LINHA M1</v>
      </c>
      <c r="E663" s="5">
        <v>4675</v>
      </c>
      <c r="F663">
        <f>IFERROR(
IF(ISNUMBER(FIND("CFW110",B663)),
VALUE(MID(B663,FIND("CFW110",B663)+6,FIND("T",B663,FIND("CFW110",B663))-(FIND("CFW110",B663)+6))),
IF(ISNUMBER(FIND("D",B663)),
VALUE(SUBSTITUTE(MID(B663,FIND("D",B663)+1,FIND("T",B663,FIND("D",B663))-(FIND("D",B663)+1)),"P",",")),
IF(ISNUMBER(FIND("CFW5",B663)),
VALUE(MID(B663,
IF(ISNUMBER(FIND("F",B663)),FIND("F",B663)+1,FIND("G",B663)+1),
FIND("T",B663)-(IF(ISNUMBER(FIND("F",B663)),FIND("F",B663)+1,FIND("G",B663)+1))
)),
VALUE(MID(B663,FIND("E0",B663)+2,FIND("T",B663,FIND("E0",B663))-(FIND("E0",B663)+2)))
))),"")</f>
        <v>58</v>
      </c>
      <c r="G663">
        <f>IFERROR(
IF(ISNUMBER(FIND("T2",B663)),220,
IF(ISNUMBER(FIND("T4",B663)),440,
IF(ISNUMBER(FIND("T5",B663)),575,
IF(ISNUMBER(FIND("T6",B663)),690,"")))),
"")</f>
        <v>440</v>
      </c>
    </row>
    <row r="664" spans="1:7" x14ac:dyDescent="0.25">
      <c r="A664">
        <v>10193864</v>
      </c>
      <c r="B664" t="str">
        <f>VLOOKUP(A664,Planilha2!B:C,2,0)</f>
        <v>INVERSOR BRCFW110038T4SZ</v>
      </c>
      <c r="C664" t="s">
        <v>1</v>
      </c>
      <c r="D664" t="str">
        <f>VLOOKUP(A664,Planilha2!B:H,7,0)</f>
        <v>LINHA M1</v>
      </c>
      <c r="E664" s="5">
        <v>16400</v>
      </c>
      <c r="F664">
        <f>IFERROR(
IF(ISNUMBER(FIND("CFW110",B664)),
VALUE(MID(B664,FIND("CFW110",B664)+6,FIND("T",B664,FIND("CFW110",B664))-(FIND("CFW110",B664)+6))),
IF(ISNUMBER(FIND("D",B664)),
VALUE(SUBSTITUTE(MID(B664,FIND("D",B664)+1,FIND("T",B664,FIND("D",B664))-(FIND("D",B664)+1)),"P",",")),
IF(ISNUMBER(FIND("CFW5",B664)),
VALUE(MID(B664,
IF(ISNUMBER(FIND("F",B664)),FIND("F",B664)+1,FIND("G",B664)+1),
FIND("T",B664)-(IF(ISNUMBER(FIND("F",B664)),FIND("F",B664)+1,FIND("G",B664)+1))
)),
VALUE(MID(B664,FIND("E0",B664)+2,FIND("T",B664,FIND("E0",B664))-(FIND("E0",B664)+2)))
))),"")</f>
        <v>38</v>
      </c>
      <c r="G664">
        <f>IFERROR(
IF(ISNUMBER(FIND("T2",B664)),220,
IF(ISNUMBER(FIND("T4",B664)),440,
IF(ISNUMBER(FIND("T5",B664)),575,
IF(ISNUMBER(FIND("T6",B664)),690,"")))),
"")</f>
        <v>440</v>
      </c>
    </row>
    <row r="665" spans="1:7" x14ac:dyDescent="0.25">
      <c r="A665">
        <v>17910078</v>
      </c>
      <c r="B665" t="str">
        <f>VLOOKUP(A665,Planilha2!B:C,2,0)</f>
        <v>INVERSOR BRCFW110070T2OFAYZ</v>
      </c>
      <c r="C665" t="s">
        <v>1</v>
      </c>
      <c r="D665" t="str">
        <f>VLOOKUP(A665,Planilha2!B:H,7,0)</f>
        <v>LINHA M1</v>
      </c>
      <c r="E665" s="5">
        <v>16000</v>
      </c>
      <c r="F665">
        <f>IFERROR(
IF(ISNUMBER(FIND("CFW110",B665)),
VALUE(MID(B665,FIND("CFW110",B665)+6,FIND("T",B665,FIND("CFW110",B665))-(FIND("CFW110",B665)+6))),
IF(ISNUMBER(FIND("D",B665)),
VALUE(SUBSTITUTE(MID(B665,FIND("D",B665)+1,FIND("T",B665,FIND("D",B665))-(FIND("D",B665)+1)),"P",",")),
IF(ISNUMBER(FIND("CFW5",B665)),
VALUE(MID(B665,
IF(ISNUMBER(FIND("F",B665)),FIND("F",B665)+1,FIND("G",B665)+1),
FIND("T",B665)-(IF(ISNUMBER(FIND("F",B665)),FIND("F",B665)+1,FIND("G",B665)+1))
)),
VALUE(MID(B665,FIND("E0",B665)+2,FIND("T",B665,FIND("E0",B665))-(FIND("E0",B665)+2)))
))),"")</f>
        <v>70</v>
      </c>
      <c r="G665">
        <f>IFERROR(
IF(ISNUMBER(FIND("T2",B665)),220,
IF(ISNUMBER(FIND("T4",B665)),440,
IF(ISNUMBER(FIND("T5",B665)),575,
IF(ISNUMBER(FIND("T6",B665)),690,"")))),
"")</f>
        <v>220</v>
      </c>
    </row>
    <row r="666" spans="1:7" x14ac:dyDescent="0.25">
      <c r="A666">
        <v>18189968</v>
      </c>
      <c r="B666" t="str">
        <f>VLOOKUP(A666,Planilha2!B:C,2,0)</f>
        <v>INVERSOR BRCFW110007T6ONFYZ</v>
      </c>
      <c r="C666" t="s">
        <v>1</v>
      </c>
      <c r="D666" t="str">
        <f>VLOOKUP(A666,Planilha2!B:H,7,0)</f>
        <v>LINHA M3</v>
      </c>
      <c r="E666" s="5">
        <v>26000</v>
      </c>
      <c r="F666">
        <f>IFERROR(
IF(ISNUMBER(FIND("CFW110",B666)),
VALUE(MID(B666,FIND("CFW110",B666)+6,FIND("T",B666,FIND("CFW110",B666))-(FIND("CFW110",B666)+6))),
IF(ISNUMBER(FIND("D",B666)),
VALUE(SUBSTITUTE(MID(B666,FIND("D",B666)+1,FIND("T",B666,FIND("D",B666))-(FIND("D",B666)+1)),"P",",")),
IF(ISNUMBER(FIND("CFW5",B666)),
VALUE(MID(B666,
IF(ISNUMBER(FIND("F",B666)),FIND("F",B666)+1,FIND("G",B666)+1),
FIND("T",B666)-(IF(ISNUMBER(FIND("F",B666)),FIND("F",B666)+1,FIND("G",B666)+1))
)),
VALUE(MID(B666,FIND("E0",B666)+2,FIND("T",B666,FIND("E0",B666))-(FIND("E0",B666)+2)))
))),"")</f>
        <v>7</v>
      </c>
      <c r="G666">
        <f>IFERROR(
IF(ISNUMBER(FIND("T2",B666)),220,
IF(ISNUMBER(FIND("T4",B666)),440,
IF(ISNUMBER(FIND("T5",B666)),575,
IF(ISNUMBER(FIND("T6",B666)),690,"")))),
"")</f>
        <v>690</v>
      </c>
    </row>
    <row r="667" spans="1:7" x14ac:dyDescent="0.25">
      <c r="A667">
        <v>18694315</v>
      </c>
      <c r="B667" t="str">
        <f>VLOOKUP(A667,Planilha2!B:C,2,0)</f>
        <v>INVERSOR CFW500F77P0T4DB20C3G2-UI</v>
      </c>
      <c r="C667" t="s">
        <v>1</v>
      </c>
      <c r="D667" t="str">
        <f>VLOOKUP(A667,Planilha2!B:H,7,0)</f>
        <v>LINHA M3</v>
      </c>
      <c r="E667" s="5">
        <v>26000</v>
      </c>
      <c r="F667" t="str">
        <f>IFERROR(
IF(ISNUMBER(FIND("CFW110",B667)),
VALUE(MID(B667,FIND("CFW110",B667)+6,FIND("T",B667,FIND("CFW110",B667))-(FIND("CFW110",B667)+6))),
IF(ISNUMBER(FIND("D",B667)),
VALUE(SUBSTITUTE(MID(B667,FIND("D",B667)+1,FIND("T",B667,FIND("D",B667))-(FIND("D",B667)+1)),"P",",")),
IF(ISNUMBER(FIND("CFW5",B667)),
VALUE(MID(B667,
IF(ISNUMBER(FIND("F",B667)),FIND("F",B667)+1,FIND("G",B667)+1),
FIND("T",B667)-(IF(ISNUMBER(FIND("F",B667)),FIND("F",B667)+1,FIND("G",B667)+1))
)),
VALUE(MID(B667,FIND("E0",B667)+2,FIND("T",B667,FIND("E0",B667))-(FIND("E0",B667)+2)))
))),"")</f>
        <v/>
      </c>
      <c r="G667">
        <f>IFERROR(
IF(ISNUMBER(FIND("T2",B667)),220,
IF(ISNUMBER(FIND("T4",B667)),440,
IF(ISNUMBER(FIND("T5",B667)),575,
IF(ISNUMBER(FIND("T6",B667)),690,"")))),
"")</f>
        <v>440</v>
      </c>
    </row>
    <row r="668" spans="1:7" x14ac:dyDescent="0.25">
      <c r="A668">
        <v>18694401</v>
      </c>
      <c r="B668" t="str">
        <f>VLOOKUP(A668,Planilha2!B:C,2,0)</f>
        <v>INVERSOR CFW500F88P0T4DB20C3G2-UI</v>
      </c>
      <c r="C668" t="s">
        <v>1</v>
      </c>
      <c r="D668" t="str">
        <f>VLOOKUP(A668,Planilha2!B:H,7,0)</f>
        <v>LINHA M3</v>
      </c>
      <c r="E668" s="5">
        <v>26000</v>
      </c>
      <c r="F668" t="str">
        <f>IFERROR(
IF(ISNUMBER(FIND("CFW110",B668)),
VALUE(MID(B668,FIND("CFW110",B668)+6,FIND("T",B668,FIND("CFW110",B668))-(FIND("CFW110",B668)+6))),
IF(ISNUMBER(FIND("D",B668)),
VALUE(SUBSTITUTE(MID(B668,FIND("D",B668)+1,FIND("T",B668,FIND("D",B668))-(FIND("D",B668)+1)),"P",",")),
IF(ISNUMBER(FIND("CFW5",B668)),
VALUE(MID(B668,
IF(ISNUMBER(FIND("F",B668)),FIND("F",B668)+1,FIND("G",B668)+1),
FIND("T",B668)-(IF(ISNUMBER(FIND("F",B668)),FIND("F",B668)+1,FIND("G",B668)+1))
)),
VALUE(MID(B668,FIND("E0",B668)+2,FIND("T",B668,FIND("E0",B668))-(FIND("E0",B668)+2)))
))),"")</f>
        <v/>
      </c>
      <c r="G668">
        <f>IFERROR(
IF(ISNUMBER(FIND("T2",B668)),220,
IF(ISNUMBER(FIND("T4",B668)),440,
IF(ISNUMBER(FIND("T5",B668)),575,
IF(ISNUMBER(FIND("T6",B668)),690,"")))),
"")</f>
        <v>440</v>
      </c>
    </row>
    <row r="669" spans="1:7" x14ac:dyDescent="0.25">
      <c r="A669">
        <v>18694404</v>
      </c>
      <c r="B669" t="str">
        <f>VLOOKUP(A669,Planilha2!B:C,2,0)</f>
        <v>INVERSOR CFW500F0105T4DB20C3G2-UI</v>
      </c>
      <c r="C669" t="s">
        <v>1</v>
      </c>
      <c r="D669" t="str">
        <f>VLOOKUP(A669,Planilha2!B:H,7,0)</f>
        <v>LINHA M3</v>
      </c>
      <c r="E669" s="5">
        <v>26000</v>
      </c>
      <c r="F669" t="str">
        <f>IFERROR(
IF(ISNUMBER(FIND("CFW110",B669)),
VALUE(MID(B669,FIND("CFW110",B669)+6,FIND("T",B669,FIND("CFW110",B669))-(FIND("CFW110",B669)+6))),
IF(ISNUMBER(FIND("D",B669)),
VALUE(SUBSTITUTE(MID(B669,FIND("D",B669)+1,FIND("T",B669,FIND("D",B669))-(FIND("D",B669)+1)),"P",",")),
IF(ISNUMBER(FIND("CFW5",B669)),
VALUE(MID(B669,
IF(ISNUMBER(FIND("F",B669)),FIND("F",B669)+1,FIND("G",B669)+1),
FIND("T",B669)-(IF(ISNUMBER(FIND("F",B669)),FIND("F",B669)+1,FIND("G",B669)+1))
)),
VALUE(MID(B669,FIND("E0",B669)+2,FIND("T",B669,FIND("E0",B669))-(FIND("E0",B669)+2)))
))),"")</f>
        <v/>
      </c>
      <c r="G669">
        <f>IFERROR(
IF(ISNUMBER(FIND("T2",B669)),220,
IF(ISNUMBER(FIND("T4",B669)),440,
IF(ISNUMBER(FIND("T5",B669)),575,
IF(ISNUMBER(FIND("T6",B669)),690,"")))),
"")</f>
        <v>440</v>
      </c>
    </row>
    <row r="670" spans="1:7" x14ac:dyDescent="0.25">
      <c r="A670">
        <v>18694490</v>
      </c>
      <c r="B670" t="str">
        <f>VLOOKUP(A670,Planilha2!B:C,2,0)</f>
        <v>INVERSOR CFW500G0142T4NB20C3G2-UI</v>
      </c>
      <c r="C670" t="s">
        <v>1</v>
      </c>
      <c r="D670" t="str">
        <f>VLOOKUP(A670,Planilha2!B:H,7,0)</f>
        <v>LINHA G1</v>
      </c>
      <c r="E670" s="5">
        <v>45000</v>
      </c>
      <c r="F670" t="str">
        <f>IFERROR(
IF(ISNUMBER(FIND("CFW110",B670)),
VALUE(MID(B670,FIND("CFW110",B670)+6,FIND("T",B670,FIND("CFW110",B670))-(FIND("CFW110",B670)+6))),
IF(ISNUMBER(FIND("D",B670)),
VALUE(SUBSTITUTE(MID(B670,FIND("D",B670)+1,FIND("T",B670,FIND("D",B670))-(FIND("D",B670)+1)),"P",",")),
IF(ISNUMBER(FIND("CFW5",B670)),
VALUE(MID(B670,
IF(ISNUMBER(FIND("F",B670)),FIND("F",B670)+1,FIND("G",B670)+1),
FIND("T",B670)-(IF(ISNUMBER(FIND("F",B670)),FIND("F",B670)+1,FIND("G",B670)+1))
)),
VALUE(MID(B670,FIND("E0",B670)+2,FIND("T",B670,FIND("E0",B670))-(FIND("E0",B670)+2)))
))),"")</f>
        <v/>
      </c>
      <c r="G670">
        <f>IFERROR(
IF(ISNUMBER(FIND("T2",B670)),220,
IF(ISNUMBER(FIND("T4",B670)),440,
IF(ISNUMBER(FIND("T5",B670)),575,
IF(ISNUMBER(FIND("T6",B670)),690,"")))),
"")</f>
        <v>440</v>
      </c>
    </row>
    <row r="671" spans="1:7" x14ac:dyDescent="0.25">
      <c r="A671">
        <v>18694493</v>
      </c>
      <c r="B671" t="str">
        <f>VLOOKUP(A671,Planilha2!B:C,2,0)</f>
        <v>INVERSOR CFW500G0180T4NB20C3G2-UI</v>
      </c>
      <c r="C671" t="s">
        <v>1</v>
      </c>
      <c r="D671" t="str">
        <f>VLOOKUP(A671,Planilha2!B:H,7,0)</f>
        <v>LINHA G1</v>
      </c>
      <c r="E671" s="5">
        <v>45000</v>
      </c>
      <c r="F671" t="str">
        <f>IFERROR(
IF(ISNUMBER(FIND("CFW110",B671)),
VALUE(MID(B671,FIND("CFW110",B671)+6,FIND("T",B671,FIND("CFW110",B671))-(FIND("CFW110",B671)+6))),
IF(ISNUMBER(FIND("D",B671)),
VALUE(SUBSTITUTE(MID(B671,FIND("D",B671)+1,FIND("T",B671,FIND("D",B671))-(FIND("D",B671)+1)),"P",",")),
IF(ISNUMBER(FIND("CFW5",B671)),
VALUE(MID(B671,
IF(ISNUMBER(FIND("F",B671)),FIND("F",B671)+1,FIND("G",B671)+1),
FIND("T",B671)-(IF(ISNUMBER(FIND("F",B671)),FIND("F",B671)+1,FIND("G",B671)+1))
)),
VALUE(MID(B671,FIND("E0",B671)+2,FIND("T",B671,FIND("E0",B671))-(FIND("E0",B671)+2)))
))),"")</f>
        <v/>
      </c>
      <c r="G671">
        <f>IFERROR(
IF(ISNUMBER(FIND("T2",B671)),220,
IF(ISNUMBER(FIND("T4",B671)),440,
IF(ISNUMBER(FIND("T5",B671)),575,
IF(ISNUMBER(FIND("T6",B671)),690,"")))),
"")</f>
        <v>440</v>
      </c>
    </row>
    <row r="672" spans="1:7" x14ac:dyDescent="0.25">
      <c r="A672">
        <v>18694494</v>
      </c>
      <c r="B672" t="str">
        <f>VLOOKUP(A672,Planilha2!B:C,2,0)</f>
        <v>INVERSOR CFW500G0211T4NB20C3G2-UI</v>
      </c>
      <c r="C672" t="s">
        <v>1</v>
      </c>
      <c r="D672" t="str">
        <f>VLOOKUP(A672,Planilha2!B:H,7,0)</f>
        <v>LINHA G1</v>
      </c>
      <c r="E672" s="5">
        <v>45000</v>
      </c>
      <c r="F672" t="str">
        <f>IFERROR(
IF(ISNUMBER(FIND("CFW110",B672)),
VALUE(MID(B672,FIND("CFW110",B672)+6,FIND("T",B672,FIND("CFW110",B672))-(FIND("CFW110",B672)+6))),
IF(ISNUMBER(FIND("D",B672)),
VALUE(SUBSTITUTE(MID(B672,FIND("D",B672)+1,FIND("T",B672,FIND("D",B672))-(FIND("D",B672)+1)),"P",",")),
IF(ISNUMBER(FIND("CFW5",B672)),
VALUE(MID(B672,
IF(ISNUMBER(FIND("F",B672)),FIND("F",B672)+1,FIND("G",B672)+1),
FIND("T",B672)-(IF(ISNUMBER(FIND("F",B672)),FIND("F",B672)+1,FIND("G",B672)+1))
)),
VALUE(MID(B672,FIND("E0",B672)+2,FIND("T",B672,FIND("E0",B672))-(FIND("E0",B672)+2)))
))),"")</f>
        <v/>
      </c>
      <c r="G672">
        <f>IFERROR(
IF(ISNUMBER(FIND("T2",B672)),220,
IF(ISNUMBER(FIND("T4",B672)),440,
IF(ISNUMBER(FIND("T5",B672)),575,
IF(ISNUMBER(FIND("T6",B672)),690,"")))),
"")</f>
        <v>440</v>
      </c>
    </row>
    <row r="673" spans="1:7" x14ac:dyDescent="0.25">
      <c r="A673">
        <v>10193866</v>
      </c>
      <c r="B673" t="str">
        <f>VLOOKUP(A673,Planilha2!B:C,2,0)</f>
        <v>INVERSOR BRCFW110058T4SZ</v>
      </c>
      <c r="C673" t="s">
        <v>1</v>
      </c>
      <c r="D673" t="str">
        <f>VLOOKUP(A673,Planilha2!B:H,7,0)</f>
        <v>LINHA M1</v>
      </c>
      <c r="E673" s="5">
        <v>20500</v>
      </c>
      <c r="F673">
        <f>IFERROR(
IF(ISNUMBER(FIND("CFW110",B673)),
VALUE(MID(B673,FIND("CFW110",B673)+6,FIND("T",B673,FIND("CFW110",B673))-(FIND("CFW110",B673)+6))),
IF(ISNUMBER(FIND("D",B673)),
VALUE(SUBSTITUTE(MID(B673,FIND("D",B673)+1,FIND("T",B673,FIND("D",B673))-(FIND("D",B673)+1)),"P",",")),
IF(ISNUMBER(FIND("CFW5",B673)),
VALUE(MID(B673,
IF(ISNUMBER(FIND("F",B673)),FIND("F",B673)+1,FIND("G",B673)+1),
FIND("T",B673)-(IF(ISNUMBER(FIND("F",B673)),FIND("F",B673)+1,FIND("G",B673)+1))
)),
VALUE(MID(B673,FIND("E0",B673)+2,FIND("T",B673,FIND("E0",B673))-(FIND("E0",B673)+2)))
))),"")</f>
        <v>58</v>
      </c>
      <c r="G673">
        <f>IFERROR(
IF(ISNUMBER(FIND("T2",B673)),220,
IF(ISNUMBER(FIND("T4",B673)),440,
IF(ISNUMBER(FIND("T5",B673)),575,
IF(ISNUMBER(FIND("T6",B673)),690,"")))),
"")</f>
        <v>440</v>
      </c>
    </row>
    <row r="674" spans="1:7" x14ac:dyDescent="0.25">
      <c r="A674">
        <v>10193860</v>
      </c>
      <c r="B674" t="str">
        <f>VLOOKUP(A674,Planilha2!B:C,2,0)</f>
        <v>INVERSOR BRCFW110045T2SZ</v>
      </c>
      <c r="C674" t="s">
        <v>1</v>
      </c>
      <c r="D674" t="str">
        <f>VLOOKUP(A674,Planilha2!B:H,7,0)</f>
        <v>LINHA M1</v>
      </c>
      <c r="E674" s="5">
        <v>15600</v>
      </c>
      <c r="F674">
        <f>IFERROR(
IF(ISNUMBER(FIND("CFW110",B674)),
VALUE(MID(B674,FIND("CFW110",B674)+6,FIND("T",B674,FIND("CFW110",B674))-(FIND("CFW110",B674)+6))),
IF(ISNUMBER(FIND("D",B674)),
VALUE(SUBSTITUTE(MID(B674,FIND("D",B674)+1,FIND("T",B674,FIND("D",B674))-(FIND("D",B674)+1)),"P",",")),
IF(ISNUMBER(FIND("CFW5",B674)),
VALUE(MID(B674,
IF(ISNUMBER(FIND("F",B674)),FIND("F",B674)+1,FIND("G",B674)+1),
FIND("T",B674)-(IF(ISNUMBER(FIND("F",B674)),FIND("F",B674)+1,FIND("G",B674)+1))
)),
VALUE(MID(B674,FIND("E0",B674)+2,FIND("T",B674,FIND("E0",B674))-(FIND("E0",B674)+2)))
))),"")</f>
        <v>45</v>
      </c>
      <c r="G674">
        <f>IFERROR(
IF(ISNUMBER(FIND("T2",B674)),220,
IF(ISNUMBER(FIND("T4",B674)),440,
IF(ISNUMBER(FIND("T5",B674)),575,
IF(ISNUMBER(FIND("T6",B674)),690,"")))),
"")</f>
        <v>220</v>
      </c>
    </row>
    <row r="675" spans="1:7" x14ac:dyDescent="0.25">
      <c r="A675">
        <v>18775867</v>
      </c>
      <c r="B675" t="str">
        <f>VLOOKUP(A675,Planilha2!B:C,2,0)</f>
        <v>INVERSOR EUCFW110038T4OFASUZ</v>
      </c>
      <c r="C675" t="s">
        <v>1</v>
      </c>
      <c r="D675" t="str">
        <f>VLOOKUP(A675,Planilha2!B:H,7,0)</f>
        <v>LINHA M1</v>
      </c>
      <c r="E675" s="5">
        <v>16500</v>
      </c>
      <c r="F675">
        <f>IFERROR(
IF(ISNUMBER(FIND("CFW110",B675)),
VALUE(MID(B675,FIND("CFW110",B675)+6,FIND("T",B675,FIND("CFW110",B675))-(FIND("CFW110",B675)+6))),
IF(ISNUMBER(FIND("D",B675)),
VALUE(SUBSTITUTE(MID(B675,FIND("D",B675)+1,FIND("T",B675,FIND("D",B675))-(FIND("D",B675)+1)),"P",",")),
IF(ISNUMBER(FIND("CFW5",B675)),
VALUE(MID(B675,
IF(ISNUMBER(FIND("F",B675)),FIND("F",B675)+1,FIND("G",B675)+1),
FIND("T",B675)-(IF(ISNUMBER(FIND("F",B675)),FIND("F",B675)+1,FIND("G",B675)+1))
)),
VALUE(MID(B675,FIND("E0",B675)+2,FIND("T",B675,FIND("E0",B675))-(FIND("E0",B675)+2)))
))),"")</f>
        <v>38</v>
      </c>
      <c r="G675">
        <f>IFERROR(
IF(ISNUMBER(FIND("T2",B675)),220,
IF(ISNUMBER(FIND("T4",B675)),440,
IF(ISNUMBER(FIND("T5",B675)),575,
IF(ISNUMBER(FIND("T6",B675)),690,"")))),
"")</f>
        <v>440</v>
      </c>
    </row>
    <row r="676" spans="1:7" x14ac:dyDescent="0.25">
      <c r="A676">
        <v>11112209</v>
      </c>
      <c r="B676" t="str">
        <f>VLOOKUP(A676,Planilha2!B:C,2,0)</f>
        <v>INVERSOR BRCFW110045T4OFAZ</v>
      </c>
      <c r="C676" t="s">
        <v>1</v>
      </c>
      <c r="D676" t="str">
        <f>VLOOKUP(A676,Planilha2!B:H,7,0)</f>
        <v>LINHA M1</v>
      </c>
      <c r="E676" s="5">
        <v>20870</v>
      </c>
      <c r="F676">
        <f>IFERROR(
IF(ISNUMBER(FIND("CFW110",B676)),
VALUE(MID(B676,FIND("CFW110",B676)+6,FIND("T",B676,FIND("CFW110",B676))-(FIND("CFW110",B676)+6))),
IF(ISNUMBER(FIND("D",B676)),
VALUE(SUBSTITUTE(MID(B676,FIND("D",B676)+1,FIND("T",B676,FIND("D",B676))-(FIND("D",B676)+1)),"P",",")),
IF(ISNUMBER(FIND("CFW5",B676)),
VALUE(MID(B676,
IF(ISNUMBER(FIND("F",B676)),FIND("F",B676)+1,FIND("G",B676)+1),
FIND("T",B676)-(IF(ISNUMBER(FIND("F",B676)),FIND("F",B676)+1,FIND("G",B676)+1))
)),
VALUE(MID(B676,FIND("E0",B676)+2,FIND("T",B676,FIND("E0",B676))-(FIND("E0",B676)+2)))
))),"")</f>
        <v>45</v>
      </c>
      <c r="G676">
        <f>IFERROR(
IF(ISNUMBER(FIND("T2",B676)),220,
IF(ISNUMBER(FIND("T4",B676)),440,
IF(ISNUMBER(FIND("T5",B676)),575,
IF(ISNUMBER(FIND("T6",B676)),690,"")))),
"")</f>
        <v>440</v>
      </c>
    </row>
    <row r="677" spans="1:7" x14ac:dyDescent="0.25">
      <c r="A677">
        <v>18821520</v>
      </c>
      <c r="B677" t="str">
        <f>VLOOKUP(A677,Planilha2!B:C,2,0)</f>
        <v>INVERSOR BRCFW110045T4O55FAZ</v>
      </c>
      <c r="C677" t="s">
        <v>1</v>
      </c>
      <c r="D677" t="str">
        <f>VLOOKUP(A677,Planilha2!B:H,7,0)</f>
        <v>LINHA M3</v>
      </c>
      <c r="E677" s="5">
        <v>31100</v>
      </c>
      <c r="F677">
        <f>IFERROR(
IF(ISNUMBER(FIND("CFW110",B677)),
VALUE(MID(B677,FIND("CFW110",B677)+6,FIND("T",B677,FIND("CFW110",B677))-(FIND("CFW110",B677)+6))),
IF(ISNUMBER(FIND("D",B677)),
VALUE(SUBSTITUTE(MID(B677,FIND("D",B677)+1,FIND("T",B677,FIND("D",B677))-(FIND("D",B677)+1)),"P",",")),
IF(ISNUMBER(FIND("CFW5",B677)),
VALUE(MID(B677,
IF(ISNUMBER(FIND("F",B677)),FIND("F",B677)+1,FIND("G",B677)+1),
FIND("T",B677)-(IF(ISNUMBER(FIND("F",B677)),FIND("F",B677)+1,FIND("G",B677)+1))
)),
VALUE(MID(B677,FIND("E0",B677)+2,FIND("T",B677,FIND("E0",B677))-(FIND("E0",B677)+2)))
))),"")</f>
        <v>45</v>
      </c>
      <c r="G677">
        <f>IFERROR(
IF(ISNUMBER(FIND("T2",B677)),220,
IF(ISNUMBER(FIND("T4",B677)),440,
IF(ISNUMBER(FIND("T5",B677)),575,
IF(ISNUMBER(FIND("T6",B677)),690,"")))),
"")</f>
        <v>440</v>
      </c>
    </row>
    <row r="678" spans="1:7" x14ac:dyDescent="0.25">
      <c r="A678">
        <v>18712383</v>
      </c>
      <c r="B678" t="str">
        <f>VLOOKUP(A678,Planilha2!B:C,2,0)</f>
        <v>INVERSOR BRCFW110045T2OHOTOZ</v>
      </c>
      <c r="C678" t="s">
        <v>1</v>
      </c>
      <c r="D678" t="str">
        <f>VLOOKUP(A678,Planilha2!B:H,7,0)</f>
        <v>LINHA M1</v>
      </c>
      <c r="E678" s="5">
        <v>9800</v>
      </c>
      <c r="F678">
        <f>IFERROR(
IF(ISNUMBER(FIND("CFW110",B678)),
VALUE(MID(B678,FIND("CFW110",B678)+6,FIND("T",B678,FIND("CFW110",B678))-(FIND("CFW110",B678)+6))),
IF(ISNUMBER(FIND("D",B678)),
VALUE(SUBSTITUTE(MID(B678,FIND("D",B678)+1,FIND("T",B678,FIND("D",B678))-(FIND("D",B678)+1)),"P",",")),
IF(ISNUMBER(FIND("CFW5",B678)),
VALUE(MID(B678,
IF(ISNUMBER(FIND("F",B678)),FIND("F",B678)+1,FIND("G",B678)+1),
FIND("T",B678)-(IF(ISNUMBER(FIND("F",B678)),FIND("F",B678)+1,FIND("G",B678)+1))
)),
VALUE(MID(B678,FIND("E0",B678)+2,FIND("T",B678,FIND("E0",B678))-(FIND("E0",B678)+2)))
))),"")</f>
        <v>45</v>
      </c>
      <c r="G678">
        <f>IFERROR(
IF(ISNUMBER(FIND("T2",B678)),220,
IF(ISNUMBER(FIND("T4",B678)),440,
IF(ISNUMBER(FIND("T5",B678)),575,
IF(ISNUMBER(FIND("T6",B678)),690,"")))),
"")</f>
        <v>220</v>
      </c>
    </row>
    <row r="679" spans="1:7" x14ac:dyDescent="0.25">
      <c r="A679">
        <v>18712386</v>
      </c>
      <c r="B679" t="str">
        <f>VLOOKUP(A679,Planilha2!B:C,2,0)</f>
        <v>INVERSOR BRCFW110024T4OHOTOZ</v>
      </c>
      <c r="C679" t="s">
        <v>1</v>
      </c>
      <c r="D679" t="str">
        <f>VLOOKUP(A679,Planilha2!B:H,7,0)</f>
        <v>LINHA M1</v>
      </c>
      <c r="E679" s="5">
        <v>9800</v>
      </c>
      <c r="F679">
        <f>IFERROR(
IF(ISNUMBER(FIND("CFW110",B679)),
VALUE(MID(B679,FIND("CFW110",B679)+6,FIND("T",B679,FIND("CFW110",B679))-(FIND("CFW110",B679)+6))),
IF(ISNUMBER(FIND("D",B679)),
VALUE(SUBSTITUTE(MID(B679,FIND("D",B679)+1,FIND("T",B679,FIND("D",B679))-(FIND("D",B679)+1)),"P",",")),
IF(ISNUMBER(FIND("CFW5",B679)),
VALUE(MID(B679,
IF(ISNUMBER(FIND("F",B679)),FIND("F",B679)+1,FIND("G",B679)+1),
FIND("T",B679)-(IF(ISNUMBER(FIND("F",B679)),FIND("F",B679)+1,FIND("G",B679)+1))
)),
VALUE(MID(B679,FIND("E0",B679)+2,FIND("T",B679,FIND("E0",B679))-(FIND("E0",B679)+2)))
))),"")</f>
        <v>24</v>
      </c>
      <c r="G679">
        <f>IFERROR(
IF(ISNUMBER(FIND("T2",B679)),220,
IF(ISNUMBER(FIND("T4",B679)),440,
IF(ISNUMBER(FIND("T5",B679)),575,
IF(ISNUMBER(FIND("T6",B679)),690,"")))),
"")</f>
        <v>440</v>
      </c>
    </row>
    <row r="680" spans="1:7" x14ac:dyDescent="0.25">
      <c r="A680">
        <v>18085932</v>
      </c>
      <c r="B680" t="str">
        <f>VLOOKUP(A680,Planilha2!B:C,2,0)</f>
        <v>INVERSOR EUCFW110070T4OFAWZ-UI</v>
      </c>
      <c r="C680" t="s">
        <v>1</v>
      </c>
      <c r="D680" t="str">
        <f>VLOOKUP(A680,Planilha2!B:H,7,0)</f>
        <v>LINHA M3</v>
      </c>
      <c r="E680" s="5">
        <v>31100</v>
      </c>
      <c r="F680">
        <f>IFERROR(
IF(ISNUMBER(FIND("CFW110",B680)),
VALUE(MID(B680,FIND("CFW110",B680)+6,FIND("T",B680,FIND("CFW110",B680))-(FIND("CFW110",B680)+6))),
IF(ISNUMBER(FIND("D",B680)),
VALUE(SUBSTITUTE(MID(B680,FIND("D",B680)+1,FIND("T",B680,FIND("D",B680))-(FIND("D",B680)+1)),"P",",")),
IF(ISNUMBER(FIND("CFW5",B680)),
VALUE(MID(B680,
IF(ISNUMBER(FIND("F",B680)),FIND("F",B680)+1,FIND("G",B680)+1),
FIND("T",B680)-(IF(ISNUMBER(FIND("F",B680)),FIND("F",B680)+1,FIND("G",B680)+1))
)),
VALUE(MID(B680,FIND("E0",B680)+2,FIND("T",B680,FIND("E0",B680))-(FIND("E0",B680)+2)))
))),"")</f>
        <v>70</v>
      </c>
      <c r="G680">
        <f>IFERROR(
IF(ISNUMBER(FIND("T2",B680)),220,
IF(ISNUMBER(FIND("T4",B680)),440,
IF(ISNUMBER(FIND("T5",B680)),575,
IF(ISNUMBER(FIND("T6",B680)),690,"")))),
"")</f>
        <v>440</v>
      </c>
    </row>
    <row r="681" spans="1:7" x14ac:dyDescent="0.25">
      <c r="A681">
        <v>13537841</v>
      </c>
      <c r="B681" t="str">
        <f>VLOOKUP(A681,Planilha2!B:C,2,0)</f>
        <v>INVERSOR BRCFW110045T4O55Z</v>
      </c>
      <c r="C681" t="s">
        <v>1</v>
      </c>
      <c r="D681" t="str">
        <f>VLOOKUP(A681,Planilha2!B:H,7,0)</f>
        <v>LINHA M3</v>
      </c>
      <c r="E681" s="5">
        <v>19600</v>
      </c>
      <c r="F681">
        <f>IFERROR(
IF(ISNUMBER(FIND("CFW110",B681)),
VALUE(MID(B681,FIND("CFW110",B681)+6,FIND("T",B681,FIND("CFW110",B681))-(FIND("CFW110",B681)+6))),
IF(ISNUMBER(FIND("D",B681)),
VALUE(SUBSTITUTE(MID(B681,FIND("D",B681)+1,FIND("T",B681,FIND("D",B681))-(FIND("D",B681)+1)),"P",",")),
IF(ISNUMBER(FIND("CFW5",B681)),
VALUE(MID(B681,
IF(ISNUMBER(FIND("F",B681)),FIND("F",B681)+1,FIND("G",B681)+1),
FIND("T",B681)-(IF(ISNUMBER(FIND("F",B681)),FIND("F",B681)+1,FIND("G",B681)+1))
)),
VALUE(MID(B681,FIND("E0",B681)+2,FIND("T",B681,FIND("E0",B681))-(FIND("E0",B681)+2)))
))),"")</f>
        <v>45</v>
      </c>
      <c r="G681">
        <f>IFERROR(
IF(ISNUMBER(FIND("T2",B681)),220,
IF(ISNUMBER(FIND("T4",B681)),440,
IF(ISNUMBER(FIND("T5",B681)),575,
IF(ISNUMBER(FIND("T6",B681)),690,"")))),
"")</f>
        <v>440</v>
      </c>
    </row>
    <row r="682" spans="1:7" x14ac:dyDescent="0.25">
      <c r="A682">
        <v>18898218</v>
      </c>
      <c r="B682" t="str">
        <f>VLOOKUP(A682,Planilha2!B:C,2,0)</f>
        <v>INVERSOR EUCFW110038T4OFAWTVZ</v>
      </c>
      <c r="C682" t="s">
        <v>1</v>
      </c>
      <c r="D682" t="str">
        <f>VLOOKUP(A682,Planilha2!B:H,7,0)</f>
        <v>LINHA M1</v>
      </c>
      <c r="E682" s="5">
        <v>16500</v>
      </c>
      <c r="F682">
        <f>IFERROR(
IF(ISNUMBER(FIND("CFW110",B682)),
VALUE(MID(B682,FIND("CFW110",B682)+6,FIND("T",B682,FIND("CFW110",B682))-(FIND("CFW110",B682)+6))),
IF(ISNUMBER(FIND("D",B682)),
VALUE(SUBSTITUTE(MID(B682,FIND("D",B682)+1,FIND("T",B682,FIND("D",B682))-(FIND("D",B682)+1)),"P",",")),
IF(ISNUMBER(FIND("CFW5",B682)),
VALUE(MID(B682,
IF(ISNUMBER(FIND("F",B682)),FIND("F",B682)+1,FIND("G",B682)+1),
FIND("T",B682)-(IF(ISNUMBER(FIND("F",B682)),FIND("F",B682)+1,FIND("G",B682)+1))
)),
VALUE(MID(B682,FIND("E0",B682)+2,FIND("T",B682,FIND("E0",B682))-(FIND("E0",B682)+2)))
))),"")</f>
        <v>38</v>
      </c>
      <c r="G682">
        <f>IFERROR(
IF(ISNUMBER(FIND("T2",B682)),220,
IF(ISNUMBER(FIND("T4",B682)),440,
IF(ISNUMBER(FIND("T5",B682)),575,
IF(ISNUMBER(FIND("T6",B682)),690,"")))),
"")</f>
        <v>440</v>
      </c>
    </row>
    <row r="683" spans="1:7" x14ac:dyDescent="0.25">
      <c r="A683">
        <v>18904002</v>
      </c>
      <c r="B683" t="str">
        <f>VLOOKUP(A683,Planilha2!B:C,2,0)</f>
        <v>INVERSOR BRCFW110045T2O55FAZ</v>
      </c>
      <c r="C683" t="s">
        <v>1</v>
      </c>
      <c r="D683" t="str">
        <f>VLOOKUP(A683,Planilha2!B:H,7,0)</f>
        <v>LINHA M3</v>
      </c>
      <c r="E683" s="5">
        <v>15600</v>
      </c>
      <c r="F683">
        <f>IFERROR(
IF(ISNUMBER(FIND("CFW110",B683)),
VALUE(MID(B683,FIND("CFW110",B683)+6,FIND("T",B683,FIND("CFW110",B683))-(FIND("CFW110",B683)+6))),
IF(ISNUMBER(FIND("D",B683)),
VALUE(SUBSTITUTE(MID(B683,FIND("D",B683)+1,FIND("T",B683,FIND("D",B683))-(FIND("D",B683)+1)),"P",",")),
IF(ISNUMBER(FIND("CFW5",B683)),
VALUE(MID(B683,
IF(ISNUMBER(FIND("F",B683)),FIND("F",B683)+1,FIND("G",B683)+1),
FIND("T",B683)-(IF(ISNUMBER(FIND("F",B683)),FIND("F",B683)+1,FIND("G",B683)+1))
)),
VALUE(MID(B683,FIND("E0",B683)+2,FIND("T",B683,FIND("E0",B683))-(FIND("E0",B683)+2)))
))),"")</f>
        <v>45</v>
      </c>
      <c r="G683">
        <f>IFERROR(
IF(ISNUMBER(FIND("T2",B683)),220,
IF(ISNUMBER(FIND("T4",B683)),440,
IF(ISNUMBER(FIND("T5",B683)),575,
IF(ISNUMBER(FIND("T6",B683)),690,"")))),
"")</f>
        <v>220</v>
      </c>
    </row>
    <row r="684" spans="1:7" x14ac:dyDescent="0.25">
      <c r="A684">
        <v>19000859</v>
      </c>
      <c r="B684" t="str">
        <f>VLOOKUP(A684,Planilha2!B:C,2,0)</f>
        <v>INVERSOR BRCFW110142T2ODBYZ</v>
      </c>
      <c r="C684" t="s">
        <v>1</v>
      </c>
      <c r="D684" t="str">
        <f>VLOOKUP(A684,Planilha2!B:H,7,0)</f>
        <v>LINHA G1</v>
      </c>
      <c r="E684" s="5">
        <v>139608</v>
      </c>
      <c r="F684">
        <f>IFERROR(
IF(ISNUMBER(FIND("CFW110",B684)),
VALUE(MID(B684,FIND("CFW110",B684)+6,FIND("T",B684,FIND("CFW110",B684))-(FIND("CFW110",B684)+6))),
IF(ISNUMBER(FIND("D",B684)),
VALUE(SUBSTITUTE(MID(B684,FIND("D",B684)+1,FIND("T",B684,FIND("D",B684))-(FIND("D",B684)+1)),"P",",")),
IF(ISNUMBER(FIND("CFW5",B684)),
VALUE(MID(B684,
IF(ISNUMBER(FIND("F",B684)),FIND("F",B684)+1,FIND("G",B684)+1),
FIND("T",B684)-(IF(ISNUMBER(FIND("F",B684)),FIND("F",B684)+1,FIND("G",B684)+1))
)),
VALUE(MID(B684,FIND("E0",B684)+2,FIND("T",B684,FIND("E0",B684))-(FIND("E0",B684)+2)))
))),"")</f>
        <v>142</v>
      </c>
      <c r="G684">
        <f>IFERROR(
IF(ISNUMBER(FIND("T2",B684)),220,
IF(ISNUMBER(FIND("T4",B684)),440,
IF(ISNUMBER(FIND("T5",B684)),575,
IF(ISNUMBER(FIND("T6",B684)),690,"")))),
"")</f>
        <v>220</v>
      </c>
    </row>
    <row r="685" spans="1:7" x14ac:dyDescent="0.25">
      <c r="A685">
        <v>18966442</v>
      </c>
      <c r="B685" t="str">
        <f>VLOOKUP(A685,Planilha2!B:C,2,0)</f>
        <v>INVERSOR BRCFW110002T6OYWZ</v>
      </c>
      <c r="C685" t="s">
        <v>1</v>
      </c>
      <c r="D685" t="str">
        <f>VLOOKUP(A685,Planilha2!B:H,7,0)</f>
        <v>LINHA M3</v>
      </c>
      <c r="E685" s="5">
        <v>6300</v>
      </c>
      <c r="F685">
        <f>IFERROR(
IF(ISNUMBER(FIND("CFW110",B685)),
VALUE(MID(B685,FIND("CFW110",B685)+6,FIND("T",B685,FIND("CFW110",B685))-(FIND("CFW110",B685)+6))),
IF(ISNUMBER(FIND("D",B685)),
VALUE(SUBSTITUTE(MID(B685,FIND("D",B685)+1,FIND("T",B685,FIND("D",B685))-(FIND("D",B685)+1)),"P",",")),
IF(ISNUMBER(FIND("CFW5",B685)),
VALUE(MID(B685,
IF(ISNUMBER(FIND("F",B685)),FIND("F",B685)+1,FIND("G",B685)+1),
FIND("T",B685)-(IF(ISNUMBER(FIND("F",B685)),FIND("F",B685)+1,FIND("G",B685)+1))
)),
VALUE(MID(B685,FIND("E0",B685)+2,FIND("T",B685,FIND("E0",B685))-(FIND("E0",B685)+2)))
))),"")</f>
        <v>2</v>
      </c>
      <c r="G685">
        <f>IFERROR(
IF(ISNUMBER(FIND("T2",B685)),220,
IF(ISNUMBER(FIND("T4",B685)),440,
IF(ISNUMBER(FIND("T5",B685)),575,
IF(ISNUMBER(FIND("T6",B685)),690,"")))),
"")</f>
        <v>690</v>
      </c>
    </row>
    <row r="686" spans="1:7" x14ac:dyDescent="0.25">
      <c r="A686">
        <v>18997067</v>
      </c>
      <c r="B686" t="str">
        <f>VLOOKUP(A686,Planilha2!B:C,2,0)</f>
        <v>INVERSOR BRCFW110002T6OYWZ-UI</v>
      </c>
      <c r="C686" t="s">
        <v>1</v>
      </c>
      <c r="D686" t="str">
        <f>VLOOKUP(A686,Planilha2!B:H,7,0)</f>
        <v>LINHA M3</v>
      </c>
      <c r="E686" s="5">
        <v>6300</v>
      </c>
      <c r="F686">
        <f>IFERROR(
IF(ISNUMBER(FIND("CFW110",B686)),
VALUE(MID(B686,FIND("CFW110",B686)+6,FIND("T",B686,FIND("CFW110",B686))-(FIND("CFW110",B686)+6))),
IF(ISNUMBER(FIND("D",B686)),
VALUE(SUBSTITUTE(MID(B686,FIND("D",B686)+1,FIND("T",B686,FIND("D",B686))-(FIND("D",B686)+1)),"P",",")),
IF(ISNUMBER(FIND("CFW5",B686)),
VALUE(MID(B686,
IF(ISNUMBER(FIND("F",B686)),FIND("F",B686)+1,FIND("G",B686)+1),
FIND("T",B686)-(IF(ISNUMBER(FIND("F",B686)),FIND("F",B686)+1,FIND("G",B686)+1))
)),
VALUE(MID(B686,FIND("E0",B686)+2,FIND("T",B686,FIND("E0",B686))-(FIND("E0",B686)+2)))
))),"")</f>
        <v>2</v>
      </c>
      <c r="G686">
        <f>IFERROR(
IF(ISNUMBER(FIND("T2",B686)),220,
IF(ISNUMBER(FIND("T4",B686)),440,
IF(ISNUMBER(FIND("T5",B686)),575,
IF(ISNUMBER(FIND("T6",B686)),690,"")))),
"")</f>
        <v>690</v>
      </c>
    </row>
    <row r="687" spans="1:7" x14ac:dyDescent="0.25">
      <c r="A687">
        <v>18966444</v>
      </c>
      <c r="B687" t="str">
        <f>VLOOKUP(A687,Planilha2!B:C,2,0)</f>
        <v>INVERSOR BRCFW110004T6OYWZ</v>
      </c>
      <c r="C687" t="s">
        <v>1</v>
      </c>
      <c r="D687" t="str">
        <f>VLOOKUP(A687,Planilha2!B:H,7,0)</f>
        <v>LINHA M3</v>
      </c>
      <c r="E687" s="5">
        <v>29500</v>
      </c>
      <c r="F687">
        <f>IFERROR(
IF(ISNUMBER(FIND("CFW110",B687)),
VALUE(MID(B687,FIND("CFW110",B687)+6,FIND("T",B687,FIND("CFW110",B687))-(FIND("CFW110",B687)+6))),
IF(ISNUMBER(FIND("D",B687)),
VALUE(SUBSTITUTE(MID(B687,FIND("D",B687)+1,FIND("T",B687,FIND("D",B687))-(FIND("D",B687)+1)),"P",",")),
IF(ISNUMBER(FIND("CFW5",B687)),
VALUE(MID(B687,
IF(ISNUMBER(FIND("F",B687)),FIND("F",B687)+1,FIND("G",B687)+1),
FIND("T",B687)-(IF(ISNUMBER(FIND("F",B687)),FIND("F",B687)+1,FIND("G",B687)+1))
)),
VALUE(MID(B687,FIND("E0",B687)+2,FIND("T",B687,FIND("E0",B687))-(FIND("E0",B687)+2)))
))),"")</f>
        <v>4</v>
      </c>
      <c r="G687">
        <f>IFERROR(
IF(ISNUMBER(FIND("T2",B687)),220,
IF(ISNUMBER(FIND("T4",B687)),440,
IF(ISNUMBER(FIND("T5",B687)),575,
IF(ISNUMBER(FIND("T6",B687)),690,"")))),
"")</f>
        <v>690</v>
      </c>
    </row>
    <row r="688" spans="1:7" x14ac:dyDescent="0.25">
      <c r="A688">
        <v>18997150</v>
      </c>
      <c r="B688" t="str">
        <f>VLOOKUP(A688,Planilha2!B:C,2,0)</f>
        <v>INVERSOR BRCFW110004T6OYWZ-UI</v>
      </c>
      <c r="C688" t="s">
        <v>1</v>
      </c>
      <c r="D688" t="str">
        <f>VLOOKUP(A688,Planilha2!B:H,7,0)</f>
        <v>LINHA M3</v>
      </c>
      <c r="E688" s="5">
        <v>29500</v>
      </c>
      <c r="F688">
        <f>IFERROR(
IF(ISNUMBER(FIND("CFW110",B688)),
VALUE(MID(B688,FIND("CFW110",B688)+6,FIND("T",B688,FIND("CFW110",B688))-(FIND("CFW110",B688)+6))),
IF(ISNUMBER(FIND("D",B688)),
VALUE(SUBSTITUTE(MID(B688,FIND("D",B688)+1,FIND("T",B688,FIND("D",B688))-(FIND("D",B688)+1)),"P",",")),
IF(ISNUMBER(FIND("CFW5",B688)),
VALUE(MID(B688,
IF(ISNUMBER(FIND("F",B688)),FIND("F",B688)+1,FIND("G",B688)+1),
FIND("T",B688)-(IF(ISNUMBER(FIND("F",B688)),FIND("F",B688)+1,FIND("G",B688)+1))
)),
VALUE(MID(B688,FIND("E0",B688)+2,FIND("T",B688,FIND("E0",B688))-(FIND("E0",B688)+2)))
))),"")</f>
        <v>4</v>
      </c>
      <c r="G688">
        <f>IFERROR(
IF(ISNUMBER(FIND("T2",B688)),220,
IF(ISNUMBER(FIND("T4",B688)),440,
IF(ISNUMBER(FIND("T5",B688)),575,
IF(ISNUMBER(FIND("T6",B688)),690,"")))),
"")</f>
        <v>690</v>
      </c>
    </row>
    <row r="689" spans="1:7" x14ac:dyDescent="0.25">
      <c r="A689">
        <v>18968442</v>
      </c>
      <c r="B689" t="str">
        <f>VLOOKUP(A689,Planilha2!B:C,2,0)</f>
        <v>INVERSOR BRCFW110017T6OYWZ</v>
      </c>
      <c r="C689" t="s">
        <v>1</v>
      </c>
      <c r="D689" t="str">
        <f>VLOOKUP(A689,Planilha2!B:H,7,0)</f>
        <v>LINHA M3</v>
      </c>
      <c r="E689" s="5">
        <v>26360</v>
      </c>
      <c r="F689">
        <f>IFERROR(
IF(ISNUMBER(FIND("CFW110",B689)),
VALUE(MID(B689,FIND("CFW110",B689)+6,FIND("T",B689,FIND("CFW110",B689))-(FIND("CFW110",B689)+6))),
IF(ISNUMBER(FIND("D",B689)),
VALUE(SUBSTITUTE(MID(B689,FIND("D",B689)+1,FIND("T",B689,FIND("D",B689))-(FIND("D",B689)+1)),"P",",")),
IF(ISNUMBER(FIND("CFW5",B689)),
VALUE(MID(B689,
IF(ISNUMBER(FIND("F",B689)),FIND("F",B689)+1,FIND("G",B689)+1),
FIND("T",B689)-(IF(ISNUMBER(FIND("F",B689)),FIND("F",B689)+1,FIND("G",B689)+1))
)),
VALUE(MID(B689,FIND("E0",B689)+2,FIND("T",B689,FIND("E0",B689))-(FIND("E0",B689)+2)))
))),"")</f>
        <v>17</v>
      </c>
      <c r="G689">
        <f>IFERROR(
IF(ISNUMBER(FIND("T2",B689)),220,
IF(ISNUMBER(FIND("T4",B689)),440,
IF(ISNUMBER(FIND("T5",B689)),575,
IF(ISNUMBER(FIND("T6",B689)),690,"")))),
"")</f>
        <v>690</v>
      </c>
    </row>
    <row r="690" spans="1:7" x14ac:dyDescent="0.25">
      <c r="A690">
        <v>18968446</v>
      </c>
      <c r="B690" t="str">
        <f>VLOOKUP(A690,Planilha2!B:C,2,0)</f>
        <v>INVERSOR BRCFW110044T6OYWZ</v>
      </c>
      <c r="C690" t="s">
        <v>1</v>
      </c>
      <c r="D690" t="str">
        <f>VLOOKUP(A690,Planilha2!B:H,7,0)</f>
        <v>LINHA M3</v>
      </c>
      <c r="E690" s="5">
        <v>32085</v>
      </c>
      <c r="F690">
        <f>IFERROR(
IF(ISNUMBER(FIND("CFW110",B690)),
VALUE(MID(B690,FIND("CFW110",B690)+6,FIND("T",B690,FIND("CFW110",B690))-(FIND("CFW110",B690)+6))),
IF(ISNUMBER(FIND("D",B690)),
VALUE(SUBSTITUTE(MID(B690,FIND("D",B690)+1,FIND("T",B690,FIND("D",B690))-(FIND("D",B690)+1)),"P",",")),
IF(ISNUMBER(FIND("CFW5",B690)),
VALUE(MID(B690,
IF(ISNUMBER(FIND("F",B690)),FIND("F",B690)+1,FIND("G",B690)+1),
FIND("T",B690)-(IF(ISNUMBER(FIND("F",B690)),FIND("F",B690)+1,FIND("G",B690)+1))
)),
VALUE(MID(B690,FIND("E0",B690)+2,FIND("T",B690,FIND("E0",B690))-(FIND("E0",B690)+2)))
))),"")</f>
        <v>44</v>
      </c>
      <c r="G690">
        <f>IFERROR(
IF(ISNUMBER(FIND("T2",B690)),220,
IF(ISNUMBER(FIND("T4",B690)),440,
IF(ISNUMBER(FIND("T5",B690)),575,
IF(ISNUMBER(FIND("T6",B690)),690,"")))),
"")</f>
        <v>690</v>
      </c>
    </row>
    <row r="691" spans="1:7" x14ac:dyDescent="0.25">
      <c r="A691">
        <v>18997467</v>
      </c>
      <c r="B691" t="str">
        <f>VLOOKUP(A691,Planilha2!B:C,2,0)</f>
        <v>INVERSOR BRCFW110044T6OYWZ-UI</v>
      </c>
      <c r="C691" t="s">
        <v>1</v>
      </c>
      <c r="D691" t="str">
        <f>VLOOKUP(A691,Planilha2!B:H,7,0)</f>
        <v>LINHA M3</v>
      </c>
      <c r="E691" s="5">
        <v>32085</v>
      </c>
      <c r="F691">
        <f>IFERROR(
IF(ISNUMBER(FIND("CFW110",B691)),
VALUE(MID(B691,FIND("CFW110",B691)+6,FIND("T",B691,FIND("CFW110",B691))-(FIND("CFW110",B691)+6))),
IF(ISNUMBER(FIND("D",B691)),
VALUE(SUBSTITUTE(MID(B691,FIND("D",B691)+1,FIND("T",B691,FIND("D",B691))-(FIND("D",B691)+1)),"P",",")),
IF(ISNUMBER(FIND("CFW5",B691)),
VALUE(MID(B691,
IF(ISNUMBER(FIND("F",B691)),FIND("F",B691)+1,FIND("G",B691)+1),
FIND("T",B691)-(IF(ISNUMBER(FIND("F",B691)),FIND("F",B691)+1,FIND("G",B691)+1))
)),
VALUE(MID(B691,FIND("E0",B691)+2,FIND("T",B691,FIND("E0",B691))-(FIND("E0",B691)+2)))
))),"")</f>
        <v>44</v>
      </c>
      <c r="G691">
        <f>IFERROR(
IF(ISNUMBER(FIND("T2",B691)),220,
IF(ISNUMBER(FIND("T4",B691)),440,
IF(ISNUMBER(FIND("T5",B691)),575,
IF(ISNUMBER(FIND("T6",B691)),690,"")))),
"")</f>
        <v>690</v>
      </c>
    </row>
    <row r="692" spans="1:7" x14ac:dyDescent="0.25">
      <c r="A692">
        <v>18968444</v>
      </c>
      <c r="B692" t="str">
        <f>VLOOKUP(A692,Planilha2!B:C,2,0)</f>
        <v>INVERSOR BRCFW110027T6OYWZ</v>
      </c>
      <c r="C692" t="s">
        <v>1</v>
      </c>
      <c r="D692" t="str">
        <f>VLOOKUP(A692,Planilha2!B:H,7,0)</f>
        <v>LINHA M3</v>
      </c>
      <c r="E692" s="5">
        <v>25000</v>
      </c>
      <c r="F692">
        <f>IFERROR(
IF(ISNUMBER(FIND("CFW110",B692)),
VALUE(MID(B692,FIND("CFW110",B692)+6,FIND("T",B692,FIND("CFW110",B692))-(FIND("CFW110",B692)+6))),
IF(ISNUMBER(FIND("D",B692)),
VALUE(SUBSTITUTE(MID(B692,FIND("D",B692)+1,FIND("T",B692,FIND("D",B692))-(FIND("D",B692)+1)),"P",",")),
IF(ISNUMBER(FIND("CFW5",B692)),
VALUE(MID(B692,
IF(ISNUMBER(FIND("F",B692)),FIND("F",B692)+1,FIND("G",B692)+1),
FIND("T",B692)-(IF(ISNUMBER(FIND("F",B692)),FIND("F",B692)+1,FIND("G",B692)+1))
)),
VALUE(MID(B692,FIND("E0",B692)+2,FIND("T",B692,FIND("E0",B692))-(FIND("E0",B692)+2)))
))),"")</f>
        <v>27</v>
      </c>
      <c r="G692">
        <f>IFERROR(
IF(ISNUMBER(FIND("T2",B692)),220,
IF(ISNUMBER(FIND("T4",B692)),440,
IF(ISNUMBER(FIND("T5",B692)),575,
IF(ISNUMBER(FIND("T6",B692)),690,"")))),
"")</f>
        <v>690</v>
      </c>
    </row>
    <row r="693" spans="1:7" x14ac:dyDescent="0.25">
      <c r="A693">
        <v>18997465</v>
      </c>
      <c r="B693" t="str">
        <f>VLOOKUP(A693,Planilha2!B:C,2,0)</f>
        <v>INVERSOR BRCFW110027T6OYWZ-UI</v>
      </c>
      <c r="C693" t="s">
        <v>1</v>
      </c>
      <c r="D693" t="str">
        <f>VLOOKUP(A693,Planilha2!B:H,7,0)</f>
        <v>LINHA M3</v>
      </c>
      <c r="E693" s="5">
        <v>25000</v>
      </c>
      <c r="F693">
        <f>IFERROR(
IF(ISNUMBER(FIND("CFW110",B693)),
VALUE(MID(B693,FIND("CFW110",B693)+6,FIND("T",B693,FIND("CFW110",B693))-(FIND("CFW110",B693)+6))),
IF(ISNUMBER(FIND("D",B693)),
VALUE(SUBSTITUTE(MID(B693,FIND("D",B693)+1,FIND("T",B693,FIND("D",B693))-(FIND("D",B693)+1)),"P",",")),
IF(ISNUMBER(FIND("CFW5",B693)),
VALUE(MID(B693,
IF(ISNUMBER(FIND("F",B693)),FIND("F",B693)+1,FIND("G",B693)+1),
FIND("T",B693)-(IF(ISNUMBER(FIND("F",B693)),FIND("F",B693)+1,FIND("G",B693)+1))
)),
VALUE(MID(B693,FIND("E0",B693)+2,FIND("T",B693,FIND("E0",B693))-(FIND("E0",B693)+2)))
))),"")</f>
        <v>27</v>
      </c>
      <c r="G693">
        <f>IFERROR(
IF(ISNUMBER(FIND("T2",B693)),220,
IF(ISNUMBER(FIND("T4",B693)),440,
IF(ISNUMBER(FIND("T5",B693)),575,
IF(ISNUMBER(FIND("T6",B693)),690,"")))),
"")</f>
        <v>690</v>
      </c>
    </row>
    <row r="694" spans="1:7" x14ac:dyDescent="0.25">
      <c r="A694">
        <v>18997464</v>
      </c>
      <c r="B694" t="str">
        <f>VLOOKUP(A694,Planilha2!B:C,2,0)</f>
        <v>INVERSOR BRCFW110017T6OYWZ-UI</v>
      </c>
      <c r="C694" t="s">
        <v>1</v>
      </c>
      <c r="D694" t="str">
        <f>VLOOKUP(A694,Planilha2!B:H,7,0)</f>
        <v>LINHA M3</v>
      </c>
      <c r="E694" s="5">
        <v>26360</v>
      </c>
      <c r="F694">
        <f>IFERROR(
IF(ISNUMBER(FIND("CFW110",B694)),
VALUE(MID(B694,FIND("CFW110",B694)+6,FIND("T",B694,FIND("CFW110",B694))-(FIND("CFW110",B694)+6))),
IF(ISNUMBER(FIND("D",B694)),
VALUE(SUBSTITUTE(MID(B694,FIND("D",B694)+1,FIND("T",B694,FIND("D",B694))-(FIND("D",B694)+1)),"P",",")),
IF(ISNUMBER(FIND("CFW5",B694)),
VALUE(MID(B694,
IF(ISNUMBER(FIND("F",B694)),FIND("F",B694)+1,FIND("G",B694)+1),
FIND("T",B694)-(IF(ISNUMBER(FIND("F",B694)),FIND("F",B694)+1,FIND("G",B694)+1))
)),
VALUE(MID(B694,FIND("E0",B694)+2,FIND("T",B694,FIND("E0",B694))-(FIND("E0",B694)+2)))
))),"")</f>
        <v>17</v>
      </c>
      <c r="G694">
        <f>IFERROR(
IF(ISNUMBER(FIND("T2",B694)),220,
IF(ISNUMBER(FIND("T4",B694)),440,
IF(ISNUMBER(FIND("T5",B694)),575,
IF(ISNUMBER(FIND("T6",B694)),690,"")))),
"")</f>
        <v>690</v>
      </c>
    </row>
    <row r="695" spans="1:7" x14ac:dyDescent="0.25">
      <c r="A695">
        <v>18968438</v>
      </c>
      <c r="B695" t="str">
        <f>VLOOKUP(A695,Planilha2!B:C,2,0)</f>
        <v>INVERSOR BRCFW110007T6OYWZ</v>
      </c>
      <c r="C695" t="s">
        <v>1</v>
      </c>
      <c r="D695" t="str">
        <f>VLOOKUP(A695,Planilha2!B:H,7,0)</f>
        <v>LINHA M3</v>
      </c>
      <c r="E695" s="5">
        <v>29500</v>
      </c>
      <c r="F695">
        <f>IFERROR(
IF(ISNUMBER(FIND("CFW110",B695)),
VALUE(MID(B695,FIND("CFW110",B695)+6,FIND("T",B695,FIND("CFW110",B695))-(FIND("CFW110",B695)+6))),
IF(ISNUMBER(FIND("D",B695)),
VALUE(SUBSTITUTE(MID(B695,FIND("D",B695)+1,FIND("T",B695,FIND("D",B695))-(FIND("D",B695)+1)),"P",",")),
IF(ISNUMBER(FIND("CFW5",B695)),
VALUE(MID(B695,
IF(ISNUMBER(FIND("F",B695)),FIND("F",B695)+1,FIND("G",B695)+1),
FIND("T",B695)-(IF(ISNUMBER(FIND("F",B695)),FIND("F",B695)+1,FIND("G",B695)+1))
)),
VALUE(MID(B695,FIND("E0",B695)+2,FIND("T",B695,FIND("E0",B695))-(FIND("E0",B695)+2)))
))),"")</f>
        <v>7</v>
      </c>
      <c r="G695">
        <f>IFERROR(
IF(ISNUMBER(FIND("T2",B695)),220,
IF(ISNUMBER(FIND("T4",B695)),440,
IF(ISNUMBER(FIND("T5",B695)),575,
IF(ISNUMBER(FIND("T6",B695)),690,"")))),
"")</f>
        <v>690</v>
      </c>
    </row>
    <row r="696" spans="1:7" x14ac:dyDescent="0.25">
      <c r="A696">
        <v>18997152</v>
      </c>
      <c r="B696" t="str">
        <f>VLOOKUP(A696,Planilha2!B:C,2,0)</f>
        <v>INVERSOR BRCFW110007T6OYWZ-UI</v>
      </c>
      <c r="C696" t="s">
        <v>1</v>
      </c>
      <c r="D696" t="str">
        <f>VLOOKUP(A696,Planilha2!B:H,7,0)</f>
        <v>LINHA M3</v>
      </c>
      <c r="E696" s="5">
        <v>29500</v>
      </c>
      <c r="F696">
        <f>IFERROR(
IF(ISNUMBER(FIND("CFW110",B696)),
VALUE(MID(B696,FIND("CFW110",B696)+6,FIND("T",B696,FIND("CFW110",B696))-(FIND("CFW110",B696)+6))),
IF(ISNUMBER(FIND("D",B696)),
VALUE(SUBSTITUTE(MID(B696,FIND("D",B696)+1,FIND("T",B696,FIND("D",B696))-(FIND("D",B696)+1)),"P",",")),
IF(ISNUMBER(FIND("CFW5",B696)),
VALUE(MID(B696,
IF(ISNUMBER(FIND("F",B696)),FIND("F",B696)+1,FIND("G",B696)+1),
FIND("T",B696)-(IF(ISNUMBER(FIND("F",B696)),FIND("F",B696)+1,FIND("G",B696)+1))
)),
VALUE(MID(B696,FIND("E0",B696)+2,FIND("T",B696,FIND("E0",B696))-(FIND("E0",B696)+2)))
))),"")</f>
        <v>7</v>
      </c>
      <c r="G696">
        <f>IFERROR(
IF(ISNUMBER(FIND("T2",B696)),220,
IF(ISNUMBER(FIND("T4",B696)),440,
IF(ISNUMBER(FIND("T5",B696)),575,
IF(ISNUMBER(FIND("T6",B696)),690,"")))),
"")</f>
        <v>690</v>
      </c>
    </row>
    <row r="697" spans="1:7" x14ac:dyDescent="0.25">
      <c r="A697">
        <v>18968440</v>
      </c>
      <c r="B697" t="str">
        <f>VLOOKUP(A697,Planilha2!B:C,2,0)</f>
        <v>INVERSOR BRCFW110010T6OYWZ</v>
      </c>
      <c r="C697" t="s">
        <v>1</v>
      </c>
      <c r="D697" t="str">
        <f>VLOOKUP(A697,Planilha2!B:H,7,0)</f>
        <v>LINHA M3</v>
      </c>
      <c r="E697" s="5">
        <v>26260</v>
      </c>
      <c r="F697">
        <f>IFERROR(
IF(ISNUMBER(FIND("CFW110",B697)),
VALUE(MID(B697,FIND("CFW110",B697)+6,FIND("T",B697,FIND("CFW110",B697))-(FIND("CFW110",B697)+6))),
IF(ISNUMBER(FIND("D",B697)),
VALUE(SUBSTITUTE(MID(B697,FIND("D",B697)+1,FIND("T",B697,FIND("D",B697))-(FIND("D",B697)+1)),"P",",")),
IF(ISNUMBER(FIND("CFW5",B697)),
VALUE(MID(B697,
IF(ISNUMBER(FIND("F",B697)),FIND("F",B697)+1,FIND("G",B697)+1),
FIND("T",B697)-(IF(ISNUMBER(FIND("F",B697)),FIND("F",B697)+1,FIND("G",B697)+1))
)),
VALUE(MID(B697,FIND("E0",B697)+2,FIND("T",B697,FIND("E0",B697))-(FIND("E0",B697)+2)))
))),"")</f>
        <v>10</v>
      </c>
      <c r="G697">
        <f>IFERROR(
IF(ISNUMBER(FIND("T2",B697)),220,
IF(ISNUMBER(FIND("T4",B697)),440,
IF(ISNUMBER(FIND("T5",B697)),575,
IF(ISNUMBER(FIND("T6",B697)),690,"")))),
"")</f>
        <v>690</v>
      </c>
    </row>
    <row r="698" spans="1:7" x14ac:dyDescent="0.25">
      <c r="A698">
        <v>18997277</v>
      </c>
      <c r="B698" t="str">
        <f>VLOOKUP(A698,Planilha2!B:C,2,0)</f>
        <v>INVERSOR BRCFW110010T6OYWZ-UI</v>
      </c>
      <c r="C698" t="s">
        <v>1</v>
      </c>
      <c r="D698" t="str">
        <f>VLOOKUP(A698,Planilha2!B:H,7,0)</f>
        <v>LINHA M3</v>
      </c>
      <c r="E698" s="5">
        <v>26260</v>
      </c>
      <c r="F698">
        <f>IFERROR(
IF(ISNUMBER(FIND("CFW110",B698)),
VALUE(MID(B698,FIND("CFW110",B698)+6,FIND("T",B698,FIND("CFW110",B698))-(FIND("CFW110",B698)+6))),
IF(ISNUMBER(FIND("D",B698)),
VALUE(SUBSTITUTE(MID(B698,FIND("D",B698)+1,FIND("T",B698,FIND("D",B698))-(FIND("D",B698)+1)),"P",",")),
IF(ISNUMBER(FIND("CFW5",B698)),
VALUE(MID(B698,
IF(ISNUMBER(FIND("F",B698)),FIND("F",B698)+1,FIND("G",B698)+1),
FIND("T",B698)-(IF(ISNUMBER(FIND("F",B698)),FIND("F",B698)+1,FIND("G",B698)+1))
)),
VALUE(MID(B698,FIND("E0",B698)+2,FIND("T",B698,FIND("E0",B698))-(FIND("E0",B698)+2)))
))),"")</f>
        <v>10</v>
      </c>
      <c r="G698">
        <f>IFERROR(
IF(ISNUMBER(FIND("T2",B698)),220,
IF(ISNUMBER(FIND("T4",B698)),440,
IF(ISNUMBER(FIND("T5",B698)),575,
IF(ISNUMBER(FIND("T6",B698)),690,"")))),
"")</f>
        <v>690</v>
      </c>
    </row>
    <row r="699" spans="1:7" x14ac:dyDescent="0.25">
      <c r="A699">
        <v>18968441</v>
      </c>
      <c r="B699" t="str">
        <f>VLOOKUP(A699,Planilha2!B:C,2,0)</f>
        <v>INVERSOR BRCFW110012T6OYWZ</v>
      </c>
      <c r="C699" t="s">
        <v>1</v>
      </c>
      <c r="D699" t="str">
        <f>VLOOKUP(A699,Planilha2!B:H,7,0)</f>
        <v>LINHA M3</v>
      </c>
      <c r="E699" s="5">
        <v>15000</v>
      </c>
      <c r="F699">
        <f>IFERROR(
IF(ISNUMBER(FIND("CFW110",B699)),
VALUE(MID(B699,FIND("CFW110",B699)+6,FIND("T",B699,FIND("CFW110",B699))-(FIND("CFW110",B699)+6))),
IF(ISNUMBER(FIND("D",B699)),
VALUE(SUBSTITUTE(MID(B699,FIND("D",B699)+1,FIND("T",B699,FIND("D",B699))-(FIND("D",B699)+1)),"P",",")),
IF(ISNUMBER(FIND("CFW5",B699)),
VALUE(MID(B699,
IF(ISNUMBER(FIND("F",B699)),FIND("F",B699)+1,FIND("G",B699)+1),
FIND("T",B699)-(IF(ISNUMBER(FIND("F",B699)),FIND("F",B699)+1,FIND("G",B699)+1))
)),
VALUE(MID(B699,FIND("E0",B699)+2,FIND("T",B699,FIND("E0",B699))-(FIND("E0",B699)+2)))
))),"")</f>
        <v>12</v>
      </c>
      <c r="G699">
        <f>IFERROR(
IF(ISNUMBER(FIND("T2",B699)),220,
IF(ISNUMBER(FIND("T4",B699)),440,
IF(ISNUMBER(FIND("T5",B699)),575,
IF(ISNUMBER(FIND("T6",B699)),690,"")))),
"")</f>
        <v>690</v>
      </c>
    </row>
    <row r="700" spans="1:7" x14ac:dyDescent="0.25">
      <c r="A700">
        <v>18997463</v>
      </c>
      <c r="B700" t="str">
        <f>VLOOKUP(A700,Planilha2!B:C,2,0)</f>
        <v>INVERSOR BRCFW110012T6OYWZ-UI</v>
      </c>
      <c r="C700" t="s">
        <v>1</v>
      </c>
      <c r="D700" t="str">
        <f>VLOOKUP(A700,Planilha2!B:H,7,0)</f>
        <v>LINHA M3</v>
      </c>
      <c r="E700" s="5">
        <v>15000</v>
      </c>
      <c r="F700">
        <f>IFERROR(
IF(ISNUMBER(FIND("CFW110",B700)),
VALUE(MID(B700,FIND("CFW110",B700)+6,FIND("T",B700,FIND("CFW110",B700))-(FIND("CFW110",B700)+6))),
IF(ISNUMBER(FIND("D",B700)),
VALUE(SUBSTITUTE(MID(B700,FIND("D",B700)+1,FIND("T",B700,FIND("D",B700))-(FIND("D",B700)+1)),"P",",")),
IF(ISNUMBER(FIND("CFW5",B700)),
VALUE(MID(B700,
IF(ISNUMBER(FIND("F",B700)),FIND("F",B700)+1,FIND("G",B700)+1),
FIND("T",B700)-(IF(ISNUMBER(FIND("F",B700)),FIND("F",B700)+1,FIND("G",B700)+1))
)),
VALUE(MID(B700,FIND("E0",B700)+2,FIND("T",B700,FIND("E0",B700))-(FIND("E0",B700)+2)))
))),"")</f>
        <v>12</v>
      </c>
      <c r="G700">
        <f>IFERROR(
IF(ISNUMBER(FIND("T2",B700)),220,
IF(ISNUMBER(FIND("T4",B700)),440,
IF(ISNUMBER(FIND("T5",B700)),575,
IF(ISNUMBER(FIND("T6",B700)),690,"")))),
"")</f>
        <v>690</v>
      </c>
    </row>
    <row r="701" spans="1:7" x14ac:dyDescent="0.25">
      <c r="A701">
        <v>15448371</v>
      </c>
      <c r="B701" t="str">
        <f>VLOOKUP(A701,Planilha2!B:C,2,0)</f>
        <v>INVERSOR CFW500G0142T4DB20G2</v>
      </c>
      <c r="C701" t="s">
        <v>1</v>
      </c>
      <c r="D701" t="str">
        <f>VLOOKUP(A701,Planilha2!B:H,7,0)</f>
        <v>LINHA G1</v>
      </c>
      <c r="E701" s="5">
        <v>30000</v>
      </c>
      <c r="F701" t="str">
        <f>IFERROR(
IF(ISNUMBER(FIND("CFW110",B701)),
VALUE(MID(B701,FIND("CFW110",B701)+6,FIND("T",B701,FIND("CFW110",B701))-(FIND("CFW110",B701)+6))),
IF(ISNUMBER(FIND("D",B701)),
VALUE(SUBSTITUTE(MID(B701,FIND("D",B701)+1,FIND("T",B701,FIND("D",B701))-(FIND("D",B701)+1)),"P",",")),
IF(ISNUMBER(FIND("CFW5",B701)),
VALUE(MID(B701,
IF(ISNUMBER(FIND("F",B701)),FIND("F",B701)+1,FIND("G",B701)+1),
FIND("T",B701)-(IF(ISNUMBER(FIND("F",B701)),FIND("F",B701)+1,FIND("G",B701)+1))
)),
VALUE(MID(B701,FIND("E0",B701)+2,FIND("T",B701,FIND("E0",B701))-(FIND("E0",B701)+2)))
))),"")</f>
        <v/>
      </c>
      <c r="G701">
        <f>IFERROR(
IF(ISNUMBER(FIND("T2",B701)),220,
IF(ISNUMBER(FIND("T4",B701)),440,
IF(ISNUMBER(FIND("T5",B701)),575,
IF(ISNUMBER(FIND("T6",B701)),690,"")))),
"")</f>
        <v>440</v>
      </c>
    </row>
    <row r="702" spans="1:7" x14ac:dyDescent="0.25">
      <c r="A702">
        <v>19097000</v>
      </c>
      <c r="B702" t="str">
        <f>VLOOKUP(A702,Planilha2!B:C,2,0)</f>
        <v>INVERSOR CFW900D0110T2NB20Y2BHEC</v>
      </c>
      <c r="C702" t="s">
        <v>1</v>
      </c>
      <c r="D702" t="str">
        <f>VLOOKUP(A702,Planilha2!B:H,7,0)</f>
        <v>LINHA G1</v>
      </c>
      <c r="E702" s="5">
        <v>33500</v>
      </c>
      <c r="F702">
        <f>IFERROR(
IF(ISNUMBER(FIND("CFW110",B702)),
VALUE(MID(B702,FIND("CFW110",B702)+6,FIND("T",B702,FIND("CFW110",B702))-(FIND("CFW110",B702)+6))),
IF(ISNUMBER(FIND("D",B702)),
VALUE(SUBSTITUTE(MID(B702,FIND("D",B702)+1,FIND("T",B702,FIND("D",B702))-(FIND("D",B702)+1)),"P",",")),
IF(ISNUMBER(FIND("CFW5",B702)),
VALUE(MID(B702,
IF(ISNUMBER(FIND("F",B702)),FIND("F",B702)+1,FIND("G",B702)+1),
FIND("T",B702)-(IF(ISNUMBER(FIND("F",B702)),FIND("F",B702)+1,FIND("G",B702)+1))
)),
VALUE(MID(B702,FIND("E0",B702)+2,FIND("T",B702,FIND("E0",B702))-(FIND("E0",B702)+2)))
))),"")</f>
        <v>110</v>
      </c>
      <c r="G702">
        <f>IFERROR(
IF(ISNUMBER(FIND("T2",B702)),220,
IF(ISNUMBER(FIND("T4",B702)),440,
IF(ISNUMBER(FIND("T5",B702)),575,
IF(ISNUMBER(FIND("T6",B702)),690,"")))),
"")</f>
        <v>220</v>
      </c>
    </row>
    <row r="703" spans="1:7" x14ac:dyDescent="0.25">
      <c r="A703">
        <v>19108549</v>
      </c>
      <c r="B703" t="str">
        <f>VLOOKUP(A703,Planilha2!B:C,2,0)</f>
        <v>INVERSOR CFW900D0110T2NB20Y2BHEC-UI</v>
      </c>
      <c r="C703" t="s">
        <v>1</v>
      </c>
      <c r="D703" t="str">
        <f>VLOOKUP(A703,Planilha2!B:H,7,0)</f>
        <v>LINHA G1</v>
      </c>
      <c r="E703" s="5">
        <v>33500</v>
      </c>
      <c r="F703">
        <f>IFERROR(
IF(ISNUMBER(FIND("CFW110",B703)),
VALUE(MID(B703,FIND("CFW110",B703)+6,FIND("T",B703,FIND("CFW110",B703))-(FIND("CFW110",B703)+6))),
IF(ISNUMBER(FIND("D",B703)),
VALUE(SUBSTITUTE(MID(B703,FIND("D",B703)+1,FIND("T",B703,FIND("D",B703))-(FIND("D",B703)+1)),"P",",")),
IF(ISNUMBER(FIND("CFW5",B703)),
VALUE(MID(B703,
IF(ISNUMBER(FIND("F",B703)),FIND("F",B703)+1,FIND("G",B703)+1),
FIND("T",B703)-(IF(ISNUMBER(FIND("F",B703)),FIND("F",B703)+1,FIND("G",B703)+1))
)),
VALUE(MID(B703,FIND("E0",B703)+2,FIND("T",B703,FIND("E0",B703))-(FIND("E0",B703)+2)))
))),"")</f>
        <v>110</v>
      </c>
      <c r="G703">
        <f>IFERROR(
IF(ISNUMBER(FIND("T2",B703)),220,
IF(ISNUMBER(FIND("T4",B703)),440,
IF(ISNUMBER(FIND("T5",B703)),575,
IF(ISNUMBER(FIND("T6",B703)),690,"")))),
"")</f>
        <v>220</v>
      </c>
    </row>
    <row r="704" spans="1:7" x14ac:dyDescent="0.25">
      <c r="A704">
        <v>19163706</v>
      </c>
      <c r="B704" t="str">
        <f>VLOOKUP(A704,Planilha2!B:C,2,0)</f>
        <v>INVERSOR BRCFW110058T4OTHZ</v>
      </c>
      <c r="C704" t="s">
        <v>1</v>
      </c>
      <c r="D704" t="str">
        <f>VLOOKUP(A704,Planilha2!B:H,7,0)</f>
        <v>LINHA M1</v>
      </c>
      <c r="E704" t="s">
        <v>3172</v>
      </c>
      <c r="F704">
        <f>IFERROR(
IF(ISNUMBER(FIND("CFW110",B704)),
VALUE(MID(B704,FIND("CFW110",B704)+6,FIND("T",B704,FIND("CFW110",B704))-(FIND("CFW110",B704)+6))),
IF(ISNUMBER(FIND("D",B704)),
VALUE(SUBSTITUTE(MID(B704,FIND("D",B704)+1,FIND("T",B704,FIND("D",B704))-(FIND("D",B704)+1)),"P",",")),
IF(ISNUMBER(FIND("CFW5",B704)),
VALUE(MID(B704,
IF(ISNUMBER(FIND("F",B704)),FIND("F",B704)+1,FIND("G",B704)+1),
FIND("T",B704)-(IF(ISNUMBER(FIND("F",B704)),FIND("F",B704)+1,FIND("G",B704)+1))
)),
VALUE(MID(B704,FIND("E0",B704)+2,FIND("T",B704,FIND("E0",B704))-(FIND("E0",B704)+2)))
))),"")</f>
        <v>58</v>
      </c>
      <c r="G704">
        <f>IFERROR(
IF(ISNUMBER(FIND("T2",B704)),220,
IF(ISNUMBER(FIND("T4",B704)),440,
IF(ISNUMBER(FIND("T5",B704)),575,
IF(ISNUMBER(FIND("T6",B704)),690,"")))),
"")</f>
        <v>440</v>
      </c>
    </row>
    <row r="705" spans="1:7" x14ac:dyDescent="0.25">
      <c r="A705">
        <v>19163995</v>
      </c>
      <c r="B705" t="str">
        <f>VLOOKUP(A705,Planilha2!B:C,2,0)</f>
        <v>INVERSOR CFW900D0124T4DB20Y2BHEC</v>
      </c>
      <c r="C705" t="s">
        <v>1</v>
      </c>
      <c r="D705" t="str">
        <f>VLOOKUP(A705,Planilha2!B:H,7,0)</f>
        <v>LINHA G1</v>
      </c>
      <c r="E705" s="5">
        <v>33500</v>
      </c>
      <c r="F705">
        <f>IFERROR(
IF(ISNUMBER(FIND("CFW110",B705)),
VALUE(MID(B705,FIND("CFW110",B705)+6,FIND("T",B705,FIND("CFW110",B705))-(FIND("CFW110",B705)+6))),
IF(ISNUMBER(FIND("D",B705)),
VALUE(SUBSTITUTE(MID(B705,FIND("D",B705)+1,FIND("T",B705,FIND("D",B705))-(FIND("D",B705)+1)),"P",",")),
IF(ISNUMBER(FIND("CFW5",B705)),
VALUE(MID(B705,
IF(ISNUMBER(FIND("F",B705)),FIND("F",B705)+1,FIND("G",B705)+1),
FIND("T",B705)-(IF(ISNUMBER(FIND("F",B705)),FIND("F",B705)+1,FIND("G",B705)+1))
)),
VALUE(MID(B705,FIND("E0",B705)+2,FIND("T",B705,FIND("E0",B705))-(FIND("E0",B705)+2)))
))),"")</f>
        <v>124</v>
      </c>
      <c r="G705">
        <f>IFERROR(
IF(ISNUMBER(FIND("T2",B705)),220,
IF(ISNUMBER(FIND("T4",B705)),440,
IF(ISNUMBER(FIND("T5",B705)),575,
IF(ISNUMBER(FIND("T6",B705)),690,"")))),
"")</f>
        <v>440</v>
      </c>
    </row>
    <row r="706" spans="1:7" x14ac:dyDescent="0.25">
      <c r="A706">
        <v>13537800</v>
      </c>
      <c r="B706" t="str">
        <f>VLOOKUP(A706,Planilha2!B:C,2,0)</f>
        <v>INVERSOR BRCFW110038T4O55Z</v>
      </c>
      <c r="C706" t="s">
        <v>1</v>
      </c>
      <c r="D706" t="str">
        <f>VLOOKUP(A706,Planilha2!B:H,7,0)</f>
        <v>LINHA M3</v>
      </c>
      <c r="E706" s="5">
        <v>16400</v>
      </c>
      <c r="F706">
        <f>IFERROR(
IF(ISNUMBER(FIND("CFW110",B706)),
VALUE(MID(B706,FIND("CFW110",B706)+6,FIND("T",B706,FIND("CFW110",B706))-(FIND("CFW110",B706)+6))),
IF(ISNUMBER(FIND("D",B706)),
VALUE(SUBSTITUTE(MID(B706,FIND("D",B706)+1,FIND("T",B706,FIND("D",B706))-(FIND("D",B706)+1)),"P",",")),
IF(ISNUMBER(FIND("CFW5",B706)),
VALUE(MID(B706,
IF(ISNUMBER(FIND("F",B706)),FIND("F",B706)+1,FIND("G",B706)+1),
FIND("T",B706)-(IF(ISNUMBER(FIND("F",B706)),FIND("F",B706)+1,FIND("G",B706)+1))
)),
VALUE(MID(B706,FIND("E0",B706)+2,FIND("T",B706,FIND("E0",B706))-(FIND("E0",B706)+2)))
))),"")</f>
        <v>38</v>
      </c>
      <c r="G706">
        <f>IFERROR(
IF(ISNUMBER(FIND("T2",B706)),220,
IF(ISNUMBER(FIND("T4",B706)),440,
IF(ISNUMBER(FIND("T5",B706)),575,
IF(ISNUMBER(FIND("T6",B706)),690,"")))),
"")</f>
        <v>440</v>
      </c>
    </row>
    <row r="707" spans="1:7" x14ac:dyDescent="0.25">
      <c r="A707">
        <v>19300160</v>
      </c>
      <c r="B707" t="str">
        <f>VLOOKUP(A707,Planilha2!B:C,2,0)</f>
        <v>INVERSOR NACFW110105T2OFA55ECZ</v>
      </c>
      <c r="C707" t="s">
        <v>1</v>
      </c>
      <c r="D707" t="str">
        <f>VLOOKUP(A707,Planilha2!B:H,7,0)</f>
        <v>ITENS AGRUPADORES</v>
      </c>
      <c r="E707" s="5">
        <v>85300</v>
      </c>
      <c r="F707">
        <f>IFERROR(
IF(ISNUMBER(FIND("CFW110",B707)),
VALUE(MID(B707,FIND("CFW110",B707)+6,FIND("T",B707,FIND("CFW110",B707))-(FIND("CFW110",B707)+6))),
IF(ISNUMBER(FIND("D",B707)),
VALUE(SUBSTITUTE(MID(B707,FIND("D",B707)+1,FIND("T",B707,FIND("D",B707))-(FIND("D",B707)+1)),"P",",")),
IF(ISNUMBER(FIND("CFW5",B707)),
VALUE(MID(B707,
IF(ISNUMBER(FIND("F",B707)),FIND("F",B707)+1,FIND("G",B707)+1),
FIND("T",B707)-(IF(ISNUMBER(FIND("F",B707)),FIND("F",B707)+1,FIND("G",B707)+1))
)),
VALUE(MID(B707,FIND("E0",B707)+2,FIND("T",B707,FIND("E0",B707))-(FIND("E0",B707)+2)))
))),"")</f>
        <v>105</v>
      </c>
      <c r="G707">
        <f>IFERROR(
IF(ISNUMBER(FIND("T2",B707)),220,
IF(ISNUMBER(FIND("T4",B707)),440,
IF(ISNUMBER(FIND("T5",B707)),575,
IF(ISNUMBER(FIND("T6",B707)),690,"")))),
"")</f>
        <v>220</v>
      </c>
    </row>
    <row r="708" spans="1:7" x14ac:dyDescent="0.25">
      <c r="A708">
        <v>11874551</v>
      </c>
      <c r="B708" t="str">
        <f>VLOOKUP(A708,Planilha2!B:C,2,0)</f>
        <v>INVERSOR SACFW110142T2OYZ</v>
      </c>
      <c r="C708" t="s">
        <v>1</v>
      </c>
      <c r="D708" t="str">
        <f>VLOOKUP(A708,Planilha2!B:H,7,0)</f>
        <v>LINHA G1</v>
      </c>
      <c r="E708" s="5">
        <v>139000</v>
      </c>
      <c r="F708">
        <f>IFERROR(
IF(ISNUMBER(FIND("CFW110",B708)),
VALUE(MID(B708,FIND("CFW110",B708)+6,FIND("T",B708,FIND("CFW110",B708))-(FIND("CFW110",B708)+6))),
IF(ISNUMBER(FIND("D",B708)),
VALUE(SUBSTITUTE(MID(B708,FIND("D",B708)+1,FIND("T",B708,FIND("D",B708))-(FIND("D",B708)+1)),"P",",")),
IF(ISNUMBER(FIND("CFW5",B708)),
VALUE(MID(B708,
IF(ISNUMBER(FIND("F",B708)),FIND("F",B708)+1,FIND("G",B708)+1),
FIND("T",B708)-(IF(ISNUMBER(FIND("F",B708)),FIND("F",B708)+1,FIND("G",B708)+1))
)),
VALUE(MID(B708,FIND("E0",B708)+2,FIND("T",B708,FIND("E0",B708))-(FIND("E0",B708)+2)))
))),"")</f>
        <v>142</v>
      </c>
      <c r="G708">
        <f>IFERROR(
IF(ISNUMBER(FIND("T2",B708)),220,
IF(ISNUMBER(FIND("T4",B708)),440,
IF(ISNUMBER(FIND("T5",B708)),575,
IF(ISNUMBER(FIND("T6",B708)),690,"")))),
"")</f>
        <v>220</v>
      </c>
    </row>
    <row r="709" spans="1:7" x14ac:dyDescent="0.25">
      <c r="A709">
        <v>11874229</v>
      </c>
      <c r="B709" t="str">
        <f>VLOOKUP(A709,Planilha2!B:C,2,0)</f>
        <v>INVERSOR NACFW110142T2OYZ</v>
      </c>
      <c r="C709" t="s">
        <v>1</v>
      </c>
      <c r="D709" t="str">
        <f>VLOOKUP(A709,Planilha2!B:H,7,0)</f>
        <v>LINHA G1</v>
      </c>
      <c r="E709" s="5">
        <v>139000</v>
      </c>
      <c r="F709">
        <f>IFERROR(
IF(ISNUMBER(FIND("CFW110",B709)),
VALUE(MID(B709,FIND("CFW110",B709)+6,FIND("T",B709,FIND("CFW110",B709))-(FIND("CFW110",B709)+6))),
IF(ISNUMBER(FIND("D",B709)),
VALUE(SUBSTITUTE(MID(B709,FIND("D",B709)+1,FIND("T",B709,FIND("D",B709))-(FIND("D",B709)+1)),"P",",")),
IF(ISNUMBER(FIND("CFW5",B709)),
VALUE(MID(B709,
IF(ISNUMBER(FIND("F",B709)),FIND("F",B709)+1,FIND("G",B709)+1),
FIND("T",B709)-(IF(ISNUMBER(FIND("F",B709)),FIND("F",B709)+1,FIND("G",B709)+1))
)),
VALUE(MID(B709,FIND("E0",B709)+2,FIND("T",B709,FIND("E0",B709))-(FIND("E0",B709)+2)))
))),"")</f>
        <v>142</v>
      </c>
      <c r="G709">
        <f>IFERROR(
IF(ISNUMBER(FIND("T2",B709)),220,
IF(ISNUMBER(FIND("T4",B709)),440,
IF(ISNUMBER(FIND("T5",B709)),575,
IF(ISNUMBER(FIND("T6",B709)),690,"")))),
"")</f>
        <v>220</v>
      </c>
    </row>
    <row r="710" spans="1:7" x14ac:dyDescent="0.25">
      <c r="A710">
        <v>12176816</v>
      </c>
      <c r="B710" t="str">
        <f>VLOOKUP(A710,Planilha2!B:C,2,0)</f>
        <v>INVERSOR EUCFW110088T4O54FAYZ</v>
      </c>
      <c r="C710" t="s">
        <v>1</v>
      </c>
      <c r="D710" t="str">
        <f>VLOOKUP(A710,Planilha2!B:H,7,0)</f>
        <v>LINHA M3</v>
      </c>
      <c r="E710" s="5">
        <v>26000</v>
      </c>
      <c r="F710">
        <f>IFERROR(
IF(ISNUMBER(FIND("CFW110",B710)),
VALUE(MID(B710,FIND("CFW110",B710)+6,FIND("T",B710,FIND("CFW110",B710))-(FIND("CFW110",B710)+6))),
IF(ISNUMBER(FIND("D",B710)),
VALUE(SUBSTITUTE(MID(B710,FIND("D",B710)+1,FIND("T",B710,FIND("D",B710))-(FIND("D",B710)+1)),"P",",")),
IF(ISNUMBER(FIND("CFW5",B710)),
VALUE(MID(B710,
IF(ISNUMBER(FIND("F",B710)),FIND("F",B710)+1,FIND("G",B710)+1),
FIND("T",B710)-(IF(ISNUMBER(FIND("F",B710)),FIND("F",B710)+1,FIND("G",B710)+1))
)),
VALUE(MID(B710,FIND("E0",B710)+2,FIND("T",B710,FIND("E0",B710))-(FIND("E0",B710)+2)))
))),"")</f>
        <v>88</v>
      </c>
      <c r="G710">
        <f>IFERROR(
IF(ISNUMBER(FIND("T2",B710)),220,
IF(ISNUMBER(FIND("T4",B710)),440,
IF(ISNUMBER(FIND("T5",B710)),575,
IF(ISNUMBER(FIND("T6",B710)),690,"")))),
"")</f>
        <v>440</v>
      </c>
    </row>
    <row r="711" spans="1:7" x14ac:dyDescent="0.25">
      <c r="A711">
        <v>12096132</v>
      </c>
      <c r="B711" t="str">
        <f>VLOOKUP(A711,Planilha2!B:C,2,0)</f>
        <v>INVERSOR EUCFW110038T4OFAYWZ</v>
      </c>
      <c r="C711" t="s">
        <v>1</v>
      </c>
      <c r="D711" t="str">
        <f>VLOOKUP(A711,Planilha2!B:H,7,0)</f>
        <v>LINHA M1</v>
      </c>
      <c r="E711" s="5">
        <v>4500</v>
      </c>
      <c r="F711">
        <f>IFERROR(
IF(ISNUMBER(FIND("CFW110",B711)),
VALUE(MID(B711,FIND("CFW110",B711)+6,FIND("T",B711,FIND("CFW110",B711))-(FIND("CFW110",B711)+6))),
IF(ISNUMBER(FIND("D",B711)),
VALUE(SUBSTITUTE(MID(B711,FIND("D",B711)+1,FIND("T",B711,FIND("D",B711))-(FIND("D",B711)+1)),"P",",")),
IF(ISNUMBER(FIND("CFW5",B711)),
VALUE(MID(B711,
IF(ISNUMBER(FIND("F",B711)),FIND("F",B711)+1,FIND("G",B711)+1),
FIND("T",B711)-(IF(ISNUMBER(FIND("F",B711)),FIND("F",B711)+1,FIND("G",B711)+1))
)),
VALUE(MID(B711,FIND("E0",B711)+2,FIND("T",B711,FIND("E0",B711))-(FIND("E0",B711)+2)))
))),"")</f>
        <v>38</v>
      </c>
      <c r="G711">
        <f>IFERROR(
IF(ISNUMBER(FIND("T2",B711)),220,
IF(ISNUMBER(FIND("T4",B711)),440,
IF(ISNUMBER(FIND("T5",B711)),575,
IF(ISNUMBER(FIND("T6",B711)),690,"")))),
"")</f>
        <v>440</v>
      </c>
    </row>
    <row r="712" spans="1:7" x14ac:dyDescent="0.25">
      <c r="A712">
        <v>11988694</v>
      </c>
      <c r="B712" t="str">
        <f>VLOOKUP(A712,Planilha2!B:C,2,0)</f>
        <v>INVERSOR SACFW110044T6ONBZ</v>
      </c>
      <c r="C712" t="s">
        <v>1</v>
      </c>
      <c r="D712" t="str">
        <f>VLOOKUP(A712,Planilha2!B:H,7,0)</f>
        <v>LINHA M3</v>
      </c>
      <c r="E712" s="5">
        <v>31600</v>
      </c>
      <c r="F712">
        <f>IFERROR(
IF(ISNUMBER(FIND("CFW110",B712)),
VALUE(MID(B712,FIND("CFW110",B712)+6,FIND("T",B712,FIND("CFW110",B712))-(FIND("CFW110",B712)+6))),
IF(ISNUMBER(FIND("D",B712)),
VALUE(SUBSTITUTE(MID(B712,FIND("D",B712)+1,FIND("T",B712,FIND("D",B712))-(FIND("D",B712)+1)),"P",",")),
IF(ISNUMBER(FIND("CFW5",B712)),
VALUE(MID(B712,
IF(ISNUMBER(FIND("F",B712)),FIND("F",B712)+1,FIND("G",B712)+1),
FIND("T",B712)-(IF(ISNUMBER(FIND("F",B712)),FIND("F",B712)+1,FIND("G",B712)+1))
)),
VALUE(MID(B712,FIND("E0",B712)+2,FIND("T",B712,FIND("E0",B712))-(FIND("E0",B712)+2)))
))),"")</f>
        <v>44</v>
      </c>
      <c r="G712">
        <f>IFERROR(
IF(ISNUMBER(FIND("T2",B712)),220,
IF(ISNUMBER(FIND("T4",B712)),440,
IF(ISNUMBER(FIND("T5",B712)),575,
IF(ISNUMBER(FIND("T6",B712)),690,"")))),
"")</f>
        <v>690</v>
      </c>
    </row>
    <row r="713" spans="1:7" x14ac:dyDescent="0.25">
      <c r="A713">
        <v>11988691</v>
      </c>
      <c r="B713" t="str">
        <f>VLOOKUP(A713,Planilha2!B:C,2,0)</f>
        <v>INVERSOR SACFW110032T6ONBZ</v>
      </c>
      <c r="C713" t="s">
        <v>1</v>
      </c>
      <c r="D713" t="str">
        <f>VLOOKUP(A713,Planilha2!B:H,7,0)</f>
        <v>LINHA M3</v>
      </c>
      <c r="E713" s="5">
        <v>26000</v>
      </c>
      <c r="F713">
        <f>IFERROR(
IF(ISNUMBER(FIND("CFW110",B713)),
VALUE(MID(B713,FIND("CFW110",B713)+6,FIND("T",B713,FIND("CFW110",B713))-(FIND("CFW110",B713)+6))),
IF(ISNUMBER(FIND("D",B713)),
VALUE(SUBSTITUTE(MID(B713,FIND("D",B713)+1,FIND("T",B713,FIND("D",B713))-(FIND("D",B713)+1)),"P",",")),
IF(ISNUMBER(FIND("CFW5",B713)),
VALUE(MID(B713,
IF(ISNUMBER(FIND("F",B713)),FIND("F",B713)+1,FIND("G",B713)+1),
FIND("T",B713)-(IF(ISNUMBER(FIND("F",B713)),FIND("F",B713)+1,FIND("G",B713)+1))
)),
VALUE(MID(B713,FIND("E0",B713)+2,FIND("T",B713,FIND("E0",B713))-(FIND("E0",B713)+2)))
))),"")</f>
        <v>32</v>
      </c>
      <c r="G713">
        <f>IFERROR(
IF(ISNUMBER(FIND("T2",B713)),220,
IF(ISNUMBER(FIND("T4",B713)),440,
IF(ISNUMBER(FIND("T5",B713)),575,
IF(ISNUMBER(FIND("T6",B713)),690,"")))),
"")</f>
        <v>690</v>
      </c>
    </row>
    <row r="714" spans="1:7" x14ac:dyDescent="0.25">
      <c r="A714">
        <v>11988688</v>
      </c>
      <c r="B714" t="str">
        <f>VLOOKUP(A714,Planilha2!B:C,2,0)</f>
        <v>INVERSOR SACFW110027T6ONBZ</v>
      </c>
      <c r="C714" t="s">
        <v>1</v>
      </c>
      <c r="D714" t="str">
        <f>VLOOKUP(A714,Planilha2!B:H,7,0)</f>
        <v>LINHA M3</v>
      </c>
      <c r="E714" s="5">
        <v>26000</v>
      </c>
      <c r="F714">
        <f>IFERROR(
IF(ISNUMBER(FIND("CFW110",B714)),
VALUE(MID(B714,FIND("CFW110",B714)+6,FIND("T",B714,FIND("CFW110",B714))-(FIND("CFW110",B714)+6))),
IF(ISNUMBER(FIND("D",B714)),
VALUE(SUBSTITUTE(MID(B714,FIND("D",B714)+1,FIND("T",B714,FIND("D",B714))-(FIND("D",B714)+1)),"P",",")),
IF(ISNUMBER(FIND("CFW5",B714)),
VALUE(MID(B714,
IF(ISNUMBER(FIND("F",B714)),FIND("F",B714)+1,FIND("G",B714)+1),
FIND("T",B714)-(IF(ISNUMBER(FIND("F",B714)),FIND("F",B714)+1,FIND("G",B714)+1))
)),
VALUE(MID(B714,FIND("E0",B714)+2,FIND("T",B714,FIND("E0",B714))-(FIND("E0",B714)+2)))
))),"")</f>
        <v>27</v>
      </c>
      <c r="G714">
        <f>IFERROR(
IF(ISNUMBER(FIND("T2",B714)),220,
IF(ISNUMBER(FIND("T4",B714)),440,
IF(ISNUMBER(FIND("T5",B714)),575,
IF(ISNUMBER(FIND("T6",B714)),690,"")))),
"")</f>
        <v>690</v>
      </c>
    </row>
    <row r="715" spans="1:7" x14ac:dyDescent="0.25">
      <c r="A715">
        <v>11988665</v>
      </c>
      <c r="B715" t="str">
        <f>VLOOKUP(A715,Planilha2!B:C,2,0)</f>
        <v>INVERSOR SACFW110022T6ONBZ</v>
      </c>
      <c r="C715" t="s">
        <v>1</v>
      </c>
      <c r="D715" t="str">
        <f>VLOOKUP(A715,Planilha2!B:H,7,0)</f>
        <v>LINHA M3</v>
      </c>
      <c r="E715" s="5">
        <v>26000</v>
      </c>
      <c r="F715">
        <f>IFERROR(
IF(ISNUMBER(FIND("CFW110",B715)),
VALUE(MID(B715,FIND("CFW110",B715)+6,FIND("T",B715,FIND("CFW110",B715))-(FIND("CFW110",B715)+6))),
IF(ISNUMBER(FIND("D",B715)),
VALUE(SUBSTITUTE(MID(B715,FIND("D",B715)+1,FIND("T",B715,FIND("D",B715))-(FIND("D",B715)+1)),"P",",")),
IF(ISNUMBER(FIND("CFW5",B715)),
VALUE(MID(B715,
IF(ISNUMBER(FIND("F",B715)),FIND("F",B715)+1,FIND("G",B715)+1),
FIND("T",B715)-(IF(ISNUMBER(FIND("F",B715)),FIND("F",B715)+1,FIND("G",B715)+1))
)),
VALUE(MID(B715,FIND("E0",B715)+2,FIND("T",B715,FIND("E0",B715))-(FIND("E0",B715)+2)))
))),"")</f>
        <v>22</v>
      </c>
      <c r="G715">
        <f>IFERROR(
IF(ISNUMBER(FIND("T2",B715)),220,
IF(ISNUMBER(FIND("T4",B715)),440,
IF(ISNUMBER(FIND("T5",B715)),575,
IF(ISNUMBER(FIND("T6",B715)),690,"")))),
"")</f>
        <v>690</v>
      </c>
    </row>
    <row r="716" spans="1:7" x14ac:dyDescent="0.25">
      <c r="A716">
        <v>12161782</v>
      </c>
      <c r="B716" t="str">
        <f>VLOOKUP(A716,Planilha2!B:C,2,0)</f>
        <v>INVERSOR SACFW110002T5SZ</v>
      </c>
      <c r="C716" t="s">
        <v>1</v>
      </c>
      <c r="D716" t="str">
        <f>VLOOKUP(A716,Planilha2!B:H,7,0)</f>
        <v>LINHA P7</v>
      </c>
      <c r="E716" s="5">
        <v>26000</v>
      </c>
      <c r="F716">
        <f>IFERROR(
IF(ISNUMBER(FIND("CFW110",B716)),
VALUE(MID(B716,FIND("CFW110",B716)+6,FIND("T",B716,FIND("CFW110",B716))-(FIND("CFW110",B716)+6))),
IF(ISNUMBER(FIND("D",B716)),
VALUE(SUBSTITUTE(MID(B716,FIND("D",B716)+1,FIND("T",B716,FIND("D",B716))-(FIND("D",B716)+1)),"P",",")),
IF(ISNUMBER(FIND("CFW5",B716)),
VALUE(MID(B716,
IF(ISNUMBER(FIND("F",B716)),FIND("F",B716)+1,FIND("G",B716)+1),
FIND("T",B716)-(IF(ISNUMBER(FIND("F",B716)),FIND("F",B716)+1,FIND("G",B716)+1))
)),
VALUE(MID(B716,FIND("E0",B716)+2,FIND("T",B716,FIND("E0",B716))-(FIND("E0",B716)+2)))
))),"")</f>
        <v>2</v>
      </c>
      <c r="G716">
        <f>IFERROR(
IF(ISNUMBER(FIND("T2",B716)),220,
IF(ISNUMBER(FIND("T4",B716)),440,
IF(ISNUMBER(FIND("T5",B716)),575,
IF(ISNUMBER(FIND("T6",B716)),690,"")))),
"")</f>
        <v>575</v>
      </c>
    </row>
    <row r="717" spans="1:7" x14ac:dyDescent="0.25">
      <c r="A717">
        <v>12161784</v>
      </c>
      <c r="B717" t="str">
        <f>VLOOKUP(A717,Planilha2!B:C,2,0)</f>
        <v>INVERSOR SACFW110004T5SZ</v>
      </c>
      <c r="C717" t="s">
        <v>1</v>
      </c>
      <c r="D717" t="str">
        <f>VLOOKUP(A717,Planilha2!B:H,7,0)</f>
        <v>LINHA P7</v>
      </c>
      <c r="E717" s="5">
        <v>26000</v>
      </c>
      <c r="F717">
        <f>IFERROR(
IF(ISNUMBER(FIND("CFW110",B717)),
VALUE(MID(B717,FIND("CFW110",B717)+6,FIND("T",B717,FIND("CFW110",B717))-(FIND("CFW110",B717)+6))),
IF(ISNUMBER(FIND("D",B717)),
VALUE(SUBSTITUTE(MID(B717,FIND("D",B717)+1,FIND("T",B717,FIND("D",B717))-(FIND("D",B717)+1)),"P",",")),
IF(ISNUMBER(FIND("CFW5",B717)),
VALUE(MID(B717,
IF(ISNUMBER(FIND("F",B717)),FIND("F",B717)+1,FIND("G",B717)+1),
FIND("T",B717)-(IF(ISNUMBER(FIND("F",B717)),FIND("F",B717)+1,FIND("G",B717)+1))
)),
VALUE(MID(B717,FIND("E0",B717)+2,FIND("T",B717,FIND("E0",B717))-(FIND("E0",B717)+2)))
))),"")</f>
        <v>4</v>
      </c>
      <c r="G717">
        <f>IFERROR(
IF(ISNUMBER(FIND("T2",B717)),220,
IF(ISNUMBER(FIND("T4",B717)),440,
IF(ISNUMBER(FIND("T5",B717)),575,
IF(ISNUMBER(FIND("T6",B717)),690,"")))),
"")</f>
        <v>575</v>
      </c>
    </row>
    <row r="718" spans="1:7" x14ac:dyDescent="0.25">
      <c r="A718">
        <v>12161785</v>
      </c>
      <c r="B718" t="str">
        <f>VLOOKUP(A718,Planilha2!B:C,2,0)</f>
        <v>INVERSOR SACFW110007T5SZ</v>
      </c>
      <c r="C718" t="s">
        <v>1</v>
      </c>
      <c r="D718" t="str">
        <f>VLOOKUP(A718,Planilha2!B:H,7,0)</f>
        <v>LINHA P7</v>
      </c>
      <c r="E718" s="5">
        <v>26000</v>
      </c>
      <c r="F718">
        <f>IFERROR(
IF(ISNUMBER(FIND("CFW110",B718)),
VALUE(MID(B718,FIND("CFW110",B718)+6,FIND("T",B718,FIND("CFW110",B718))-(FIND("CFW110",B718)+6))),
IF(ISNUMBER(FIND("D",B718)),
VALUE(SUBSTITUTE(MID(B718,FIND("D",B718)+1,FIND("T",B718,FIND("D",B718))-(FIND("D",B718)+1)),"P",",")),
IF(ISNUMBER(FIND("CFW5",B718)),
VALUE(MID(B718,
IF(ISNUMBER(FIND("F",B718)),FIND("F",B718)+1,FIND("G",B718)+1),
FIND("T",B718)-(IF(ISNUMBER(FIND("F",B718)),FIND("F",B718)+1,FIND("G",B718)+1))
)),
VALUE(MID(B718,FIND("E0",B718)+2,FIND("T",B718,FIND("E0",B718))-(FIND("E0",B718)+2)))
))),"")</f>
        <v>7</v>
      </c>
      <c r="G718">
        <f>IFERROR(
IF(ISNUMBER(FIND("T2",B718)),220,
IF(ISNUMBER(FIND("T4",B718)),440,
IF(ISNUMBER(FIND("T5",B718)),575,
IF(ISNUMBER(FIND("T6",B718)),690,"")))),
"")</f>
        <v>575</v>
      </c>
    </row>
    <row r="719" spans="1:7" x14ac:dyDescent="0.25">
      <c r="A719">
        <v>12161869</v>
      </c>
      <c r="B719" t="str">
        <f>VLOOKUP(A719,Planilha2!B:C,2,0)</f>
        <v>INVERSOR SACFW110010T5SZ</v>
      </c>
      <c r="C719" t="s">
        <v>1</v>
      </c>
      <c r="D719" t="str">
        <f>VLOOKUP(A719,Planilha2!B:H,7,0)</f>
        <v>LINHA P7</v>
      </c>
      <c r="E719" s="5">
        <v>26000</v>
      </c>
      <c r="F719">
        <f>IFERROR(
IF(ISNUMBER(FIND("CFW110",B719)),
VALUE(MID(B719,FIND("CFW110",B719)+6,FIND("T",B719,FIND("CFW110",B719))-(FIND("CFW110",B719)+6))),
IF(ISNUMBER(FIND("D",B719)),
VALUE(SUBSTITUTE(MID(B719,FIND("D",B719)+1,FIND("T",B719,FIND("D",B719))-(FIND("D",B719)+1)),"P",",")),
IF(ISNUMBER(FIND("CFW5",B719)),
VALUE(MID(B719,
IF(ISNUMBER(FIND("F",B719)),FIND("F",B719)+1,FIND("G",B719)+1),
FIND("T",B719)-(IF(ISNUMBER(FIND("F",B719)),FIND("F",B719)+1,FIND("G",B719)+1))
)),
VALUE(MID(B719,FIND("E0",B719)+2,FIND("T",B719,FIND("E0",B719))-(FIND("E0",B719)+2)))
))),"")</f>
        <v>10</v>
      </c>
      <c r="G719">
        <f>IFERROR(
IF(ISNUMBER(FIND("T2",B719)),220,
IF(ISNUMBER(FIND("T4",B719)),440,
IF(ISNUMBER(FIND("T5",B719)),575,
IF(ISNUMBER(FIND("T6",B719)),690,"")))),
"")</f>
        <v>575</v>
      </c>
    </row>
    <row r="720" spans="1:7" x14ac:dyDescent="0.25">
      <c r="A720">
        <v>12161870</v>
      </c>
      <c r="B720" t="str">
        <f>VLOOKUP(A720,Planilha2!B:C,2,0)</f>
        <v>INVERSOR SACFW110012T5SZ</v>
      </c>
      <c r="C720" t="s">
        <v>1</v>
      </c>
      <c r="D720" t="str">
        <f>VLOOKUP(A720,Planilha2!B:H,7,0)</f>
        <v>LINHA P7</v>
      </c>
      <c r="E720" s="5">
        <v>26000</v>
      </c>
      <c r="F720">
        <f>IFERROR(
IF(ISNUMBER(FIND("CFW110",B720)),
VALUE(MID(B720,FIND("CFW110",B720)+6,FIND("T",B720,FIND("CFW110",B720))-(FIND("CFW110",B720)+6))),
IF(ISNUMBER(FIND("D",B720)),
VALUE(SUBSTITUTE(MID(B720,FIND("D",B720)+1,FIND("T",B720,FIND("D",B720))-(FIND("D",B720)+1)),"P",",")),
IF(ISNUMBER(FIND("CFW5",B720)),
VALUE(MID(B720,
IF(ISNUMBER(FIND("F",B720)),FIND("F",B720)+1,FIND("G",B720)+1),
FIND("T",B720)-(IF(ISNUMBER(FIND("F",B720)),FIND("F",B720)+1,FIND("G",B720)+1))
)),
VALUE(MID(B720,FIND("E0",B720)+2,FIND("T",B720,FIND("E0",B720))-(FIND("E0",B720)+2)))
))),"")</f>
        <v>12</v>
      </c>
      <c r="G720">
        <f>IFERROR(
IF(ISNUMBER(FIND("T2",B720)),220,
IF(ISNUMBER(FIND("T4",B720)),440,
IF(ISNUMBER(FIND("T5",B720)),575,
IF(ISNUMBER(FIND("T6",B720)),690,"")))),
"")</f>
        <v>575</v>
      </c>
    </row>
    <row r="721" spans="1:7" x14ac:dyDescent="0.25">
      <c r="A721">
        <v>12394154</v>
      </c>
      <c r="B721" t="str">
        <f>VLOOKUP(A721,Planilha2!B:C,2,0)</f>
        <v>INVERSOR NACFW110002T5ONFZ</v>
      </c>
      <c r="C721" t="s">
        <v>1</v>
      </c>
      <c r="D721" t="str">
        <f>VLOOKUP(A721,Planilha2!B:H,7,0)</f>
        <v>LINHA P7</v>
      </c>
      <c r="E721" s="5">
        <v>9440</v>
      </c>
      <c r="F721">
        <f>IFERROR(
IF(ISNUMBER(FIND("CFW110",B721)),
VALUE(MID(B721,FIND("CFW110",B721)+6,FIND("T",B721,FIND("CFW110",B721))-(FIND("CFW110",B721)+6))),
IF(ISNUMBER(FIND("D",B721)),
VALUE(SUBSTITUTE(MID(B721,FIND("D",B721)+1,FIND("T",B721,FIND("D",B721))-(FIND("D",B721)+1)),"P",",")),
IF(ISNUMBER(FIND("CFW5",B721)),
VALUE(MID(B721,
IF(ISNUMBER(FIND("F",B721)),FIND("F",B721)+1,FIND("G",B721)+1),
FIND("T",B721)-(IF(ISNUMBER(FIND("F",B721)),FIND("F",B721)+1,FIND("G",B721)+1))
)),
VALUE(MID(B721,FIND("E0",B721)+2,FIND("T",B721,FIND("E0",B721))-(FIND("E0",B721)+2)))
))),"")</f>
        <v>2</v>
      </c>
      <c r="G721">
        <f>IFERROR(
IF(ISNUMBER(FIND("T2",B721)),220,
IF(ISNUMBER(FIND("T4",B721)),440,
IF(ISNUMBER(FIND("T5",B721)),575,
IF(ISNUMBER(FIND("T6",B721)),690,"")))),
"")</f>
        <v>575</v>
      </c>
    </row>
    <row r="722" spans="1:7" x14ac:dyDescent="0.25">
      <c r="A722">
        <v>12394157</v>
      </c>
      <c r="B722" t="str">
        <f>VLOOKUP(A722,Planilha2!B:C,2,0)</f>
        <v>INVERSOR NACFW110004T5ONFZ</v>
      </c>
      <c r="C722" t="s">
        <v>1</v>
      </c>
      <c r="D722" t="str">
        <f>VLOOKUP(A722,Planilha2!B:H,7,0)</f>
        <v>LINHA P7</v>
      </c>
      <c r="E722" s="5">
        <v>9440</v>
      </c>
      <c r="F722">
        <f>IFERROR(
IF(ISNUMBER(FIND("CFW110",B722)),
VALUE(MID(B722,FIND("CFW110",B722)+6,FIND("T",B722,FIND("CFW110",B722))-(FIND("CFW110",B722)+6))),
IF(ISNUMBER(FIND("D",B722)),
VALUE(SUBSTITUTE(MID(B722,FIND("D",B722)+1,FIND("T",B722,FIND("D",B722))-(FIND("D",B722)+1)),"P",",")),
IF(ISNUMBER(FIND("CFW5",B722)),
VALUE(MID(B722,
IF(ISNUMBER(FIND("F",B722)),FIND("F",B722)+1,FIND("G",B722)+1),
FIND("T",B722)-(IF(ISNUMBER(FIND("F",B722)),FIND("F",B722)+1,FIND("G",B722)+1))
)),
VALUE(MID(B722,FIND("E0",B722)+2,FIND("T",B722,FIND("E0",B722))-(FIND("E0",B722)+2)))
))),"")</f>
        <v>4</v>
      </c>
      <c r="G722">
        <f>IFERROR(
IF(ISNUMBER(FIND("T2",B722)),220,
IF(ISNUMBER(FIND("T4",B722)),440,
IF(ISNUMBER(FIND("T5",B722)),575,
IF(ISNUMBER(FIND("T6",B722)),690,"")))),
"")</f>
        <v>575</v>
      </c>
    </row>
    <row r="723" spans="1:7" x14ac:dyDescent="0.25">
      <c r="A723">
        <v>12394211</v>
      </c>
      <c r="B723" t="str">
        <f>VLOOKUP(A723,Planilha2!B:C,2,0)</f>
        <v>INVERSOR NACFW110007T5ONFZ</v>
      </c>
      <c r="C723" t="s">
        <v>1</v>
      </c>
      <c r="D723" t="str">
        <f>VLOOKUP(A723,Planilha2!B:H,7,0)</f>
        <v>LINHA P7</v>
      </c>
      <c r="E723" s="5">
        <v>9440</v>
      </c>
      <c r="F723">
        <f>IFERROR(
IF(ISNUMBER(FIND("CFW110",B723)),
VALUE(MID(B723,FIND("CFW110",B723)+6,FIND("T",B723,FIND("CFW110",B723))-(FIND("CFW110",B723)+6))),
IF(ISNUMBER(FIND("D",B723)),
VALUE(SUBSTITUTE(MID(B723,FIND("D",B723)+1,FIND("T",B723,FIND("D",B723))-(FIND("D",B723)+1)),"P",",")),
IF(ISNUMBER(FIND("CFW5",B723)),
VALUE(MID(B723,
IF(ISNUMBER(FIND("F",B723)),FIND("F",B723)+1,FIND("G",B723)+1),
FIND("T",B723)-(IF(ISNUMBER(FIND("F",B723)),FIND("F",B723)+1,FIND("G",B723)+1))
)),
VALUE(MID(B723,FIND("E0",B723)+2,FIND("T",B723,FIND("E0",B723))-(FIND("E0",B723)+2)))
))),"")</f>
        <v>7</v>
      </c>
      <c r="G723">
        <f>IFERROR(
IF(ISNUMBER(FIND("T2",B723)),220,
IF(ISNUMBER(FIND("T4",B723)),440,
IF(ISNUMBER(FIND("T5",B723)),575,
IF(ISNUMBER(FIND("T6",B723)),690,"")))),
"")</f>
        <v>575</v>
      </c>
    </row>
    <row r="724" spans="1:7" x14ac:dyDescent="0.25">
      <c r="A724">
        <v>12394213</v>
      </c>
      <c r="B724" t="str">
        <f>VLOOKUP(A724,Planilha2!B:C,2,0)</f>
        <v>INVERSOR NACFW110010T5ONFZ</v>
      </c>
      <c r="C724" t="s">
        <v>1</v>
      </c>
      <c r="D724" t="str">
        <f>VLOOKUP(A724,Planilha2!B:H,7,0)</f>
        <v>LINHA P7</v>
      </c>
      <c r="E724" s="5">
        <v>11440</v>
      </c>
      <c r="F724">
        <f>IFERROR(
IF(ISNUMBER(FIND("CFW110",B724)),
VALUE(MID(B724,FIND("CFW110",B724)+6,FIND("T",B724,FIND("CFW110",B724))-(FIND("CFW110",B724)+6))),
IF(ISNUMBER(FIND("D",B724)),
VALUE(SUBSTITUTE(MID(B724,FIND("D",B724)+1,FIND("T",B724,FIND("D",B724))-(FIND("D",B724)+1)),"P",",")),
IF(ISNUMBER(FIND("CFW5",B724)),
VALUE(MID(B724,
IF(ISNUMBER(FIND("F",B724)),FIND("F",B724)+1,FIND("G",B724)+1),
FIND("T",B724)-(IF(ISNUMBER(FIND("F",B724)),FIND("F",B724)+1,FIND("G",B724)+1))
)),
VALUE(MID(B724,FIND("E0",B724)+2,FIND("T",B724,FIND("E0",B724))-(FIND("E0",B724)+2)))
))),"")</f>
        <v>10</v>
      </c>
      <c r="G724">
        <f>IFERROR(
IF(ISNUMBER(FIND("T2",B724)),220,
IF(ISNUMBER(FIND("T4",B724)),440,
IF(ISNUMBER(FIND("T5",B724)),575,
IF(ISNUMBER(FIND("T6",B724)),690,"")))),
"")</f>
        <v>575</v>
      </c>
    </row>
    <row r="725" spans="1:7" x14ac:dyDescent="0.25">
      <c r="A725">
        <v>12394216</v>
      </c>
      <c r="B725" t="str">
        <f>VLOOKUP(A725,Planilha2!B:C,2,0)</f>
        <v>INVERSOR NACFW110012T5ONFZ</v>
      </c>
      <c r="C725" t="s">
        <v>1</v>
      </c>
      <c r="D725" t="str">
        <f>VLOOKUP(A725,Planilha2!B:H,7,0)</f>
        <v>LINHA P7</v>
      </c>
      <c r="E725" s="5">
        <v>11940</v>
      </c>
      <c r="F725">
        <f>IFERROR(
IF(ISNUMBER(FIND("CFW110",B725)),
VALUE(MID(B725,FIND("CFW110",B725)+6,FIND("T",B725,FIND("CFW110",B725))-(FIND("CFW110",B725)+6))),
IF(ISNUMBER(FIND("D",B725)),
VALUE(SUBSTITUTE(MID(B725,FIND("D",B725)+1,FIND("T",B725,FIND("D",B725))-(FIND("D",B725)+1)),"P",",")),
IF(ISNUMBER(FIND("CFW5",B725)),
VALUE(MID(B725,
IF(ISNUMBER(FIND("F",B725)),FIND("F",B725)+1,FIND("G",B725)+1),
FIND("T",B725)-(IF(ISNUMBER(FIND("F",B725)),FIND("F",B725)+1,FIND("G",B725)+1))
)),
VALUE(MID(B725,FIND("E0",B725)+2,FIND("T",B725,FIND("E0",B725))-(FIND("E0",B725)+2)))
))),"")</f>
        <v>12</v>
      </c>
      <c r="G725">
        <f>IFERROR(
IF(ISNUMBER(FIND("T2",B725)),220,
IF(ISNUMBER(FIND("T4",B725)),440,
IF(ISNUMBER(FIND("T5",B725)),575,
IF(ISNUMBER(FIND("T6",B725)),690,"")))),
"")</f>
        <v>575</v>
      </c>
    </row>
    <row r="726" spans="1:7" x14ac:dyDescent="0.25">
      <c r="A726">
        <v>12394248</v>
      </c>
      <c r="B726" t="str">
        <f>VLOOKUP(A726,Planilha2!B:C,2,0)</f>
        <v>INVERSOR NACFW110017T5ONFZ</v>
      </c>
      <c r="C726" t="s">
        <v>1</v>
      </c>
      <c r="D726" t="str">
        <f>VLOOKUP(A726,Planilha2!B:H,7,0)</f>
        <v>LINHA P7</v>
      </c>
      <c r="E726" s="5">
        <v>11940</v>
      </c>
      <c r="F726">
        <f>IFERROR(
IF(ISNUMBER(FIND("CFW110",B726)),
VALUE(MID(B726,FIND("CFW110",B726)+6,FIND("T",B726,FIND("CFW110",B726))-(FIND("CFW110",B726)+6))),
IF(ISNUMBER(FIND("D",B726)),
VALUE(SUBSTITUTE(MID(B726,FIND("D",B726)+1,FIND("T",B726,FIND("D",B726))-(FIND("D",B726)+1)),"P",",")),
IF(ISNUMBER(FIND("CFW5",B726)),
VALUE(MID(B726,
IF(ISNUMBER(FIND("F",B726)),FIND("F",B726)+1,FIND("G",B726)+1),
FIND("T",B726)-(IF(ISNUMBER(FIND("F",B726)),FIND("F",B726)+1,FIND("G",B726)+1))
)),
VALUE(MID(B726,FIND("E0",B726)+2,FIND("T",B726,FIND("E0",B726))-(FIND("E0",B726)+2)))
))),"")</f>
        <v>17</v>
      </c>
      <c r="G726">
        <f>IFERROR(
IF(ISNUMBER(FIND("T2",B726)),220,
IF(ISNUMBER(FIND("T4",B726)),440,
IF(ISNUMBER(FIND("T5",B726)),575,
IF(ISNUMBER(FIND("T6",B726)),690,"")))),
"")</f>
        <v>575</v>
      </c>
    </row>
    <row r="727" spans="1:7" x14ac:dyDescent="0.25">
      <c r="A727">
        <v>11996002</v>
      </c>
      <c r="B727" t="str">
        <f>VLOOKUP(A727,Planilha2!B:C,2,0)</f>
        <v>INVERSOR NACFW110004T5ON1NFZ</v>
      </c>
      <c r="C727" t="s">
        <v>1</v>
      </c>
      <c r="D727" t="str">
        <f>VLOOKUP(A727,Planilha2!B:H,7,0)</f>
        <v>LINHA P7</v>
      </c>
      <c r="E727" s="5">
        <v>9440</v>
      </c>
      <c r="F727">
        <f>IFERROR(
IF(ISNUMBER(FIND("CFW110",B727)),
VALUE(MID(B727,FIND("CFW110",B727)+6,FIND("T",B727,FIND("CFW110",B727))-(FIND("CFW110",B727)+6))),
IF(ISNUMBER(FIND("D",B727)),
VALUE(SUBSTITUTE(MID(B727,FIND("D",B727)+1,FIND("T",B727,FIND("D",B727))-(FIND("D",B727)+1)),"P",",")),
IF(ISNUMBER(FIND("CFW5",B727)),
VALUE(MID(B727,
IF(ISNUMBER(FIND("F",B727)),FIND("F",B727)+1,FIND("G",B727)+1),
FIND("T",B727)-(IF(ISNUMBER(FIND("F",B727)),FIND("F",B727)+1,FIND("G",B727)+1))
)),
VALUE(MID(B727,FIND("E0",B727)+2,FIND("T",B727,FIND("E0",B727))-(FIND("E0",B727)+2)))
))),"")</f>
        <v>4</v>
      </c>
      <c r="G727">
        <f>IFERROR(
IF(ISNUMBER(FIND("T2",B727)),220,
IF(ISNUMBER(FIND("T4",B727)),440,
IF(ISNUMBER(FIND("T5",B727)),575,
IF(ISNUMBER(FIND("T6",B727)),690,"")))),
"")</f>
        <v>575</v>
      </c>
    </row>
    <row r="728" spans="1:7" x14ac:dyDescent="0.25">
      <c r="A728">
        <v>11996007</v>
      </c>
      <c r="B728" t="str">
        <f>VLOOKUP(A728,Planilha2!B:C,2,0)</f>
        <v>INVERSOR NACFW110012T5ON1NFZ</v>
      </c>
      <c r="C728" t="s">
        <v>1</v>
      </c>
      <c r="D728" t="str">
        <f>VLOOKUP(A728,Planilha2!B:H,7,0)</f>
        <v>LINHA P7</v>
      </c>
      <c r="E728" s="5">
        <v>11940</v>
      </c>
      <c r="F728">
        <f>IFERROR(
IF(ISNUMBER(FIND("CFW110",B728)),
VALUE(MID(B728,FIND("CFW110",B728)+6,FIND("T",B728,FIND("CFW110",B728))-(FIND("CFW110",B728)+6))),
IF(ISNUMBER(FIND("D",B728)),
VALUE(SUBSTITUTE(MID(B728,FIND("D",B728)+1,FIND("T",B728,FIND("D",B728))-(FIND("D",B728)+1)),"P",",")),
IF(ISNUMBER(FIND("CFW5",B728)),
VALUE(MID(B728,
IF(ISNUMBER(FIND("F",B728)),FIND("F",B728)+1,FIND("G",B728)+1),
FIND("T",B728)-(IF(ISNUMBER(FIND("F",B728)),FIND("F",B728)+1,FIND("G",B728)+1))
)),
VALUE(MID(B728,FIND("E0",B728)+2,FIND("T",B728,FIND("E0",B728))-(FIND("E0",B728)+2)))
))),"")</f>
        <v>12</v>
      </c>
      <c r="G728">
        <f>IFERROR(
IF(ISNUMBER(FIND("T2",B728)),220,
IF(ISNUMBER(FIND("T4",B728)),440,
IF(ISNUMBER(FIND("T5",B728)),575,
IF(ISNUMBER(FIND("T6",B728)),690,"")))),
"")</f>
        <v>575</v>
      </c>
    </row>
    <row r="729" spans="1:7" x14ac:dyDescent="0.25">
      <c r="A729">
        <v>11995999</v>
      </c>
      <c r="B729" t="str">
        <f>VLOOKUP(A729,Planilha2!B:C,2,0)</f>
        <v>INVERSOR NACFW110002T5ON1NFZ</v>
      </c>
      <c r="C729" t="s">
        <v>1</v>
      </c>
      <c r="D729" t="str">
        <f>VLOOKUP(A729,Planilha2!B:H,7,0)</f>
        <v>LINHA P7</v>
      </c>
      <c r="E729" s="5">
        <v>9440</v>
      </c>
      <c r="F729">
        <f>IFERROR(
IF(ISNUMBER(FIND("CFW110",B729)),
VALUE(MID(B729,FIND("CFW110",B729)+6,FIND("T",B729,FIND("CFW110",B729))-(FIND("CFW110",B729)+6))),
IF(ISNUMBER(FIND("D",B729)),
VALUE(SUBSTITUTE(MID(B729,FIND("D",B729)+1,FIND("T",B729,FIND("D",B729))-(FIND("D",B729)+1)),"P",",")),
IF(ISNUMBER(FIND("CFW5",B729)),
VALUE(MID(B729,
IF(ISNUMBER(FIND("F",B729)),FIND("F",B729)+1,FIND("G",B729)+1),
FIND("T",B729)-(IF(ISNUMBER(FIND("F",B729)),FIND("F",B729)+1,FIND("G",B729)+1))
)),
VALUE(MID(B729,FIND("E0",B729)+2,FIND("T",B729,FIND("E0",B729))-(FIND("E0",B729)+2)))
))),"")</f>
        <v>2</v>
      </c>
      <c r="G729">
        <f>IFERROR(
IF(ISNUMBER(FIND("T2",B729)),220,
IF(ISNUMBER(FIND("T4",B729)),440,
IF(ISNUMBER(FIND("T5",B729)),575,
IF(ISNUMBER(FIND("T6",B729)),690,"")))),
"")</f>
        <v>575</v>
      </c>
    </row>
    <row r="730" spans="1:7" x14ac:dyDescent="0.25">
      <c r="A730">
        <v>11996005</v>
      </c>
      <c r="B730" t="str">
        <f>VLOOKUP(A730,Planilha2!B:C,2,0)</f>
        <v>INVERSOR NACFW110007T5ON1NFZ</v>
      </c>
      <c r="C730" t="s">
        <v>1</v>
      </c>
      <c r="D730" t="str">
        <f>VLOOKUP(A730,Planilha2!B:H,7,0)</f>
        <v>LINHA P7</v>
      </c>
      <c r="E730" s="5">
        <v>9440</v>
      </c>
      <c r="F730">
        <f>IFERROR(
IF(ISNUMBER(FIND("CFW110",B730)),
VALUE(MID(B730,FIND("CFW110",B730)+6,FIND("T",B730,FIND("CFW110",B730))-(FIND("CFW110",B730)+6))),
IF(ISNUMBER(FIND("D",B730)),
VALUE(SUBSTITUTE(MID(B730,FIND("D",B730)+1,FIND("T",B730,FIND("D",B730))-(FIND("D",B730)+1)),"P",",")),
IF(ISNUMBER(FIND("CFW5",B730)),
VALUE(MID(B730,
IF(ISNUMBER(FIND("F",B730)),FIND("F",B730)+1,FIND("G",B730)+1),
FIND("T",B730)-(IF(ISNUMBER(FIND("F",B730)),FIND("F",B730)+1,FIND("G",B730)+1))
)),
VALUE(MID(B730,FIND("E0",B730)+2,FIND("T",B730,FIND("E0",B730))-(FIND("E0",B730)+2)))
))),"")</f>
        <v>7</v>
      </c>
      <c r="G730">
        <f>IFERROR(
IF(ISNUMBER(FIND("T2",B730)),220,
IF(ISNUMBER(FIND("T4",B730)),440,
IF(ISNUMBER(FIND("T5",B730)),575,
IF(ISNUMBER(FIND("T6",B730)),690,"")))),
"")</f>
        <v>575</v>
      </c>
    </row>
    <row r="731" spans="1:7" x14ac:dyDescent="0.25">
      <c r="A731">
        <v>11996006</v>
      </c>
      <c r="B731" t="str">
        <f>VLOOKUP(A731,Planilha2!B:C,2,0)</f>
        <v>INVERSOR NACFW110010T5ON1NFZ</v>
      </c>
      <c r="C731" t="s">
        <v>1</v>
      </c>
      <c r="D731" t="str">
        <f>VLOOKUP(A731,Planilha2!B:H,7,0)</f>
        <v>LINHA P7</v>
      </c>
      <c r="E731" s="5">
        <v>11440</v>
      </c>
      <c r="F731">
        <f>IFERROR(
IF(ISNUMBER(FIND("CFW110",B731)),
VALUE(MID(B731,FIND("CFW110",B731)+6,FIND("T",B731,FIND("CFW110",B731))-(FIND("CFW110",B731)+6))),
IF(ISNUMBER(FIND("D",B731)),
VALUE(SUBSTITUTE(MID(B731,FIND("D",B731)+1,FIND("T",B731,FIND("D",B731))-(FIND("D",B731)+1)),"P",",")),
IF(ISNUMBER(FIND("CFW5",B731)),
VALUE(MID(B731,
IF(ISNUMBER(FIND("F",B731)),FIND("F",B731)+1,FIND("G",B731)+1),
FIND("T",B731)-(IF(ISNUMBER(FIND("F",B731)),FIND("F",B731)+1,FIND("G",B731)+1))
)),
VALUE(MID(B731,FIND("E0",B731)+2,FIND("T",B731,FIND("E0",B731))-(FIND("E0",B731)+2)))
))),"")</f>
        <v>10</v>
      </c>
      <c r="G731">
        <f>IFERROR(
IF(ISNUMBER(FIND("T2",B731)),220,
IF(ISNUMBER(FIND("T4",B731)),440,
IF(ISNUMBER(FIND("T5",B731)),575,
IF(ISNUMBER(FIND("T6",B731)),690,"")))),
"")</f>
        <v>575</v>
      </c>
    </row>
    <row r="732" spans="1:7" x14ac:dyDescent="0.25">
      <c r="A732">
        <v>11993114</v>
      </c>
      <c r="B732" t="str">
        <f>VLOOKUP(A732,Planilha2!B:C,2,0)</f>
        <v>INVERSOR NACFW110022T6ONBZ</v>
      </c>
      <c r="C732" t="s">
        <v>1</v>
      </c>
      <c r="D732" t="str">
        <f>VLOOKUP(A732,Planilha2!B:H,7,0)</f>
        <v>LINHA M3</v>
      </c>
      <c r="E732" s="5">
        <v>29500</v>
      </c>
      <c r="F732">
        <f>IFERROR(
IF(ISNUMBER(FIND("CFW110",B732)),
VALUE(MID(B732,FIND("CFW110",B732)+6,FIND("T",B732,FIND("CFW110",B732))-(FIND("CFW110",B732)+6))),
IF(ISNUMBER(FIND("D",B732)),
VALUE(SUBSTITUTE(MID(B732,FIND("D",B732)+1,FIND("T",B732,FIND("D",B732))-(FIND("D",B732)+1)),"P",",")),
IF(ISNUMBER(FIND("CFW5",B732)),
VALUE(MID(B732,
IF(ISNUMBER(FIND("F",B732)),FIND("F",B732)+1,FIND("G",B732)+1),
FIND("T",B732)-(IF(ISNUMBER(FIND("F",B732)),FIND("F",B732)+1,FIND("G",B732)+1))
)),
VALUE(MID(B732,FIND("E0",B732)+2,FIND("T",B732,FIND("E0",B732))-(FIND("E0",B732)+2)))
))),"")</f>
        <v>22</v>
      </c>
      <c r="G732">
        <f>IFERROR(
IF(ISNUMBER(FIND("T2",B732)),220,
IF(ISNUMBER(FIND("T4",B732)),440,
IF(ISNUMBER(FIND("T5",B732)),575,
IF(ISNUMBER(FIND("T6",B732)),690,"")))),
"")</f>
        <v>690</v>
      </c>
    </row>
    <row r="733" spans="1:7" x14ac:dyDescent="0.25">
      <c r="A733">
        <v>11993162</v>
      </c>
      <c r="B733" t="str">
        <f>VLOOKUP(A733,Planilha2!B:C,2,0)</f>
        <v>INVERSOR NACFW110027T6ONBZ</v>
      </c>
      <c r="C733" t="s">
        <v>1</v>
      </c>
      <c r="D733" t="str">
        <f>VLOOKUP(A733,Planilha2!B:H,7,0)</f>
        <v>LINHA M3</v>
      </c>
      <c r="E733" s="5">
        <v>29500</v>
      </c>
      <c r="F733">
        <f>IFERROR(
IF(ISNUMBER(FIND("CFW110",B733)),
VALUE(MID(B733,FIND("CFW110",B733)+6,FIND("T",B733,FIND("CFW110",B733))-(FIND("CFW110",B733)+6))),
IF(ISNUMBER(FIND("D",B733)),
VALUE(SUBSTITUTE(MID(B733,FIND("D",B733)+1,FIND("T",B733,FIND("D",B733))-(FIND("D",B733)+1)),"P",",")),
IF(ISNUMBER(FIND("CFW5",B733)),
VALUE(MID(B733,
IF(ISNUMBER(FIND("F",B733)),FIND("F",B733)+1,FIND("G",B733)+1),
FIND("T",B733)-(IF(ISNUMBER(FIND("F",B733)),FIND("F",B733)+1,FIND("G",B733)+1))
)),
VALUE(MID(B733,FIND("E0",B733)+2,FIND("T",B733,FIND("E0",B733))-(FIND("E0",B733)+2)))
))),"")</f>
        <v>27</v>
      </c>
      <c r="G733">
        <f>IFERROR(
IF(ISNUMBER(FIND("T2",B733)),220,
IF(ISNUMBER(FIND("T4",B733)),440,
IF(ISNUMBER(FIND("T5",B733)),575,
IF(ISNUMBER(FIND("T6",B733)),690,"")))),
"")</f>
        <v>690</v>
      </c>
    </row>
    <row r="734" spans="1:7" x14ac:dyDescent="0.25">
      <c r="A734">
        <v>11988885</v>
      </c>
      <c r="B734" t="str">
        <f>VLOOKUP(A734,Planilha2!B:C,2,0)</f>
        <v>INVERSOR EUCFW110027T6OYZ</v>
      </c>
      <c r="C734" t="s">
        <v>1</v>
      </c>
      <c r="D734" t="str">
        <f>VLOOKUP(A734,Planilha2!B:H,7,0)</f>
        <v>LINHA M3</v>
      </c>
      <c r="E734" s="5">
        <v>29500</v>
      </c>
      <c r="F734">
        <f>IFERROR(
IF(ISNUMBER(FIND("CFW110",B734)),
VALUE(MID(B734,FIND("CFW110",B734)+6,FIND("T",B734,FIND("CFW110",B734))-(FIND("CFW110",B734)+6))),
IF(ISNUMBER(FIND("D",B734)),
VALUE(SUBSTITUTE(MID(B734,FIND("D",B734)+1,FIND("T",B734,FIND("D",B734))-(FIND("D",B734)+1)),"P",",")),
IF(ISNUMBER(FIND("CFW5",B734)),
VALUE(MID(B734,
IF(ISNUMBER(FIND("F",B734)),FIND("F",B734)+1,FIND("G",B734)+1),
FIND("T",B734)-(IF(ISNUMBER(FIND("F",B734)),FIND("F",B734)+1,FIND("G",B734)+1))
)),
VALUE(MID(B734,FIND("E0",B734)+2,FIND("T",B734,FIND("E0",B734))-(FIND("E0",B734)+2)))
))),"")</f>
        <v>27</v>
      </c>
      <c r="G734">
        <f>IFERROR(
IF(ISNUMBER(FIND("T2",B734)),220,
IF(ISNUMBER(FIND("T4",B734)),440,
IF(ISNUMBER(FIND("T5",B734)),575,
IF(ISNUMBER(FIND("T6",B734)),690,"")))),
"")</f>
        <v>690</v>
      </c>
    </row>
    <row r="735" spans="1:7" x14ac:dyDescent="0.25">
      <c r="A735">
        <v>12502107</v>
      </c>
      <c r="B735" t="str">
        <f>VLOOKUP(A735,Planilha2!B:C,2,0)</f>
        <v>INVERSOR BRCFW110038T4OFAYZ</v>
      </c>
      <c r="C735" t="s">
        <v>1</v>
      </c>
      <c r="D735" t="str">
        <f>VLOOKUP(A735,Planilha2!B:H,7,0)</f>
        <v>LINHA M1</v>
      </c>
      <c r="E735" s="5">
        <v>4500</v>
      </c>
      <c r="F735">
        <f>IFERROR(
IF(ISNUMBER(FIND("CFW110",B735)),
VALUE(MID(B735,FIND("CFW110",B735)+6,FIND("T",B735,FIND("CFW110",B735))-(FIND("CFW110",B735)+6))),
IF(ISNUMBER(FIND("D",B735)),
VALUE(SUBSTITUTE(MID(B735,FIND("D",B735)+1,FIND("T",B735,FIND("D",B735))-(FIND("D",B735)+1)),"P",",")),
IF(ISNUMBER(FIND("CFW5",B735)),
VALUE(MID(B735,
IF(ISNUMBER(FIND("F",B735)),FIND("F",B735)+1,FIND("G",B735)+1),
FIND("T",B735)-(IF(ISNUMBER(FIND("F",B735)),FIND("F",B735)+1,FIND("G",B735)+1))
)),
VALUE(MID(B735,FIND("E0",B735)+2,FIND("T",B735,FIND("E0",B735))-(FIND("E0",B735)+2)))
))),"")</f>
        <v>38</v>
      </c>
      <c r="G735">
        <f>IFERROR(
IF(ISNUMBER(FIND("T2",B735)),220,
IF(ISNUMBER(FIND("T4",B735)),440,
IF(ISNUMBER(FIND("T5",B735)),575,
IF(ISNUMBER(FIND("T6",B735)),690,"")))),
"")</f>
        <v>440</v>
      </c>
    </row>
    <row r="736" spans="1:7" x14ac:dyDescent="0.25">
      <c r="A736">
        <v>11988879</v>
      </c>
      <c r="B736" t="str">
        <f>VLOOKUP(A736,Planilha2!B:C,2,0)</f>
        <v>INVERSOR EUCFW110010T6OYZ</v>
      </c>
      <c r="C736" t="s">
        <v>1</v>
      </c>
      <c r="D736" t="str">
        <f>VLOOKUP(A736,Planilha2!B:H,7,0)</f>
        <v>LINHA M3</v>
      </c>
      <c r="E736" s="5">
        <v>29500</v>
      </c>
      <c r="F736">
        <f>IFERROR(
IF(ISNUMBER(FIND("CFW110",B736)),
VALUE(MID(B736,FIND("CFW110",B736)+6,FIND("T",B736,FIND("CFW110",B736))-(FIND("CFW110",B736)+6))),
IF(ISNUMBER(FIND("D",B736)),
VALUE(SUBSTITUTE(MID(B736,FIND("D",B736)+1,FIND("T",B736,FIND("D",B736))-(FIND("D",B736)+1)),"P",",")),
IF(ISNUMBER(FIND("CFW5",B736)),
VALUE(MID(B736,
IF(ISNUMBER(FIND("F",B736)),FIND("F",B736)+1,FIND("G",B736)+1),
FIND("T",B736)-(IF(ISNUMBER(FIND("F",B736)),FIND("F",B736)+1,FIND("G",B736)+1))
)),
VALUE(MID(B736,FIND("E0",B736)+2,FIND("T",B736,FIND("E0",B736))-(FIND("E0",B736)+2)))
))),"")</f>
        <v>10</v>
      </c>
      <c r="G736">
        <f>IFERROR(
IF(ISNUMBER(FIND("T2",B736)),220,
IF(ISNUMBER(FIND("T4",B736)),440,
IF(ISNUMBER(FIND("T5",B736)),575,
IF(ISNUMBER(FIND("T6",B736)),690,"")))),
"")</f>
        <v>690</v>
      </c>
    </row>
    <row r="737" spans="1:7" x14ac:dyDescent="0.25">
      <c r="A737">
        <v>12511863</v>
      </c>
      <c r="B737" t="str">
        <f>VLOOKUP(A737,Planilha2!B:C,2,0)</f>
        <v>INVERSOR MSCFW110045T4OFAZ</v>
      </c>
      <c r="C737" t="s">
        <v>1</v>
      </c>
      <c r="D737" t="str">
        <f>VLOOKUP(A737,Planilha2!B:H,7,0)</f>
        <v>LINHA M1</v>
      </c>
      <c r="E737" s="5">
        <v>19700</v>
      </c>
      <c r="F737">
        <f>IFERROR(
IF(ISNUMBER(FIND("CFW110",B737)),
VALUE(MID(B737,FIND("CFW110",B737)+6,FIND("T",B737,FIND("CFW110",B737))-(FIND("CFW110",B737)+6))),
IF(ISNUMBER(FIND("D",B737)),
VALUE(SUBSTITUTE(MID(B737,FIND("D",B737)+1,FIND("T",B737,FIND("D",B737))-(FIND("D",B737)+1)),"P",",")),
IF(ISNUMBER(FIND("CFW5",B737)),
VALUE(MID(B737,
IF(ISNUMBER(FIND("F",B737)),FIND("F",B737)+1,FIND("G",B737)+1),
FIND("T",B737)-(IF(ISNUMBER(FIND("F",B737)),FIND("F",B737)+1,FIND("G",B737)+1))
)),
VALUE(MID(B737,FIND("E0",B737)+2,FIND("T",B737,FIND("E0",B737))-(FIND("E0",B737)+2)))
))),"")</f>
        <v>45</v>
      </c>
      <c r="G737">
        <f>IFERROR(
IF(ISNUMBER(FIND("T2",B737)),220,
IF(ISNUMBER(FIND("T4",B737)),440,
IF(ISNUMBER(FIND("T5",B737)),575,
IF(ISNUMBER(FIND("T6",B737)),690,"")))),
"")</f>
        <v>440</v>
      </c>
    </row>
    <row r="738" spans="1:7" x14ac:dyDescent="0.25">
      <c r="A738">
        <v>12104798</v>
      </c>
      <c r="B738" t="str">
        <f>VLOOKUP(A738,Planilha2!B:C,2,0)</f>
        <v>INVERSOR CFW701B17P0T4DBN1C3</v>
      </c>
      <c r="C738" t="s">
        <v>1</v>
      </c>
      <c r="D738" t="str">
        <f>VLOOKUP(A738,Planilha2!B:H,7,0)</f>
        <v>OBSOLETOS DRIVES</v>
      </c>
      <c r="E738" s="5">
        <v>9800</v>
      </c>
      <c r="F738" t="str">
        <f>IFERROR(
IF(ISNUMBER(FIND("CFW110",B738)),
VALUE(MID(B738,FIND("CFW110",B738)+6,FIND("T",B738,FIND("CFW110",B738))-(FIND("CFW110",B738)+6))),
IF(ISNUMBER(FIND("D",B738)),
VALUE(SUBSTITUTE(MID(B738,FIND("D",B738)+1,FIND("T",B738,FIND("D",B738))-(FIND("D",B738)+1)),"P",",")),
IF(ISNUMBER(FIND("CFW5",B738)),
VALUE(MID(B738,
IF(ISNUMBER(FIND("F",B738)),FIND("F",B738)+1,FIND("G",B738)+1),
FIND("T",B738)-(IF(ISNUMBER(FIND("F",B738)),FIND("F",B738)+1,FIND("G",B738)+1))
)),
VALUE(MID(B738,FIND("E0",B738)+2,FIND("T",B738,FIND("E0",B738))-(FIND("E0",B738)+2)))
))),"")</f>
        <v/>
      </c>
      <c r="G738">
        <f>IFERROR(
IF(ISNUMBER(FIND("T2",B738)),220,
IF(ISNUMBER(FIND("T4",B738)),440,
IF(ISNUMBER(FIND("T5",B738)),575,
IF(ISNUMBER(FIND("T6",B738)),690,"")))),
"")</f>
        <v>440</v>
      </c>
    </row>
    <row r="739" spans="1:7" x14ac:dyDescent="0.25">
      <c r="A739">
        <v>12104735</v>
      </c>
      <c r="B739" t="str">
        <f>VLOOKUP(A739,Planilha2!B:C,2,0)</f>
        <v>INVERSOR CFW701B33P5T2DBN1C3</v>
      </c>
      <c r="C739" t="s">
        <v>1</v>
      </c>
      <c r="D739" t="str">
        <f>VLOOKUP(A739,Planilha2!B:H,7,0)</f>
        <v>OBSOLETOS DRIVES</v>
      </c>
      <c r="E739" s="5">
        <v>9800</v>
      </c>
      <c r="F739" t="str">
        <f>IFERROR(
IF(ISNUMBER(FIND("CFW110",B739)),
VALUE(MID(B739,FIND("CFW110",B739)+6,FIND("T",B739,FIND("CFW110",B739))-(FIND("CFW110",B739)+6))),
IF(ISNUMBER(FIND("D",B739)),
VALUE(SUBSTITUTE(MID(B739,FIND("D",B739)+1,FIND("T",B739,FIND("D",B739))-(FIND("D",B739)+1)),"P",",")),
IF(ISNUMBER(FIND("CFW5",B739)),
VALUE(MID(B739,
IF(ISNUMBER(FIND("F",B739)),FIND("F",B739)+1,FIND("G",B739)+1),
FIND("T",B739)-(IF(ISNUMBER(FIND("F",B739)),FIND("F",B739)+1,FIND("G",B739)+1))
)),
VALUE(MID(B739,FIND("E0",B739)+2,FIND("T",B739,FIND("E0",B739))-(FIND("E0",B739)+2)))
))),"")</f>
        <v/>
      </c>
      <c r="G739">
        <f>IFERROR(
IF(ISNUMBER(FIND("T2",B739)),220,
IF(ISNUMBER(FIND("T4",B739)),440,
IF(ISNUMBER(FIND("T5",B739)),575,
IF(ISNUMBER(FIND("T6",B739)),690,"")))),
"")</f>
        <v>220</v>
      </c>
    </row>
    <row r="740" spans="1:7" x14ac:dyDescent="0.25">
      <c r="A740">
        <v>12104733</v>
      </c>
      <c r="B740" t="str">
        <f>VLOOKUP(A740,Planilha2!B:C,2,0)</f>
        <v>INVERSOR CFW701B24P0T2DBN1C3</v>
      </c>
      <c r="C740" t="s">
        <v>1</v>
      </c>
      <c r="D740" t="str">
        <f>VLOOKUP(A740,Planilha2!B:H,7,0)</f>
        <v>OBSOLETOS DRIVES</v>
      </c>
      <c r="E740" s="5">
        <v>5200</v>
      </c>
      <c r="F740" t="str">
        <f>IFERROR(
IF(ISNUMBER(FIND("CFW110",B740)),
VALUE(MID(B740,FIND("CFW110",B740)+6,FIND("T",B740,FIND("CFW110",B740))-(FIND("CFW110",B740)+6))),
IF(ISNUMBER(FIND("D",B740)),
VALUE(SUBSTITUTE(MID(B740,FIND("D",B740)+1,FIND("T",B740,FIND("D",B740))-(FIND("D",B740)+1)),"P",",")),
IF(ISNUMBER(FIND("CFW5",B740)),
VALUE(MID(B740,
IF(ISNUMBER(FIND("F",B740)),FIND("F",B740)+1,FIND("G",B740)+1),
FIND("T",B740)-(IF(ISNUMBER(FIND("F",B740)),FIND("F",B740)+1,FIND("G",B740)+1))
)),
VALUE(MID(B740,FIND("E0",B740)+2,FIND("T",B740,FIND("E0",B740))-(FIND("E0",B740)+2)))
))),"")</f>
        <v/>
      </c>
      <c r="G740">
        <f>IFERROR(
IF(ISNUMBER(FIND("T2",B740)),220,
IF(ISNUMBER(FIND("T4",B740)),440,
IF(ISNUMBER(FIND("T5",B740)),575,
IF(ISNUMBER(FIND("T6",B740)),690,"")))),
"")</f>
        <v>220</v>
      </c>
    </row>
    <row r="741" spans="1:7" x14ac:dyDescent="0.25">
      <c r="A741">
        <v>12735605</v>
      </c>
      <c r="B741" t="str">
        <f>VLOOKUP(A741,Planilha2!B:C,2,0)</f>
        <v>INVERSOR BRCFW110070T4OFAYWZ</v>
      </c>
      <c r="C741" t="s">
        <v>1</v>
      </c>
      <c r="D741" t="str">
        <f>VLOOKUP(A741,Planilha2!B:H,7,0)</f>
        <v>LINHA M3</v>
      </c>
      <c r="E741" s="5">
        <v>29500</v>
      </c>
      <c r="F741">
        <f>IFERROR(
IF(ISNUMBER(FIND("CFW110",B741)),
VALUE(MID(B741,FIND("CFW110",B741)+6,FIND("T",B741,FIND("CFW110",B741))-(FIND("CFW110",B741)+6))),
IF(ISNUMBER(FIND("D",B741)),
VALUE(SUBSTITUTE(MID(B741,FIND("D",B741)+1,FIND("T",B741,FIND("D",B741))-(FIND("D",B741)+1)),"P",",")),
IF(ISNUMBER(FIND("CFW5",B741)),
VALUE(MID(B741,
IF(ISNUMBER(FIND("F",B741)),FIND("F",B741)+1,FIND("G",B741)+1),
FIND("T",B741)-(IF(ISNUMBER(FIND("F",B741)),FIND("F",B741)+1,FIND("G",B741)+1))
)),
VALUE(MID(B741,FIND("E0",B741)+2,FIND("T",B741,FIND("E0",B741))-(FIND("E0",B741)+2)))
))),"")</f>
        <v>70</v>
      </c>
      <c r="G741">
        <f>IFERROR(
IF(ISNUMBER(FIND("T2",B741)),220,
IF(ISNUMBER(FIND("T4",B741)),440,
IF(ISNUMBER(FIND("T5",B741)),575,
IF(ISNUMBER(FIND("T6",B741)),690,"")))),
"")</f>
        <v>440</v>
      </c>
    </row>
    <row r="742" spans="1:7" x14ac:dyDescent="0.25">
      <c r="A742">
        <v>12104757</v>
      </c>
      <c r="B742" t="str">
        <f>VLOOKUP(A742,Planilha2!B:C,2,0)</f>
        <v>INVERSOR CFW701E0142T2NBN1C3</v>
      </c>
      <c r="C742" t="s">
        <v>1</v>
      </c>
      <c r="D742" t="str">
        <f>VLOOKUP(A742,Planilha2!B:H,7,0)</f>
        <v>OBSOLETOS DRIVES</v>
      </c>
      <c r="E742" s="5">
        <v>66430</v>
      </c>
      <c r="F742">
        <f>IFERROR(
IF(ISNUMBER(FIND("CFW110",B742)),
VALUE(MID(B742,FIND("CFW110",B742)+6,FIND("T",B742,FIND("CFW110",B742))-(FIND("CFW110",B742)+6))),
IF(ISNUMBER(FIND("D",B742)),
VALUE(SUBSTITUTE(MID(B742,FIND("D",B742)+1,FIND("T",B742,FIND("D",B742))-(FIND("D",B742)+1)),"P",",")),
IF(ISNUMBER(FIND("CFW5",B742)),
VALUE(MID(B742,
IF(ISNUMBER(FIND("F",B742)),FIND("F",B742)+1,FIND("G",B742)+1),
FIND("T",B742)-(IF(ISNUMBER(FIND("F",B742)),FIND("F",B742)+1,FIND("G",B742)+1))
)),
VALUE(MID(B742,FIND("E0",B742)+2,FIND("T",B742,FIND("E0",B742))-(FIND("E0",B742)+2)))
))),"")</f>
        <v>142</v>
      </c>
      <c r="G742">
        <f>IFERROR(
IF(ISNUMBER(FIND("T2",B742)),220,
IF(ISNUMBER(FIND("T4",B742)),440,
IF(ISNUMBER(FIND("T5",B742)),575,
IF(ISNUMBER(FIND("T6",B742)),690,"")))),
"")</f>
        <v>220</v>
      </c>
    </row>
    <row r="743" spans="1:7" x14ac:dyDescent="0.25">
      <c r="A743">
        <v>12104749</v>
      </c>
      <c r="B743" t="str">
        <f>VLOOKUP(A743,Planilha2!B:C,2,0)</f>
        <v>INVERSOR CFW701C45P0T2DBN1C3</v>
      </c>
      <c r="C743" t="s">
        <v>1</v>
      </c>
      <c r="D743" t="str">
        <f>VLOOKUP(A743,Planilha2!B:H,7,0)</f>
        <v>OBSOLETOS DRIVES</v>
      </c>
      <c r="E743" s="5">
        <v>17215</v>
      </c>
      <c r="F743" t="str">
        <f>IFERROR(
IF(ISNUMBER(FIND("CFW110",B743)),
VALUE(MID(B743,FIND("CFW110",B743)+6,FIND("T",B743,FIND("CFW110",B743))-(FIND("CFW110",B743)+6))),
IF(ISNUMBER(FIND("D",B743)),
VALUE(SUBSTITUTE(MID(B743,FIND("D",B743)+1,FIND("T",B743,FIND("D",B743))-(FIND("D",B743)+1)),"P",",")),
IF(ISNUMBER(FIND("CFW5",B743)),
VALUE(MID(B743,
IF(ISNUMBER(FIND("F",B743)),FIND("F",B743)+1,FIND("G",B743)+1),
FIND("T",B743)-(IF(ISNUMBER(FIND("F",B743)),FIND("F",B743)+1,FIND("G",B743)+1))
)),
VALUE(MID(B743,FIND("E0",B743)+2,FIND("T",B743,FIND("E0",B743))-(FIND("E0",B743)+2)))
))),"")</f>
        <v/>
      </c>
      <c r="G743">
        <f>IFERROR(
IF(ISNUMBER(FIND("T2",B743)),220,
IF(ISNUMBER(FIND("T4",B743)),440,
IF(ISNUMBER(FIND("T5",B743)),575,
IF(ISNUMBER(FIND("T6",B743)),690,"")))),
"")</f>
        <v>220</v>
      </c>
    </row>
    <row r="744" spans="1:7" x14ac:dyDescent="0.25">
      <c r="A744">
        <v>12104750</v>
      </c>
      <c r="B744" t="str">
        <f>VLOOKUP(A744,Planilha2!B:C,2,0)</f>
        <v>INVERSOR CFW701C54P0T2DBN1C3</v>
      </c>
      <c r="C744" t="s">
        <v>1</v>
      </c>
      <c r="D744" t="str">
        <f>VLOOKUP(A744,Planilha2!B:H,7,0)</f>
        <v>OBSOLETOS DRIVES</v>
      </c>
      <c r="E744" s="5">
        <v>17615</v>
      </c>
      <c r="F744" t="str">
        <f>IFERROR(
IF(ISNUMBER(FIND("CFW110",B744)),
VALUE(MID(B744,FIND("CFW110",B744)+6,FIND("T",B744,FIND("CFW110",B744))-(FIND("CFW110",B744)+6))),
IF(ISNUMBER(FIND("D",B744)),
VALUE(SUBSTITUTE(MID(B744,FIND("D",B744)+1,FIND("T",B744,FIND("D",B744))-(FIND("D",B744)+1)),"P",",")),
IF(ISNUMBER(FIND("CFW5",B744)),
VALUE(MID(B744,
IF(ISNUMBER(FIND("F",B744)),FIND("F",B744)+1,FIND("G",B744)+1),
FIND("T",B744)-(IF(ISNUMBER(FIND("F",B744)),FIND("F",B744)+1,FIND("G",B744)+1))
)),
VALUE(MID(B744,FIND("E0",B744)+2,FIND("T",B744,FIND("E0",B744))-(FIND("E0",B744)+2)))
))),"")</f>
        <v/>
      </c>
      <c r="G744">
        <f>IFERROR(
IF(ISNUMBER(FIND("T2",B744)),220,
IF(ISNUMBER(FIND("T4",B744)),440,
IF(ISNUMBER(FIND("T5",B744)),575,
IF(ISNUMBER(FIND("T6",B744)),690,"")))),
"")</f>
        <v>220</v>
      </c>
    </row>
    <row r="745" spans="1:7" x14ac:dyDescent="0.25">
      <c r="A745">
        <v>12104754</v>
      </c>
      <c r="B745" t="str">
        <f>VLOOKUP(A745,Planilha2!B:C,2,0)</f>
        <v>INVERSOR CFW701C70P0T2DBN1C3</v>
      </c>
      <c r="C745" t="s">
        <v>1</v>
      </c>
      <c r="D745" t="str">
        <f>VLOOKUP(A745,Planilha2!B:H,7,0)</f>
        <v>OBSOLETOS DRIVES</v>
      </c>
      <c r="E745" s="5">
        <v>19515</v>
      </c>
      <c r="F745" t="str">
        <f>IFERROR(
IF(ISNUMBER(FIND("CFW110",B745)),
VALUE(MID(B745,FIND("CFW110",B745)+6,FIND("T",B745,FIND("CFW110",B745))-(FIND("CFW110",B745)+6))),
IF(ISNUMBER(FIND("D",B745)),
VALUE(SUBSTITUTE(MID(B745,FIND("D",B745)+1,FIND("T",B745,FIND("D",B745))-(FIND("D",B745)+1)),"P",",")),
IF(ISNUMBER(FIND("CFW5",B745)),
VALUE(MID(B745,
IF(ISNUMBER(FIND("F",B745)),FIND("F",B745)+1,FIND("G",B745)+1),
FIND("T",B745)-(IF(ISNUMBER(FIND("F",B745)),FIND("F",B745)+1,FIND("G",B745)+1))
)),
VALUE(MID(B745,FIND("E0",B745)+2,FIND("T",B745,FIND("E0",B745))-(FIND("E0",B745)+2)))
))),"")</f>
        <v/>
      </c>
      <c r="G745">
        <f>IFERROR(
IF(ISNUMBER(FIND("T2",B745)),220,
IF(ISNUMBER(FIND("T4",B745)),440,
IF(ISNUMBER(FIND("T5",B745)),575,
IF(ISNUMBER(FIND("T6",B745)),690,"")))),
"")</f>
        <v>220</v>
      </c>
    </row>
    <row r="746" spans="1:7" x14ac:dyDescent="0.25">
      <c r="A746">
        <v>12104803</v>
      </c>
      <c r="B746" t="str">
        <f>VLOOKUP(A746,Planilha2!B:C,2,0)</f>
        <v>INVERSOR CFW701C38P0T4DBN1C3</v>
      </c>
      <c r="C746" t="s">
        <v>1</v>
      </c>
      <c r="D746" t="str">
        <f>VLOOKUP(A746,Planilha2!B:H,7,0)</f>
        <v>OBSOLETOS DRIVES</v>
      </c>
      <c r="E746" s="5">
        <v>18015</v>
      </c>
      <c r="F746" t="str">
        <f>IFERROR(
IF(ISNUMBER(FIND("CFW110",B746)),
VALUE(MID(B746,FIND("CFW110",B746)+6,FIND("T",B746,FIND("CFW110",B746))-(FIND("CFW110",B746)+6))),
IF(ISNUMBER(FIND("D",B746)),
VALUE(SUBSTITUTE(MID(B746,FIND("D",B746)+1,FIND("T",B746,FIND("D",B746))-(FIND("D",B746)+1)),"P",",")),
IF(ISNUMBER(FIND("CFW5",B746)),
VALUE(MID(B746,
IF(ISNUMBER(FIND("F",B746)),FIND("F",B746)+1,FIND("G",B746)+1),
FIND("T",B746)-(IF(ISNUMBER(FIND("F",B746)),FIND("F",B746)+1,FIND("G",B746)+1))
)),
VALUE(MID(B746,FIND("E0",B746)+2,FIND("T",B746,FIND("E0",B746))-(FIND("E0",B746)+2)))
))),"")</f>
        <v/>
      </c>
      <c r="G746">
        <f>IFERROR(
IF(ISNUMBER(FIND("T2",B746)),220,
IF(ISNUMBER(FIND("T4",B746)),440,
IF(ISNUMBER(FIND("T5",B746)),575,
IF(ISNUMBER(FIND("T6",B746)),690,"")))),
"")</f>
        <v>440</v>
      </c>
    </row>
    <row r="747" spans="1:7" x14ac:dyDescent="0.25">
      <c r="A747">
        <v>12104805</v>
      </c>
      <c r="B747" t="str">
        <f>VLOOKUP(A747,Planilha2!B:C,2,0)</f>
        <v>INVERSOR CFW701C45P0T4DBN1C3</v>
      </c>
      <c r="C747" t="s">
        <v>1</v>
      </c>
      <c r="D747" t="str">
        <f>VLOOKUP(A747,Planilha2!B:H,7,0)</f>
        <v>OBSOLETOS DRIVES</v>
      </c>
      <c r="E747" s="5">
        <v>21215</v>
      </c>
      <c r="F747" t="str">
        <f>IFERROR(
IF(ISNUMBER(FIND("CFW110",B747)),
VALUE(MID(B747,FIND("CFW110",B747)+6,FIND("T",B747,FIND("CFW110",B747))-(FIND("CFW110",B747)+6))),
IF(ISNUMBER(FIND("D",B747)),
VALUE(SUBSTITUTE(MID(B747,FIND("D",B747)+1,FIND("T",B747,FIND("D",B747))-(FIND("D",B747)+1)),"P",",")),
IF(ISNUMBER(FIND("CFW5",B747)),
VALUE(MID(B747,
IF(ISNUMBER(FIND("F",B747)),FIND("F",B747)+1,FIND("G",B747)+1),
FIND("T",B747)-(IF(ISNUMBER(FIND("F",B747)),FIND("F",B747)+1,FIND("G",B747)+1))
)),
VALUE(MID(B747,FIND("E0",B747)+2,FIND("T",B747,FIND("E0",B747))-(FIND("E0",B747)+2)))
))),"")</f>
        <v/>
      </c>
      <c r="G747">
        <f>IFERROR(
IF(ISNUMBER(FIND("T2",B747)),220,
IF(ISNUMBER(FIND("T4",B747)),440,
IF(ISNUMBER(FIND("T5",B747)),575,
IF(ISNUMBER(FIND("T6",B747)),690,"")))),
"")</f>
        <v>440</v>
      </c>
    </row>
    <row r="748" spans="1:7" x14ac:dyDescent="0.25">
      <c r="A748">
        <v>12346200</v>
      </c>
      <c r="B748" t="str">
        <f>VLOOKUP(A748,Planilha2!B:C,2,0)</f>
        <v>INVERSOR BRCFW110038T4OYZ</v>
      </c>
      <c r="C748" t="s">
        <v>1</v>
      </c>
      <c r="D748" t="str">
        <f>VLOOKUP(A748,Planilha2!B:H,7,0)</f>
        <v>LINHA M1</v>
      </c>
      <c r="E748" s="5">
        <v>4500</v>
      </c>
      <c r="F748">
        <f>IFERROR(
IF(ISNUMBER(FIND("CFW110",B748)),
VALUE(MID(B748,FIND("CFW110",B748)+6,FIND("T",B748,FIND("CFW110",B748))-(FIND("CFW110",B748)+6))),
IF(ISNUMBER(FIND("D",B748)),
VALUE(SUBSTITUTE(MID(B748,FIND("D",B748)+1,FIND("T",B748,FIND("D",B748))-(FIND("D",B748)+1)),"P",",")),
IF(ISNUMBER(FIND("CFW5",B748)),
VALUE(MID(B748,
IF(ISNUMBER(FIND("F",B748)),FIND("F",B748)+1,FIND("G",B748)+1),
FIND("T",B748)-(IF(ISNUMBER(FIND("F",B748)),FIND("F",B748)+1,FIND("G",B748)+1))
)),
VALUE(MID(B748,FIND("E0",B748)+2,FIND("T",B748,FIND("E0",B748))-(FIND("E0",B748)+2)))
))),"")</f>
        <v>38</v>
      </c>
      <c r="G748">
        <f>IFERROR(
IF(ISNUMBER(FIND("T2",B748)),220,
IF(ISNUMBER(FIND("T4",B748)),440,
IF(ISNUMBER(FIND("T5",B748)),575,
IF(ISNUMBER(FIND("T6",B748)),690,"")))),
"")</f>
        <v>440</v>
      </c>
    </row>
    <row r="749" spans="1:7" x14ac:dyDescent="0.25">
      <c r="A749">
        <v>12242948</v>
      </c>
      <c r="B749" t="str">
        <f>VLOOKUP(A749,Planilha2!B:C,2,0)</f>
        <v>INVERSOR MSCFW110088T4OFAYWZ</v>
      </c>
      <c r="C749" t="s">
        <v>1</v>
      </c>
      <c r="D749" t="str">
        <f>VLOOKUP(A749,Planilha2!B:H,7,0)</f>
        <v>LINHA M3</v>
      </c>
      <c r="E749" s="5">
        <v>32600</v>
      </c>
      <c r="F749">
        <f>IFERROR(
IF(ISNUMBER(FIND("CFW110",B749)),
VALUE(MID(B749,FIND("CFW110",B749)+6,FIND("T",B749,FIND("CFW110",B749))-(FIND("CFW110",B749)+6))),
IF(ISNUMBER(FIND("D",B749)),
VALUE(SUBSTITUTE(MID(B749,FIND("D",B749)+1,FIND("T",B749,FIND("D",B749))-(FIND("D",B749)+1)),"P",",")),
IF(ISNUMBER(FIND("CFW5",B749)),
VALUE(MID(B749,
IF(ISNUMBER(FIND("F",B749)),FIND("F",B749)+1,FIND("G",B749)+1),
FIND("T",B749)-(IF(ISNUMBER(FIND("F",B749)),FIND("F",B749)+1,FIND("G",B749)+1))
)),
VALUE(MID(B749,FIND("E0",B749)+2,FIND("T",B749,FIND("E0",B749))-(FIND("E0",B749)+2)))
))),"")</f>
        <v>88</v>
      </c>
      <c r="G749">
        <f>IFERROR(
IF(ISNUMBER(FIND("T2",B749)),220,
IF(ISNUMBER(FIND("T4",B749)),440,
IF(ISNUMBER(FIND("T5",B749)),575,
IF(ISNUMBER(FIND("T6",B749)),690,"")))),
"")</f>
        <v>440</v>
      </c>
    </row>
    <row r="750" spans="1:7" x14ac:dyDescent="0.25">
      <c r="A750">
        <v>12381340</v>
      </c>
      <c r="B750" t="str">
        <f>VLOOKUP(A750,Planilha2!B:C,2,0)</f>
        <v>INVERSOR NACFW110002T6OYZ</v>
      </c>
      <c r="C750" t="s">
        <v>1</v>
      </c>
      <c r="D750" t="str">
        <f>VLOOKUP(A750,Planilha2!B:H,7,0)</f>
        <v>LINHA M3</v>
      </c>
      <c r="E750" s="5">
        <v>29500</v>
      </c>
      <c r="F750">
        <f>IFERROR(
IF(ISNUMBER(FIND("CFW110",B750)),
VALUE(MID(B750,FIND("CFW110",B750)+6,FIND("T",B750,FIND("CFW110",B750))-(FIND("CFW110",B750)+6))),
IF(ISNUMBER(FIND("D",B750)),
VALUE(SUBSTITUTE(MID(B750,FIND("D",B750)+1,FIND("T",B750,FIND("D",B750))-(FIND("D",B750)+1)),"P",",")),
IF(ISNUMBER(FIND("CFW5",B750)),
VALUE(MID(B750,
IF(ISNUMBER(FIND("F",B750)),FIND("F",B750)+1,FIND("G",B750)+1),
FIND("T",B750)-(IF(ISNUMBER(FIND("F",B750)),FIND("F",B750)+1,FIND("G",B750)+1))
)),
VALUE(MID(B750,FIND("E0",B750)+2,FIND("T",B750,FIND("E0",B750))-(FIND("E0",B750)+2)))
))),"")</f>
        <v>2</v>
      </c>
      <c r="G750">
        <f>IFERROR(
IF(ISNUMBER(FIND("T2",B750)),220,
IF(ISNUMBER(FIND("T4",B750)),440,
IF(ISNUMBER(FIND("T5",B750)),575,
IF(ISNUMBER(FIND("T6",B750)),690,"")))),
"")</f>
        <v>690</v>
      </c>
    </row>
    <row r="751" spans="1:7" x14ac:dyDescent="0.25">
      <c r="A751">
        <v>12381341</v>
      </c>
      <c r="B751" t="str">
        <f>VLOOKUP(A751,Planilha2!B:C,2,0)</f>
        <v>INVERSOR NACFW110004T6OYZ</v>
      </c>
      <c r="C751" t="s">
        <v>1</v>
      </c>
      <c r="D751" t="str">
        <f>VLOOKUP(A751,Planilha2!B:H,7,0)</f>
        <v>LINHA M3</v>
      </c>
      <c r="E751" s="5">
        <v>29500</v>
      </c>
      <c r="F751">
        <f>IFERROR(
IF(ISNUMBER(FIND("CFW110",B751)),
VALUE(MID(B751,FIND("CFW110",B751)+6,FIND("T",B751,FIND("CFW110",B751))-(FIND("CFW110",B751)+6))),
IF(ISNUMBER(FIND("D",B751)),
VALUE(SUBSTITUTE(MID(B751,FIND("D",B751)+1,FIND("T",B751,FIND("D",B751))-(FIND("D",B751)+1)),"P",",")),
IF(ISNUMBER(FIND("CFW5",B751)),
VALUE(MID(B751,
IF(ISNUMBER(FIND("F",B751)),FIND("F",B751)+1,FIND("G",B751)+1),
FIND("T",B751)-(IF(ISNUMBER(FIND("F",B751)),FIND("F",B751)+1,FIND("G",B751)+1))
)),
VALUE(MID(B751,FIND("E0",B751)+2,FIND("T",B751,FIND("E0",B751))-(FIND("E0",B751)+2)))
))),"")</f>
        <v>4</v>
      </c>
      <c r="G751">
        <f>IFERROR(
IF(ISNUMBER(FIND("T2",B751)),220,
IF(ISNUMBER(FIND("T4",B751)),440,
IF(ISNUMBER(FIND("T5",B751)),575,
IF(ISNUMBER(FIND("T6",B751)),690,"")))),
"")</f>
        <v>690</v>
      </c>
    </row>
    <row r="752" spans="1:7" x14ac:dyDescent="0.25">
      <c r="A752">
        <v>12381342</v>
      </c>
      <c r="B752" t="str">
        <f>VLOOKUP(A752,Planilha2!B:C,2,0)</f>
        <v>INVERSOR NACFW110007T6OYZ</v>
      </c>
      <c r="C752" t="s">
        <v>1</v>
      </c>
      <c r="D752" t="str">
        <f>VLOOKUP(A752,Planilha2!B:H,7,0)</f>
        <v>LINHA M3</v>
      </c>
      <c r="E752" s="5">
        <v>29500</v>
      </c>
      <c r="F752">
        <f>IFERROR(
IF(ISNUMBER(FIND("CFW110",B752)),
VALUE(MID(B752,FIND("CFW110",B752)+6,FIND("T",B752,FIND("CFW110",B752))-(FIND("CFW110",B752)+6))),
IF(ISNUMBER(FIND("D",B752)),
VALUE(SUBSTITUTE(MID(B752,FIND("D",B752)+1,FIND("T",B752,FIND("D",B752))-(FIND("D",B752)+1)),"P",",")),
IF(ISNUMBER(FIND("CFW5",B752)),
VALUE(MID(B752,
IF(ISNUMBER(FIND("F",B752)),FIND("F",B752)+1,FIND("G",B752)+1),
FIND("T",B752)-(IF(ISNUMBER(FIND("F",B752)),FIND("F",B752)+1,FIND("G",B752)+1))
)),
VALUE(MID(B752,FIND("E0",B752)+2,FIND("T",B752,FIND("E0",B752))-(FIND("E0",B752)+2)))
))),"")</f>
        <v>7</v>
      </c>
      <c r="G752">
        <f>IFERROR(
IF(ISNUMBER(FIND("T2",B752)),220,
IF(ISNUMBER(FIND("T4",B752)),440,
IF(ISNUMBER(FIND("T5",B752)),575,
IF(ISNUMBER(FIND("T6",B752)),690,"")))),
"")</f>
        <v>690</v>
      </c>
    </row>
    <row r="753" spans="1:7" x14ac:dyDescent="0.25">
      <c r="A753">
        <v>12381345</v>
      </c>
      <c r="B753" t="str">
        <f>VLOOKUP(A753,Planilha2!B:C,2,0)</f>
        <v>INVERSOR NACFW110010T6OYZ</v>
      </c>
      <c r="C753" t="s">
        <v>1</v>
      </c>
      <c r="D753" t="str">
        <f>VLOOKUP(A753,Planilha2!B:H,7,0)</f>
        <v>LINHA M3</v>
      </c>
      <c r="E753" s="5">
        <v>29500</v>
      </c>
      <c r="F753">
        <f>IFERROR(
IF(ISNUMBER(FIND("CFW110",B753)),
VALUE(MID(B753,FIND("CFW110",B753)+6,FIND("T",B753,FIND("CFW110",B753))-(FIND("CFW110",B753)+6))),
IF(ISNUMBER(FIND("D",B753)),
VALUE(SUBSTITUTE(MID(B753,FIND("D",B753)+1,FIND("T",B753,FIND("D",B753))-(FIND("D",B753)+1)),"P",",")),
IF(ISNUMBER(FIND("CFW5",B753)),
VALUE(MID(B753,
IF(ISNUMBER(FIND("F",B753)),FIND("F",B753)+1,FIND("G",B753)+1),
FIND("T",B753)-(IF(ISNUMBER(FIND("F",B753)),FIND("F",B753)+1,FIND("G",B753)+1))
)),
VALUE(MID(B753,FIND("E0",B753)+2,FIND("T",B753,FIND("E0",B753))-(FIND("E0",B753)+2)))
))),"")</f>
        <v>10</v>
      </c>
      <c r="G753">
        <f>IFERROR(
IF(ISNUMBER(FIND("T2",B753)),220,
IF(ISNUMBER(FIND("T4",B753)),440,
IF(ISNUMBER(FIND("T5",B753)),575,
IF(ISNUMBER(FIND("T6",B753)),690,"")))),
"")</f>
        <v>690</v>
      </c>
    </row>
    <row r="754" spans="1:7" x14ac:dyDescent="0.25">
      <c r="A754">
        <v>12381346</v>
      </c>
      <c r="B754" t="str">
        <f>VLOOKUP(A754,Planilha2!B:C,2,0)</f>
        <v>INVERSOR NACFW110012T6OYZ</v>
      </c>
      <c r="C754" t="s">
        <v>1</v>
      </c>
      <c r="D754" t="str">
        <f>VLOOKUP(A754,Planilha2!B:H,7,0)</f>
        <v>LINHA M3</v>
      </c>
      <c r="E754" s="5">
        <v>29500</v>
      </c>
      <c r="F754">
        <f>IFERROR(
IF(ISNUMBER(FIND("CFW110",B754)),
VALUE(MID(B754,FIND("CFW110",B754)+6,FIND("T",B754,FIND("CFW110",B754))-(FIND("CFW110",B754)+6))),
IF(ISNUMBER(FIND("D",B754)),
VALUE(SUBSTITUTE(MID(B754,FIND("D",B754)+1,FIND("T",B754,FIND("D",B754))-(FIND("D",B754)+1)),"P",",")),
IF(ISNUMBER(FIND("CFW5",B754)),
VALUE(MID(B754,
IF(ISNUMBER(FIND("F",B754)),FIND("F",B754)+1,FIND("G",B754)+1),
FIND("T",B754)-(IF(ISNUMBER(FIND("F",B754)),FIND("F",B754)+1,FIND("G",B754)+1))
)),
VALUE(MID(B754,FIND("E0",B754)+2,FIND("T",B754,FIND("E0",B754))-(FIND("E0",B754)+2)))
))),"")</f>
        <v>12</v>
      </c>
      <c r="G754">
        <f>IFERROR(
IF(ISNUMBER(FIND("T2",B754)),220,
IF(ISNUMBER(FIND("T4",B754)),440,
IF(ISNUMBER(FIND("T5",B754)),575,
IF(ISNUMBER(FIND("T6",B754)),690,"")))),
"")</f>
        <v>690</v>
      </c>
    </row>
    <row r="755" spans="1:7" x14ac:dyDescent="0.25">
      <c r="A755">
        <v>12381347</v>
      </c>
      <c r="B755" t="str">
        <f>VLOOKUP(A755,Planilha2!B:C,2,0)</f>
        <v>INVERSOR NACFW110017T6OYZ</v>
      </c>
      <c r="C755" t="s">
        <v>1</v>
      </c>
      <c r="D755" t="str">
        <f>VLOOKUP(A755,Planilha2!B:H,7,0)</f>
        <v>LINHA M3</v>
      </c>
      <c r="E755" s="5">
        <v>29500</v>
      </c>
      <c r="F755">
        <f>IFERROR(
IF(ISNUMBER(FIND("CFW110",B755)),
VALUE(MID(B755,FIND("CFW110",B755)+6,FIND("T",B755,FIND("CFW110",B755))-(FIND("CFW110",B755)+6))),
IF(ISNUMBER(FIND("D",B755)),
VALUE(SUBSTITUTE(MID(B755,FIND("D",B755)+1,FIND("T",B755,FIND("D",B755))-(FIND("D",B755)+1)),"P",",")),
IF(ISNUMBER(FIND("CFW5",B755)),
VALUE(MID(B755,
IF(ISNUMBER(FIND("F",B755)),FIND("F",B755)+1,FIND("G",B755)+1),
FIND("T",B755)-(IF(ISNUMBER(FIND("F",B755)),FIND("F",B755)+1,FIND("G",B755)+1))
)),
VALUE(MID(B755,FIND("E0",B755)+2,FIND("T",B755,FIND("E0",B755))-(FIND("E0",B755)+2)))
))),"")</f>
        <v>17</v>
      </c>
      <c r="G755">
        <f>IFERROR(
IF(ISNUMBER(FIND("T2",B755)),220,
IF(ISNUMBER(FIND("T4",B755)),440,
IF(ISNUMBER(FIND("T5",B755)),575,
IF(ISNUMBER(FIND("T6",B755)),690,"")))),
"")</f>
        <v>690</v>
      </c>
    </row>
    <row r="756" spans="1:7" x14ac:dyDescent="0.25">
      <c r="A756">
        <v>12381398</v>
      </c>
      <c r="B756" t="str">
        <f>VLOOKUP(A756,Planilha2!B:C,2,0)</f>
        <v>INVERSOR NACFW110022T6OYZ</v>
      </c>
      <c r="C756" t="s">
        <v>1</v>
      </c>
      <c r="D756" t="str">
        <f>VLOOKUP(A756,Planilha2!B:H,7,0)</f>
        <v>LINHA M3</v>
      </c>
      <c r="E756" s="5">
        <v>29500</v>
      </c>
      <c r="F756">
        <f>IFERROR(
IF(ISNUMBER(FIND("CFW110",B756)),
VALUE(MID(B756,FIND("CFW110",B756)+6,FIND("T",B756,FIND("CFW110",B756))-(FIND("CFW110",B756)+6))),
IF(ISNUMBER(FIND("D",B756)),
VALUE(SUBSTITUTE(MID(B756,FIND("D",B756)+1,FIND("T",B756,FIND("D",B756))-(FIND("D",B756)+1)),"P",",")),
IF(ISNUMBER(FIND("CFW5",B756)),
VALUE(MID(B756,
IF(ISNUMBER(FIND("F",B756)),FIND("F",B756)+1,FIND("G",B756)+1),
FIND("T",B756)-(IF(ISNUMBER(FIND("F",B756)),FIND("F",B756)+1,FIND("G",B756)+1))
)),
VALUE(MID(B756,FIND("E0",B756)+2,FIND("T",B756,FIND("E0",B756))-(FIND("E0",B756)+2)))
))),"")</f>
        <v>22</v>
      </c>
      <c r="G756">
        <f>IFERROR(
IF(ISNUMBER(FIND("T2",B756)),220,
IF(ISNUMBER(FIND("T4",B756)),440,
IF(ISNUMBER(FIND("T5",B756)),575,
IF(ISNUMBER(FIND("T6",B756)),690,"")))),
"")</f>
        <v>690</v>
      </c>
    </row>
    <row r="757" spans="1:7" x14ac:dyDescent="0.25">
      <c r="A757">
        <v>12381399</v>
      </c>
      <c r="B757" t="str">
        <f>VLOOKUP(A757,Planilha2!B:C,2,0)</f>
        <v>INVERSOR NACFW110027T6OYZ</v>
      </c>
      <c r="C757" t="s">
        <v>1</v>
      </c>
      <c r="D757" t="str">
        <f>VLOOKUP(A757,Planilha2!B:H,7,0)</f>
        <v>LINHA M3</v>
      </c>
      <c r="E757" s="5">
        <v>29500</v>
      </c>
      <c r="F757">
        <f>IFERROR(
IF(ISNUMBER(FIND("CFW110",B757)),
VALUE(MID(B757,FIND("CFW110",B757)+6,FIND("T",B757,FIND("CFW110",B757))-(FIND("CFW110",B757)+6))),
IF(ISNUMBER(FIND("D",B757)),
VALUE(SUBSTITUTE(MID(B757,FIND("D",B757)+1,FIND("T",B757,FIND("D",B757))-(FIND("D",B757)+1)),"P",",")),
IF(ISNUMBER(FIND("CFW5",B757)),
VALUE(MID(B757,
IF(ISNUMBER(FIND("F",B757)),FIND("F",B757)+1,FIND("G",B757)+1),
FIND("T",B757)-(IF(ISNUMBER(FIND("F",B757)),FIND("F",B757)+1,FIND("G",B757)+1))
)),
VALUE(MID(B757,FIND("E0",B757)+2,FIND("T",B757,FIND("E0",B757))-(FIND("E0",B757)+2)))
))),"")</f>
        <v>27</v>
      </c>
      <c r="G757">
        <f>IFERROR(
IF(ISNUMBER(FIND("T2",B757)),220,
IF(ISNUMBER(FIND("T4",B757)),440,
IF(ISNUMBER(FIND("T5",B757)),575,
IF(ISNUMBER(FIND("T6",B757)),690,"")))),
"")</f>
        <v>690</v>
      </c>
    </row>
    <row r="758" spans="1:7" x14ac:dyDescent="0.25">
      <c r="A758">
        <v>12381400</v>
      </c>
      <c r="B758" t="str">
        <f>VLOOKUP(A758,Planilha2!B:C,2,0)</f>
        <v>INVERSOR NACFW110032T6OYZ</v>
      </c>
      <c r="C758" t="s">
        <v>1</v>
      </c>
      <c r="D758" t="str">
        <f>VLOOKUP(A758,Planilha2!B:H,7,0)</f>
        <v>LINHA M3</v>
      </c>
      <c r="E758" s="5">
        <v>29500</v>
      </c>
      <c r="F758">
        <f>IFERROR(
IF(ISNUMBER(FIND("CFW110",B758)),
VALUE(MID(B758,FIND("CFW110",B758)+6,FIND("T",B758,FIND("CFW110",B758))-(FIND("CFW110",B758)+6))),
IF(ISNUMBER(FIND("D",B758)),
VALUE(SUBSTITUTE(MID(B758,FIND("D",B758)+1,FIND("T",B758,FIND("D",B758))-(FIND("D",B758)+1)),"P",",")),
IF(ISNUMBER(FIND("CFW5",B758)),
VALUE(MID(B758,
IF(ISNUMBER(FIND("F",B758)),FIND("F",B758)+1,FIND("G",B758)+1),
FIND("T",B758)-(IF(ISNUMBER(FIND("F",B758)),FIND("F",B758)+1,FIND("G",B758)+1))
)),
VALUE(MID(B758,FIND("E0",B758)+2,FIND("T",B758,FIND("E0",B758))-(FIND("E0",B758)+2)))
))),"")</f>
        <v>32</v>
      </c>
      <c r="G758">
        <f>IFERROR(
IF(ISNUMBER(FIND("T2",B758)),220,
IF(ISNUMBER(FIND("T4",B758)),440,
IF(ISNUMBER(FIND("T5",B758)),575,
IF(ISNUMBER(FIND("T6",B758)),690,"")))),
"")</f>
        <v>690</v>
      </c>
    </row>
    <row r="759" spans="1:7" x14ac:dyDescent="0.25">
      <c r="A759">
        <v>12381401</v>
      </c>
      <c r="B759" t="str">
        <f>VLOOKUP(A759,Planilha2!B:C,2,0)</f>
        <v>INVERSOR NACFW110044T6OYZ</v>
      </c>
      <c r="C759" t="s">
        <v>1</v>
      </c>
      <c r="D759" t="str">
        <f>VLOOKUP(A759,Planilha2!B:H,7,0)</f>
        <v>LINHA M3</v>
      </c>
      <c r="E759" s="5">
        <v>29500</v>
      </c>
      <c r="F759">
        <f>IFERROR(
IF(ISNUMBER(FIND("CFW110",B759)),
VALUE(MID(B759,FIND("CFW110",B759)+6,FIND("T",B759,FIND("CFW110",B759))-(FIND("CFW110",B759)+6))),
IF(ISNUMBER(FIND("D",B759)),
VALUE(SUBSTITUTE(MID(B759,FIND("D",B759)+1,FIND("T",B759,FIND("D",B759))-(FIND("D",B759)+1)),"P",",")),
IF(ISNUMBER(FIND("CFW5",B759)),
VALUE(MID(B759,
IF(ISNUMBER(FIND("F",B759)),FIND("F",B759)+1,FIND("G",B759)+1),
FIND("T",B759)-(IF(ISNUMBER(FIND("F",B759)),FIND("F",B759)+1,FIND("G",B759)+1))
)),
VALUE(MID(B759,FIND("E0",B759)+2,FIND("T",B759,FIND("E0",B759))-(FIND("E0",B759)+2)))
))),"")</f>
        <v>44</v>
      </c>
      <c r="G759">
        <f>IFERROR(
IF(ISNUMBER(FIND("T2",B759)),220,
IF(ISNUMBER(FIND("T4",B759)),440,
IF(ISNUMBER(FIND("T5",B759)),575,
IF(ISNUMBER(FIND("T6",B759)),690,"")))),
"")</f>
        <v>690</v>
      </c>
    </row>
    <row r="760" spans="1:7" x14ac:dyDescent="0.25">
      <c r="A760">
        <v>12331419</v>
      </c>
      <c r="B760" t="str">
        <f>VLOOKUP(A760,Planilha2!B:C,2,0)</f>
        <v>INVERSOR MSCFW110044T6OYZ</v>
      </c>
      <c r="C760" t="s">
        <v>1</v>
      </c>
      <c r="D760" t="str">
        <f>VLOOKUP(A760,Planilha2!B:H,7,0)</f>
        <v>LINHA M3</v>
      </c>
      <c r="E760" s="5">
        <v>29500</v>
      </c>
      <c r="F760">
        <f>IFERROR(
IF(ISNUMBER(FIND("CFW110",B760)),
VALUE(MID(B760,FIND("CFW110",B760)+6,FIND("T",B760,FIND("CFW110",B760))-(FIND("CFW110",B760)+6))),
IF(ISNUMBER(FIND("D",B760)),
VALUE(SUBSTITUTE(MID(B760,FIND("D",B760)+1,FIND("T",B760,FIND("D",B760))-(FIND("D",B760)+1)),"P",",")),
IF(ISNUMBER(FIND("CFW5",B760)),
VALUE(MID(B760,
IF(ISNUMBER(FIND("F",B760)),FIND("F",B760)+1,FIND("G",B760)+1),
FIND("T",B760)-(IF(ISNUMBER(FIND("F",B760)),FIND("F",B760)+1,FIND("G",B760)+1))
)),
VALUE(MID(B760,FIND("E0",B760)+2,FIND("T",B760,FIND("E0",B760))-(FIND("E0",B760)+2)))
))),"")</f>
        <v>44</v>
      </c>
      <c r="G760">
        <f>IFERROR(
IF(ISNUMBER(FIND("T2",B760)),220,
IF(ISNUMBER(FIND("T4",B760)),440,
IF(ISNUMBER(FIND("T5",B760)),575,
IF(ISNUMBER(FIND("T6",B760)),690,"")))),
"")</f>
        <v>690</v>
      </c>
    </row>
    <row r="761" spans="1:7" x14ac:dyDescent="0.25">
      <c r="A761">
        <v>12331397</v>
      </c>
      <c r="B761" t="str">
        <f>VLOOKUP(A761,Planilha2!B:C,2,0)</f>
        <v>INVERSOR MSCFW110032T6OYZ</v>
      </c>
      <c r="C761" t="s">
        <v>1</v>
      </c>
      <c r="D761" t="str">
        <f>VLOOKUP(A761,Planilha2!B:H,7,0)</f>
        <v>LINHA M3</v>
      </c>
      <c r="E761" s="5">
        <v>29500</v>
      </c>
      <c r="F761">
        <f>IFERROR(
IF(ISNUMBER(FIND("CFW110",B761)),
VALUE(MID(B761,FIND("CFW110",B761)+6,FIND("T",B761,FIND("CFW110",B761))-(FIND("CFW110",B761)+6))),
IF(ISNUMBER(FIND("D",B761)),
VALUE(SUBSTITUTE(MID(B761,FIND("D",B761)+1,FIND("T",B761,FIND("D",B761))-(FIND("D",B761)+1)),"P",",")),
IF(ISNUMBER(FIND("CFW5",B761)),
VALUE(MID(B761,
IF(ISNUMBER(FIND("F",B761)),FIND("F",B761)+1,FIND("G",B761)+1),
FIND("T",B761)-(IF(ISNUMBER(FIND("F",B761)),FIND("F",B761)+1,FIND("G",B761)+1))
)),
VALUE(MID(B761,FIND("E0",B761)+2,FIND("T",B761,FIND("E0",B761))-(FIND("E0",B761)+2)))
))),"")</f>
        <v>32</v>
      </c>
      <c r="G761">
        <f>IFERROR(
IF(ISNUMBER(FIND("T2",B761)),220,
IF(ISNUMBER(FIND("T4",B761)),440,
IF(ISNUMBER(FIND("T5",B761)),575,
IF(ISNUMBER(FIND("T6",B761)),690,"")))),
"")</f>
        <v>690</v>
      </c>
    </row>
    <row r="762" spans="1:7" x14ac:dyDescent="0.25">
      <c r="A762">
        <v>12331395</v>
      </c>
      <c r="B762" t="str">
        <f>VLOOKUP(A762,Planilha2!B:C,2,0)</f>
        <v>INVERSOR MSCFW110027T6OYZ</v>
      </c>
      <c r="C762" t="s">
        <v>1</v>
      </c>
      <c r="D762" t="str">
        <f>VLOOKUP(A762,Planilha2!B:H,7,0)</f>
        <v>LINHA M3</v>
      </c>
      <c r="E762" s="5">
        <v>29500</v>
      </c>
      <c r="F762">
        <f>IFERROR(
IF(ISNUMBER(FIND("CFW110",B762)),
VALUE(MID(B762,FIND("CFW110",B762)+6,FIND("T",B762,FIND("CFW110",B762))-(FIND("CFW110",B762)+6))),
IF(ISNUMBER(FIND("D",B762)),
VALUE(SUBSTITUTE(MID(B762,FIND("D",B762)+1,FIND("T",B762,FIND("D",B762))-(FIND("D",B762)+1)),"P",",")),
IF(ISNUMBER(FIND("CFW5",B762)),
VALUE(MID(B762,
IF(ISNUMBER(FIND("F",B762)),FIND("F",B762)+1,FIND("G",B762)+1),
FIND("T",B762)-(IF(ISNUMBER(FIND("F",B762)),FIND("F",B762)+1,FIND("G",B762)+1))
)),
VALUE(MID(B762,FIND("E0",B762)+2,FIND("T",B762,FIND("E0",B762))-(FIND("E0",B762)+2)))
))),"")</f>
        <v>27</v>
      </c>
      <c r="G762">
        <f>IFERROR(
IF(ISNUMBER(FIND("T2",B762)),220,
IF(ISNUMBER(FIND("T4",B762)),440,
IF(ISNUMBER(FIND("T5",B762)),575,
IF(ISNUMBER(FIND("T6",B762)),690,"")))),
"")</f>
        <v>690</v>
      </c>
    </row>
    <row r="763" spans="1:7" x14ac:dyDescent="0.25">
      <c r="A763">
        <v>12331394</v>
      </c>
      <c r="B763" t="str">
        <f>VLOOKUP(A763,Planilha2!B:C,2,0)</f>
        <v>INVERSOR MSCFW110022T6OYZ</v>
      </c>
      <c r="C763" t="s">
        <v>1</v>
      </c>
      <c r="D763" t="str">
        <f>VLOOKUP(A763,Planilha2!B:H,7,0)</f>
        <v>LINHA M3</v>
      </c>
      <c r="E763" s="5">
        <v>29500</v>
      </c>
      <c r="F763">
        <f>IFERROR(
IF(ISNUMBER(FIND("CFW110",B763)),
VALUE(MID(B763,FIND("CFW110",B763)+6,FIND("T",B763,FIND("CFW110",B763))-(FIND("CFW110",B763)+6))),
IF(ISNUMBER(FIND("D",B763)),
VALUE(SUBSTITUTE(MID(B763,FIND("D",B763)+1,FIND("T",B763,FIND("D",B763))-(FIND("D",B763)+1)),"P",",")),
IF(ISNUMBER(FIND("CFW5",B763)),
VALUE(MID(B763,
IF(ISNUMBER(FIND("F",B763)),FIND("F",B763)+1,FIND("G",B763)+1),
FIND("T",B763)-(IF(ISNUMBER(FIND("F",B763)),FIND("F",B763)+1,FIND("G",B763)+1))
)),
VALUE(MID(B763,FIND("E0",B763)+2,FIND("T",B763,FIND("E0",B763))-(FIND("E0",B763)+2)))
))),"")</f>
        <v>22</v>
      </c>
      <c r="G763">
        <f>IFERROR(
IF(ISNUMBER(FIND("T2",B763)),220,
IF(ISNUMBER(FIND("T4",B763)),440,
IF(ISNUMBER(FIND("T5",B763)),575,
IF(ISNUMBER(FIND("T6",B763)),690,"")))),
"")</f>
        <v>690</v>
      </c>
    </row>
    <row r="764" spans="1:7" x14ac:dyDescent="0.25">
      <c r="A764">
        <v>12331392</v>
      </c>
      <c r="B764" t="str">
        <f>VLOOKUP(A764,Planilha2!B:C,2,0)</f>
        <v>INVERSOR MSCFW110017T6OYZ</v>
      </c>
      <c r="C764" t="s">
        <v>1</v>
      </c>
      <c r="D764" t="str">
        <f>VLOOKUP(A764,Planilha2!B:H,7,0)</f>
        <v>LINHA M3</v>
      </c>
      <c r="E764" s="5">
        <v>29500</v>
      </c>
      <c r="F764">
        <f>IFERROR(
IF(ISNUMBER(FIND("CFW110",B764)),
VALUE(MID(B764,FIND("CFW110",B764)+6,FIND("T",B764,FIND("CFW110",B764))-(FIND("CFW110",B764)+6))),
IF(ISNUMBER(FIND("D",B764)),
VALUE(SUBSTITUTE(MID(B764,FIND("D",B764)+1,FIND("T",B764,FIND("D",B764))-(FIND("D",B764)+1)),"P",",")),
IF(ISNUMBER(FIND("CFW5",B764)),
VALUE(MID(B764,
IF(ISNUMBER(FIND("F",B764)),FIND("F",B764)+1,FIND("G",B764)+1),
FIND("T",B764)-(IF(ISNUMBER(FIND("F",B764)),FIND("F",B764)+1,FIND("G",B764)+1))
)),
VALUE(MID(B764,FIND("E0",B764)+2,FIND("T",B764,FIND("E0",B764))-(FIND("E0",B764)+2)))
))),"")</f>
        <v>17</v>
      </c>
      <c r="G764">
        <f>IFERROR(
IF(ISNUMBER(FIND("T2",B764)),220,
IF(ISNUMBER(FIND("T4",B764)),440,
IF(ISNUMBER(FIND("T5",B764)),575,
IF(ISNUMBER(FIND("T6",B764)),690,"")))),
"")</f>
        <v>690</v>
      </c>
    </row>
    <row r="765" spans="1:7" x14ac:dyDescent="0.25">
      <c r="A765">
        <v>12331391</v>
      </c>
      <c r="B765" t="str">
        <f>VLOOKUP(A765,Planilha2!B:C,2,0)</f>
        <v>INVERSOR MSCFW110012T6OYZ</v>
      </c>
      <c r="C765" t="s">
        <v>1</v>
      </c>
      <c r="D765" t="str">
        <f>VLOOKUP(A765,Planilha2!B:H,7,0)</f>
        <v>LINHA M3</v>
      </c>
      <c r="E765" s="5">
        <v>29500</v>
      </c>
      <c r="F765">
        <f>IFERROR(
IF(ISNUMBER(FIND("CFW110",B765)),
VALUE(MID(B765,FIND("CFW110",B765)+6,FIND("T",B765,FIND("CFW110",B765))-(FIND("CFW110",B765)+6))),
IF(ISNUMBER(FIND("D",B765)),
VALUE(SUBSTITUTE(MID(B765,FIND("D",B765)+1,FIND("T",B765,FIND("D",B765))-(FIND("D",B765)+1)),"P",",")),
IF(ISNUMBER(FIND("CFW5",B765)),
VALUE(MID(B765,
IF(ISNUMBER(FIND("F",B765)),FIND("F",B765)+1,FIND("G",B765)+1),
FIND("T",B765)-(IF(ISNUMBER(FIND("F",B765)),FIND("F",B765)+1,FIND("G",B765)+1))
)),
VALUE(MID(B765,FIND("E0",B765)+2,FIND("T",B765,FIND("E0",B765))-(FIND("E0",B765)+2)))
))),"")</f>
        <v>12</v>
      </c>
      <c r="G765">
        <f>IFERROR(
IF(ISNUMBER(FIND("T2",B765)),220,
IF(ISNUMBER(FIND("T4",B765)),440,
IF(ISNUMBER(FIND("T5",B765)),575,
IF(ISNUMBER(FIND("T6",B765)),690,"")))),
"")</f>
        <v>690</v>
      </c>
    </row>
    <row r="766" spans="1:7" x14ac:dyDescent="0.25">
      <c r="A766">
        <v>12331390</v>
      </c>
      <c r="B766" t="str">
        <f>VLOOKUP(A766,Planilha2!B:C,2,0)</f>
        <v>INVERSOR MSCFW110010T6OYZ</v>
      </c>
      <c r="C766" t="s">
        <v>1</v>
      </c>
      <c r="D766" t="str">
        <f>VLOOKUP(A766,Planilha2!B:H,7,0)</f>
        <v>LINHA M3</v>
      </c>
      <c r="E766" s="5">
        <v>29500</v>
      </c>
      <c r="F766">
        <f>IFERROR(
IF(ISNUMBER(FIND("CFW110",B766)),
VALUE(MID(B766,FIND("CFW110",B766)+6,FIND("T",B766,FIND("CFW110",B766))-(FIND("CFW110",B766)+6))),
IF(ISNUMBER(FIND("D",B766)),
VALUE(SUBSTITUTE(MID(B766,FIND("D",B766)+1,FIND("T",B766,FIND("D",B766))-(FIND("D",B766)+1)),"P",",")),
IF(ISNUMBER(FIND("CFW5",B766)),
VALUE(MID(B766,
IF(ISNUMBER(FIND("F",B766)),FIND("F",B766)+1,FIND("G",B766)+1),
FIND("T",B766)-(IF(ISNUMBER(FIND("F",B766)),FIND("F",B766)+1,FIND("G",B766)+1))
)),
VALUE(MID(B766,FIND("E0",B766)+2,FIND("T",B766,FIND("E0",B766))-(FIND("E0",B766)+2)))
))),"")</f>
        <v>10</v>
      </c>
      <c r="G766">
        <f>IFERROR(
IF(ISNUMBER(FIND("T2",B766)),220,
IF(ISNUMBER(FIND("T4",B766)),440,
IF(ISNUMBER(FIND("T5",B766)),575,
IF(ISNUMBER(FIND("T6",B766)),690,"")))),
"")</f>
        <v>690</v>
      </c>
    </row>
    <row r="767" spans="1:7" x14ac:dyDescent="0.25">
      <c r="A767">
        <v>12331389</v>
      </c>
      <c r="B767" t="str">
        <f>VLOOKUP(A767,Planilha2!B:C,2,0)</f>
        <v>INVERSOR MSCFW110007T6OYZ</v>
      </c>
      <c r="C767" t="s">
        <v>1</v>
      </c>
      <c r="D767" t="str">
        <f>VLOOKUP(A767,Planilha2!B:H,7,0)</f>
        <v>LINHA M3</v>
      </c>
      <c r="E767" s="5">
        <v>29500</v>
      </c>
      <c r="F767">
        <f>IFERROR(
IF(ISNUMBER(FIND("CFW110",B767)),
VALUE(MID(B767,FIND("CFW110",B767)+6,FIND("T",B767,FIND("CFW110",B767))-(FIND("CFW110",B767)+6))),
IF(ISNUMBER(FIND("D",B767)),
VALUE(SUBSTITUTE(MID(B767,FIND("D",B767)+1,FIND("T",B767,FIND("D",B767))-(FIND("D",B767)+1)),"P",",")),
IF(ISNUMBER(FIND("CFW5",B767)),
VALUE(MID(B767,
IF(ISNUMBER(FIND("F",B767)),FIND("F",B767)+1,FIND("G",B767)+1),
FIND("T",B767)-(IF(ISNUMBER(FIND("F",B767)),FIND("F",B767)+1,FIND("G",B767)+1))
)),
VALUE(MID(B767,FIND("E0",B767)+2,FIND("T",B767,FIND("E0",B767))-(FIND("E0",B767)+2)))
))),"")</f>
        <v>7</v>
      </c>
      <c r="G767">
        <f>IFERROR(
IF(ISNUMBER(FIND("T2",B767)),220,
IF(ISNUMBER(FIND("T4",B767)),440,
IF(ISNUMBER(FIND("T5",B767)),575,
IF(ISNUMBER(FIND("T6",B767)),690,"")))),
"")</f>
        <v>690</v>
      </c>
    </row>
    <row r="768" spans="1:7" x14ac:dyDescent="0.25">
      <c r="A768">
        <v>12331388</v>
      </c>
      <c r="B768" t="str">
        <f>VLOOKUP(A768,Planilha2!B:C,2,0)</f>
        <v>INVERSOR MSCFW110004T6OYZ</v>
      </c>
      <c r="C768" t="s">
        <v>1</v>
      </c>
      <c r="D768" t="str">
        <f>VLOOKUP(A768,Planilha2!B:H,7,0)</f>
        <v>LINHA M3</v>
      </c>
      <c r="E768" s="5">
        <v>29500</v>
      </c>
      <c r="F768">
        <f>IFERROR(
IF(ISNUMBER(FIND("CFW110",B768)),
VALUE(MID(B768,FIND("CFW110",B768)+6,FIND("T",B768,FIND("CFW110",B768))-(FIND("CFW110",B768)+6))),
IF(ISNUMBER(FIND("D",B768)),
VALUE(SUBSTITUTE(MID(B768,FIND("D",B768)+1,FIND("T",B768,FIND("D",B768))-(FIND("D",B768)+1)),"P",",")),
IF(ISNUMBER(FIND("CFW5",B768)),
VALUE(MID(B768,
IF(ISNUMBER(FIND("F",B768)),FIND("F",B768)+1,FIND("G",B768)+1),
FIND("T",B768)-(IF(ISNUMBER(FIND("F",B768)),FIND("F",B768)+1,FIND("G",B768)+1))
)),
VALUE(MID(B768,FIND("E0",B768)+2,FIND("T",B768,FIND("E0",B768))-(FIND("E0",B768)+2)))
))),"")</f>
        <v>4</v>
      </c>
      <c r="G768">
        <f>IFERROR(
IF(ISNUMBER(FIND("T2",B768)),220,
IF(ISNUMBER(FIND("T4",B768)),440,
IF(ISNUMBER(FIND("T5",B768)),575,
IF(ISNUMBER(FIND("T6",B768)),690,"")))),
"")</f>
        <v>690</v>
      </c>
    </row>
    <row r="769" spans="1:7" x14ac:dyDescent="0.25">
      <c r="A769">
        <v>12331326</v>
      </c>
      <c r="B769" t="str">
        <f>VLOOKUP(A769,Planilha2!B:C,2,0)</f>
        <v>INVERSOR MSCFW110002T6OYZ</v>
      </c>
      <c r="C769" t="s">
        <v>1</v>
      </c>
      <c r="D769" t="str">
        <f>VLOOKUP(A769,Planilha2!B:H,7,0)</f>
        <v>LINHA M3</v>
      </c>
      <c r="E769" s="5">
        <v>29500</v>
      </c>
      <c r="F769">
        <f>IFERROR(
IF(ISNUMBER(FIND("CFW110",B769)),
VALUE(MID(B769,FIND("CFW110",B769)+6,FIND("T",B769,FIND("CFW110",B769))-(FIND("CFW110",B769)+6))),
IF(ISNUMBER(FIND("D",B769)),
VALUE(SUBSTITUTE(MID(B769,FIND("D",B769)+1,FIND("T",B769,FIND("D",B769))-(FIND("D",B769)+1)),"P",",")),
IF(ISNUMBER(FIND("CFW5",B769)),
VALUE(MID(B769,
IF(ISNUMBER(FIND("F",B769)),FIND("F",B769)+1,FIND("G",B769)+1),
FIND("T",B769)-(IF(ISNUMBER(FIND("F",B769)),FIND("F",B769)+1,FIND("G",B769)+1))
)),
VALUE(MID(B769,FIND("E0",B769)+2,FIND("T",B769,FIND("E0",B769))-(FIND("E0",B769)+2)))
))),"")</f>
        <v>2</v>
      </c>
      <c r="G769">
        <f>IFERROR(
IF(ISNUMBER(FIND("T2",B769)),220,
IF(ISNUMBER(FIND("T4",B769)),440,
IF(ISNUMBER(FIND("T5",B769)),575,
IF(ISNUMBER(FIND("T6",B769)),690,"")))),
"")</f>
        <v>690</v>
      </c>
    </row>
    <row r="770" spans="1:7" x14ac:dyDescent="0.25">
      <c r="A770">
        <v>12436086</v>
      </c>
      <c r="B770" t="str">
        <f>VLOOKUP(A770,Planilha2!B:C,2,0)</f>
        <v>INVERSOR EUCFW110070T4OWZ</v>
      </c>
      <c r="C770" t="s">
        <v>1</v>
      </c>
      <c r="D770" t="str">
        <f>VLOOKUP(A770,Planilha2!B:H,7,0)</f>
        <v>LINHA M3</v>
      </c>
      <c r="E770" s="5">
        <v>26000</v>
      </c>
      <c r="F770">
        <f>IFERROR(
IF(ISNUMBER(FIND("CFW110",B770)),
VALUE(MID(B770,FIND("CFW110",B770)+6,FIND("T",B770,FIND("CFW110",B770))-(FIND("CFW110",B770)+6))),
IF(ISNUMBER(FIND("D",B770)),
VALUE(SUBSTITUTE(MID(B770,FIND("D",B770)+1,FIND("T",B770,FIND("D",B770))-(FIND("D",B770)+1)),"P",",")),
IF(ISNUMBER(FIND("CFW5",B770)),
VALUE(MID(B770,
IF(ISNUMBER(FIND("F",B770)),FIND("F",B770)+1,FIND("G",B770)+1),
FIND("T",B770)-(IF(ISNUMBER(FIND("F",B770)),FIND("F",B770)+1,FIND("G",B770)+1))
)),
VALUE(MID(B770,FIND("E0",B770)+2,FIND("T",B770,FIND("E0",B770))-(FIND("E0",B770)+2)))
))),"")</f>
        <v>70</v>
      </c>
      <c r="G770">
        <f>IFERROR(
IF(ISNUMBER(FIND("T2",B770)),220,
IF(ISNUMBER(FIND("T4",B770)),440,
IF(ISNUMBER(FIND("T5",B770)),575,
IF(ISNUMBER(FIND("T6",B770)),690,"")))),
"")</f>
        <v>440</v>
      </c>
    </row>
    <row r="771" spans="1:7" x14ac:dyDescent="0.25">
      <c r="A771">
        <v>11993166</v>
      </c>
      <c r="B771" t="str">
        <f>VLOOKUP(A771,Planilha2!B:C,2,0)</f>
        <v>INVERSOR NACFW110032T6ON1NBZ</v>
      </c>
      <c r="C771" t="s">
        <v>1</v>
      </c>
      <c r="D771" t="str">
        <f>VLOOKUP(A771,Planilha2!B:H,7,0)</f>
        <v>LINHA M3</v>
      </c>
      <c r="E771" s="5">
        <v>29500</v>
      </c>
      <c r="F771">
        <f>IFERROR(
IF(ISNUMBER(FIND("CFW110",B771)),
VALUE(MID(B771,FIND("CFW110",B771)+6,FIND("T",B771,FIND("CFW110",B771))-(FIND("CFW110",B771)+6))),
IF(ISNUMBER(FIND("D",B771)),
VALUE(SUBSTITUTE(MID(B771,FIND("D",B771)+1,FIND("T",B771,FIND("D",B771))-(FIND("D",B771)+1)),"P",",")),
IF(ISNUMBER(FIND("CFW5",B771)),
VALUE(MID(B771,
IF(ISNUMBER(FIND("F",B771)),FIND("F",B771)+1,FIND("G",B771)+1),
FIND("T",B771)-(IF(ISNUMBER(FIND("F",B771)),FIND("F",B771)+1,FIND("G",B771)+1))
)),
VALUE(MID(B771,FIND("E0",B771)+2,FIND("T",B771,FIND("E0",B771))-(FIND("E0",B771)+2)))
))),"")</f>
        <v>32</v>
      </c>
      <c r="G771">
        <f>IFERROR(
IF(ISNUMBER(FIND("T2",B771)),220,
IF(ISNUMBER(FIND("T4",B771)),440,
IF(ISNUMBER(FIND("T5",B771)),575,
IF(ISNUMBER(FIND("T6",B771)),690,"")))),
"")</f>
        <v>690</v>
      </c>
    </row>
    <row r="772" spans="1:7" x14ac:dyDescent="0.25">
      <c r="A772">
        <v>11988697</v>
      </c>
      <c r="B772" t="str">
        <f>VLOOKUP(A772,Planilha2!B:C,2,0)</f>
        <v>INVERSOR SACFW110002T6OYZ</v>
      </c>
      <c r="C772" t="s">
        <v>1</v>
      </c>
      <c r="D772" t="str">
        <f>VLOOKUP(A772,Planilha2!B:H,7,0)</f>
        <v>LINHA M3</v>
      </c>
      <c r="E772" s="5">
        <v>29500</v>
      </c>
      <c r="F772">
        <f>IFERROR(
IF(ISNUMBER(FIND("CFW110",B772)),
VALUE(MID(B772,FIND("CFW110",B772)+6,FIND("T",B772,FIND("CFW110",B772))-(FIND("CFW110",B772)+6))),
IF(ISNUMBER(FIND("D",B772)),
VALUE(SUBSTITUTE(MID(B772,FIND("D",B772)+1,FIND("T",B772,FIND("D",B772))-(FIND("D",B772)+1)),"P",",")),
IF(ISNUMBER(FIND("CFW5",B772)),
VALUE(MID(B772,
IF(ISNUMBER(FIND("F",B772)),FIND("F",B772)+1,FIND("G",B772)+1),
FIND("T",B772)-(IF(ISNUMBER(FIND("F",B772)),FIND("F",B772)+1,FIND("G",B772)+1))
)),
VALUE(MID(B772,FIND("E0",B772)+2,FIND("T",B772,FIND("E0",B772))-(FIND("E0",B772)+2)))
))),"")</f>
        <v>2</v>
      </c>
      <c r="G772">
        <f>IFERROR(
IF(ISNUMBER(FIND("T2",B772)),220,
IF(ISNUMBER(FIND("T4",B772)),440,
IF(ISNUMBER(FIND("T5",B772)),575,
IF(ISNUMBER(FIND("T6",B772)),690,"")))),
"")</f>
        <v>690</v>
      </c>
    </row>
    <row r="773" spans="1:7" x14ac:dyDescent="0.25">
      <c r="A773">
        <v>11988720</v>
      </c>
      <c r="B773" t="str">
        <f>VLOOKUP(A773,Planilha2!B:C,2,0)</f>
        <v>INVERSOR SACFW110004T6OYZ</v>
      </c>
      <c r="C773" t="s">
        <v>1</v>
      </c>
      <c r="D773" t="str">
        <f>VLOOKUP(A773,Planilha2!B:H,7,0)</f>
        <v>LINHA M3</v>
      </c>
      <c r="E773" s="5">
        <v>29500</v>
      </c>
      <c r="F773">
        <f>IFERROR(
IF(ISNUMBER(FIND("CFW110",B773)),
VALUE(MID(B773,FIND("CFW110",B773)+6,FIND("T",B773,FIND("CFW110",B773))-(FIND("CFW110",B773)+6))),
IF(ISNUMBER(FIND("D",B773)),
VALUE(SUBSTITUTE(MID(B773,FIND("D",B773)+1,FIND("T",B773,FIND("D",B773))-(FIND("D",B773)+1)),"P",",")),
IF(ISNUMBER(FIND("CFW5",B773)),
VALUE(MID(B773,
IF(ISNUMBER(FIND("F",B773)),FIND("F",B773)+1,FIND("G",B773)+1),
FIND("T",B773)-(IF(ISNUMBER(FIND("F",B773)),FIND("F",B773)+1,FIND("G",B773)+1))
)),
VALUE(MID(B773,FIND("E0",B773)+2,FIND("T",B773,FIND("E0",B773))-(FIND("E0",B773)+2)))
))),"")</f>
        <v>4</v>
      </c>
      <c r="G773">
        <f>IFERROR(
IF(ISNUMBER(FIND("T2",B773)),220,
IF(ISNUMBER(FIND("T4",B773)),440,
IF(ISNUMBER(FIND("T5",B773)),575,
IF(ISNUMBER(FIND("T6",B773)),690,"")))),
"")</f>
        <v>690</v>
      </c>
    </row>
    <row r="774" spans="1:7" x14ac:dyDescent="0.25">
      <c r="A774">
        <v>11988721</v>
      </c>
      <c r="B774" t="str">
        <f>VLOOKUP(A774,Planilha2!B:C,2,0)</f>
        <v>INVERSOR SACFW110007T6OYZ</v>
      </c>
      <c r="C774" t="s">
        <v>1</v>
      </c>
      <c r="D774" t="str">
        <f>VLOOKUP(A774,Planilha2!B:H,7,0)</f>
        <v>LINHA M3</v>
      </c>
      <c r="E774" s="5">
        <v>29500</v>
      </c>
      <c r="F774">
        <f>IFERROR(
IF(ISNUMBER(FIND("CFW110",B774)),
VALUE(MID(B774,FIND("CFW110",B774)+6,FIND("T",B774,FIND("CFW110",B774))-(FIND("CFW110",B774)+6))),
IF(ISNUMBER(FIND("D",B774)),
VALUE(SUBSTITUTE(MID(B774,FIND("D",B774)+1,FIND("T",B774,FIND("D",B774))-(FIND("D",B774)+1)),"P",",")),
IF(ISNUMBER(FIND("CFW5",B774)),
VALUE(MID(B774,
IF(ISNUMBER(FIND("F",B774)),FIND("F",B774)+1,FIND("G",B774)+1),
FIND("T",B774)-(IF(ISNUMBER(FIND("F",B774)),FIND("F",B774)+1,FIND("G",B774)+1))
)),
VALUE(MID(B774,FIND("E0",B774)+2,FIND("T",B774,FIND("E0",B774))-(FIND("E0",B774)+2)))
))),"")</f>
        <v>7</v>
      </c>
      <c r="G774">
        <f>IFERROR(
IF(ISNUMBER(FIND("T2",B774)),220,
IF(ISNUMBER(FIND("T4",B774)),440,
IF(ISNUMBER(FIND("T5",B774)),575,
IF(ISNUMBER(FIND("T6",B774)),690,"")))),
"")</f>
        <v>690</v>
      </c>
    </row>
    <row r="775" spans="1:7" x14ac:dyDescent="0.25">
      <c r="A775">
        <v>11988763</v>
      </c>
      <c r="B775" t="str">
        <f>VLOOKUP(A775,Planilha2!B:C,2,0)</f>
        <v>INVERSOR SACFW110010T6OYZ</v>
      </c>
      <c r="C775" t="s">
        <v>1</v>
      </c>
      <c r="D775" t="str">
        <f>VLOOKUP(A775,Planilha2!B:H,7,0)</f>
        <v>LINHA M3</v>
      </c>
      <c r="E775" s="5">
        <v>29500</v>
      </c>
      <c r="F775">
        <f>IFERROR(
IF(ISNUMBER(FIND("CFW110",B775)),
VALUE(MID(B775,FIND("CFW110",B775)+6,FIND("T",B775,FIND("CFW110",B775))-(FIND("CFW110",B775)+6))),
IF(ISNUMBER(FIND("D",B775)),
VALUE(SUBSTITUTE(MID(B775,FIND("D",B775)+1,FIND("T",B775,FIND("D",B775))-(FIND("D",B775)+1)),"P",",")),
IF(ISNUMBER(FIND("CFW5",B775)),
VALUE(MID(B775,
IF(ISNUMBER(FIND("F",B775)),FIND("F",B775)+1,FIND("G",B775)+1),
FIND("T",B775)-(IF(ISNUMBER(FIND("F",B775)),FIND("F",B775)+1,FIND("G",B775)+1))
)),
VALUE(MID(B775,FIND("E0",B775)+2,FIND("T",B775,FIND("E0",B775))-(FIND("E0",B775)+2)))
))),"")</f>
        <v>10</v>
      </c>
      <c r="G775">
        <f>IFERROR(
IF(ISNUMBER(FIND("T2",B775)),220,
IF(ISNUMBER(FIND("T4",B775)),440,
IF(ISNUMBER(FIND("T5",B775)),575,
IF(ISNUMBER(FIND("T6",B775)),690,"")))),
"")</f>
        <v>690</v>
      </c>
    </row>
    <row r="776" spans="1:7" x14ac:dyDescent="0.25">
      <c r="A776">
        <v>11988496</v>
      </c>
      <c r="B776" t="str">
        <f>VLOOKUP(A776,Planilha2!B:C,2,0)</f>
        <v>INVERSOR SACFW110012T6OYZ</v>
      </c>
      <c r="C776" t="s">
        <v>1</v>
      </c>
      <c r="D776" t="str">
        <f>VLOOKUP(A776,Planilha2!B:H,7,0)</f>
        <v>LINHA M3</v>
      </c>
      <c r="E776" s="5">
        <v>29500</v>
      </c>
      <c r="F776">
        <f>IFERROR(
IF(ISNUMBER(FIND("CFW110",B776)),
VALUE(MID(B776,FIND("CFW110",B776)+6,FIND("T",B776,FIND("CFW110",B776))-(FIND("CFW110",B776)+6))),
IF(ISNUMBER(FIND("D",B776)),
VALUE(SUBSTITUTE(MID(B776,FIND("D",B776)+1,FIND("T",B776,FIND("D",B776))-(FIND("D",B776)+1)),"P",",")),
IF(ISNUMBER(FIND("CFW5",B776)),
VALUE(MID(B776,
IF(ISNUMBER(FIND("F",B776)),FIND("F",B776)+1,FIND("G",B776)+1),
FIND("T",B776)-(IF(ISNUMBER(FIND("F",B776)),FIND("F",B776)+1,FIND("G",B776)+1))
)),
VALUE(MID(B776,FIND("E0",B776)+2,FIND("T",B776,FIND("E0",B776))-(FIND("E0",B776)+2)))
))),"")</f>
        <v>12</v>
      </c>
      <c r="G776">
        <f>IFERROR(
IF(ISNUMBER(FIND("T2",B776)),220,
IF(ISNUMBER(FIND("T4",B776)),440,
IF(ISNUMBER(FIND("T5",B776)),575,
IF(ISNUMBER(FIND("T6",B776)),690,"")))),
"")</f>
        <v>690</v>
      </c>
    </row>
    <row r="777" spans="1:7" x14ac:dyDescent="0.25">
      <c r="A777">
        <v>12403705</v>
      </c>
      <c r="B777" t="str">
        <f>VLOOKUP(A777,Planilha2!B:C,2,0)</f>
        <v>INVERSOR SACFW110058T4OFAZ</v>
      </c>
      <c r="C777" t="s">
        <v>1</v>
      </c>
      <c r="D777" t="str">
        <f>VLOOKUP(A777,Planilha2!B:H,7,0)</f>
        <v>LINHA M1</v>
      </c>
      <c r="E777" s="5">
        <v>4500</v>
      </c>
      <c r="F777">
        <f>IFERROR(
IF(ISNUMBER(FIND("CFW110",B777)),
VALUE(MID(B777,FIND("CFW110",B777)+6,FIND("T",B777,FIND("CFW110",B777))-(FIND("CFW110",B777)+6))),
IF(ISNUMBER(FIND("D",B777)),
VALUE(SUBSTITUTE(MID(B777,FIND("D",B777)+1,FIND("T",B777,FIND("D",B777))-(FIND("D",B777)+1)),"P",",")),
IF(ISNUMBER(FIND("CFW5",B777)),
VALUE(MID(B777,
IF(ISNUMBER(FIND("F",B777)),FIND("F",B777)+1,FIND("G",B777)+1),
FIND("T",B777)-(IF(ISNUMBER(FIND("F",B777)),FIND("F",B777)+1,FIND("G",B777)+1))
)),
VALUE(MID(B777,FIND("E0",B777)+2,FIND("T",B777,FIND("E0",B777))-(FIND("E0",B777)+2)))
))),"")</f>
        <v>58</v>
      </c>
      <c r="G777">
        <f>IFERROR(
IF(ISNUMBER(FIND("T2",B777)),220,
IF(ISNUMBER(FIND("T4",B777)),440,
IF(ISNUMBER(FIND("T5",B777)),575,
IF(ISNUMBER(FIND("T6",B777)),690,"")))),
"")</f>
        <v>440</v>
      </c>
    </row>
    <row r="778" spans="1:7" x14ac:dyDescent="0.25">
      <c r="A778">
        <v>12467962</v>
      </c>
      <c r="B778" t="str">
        <f>VLOOKUP(A778,Planilha2!B:C,2,0)</f>
        <v>INVERSOR BRCFW110058T4OFAWZ</v>
      </c>
      <c r="C778" t="s">
        <v>1</v>
      </c>
      <c r="D778" t="str">
        <f>VLOOKUP(A778,Planilha2!B:H,7,0)</f>
        <v>LINHA M1</v>
      </c>
      <c r="E778" s="5">
        <v>20500</v>
      </c>
      <c r="F778">
        <f>IFERROR(
IF(ISNUMBER(FIND("CFW110",B778)),
VALUE(MID(B778,FIND("CFW110",B778)+6,FIND("T",B778,FIND("CFW110",B778))-(FIND("CFW110",B778)+6))),
IF(ISNUMBER(FIND("D",B778)),
VALUE(SUBSTITUTE(MID(B778,FIND("D",B778)+1,FIND("T",B778,FIND("D",B778))-(FIND("D",B778)+1)),"P",",")),
IF(ISNUMBER(FIND("CFW5",B778)),
VALUE(MID(B778,
IF(ISNUMBER(FIND("F",B778)),FIND("F",B778)+1,FIND("G",B778)+1),
FIND("T",B778)-(IF(ISNUMBER(FIND("F",B778)),FIND("F",B778)+1,FIND("G",B778)+1))
)),
VALUE(MID(B778,FIND("E0",B778)+2,FIND("T",B778,FIND("E0",B778))-(FIND("E0",B778)+2)))
))),"")</f>
        <v>58</v>
      </c>
      <c r="G778">
        <f>IFERROR(
IF(ISNUMBER(FIND("T2",B778)),220,
IF(ISNUMBER(FIND("T4",B778)),440,
IF(ISNUMBER(FIND("T5",B778)),575,
IF(ISNUMBER(FIND("T6",B778)),690,"")))),
"")</f>
        <v>440</v>
      </c>
    </row>
    <row r="779" spans="1:7" x14ac:dyDescent="0.25">
      <c r="A779">
        <v>12511864</v>
      </c>
      <c r="B779" t="str">
        <f>VLOOKUP(A779,Planilha2!B:C,2,0)</f>
        <v>INVERSOR MSCFW110070T4OFAZ</v>
      </c>
      <c r="C779" t="s">
        <v>1</v>
      </c>
      <c r="D779" t="str">
        <f>VLOOKUP(A779,Planilha2!B:H,7,0)</f>
        <v>LINHA M3</v>
      </c>
      <c r="E779" s="5">
        <v>31100</v>
      </c>
      <c r="F779">
        <f>IFERROR(
IF(ISNUMBER(FIND("CFW110",B779)),
VALUE(MID(B779,FIND("CFW110",B779)+6,FIND("T",B779,FIND("CFW110",B779))-(FIND("CFW110",B779)+6))),
IF(ISNUMBER(FIND("D",B779)),
VALUE(SUBSTITUTE(MID(B779,FIND("D",B779)+1,FIND("T",B779,FIND("D",B779))-(FIND("D",B779)+1)),"P",",")),
IF(ISNUMBER(FIND("CFW5",B779)),
VALUE(MID(B779,
IF(ISNUMBER(FIND("F",B779)),FIND("F",B779)+1,FIND("G",B779)+1),
FIND("T",B779)-(IF(ISNUMBER(FIND("F",B779)),FIND("F",B779)+1,FIND("G",B779)+1))
)),
VALUE(MID(B779,FIND("E0",B779)+2,FIND("T",B779,FIND("E0",B779))-(FIND("E0",B779)+2)))
))),"")</f>
        <v>70</v>
      </c>
      <c r="G779">
        <f>IFERROR(
IF(ISNUMBER(FIND("T2",B779)),220,
IF(ISNUMBER(FIND("T4",B779)),440,
IF(ISNUMBER(FIND("T5",B779)),575,
IF(ISNUMBER(FIND("T6",B779)),690,"")))),
"")</f>
        <v>440</v>
      </c>
    </row>
    <row r="780" spans="1:7" x14ac:dyDescent="0.25">
      <c r="A780">
        <v>12104807</v>
      </c>
      <c r="B780" t="str">
        <f>VLOOKUP(A780,Planilha2!B:C,2,0)</f>
        <v>INVERSOR CFW701C58P5T4DBN1C3</v>
      </c>
      <c r="C780" t="s">
        <v>1</v>
      </c>
      <c r="D780" t="str">
        <f>VLOOKUP(A780,Planilha2!B:H,7,0)</f>
        <v>OBSOLETOS DRIVES</v>
      </c>
      <c r="E780" s="5">
        <v>20870</v>
      </c>
      <c r="F780" t="str">
        <f>IFERROR(
IF(ISNUMBER(FIND("CFW110",B780)),
VALUE(MID(B780,FIND("CFW110",B780)+6,FIND("T",B780,FIND("CFW110",B780))-(FIND("CFW110",B780)+6))),
IF(ISNUMBER(FIND("D",B780)),
VALUE(SUBSTITUTE(MID(B780,FIND("D",B780)+1,FIND("T",B780,FIND("D",B780))-(FIND("D",B780)+1)),"P",",")),
IF(ISNUMBER(FIND("CFW5",B780)),
VALUE(MID(B780,
IF(ISNUMBER(FIND("F",B780)),FIND("F",B780)+1,FIND("G",B780)+1),
FIND("T",B780)-(IF(ISNUMBER(FIND("F",B780)),FIND("F",B780)+1,FIND("G",B780)+1))
)),
VALUE(MID(B780,FIND("E0",B780)+2,FIND("T",B780,FIND("E0",B780))-(FIND("E0",B780)+2)))
))),"")</f>
        <v/>
      </c>
      <c r="G780">
        <f>IFERROR(
IF(ISNUMBER(FIND("T2",B780)),220,
IF(ISNUMBER(FIND("T4",B780)),440,
IF(ISNUMBER(FIND("T5",B780)),575,
IF(ISNUMBER(FIND("T6",B780)),690,"")))),
"")</f>
        <v>440</v>
      </c>
    </row>
    <row r="781" spans="1:7" x14ac:dyDescent="0.25">
      <c r="A781">
        <v>11988945</v>
      </c>
      <c r="B781" t="str">
        <f>VLOOKUP(A781,Planilha2!B:C,2,0)</f>
        <v>INVERSOR EUCFW110032T6OYZ</v>
      </c>
      <c r="C781" t="s">
        <v>1</v>
      </c>
      <c r="D781" t="str">
        <f>VLOOKUP(A781,Planilha2!B:H,7,0)</f>
        <v>LINHA M3</v>
      </c>
      <c r="E781" s="5">
        <v>32600</v>
      </c>
      <c r="F781">
        <f>IFERROR(
IF(ISNUMBER(FIND("CFW110",B781)),
VALUE(MID(B781,FIND("CFW110",B781)+6,FIND("T",B781,FIND("CFW110",B781))-(FIND("CFW110",B781)+6))),
IF(ISNUMBER(FIND("D",B781)),
VALUE(SUBSTITUTE(MID(B781,FIND("D",B781)+1,FIND("T",B781,FIND("D",B781))-(FIND("D",B781)+1)),"P",",")),
IF(ISNUMBER(FIND("CFW5",B781)),
VALUE(MID(B781,
IF(ISNUMBER(FIND("F",B781)),FIND("F",B781)+1,FIND("G",B781)+1),
FIND("T",B781)-(IF(ISNUMBER(FIND("F",B781)),FIND("F",B781)+1,FIND("G",B781)+1))
)),
VALUE(MID(B781,FIND("E0",B781)+2,FIND("T",B781,FIND("E0",B781))-(FIND("E0",B781)+2)))
))),"")</f>
        <v>32</v>
      </c>
      <c r="G781">
        <f>IFERROR(
IF(ISNUMBER(FIND("T2",B781)),220,
IF(ISNUMBER(FIND("T4",B781)),440,
IF(ISNUMBER(FIND("T5",B781)),575,
IF(ISNUMBER(FIND("T6",B781)),690,"")))),
"")</f>
        <v>690</v>
      </c>
    </row>
    <row r="782" spans="1:7" x14ac:dyDescent="0.25">
      <c r="A782">
        <v>11988635</v>
      </c>
      <c r="B782" t="str">
        <f>VLOOKUP(A782,Planilha2!B:C,2,0)</f>
        <v>INVERSOR SACFW110022T6OYZ</v>
      </c>
      <c r="C782" t="s">
        <v>1</v>
      </c>
      <c r="D782" t="str">
        <f>VLOOKUP(A782,Planilha2!B:H,7,0)</f>
        <v>LINHA M3</v>
      </c>
      <c r="E782" s="5">
        <v>29500</v>
      </c>
      <c r="F782">
        <f>IFERROR(
IF(ISNUMBER(FIND("CFW110",B782)),
VALUE(MID(B782,FIND("CFW110",B782)+6,FIND("T",B782,FIND("CFW110",B782))-(FIND("CFW110",B782)+6))),
IF(ISNUMBER(FIND("D",B782)),
VALUE(SUBSTITUTE(MID(B782,FIND("D",B782)+1,FIND("T",B782,FIND("D",B782))-(FIND("D",B782)+1)),"P",",")),
IF(ISNUMBER(FIND("CFW5",B782)),
VALUE(MID(B782,
IF(ISNUMBER(FIND("F",B782)),FIND("F",B782)+1,FIND("G",B782)+1),
FIND("T",B782)-(IF(ISNUMBER(FIND("F",B782)),FIND("F",B782)+1,FIND("G",B782)+1))
)),
VALUE(MID(B782,FIND("E0",B782)+2,FIND("T",B782,FIND("E0",B782))-(FIND("E0",B782)+2)))
))),"")</f>
        <v>22</v>
      </c>
      <c r="G782">
        <f>IFERROR(
IF(ISNUMBER(FIND("T2",B782)),220,
IF(ISNUMBER(FIND("T4",B782)),440,
IF(ISNUMBER(FIND("T5",B782)),575,
IF(ISNUMBER(FIND("T6",B782)),690,"")))),
"")</f>
        <v>690</v>
      </c>
    </row>
    <row r="783" spans="1:7" x14ac:dyDescent="0.25">
      <c r="A783">
        <v>11988661</v>
      </c>
      <c r="B783" t="str">
        <f>VLOOKUP(A783,Planilha2!B:C,2,0)</f>
        <v>INVERSOR SACFW110032T6OYZ</v>
      </c>
      <c r="C783" t="s">
        <v>1</v>
      </c>
      <c r="D783" t="str">
        <f>VLOOKUP(A783,Planilha2!B:H,7,0)</f>
        <v>LINHA M3</v>
      </c>
      <c r="E783" s="5">
        <v>29500</v>
      </c>
      <c r="F783">
        <f>IFERROR(
IF(ISNUMBER(FIND("CFW110",B783)),
VALUE(MID(B783,FIND("CFW110",B783)+6,FIND("T",B783,FIND("CFW110",B783))-(FIND("CFW110",B783)+6))),
IF(ISNUMBER(FIND("D",B783)),
VALUE(SUBSTITUTE(MID(B783,FIND("D",B783)+1,FIND("T",B783,FIND("D",B783))-(FIND("D",B783)+1)),"P",",")),
IF(ISNUMBER(FIND("CFW5",B783)),
VALUE(MID(B783,
IF(ISNUMBER(FIND("F",B783)),FIND("F",B783)+1,FIND("G",B783)+1),
FIND("T",B783)-(IF(ISNUMBER(FIND("F",B783)),FIND("F",B783)+1,FIND("G",B783)+1))
)),
VALUE(MID(B783,FIND("E0",B783)+2,FIND("T",B783,FIND("E0",B783))-(FIND("E0",B783)+2)))
))),"")</f>
        <v>32</v>
      </c>
      <c r="G783">
        <f>IFERROR(
IF(ISNUMBER(FIND("T2",B783)),220,
IF(ISNUMBER(FIND("T4",B783)),440,
IF(ISNUMBER(FIND("T5",B783)),575,
IF(ISNUMBER(FIND("T6",B783)),690,"")))),
"")</f>
        <v>690</v>
      </c>
    </row>
    <row r="784" spans="1:7" x14ac:dyDescent="0.25">
      <c r="A784">
        <v>14922486</v>
      </c>
      <c r="B784" t="str">
        <f>VLOOKUP(A784,Planilha2!B:C,2,0)</f>
        <v>INVERSOR CFW500F0105T4DB20H00</v>
      </c>
      <c r="C784" t="s">
        <v>1</v>
      </c>
      <c r="D784" t="str">
        <f>VLOOKUP(A784,Planilha2!B:H,7,0)</f>
        <v>OBSOLETOS DRIVES</v>
      </c>
      <c r="E784" s="5">
        <v>24500</v>
      </c>
      <c r="F784" t="str">
        <f>IFERROR(
IF(ISNUMBER(FIND("CFW110",B784)),
VALUE(MID(B784,FIND("CFW110",B784)+6,FIND("T",B784,FIND("CFW110",B784))-(FIND("CFW110",B784)+6))),
IF(ISNUMBER(FIND("D",B784)),
VALUE(SUBSTITUTE(MID(B784,FIND("D",B784)+1,FIND("T",B784,FIND("D",B784))-(FIND("D",B784)+1)),"P",",")),
IF(ISNUMBER(FIND("CFW5",B784)),
VALUE(MID(B784,
IF(ISNUMBER(FIND("F",B784)),FIND("F",B784)+1,FIND("G",B784)+1),
FIND("T",B784)-(IF(ISNUMBER(FIND("F",B784)),FIND("F",B784)+1,FIND("G",B784)+1))
)),
VALUE(MID(B784,FIND("E0",B784)+2,FIND("T",B784,FIND("E0",B784))-(FIND("E0",B784)+2)))
))),"")</f>
        <v/>
      </c>
      <c r="G784">
        <f>IFERROR(
IF(ISNUMBER(FIND("T2",B784)),220,
IF(ISNUMBER(FIND("T4",B784)),440,
IF(ISNUMBER(FIND("T5",B784)),575,
IF(ISNUMBER(FIND("T6",B784)),690,"")))),
"")</f>
        <v>440</v>
      </c>
    </row>
    <row r="785" spans="1:7" x14ac:dyDescent="0.25">
      <c r="A785">
        <v>14609374</v>
      </c>
      <c r="B785" t="str">
        <f>VLOOKUP(A785,Planilha2!B:C,2,0)</f>
        <v>INVERSOR CFW500F77P0T4DB20</v>
      </c>
      <c r="C785" t="s">
        <v>1</v>
      </c>
      <c r="D785" t="str">
        <f>VLOOKUP(A785,Planilha2!B:H,7,0)</f>
        <v>OBSOLETOS DRIVES</v>
      </c>
      <c r="E785" s="5">
        <v>24500</v>
      </c>
      <c r="F785" t="str">
        <f>IFERROR(
IF(ISNUMBER(FIND("CFW110",B785)),
VALUE(MID(B785,FIND("CFW110",B785)+6,FIND("T",B785,FIND("CFW110",B785))-(FIND("CFW110",B785)+6))),
IF(ISNUMBER(FIND("D",B785)),
VALUE(SUBSTITUTE(MID(B785,FIND("D",B785)+1,FIND("T",B785,FIND("D",B785))-(FIND("D",B785)+1)),"P",",")),
IF(ISNUMBER(FIND("CFW5",B785)),
VALUE(MID(B785,
IF(ISNUMBER(FIND("F",B785)),FIND("F",B785)+1,FIND("G",B785)+1),
FIND("T",B785)-(IF(ISNUMBER(FIND("F",B785)),FIND("F",B785)+1,FIND("G",B785)+1))
)),
VALUE(MID(B785,FIND("E0",B785)+2,FIND("T",B785,FIND("E0",B785))-(FIND("E0",B785)+2)))
))),"")</f>
        <v/>
      </c>
      <c r="G785">
        <f>IFERROR(
IF(ISNUMBER(FIND("T2",B785)),220,
IF(ISNUMBER(FIND("T4",B785)),440,
IF(ISNUMBER(FIND("T5",B785)),575,
IF(ISNUMBER(FIND("T6",B785)),690,"")))),
"")</f>
        <v>440</v>
      </c>
    </row>
    <row r="786" spans="1:7" x14ac:dyDescent="0.25">
      <c r="A786">
        <v>14609458</v>
      </c>
      <c r="B786" t="str">
        <f>VLOOKUP(A786,Planilha2!B:C,2,0)</f>
        <v>INVERSOR CFW500F77P0T4DB20C3</v>
      </c>
      <c r="C786" t="s">
        <v>1</v>
      </c>
      <c r="D786" t="str">
        <f>VLOOKUP(A786,Planilha2!B:H,7,0)</f>
        <v>OBSOLETOS DRIVES</v>
      </c>
      <c r="E786" s="5">
        <v>26000</v>
      </c>
      <c r="F786" t="str">
        <f>IFERROR(
IF(ISNUMBER(FIND("CFW110",B786)),
VALUE(MID(B786,FIND("CFW110",B786)+6,FIND("T",B786,FIND("CFW110",B786))-(FIND("CFW110",B786)+6))),
IF(ISNUMBER(FIND("D",B786)),
VALUE(SUBSTITUTE(MID(B786,FIND("D",B786)+1,FIND("T",B786,FIND("D",B786))-(FIND("D",B786)+1)),"P",",")),
IF(ISNUMBER(FIND("CFW5",B786)),
VALUE(MID(B786,
IF(ISNUMBER(FIND("F",B786)),FIND("F",B786)+1,FIND("G",B786)+1),
FIND("T",B786)-(IF(ISNUMBER(FIND("F",B786)),FIND("F",B786)+1,FIND("G",B786)+1))
)),
VALUE(MID(B786,FIND("E0",B786)+2,FIND("T",B786,FIND("E0",B786))-(FIND("E0",B786)+2)))
))),"")</f>
        <v/>
      </c>
      <c r="G786">
        <f>IFERROR(
IF(ISNUMBER(FIND("T2",B786)),220,
IF(ISNUMBER(FIND("T4",B786)),440,
IF(ISNUMBER(FIND("T5",B786)),575,
IF(ISNUMBER(FIND("T6",B786)),690,"")))),
"")</f>
        <v>440</v>
      </c>
    </row>
    <row r="787" spans="1:7" x14ac:dyDescent="0.25">
      <c r="A787">
        <v>14609460</v>
      </c>
      <c r="B787" t="str">
        <f>VLOOKUP(A787,Planilha2!B:C,2,0)</f>
        <v>INVERSOR CFW500F88P0T4DB20</v>
      </c>
      <c r="C787" t="s">
        <v>1</v>
      </c>
      <c r="D787" t="str">
        <f>VLOOKUP(A787,Planilha2!B:H,7,0)</f>
        <v>OBSOLETOS DRIVES</v>
      </c>
      <c r="E787" s="5">
        <v>24500</v>
      </c>
      <c r="F787" t="str">
        <f>IFERROR(
IF(ISNUMBER(FIND("CFW110",B787)),
VALUE(MID(B787,FIND("CFW110",B787)+6,FIND("T",B787,FIND("CFW110",B787))-(FIND("CFW110",B787)+6))),
IF(ISNUMBER(FIND("D",B787)),
VALUE(SUBSTITUTE(MID(B787,FIND("D",B787)+1,FIND("T",B787,FIND("D",B787))-(FIND("D",B787)+1)),"P",",")),
IF(ISNUMBER(FIND("CFW5",B787)),
VALUE(MID(B787,
IF(ISNUMBER(FIND("F",B787)),FIND("F",B787)+1,FIND("G",B787)+1),
FIND("T",B787)-(IF(ISNUMBER(FIND("F",B787)),FIND("F",B787)+1,FIND("G",B787)+1))
)),
VALUE(MID(B787,FIND("E0",B787)+2,FIND("T",B787,FIND("E0",B787))-(FIND("E0",B787)+2)))
))),"")</f>
        <v/>
      </c>
      <c r="G787">
        <f>IFERROR(
IF(ISNUMBER(FIND("T2",B787)),220,
IF(ISNUMBER(FIND("T4",B787)),440,
IF(ISNUMBER(FIND("T5",B787)),575,
IF(ISNUMBER(FIND("T6",B787)),690,"")))),
"")</f>
        <v>440</v>
      </c>
    </row>
    <row r="788" spans="1:7" x14ac:dyDescent="0.25">
      <c r="A788">
        <v>14609464</v>
      </c>
      <c r="B788" t="str">
        <f>VLOOKUP(A788,Planilha2!B:C,2,0)</f>
        <v>INVERSOR CFW500F0105T4DB20</v>
      </c>
      <c r="C788" t="s">
        <v>1</v>
      </c>
      <c r="D788" t="str">
        <f>VLOOKUP(A788,Planilha2!B:H,7,0)</f>
        <v>OBSOLETOS DRIVES</v>
      </c>
      <c r="E788" s="5">
        <v>24500</v>
      </c>
      <c r="F788" t="str">
        <f>IFERROR(
IF(ISNUMBER(FIND("CFW110",B788)),
VALUE(MID(B788,FIND("CFW110",B788)+6,FIND("T",B788,FIND("CFW110",B788))-(FIND("CFW110",B788)+6))),
IF(ISNUMBER(FIND("D",B788)),
VALUE(SUBSTITUTE(MID(B788,FIND("D",B788)+1,FIND("T",B788,FIND("D",B788))-(FIND("D",B788)+1)),"P",",")),
IF(ISNUMBER(FIND("CFW5",B788)),
VALUE(MID(B788,
IF(ISNUMBER(FIND("F",B788)),FIND("F",B788)+1,FIND("G",B788)+1),
FIND("T",B788)-(IF(ISNUMBER(FIND("F",B788)),FIND("F",B788)+1,FIND("G",B788)+1))
)),
VALUE(MID(B788,FIND("E0",B788)+2,FIND("T",B788,FIND("E0",B788))-(FIND("E0",B788)+2)))
))),"")</f>
        <v/>
      </c>
      <c r="G788">
        <f>IFERROR(
IF(ISNUMBER(FIND("T2",B788)),220,
IF(ISNUMBER(FIND("T4",B788)),440,
IF(ISNUMBER(FIND("T5",B788)),575,
IF(ISNUMBER(FIND("T6",B788)),690,"")))),
"")</f>
        <v>440</v>
      </c>
    </row>
    <row r="789" spans="1:7" x14ac:dyDescent="0.25">
      <c r="A789">
        <v>14922480</v>
      </c>
      <c r="B789" t="str">
        <f>VLOOKUP(A789,Planilha2!B:C,2,0)</f>
        <v>INVERSOR CFW500F88P0T4DB20H00</v>
      </c>
      <c r="C789" t="s">
        <v>1</v>
      </c>
      <c r="D789" t="str">
        <f>VLOOKUP(A789,Planilha2!B:H,7,0)</f>
        <v>OBSOLETOS DRIVES</v>
      </c>
      <c r="E789" s="5">
        <v>24500</v>
      </c>
      <c r="F789" t="str">
        <f>IFERROR(
IF(ISNUMBER(FIND("CFW110",B789)),
VALUE(MID(B789,FIND("CFW110",B789)+6,FIND("T",B789,FIND("CFW110",B789))-(FIND("CFW110",B789)+6))),
IF(ISNUMBER(FIND("D",B789)),
VALUE(SUBSTITUTE(MID(B789,FIND("D",B789)+1,FIND("T",B789,FIND("D",B789))-(FIND("D",B789)+1)),"P",",")),
IF(ISNUMBER(FIND("CFW5",B789)),
VALUE(MID(B789,
IF(ISNUMBER(FIND("F",B789)),FIND("F",B789)+1,FIND("G",B789)+1),
FIND("T",B789)-(IF(ISNUMBER(FIND("F",B789)),FIND("F",B789)+1,FIND("G",B789)+1))
)),
VALUE(MID(B789,FIND("E0",B789)+2,FIND("T",B789,FIND("E0",B789))-(FIND("E0",B789)+2)))
))),"")</f>
        <v/>
      </c>
      <c r="G789">
        <f>IFERROR(
IF(ISNUMBER(FIND("T2",B789)),220,
IF(ISNUMBER(FIND("T4",B789)),440,
IF(ISNUMBER(FIND("T5",B789)),575,
IF(ISNUMBER(FIND("T6",B789)),690,"")))),
"")</f>
        <v>440</v>
      </c>
    </row>
    <row r="790" spans="1:7" x14ac:dyDescent="0.25">
      <c r="A790">
        <v>14922377</v>
      </c>
      <c r="B790" t="str">
        <f>VLOOKUP(A790,Planilha2!B:C,2,0)</f>
        <v>INVERSOR CFW500F77P0T4DB20C3H00</v>
      </c>
      <c r="C790" t="s">
        <v>1</v>
      </c>
      <c r="D790" t="str">
        <f>VLOOKUP(A790,Planilha2!B:H,7,0)</f>
        <v>OBSOLETOS DRIVES</v>
      </c>
      <c r="E790" s="5">
        <v>26000</v>
      </c>
      <c r="F790" t="str">
        <f>IFERROR(
IF(ISNUMBER(FIND("CFW110",B790)),
VALUE(MID(B790,FIND("CFW110",B790)+6,FIND("T",B790,FIND("CFW110",B790))-(FIND("CFW110",B790)+6))),
IF(ISNUMBER(FIND("D",B790)),
VALUE(SUBSTITUTE(MID(B790,FIND("D",B790)+1,FIND("T",B790,FIND("D",B790))-(FIND("D",B790)+1)),"P",",")),
IF(ISNUMBER(FIND("CFW5",B790)),
VALUE(MID(B790,
IF(ISNUMBER(FIND("F",B790)),FIND("F",B790)+1,FIND("G",B790)+1),
FIND("T",B790)-(IF(ISNUMBER(FIND("F",B790)),FIND("F",B790)+1,FIND("G",B790)+1))
)),
VALUE(MID(B790,FIND("E0",B790)+2,FIND("T",B790,FIND("E0",B790))-(FIND("E0",B790)+2)))
))),"")</f>
        <v/>
      </c>
      <c r="G790">
        <f>IFERROR(
IF(ISNUMBER(FIND("T2",B790)),220,
IF(ISNUMBER(FIND("T4",B790)),440,
IF(ISNUMBER(FIND("T5",B790)),575,
IF(ISNUMBER(FIND("T6",B790)),690,"")))),
"")</f>
        <v>440</v>
      </c>
    </row>
    <row r="791" spans="1:7" x14ac:dyDescent="0.25">
      <c r="A791">
        <v>14922376</v>
      </c>
      <c r="B791" t="str">
        <f>VLOOKUP(A791,Planilha2!B:C,2,0)</f>
        <v>INVERSOR CFW500F77P0T4DB20H00</v>
      </c>
      <c r="C791" t="s">
        <v>1</v>
      </c>
      <c r="D791" t="str">
        <f>VLOOKUP(A791,Planilha2!B:H,7,0)</f>
        <v>OBSOLETOS DRIVES</v>
      </c>
      <c r="E791" s="5">
        <v>24500</v>
      </c>
      <c r="F791" t="str">
        <f>IFERROR(
IF(ISNUMBER(FIND("CFW110",B791)),
VALUE(MID(B791,FIND("CFW110",B791)+6,FIND("T",B791,FIND("CFW110",B791))-(FIND("CFW110",B791)+6))),
IF(ISNUMBER(FIND("D",B791)),
VALUE(SUBSTITUTE(MID(B791,FIND("D",B791)+1,FIND("T",B791,FIND("D",B791))-(FIND("D",B791)+1)),"P",",")),
IF(ISNUMBER(FIND("CFW5",B791)),
VALUE(MID(B791,
IF(ISNUMBER(FIND("F",B791)),FIND("F",B791)+1,FIND("G",B791)+1),
FIND("T",B791)-(IF(ISNUMBER(FIND("F",B791)),FIND("F",B791)+1,FIND("G",B791)+1))
)),
VALUE(MID(B791,FIND("E0",B791)+2,FIND("T",B791,FIND("E0",B791))-(FIND("E0",B791)+2)))
))),"")</f>
        <v/>
      </c>
      <c r="G791">
        <f>IFERROR(
IF(ISNUMBER(FIND("T2",B791)),220,
IF(ISNUMBER(FIND("T4",B791)),440,
IF(ISNUMBER(FIND("T5",B791)),575,
IF(ISNUMBER(FIND("T6",B791)),690,"")))),
"")</f>
        <v>440</v>
      </c>
    </row>
    <row r="792" spans="1:7" x14ac:dyDescent="0.25">
      <c r="A792">
        <v>14264798</v>
      </c>
      <c r="B792" t="str">
        <f>VLOOKUP(A792,Planilha2!B:C,2,0)</f>
        <v>INVERSOR EUCFW110017T5OYHXZ</v>
      </c>
      <c r="C792" t="s">
        <v>1</v>
      </c>
      <c r="D792" t="str">
        <f>VLOOKUP(A792,Planilha2!B:H,7,0)</f>
        <v>LINHA P7</v>
      </c>
      <c r="E792" s="5">
        <v>8800</v>
      </c>
      <c r="F792">
        <f>IFERROR(
IF(ISNUMBER(FIND("CFW110",B792)),
VALUE(MID(B792,FIND("CFW110",B792)+6,FIND("T",B792,FIND("CFW110",B792))-(FIND("CFW110",B792)+6))),
IF(ISNUMBER(FIND("D",B792)),
VALUE(SUBSTITUTE(MID(B792,FIND("D",B792)+1,FIND("T",B792,FIND("D",B792))-(FIND("D",B792)+1)),"P",",")),
IF(ISNUMBER(FIND("CFW5",B792)),
VALUE(MID(B792,
IF(ISNUMBER(FIND("F",B792)),FIND("F",B792)+1,FIND("G",B792)+1),
FIND("T",B792)-(IF(ISNUMBER(FIND("F",B792)),FIND("F",B792)+1,FIND("G",B792)+1))
)),
VALUE(MID(B792,FIND("E0",B792)+2,FIND("T",B792,FIND("E0",B792))-(FIND("E0",B792)+2)))
))),"")</f>
        <v>17</v>
      </c>
      <c r="G792">
        <f>IFERROR(
IF(ISNUMBER(FIND("T2",B792)),220,
IF(ISNUMBER(FIND("T4",B792)),440,
IF(ISNUMBER(FIND("T5",B792)),575,
IF(ISNUMBER(FIND("T6",B792)),690,"")))),
"")</f>
        <v>575</v>
      </c>
    </row>
    <row r="793" spans="1:7" x14ac:dyDescent="0.25">
      <c r="A793">
        <v>11571505</v>
      </c>
      <c r="B793" t="str">
        <f>VLOOKUP(A793,Planilha2!B:C,2,0)</f>
        <v>INVERSOR BCCFW110045T4OHESEZ</v>
      </c>
      <c r="C793" t="s">
        <v>1</v>
      </c>
      <c r="D793" t="str">
        <f>VLOOKUP(A793,Planilha2!B:H,7,0)</f>
        <v>LINHA M1</v>
      </c>
      <c r="E793" s="5">
        <v>16000</v>
      </c>
      <c r="F793">
        <f>IFERROR(
IF(ISNUMBER(FIND("CFW110",B793)),
VALUE(MID(B793,FIND("CFW110",B793)+6,FIND("T",B793,FIND("CFW110",B793))-(FIND("CFW110",B793)+6))),
IF(ISNUMBER(FIND("D",B793)),
VALUE(SUBSTITUTE(MID(B793,FIND("D",B793)+1,FIND("T",B793,FIND("D",B793))-(FIND("D",B793)+1)),"P",",")),
IF(ISNUMBER(FIND("CFW5",B793)),
VALUE(MID(B793,
IF(ISNUMBER(FIND("F",B793)),FIND("F",B793)+1,FIND("G",B793)+1),
FIND("T",B793)-(IF(ISNUMBER(FIND("F",B793)),FIND("F",B793)+1,FIND("G",B793)+1))
)),
VALUE(MID(B793,FIND("E0",B793)+2,FIND("T",B793,FIND("E0",B793))-(FIND("E0",B793)+2)))
))),"")</f>
        <v>45</v>
      </c>
      <c r="G793">
        <f>IFERROR(
IF(ISNUMBER(FIND("T2",B793)),220,
IF(ISNUMBER(FIND("T4",B793)),440,
IF(ISNUMBER(FIND("T5",B793)),575,
IF(ISNUMBER(FIND("T6",B793)),690,"")))),
"")</f>
        <v>440</v>
      </c>
    </row>
    <row r="794" spans="1:7" x14ac:dyDescent="0.25">
      <c r="A794">
        <v>11571506</v>
      </c>
      <c r="B794" t="str">
        <f>VLOOKUP(A794,Planilha2!B:C,2,0)</f>
        <v>INVERSOR BCCFW110058T4OHESEZ</v>
      </c>
      <c r="C794" t="s">
        <v>1</v>
      </c>
      <c r="D794" t="str">
        <f>VLOOKUP(A794,Planilha2!B:H,7,0)</f>
        <v>LINHA M1</v>
      </c>
      <c r="E794" s="5">
        <v>16000</v>
      </c>
      <c r="F794">
        <f>IFERROR(
IF(ISNUMBER(FIND("CFW110",B794)),
VALUE(MID(B794,FIND("CFW110",B794)+6,FIND("T",B794,FIND("CFW110",B794))-(FIND("CFW110",B794)+6))),
IF(ISNUMBER(FIND("D",B794)),
VALUE(SUBSTITUTE(MID(B794,FIND("D",B794)+1,FIND("T",B794,FIND("D",B794))-(FIND("D",B794)+1)),"P",",")),
IF(ISNUMBER(FIND("CFW5",B794)),
VALUE(MID(B794,
IF(ISNUMBER(FIND("F",B794)),FIND("F",B794)+1,FIND("G",B794)+1),
FIND("T",B794)-(IF(ISNUMBER(FIND("F",B794)),FIND("F",B794)+1,FIND("G",B794)+1))
)),
VALUE(MID(B794,FIND("E0",B794)+2,FIND("T",B794,FIND("E0",B794))-(FIND("E0",B794)+2)))
))),"")</f>
        <v>58</v>
      </c>
      <c r="G794">
        <f>IFERROR(
IF(ISNUMBER(FIND("T2",B794)),220,
IF(ISNUMBER(FIND("T4",B794)),440,
IF(ISNUMBER(FIND("T5",B794)),575,
IF(ISNUMBER(FIND("T6",B794)),690,"")))),
"")</f>
        <v>440</v>
      </c>
    </row>
    <row r="795" spans="1:7" x14ac:dyDescent="0.25">
      <c r="A795">
        <v>11571558</v>
      </c>
      <c r="B795" t="str">
        <f>VLOOKUP(A795,Planilha2!B:C,2,0)</f>
        <v>INVERSOR BCCFW110070T4OHESEZ</v>
      </c>
      <c r="C795" t="s">
        <v>1</v>
      </c>
      <c r="D795" t="str">
        <f>VLOOKUP(A795,Planilha2!B:H,7,0)</f>
        <v>LINHA M3</v>
      </c>
      <c r="E795" s="5">
        <v>31100</v>
      </c>
      <c r="F795">
        <f>IFERROR(
IF(ISNUMBER(FIND("CFW110",B795)),
VALUE(MID(B795,FIND("CFW110",B795)+6,FIND("T",B795,FIND("CFW110",B795))-(FIND("CFW110",B795)+6))),
IF(ISNUMBER(FIND("D",B795)),
VALUE(SUBSTITUTE(MID(B795,FIND("D",B795)+1,FIND("T",B795,FIND("D",B795))-(FIND("D",B795)+1)),"P",",")),
IF(ISNUMBER(FIND("CFW5",B795)),
VALUE(MID(B795,
IF(ISNUMBER(FIND("F",B795)),FIND("F",B795)+1,FIND("G",B795)+1),
FIND("T",B795)-(IF(ISNUMBER(FIND("F",B795)),FIND("F",B795)+1,FIND("G",B795)+1))
)),
VALUE(MID(B795,FIND("E0",B795)+2,FIND("T",B795,FIND("E0",B795))-(FIND("E0",B795)+2)))
))),"")</f>
        <v>70</v>
      </c>
      <c r="G795">
        <f>IFERROR(
IF(ISNUMBER(FIND("T2",B795)),220,
IF(ISNUMBER(FIND("T4",B795)),440,
IF(ISNUMBER(FIND("T5",B795)),575,
IF(ISNUMBER(FIND("T6",B795)),690,"")))),
"")</f>
        <v>440</v>
      </c>
    </row>
    <row r="796" spans="1:7" x14ac:dyDescent="0.25">
      <c r="A796">
        <v>11571562</v>
      </c>
      <c r="B796" t="str">
        <f>VLOOKUP(A796,Planilha2!B:C,2,0)</f>
        <v>INVERSOR BCCFW110088T4OHESEZ</v>
      </c>
      <c r="C796" t="s">
        <v>1</v>
      </c>
      <c r="D796" t="str">
        <f>VLOOKUP(A796,Planilha2!B:H,7,0)</f>
        <v>LINHA M3</v>
      </c>
      <c r="E796" s="5">
        <v>31100</v>
      </c>
      <c r="F796">
        <f>IFERROR(
IF(ISNUMBER(FIND("CFW110",B796)),
VALUE(MID(B796,FIND("CFW110",B796)+6,FIND("T",B796,FIND("CFW110",B796))-(FIND("CFW110",B796)+6))),
IF(ISNUMBER(FIND("D",B796)),
VALUE(SUBSTITUTE(MID(B796,FIND("D",B796)+1,FIND("T",B796,FIND("D",B796))-(FIND("D",B796)+1)),"P",",")),
IF(ISNUMBER(FIND("CFW5",B796)),
VALUE(MID(B796,
IF(ISNUMBER(FIND("F",B796)),FIND("F",B796)+1,FIND("G",B796)+1),
FIND("T",B796)-(IF(ISNUMBER(FIND("F",B796)),FIND("F",B796)+1,FIND("G",B796)+1))
)),
VALUE(MID(B796,FIND("E0",B796)+2,FIND("T",B796,FIND("E0",B796))-(FIND("E0",B796)+2)))
))),"")</f>
        <v>88</v>
      </c>
      <c r="G796">
        <f>IFERROR(
IF(ISNUMBER(FIND("T2",B796)),220,
IF(ISNUMBER(FIND("T4",B796)),440,
IF(ISNUMBER(FIND("T5",B796)),575,
IF(ISNUMBER(FIND("T6",B796)),690,"")))),
"")</f>
        <v>440</v>
      </c>
    </row>
    <row r="797" spans="1:7" x14ac:dyDescent="0.25">
      <c r="A797">
        <v>10867322</v>
      </c>
      <c r="B797" t="str">
        <f>VLOOKUP(A797,Planilha2!B:C,2,0)</f>
        <v>INVERSOR BRCFW110058T4OWZ</v>
      </c>
      <c r="C797" t="s">
        <v>1</v>
      </c>
      <c r="D797" t="str">
        <f>VLOOKUP(A797,Planilha2!B:H,7,0)</f>
        <v>LINHA M1</v>
      </c>
      <c r="E797" s="5">
        <v>20870</v>
      </c>
      <c r="F797">
        <f>IFERROR(
IF(ISNUMBER(FIND("CFW110",B797)),
VALUE(MID(B797,FIND("CFW110",B797)+6,FIND("T",B797,FIND("CFW110",B797))-(FIND("CFW110",B797)+6))),
IF(ISNUMBER(FIND("D",B797)),
VALUE(SUBSTITUTE(MID(B797,FIND("D",B797)+1,FIND("T",B797,FIND("D",B797))-(FIND("D",B797)+1)),"P",",")),
IF(ISNUMBER(FIND("CFW5",B797)),
VALUE(MID(B797,
IF(ISNUMBER(FIND("F",B797)),FIND("F",B797)+1,FIND("G",B797)+1),
FIND("T",B797)-(IF(ISNUMBER(FIND("F",B797)),FIND("F",B797)+1,FIND("G",B797)+1))
)),
VALUE(MID(B797,FIND("E0",B797)+2,FIND("T",B797,FIND("E0",B797))-(FIND("E0",B797)+2)))
))),"")</f>
        <v>58</v>
      </c>
      <c r="G797">
        <f>IFERROR(
IF(ISNUMBER(FIND("T2",B797)),220,
IF(ISNUMBER(FIND("T4",B797)),440,
IF(ISNUMBER(FIND("T5",B797)),575,
IF(ISNUMBER(FIND("T6",B797)),690,"")))),
"")</f>
        <v>440</v>
      </c>
    </row>
    <row r="798" spans="1:7" x14ac:dyDescent="0.25">
      <c r="A798">
        <v>11612894</v>
      </c>
      <c r="B798" t="str">
        <f>VLOOKUP(A798,Planilha2!B:C,2,0)</f>
        <v>INVERSOR BRCFW110058T4OFAYWZ</v>
      </c>
      <c r="C798" t="s">
        <v>1</v>
      </c>
      <c r="D798" t="str">
        <f>VLOOKUP(A798,Planilha2!B:H,7,0)</f>
        <v>LINHA M1</v>
      </c>
      <c r="E798" s="5">
        <v>21201</v>
      </c>
      <c r="F798">
        <f>IFERROR(
IF(ISNUMBER(FIND("CFW110",B798)),
VALUE(MID(B798,FIND("CFW110",B798)+6,FIND("T",B798,FIND("CFW110",B798))-(FIND("CFW110",B798)+6))),
IF(ISNUMBER(FIND("D",B798)),
VALUE(SUBSTITUTE(MID(B798,FIND("D",B798)+1,FIND("T",B798,FIND("D",B798))-(FIND("D",B798)+1)),"P",",")),
IF(ISNUMBER(FIND("CFW5",B798)),
VALUE(MID(B798,
IF(ISNUMBER(FIND("F",B798)),FIND("F",B798)+1,FIND("G",B798)+1),
FIND("T",B798)-(IF(ISNUMBER(FIND("F",B798)),FIND("F",B798)+1,FIND("G",B798)+1))
)),
VALUE(MID(B798,FIND("E0",B798)+2,FIND("T",B798,FIND("E0",B798))-(FIND("E0",B798)+2)))
))),"")</f>
        <v>58</v>
      </c>
      <c r="G798">
        <f>IFERROR(
IF(ISNUMBER(FIND("T2",B798)),220,
IF(ISNUMBER(FIND("T4",B798)),440,
IF(ISNUMBER(FIND("T5",B798)),575,
IF(ISNUMBER(FIND("T6",B798)),690,"")))),
"")</f>
        <v>440</v>
      </c>
    </row>
    <row r="799" spans="1:7" x14ac:dyDescent="0.25">
      <c r="A799">
        <v>11597545</v>
      </c>
      <c r="B799" t="str">
        <f>VLOOKUP(A799,Planilha2!B:C,2,0)</f>
        <v>INVERSOR BCCFW110038T4OHESEZ</v>
      </c>
      <c r="C799" t="s">
        <v>1</v>
      </c>
      <c r="D799" t="str">
        <f>VLOOKUP(A799,Planilha2!B:H,7,0)</f>
        <v>LINHA M1</v>
      </c>
      <c r="E799" s="5">
        <v>16000</v>
      </c>
      <c r="F799">
        <f>IFERROR(
IF(ISNUMBER(FIND("CFW110",B799)),
VALUE(MID(B799,FIND("CFW110",B799)+6,FIND("T",B799,FIND("CFW110",B799))-(FIND("CFW110",B799)+6))),
IF(ISNUMBER(FIND("D",B799)),
VALUE(SUBSTITUTE(MID(B799,FIND("D",B799)+1,FIND("T",B799,FIND("D",B799))-(FIND("D",B799)+1)),"P",",")),
IF(ISNUMBER(FIND("CFW5",B799)),
VALUE(MID(B799,
IF(ISNUMBER(FIND("F",B799)),FIND("F",B799)+1,FIND("G",B799)+1),
FIND("T",B799)-(IF(ISNUMBER(FIND("F",B799)),FIND("F",B799)+1,FIND("G",B799)+1))
)),
VALUE(MID(B799,FIND("E0",B799)+2,FIND("T",B799,FIND("E0",B799))-(FIND("E0",B799)+2)))
))),"")</f>
        <v>38</v>
      </c>
      <c r="G799">
        <f>IFERROR(
IF(ISNUMBER(FIND("T2",B799)),220,
IF(ISNUMBER(FIND("T4",B799)),440,
IF(ISNUMBER(FIND("T5",B799)),575,
IF(ISNUMBER(FIND("T6",B799)),690,"")))),
"")</f>
        <v>440</v>
      </c>
    </row>
    <row r="800" spans="1:7" x14ac:dyDescent="0.25">
      <c r="A800">
        <v>11624879</v>
      </c>
      <c r="B800" t="str">
        <f>VLOOKUP(A800,Planilha2!B:C,2,0)</f>
        <v>INVERSOR BRCFW110045T2OYZ</v>
      </c>
      <c r="C800" t="s">
        <v>1</v>
      </c>
      <c r="D800" t="str">
        <f>VLOOKUP(A800,Planilha2!B:H,7,0)</f>
        <v>LINHA M1</v>
      </c>
      <c r="E800" s="5">
        <v>16300</v>
      </c>
      <c r="F800">
        <f>IFERROR(
IF(ISNUMBER(FIND("CFW110",B800)),
VALUE(MID(B800,FIND("CFW110",B800)+6,FIND("T",B800,FIND("CFW110",B800))-(FIND("CFW110",B800)+6))),
IF(ISNUMBER(FIND("D",B800)),
VALUE(SUBSTITUTE(MID(B800,FIND("D",B800)+1,FIND("T",B800,FIND("D",B800))-(FIND("D",B800)+1)),"P",",")),
IF(ISNUMBER(FIND("CFW5",B800)),
VALUE(MID(B800,
IF(ISNUMBER(FIND("F",B800)),FIND("F",B800)+1,FIND("G",B800)+1),
FIND("T",B800)-(IF(ISNUMBER(FIND("F",B800)),FIND("F",B800)+1,FIND("G",B800)+1))
)),
VALUE(MID(B800,FIND("E0",B800)+2,FIND("T",B800,FIND("E0",B800))-(FIND("E0",B800)+2)))
))),"")</f>
        <v>45</v>
      </c>
      <c r="G800">
        <f>IFERROR(
IF(ISNUMBER(FIND("T2",B800)),220,
IF(ISNUMBER(FIND("T4",B800)),440,
IF(ISNUMBER(FIND("T5",B800)),575,
IF(ISNUMBER(FIND("T6",B800)),690,"")))),
"")</f>
        <v>220</v>
      </c>
    </row>
    <row r="801" spans="1:7" x14ac:dyDescent="0.25">
      <c r="A801">
        <v>11624923</v>
      </c>
      <c r="B801" t="str">
        <f>VLOOKUP(A801,Planilha2!B:C,2,0)</f>
        <v>INVERSOR BRCFW110054T2OYZ</v>
      </c>
      <c r="C801" t="s">
        <v>1</v>
      </c>
      <c r="D801" t="str">
        <f>VLOOKUP(A801,Planilha2!B:H,7,0)</f>
        <v>LINHA M1</v>
      </c>
      <c r="E801" s="5">
        <v>16700</v>
      </c>
      <c r="F801">
        <f>IFERROR(
IF(ISNUMBER(FIND("CFW110",B801)),
VALUE(MID(B801,FIND("CFW110",B801)+6,FIND("T",B801,FIND("CFW110",B801))-(FIND("CFW110",B801)+6))),
IF(ISNUMBER(FIND("D",B801)),
VALUE(SUBSTITUTE(MID(B801,FIND("D",B801)+1,FIND("T",B801,FIND("D",B801))-(FIND("D",B801)+1)),"P",",")),
IF(ISNUMBER(FIND("CFW5",B801)),
VALUE(MID(B801,
IF(ISNUMBER(FIND("F",B801)),FIND("F",B801)+1,FIND("G",B801)+1),
FIND("T",B801)-(IF(ISNUMBER(FIND("F",B801)),FIND("F",B801)+1,FIND("G",B801)+1))
)),
VALUE(MID(B801,FIND("E0",B801)+2,FIND("T",B801,FIND("E0",B801))-(FIND("E0",B801)+2)))
))),"")</f>
        <v>54</v>
      </c>
      <c r="G801">
        <f>IFERROR(
IF(ISNUMBER(FIND("T2",B801)),220,
IF(ISNUMBER(FIND("T4",B801)),440,
IF(ISNUMBER(FIND("T5",B801)),575,
IF(ISNUMBER(FIND("T6",B801)),690,"")))),
"")</f>
        <v>220</v>
      </c>
    </row>
    <row r="802" spans="1:7" x14ac:dyDescent="0.25">
      <c r="A802">
        <v>11624949</v>
      </c>
      <c r="B802" t="str">
        <f>VLOOKUP(A802,Planilha2!B:C,2,0)</f>
        <v>INVERSOR BRCFW110086T2OYZ</v>
      </c>
      <c r="C802" t="s">
        <v>1</v>
      </c>
      <c r="D802" t="str">
        <f>VLOOKUP(A802,Planilha2!B:H,7,0)</f>
        <v>LINHA M3</v>
      </c>
      <c r="E802" s="5">
        <v>30200</v>
      </c>
      <c r="F802">
        <f>IFERROR(
IF(ISNUMBER(FIND("CFW110",B802)),
VALUE(MID(B802,FIND("CFW110",B802)+6,FIND("T",B802,FIND("CFW110",B802))-(FIND("CFW110",B802)+6))),
IF(ISNUMBER(FIND("D",B802)),
VALUE(SUBSTITUTE(MID(B802,FIND("D",B802)+1,FIND("T",B802,FIND("D",B802))-(FIND("D",B802)+1)),"P",",")),
IF(ISNUMBER(FIND("CFW5",B802)),
VALUE(MID(B802,
IF(ISNUMBER(FIND("F",B802)),FIND("F",B802)+1,FIND("G",B802)+1),
FIND("T",B802)-(IF(ISNUMBER(FIND("F",B802)),FIND("F",B802)+1,FIND("G",B802)+1))
)),
VALUE(MID(B802,FIND("E0",B802)+2,FIND("T",B802,FIND("E0",B802))-(FIND("E0",B802)+2)))
))),"")</f>
        <v>86</v>
      </c>
      <c r="G802">
        <f>IFERROR(
IF(ISNUMBER(FIND("T2",B802)),220,
IF(ISNUMBER(FIND("T4",B802)),440,
IF(ISNUMBER(FIND("T5",B802)),575,
IF(ISNUMBER(FIND("T6",B802)),690,"")))),
"")</f>
        <v>220</v>
      </c>
    </row>
    <row r="803" spans="1:7" x14ac:dyDescent="0.25">
      <c r="A803">
        <v>11624969</v>
      </c>
      <c r="B803" t="str">
        <f>VLOOKUP(A803,Planilha2!B:C,2,0)</f>
        <v>INVERSOR BRCFW110142T2OYZ</v>
      </c>
      <c r="C803" t="s">
        <v>1</v>
      </c>
      <c r="D803" t="str">
        <f>VLOOKUP(A803,Planilha2!B:H,7,0)</f>
        <v>LINHA G1</v>
      </c>
      <c r="E803" s="5">
        <v>139608</v>
      </c>
      <c r="F803">
        <f>IFERROR(
IF(ISNUMBER(FIND("CFW110",B803)),
VALUE(MID(B803,FIND("CFW110",B803)+6,FIND("T",B803,FIND("CFW110",B803))-(FIND("CFW110",B803)+6))),
IF(ISNUMBER(FIND("D",B803)),
VALUE(SUBSTITUTE(MID(B803,FIND("D",B803)+1,FIND("T",B803,FIND("D",B803))-(FIND("D",B803)+1)),"P",",")),
IF(ISNUMBER(FIND("CFW5",B803)),
VALUE(MID(B803,
IF(ISNUMBER(FIND("F",B803)),FIND("F",B803)+1,FIND("G",B803)+1),
FIND("T",B803)-(IF(ISNUMBER(FIND("F",B803)),FIND("F",B803)+1,FIND("G",B803)+1))
)),
VALUE(MID(B803,FIND("E0",B803)+2,FIND("T",B803,FIND("E0",B803))-(FIND("E0",B803)+2)))
))),"")</f>
        <v>142</v>
      </c>
      <c r="G803">
        <f>IFERROR(
IF(ISNUMBER(FIND("T2",B803)),220,
IF(ISNUMBER(FIND("T4",B803)),440,
IF(ISNUMBER(FIND("T5",B803)),575,
IF(ISNUMBER(FIND("T6",B803)),690,"")))),
"")</f>
        <v>220</v>
      </c>
    </row>
    <row r="804" spans="1:7" x14ac:dyDescent="0.25">
      <c r="A804">
        <v>11624973</v>
      </c>
      <c r="B804" t="str">
        <f>VLOOKUP(A804,Planilha2!B:C,2,0)</f>
        <v>INVERSOR BRCFW110088T4OYZ</v>
      </c>
      <c r="C804" t="s">
        <v>1</v>
      </c>
      <c r="D804" t="str">
        <f>VLOOKUP(A804,Planilha2!B:H,7,0)</f>
        <v>LINHA M3</v>
      </c>
      <c r="E804" s="5">
        <v>33300</v>
      </c>
      <c r="F804">
        <f>IFERROR(
IF(ISNUMBER(FIND("CFW110",B804)),
VALUE(MID(B804,FIND("CFW110",B804)+6,FIND("T",B804,FIND("CFW110",B804))-(FIND("CFW110",B804)+6))),
IF(ISNUMBER(FIND("D",B804)),
VALUE(SUBSTITUTE(MID(B804,FIND("D",B804)+1,FIND("T",B804,FIND("D",B804))-(FIND("D",B804)+1)),"P",",")),
IF(ISNUMBER(FIND("CFW5",B804)),
VALUE(MID(B804,
IF(ISNUMBER(FIND("F",B804)),FIND("F",B804)+1,FIND("G",B804)+1),
FIND("T",B804)-(IF(ISNUMBER(FIND("F",B804)),FIND("F",B804)+1,FIND("G",B804)+1))
)),
VALUE(MID(B804,FIND("E0",B804)+2,FIND("T",B804,FIND("E0",B804))-(FIND("E0",B804)+2)))
))),"")</f>
        <v>88</v>
      </c>
      <c r="G804">
        <f>IFERROR(
IF(ISNUMBER(FIND("T2",B804)),220,
IF(ISNUMBER(FIND("T4",B804)),440,
IF(ISNUMBER(FIND("T5",B804)),575,
IF(ISNUMBER(FIND("T6",B804)),690,"")))),
"")</f>
        <v>440</v>
      </c>
    </row>
    <row r="805" spans="1:7" x14ac:dyDescent="0.25">
      <c r="A805">
        <v>11667421</v>
      </c>
      <c r="B805" t="str">
        <f>VLOOKUP(A805,Planilha2!B:C,2,0)</f>
        <v>INVERSOR BRCFW110088T4OFAWZ</v>
      </c>
      <c r="C805" t="s">
        <v>1</v>
      </c>
      <c r="D805" t="str">
        <f>VLOOKUP(A805,Planilha2!B:H,7,0)</f>
        <v>LINHA M3</v>
      </c>
      <c r="E805" s="5">
        <v>33301</v>
      </c>
      <c r="F805">
        <f>IFERROR(
IF(ISNUMBER(FIND("CFW110",B805)),
VALUE(MID(B805,FIND("CFW110",B805)+6,FIND("T",B805,FIND("CFW110",B805))-(FIND("CFW110",B805)+6))),
IF(ISNUMBER(FIND("D",B805)),
VALUE(SUBSTITUTE(MID(B805,FIND("D",B805)+1,FIND("T",B805,FIND("D",B805))-(FIND("D",B805)+1)),"P",",")),
IF(ISNUMBER(FIND("CFW5",B805)),
VALUE(MID(B805,
IF(ISNUMBER(FIND("F",B805)),FIND("F",B805)+1,FIND("G",B805)+1),
FIND("T",B805)-(IF(ISNUMBER(FIND("F",B805)),FIND("F",B805)+1,FIND("G",B805)+1))
)),
VALUE(MID(B805,FIND("E0",B805)+2,FIND("T",B805,FIND("E0",B805))-(FIND("E0",B805)+2)))
))),"")</f>
        <v>88</v>
      </c>
      <c r="G805">
        <f>IFERROR(
IF(ISNUMBER(FIND("T2",B805)),220,
IF(ISNUMBER(FIND("T4",B805)),440,
IF(ISNUMBER(FIND("T5",B805)),575,
IF(ISNUMBER(FIND("T6",B805)),690,"")))),
"")</f>
        <v>440</v>
      </c>
    </row>
    <row r="806" spans="1:7" x14ac:dyDescent="0.25">
      <c r="A806">
        <v>11679534</v>
      </c>
      <c r="B806" t="str">
        <f>VLOOKUP(A806,Planilha2!B:C,2,0)</f>
        <v>INVERSOR BRCFW110105T2OYZ</v>
      </c>
      <c r="C806" t="s">
        <v>1</v>
      </c>
      <c r="D806" t="str">
        <f>VLOOKUP(A806,Planilha2!B:H,7,0)</f>
        <v>LINHA M3</v>
      </c>
      <c r="E806" s="5">
        <v>32100</v>
      </c>
      <c r="F806">
        <f>IFERROR(
IF(ISNUMBER(FIND("CFW110",B806)),
VALUE(MID(B806,FIND("CFW110",B806)+6,FIND("T",B806,FIND("CFW110",B806))-(FIND("CFW110",B806)+6))),
IF(ISNUMBER(FIND("D",B806)),
VALUE(SUBSTITUTE(MID(B806,FIND("D",B806)+1,FIND("T",B806,FIND("D",B806))-(FIND("D",B806)+1)),"P",",")),
IF(ISNUMBER(FIND("CFW5",B806)),
VALUE(MID(B806,
IF(ISNUMBER(FIND("F",B806)),FIND("F",B806)+1,FIND("G",B806)+1),
FIND("T",B806)-(IF(ISNUMBER(FIND("F",B806)),FIND("F",B806)+1,FIND("G",B806)+1))
)),
VALUE(MID(B806,FIND("E0",B806)+2,FIND("T",B806,FIND("E0",B806))-(FIND("E0",B806)+2)))
))),"")</f>
        <v>105</v>
      </c>
      <c r="G806">
        <f>IFERROR(
IF(ISNUMBER(FIND("T2",B806)),220,
IF(ISNUMBER(FIND("T4",B806)),440,
IF(ISNUMBER(FIND("T5",B806)),575,
IF(ISNUMBER(FIND("T6",B806)),690,"")))),
"")</f>
        <v>220</v>
      </c>
    </row>
    <row r="807" spans="1:7" x14ac:dyDescent="0.25">
      <c r="A807">
        <v>11679536</v>
      </c>
      <c r="B807" t="str">
        <f>VLOOKUP(A807,Planilha2!B:C,2,0)</f>
        <v>INVERSOR BRCFW110058T4OYZ</v>
      </c>
      <c r="C807" t="s">
        <v>1</v>
      </c>
      <c r="D807" t="str">
        <f>VLOOKUP(A807,Planilha2!B:H,7,0)</f>
        <v>LINHA M1</v>
      </c>
      <c r="E807" s="5">
        <v>21200</v>
      </c>
      <c r="F807">
        <f>IFERROR(
IF(ISNUMBER(FIND("CFW110",B807)),
VALUE(MID(B807,FIND("CFW110",B807)+6,FIND("T",B807,FIND("CFW110",B807))-(FIND("CFW110",B807)+6))),
IF(ISNUMBER(FIND("D",B807)),
VALUE(SUBSTITUTE(MID(B807,FIND("D",B807)+1,FIND("T",B807,FIND("D",B807))-(FIND("D",B807)+1)),"P",",")),
IF(ISNUMBER(FIND("CFW5",B807)),
VALUE(MID(B807,
IF(ISNUMBER(FIND("F",B807)),FIND("F",B807)+1,FIND("G",B807)+1),
FIND("T",B807)-(IF(ISNUMBER(FIND("F",B807)),FIND("F",B807)+1,FIND("G",B807)+1))
)),
VALUE(MID(B807,FIND("E0",B807)+2,FIND("T",B807,FIND("E0",B807))-(FIND("E0",B807)+2)))
))),"")</f>
        <v>58</v>
      </c>
      <c r="G807">
        <f>IFERROR(
IF(ISNUMBER(FIND("T2",B807)),220,
IF(ISNUMBER(FIND("T4",B807)),440,
IF(ISNUMBER(FIND("T5",B807)),575,
IF(ISNUMBER(FIND("T6",B807)),690,"")))),
"")</f>
        <v>440</v>
      </c>
    </row>
    <row r="808" spans="1:7" x14ac:dyDescent="0.25">
      <c r="A808">
        <v>10234070</v>
      </c>
      <c r="B808" t="str">
        <f>VLOOKUP(A808,Planilha2!B:C,2,0)</f>
        <v>INVERSOR BRCFW110088T4OFAYWZ</v>
      </c>
      <c r="C808" t="s">
        <v>1</v>
      </c>
      <c r="D808" t="str">
        <f>VLOOKUP(A808,Planilha2!B:H,7,0)</f>
        <v>LINHA M3</v>
      </c>
      <c r="E808" s="5">
        <v>32600</v>
      </c>
      <c r="F808">
        <f>IFERROR(
IF(ISNUMBER(FIND("CFW110",B808)),
VALUE(MID(B808,FIND("CFW110",B808)+6,FIND("T",B808,FIND("CFW110",B808))-(FIND("CFW110",B808)+6))),
IF(ISNUMBER(FIND("D",B808)),
VALUE(SUBSTITUTE(MID(B808,FIND("D",B808)+1,FIND("T",B808,FIND("D",B808))-(FIND("D",B808)+1)),"P",",")),
IF(ISNUMBER(FIND("CFW5",B808)),
VALUE(MID(B808,
IF(ISNUMBER(FIND("F",B808)),FIND("F",B808)+1,FIND("G",B808)+1),
FIND("T",B808)-(IF(ISNUMBER(FIND("F",B808)),FIND("F",B808)+1,FIND("G",B808)+1))
)),
VALUE(MID(B808,FIND("E0",B808)+2,FIND("T",B808,FIND("E0",B808))-(FIND("E0",B808)+2)))
))),"")</f>
        <v>88</v>
      </c>
      <c r="G808">
        <f>IFERROR(
IF(ISNUMBER(FIND("T2",B808)),220,
IF(ISNUMBER(FIND("T4",B808)),440,
IF(ISNUMBER(FIND("T5",B808)),575,
IF(ISNUMBER(FIND("T6",B808)),690,"")))),
"")</f>
        <v>440</v>
      </c>
    </row>
    <row r="809" spans="1:7" x14ac:dyDescent="0.25">
      <c r="A809">
        <v>11117041</v>
      </c>
      <c r="B809" t="str">
        <f>VLOOKUP(A809,Planilha2!B:C,2,0)</f>
        <v>INVERSOR EUCFW110088T4OFAYWZ</v>
      </c>
      <c r="C809" t="s">
        <v>1</v>
      </c>
      <c r="D809" t="str">
        <f>VLOOKUP(A809,Planilha2!B:H,7,0)</f>
        <v>LINHA M3</v>
      </c>
      <c r="E809" s="5">
        <v>29500</v>
      </c>
      <c r="F809">
        <f>IFERROR(
IF(ISNUMBER(FIND("CFW110",B809)),
VALUE(MID(B809,FIND("CFW110",B809)+6,FIND("T",B809,FIND("CFW110",B809))-(FIND("CFW110",B809)+6))),
IF(ISNUMBER(FIND("D",B809)),
VALUE(SUBSTITUTE(MID(B809,FIND("D",B809)+1,FIND("T",B809,FIND("D",B809))-(FIND("D",B809)+1)),"P",",")),
IF(ISNUMBER(FIND("CFW5",B809)),
VALUE(MID(B809,
IF(ISNUMBER(FIND("F",B809)),FIND("F",B809)+1,FIND("G",B809)+1),
FIND("T",B809)-(IF(ISNUMBER(FIND("F",B809)),FIND("F",B809)+1,FIND("G",B809)+1))
)),
VALUE(MID(B809,FIND("E0",B809)+2,FIND("T",B809,FIND("E0",B809))-(FIND("E0",B809)+2)))
))),"")</f>
        <v>88</v>
      </c>
      <c r="G809">
        <f>IFERROR(
IF(ISNUMBER(FIND("T2",B809)),220,
IF(ISNUMBER(FIND("T4",B809)),440,
IF(ISNUMBER(FIND("T5",B809)),575,
IF(ISNUMBER(FIND("T6",B809)),690,"")))),
"")</f>
        <v>440</v>
      </c>
    </row>
    <row r="810" spans="1:7" x14ac:dyDescent="0.25">
      <c r="A810">
        <v>11120850</v>
      </c>
      <c r="B810" t="str">
        <f>VLOOKUP(A810,Planilha2!B:C,2,0)</f>
        <v>INVERSOR EUCFW110088T4OFAYZ</v>
      </c>
      <c r="C810" t="s">
        <v>1</v>
      </c>
      <c r="D810" t="str">
        <f>VLOOKUP(A810,Planilha2!B:H,7,0)</f>
        <v>LINHA M3</v>
      </c>
      <c r="E810" s="5">
        <v>31100</v>
      </c>
      <c r="F810">
        <f>IFERROR(
IF(ISNUMBER(FIND("CFW110",B810)),
VALUE(MID(B810,FIND("CFW110",B810)+6,FIND("T",B810,FIND("CFW110",B810))-(FIND("CFW110",B810)+6))),
IF(ISNUMBER(FIND("D",B810)),
VALUE(SUBSTITUTE(MID(B810,FIND("D",B810)+1,FIND("T",B810,FIND("D",B810))-(FIND("D",B810)+1)),"P",",")),
IF(ISNUMBER(FIND("CFW5",B810)),
VALUE(MID(B810,
IF(ISNUMBER(FIND("F",B810)),FIND("F",B810)+1,FIND("G",B810)+1),
FIND("T",B810)-(IF(ISNUMBER(FIND("F",B810)),FIND("F",B810)+1,FIND("G",B810)+1))
)),
VALUE(MID(B810,FIND("E0",B810)+2,FIND("T",B810,FIND("E0",B810))-(FIND("E0",B810)+2)))
))),"")</f>
        <v>88</v>
      </c>
      <c r="G810">
        <f>IFERROR(
IF(ISNUMBER(FIND("T2",B810)),220,
IF(ISNUMBER(FIND("T4",B810)),440,
IF(ISNUMBER(FIND("T5",B810)),575,
IF(ISNUMBER(FIND("T6",B810)),690,"")))),
"")</f>
        <v>440</v>
      </c>
    </row>
    <row r="811" spans="1:7" x14ac:dyDescent="0.25">
      <c r="A811">
        <v>11130181</v>
      </c>
      <c r="B811" t="str">
        <f>VLOOKUP(A811,Planilha2!B:C,2,0)</f>
        <v>INVERSOR BRCFW110088T4OWZ</v>
      </c>
      <c r="C811" t="s">
        <v>1</v>
      </c>
      <c r="D811" t="str">
        <f>VLOOKUP(A811,Planilha2!B:H,7,0)</f>
        <v>LINHA M3</v>
      </c>
      <c r="E811" s="5">
        <v>33200</v>
      </c>
      <c r="F811">
        <f>IFERROR(
IF(ISNUMBER(FIND("CFW110",B811)),
VALUE(MID(B811,FIND("CFW110",B811)+6,FIND("T",B811,FIND("CFW110",B811))-(FIND("CFW110",B811)+6))),
IF(ISNUMBER(FIND("D",B811)),
VALUE(SUBSTITUTE(MID(B811,FIND("D",B811)+1,FIND("T",B811,FIND("D",B811))-(FIND("D",B811)+1)),"P",",")),
IF(ISNUMBER(FIND("CFW5",B811)),
VALUE(MID(B811,
IF(ISNUMBER(FIND("F",B811)),FIND("F",B811)+1,FIND("G",B811)+1),
FIND("T",B811)-(IF(ISNUMBER(FIND("F",B811)),FIND("F",B811)+1,FIND("G",B811)+1))
)),
VALUE(MID(B811,FIND("E0",B811)+2,FIND("T",B811,FIND("E0",B811))-(FIND("E0",B811)+2)))
))),"")</f>
        <v>88</v>
      </c>
      <c r="G811">
        <f>IFERROR(
IF(ISNUMBER(FIND("T2",B811)),220,
IF(ISNUMBER(FIND("T4",B811)),440,
IF(ISNUMBER(FIND("T5",B811)),575,
IF(ISNUMBER(FIND("T6",B811)),690,"")))),
"")</f>
        <v>440</v>
      </c>
    </row>
    <row r="812" spans="1:7" x14ac:dyDescent="0.25">
      <c r="A812">
        <v>11130184</v>
      </c>
      <c r="B812" t="str">
        <f>VLOOKUP(A812,Planilha2!B:C,2,0)</f>
        <v>INVERSOR BRCFW110038T4OWZ</v>
      </c>
      <c r="C812" t="s">
        <v>1</v>
      </c>
      <c r="D812" t="str">
        <f>VLOOKUP(A812,Planilha2!B:H,7,0)</f>
        <v>LINHA M1</v>
      </c>
      <c r="E812" s="5">
        <v>9100</v>
      </c>
      <c r="F812">
        <f>IFERROR(
IF(ISNUMBER(FIND("CFW110",B812)),
VALUE(MID(B812,FIND("CFW110",B812)+6,FIND("T",B812,FIND("CFW110",B812))-(FIND("CFW110",B812)+6))),
IF(ISNUMBER(FIND("D",B812)),
VALUE(SUBSTITUTE(MID(B812,FIND("D",B812)+1,FIND("T",B812,FIND("D",B812))-(FIND("D",B812)+1)),"P",",")),
IF(ISNUMBER(FIND("CFW5",B812)),
VALUE(MID(B812,
IF(ISNUMBER(FIND("F",B812)),FIND("F",B812)+1,FIND("G",B812)+1),
FIND("T",B812)-(IF(ISNUMBER(FIND("F",B812)),FIND("F",B812)+1,FIND("G",B812)+1))
)),
VALUE(MID(B812,FIND("E0",B812)+2,FIND("T",B812,FIND("E0",B812))-(FIND("E0",B812)+2)))
))),"")</f>
        <v>38</v>
      </c>
      <c r="G812">
        <f>IFERROR(
IF(ISNUMBER(FIND("T2",B812)),220,
IF(ISNUMBER(FIND("T4",B812)),440,
IF(ISNUMBER(FIND("T5",B812)),575,
IF(ISNUMBER(FIND("T6",B812)),690,"")))),
"")</f>
        <v>440</v>
      </c>
    </row>
    <row r="813" spans="1:7" x14ac:dyDescent="0.25">
      <c r="A813">
        <v>11135787</v>
      </c>
      <c r="B813" t="str">
        <f>VLOOKUP(A813,Planilha2!B:C,2,0)</f>
        <v>INVERSOR EUCFW110045T4OFAYZ</v>
      </c>
      <c r="C813" t="s">
        <v>1</v>
      </c>
      <c r="D813" t="str">
        <f>VLOOKUP(A813,Planilha2!B:H,7,0)</f>
        <v>LINHA M1</v>
      </c>
      <c r="E813" s="5">
        <v>16000</v>
      </c>
      <c r="F813">
        <f>IFERROR(
IF(ISNUMBER(FIND("CFW110",B813)),
VALUE(MID(B813,FIND("CFW110",B813)+6,FIND("T",B813,FIND("CFW110",B813))-(FIND("CFW110",B813)+6))),
IF(ISNUMBER(FIND("D",B813)),
VALUE(SUBSTITUTE(MID(B813,FIND("D",B813)+1,FIND("T",B813,FIND("D",B813))-(FIND("D",B813)+1)),"P",",")),
IF(ISNUMBER(FIND("CFW5",B813)),
VALUE(MID(B813,
IF(ISNUMBER(FIND("F",B813)),FIND("F",B813)+1,FIND("G",B813)+1),
FIND("T",B813)-(IF(ISNUMBER(FIND("F",B813)),FIND("F",B813)+1,FIND("G",B813)+1))
)),
VALUE(MID(B813,FIND("E0",B813)+2,FIND("T",B813,FIND("E0",B813))-(FIND("E0",B813)+2)))
))),"")</f>
        <v>45</v>
      </c>
      <c r="G813">
        <f>IFERROR(
IF(ISNUMBER(FIND("T2",B813)),220,
IF(ISNUMBER(FIND("T4",B813)),440,
IF(ISNUMBER(FIND("T5",B813)),575,
IF(ISNUMBER(FIND("T6",B813)),690,"")))),
"")</f>
        <v>440</v>
      </c>
    </row>
    <row r="814" spans="1:7" x14ac:dyDescent="0.25">
      <c r="A814">
        <v>11220382</v>
      </c>
      <c r="B814" t="str">
        <f>VLOOKUP(A814,Planilha2!B:C,2,0)</f>
        <v>INVERSOR BRCFW110070T4OFAYZ</v>
      </c>
      <c r="C814" t="s">
        <v>1</v>
      </c>
      <c r="D814" t="str">
        <f>VLOOKUP(A814,Planilha2!B:H,7,0)</f>
        <v>LINHA M3</v>
      </c>
      <c r="E814" s="5">
        <v>31100</v>
      </c>
      <c r="F814">
        <f>IFERROR(
IF(ISNUMBER(FIND("CFW110",B814)),
VALUE(MID(B814,FIND("CFW110",B814)+6,FIND("T",B814,FIND("CFW110",B814))-(FIND("CFW110",B814)+6))),
IF(ISNUMBER(FIND("D",B814)),
VALUE(SUBSTITUTE(MID(B814,FIND("D",B814)+1,FIND("T",B814,FIND("D",B814))-(FIND("D",B814)+1)),"P",",")),
IF(ISNUMBER(FIND("CFW5",B814)),
VALUE(MID(B814,
IF(ISNUMBER(FIND("F",B814)),FIND("F",B814)+1,FIND("G",B814)+1),
FIND("T",B814)-(IF(ISNUMBER(FIND("F",B814)),FIND("F",B814)+1,FIND("G",B814)+1))
)),
VALUE(MID(B814,FIND("E0",B814)+2,FIND("T",B814,FIND("E0",B814))-(FIND("E0",B814)+2)))
))),"")</f>
        <v>70</v>
      </c>
      <c r="G814">
        <f>IFERROR(
IF(ISNUMBER(FIND("T2",B814)),220,
IF(ISNUMBER(FIND("T4",B814)),440,
IF(ISNUMBER(FIND("T5",B814)),575,
IF(ISNUMBER(FIND("T6",B814)),690,"")))),
"")</f>
        <v>440</v>
      </c>
    </row>
    <row r="815" spans="1:7" x14ac:dyDescent="0.25">
      <c r="A815">
        <v>11220383</v>
      </c>
      <c r="B815" t="str">
        <f>VLOOKUP(A815,Planilha2!B:C,2,0)</f>
        <v>INVERSOR BRCFW110088T4OFAYZ</v>
      </c>
      <c r="C815" t="s">
        <v>1</v>
      </c>
      <c r="D815" t="str">
        <f>VLOOKUP(A815,Planilha2!B:H,7,0)</f>
        <v>LINHA M3</v>
      </c>
      <c r="E815" s="5">
        <v>29500</v>
      </c>
      <c r="F815">
        <f>IFERROR(
IF(ISNUMBER(FIND("CFW110",B815)),
VALUE(MID(B815,FIND("CFW110",B815)+6,FIND("T",B815,FIND("CFW110",B815))-(FIND("CFW110",B815)+6))),
IF(ISNUMBER(FIND("D",B815)),
VALUE(SUBSTITUTE(MID(B815,FIND("D",B815)+1,FIND("T",B815,FIND("D",B815))-(FIND("D",B815)+1)),"P",",")),
IF(ISNUMBER(FIND("CFW5",B815)),
VALUE(MID(B815,
IF(ISNUMBER(FIND("F",B815)),FIND("F",B815)+1,FIND("G",B815)+1),
FIND("T",B815)-(IF(ISNUMBER(FIND("F",B815)),FIND("F",B815)+1,FIND("G",B815)+1))
)),
VALUE(MID(B815,FIND("E0",B815)+2,FIND("T",B815,FIND("E0",B815))-(FIND("E0",B815)+2)))
))),"")</f>
        <v>88</v>
      </c>
      <c r="G815">
        <f>IFERROR(
IF(ISNUMBER(FIND("T2",B815)),220,
IF(ISNUMBER(FIND("T4",B815)),440,
IF(ISNUMBER(FIND("T5",B815)),575,
IF(ISNUMBER(FIND("T6",B815)),690,"")))),
"")</f>
        <v>440</v>
      </c>
    </row>
    <row r="816" spans="1:7" x14ac:dyDescent="0.25">
      <c r="A816">
        <v>11255991</v>
      </c>
      <c r="B816" t="str">
        <f>VLOOKUP(A816,Planilha2!B:C,2,0)</f>
        <v>INVERSOR EUCFW110058T4OFAYZ</v>
      </c>
      <c r="C816" t="s">
        <v>1</v>
      </c>
      <c r="D816" t="str">
        <f>VLOOKUP(A816,Planilha2!B:H,7,0)</f>
        <v>LINHA M1</v>
      </c>
      <c r="E816" s="5">
        <v>20500</v>
      </c>
      <c r="F816">
        <f>IFERROR(
IF(ISNUMBER(FIND("CFW110",B816)),
VALUE(MID(B816,FIND("CFW110",B816)+6,FIND("T",B816,FIND("CFW110",B816))-(FIND("CFW110",B816)+6))),
IF(ISNUMBER(FIND("D",B816)),
VALUE(SUBSTITUTE(MID(B816,FIND("D",B816)+1,FIND("T",B816,FIND("D",B816))-(FIND("D",B816)+1)),"P",",")),
IF(ISNUMBER(FIND("CFW5",B816)),
VALUE(MID(B816,
IF(ISNUMBER(FIND("F",B816)),FIND("F",B816)+1,FIND("G",B816)+1),
FIND("T",B816)-(IF(ISNUMBER(FIND("F",B816)),FIND("F",B816)+1,FIND("G",B816)+1))
)),
VALUE(MID(B816,FIND("E0",B816)+2,FIND("T",B816,FIND("E0",B816))-(FIND("E0",B816)+2)))
))),"")</f>
        <v>58</v>
      </c>
      <c r="G816">
        <f>IFERROR(
IF(ISNUMBER(FIND("T2",B816)),220,
IF(ISNUMBER(FIND("T4",B816)),440,
IF(ISNUMBER(FIND("T5",B816)),575,
IF(ISNUMBER(FIND("T6",B816)),690,"")))),
"")</f>
        <v>440</v>
      </c>
    </row>
    <row r="817" spans="1:7" x14ac:dyDescent="0.25">
      <c r="A817">
        <v>11269537</v>
      </c>
      <c r="B817" t="str">
        <f>VLOOKUP(A817,Planilha2!B:C,2,0)</f>
        <v>INVERSOR BRCFW110070T4OYZ</v>
      </c>
      <c r="C817" t="s">
        <v>1</v>
      </c>
      <c r="D817" t="str">
        <f>VLOOKUP(A817,Planilha2!B:H,7,0)</f>
        <v>LINHA M3</v>
      </c>
      <c r="E817" s="5">
        <v>26000</v>
      </c>
      <c r="F817">
        <f>IFERROR(
IF(ISNUMBER(FIND("CFW110",B817)),
VALUE(MID(B817,FIND("CFW110",B817)+6,FIND("T",B817,FIND("CFW110",B817))-(FIND("CFW110",B817)+6))),
IF(ISNUMBER(FIND("D",B817)),
VALUE(SUBSTITUTE(MID(B817,FIND("D",B817)+1,FIND("T",B817,FIND("D",B817))-(FIND("D",B817)+1)),"P",",")),
IF(ISNUMBER(FIND("CFW5",B817)),
VALUE(MID(B817,
IF(ISNUMBER(FIND("F",B817)),FIND("F",B817)+1,FIND("G",B817)+1),
FIND("T",B817)-(IF(ISNUMBER(FIND("F",B817)),FIND("F",B817)+1,FIND("G",B817)+1))
)),
VALUE(MID(B817,FIND("E0",B817)+2,FIND("T",B817,FIND("E0",B817))-(FIND("E0",B817)+2)))
))),"")</f>
        <v>70</v>
      </c>
      <c r="G817">
        <f>IFERROR(
IF(ISNUMBER(FIND("T2",B817)),220,
IF(ISNUMBER(FIND("T4",B817)),440,
IF(ISNUMBER(FIND("T5",B817)),575,
IF(ISNUMBER(FIND("T6",B817)),690,"")))),
"")</f>
        <v>440</v>
      </c>
    </row>
    <row r="818" spans="1:7" x14ac:dyDescent="0.25">
      <c r="A818">
        <v>11380792</v>
      </c>
      <c r="B818" t="str">
        <f>VLOOKUP(A818,Planilha2!B:C,2,0)</f>
        <v>INVERSOR BRCFW110045T4OYZ</v>
      </c>
      <c r="C818" t="s">
        <v>1</v>
      </c>
      <c r="D818" t="str">
        <f>VLOOKUP(A818,Planilha2!B:H,7,0)</f>
        <v>LINHA M1</v>
      </c>
      <c r="E818" s="5">
        <v>5400</v>
      </c>
      <c r="F818">
        <f>IFERROR(
IF(ISNUMBER(FIND("CFW110",B818)),
VALUE(MID(B818,FIND("CFW110",B818)+6,FIND("T",B818,FIND("CFW110",B818))-(FIND("CFW110",B818)+6))),
IF(ISNUMBER(FIND("D",B818)),
VALUE(SUBSTITUTE(MID(B818,FIND("D",B818)+1,FIND("T",B818,FIND("D",B818))-(FIND("D",B818)+1)),"P",",")),
IF(ISNUMBER(FIND("CFW5",B818)),
VALUE(MID(B818,
IF(ISNUMBER(FIND("F",B818)),FIND("F",B818)+1,FIND("G",B818)+1),
FIND("T",B818)-(IF(ISNUMBER(FIND("F",B818)),FIND("F",B818)+1,FIND("G",B818)+1))
)),
VALUE(MID(B818,FIND("E0",B818)+2,FIND("T",B818,FIND("E0",B818))-(FIND("E0",B818)+2)))
))),"")</f>
        <v>45</v>
      </c>
      <c r="G818">
        <f>IFERROR(
IF(ISNUMBER(FIND("T2",B818)),220,
IF(ISNUMBER(FIND("T4",B818)),440,
IF(ISNUMBER(FIND("T5",B818)),575,
IF(ISNUMBER(FIND("T6",B818)),690,"")))),
"")</f>
        <v>440</v>
      </c>
    </row>
    <row r="819" spans="1:7" x14ac:dyDescent="0.25">
      <c r="A819">
        <v>11310082</v>
      </c>
      <c r="B819" t="str">
        <f>VLOOKUP(A819,Planilha2!B:C,2,0)</f>
        <v>INVERSOR EUCFW110070T4OFAYZ</v>
      </c>
      <c r="C819" t="s">
        <v>1</v>
      </c>
      <c r="D819" t="str">
        <f>VLOOKUP(A819,Planilha2!B:H,7,0)</f>
        <v>LINHA M3</v>
      </c>
      <c r="E819" s="5">
        <v>31100</v>
      </c>
      <c r="F819">
        <f>IFERROR(
IF(ISNUMBER(FIND("CFW110",B819)),
VALUE(MID(B819,FIND("CFW110",B819)+6,FIND("T",B819,FIND("CFW110",B819))-(FIND("CFW110",B819)+6))),
IF(ISNUMBER(FIND("D",B819)),
VALUE(SUBSTITUTE(MID(B819,FIND("D",B819)+1,FIND("T",B819,FIND("D",B819))-(FIND("D",B819)+1)),"P",",")),
IF(ISNUMBER(FIND("CFW5",B819)),
VALUE(MID(B819,
IF(ISNUMBER(FIND("F",B819)),FIND("F",B819)+1,FIND("G",B819)+1),
FIND("T",B819)-(IF(ISNUMBER(FIND("F",B819)),FIND("F",B819)+1,FIND("G",B819)+1))
)),
VALUE(MID(B819,FIND("E0",B819)+2,FIND("T",B819,FIND("E0",B819))-(FIND("E0",B819)+2)))
))),"")</f>
        <v>70</v>
      </c>
      <c r="G819">
        <f>IFERROR(
IF(ISNUMBER(FIND("T2",B819)),220,
IF(ISNUMBER(FIND("T4",B819)),440,
IF(ISNUMBER(FIND("T5",B819)),575,
IF(ISNUMBER(FIND("T6",B819)),690,"")))),
"")</f>
        <v>440</v>
      </c>
    </row>
    <row r="820" spans="1:7" x14ac:dyDescent="0.25">
      <c r="A820">
        <v>11331884</v>
      </c>
      <c r="B820" t="str">
        <f>VLOOKUP(A820,Planilha2!B:C,2,0)</f>
        <v>INVERSOR EUCFW110045T2OFAWZ</v>
      </c>
      <c r="C820" t="s">
        <v>1</v>
      </c>
      <c r="D820" t="str">
        <f>VLOOKUP(A820,Planilha2!B:H,7,0)</f>
        <v>LINHA M1</v>
      </c>
      <c r="E820" s="5">
        <v>20870</v>
      </c>
      <c r="F820">
        <f>IFERROR(
IF(ISNUMBER(FIND("CFW110",B820)),
VALUE(MID(B820,FIND("CFW110",B820)+6,FIND("T",B820,FIND("CFW110",B820))-(FIND("CFW110",B820)+6))),
IF(ISNUMBER(FIND("D",B820)),
VALUE(SUBSTITUTE(MID(B820,FIND("D",B820)+1,FIND("T",B820,FIND("D",B820))-(FIND("D",B820)+1)),"P",",")),
IF(ISNUMBER(FIND("CFW5",B820)),
VALUE(MID(B820,
IF(ISNUMBER(FIND("F",B820)),FIND("F",B820)+1,FIND("G",B820)+1),
FIND("T",B820)-(IF(ISNUMBER(FIND("F",B820)),FIND("F",B820)+1,FIND("G",B820)+1))
)),
VALUE(MID(B820,FIND("E0",B820)+2,FIND("T",B820,FIND("E0",B820))-(FIND("E0",B820)+2)))
))),"")</f>
        <v>45</v>
      </c>
      <c r="G820">
        <f>IFERROR(
IF(ISNUMBER(FIND("T2",B820)),220,
IF(ISNUMBER(FIND("T4",B820)),440,
IF(ISNUMBER(FIND("T5",B820)),575,
IF(ISNUMBER(FIND("T6",B820)),690,"")))),
"")</f>
        <v>220</v>
      </c>
    </row>
    <row r="821" spans="1:7" x14ac:dyDescent="0.25">
      <c r="A821">
        <v>11135785</v>
      </c>
      <c r="B821" t="str">
        <f>VLOOKUP(A821,Planilha2!B:C,2,0)</f>
        <v>INVERSOR EUCFW110038T4OFAYZ</v>
      </c>
      <c r="C821" t="s">
        <v>1</v>
      </c>
      <c r="D821" t="str">
        <f>VLOOKUP(A821,Planilha2!B:H,7,0)</f>
        <v>LINHA M1</v>
      </c>
      <c r="E821" s="5">
        <v>20300</v>
      </c>
      <c r="F821">
        <f>IFERROR(
IF(ISNUMBER(FIND("CFW110",B821)),
VALUE(MID(B821,FIND("CFW110",B821)+6,FIND("T",B821,FIND("CFW110",B821))-(FIND("CFW110",B821)+6))),
IF(ISNUMBER(FIND("D",B821)),
VALUE(SUBSTITUTE(MID(B821,FIND("D",B821)+1,FIND("T",B821,FIND("D",B821))-(FIND("D",B821)+1)),"P",",")),
IF(ISNUMBER(FIND("CFW5",B821)),
VALUE(MID(B821,
IF(ISNUMBER(FIND("F",B821)),FIND("F",B821)+1,FIND("G",B821)+1),
FIND("T",B821)-(IF(ISNUMBER(FIND("F",B821)),FIND("F",B821)+1,FIND("G",B821)+1))
)),
VALUE(MID(B821,FIND("E0",B821)+2,FIND("T",B821,FIND("E0",B821))-(FIND("E0",B821)+2)))
))),"")</f>
        <v>38</v>
      </c>
      <c r="G821">
        <f>IFERROR(
IF(ISNUMBER(FIND("T2",B821)),220,
IF(ISNUMBER(FIND("T4",B821)),440,
IF(ISNUMBER(FIND("T5",B821)),575,
IF(ISNUMBER(FIND("T6",B821)),690,"")))),
"")</f>
        <v>440</v>
      </c>
    </row>
    <row r="822" spans="1:7" x14ac:dyDescent="0.25">
      <c r="A822">
        <v>10867324</v>
      </c>
      <c r="B822" t="str">
        <f>VLOOKUP(A822,Planilha2!B:C,2,0)</f>
        <v>INVERSOR BRCFW110070T4OWZ</v>
      </c>
      <c r="C822" t="s">
        <v>1</v>
      </c>
      <c r="D822" t="str">
        <f>VLOOKUP(A822,Planilha2!B:H,7,0)</f>
        <v>LINHA M3</v>
      </c>
      <c r="E822" s="5">
        <v>29500</v>
      </c>
      <c r="F822">
        <f>IFERROR(
IF(ISNUMBER(FIND("CFW110",B822)),
VALUE(MID(B822,FIND("CFW110",B822)+6,FIND("T",B822,FIND("CFW110",B822))-(FIND("CFW110",B822)+6))),
IF(ISNUMBER(FIND("D",B822)),
VALUE(SUBSTITUTE(MID(B822,FIND("D",B822)+1,FIND("T",B822,FIND("D",B822))-(FIND("D",B822)+1)),"P",",")),
IF(ISNUMBER(FIND("CFW5",B822)),
VALUE(MID(B822,
IF(ISNUMBER(FIND("F",B822)),FIND("F",B822)+1,FIND("G",B822)+1),
FIND("T",B822)-(IF(ISNUMBER(FIND("F",B822)),FIND("F",B822)+1,FIND("G",B822)+1))
)),
VALUE(MID(B822,FIND("E0",B822)+2,FIND("T",B822,FIND("E0",B822))-(FIND("E0",B822)+2)))
))),"")</f>
        <v>70</v>
      </c>
      <c r="G822">
        <f>IFERROR(
IF(ISNUMBER(FIND("T2",B822)),220,
IF(ISNUMBER(FIND("T4",B822)),440,
IF(ISNUMBER(FIND("T5",B822)),575,
IF(ISNUMBER(FIND("T6",B822)),690,"")))),
"")</f>
        <v>440</v>
      </c>
    </row>
    <row r="823" spans="1:7" x14ac:dyDescent="0.25">
      <c r="A823">
        <v>11469292</v>
      </c>
      <c r="B823" t="str">
        <f>VLOOKUP(A823,Planilha2!B:C,2,0)</f>
        <v>INVERSOR BRCFW110038T4OFAYWZ</v>
      </c>
      <c r="C823" t="s">
        <v>1</v>
      </c>
      <c r="D823" t="str">
        <f>VLOOKUP(A823,Planilha2!B:H,7,0)</f>
        <v>LINHA M1</v>
      </c>
      <c r="E823" s="5">
        <v>14558</v>
      </c>
      <c r="F823">
        <f>IFERROR(
IF(ISNUMBER(FIND("CFW110",B823)),
VALUE(MID(B823,FIND("CFW110",B823)+6,FIND("T",B823,FIND("CFW110",B823))-(FIND("CFW110",B823)+6))),
IF(ISNUMBER(FIND("D",B823)),
VALUE(SUBSTITUTE(MID(B823,FIND("D",B823)+1,FIND("T",B823,FIND("D",B823))-(FIND("D",B823)+1)),"P",",")),
IF(ISNUMBER(FIND("CFW5",B823)),
VALUE(MID(B823,
IF(ISNUMBER(FIND("F",B823)),FIND("F",B823)+1,FIND("G",B823)+1),
FIND("T",B823)-(IF(ISNUMBER(FIND("F",B823)),FIND("F",B823)+1,FIND("G",B823)+1))
)),
VALUE(MID(B823,FIND("E0",B823)+2,FIND("T",B823,FIND("E0",B823))-(FIND("E0",B823)+2)))
))),"")</f>
        <v>38</v>
      </c>
      <c r="G823">
        <f>IFERROR(
IF(ISNUMBER(FIND("T2",B823)),220,
IF(ISNUMBER(FIND("T4",B823)),440,
IF(ISNUMBER(FIND("T5",B823)),575,
IF(ISNUMBER(FIND("T6",B823)),690,"")))),
"")</f>
        <v>440</v>
      </c>
    </row>
    <row r="824" spans="1:7" x14ac:dyDescent="0.25">
      <c r="A824">
        <v>11472753</v>
      </c>
      <c r="B824" t="str">
        <f>VLOOKUP(A824,Planilha2!B:C,2,0)</f>
        <v>INVERSOR BRCFW110038T4OYWZ</v>
      </c>
      <c r="C824" t="s">
        <v>1</v>
      </c>
      <c r="D824" t="str">
        <f>VLOOKUP(A824,Planilha2!B:H,7,0)</f>
        <v>LINHA M1</v>
      </c>
      <c r="E824" s="5">
        <v>12753</v>
      </c>
      <c r="F824">
        <f>IFERROR(
IF(ISNUMBER(FIND("CFW110",B824)),
VALUE(MID(B824,FIND("CFW110",B824)+6,FIND("T",B824,FIND("CFW110",B824))-(FIND("CFW110",B824)+6))),
IF(ISNUMBER(FIND("D",B824)),
VALUE(SUBSTITUTE(MID(B824,FIND("D",B824)+1,FIND("T",B824,FIND("D",B824))-(FIND("D",B824)+1)),"P",",")),
IF(ISNUMBER(FIND("CFW5",B824)),
VALUE(MID(B824,
IF(ISNUMBER(FIND("F",B824)),FIND("F",B824)+1,FIND("G",B824)+1),
FIND("T",B824)-(IF(ISNUMBER(FIND("F",B824)),FIND("F",B824)+1,FIND("G",B824)+1))
)),
VALUE(MID(B824,FIND("E0",B824)+2,FIND("T",B824,FIND("E0",B824))-(FIND("E0",B824)+2)))
))),"")</f>
        <v>38</v>
      </c>
      <c r="G824">
        <f>IFERROR(
IF(ISNUMBER(FIND("T2",B824)),220,
IF(ISNUMBER(FIND("T4",B824)),440,
IF(ISNUMBER(FIND("T5",B824)),575,
IF(ISNUMBER(FIND("T6",B824)),690,"")))),
"")</f>
        <v>440</v>
      </c>
    </row>
    <row r="825" spans="1:7" x14ac:dyDescent="0.25">
      <c r="A825">
        <v>11480290</v>
      </c>
      <c r="B825" t="str">
        <f>VLOOKUP(A825,Planilha2!B:C,2,0)</f>
        <v>INVERSOR BRCFW110088T4OYWZ</v>
      </c>
      <c r="C825" t="s">
        <v>1</v>
      </c>
      <c r="D825" t="str">
        <f>VLOOKUP(A825,Planilha2!B:H,7,0)</f>
        <v>LINHA M3</v>
      </c>
      <c r="E825" s="5">
        <v>23285</v>
      </c>
      <c r="F825">
        <f>IFERROR(
IF(ISNUMBER(FIND("CFW110",B825)),
VALUE(MID(B825,FIND("CFW110",B825)+6,FIND("T",B825,FIND("CFW110",B825))-(FIND("CFW110",B825)+6))),
IF(ISNUMBER(FIND("D",B825)),
VALUE(SUBSTITUTE(MID(B825,FIND("D",B825)+1,FIND("T",B825,FIND("D",B825))-(FIND("D",B825)+1)),"P",",")),
IF(ISNUMBER(FIND("CFW5",B825)),
VALUE(MID(B825,
IF(ISNUMBER(FIND("F",B825)),FIND("F",B825)+1,FIND("G",B825)+1),
FIND("T",B825)-(IF(ISNUMBER(FIND("F",B825)),FIND("F",B825)+1,FIND("G",B825)+1))
)),
VALUE(MID(B825,FIND("E0",B825)+2,FIND("T",B825,FIND("E0",B825))-(FIND("E0",B825)+2)))
))),"")</f>
        <v>88</v>
      </c>
      <c r="G825">
        <f>IFERROR(
IF(ISNUMBER(FIND("T2",B825)),220,
IF(ISNUMBER(FIND("T4",B825)),440,
IF(ISNUMBER(FIND("T5",B825)),575,
IF(ISNUMBER(FIND("T6",B825)),690,"")))),
"")</f>
        <v>440</v>
      </c>
    </row>
    <row r="826" spans="1:7" x14ac:dyDescent="0.25">
      <c r="A826">
        <v>11544684</v>
      </c>
      <c r="B826" t="str">
        <f>VLOOKUP(A826,Planilha2!B:C,2,0)</f>
        <v>INVERSOR EUCFW110045T4OFAWZ</v>
      </c>
      <c r="C826" t="s">
        <v>1</v>
      </c>
      <c r="D826" t="str">
        <f>VLOOKUP(A826,Planilha2!B:H,7,0)</f>
        <v>LINHA M1</v>
      </c>
      <c r="E826" s="5">
        <v>15076</v>
      </c>
      <c r="F826">
        <f>IFERROR(
IF(ISNUMBER(FIND("CFW110",B826)),
VALUE(MID(B826,FIND("CFW110",B826)+6,FIND("T",B826,FIND("CFW110",B826))-(FIND("CFW110",B826)+6))),
IF(ISNUMBER(FIND("D",B826)),
VALUE(SUBSTITUTE(MID(B826,FIND("D",B826)+1,FIND("T",B826,FIND("D",B826))-(FIND("D",B826)+1)),"P",",")),
IF(ISNUMBER(FIND("CFW5",B826)),
VALUE(MID(B826,
IF(ISNUMBER(FIND("F",B826)),FIND("F",B826)+1,FIND("G",B826)+1),
FIND("T",B826)-(IF(ISNUMBER(FIND("F",B826)),FIND("F",B826)+1,FIND("G",B826)+1))
)),
VALUE(MID(B826,FIND("E0",B826)+2,FIND("T",B826,FIND("E0",B826))-(FIND("E0",B826)+2)))
))),"")</f>
        <v>45</v>
      </c>
      <c r="G826">
        <f>IFERROR(
IF(ISNUMBER(FIND("T2",B826)),220,
IF(ISNUMBER(FIND("T4",B826)),440,
IF(ISNUMBER(FIND("T5",B826)),575,
IF(ISNUMBER(FIND("T6",B826)),690,"")))),
"")</f>
        <v>440</v>
      </c>
    </row>
    <row r="827" spans="1:7" x14ac:dyDescent="0.25">
      <c r="A827">
        <v>11588005</v>
      </c>
      <c r="B827" t="str">
        <f>VLOOKUP(A827,Planilha2!B:C,2,0)</f>
        <v>INVERSOR SACFW110058T4OYWZ</v>
      </c>
      <c r="C827" t="s">
        <v>1</v>
      </c>
      <c r="D827" t="str">
        <f>VLOOKUP(A827,Planilha2!B:H,7,0)</f>
        <v>LINHA M1</v>
      </c>
      <c r="E827" s="5">
        <v>45700</v>
      </c>
      <c r="F827">
        <f>IFERROR(
IF(ISNUMBER(FIND("CFW110",B827)),
VALUE(MID(B827,FIND("CFW110",B827)+6,FIND("T",B827,FIND("CFW110",B827))-(FIND("CFW110",B827)+6))),
IF(ISNUMBER(FIND("D",B827)),
VALUE(SUBSTITUTE(MID(B827,FIND("D",B827)+1,FIND("T",B827,FIND("D",B827))-(FIND("D",B827)+1)),"P",",")),
IF(ISNUMBER(FIND("CFW5",B827)),
VALUE(MID(B827,
IF(ISNUMBER(FIND("F",B827)),FIND("F",B827)+1,FIND("G",B827)+1),
FIND("T",B827)-(IF(ISNUMBER(FIND("F",B827)),FIND("F",B827)+1,FIND("G",B827)+1))
)),
VALUE(MID(B827,FIND("E0",B827)+2,FIND("T",B827,FIND("E0",B827))-(FIND("E0",B827)+2)))
))),"")</f>
        <v>58</v>
      </c>
      <c r="G827">
        <f>IFERROR(
IF(ISNUMBER(FIND("T2",B827)),220,
IF(ISNUMBER(FIND("T4",B827)),440,
IF(ISNUMBER(FIND("T5",B827)),575,
IF(ISNUMBER(FIND("T6",B827)),690,"")))),
"")</f>
        <v>440</v>
      </c>
    </row>
    <row r="828" spans="1:7" x14ac:dyDescent="0.25">
      <c r="A828">
        <v>11846114</v>
      </c>
      <c r="B828" t="str">
        <f>VLOOKUP(A828,Planilha2!B:C,2,0)</f>
        <v>INVERSOR CFW700C38P0T4DB20C3Y1</v>
      </c>
      <c r="C828" t="s">
        <v>1</v>
      </c>
      <c r="D828" t="str">
        <f>VLOOKUP(A828,Planilha2!B:H,7,0)</f>
        <v>OBSOLETOS DRIVES</v>
      </c>
      <c r="E828" s="5">
        <v>16400</v>
      </c>
      <c r="F828" t="str">
        <f>IFERROR(
IF(ISNUMBER(FIND("CFW110",B828)),
VALUE(MID(B828,FIND("CFW110",B828)+6,FIND("T",B828,FIND("CFW110",B828))-(FIND("CFW110",B828)+6))),
IF(ISNUMBER(FIND("D",B828)),
VALUE(SUBSTITUTE(MID(B828,FIND("D",B828)+1,FIND("T",B828,FIND("D",B828))-(FIND("D",B828)+1)),"P",",")),
IF(ISNUMBER(FIND("CFW5",B828)),
VALUE(MID(B828,
IF(ISNUMBER(FIND("F",B828)),FIND("F",B828)+1,FIND("G",B828)+1),
FIND("T",B828)-(IF(ISNUMBER(FIND("F",B828)),FIND("F",B828)+1,FIND("G",B828)+1))
)),
VALUE(MID(B828,FIND("E0",B828)+2,FIND("T",B828,FIND("E0",B828))-(FIND("E0",B828)+2)))
))),"")</f>
        <v/>
      </c>
      <c r="G828">
        <f>IFERROR(
IF(ISNUMBER(FIND("T2",B828)),220,
IF(ISNUMBER(FIND("T4",B828)),440,
IF(ISNUMBER(FIND("T5",B828)),575,
IF(ISNUMBER(FIND("T6",B828)),690,"")))),
"")</f>
        <v>440</v>
      </c>
    </row>
    <row r="829" spans="1:7" x14ac:dyDescent="0.25">
      <c r="A829">
        <v>11588003</v>
      </c>
      <c r="B829" t="str">
        <f>VLOOKUP(A829,Planilha2!B:C,2,0)</f>
        <v>INVERSOR SACFW110038T4OYWZ</v>
      </c>
      <c r="C829" t="s">
        <v>1</v>
      </c>
      <c r="D829" t="str">
        <f>VLOOKUP(A829,Planilha2!B:H,7,0)</f>
        <v>LINHA M1</v>
      </c>
      <c r="E829" s="5">
        <v>10700</v>
      </c>
      <c r="F829">
        <f>IFERROR(
IF(ISNUMBER(FIND("CFW110",B829)),
VALUE(MID(B829,FIND("CFW110",B829)+6,FIND("T",B829,FIND("CFW110",B829))-(FIND("CFW110",B829)+6))),
IF(ISNUMBER(FIND("D",B829)),
VALUE(SUBSTITUTE(MID(B829,FIND("D",B829)+1,FIND("T",B829,FIND("D",B829))-(FIND("D",B829)+1)),"P",",")),
IF(ISNUMBER(FIND("CFW5",B829)),
VALUE(MID(B829,
IF(ISNUMBER(FIND("F",B829)),FIND("F",B829)+1,FIND("G",B829)+1),
FIND("T",B829)-(IF(ISNUMBER(FIND("F",B829)),FIND("F",B829)+1,FIND("G",B829)+1))
)),
VALUE(MID(B829,FIND("E0",B829)+2,FIND("T",B829,FIND("E0",B829))-(FIND("E0",B829)+2)))
))),"")</f>
        <v>38</v>
      </c>
      <c r="G829">
        <f>IFERROR(
IF(ISNUMBER(FIND("T2",B829)),220,
IF(ISNUMBER(FIND("T4",B829)),440,
IF(ISNUMBER(FIND("T5",B829)),575,
IF(ISNUMBER(FIND("T6",B829)),690,"")))),
"")</f>
        <v>440</v>
      </c>
    </row>
    <row r="830" spans="1:7" x14ac:dyDescent="0.25">
      <c r="A830">
        <v>11720242</v>
      </c>
      <c r="B830" t="str">
        <f>VLOOKUP(A830,Planilha2!B:C,2,0)</f>
        <v>INVERSOR BRCFW110070T2OYZ</v>
      </c>
      <c r="C830" t="s">
        <v>1</v>
      </c>
      <c r="D830" t="str">
        <f>VLOOKUP(A830,Planilha2!B:H,7,0)</f>
        <v>LINHA M1</v>
      </c>
      <c r="E830" s="5">
        <v>17900</v>
      </c>
      <c r="F830">
        <f>IFERROR(
IF(ISNUMBER(FIND("CFW110",B830)),
VALUE(MID(B830,FIND("CFW110",B830)+6,FIND("T",B830,FIND("CFW110",B830))-(FIND("CFW110",B830)+6))),
IF(ISNUMBER(FIND("D",B830)),
VALUE(SUBSTITUTE(MID(B830,FIND("D",B830)+1,FIND("T",B830,FIND("D",B830))-(FIND("D",B830)+1)),"P",",")),
IF(ISNUMBER(FIND("CFW5",B830)),
VALUE(MID(B830,
IF(ISNUMBER(FIND("F",B830)),FIND("F",B830)+1,FIND("G",B830)+1),
FIND("T",B830)-(IF(ISNUMBER(FIND("F",B830)),FIND("F",B830)+1,FIND("G",B830)+1))
)),
VALUE(MID(B830,FIND("E0",B830)+2,FIND("T",B830,FIND("E0",B830))-(FIND("E0",B830)+2)))
))),"")</f>
        <v>70</v>
      </c>
      <c r="G830">
        <f>IFERROR(
IF(ISNUMBER(FIND("T2",B830)),220,
IF(ISNUMBER(FIND("T4",B830)),440,
IF(ISNUMBER(FIND("T5",B830)),575,
IF(ISNUMBER(FIND("T6",B830)),690,"")))),
"")</f>
        <v>220</v>
      </c>
    </row>
    <row r="831" spans="1:7" x14ac:dyDescent="0.25">
      <c r="A831">
        <v>11771338</v>
      </c>
      <c r="B831" t="str">
        <f>VLOOKUP(A831,Planilha2!B:C,2,0)</f>
        <v>INVERSOR BRCFW110054T2O54FAZ</v>
      </c>
      <c r="C831" t="s">
        <v>1</v>
      </c>
      <c r="D831" t="str">
        <f>VLOOKUP(A831,Planilha2!B:H,7,0)</f>
        <v>LINHA M3</v>
      </c>
      <c r="E831" s="5">
        <v>26000</v>
      </c>
      <c r="F831">
        <f>IFERROR(
IF(ISNUMBER(FIND("CFW110",B831)),
VALUE(MID(B831,FIND("CFW110",B831)+6,FIND("T",B831,FIND("CFW110",B831))-(FIND("CFW110",B831)+6))),
IF(ISNUMBER(FIND("D",B831)),
VALUE(SUBSTITUTE(MID(B831,FIND("D",B831)+1,FIND("T",B831,FIND("D",B831))-(FIND("D",B831)+1)),"P",",")),
IF(ISNUMBER(FIND("CFW5",B831)),
VALUE(MID(B831,
IF(ISNUMBER(FIND("F",B831)),FIND("F",B831)+1,FIND("G",B831)+1),
FIND("T",B831)-(IF(ISNUMBER(FIND("F",B831)),FIND("F",B831)+1,FIND("G",B831)+1))
)),
VALUE(MID(B831,FIND("E0",B831)+2,FIND("T",B831,FIND("E0",B831))-(FIND("E0",B831)+2)))
))),"")</f>
        <v>54</v>
      </c>
      <c r="G831">
        <f>IFERROR(
IF(ISNUMBER(FIND("T2",B831)),220,
IF(ISNUMBER(FIND("T4",B831)),440,
IF(ISNUMBER(FIND("T5",B831)),575,
IF(ISNUMBER(FIND("T6",B831)),690,"")))),
"")</f>
        <v>220</v>
      </c>
    </row>
    <row r="832" spans="1:7" x14ac:dyDescent="0.25">
      <c r="A832">
        <v>11797841</v>
      </c>
      <c r="B832" t="str">
        <f>VLOOKUP(A832,Planilha2!B:C,2,0)</f>
        <v>INVERSOR BRCFW110038T4OFAWZ</v>
      </c>
      <c r="C832" t="s">
        <v>1</v>
      </c>
      <c r="D832" t="str">
        <f>VLOOKUP(A832,Planilha2!B:H,7,0)</f>
        <v>LINHA M1</v>
      </c>
      <c r="E832" s="5">
        <v>16400</v>
      </c>
      <c r="F832">
        <f>IFERROR(
IF(ISNUMBER(FIND("CFW110",B832)),
VALUE(MID(B832,FIND("CFW110",B832)+6,FIND("T",B832,FIND("CFW110",B832))-(FIND("CFW110",B832)+6))),
IF(ISNUMBER(FIND("D",B832)),
VALUE(SUBSTITUTE(MID(B832,FIND("D",B832)+1,FIND("T",B832,FIND("D",B832))-(FIND("D",B832)+1)),"P",",")),
IF(ISNUMBER(FIND("CFW5",B832)),
VALUE(MID(B832,
IF(ISNUMBER(FIND("F",B832)),FIND("F",B832)+1,FIND("G",B832)+1),
FIND("T",B832)-(IF(ISNUMBER(FIND("F",B832)),FIND("F",B832)+1,FIND("G",B832)+1))
)),
VALUE(MID(B832,FIND("E0",B832)+2,FIND("T",B832,FIND("E0",B832))-(FIND("E0",B832)+2)))
))),"")</f>
        <v>38</v>
      </c>
      <c r="G832">
        <f>IFERROR(
IF(ISNUMBER(FIND("T2",B832)),220,
IF(ISNUMBER(FIND("T4",B832)),440,
IF(ISNUMBER(FIND("T5",B832)),575,
IF(ISNUMBER(FIND("T6",B832)),690,"")))),
"")</f>
        <v>440</v>
      </c>
    </row>
    <row r="833" spans="1:7" x14ac:dyDescent="0.25">
      <c r="A833">
        <v>11823570</v>
      </c>
      <c r="B833" t="str">
        <f>VLOOKUP(A833,Planilha2!B:C,2,0)</f>
        <v>INVERSOR SACFW110088T4OYWZ</v>
      </c>
      <c r="C833" t="s">
        <v>1</v>
      </c>
      <c r="D833" t="str">
        <f>VLOOKUP(A833,Planilha2!B:H,7,0)</f>
        <v>LINHA M3</v>
      </c>
      <c r="E833" s="5">
        <v>32600</v>
      </c>
      <c r="F833">
        <f>IFERROR(
IF(ISNUMBER(FIND("CFW110",B833)),
VALUE(MID(B833,FIND("CFW110",B833)+6,FIND("T",B833,FIND("CFW110",B833))-(FIND("CFW110",B833)+6))),
IF(ISNUMBER(FIND("D",B833)),
VALUE(SUBSTITUTE(MID(B833,FIND("D",B833)+1,FIND("T",B833,FIND("D",B833))-(FIND("D",B833)+1)),"P",",")),
IF(ISNUMBER(FIND("CFW5",B833)),
VALUE(MID(B833,
IF(ISNUMBER(FIND("F",B833)),FIND("F",B833)+1,FIND("G",B833)+1),
FIND("T",B833)-(IF(ISNUMBER(FIND("F",B833)),FIND("F",B833)+1,FIND("G",B833)+1))
)),
VALUE(MID(B833,FIND("E0",B833)+2,FIND("T",B833,FIND("E0",B833))-(FIND("E0",B833)+2)))
))),"")</f>
        <v>88</v>
      </c>
      <c r="G833">
        <f>IFERROR(
IF(ISNUMBER(FIND("T2",B833)),220,
IF(ISNUMBER(FIND("T4",B833)),440,
IF(ISNUMBER(FIND("T5",B833)),575,
IF(ISNUMBER(FIND("T6",B833)),690,"")))),
"")</f>
        <v>440</v>
      </c>
    </row>
    <row r="834" spans="1:7" x14ac:dyDescent="0.25">
      <c r="A834">
        <v>11798252</v>
      </c>
      <c r="B834" t="str">
        <f>VLOOKUP(A834,Planilha2!B:C,2,0)</f>
        <v>INVERSOR BRCFW110002T6OYZ</v>
      </c>
      <c r="C834" t="s">
        <v>1</v>
      </c>
      <c r="D834" t="str">
        <f>VLOOKUP(A834,Planilha2!B:H,7,0)</f>
        <v>LINHA M3</v>
      </c>
      <c r="E834" s="5">
        <v>26000</v>
      </c>
      <c r="F834">
        <f>IFERROR(
IF(ISNUMBER(FIND("CFW110",B834)),
VALUE(MID(B834,FIND("CFW110",B834)+6,FIND("T",B834,FIND("CFW110",B834))-(FIND("CFW110",B834)+6))),
IF(ISNUMBER(FIND("D",B834)),
VALUE(SUBSTITUTE(MID(B834,FIND("D",B834)+1,FIND("T",B834,FIND("D",B834))-(FIND("D",B834)+1)),"P",",")),
IF(ISNUMBER(FIND("CFW5",B834)),
VALUE(MID(B834,
IF(ISNUMBER(FIND("F",B834)),FIND("F",B834)+1,FIND("G",B834)+1),
FIND("T",B834)-(IF(ISNUMBER(FIND("F",B834)),FIND("F",B834)+1,FIND("G",B834)+1))
)),
VALUE(MID(B834,FIND("E0",B834)+2,FIND("T",B834,FIND("E0",B834))-(FIND("E0",B834)+2)))
))),"")</f>
        <v>2</v>
      </c>
      <c r="G834">
        <f>IFERROR(
IF(ISNUMBER(FIND("T2",B834)),220,
IF(ISNUMBER(FIND("T4",B834)),440,
IF(ISNUMBER(FIND("T5",B834)),575,
IF(ISNUMBER(FIND("T6",B834)),690,"")))),
"")</f>
        <v>690</v>
      </c>
    </row>
    <row r="835" spans="1:7" x14ac:dyDescent="0.25">
      <c r="A835">
        <v>11798659</v>
      </c>
      <c r="B835" t="str">
        <f>VLOOKUP(A835,Planilha2!B:C,2,0)</f>
        <v>INVERSOR BRCFW110004T6OYZ</v>
      </c>
      <c r="C835" t="s">
        <v>1</v>
      </c>
      <c r="D835" t="str">
        <f>VLOOKUP(A835,Planilha2!B:H,7,0)</f>
        <v>LINHA M3</v>
      </c>
      <c r="E835" s="5">
        <v>26000</v>
      </c>
      <c r="F835">
        <f>IFERROR(
IF(ISNUMBER(FIND("CFW110",B835)),
VALUE(MID(B835,FIND("CFW110",B835)+6,FIND("T",B835,FIND("CFW110",B835))-(FIND("CFW110",B835)+6))),
IF(ISNUMBER(FIND("D",B835)),
VALUE(SUBSTITUTE(MID(B835,FIND("D",B835)+1,FIND("T",B835,FIND("D",B835))-(FIND("D",B835)+1)),"P",",")),
IF(ISNUMBER(FIND("CFW5",B835)),
VALUE(MID(B835,
IF(ISNUMBER(FIND("F",B835)),FIND("F",B835)+1,FIND("G",B835)+1),
FIND("T",B835)-(IF(ISNUMBER(FIND("F",B835)),FIND("F",B835)+1,FIND("G",B835)+1))
)),
VALUE(MID(B835,FIND("E0",B835)+2,FIND("T",B835,FIND("E0",B835))-(FIND("E0",B835)+2)))
))),"")</f>
        <v>4</v>
      </c>
      <c r="G835">
        <f>IFERROR(
IF(ISNUMBER(FIND("T2",B835)),220,
IF(ISNUMBER(FIND("T4",B835)),440,
IF(ISNUMBER(FIND("T5",B835)),575,
IF(ISNUMBER(FIND("T6",B835)),690,"")))),
"")</f>
        <v>690</v>
      </c>
    </row>
    <row r="836" spans="1:7" x14ac:dyDescent="0.25">
      <c r="A836">
        <v>11798709</v>
      </c>
      <c r="B836" t="str">
        <f>VLOOKUP(A836,Planilha2!B:C,2,0)</f>
        <v>INVERSOR BRCFW110007T6OYZ</v>
      </c>
      <c r="C836" t="s">
        <v>1</v>
      </c>
      <c r="D836" t="str">
        <f>VLOOKUP(A836,Planilha2!B:H,7,0)</f>
        <v>LINHA M3</v>
      </c>
      <c r="E836" s="5">
        <v>26000</v>
      </c>
      <c r="F836">
        <f>IFERROR(
IF(ISNUMBER(FIND("CFW110",B836)),
VALUE(MID(B836,FIND("CFW110",B836)+6,FIND("T",B836,FIND("CFW110",B836))-(FIND("CFW110",B836)+6))),
IF(ISNUMBER(FIND("D",B836)),
VALUE(SUBSTITUTE(MID(B836,FIND("D",B836)+1,FIND("T",B836,FIND("D",B836))-(FIND("D",B836)+1)),"P",",")),
IF(ISNUMBER(FIND("CFW5",B836)),
VALUE(MID(B836,
IF(ISNUMBER(FIND("F",B836)),FIND("F",B836)+1,FIND("G",B836)+1),
FIND("T",B836)-(IF(ISNUMBER(FIND("F",B836)),FIND("F",B836)+1,FIND("G",B836)+1))
)),
VALUE(MID(B836,FIND("E0",B836)+2,FIND("T",B836,FIND("E0",B836))-(FIND("E0",B836)+2)))
))),"")</f>
        <v>7</v>
      </c>
      <c r="G836">
        <f>IFERROR(
IF(ISNUMBER(FIND("T2",B836)),220,
IF(ISNUMBER(FIND("T4",B836)),440,
IF(ISNUMBER(FIND("T5",B836)),575,
IF(ISNUMBER(FIND("T6",B836)),690,"")))),
"")</f>
        <v>690</v>
      </c>
    </row>
    <row r="837" spans="1:7" x14ac:dyDescent="0.25">
      <c r="A837">
        <v>11798776</v>
      </c>
      <c r="B837" t="str">
        <f>VLOOKUP(A837,Planilha2!B:C,2,0)</f>
        <v>INVERSOR BRCFW110010T6OYZ</v>
      </c>
      <c r="C837" t="s">
        <v>1</v>
      </c>
      <c r="D837" t="str">
        <f>VLOOKUP(A837,Planilha2!B:H,7,0)</f>
        <v>LINHA M3</v>
      </c>
      <c r="E837" s="5">
        <v>26000</v>
      </c>
      <c r="F837">
        <f>IFERROR(
IF(ISNUMBER(FIND("CFW110",B837)),
VALUE(MID(B837,FIND("CFW110",B837)+6,FIND("T",B837,FIND("CFW110",B837))-(FIND("CFW110",B837)+6))),
IF(ISNUMBER(FIND("D",B837)),
VALUE(SUBSTITUTE(MID(B837,FIND("D",B837)+1,FIND("T",B837,FIND("D",B837))-(FIND("D",B837)+1)),"P",",")),
IF(ISNUMBER(FIND("CFW5",B837)),
VALUE(MID(B837,
IF(ISNUMBER(FIND("F",B837)),FIND("F",B837)+1,FIND("G",B837)+1),
FIND("T",B837)-(IF(ISNUMBER(FIND("F",B837)),FIND("F",B837)+1,FIND("G",B837)+1))
)),
VALUE(MID(B837,FIND("E0",B837)+2,FIND("T",B837,FIND("E0",B837))-(FIND("E0",B837)+2)))
))),"")</f>
        <v>10</v>
      </c>
      <c r="G837">
        <f>IFERROR(
IF(ISNUMBER(FIND("T2",B837)),220,
IF(ISNUMBER(FIND("T4",B837)),440,
IF(ISNUMBER(FIND("T5",B837)),575,
IF(ISNUMBER(FIND("T6",B837)),690,"")))),
"")</f>
        <v>690</v>
      </c>
    </row>
    <row r="838" spans="1:7" x14ac:dyDescent="0.25">
      <c r="A838">
        <v>11798829</v>
      </c>
      <c r="B838" t="str">
        <f>VLOOKUP(A838,Planilha2!B:C,2,0)</f>
        <v>INVERSOR BRCFW110012T6OYZ</v>
      </c>
      <c r="C838" t="s">
        <v>1</v>
      </c>
      <c r="D838" t="str">
        <f>VLOOKUP(A838,Planilha2!B:H,7,0)</f>
        <v>LINHA M3</v>
      </c>
      <c r="E838" s="5">
        <v>26000</v>
      </c>
      <c r="F838">
        <f>IFERROR(
IF(ISNUMBER(FIND("CFW110",B838)),
VALUE(MID(B838,FIND("CFW110",B838)+6,FIND("T",B838,FIND("CFW110",B838))-(FIND("CFW110",B838)+6))),
IF(ISNUMBER(FIND("D",B838)),
VALUE(SUBSTITUTE(MID(B838,FIND("D",B838)+1,FIND("T",B838,FIND("D",B838))-(FIND("D",B838)+1)),"P",",")),
IF(ISNUMBER(FIND("CFW5",B838)),
VALUE(MID(B838,
IF(ISNUMBER(FIND("F",B838)),FIND("F",B838)+1,FIND("G",B838)+1),
FIND("T",B838)-(IF(ISNUMBER(FIND("F",B838)),FIND("F",B838)+1,FIND("G",B838)+1))
)),
VALUE(MID(B838,FIND("E0",B838)+2,FIND("T",B838,FIND("E0",B838))-(FIND("E0",B838)+2)))
))),"")</f>
        <v>12</v>
      </c>
      <c r="G838">
        <f>IFERROR(
IF(ISNUMBER(FIND("T2",B838)),220,
IF(ISNUMBER(FIND("T4",B838)),440,
IF(ISNUMBER(FIND("T5",B838)),575,
IF(ISNUMBER(FIND("T6",B838)),690,"")))),
"")</f>
        <v>690</v>
      </c>
    </row>
    <row r="839" spans="1:7" x14ac:dyDescent="0.25">
      <c r="A839">
        <v>11798831</v>
      </c>
      <c r="B839" t="str">
        <f>VLOOKUP(A839,Planilha2!B:C,2,0)</f>
        <v>INVERSOR BRCFW110017T6OYZ</v>
      </c>
      <c r="C839" t="s">
        <v>1</v>
      </c>
      <c r="D839" t="str">
        <f>VLOOKUP(A839,Planilha2!B:H,7,0)</f>
        <v>LINHA M3</v>
      </c>
      <c r="E839" s="5">
        <v>26000</v>
      </c>
      <c r="F839">
        <f>IFERROR(
IF(ISNUMBER(FIND("CFW110",B839)),
VALUE(MID(B839,FIND("CFW110",B839)+6,FIND("T",B839,FIND("CFW110",B839))-(FIND("CFW110",B839)+6))),
IF(ISNUMBER(FIND("D",B839)),
VALUE(SUBSTITUTE(MID(B839,FIND("D",B839)+1,FIND("T",B839,FIND("D",B839))-(FIND("D",B839)+1)),"P",",")),
IF(ISNUMBER(FIND("CFW5",B839)),
VALUE(MID(B839,
IF(ISNUMBER(FIND("F",B839)),FIND("F",B839)+1,FIND("G",B839)+1),
FIND("T",B839)-(IF(ISNUMBER(FIND("F",B839)),FIND("F",B839)+1,FIND("G",B839)+1))
)),
VALUE(MID(B839,FIND("E0",B839)+2,FIND("T",B839,FIND("E0",B839))-(FIND("E0",B839)+2)))
))),"")</f>
        <v>17</v>
      </c>
      <c r="G839">
        <f>IFERROR(
IF(ISNUMBER(FIND("T2",B839)),220,
IF(ISNUMBER(FIND("T4",B839)),440,
IF(ISNUMBER(FIND("T5",B839)),575,
IF(ISNUMBER(FIND("T6",B839)),690,"")))),
"")</f>
        <v>690</v>
      </c>
    </row>
    <row r="840" spans="1:7" x14ac:dyDescent="0.25">
      <c r="A840">
        <v>11798835</v>
      </c>
      <c r="B840" t="str">
        <f>VLOOKUP(A840,Planilha2!B:C,2,0)</f>
        <v>INVERSOR BRCFW110022T6OYZ</v>
      </c>
      <c r="C840" t="s">
        <v>1</v>
      </c>
      <c r="D840" t="str">
        <f>VLOOKUP(A840,Planilha2!B:H,7,0)</f>
        <v>LINHA M3</v>
      </c>
      <c r="E840" s="5">
        <v>26000</v>
      </c>
      <c r="F840">
        <f>IFERROR(
IF(ISNUMBER(FIND("CFW110",B840)),
VALUE(MID(B840,FIND("CFW110",B840)+6,FIND("T",B840,FIND("CFW110",B840))-(FIND("CFW110",B840)+6))),
IF(ISNUMBER(FIND("D",B840)),
VALUE(SUBSTITUTE(MID(B840,FIND("D",B840)+1,FIND("T",B840,FIND("D",B840))-(FIND("D",B840)+1)),"P",",")),
IF(ISNUMBER(FIND("CFW5",B840)),
VALUE(MID(B840,
IF(ISNUMBER(FIND("F",B840)),FIND("F",B840)+1,FIND("G",B840)+1),
FIND("T",B840)-(IF(ISNUMBER(FIND("F",B840)),FIND("F",B840)+1,FIND("G",B840)+1))
)),
VALUE(MID(B840,FIND("E0",B840)+2,FIND("T",B840,FIND("E0",B840))-(FIND("E0",B840)+2)))
))),"")</f>
        <v>22</v>
      </c>
      <c r="G840">
        <f>IFERROR(
IF(ISNUMBER(FIND("T2",B840)),220,
IF(ISNUMBER(FIND("T4",B840)),440,
IF(ISNUMBER(FIND("T5",B840)),575,
IF(ISNUMBER(FIND("T6",B840)),690,"")))),
"")</f>
        <v>690</v>
      </c>
    </row>
    <row r="841" spans="1:7" x14ac:dyDescent="0.25">
      <c r="A841">
        <v>11798950</v>
      </c>
      <c r="B841" t="str">
        <f>VLOOKUP(A841,Planilha2!B:C,2,0)</f>
        <v>INVERSOR BRCFW110027T6OYZ</v>
      </c>
      <c r="C841" t="s">
        <v>1</v>
      </c>
      <c r="D841" t="str">
        <f>VLOOKUP(A841,Planilha2!B:H,7,0)</f>
        <v>LINHA M3</v>
      </c>
      <c r="E841" s="5">
        <v>26000</v>
      </c>
      <c r="F841">
        <f>IFERROR(
IF(ISNUMBER(FIND("CFW110",B841)),
VALUE(MID(B841,FIND("CFW110",B841)+6,FIND("T",B841,FIND("CFW110",B841))-(FIND("CFW110",B841)+6))),
IF(ISNUMBER(FIND("D",B841)),
VALUE(SUBSTITUTE(MID(B841,FIND("D",B841)+1,FIND("T",B841,FIND("D",B841))-(FIND("D",B841)+1)),"P",",")),
IF(ISNUMBER(FIND("CFW5",B841)),
VALUE(MID(B841,
IF(ISNUMBER(FIND("F",B841)),FIND("F",B841)+1,FIND("G",B841)+1),
FIND("T",B841)-(IF(ISNUMBER(FIND("F",B841)),FIND("F",B841)+1,FIND("G",B841)+1))
)),
VALUE(MID(B841,FIND("E0",B841)+2,FIND("T",B841,FIND("E0",B841))-(FIND("E0",B841)+2)))
))),"")</f>
        <v>27</v>
      </c>
      <c r="G841">
        <f>IFERROR(
IF(ISNUMBER(FIND("T2",B841)),220,
IF(ISNUMBER(FIND("T4",B841)),440,
IF(ISNUMBER(FIND("T5",B841)),575,
IF(ISNUMBER(FIND("T6",B841)),690,"")))),
"")</f>
        <v>690</v>
      </c>
    </row>
    <row r="842" spans="1:7" x14ac:dyDescent="0.25">
      <c r="A842">
        <v>11798957</v>
      </c>
      <c r="B842" t="str">
        <f>VLOOKUP(A842,Planilha2!B:C,2,0)</f>
        <v>INVERSOR BRCFW110032T6OYZ</v>
      </c>
      <c r="C842" t="s">
        <v>1</v>
      </c>
      <c r="D842" t="str">
        <f>VLOOKUP(A842,Planilha2!B:H,7,0)</f>
        <v>LINHA M3</v>
      </c>
      <c r="E842" s="5">
        <v>26000</v>
      </c>
      <c r="F842">
        <f>IFERROR(
IF(ISNUMBER(FIND("CFW110",B842)),
VALUE(MID(B842,FIND("CFW110",B842)+6,FIND("T",B842,FIND("CFW110",B842))-(FIND("CFW110",B842)+6))),
IF(ISNUMBER(FIND("D",B842)),
VALUE(SUBSTITUTE(MID(B842,FIND("D",B842)+1,FIND("T",B842,FIND("D",B842))-(FIND("D",B842)+1)),"P",",")),
IF(ISNUMBER(FIND("CFW5",B842)),
VALUE(MID(B842,
IF(ISNUMBER(FIND("F",B842)),FIND("F",B842)+1,FIND("G",B842)+1),
FIND("T",B842)-(IF(ISNUMBER(FIND("F",B842)),FIND("F",B842)+1,FIND("G",B842)+1))
)),
VALUE(MID(B842,FIND("E0",B842)+2,FIND("T",B842,FIND("E0",B842))-(FIND("E0",B842)+2)))
))),"")</f>
        <v>32</v>
      </c>
      <c r="G842">
        <f>IFERROR(
IF(ISNUMBER(FIND("T2",B842)),220,
IF(ISNUMBER(FIND("T4",B842)),440,
IF(ISNUMBER(FIND("T5",B842)),575,
IF(ISNUMBER(FIND("T6",B842)),690,"")))),
"")</f>
        <v>690</v>
      </c>
    </row>
    <row r="843" spans="1:7" x14ac:dyDescent="0.25">
      <c r="A843">
        <v>11799018</v>
      </c>
      <c r="B843" t="str">
        <f>VLOOKUP(A843,Planilha2!B:C,2,0)</f>
        <v>INVERSOR BRCFW110044T6OYZ</v>
      </c>
      <c r="C843" t="s">
        <v>1</v>
      </c>
      <c r="D843" t="str">
        <f>VLOOKUP(A843,Planilha2!B:H,7,0)</f>
        <v>LINHA M3</v>
      </c>
      <c r="E843" s="5">
        <v>26000</v>
      </c>
      <c r="F843">
        <f>IFERROR(
IF(ISNUMBER(FIND("CFW110",B843)),
VALUE(MID(B843,FIND("CFW110",B843)+6,FIND("T",B843,FIND("CFW110",B843))-(FIND("CFW110",B843)+6))),
IF(ISNUMBER(FIND("D",B843)),
VALUE(SUBSTITUTE(MID(B843,FIND("D",B843)+1,FIND("T",B843,FIND("D",B843))-(FIND("D",B843)+1)),"P",",")),
IF(ISNUMBER(FIND("CFW5",B843)),
VALUE(MID(B843,
IF(ISNUMBER(FIND("F",B843)),FIND("F",B843)+1,FIND("G",B843)+1),
FIND("T",B843)-(IF(ISNUMBER(FIND("F",B843)),FIND("F",B843)+1,FIND("G",B843)+1))
)),
VALUE(MID(B843,FIND("E0",B843)+2,FIND("T",B843,FIND("E0",B843))-(FIND("E0",B843)+2)))
))),"")</f>
        <v>44</v>
      </c>
      <c r="G843">
        <f>IFERROR(
IF(ISNUMBER(FIND("T2",B843)),220,
IF(ISNUMBER(FIND("T4",B843)),440,
IF(ISNUMBER(FIND("T5",B843)),575,
IF(ISNUMBER(FIND("T6",B843)),690,"")))),
"")</f>
        <v>690</v>
      </c>
    </row>
    <row r="844" spans="1:7" x14ac:dyDescent="0.25">
      <c r="A844">
        <v>11802342</v>
      </c>
      <c r="B844" t="str">
        <f>VLOOKUP(A844,Planilha2!B:C,2,0)</f>
        <v>INVERSOR CFW701C45P0T2DB20C3</v>
      </c>
      <c r="C844" t="s">
        <v>1</v>
      </c>
      <c r="D844" t="str">
        <f>VLOOKUP(A844,Planilha2!B:H,7,0)</f>
        <v>OBSOLETOS DRIVES</v>
      </c>
      <c r="E844" s="5">
        <v>16000</v>
      </c>
      <c r="F844" t="str">
        <f>IFERROR(
IF(ISNUMBER(FIND("CFW110",B844)),
VALUE(MID(B844,FIND("CFW110",B844)+6,FIND("T",B844,FIND("CFW110",B844))-(FIND("CFW110",B844)+6))),
IF(ISNUMBER(FIND("D",B844)),
VALUE(SUBSTITUTE(MID(B844,FIND("D",B844)+1,FIND("T",B844,FIND("D",B844))-(FIND("D",B844)+1)),"P",",")),
IF(ISNUMBER(FIND("CFW5",B844)),
VALUE(MID(B844,
IF(ISNUMBER(FIND("F",B844)),FIND("F",B844)+1,FIND("G",B844)+1),
FIND("T",B844)-(IF(ISNUMBER(FIND("F",B844)),FIND("F",B844)+1,FIND("G",B844)+1))
)),
VALUE(MID(B844,FIND("E0",B844)+2,FIND("T",B844,FIND("E0",B844))-(FIND("E0",B844)+2)))
))),"")</f>
        <v/>
      </c>
      <c r="G844">
        <f>IFERROR(
IF(ISNUMBER(FIND("T2",B844)),220,
IF(ISNUMBER(FIND("T4",B844)),440,
IF(ISNUMBER(FIND("T5",B844)),575,
IF(ISNUMBER(FIND("T6",B844)),690,"")))),
"")</f>
        <v>220</v>
      </c>
    </row>
    <row r="845" spans="1:7" x14ac:dyDescent="0.25">
      <c r="A845">
        <v>11802343</v>
      </c>
      <c r="B845" t="str">
        <f>VLOOKUP(A845,Planilha2!B:C,2,0)</f>
        <v>INVERSOR CFW701C54P0T2DB20C3</v>
      </c>
      <c r="C845" t="s">
        <v>1</v>
      </c>
      <c r="D845" t="str">
        <f>VLOOKUP(A845,Planilha2!B:H,7,0)</f>
        <v>OBSOLETOS DRIVES</v>
      </c>
      <c r="E845" s="5">
        <v>16000</v>
      </c>
      <c r="F845" t="str">
        <f>IFERROR(
IF(ISNUMBER(FIND("CFW110",B845)),
VALUE(MID(B845,FIND("CFW110",B845)+6,FIND("T",B845,FIND("CFW110",B845))-(FIND("CFW110",B845)+6))),
IF(ISNUMBER(FIND("D",B845)),
VALUE(SUBSTITUTE(MID(B845,FIND("D",B845)+1,FIND("T",B845,FIND("D",B845))-(FIND("D",B845)+1)),"P",",")),
IF(ISNUMBER(FIND("CFW5",B845)),
VALUE(MID(B845,
IF(ISNUMBER(FIND("F",B845)),FIND("F",B845)+1,FIND("G",B845)+1),
FIND("T",B845)-(IF(ISNUMBER(FIND("F",B845)),FIND("F",B845)+1,FIND("G",B845)+1))
)),
VALUE(MID(B845,FIND("E0",B845)+2,FIND("T",B845,FIND("E0",B845))-(FIND("E0",B845)+2)))
))),"")</f>
        <v/>
      </c>
      <c r="G845">
        <f>IFERROR(
IF(ISNUMBER(FIND("T2",B845)),220,
IF(ISNUMBER(FIND("T4",B845)),440,
IF(ISNUMBER(FIND("T5",B845)),575,
IF(ISNUMBER(FIND("T6",B845)),690,"")))),
"")</f>
        <v>220</v>
      </c>
    </row>
    <row r="846" spans="1:7" x14ac:dyDescent="0.25">
      <c r="A846">
        <v>11802344</v>
      </c>
      <c r="B846" t="str">
        <f>VLOOKUP(A846,Planilha2!B:C,2,0)</f>
        <v>INVERSOR CFW701C70P0T2DB20C3</v>
      </c>
      <c r="C846" t="s">
        <v>1</v>
      </c>
      <c r="D846" t="str">
        <f>VLOOKUP(A846,Planilha2!B:H,7,0)</f>
        <v>OBSOLETOS DRIVES</v>
      </c>
      <c r="E846" s="5">
        <v>16000</v>
      </c>
      <c r="F846" t="str">
        <f>IFERROR(
IF(ISNUMBER(FIND("CFW110",B846)),
VALUE(MID(B846,FIND("CFW110",B846)+6,FIND("T",B846,FIND("CFW110",B846))-(FIND("CFW110",B846)+6))),
IF(ISNUMBER(FIND("D",B846)),
VALUE(SUBSTITUTE(MID(B846,FIND("D",B846)+1,FIND("T",B846,FIND("D",B846))-(FIND("D",B846)+1)),"P",",")),
IF(ISNUMBER(FIND("CFW5",B846)),
VALUE(MID(B846,
IF(ISNUMBER(FIND("F",B846)),FIND("F",B846)+1,FIND("G",B846)+1),
FIND("T",B846)-(IF(ISNUMBER(FIND("F",B846)),FIND("F",B846)+1,FIND("G",B846)+1))
)),
VALUE(MID(B846,FIND("E0",B846)+2,FIND("T",B846,FIND("E0",B846))-(FIND("E0",B846)+2)))
))),"")</f>
        <v/>
      </c>
      <c r="G846">
        <f>IFERROR(
IF(ISNUMBER(FIND("T2",B846)),220,
IF(ISNUMBER(FIND("T4",B846)),440,
IF(ISNUMBER(FIND("T5",B846)),575,
IF(ISNUMBER(FIND("T6",B846)),690,"")))),
"")</f>
        <v>220</v>
      </c>
    </row>
    <row r="847" spans="1:7" x14ac:dyDescent="0.25">
      <c r="A847">
        <v>11802345</v>
      </c>
      <c r="B847" t="str">
        <f>VLOOKUP(A847,Planilha2!B:C,2,0)</f>
        <v>INVERSOR CFW701C38P0T4DB20C3</v>
      </c>
      <c r="C847" t="s">
        <v>1</v>
      </c>
      <c r="D847" t="str">
        <f>VLOOKUP(A847,Planilha2!B:H,7,0)</f>
        <v>OBSOLETOS DRIVES</v>
      </c>
      <c r="E847" s="5">
        <v>16000</v>
      </c>
      <c r="F847" t="str">
        <f>IFERROR(
IF(ISNUMBER(FIND("CFW110",B847)),
VALUE(MID(B847,FIND("CFW110",B847)+6,FIND("T",B847,FIND("CFW110",B847))-(FIND("CFW110",B847)+6))),
IF(ISNUMBER(FIND("D",B847)),
VALUE(SUBSTITUTE(MID(B847,FIND("D",B847)+1,FIND("T",B847,FIND("D",B847))-(FIND("D",B847)+1)),"P",",")),
IF(ISNUMBER(FIND("CFW5",B847)),
VALUE(MID(B847,
IF(ISNUMBER(FIND("F",B847)),FIND("F",B847)+1,FIND("G",B847)+1),
FIND("T",B847)-(IF(ISNUMBER(FIND("F",B847)),FIND("F",B847)+1,FIND("G",B847)+1))
)),
VALUE(MID(B847,FIND("E0",B847)+2,FIND("T",B847,FIND("E0",B847))-(FIND("E0",B847)+2)))
))),"")</f>
        <v/>
      </c>
      <c r="G847">
        <f>IFERROR(
IF(ISNUMBER(FIND("T2",B847)),220,
IF(ISNUMBER(FIND("T4",B847)),440,
IF(ISNUMBER(FIND("T5",B847)),575,
IF(ISNUMBER(FIND("T6",B847)),690,"")))),
"")</f>
        <v>440</v>
      </c>
    </row>
    <row r="848" spans="1:7" x14ac:dyDescent="0.25">
      <c r="A848">
        <v>11802346</v>
      </c>
      <c r="B848" t="str">
        <f>VLOOKUP(A848,Planilha2!B:C,2,0)</f>
        <v>INVERSOR CFW701C45P0T4DB20C3</v>
      </c>
      <c r="C848" t="s">
        <v>1</v>
      </c>
      <c r="D848" t="str">
        <f>VLOOKUP(A848,Planilha2!B:H,7,0)</f>
        <v>OBSOLETOS DRIVES</v>
      </c>
      <c r="E848" s="5">
        <v>16000</v>
      </c>
      <c r="F848" t="str">
        <f>IFERROR(
IF(ISNUMBER(FIND("CFW110",B848)),
VALUE(MID(B848,FIND("CFW110",B848)+6,FIND("T",B848,FIND("CFW110",B848))-(FIND("CFW110",B848)+6))),
IF(ISNUMBER(FIND("D",B848)),
VALUE(SUBSTITUTE(MID(B848,FIND("D",B848)+1,FIND("T",B848,FIND("D",B848))-(FIND("D",B848)+1)),"P",",")),
IF(ISNUMBER(FIND("CFW5",B848)),
VALUE(MID(B848,
IF(ISNUMBER(FIND("F",B848)),FIND("F",B848)+1,FIND("G",B848)+1),
FIND("T",B848)-(IF(ISNUMBER(FIND("F",B848)),FIND("F",B848)+1,FIND("G",B848)+1))
)),
VALUE(MID(B848,FIND("E0",B848)+2,FIND("T",B848,FIND("E0",B848))-(FIND("E0",B848)+2)))
))),"")</f>
        <v/>
      </c>
      <c r="G848">
        <f>IFERROR(
IF(ISNUMBER(FIND("T2",B848)),220,
IF(ISNUMBER(FIND("T4",B848)),440,
IF(ISNUMBER(FIND("T5",B848)),575,
IF(ISNUMBER(FIND("T6",B848)),690,"")))),
"")</f>
        <v>440</v>
      </c>
    </row>
    <row r="849" spans="1:7" x14ac:dyDescent="0.25">
      <c r="A849">
        <v>11802347</v>
      </c>
      <c r="B849" t="str">
        <f>VLOOKUP(A849,Planilha2!B:C,2,0)</f>
        <v>INVERSOR CFW701C58P5T4DB20C3</v>
      </c>
      <c r="C849" t="s">
        <v>1</v>
      </c>
      <c r="D849" t="str">
        <f>VLOOKUP(A849,Planilha2!B:H,7,0)</f>
        <v>OBSOLETOS DRIVES</v>
      </c>
      <c r="E849" s="5">
        <v>16000</v>
      </c>
      <c r="F849" t="str">
        <f>IFERROR(
IF(ISNUMBER(FIND("CFW110",B849)),
VALUE(MID(B849,FIND("CFW110",B849)+6,FIND("T",B849,FIND("CFW110",B849))-(FIND("CFW110",B849)+6))),
IF(ISNUMBER(FIND("D",B849)),
VALUE(SUBSTITUTE(MID(B849,FIND("D",B849)+1,FIND("T",B849,FIND("D",B849))-(FIND("D",B849)+1)),"P",",")),
IF(ISNUMBER(FIND("CFW5",B849)),
VALUE(MID(B849,
IF(ISNUMBER(FIND("F",B849)),FIND("F",B849)+1,FIND("G",B849)+1),
FIND("T",B849)-(IF(ISNUMBER(FIND("F",B849)),FIND("F",B849)+1,FIND("G",B849)+1))
)),
VALUE(MID(B849,FIND("E0",B849)+2,FIND("T",B849,FIND("E0",B849))-(FIND("E0",B849)+2)))
))),"")</f>
        <v/>
      </c>
      <c r="G849">
        <f>IFERROR(
IF(ISNUMBER(FIND("T2",B849)),220,
IF(ISNUMBER(FIND("T4",B849)),440,
IF(ISNUMBER(FIND("T5",B849)),575,
IF(ISNUMBER(FIND("T6",B849)),690,"")))),
"")</f>
        <v>440</v>
      </c>
    </row>
    <row r="850" spans="1:7" x14ac:dyDescent="0.25">
      <c r="A850">
        <v>11802348</v>
      </c>
      <c r="B850" t="str">
        <f>VLOOKUP(A850,Planilha2!B:C,2,0)</f>
        <v>INVERSOR CFW701D86P0T2DBN1C3</v>
      </c>
      <c r="C850" t="s">
        <v>1</v>
      </c>
      <c r="D850" t="str">
        <f>VLOOKUP(A850,Planilha2!B:H,7,0)</f>
        <v>OBSOLETOS DRIVES</v>
      </c>
      <c r="E850" s="5">
        <v>31100</v>
      </c>
      <c r="F850">
        <f>IFERROR(
IF(ISNUMBER(FIND("CFW110",B850)),
VALUE(MID(B850,FIND("CFW110",B850)+6,FIND("T",B850,FIND("CFW110",B850))-(FIND("CFW110",B850)+6))),
IF(ISNUMBER(FIND("D",B850)),
VALUE(SUBSTITUTE(MID(B850,FIND("D",B850)+1,FIND("T",B850,FIND("D",B850))-(FIND("D",B850)+1)),"P",",")),
IF(ISNUMBER(FIND("CFW5",B850)),
VALUE(MID(B850,
IF(ISNUMBER(FIND("F",B850)),FIND("F",B850)+1,FIND("G",B850)+1),
FIND("T",B850)-(IF(ISNUMBER(FIND("F",B850)),FIND("F",B850)+1,FIND("G",B850)+1))
)),
VALUE(MID(B850,FIND("E0",B850)+2,FIND("T",B850,FIND("E0",B850))-(FIND("E0",B850)+2)))
))),"")</f>
        <v>86</v>
      </c>
      <c r="G850">
        <f>IFERROR(
IF(ISNUMBER(FIND("T2",B850)),220,
IF(ISNUMBER(FIND("T4",B850)),440,
IF(ISNUMBER(FIND("T5",B850)),575,
IF(ISNUMBER(FIND("T6",B850)),690,"")))),
"")</f>
        <v>220</v>
      </c>
    </row>
    <row r="851" spans="1:7" x14ac:dyDescent="0.25">
      <c r="A851">
        <v>11802349</v>
      </c>
      <c r="B851" t="str">
        <f>VLOOKUP(A851,Planilha2!B:C,2,0)</f>
        <v>INVERSOR CFW701D0105T2DBN1C3</v>
      </c>
      <c r="C851" t="s">
        <v>1</v>
      </c>
      <c r="D851" t="str">
        <f>VLOOKUP(A851,Planilha2!B:H,7,0)</f>
        <v>OBSOLETOS DRIVES</v>
      </c>
      <c r="E851" s="5">
        <v>31100</v>
      </c>
      <c r="F851">
        <f>IFERROR(
IF(ISNUMBER(FIND("CFW110",B851)),
VALUE(MID(B851,FIND("CFW110",B851)+6,FIND("T",B851,FIND("CFW110",B851))-(FIND("CFW110",B851)+6))),
IF(ISNUMBER(FIND("D",B851)),
VALUE(SUBSTITUTE(MID(B851,FIND("D",B851)+1,FIND("T",B851,FIND("D",B851))-(FIND("D",B851)+1)),"P",",")),
IF(ISNUMBER(FIND("CFW5",B851)),
VALUE(MID(B851,
IF(ISNUMBER(FIND("F",B851)),FIND("F",B851)+1,FIND("G",B851)+1),
FIND("T",B851)-(IF(ISNUMBER(FIND("F",B851)),FIND("F",B851)+1,FIND("G",B851)+1))
)),
VALUE(MID(B851,FIND("E0",B851)+2,FIND("T",B851,FIND("E0",B851))-(FIND("E0",B851)+2)))
))),"")</f>
        <v>105</v>
      </c>
      <c r="G851">
        <f>IFERROR(
IF(ISNUMBER(FIND("T2",B851)),220,
IF(ISNUMBER(FIND("T4",B851)),440,
IF(ISNUMBER(FIND("T5",B851)),575,
IF(ISNUMBER(FIND("T6",B851)),690,"")))),
"")</f>
        <v>220</v>
      </c>
    </row>
    <row r="852" spans="1:7" x14ac:dyDescent="0.25">
      <c r="A852">
        <v>11802350</v>
      </c>
      <c r="B852" t="str">
        <f>VLOOKUP(A852,Planilha2!B:C,2,0)</f>
        <v>INVERSOR CFW701D70P5T4DBN1C3</v>
      </c>
      <c r="C852" t="s">
        <v>1</v>
      </c>
      <c r="D852" t="str">
        <f>VLOOKUP(A852,Planilha2!B:H,7,0)</f>
        <v>OBSOLETOS DRIVES</v>
      </c>
      <c r="E852" s="5">
        <v>31100</v>
      </c>
      <c r="F852">
        <f>IFERROR(
IF(ISNUMBER(FIND("CFW110",B852)),
VALUE(MID(B852,FIND("CFW110",B852)+6,FIND("T",B852,FIND("CFW110",B852))-(FIND("CFW110",B852)+6))),
IF(ISNUMBER(FIND("D",B852)),
VALUE(SUBSTITUTE(MID(B852,FIND("D",B852)+1,FIND("T",B852,FIND("D",B852))-(FIND("D",B852)+1)),"P",",")),
IF(ISNUMBER(FIND("CFW5",B852)),
VALUE(MID(B852,
IF(ISNUMBER(FIND("F",B852)),FIND("F",B852)+1,FIND("G",B852)+1),
FIND("T",B852)-(IF(ISNUMBER(FIND("F",B852)),FIND("F",B852)+1,FIND("G",B852)+1))
)),
VALUE(MID(B852,FIND("E0",B852)+2,FIND("T",B852,FIND("E0",B852))-(FIND("E0",B852)+2)))
))),"")</f>
        <v>70.5</v>
      </c>
      <c r="G852">
        <f>IFERROR(
IF(ISNUMBER(FIND("T2",B852)),220,
IF(ISNUMBER(FIND("T4",B852)),440,
IF(ISNUMBER(FIND("T5",B852)),575,
IF(ISNUMBER(FIND("T6",B852)),690,"")))),
"")</f>
        <v>440</v>
      </c>
    </row>
    <row r="853" spans="1:7" x14ac:dyDescent="0.25">
      <c r="A853">
        <v>11802351</v>
      </c>
      <c r="B853" t="str">
        <f>VLOOKUP(A853,Planilha2!B:C,2,0)</f>
        <v>INVERSOR CFW701D88P0T4DBN1C3</v>
      </c>
      <c r="C853" t="s">
        <v>1</v>
      </c>
      <c r="D853" t="str">
        <f>VLOOKUP(A853,Planilha2!B:H,7,0)</f>
        <v>OBSOLETOS DRIVES</v>
      </c>
      <c r="E853" s="5">
        <v>31100</v>
      </c>
      <c r="F853">
        <f>IFERROR(
IF(ISNUMBER(FIND("CFW110",B853)),
VALUE(MID(B853,FIND("CFW110",B853)+6,FIND("T",B853,FIND("CFW110",B853))-(FIND("CFW110",B853)+6))),
IF(ISNUMBER(FIND("D",B853)),
VALUE(SUBSTITUTE(MID(B853,FIND("D",B853)+1,FIND("T",B853,FIND("D",B853))-(FIND("D",B853)+1)),"P",",")),
IF(ISNUMBER(FIND("CFW5",B853)),
VALUE(MID(B853,
IF(ISNUMBER(FIND("F",B853)),FIND("F",B853)+1,FIND("G",B853)+1),
FIND("T",B853)-(IF(ISNUMBER(FIND("F",B853)),FIND("F",B853)+1,FIND("G",B853)+1))
)),
VALUE(MID(B853,FIND("E0",B853)+2,FIND("T",B853,FIND("E0",B853))-(FIND("E0",B853)+2)))
))),"")</f>
        <v>88</v>
      </c>
      <c r="G853">
        <f>IFERROR(
IF(ISNUMBER(FIND("T2",B853)),220,
IF(ISNUMBER(FIND("T4",B853)),440,
IF(ISNUMBER(FIND("T5",B853)),575,
IF(ISNUMBER(FIND("T6",B853)),690,"")))),
"")</f>
        <v>440</v>
      </c>
    </row>
    <row r="854" spans="1:7" x14ac:dyDescent="0.25">
      <c r="A854">
        <v>11802352</v>
      </c>
      <c r="B854" t="str">
        <f>VLOOKUP(A854,Planilha2!B:C,2,0)</f>
        <v>INVERSOR CFW701E0142T2NB20C3</v>
      </c>
      <c r="C854" t="s">
        <v>1</v>
      </c>
      <c r="D854" t="str">
        <f>VLOOKUP(A854,Planilha2!B:H,7,0)</f>
        <v>OBSOLETOS DRIVES</v>
      </c>
      <c r="E854" s="5">
        <v>69100</v>
      </c>
      <c r="F854">
        <f>IFERROR(
IF(ISNUMBER(FIND("CFW110",B854)),
VALUE(MID(B854,FIND("CFW110",B854)+6,FIND("T",B854,FIND("CFW110",B854))-(FIND("CFW110",B854)+6))),
IF(ISNUMBER(FIND("D",B854)),
VALUE(SUBSTITUTE(MID(B854,FIND("D",B854)+1,FIND("T",B854,FIND("D",B854))-(FIND("D",B854)+1)),"P",",")),
IF(ISNUMBER(FIND("CFW5",B854)),
VALUE(MID(B854,
IF(ISNUMBER(FIND("F",B854)),FIND("F",B854)+1,FIND("G",B854)+1),
FIND("T",B854)-(IF(ISNUMBER(FIND("F",B854)),FIND("F",B854)+1,FIND("G",B854)+1))
)),
VALUE(MID(B854,FIND("E0",B854)+2,FIND("T",B854,FIND("E0",B854))-(FIND("E0",B854)+2)))
))),"")</f>
        <v>142</v>
      </c>
      <c r="G854">
        <f>IFERROR(
IF(ISNUMBER(FIND("T2",B854)),220,
IF(ISNUMBER(FIND("T4",B854)),440,
IF(ISNUMBER(FIND("T5",B854)),575,
IF(ISNUMBER(FIND("T6",B854)),690,"")))),
"")</f>
        <v>220</v>
      </c>
    </row>
    <row r="855" spans="1:7" x14ac:dyDescent="0.25">
      <c r="A855">
        <v>11802355</v>
      </c>
      <c r="B855" t="str">
        <f>VLOOKUP(A855,Planilha2!B:C,2,0)</f>
        <v>INVERSOR CFW701E0142T2DB20C3</v>
      </c>
      <c r="C855" t="s">
        <v>1</v>
      </c>
      <c r="D855" t="str">
        <f>VLOOKUP(A855,Planilha2!B:H,7,0)</f>
        <v>OBSOLETOS DRIVES</v>
      </c>
      <c r="E855" s="5">
        <v>69100</v>
      </c>
      <c r="F855" t="str">
        <f>IFERROR(
IF(ISNUMBER(FIND("CFW110",B855)),
VALUE(MID(B855,FIND("CFW110",B855)+6,FIND("T",B855,FIND("CFW110",B855))-(FIND("CFW110",B855)+6))),
IF(ISNUMBER(FIND("D",B855)),
VALUE(SUBSTITUTE(MID(B855,FIND("D",B855)+1,FIND("T",B855,FIND("D",B855))-(FIND("D",B855)+1)),"P",",")),
IF(ISNUMBER(FIND("CFW5",B855)),
VALUE(MID(B855,
IF(ISNUMBER(FIND("F",B855)),FIND("F",B855)+1,FIND("G",B855)+1),
FIND("T",B855)-(IF(ISNUMBER(FIND("F",B855)),FIND("F",B855)+1,FIND("G",B855)+1))
)),
VALUE(MID(B855,FIND("E0",B855)+2,FIND("T",B855,FIND("E0",B855))-(FIND("E0",B855)+2)))
))),"")</f>
        <v/>
      </c>
      <c r="G855">
        <f>IFERROR(
IF(ISNUMBER(FIND("T2",B855)),220,
IF(ISNUMBER(FIND("T4",B855)),440,
IF(ISNUMBER(FIND("T5",B855)),575,
IF(ISNUMBER(FIND("T6",B855)),690,"")))),
"")</f>
        <v>220</v>
      </c>
    </row>
    <row r="856" spans="1:7" x14ac:dyDescent="0.25">
      <c r="A856">
        <v>11142956</v>
      </c>
      <c r="B856" t="str">
        <f>VLOOKUP(A856,Planilha2!B:C,2,0)</f>
        <v>INVERSOR EUCFW110038T4O54FAZ</v>
      </c>
      <c r="C856" t="s">
        <v>1</v>
      </c>
      <c r="D856" t="str">
        <f>VLOOKUP(A856,Planilha2!B:H,7,0)</f>
        <v>LINHA M3</v>
      </c>
      <c r="E856" s="5">
        <v>26000</v>
      </c>
      <c r="F856">
        <f>IFERROR(
IF(ISNUMBER(FIND("CFW110",B856)),
VALUE(MID(B856,FIND("CFW110",B856)+6,FIND("T",B856,FIND("CFW110",B856))-(FIND("CFW110",B856)+6))),
IF(ISNUMBER(FIND("D",B856)),
VALUE(SUBSTITUTE(MID(B856,FIND("D",B856)+1,FIND("T",B856,FIND("D",B856))-(FIND("D",B856)+1)),"P",",")),
IF(ISNUMBER(FIND("CFW5",B856)),
VALUE(MID(B856,
IF(ISNUMBER(FIND("F",B856)),FIND("F",B856)+1,FIND("G",B856)+1),
FIND("T",B856)-(IF(ISNUMBER(FIND("F",B856)),FIND("F",B856)+1,FIND("G",B856)+1))
)),
VALUE(MID(B856,FIND("E0",B856)+2,FIND("T",B856,FIND("E0",B856))-(FIND("E0",B856)+2)))
))),"")</f>
        <v>38</v>
      </c>
      <c r="G856">
        <f>IFERROR(
IF(ISNUMBER(FIND("T2",B856)),220,
IF(ISNUMBER(FIND("T4",B856)),440,
IF(ISNUMBER(FIND("T5",B856)),575,
IF(ISNUMBER(FIND("T6",B856)),690,"")))),
"")</f>
        <v>440</v>
      </c>
    </row>
    <row r="857" spans="1:7" x14ac:dyDescent="0.25">
      <c r="A857">
        <v>11143089</v>
      </c>
      <c r="B857" t="str">
        <f>VLOOKUP(A857,Planilha2!B:C,2,0)</f>
        <v>INVERSOR EUCFW110088T4O54FAZ</v>
      </c>
      <c r="C857" t="s">
        <v>1</v>
      </c>
      <c r="D857" t="str">
        <f>VLOOKUP(A857,Planilha2!B:H,7,0)</f>
        <v>LINHA M3</v>
      </c>
      <c r="E857" s="5">
        <v>26000</v>
      </c>
      <c r="F857">
        <f>IFERROR(
IF(ISNUMBER(FIND("CFW110",B857)),
VALUE(MID(B857,FIND("CFW110",B857)+6,FIND("T",B857,FIND("CFW110",B857))-(FIND("CFW110",B857)+6))),
IF(ISNUMBER(FIND("D",B857)),
VALUE(SUBSTITUTE(MID(B857,FIND("D",B857)+1,FIND("T",B857,FIND("D",B857))-(FIND("D",B857)+1)),"P",",")),
IF(ISNUMBER(FIND("CFW5",B857)),
VALUE(MID(B857,
IF(ISNUMBER(FIND("F",B857)),FIND("F",B857)+1,FIND("G",B857)+1),
FIND("T",B857)-(IF(ISNUMBER(FIND("F",B857)),FIND("F",B857)+1,FIND("G",B857)+1))
)),
VALUE(MID(B857,FIND("E0",B857)+2,FIND("T",B857,FIND("E0",B857))-(FIND("E0",B857)+2)))
))),"")</f>
        <v>88</v>
      </c>
      <c r="G857">
        <f>IFERROR(
IF(ISNUMBER(FIND("T2",B857)),220,
IF(ISNUMBER(FIND("T4",B857)),440,
IF(ISNUMBER(FIND("T5",B857)),575,
IF(ISNUMBER(FIND("T6",B857)),690,"")))),
"")</f>
        <v>440</v>
      </c>
    </row>
    <row r="858" spans="1:7" x14ac:dyDescent="0.25">
      <c r="A858">
        <v>11144549</v>
      </c>
      <c r="B858" t="str">
        <f>VLOOKUP(A858,Planilha2!B:C,2,0)</f>
        <v>INVERSOR EUCFW110045T4O54FAZ</v>
      </c>
      <c r="C858" t="s">
        <v>1</v>
      </c>
      <c r="D858" t="str">
        <f>VLOOKUP(A858,Planilha2!B:H,7,0)</f>
        <v>LINHA M3</v>
      </c>
      <c r="E858" s="5">
        <v>26000</v>
      </c>
      <c r="F858">
        <f>IFERROR(
IF(ISNUMBER(FIND("CFW110",B858)),
VALUE(MID(B858,FIND("CFW110",B858)+6,FIND("T",B858,FIND("CFW110",B858))-(FIND("CFW110",B858)+6))),
IF(ISNUMBER(FIND("D",B858)),
VALUE(SUBSTITUTE(MID(B858,FIND("D",B858)+1,FIND("T",B858,FIND("D",B858))-(FIND("D",B858)+1)),"P",",")),
IF(ISNUMBER(FIND("CFW5",B858)),
VALUE(MID(B858,
IF(ISNUMBER(FIND("F",B858)),FIND("F",B858)+1,FIND("G",B858)+1),
FIND("T",B858)-(IF(ISNUMBER(FIND("F",B858)),FIND("F",B858)+1,FIND("G",B858)+1))
)),
VALUE(MID(B858,FIND("E0",B858)+2,FIND("T",B858,FIND("E0",B858))-(FIND("E0",B858)+2)))
))),"")</f>
        <v>45</v>
      </c>
      <c r="G858">
        <f>IFERROR(
IF(ISNUMBER(FIND("T2",B858)),220,
IF(ISNUMBER(FIND("T4",B858)),440,
IF(ISNUMBER(FIND("T5",B858)),575,
IF(ISNUMBER(FIND("T6",B858)),690,"")))),
"")</f>
        <v>440</v>
      </c>
    </row>
    <row r="859" spans="1:7" x14ac:dyDescent="0.25">
      <c r="A859">
        <v>11144552</v>
      </c>
      <c r="B859" t="str">
        <f>VLOOKUP(A859,Planilha2!B:C,2,0)</f>
        <v>INVERSOR EUCFW110058T4O54FAZ</v>
      </c>
      <c r="C859" t="s">
        <v>1</v>
      </c>
      <c r="D859" t="str">
        <f>VLOOKUP(A859,Planilha2!B:H,7,0)</f>
        <v>LINHA M3</v>
      </c>
      <c r="E859" s="5">
        <v>26000</v>
      </c>
      <c r="F859">
        <f>IFERROR(
IF(ISNUMBER(FIND("CFW110",B859)),
VALUE(MID(B859,FIND("CFW110",B859)+6,FIND("T",B859,FIND("CFW110",B859))-(FIND("CFW110",B859)+6))),
IF(ISNUMBER(FIND("D",B859)),
VALUE(SUBSTITUTE(MID(B859,FIND("D",B859)+1,FIND("T",B859,FIND("D",B859))-(FIND("D",B859)+1)),"P",",")),
IF(ISNUMBER(FIND("CFW5",B859)),
VALUE(MID(B859,
IF(ISNUMBER(FIND("F",B859)),FIND("F",B859)+1,FIND("G",B859)+1),
FIND("T",B859)-(IF(ISNUMBER(FIND("F",B859)),FIND("F",B859)+1,FIND("G",B859)+1))
)),
VALUE(MID(B859,FIND("E0",B859)+2,FIND("T",B859,FIND("E0",B859))-(FIND("E0",B859)+2)))
))),"")</f>
        <v>58</v>
      </c>
      <c r="G859">
        <f>IFERROR(
IF(ISNUMBER(FIND("T2",B859)),220,
IF(ISNUMBER(FIND("T4",B859)),440,
IF(ISNUMBER(FIND("T5",B859)),575,
IF(ISNUMBER(FIND("T6",B859)),690,"")))),
"")</f>
        <v>440</v>
      </c>
    </row>
    <row r="860" spans="1:7" x14ac:dyDescent="0.25">
      <c r="A860">
        <v>11144554</v>
      </c>
      <c r="B860" t="str">
        <f>VLOOKUP(A860,Planilha2!B:C,2,0)</f>
        <v>INVERSOR EUCFW110070T4O54FAZ</v>
      </c>
      <c r="C860" t="s">
        <v>1</v>
      </c>
      <c r="D860" t="str">
        <f>VLOOKUP(A860,Planilha2!B:H,7,0)</f>
        <v>LINHA M3</v>
      </c>
      <c r="E860" s="5">
        <v>26000</v>
      </c>
      <c r="F860">
        <f>IFERROR(
IF(ISNUMBER(FIND("CFW110",B860)),
VALUE(MID(B860,FIND("CFW110",B860)+6,FIND("T",B860,FIND("CFW110",B860))-(FIND("CFW110",B860)+6))),
IF(ISNUMBER(FIND("D",B860)),
VALUE(SUBSTITUTE(MID(B860,FIND("D",B860)+1,FIND("T",B860,FIND("D",B860))-(FIND("D",B860)+1)),"P",",")),
IF(ISNUMBER(FIND("CFW5",B860)),
VALUE(MID(B860,
IF(ISNUMBER(FIND("F",B860)),FIND("F",B860)+1,FIND("G",B860)+1),
FIND("T",B860)-(IF(ISNUMBER(FIND("F",B860)),FIND("F",B860)+1,FIND("G",B860)+1))
)),
VALUE(MID(B860,FIND("E0",B860)+2,FIND("T",B860,FIND("E0",B860))-(FIND("E0",B860)+2)))
))),"")</f>
        <v>70</v>
      </c>
      <c r="G860">
        <f>IFERROR(
IF(ISNUMBER(FIND("T2",B860)),220,
IF(ISNUMBER(FIND("T4",B860)),440,
IF(ISNUMBER(FIND("T5",B860)),575,
IF(ISNUMBER(FIND("T6",B860)),690,"")))),
"")</f>
        <v>440</v>
      </c>
    </row>
    <row r="861" spans="1:7" x14ac:dyDescent="0.25">
      <c r="A861">
        <v>11128842</v>
      </c>
      <c r="B861" t="str">
        <f>VLOOKUP(A861,Planilha2!B:C,2,0)</f>
        <v>INVERSOR NACFW110142T2SZ</v>
      </c>
      <c r="C861" t="s">
        <v>1</v>
      </c>
      <c r="D861" t="str">
        <f>VLOOKUP(A861,Planilha2!B:H,7,0)</f>
        <v>LINHA G1</v>
      </c>
      <c r="E861" s="5">
        <v>64000</v>
      </c>
      <c r="F861">
        <f>IFERROR(
IF(ISNUMBER(FIND("CFW110",B861)),
VALUE(MID(B861,FIND("CFW110",B861)+6,FIND("T",B861,FIND("CFW110",B861))-(FIND("CFW110",B861)+6))),
IF(ISNUMBER(FIND("D",B861)),
VALUE(SUBSTITUTE(MID(B861,FIND("D",B861)+1,FIND("T",B861,FIND("D",B861))-(FIND("D",B861)+1)),"P",",")),
IF(ISNUMBER(FIND("CFW5",B861)),
VALUE(MID(B861,
IF(ISNUMBER(FIND("F",B861)),FIND("F",B861)+1,FIND("G",B861)+1),
FIND("T",B861)-(IF(ISNUMBER(FIND("F",B861)),FIND("F",B861)+1,FIND("G",B861)+1))
)),
VALUE(MID(B861,FIND("E0",B861)+2,FIND("T",B861,FIND("E0",B861))-(FIND("E0",B861)+2)))
))),"")</f>
        <v>142</v>
      </c>
      <c r="G861">
        <f>IFERROR(
IF(ISNUMBER(FIND("T2",B861)),220,
IF(ISNUMBER(FIND("T4",B861)),440,
IF(ISNUMBER(FIND("T5",B861)),575,
IF(ISNUMBER(FIND("T6",B861)),690,"")))),
"")</f>
        <v>220</v>
      </c>
    </row>
    <row r="862" spans="1:7" x14ac:dyDescent="0.25">
      <c r="A862">
        <v>11128881</v>
      </c>
      <c r="B862" t="str">
        <f>VLOOKUP(A862,Planilha2!B:C,2,0)</f>
        <v>INVERSOR NACFW110142T2ODBZ</v>
      </c>
      <c r="C862" t="s">
        <v>1</v>
      </c>
      <c r="D862" t="str">
        <f>VLOOKUP(A862,Planilha2!B:H,7,0)</f>
        <v>LINHA G1</v>
      </c>
      <c r="E862" s="5">
        <v>64000</v>
      </c>
      <c r="F862">
        <f>IFERROR(
IF(ISNUMBER(FIND("CFW110",B862)),
VALUE(MID(B862,FIND("CFW110",B862)+6,FIND("T",B862,FIND("CFW110",B862))-(FIND("CFW110",B862)+6))),
IF(ISNUMBER(FIND("D",B862)),
VALUE(SUBSTITUTE(MID(B862,FIND("D",B862)+1,FIND("T",B862,FIND("D",B862))-(FIND("D",B862)+1)),"P",",")),
IF(ISNUMBER(FIND("CFW5",B862)),
VALUE(MID(B862,
IF(ISNUMBER(FIND("F",B862)),FIND("F",B862)+1,FIND("G",B862)+1),
FIND("T",B862)-(IF(ISNUMBER(FIND("F",B862)),FIND("F",B862)+1,FIND("G",B862)+1))
)),
VALUE(MID(B862,FIND("E0",B862)+2,FIND("T",B862,FIND("E0",B862))-(FIND("E0",B862)+2)))
))),"")</f>
        <v>142</v>
      </c>
      <c r="G862">
        <f>IFERROR(
IF(ISNUMBER(FIND("T2",B862)),220,
IF(ISNUMBER(FIND("T4",B862)),440,
IF(ISNUMBER(FIND("T5",B862)),575,
IF(ISNUMBER(FIND("T6",B862)),690,"")))),
"")</f>
        <v>220</v>
      </c>
    </row>
    <row r="863" spans="1:7" x14ac:dyDescent="0.25">
      <c r="A863">
        <v>11128905</v>
      </c>
      <c r="B863" t="str">
        <f>VLOOKUP(A863,Planilha2!B:C,2,0)</f>
        <v>INVERSOR NACFW110142T2ON1Z</v>
      </c>
      <c r="C863" t="s">
        <v>1</v>
      </c>
      <c r="D863" t="str">
        <f>VLOOKUP(A863,Planilha2!B:H,7,0)</f>
        <v>LINHA G1</v>
      </c>
      <c r="E863" s="5">
        <v>66100</v>
      </c>
      <c r="F863">
        <f>IFERROR(
IF(ISNUMBER(FIND("CFW110",B863)),
VALUE(MID(B863,FIND("CFW110",B863)+6,FIND("T",B863,FIND("CFW110",B863))-(FIND("CFW110",B863)+6))),
IF(ISNUMBER(FIND("D",B863)),
VALUE(SUBSTITUTE(MID(B863,FIND("D",B863)+1,FIND("T",B863,FIND("D",B863))-(FIND("D",B863)+1)),"P",",")),
IF(ISNUMBER(FIND("CFW5",B863)),
VALUE(MID(B863,
IF(ISNUMBER(FIND("F",B863)),FIND("F",B863)+1,FIND("G",B863)+1),
FIND("T",B863)-(IF(ISNUMBER(FIND("F",B863)),FIND("F",B863)+1,FIND("G",B863)+1))
)),
VALUE(MID(B863,FIND("E0",B863)+2,FIND("T",B863,FIND("E0",B863))-(FIND("E0",B863)+2)))
))),"")</f>
        <v>142</v>
      </c>
      <c r="G863">
        <f>IFERROR(
IF(ISNUMBER(FIND("T2",B863)),220,
IF(ISNUMBER(FIND("T4",B863)),440,
IF(ISNUMBER(FIND("T5",B863)),575,
IF(ISNUMBER(FIND("T6",B863)),690,"")))),
"")</f>
        <v>220</v>
      </c>
    </row>
    <row r="864" spans="1:7" x14ac:dyDescent="0.25">
      <c r="A864">
        <v>11128987</v>
      </c>
      <c r="B864" t="str">
        <f>VLOOKUP(A864,Planilha2!B:C,2,0)</f>
        <v>INVERSOR SACFW110142T2SZ</v>
      </c>
      <c r="C864" t="s">
        <v>1</v>
      </c>
      <c r="D864" t="str">
        <f>VLOOKUP(A864,Planilha2!B:H,7,0)</f>
        <v>LINHA G1</v>
      </c>
      <c r="E864" s="5">
        <v>64000</v>
      </c>
      <c r="F864">
        <f>IFERROR(
IF(ISNUMBER(FIND("CFW110",B864)),
VALUE(MID(B864,FIND("CFW110",B864)+6,FIND("T",B864,FIND("CFW110",B864))-(FIND("CFW110",B864)+6))),
IF(ISNUMBER(FIND("D",B864)),
VALUE(SUBSTITUTE(MID(B864,FIND("D",B864)+1,FIND("T",B864,FIND("D",B864))-(FIND("D",B864)+1)),"P",",")),
IF(ISNUMBER(FIND("CFW5",B864)),
VALUE(MID(B864,
IF(ISNUMBER(FIND("F",B864)),FIND("F",B864)+1,FIND("G",B864)+1),
FIND("T",B864)-(IF(ISNUMBER(FIND("F",B864)),FIND("F",B864)+1,FIND("G",B864)+1))
)),
VALUE(MID(B864,FIND("E0",B864)+2,FIND("T",B864,FIND("E0",B864))-(FIND("E0",B864)+2)))
))),"")</f>
        <v>142</v>
      </c>
      <c r="G864">
        <f>IFERROR(
IF(ISNUMBER(FIND("T2",B864)),220,
IF(ISNUMBER(FIND("T4",B864)),440,
IF(ISNUMBER(FIND("T5",B864)),575,
IF(ISNUMBER(FIND("T6",B864)),690,"")))),
"")</f>
        <v>220</v>
      </c>
    </row>
    <row r="865" spans="1:7" x14ac:dyDescent="0.25">
      <c r="A865">
        <v>11129015</v>
      </c>
      <c r="B865" t="str">
        <f>VLOOKUP(A865,Planilha2!B:C,2,0)</f>
        <v>INVERSOR SACFW110142T2ODBZ</v>
      </c>
      <c r="C865" t="s">
        <v>1</v>
      </c>
      <c r="D865" t="str">
        <f>VLOOKUP(A865,Planilha2!B:H,7,0)</f>
        <v>LINHA G1</v>
      </c>
      <c r="E865" s="5">
        <v>64000</v>
      </c>
      <c r="F865">
        <f>IFERROR(
IF(ISNUMBER(FIND("CFW110",B865)),
VALUE(MID(B865,FIND("CFW110",B865)+6,FIND("T",B865,FIND("CFW110",B865))-(FIND("CFW110",B865)+6))),
IF(ISNUMBER(FIND("D",B865)),
VALUE(SUBSTITUTE(MID(B865,FIND("D",B865)+1,FIND("T",B865,FIND("D",B865))-(FIND("D",B865)+1)),"P",",")),
IF(ISNUMBER(FIND("CFW5",B865)),
VALUE(MID(B865,
IF(ISNUMBER(FIND("F",B865)),FIND("F",B865)+1,FIND("G",B865)+1),
FIND("T",B865)-(IF(ISNUMBER(FIND("F",B865)),FIND("F",B865)+1,FIND("G",B865)+1))
)),
VALUE(MID(B865,FIND("E0",B865)+2,FIND("T",B865,FIND("E0",B865))-(FIND("E0",B865)+2)))
))),"")</f>
        <v>142</v>
      </c>
      <c r="G865">
        <f>IFERROR(
IF(ISNUMBER(FIND("T2",B865)),220,
IF(ISNUMBER(FIND("T4",B865)),440,
IF(ISNUMBER(FIND("T5",B865)),575,
IF(ISNUMBER(FIND("T6",B865)),690,"")))),
"")</f>
        <v>220</v>
      </c>
    </row>
    <row r="866" spans="1:7" x14ac:dyDescent="0.25">
      <c r="A866">
        <v>11129033</v>
      </c>
      <c r="B866" t="str">
        <f>VLOOKUP(A866,Planilha2!B:C,2,0)</f>
        <v>INVERSOR EUCFW110142T2SZ</v>
      </c>
      <c r="C866" t="s">
        <v>1</v>
      </c>
      <c r="D866" t="str">
        <f>VLOOKUP(A866,Planilha2!B:H,7,0)</f>
        <v>LINHA G1</v>
      </c>
      <c r="E866" s="5">
        <v>64000</v>
      </c>
      <c r="F866">
        <f>IFERROR(
IF(ISNUMBER(FIND("CFW110",B866)),
VALUE(MID(B866,FIND("CFW110",B866)+6,FIND("T",B866,FIND("CFW110",B866))-(FIND("CFW110",B866)+6))),
IF(ISNUMBER(FIND("D",B866)),
VALUE(SUBSTITUTE(MID(B866,FIND("D",B866)+1,FIND("T",B866,FIND("D",B866))-(FIND("D",B866)+1)),"P",",")),
IF(ISNUMBER(FIND("CFW5",B866)),
VALUE(MID(B866,
IF(ISNUMBER(FIND("F",B866)),FIND("F",B866)+1,FIND("G",B866)+1),
FIND("T",B866)-(IF(ISNUMBER(FIND("F",B866)),FIND("F",B866)+1,FIND("G",B866)+1))
)),
VALUE(MID(B866,FIND("E0",B866)+2,FIND("T",B866,FIND("E0",B866))-(FIND("E0",B866)+2)))
))),"")</f>
        <v>142</v>
      </c>
      <c r="G866">
        <f>IFERROR(
IF(ISNUMBER(FIND("T2",B866)),220,
IF(ISNUMBER(FIND("T4",B866)),440,
IF(ISNUMBER(FIND("T5",B866)),575,
IF(ISNUMBER(FIND("T6",B866)),690,"")))),
"")</f>
        <v>220</v>
      </c>
    </row>
    <row r="867" spans="1:7" x14ac:dyDescent="0.25">
      <c r="A867">
        <v>11129060</v>
      </c>
      <c r="B867" t="str">
        <f>VLOOKUP(A867,Planilha2!B:C,2,0)</f>
        <v>INVERSOR EUCFW110142T2ODBZ</v>
      </c>
      <c r="C867" t="s">
        <v>1</v>
      </c>
      <c r="D867" t="str">
        <f>VLOOKUP(A867,Planilha2!B:H,7,0)</f>
        <v>LINHA G1</v>
      </c>
      <c r="E867" s="5">
        <v>64000</v>
      </c>
      <c r="F867">
        <f>IFERROR(
IF(ISNUMBER(FIND("CFW110",B867)),
VALUE(MID(B867,FIND("CFW110",B867)+6,FIND("T",B867,FIND("CFW110",B867))-(FIND("CFW110",B867)+6))),
IF(ISNUMBER(FIND("D",B867)),
VALUE(SUBSTITUTE(MID(B867,FIND("D",B867)+1,FIND("T",B867,FIND("D",B867))-(FIND("D",B867)+1)),"P",",")),
IF(ISNUMBER(FIND("CFW5",B867)),
VALUE(MID(B867,
IF(ISNUMBER(FIND("F",B867)),FIND("F",B867)+1,FIND("G",B867)+1),
FIND("T",B867)-(IF(ISNUMBER(FIND("F",B867)),FIND("F",B867)+1,FIND("G",B867)+1))
)),
VALUE(MID(B867,FIND("E0",B867)+2,FIND("T",B867,FIND("E0",B867))-(FIND("E0",B867)+2)))
))),"")</f>
        <v>142</v>
      </c>
      <c r="G867">
        <f>IFERROR(
IF(ISNUMBER(FIND("T2",B867)),220,
IF(ISNUMBER(FIND("T4",B867)),440,
IF(ISNUMBER(FIND("T5",B867)),575,
IF(ISNUMBER(FIND("T6",B867)),690,"")))),
"")</f>
        <v>220</v>
      </c>
    </row>
    <row r="868" spans="1:7" x14ac:dyDescent="0.25">
      <c r="A868">
        <v>11129335</v>
      </c>
      <c r="B868" t="str">
        <f>VLOOKUP(A868,Planilha2!B:C,2,0)</f>
        <v>INVERSOR MSCFW110142T2SZ</v>
      </c>
      <c r="C868" t="s">
        <v>1</v>
      </c>
      <c r="D868" t="str">
        <f>VLOOKUP(A868,Planilha2!B:H,7,0)</f>
        <v>LINHA G1</v>
      </c>
      <c r="E868" s="5">
        <v>64000</v>
      </c>
      <c r="F868">
        <f>IFERROR(
IF(ISNUMBER(FIND("CFW110",B868)),
VALUE(MID(B868,FIND("CFW110",B868)+6,FIND("T",B868,FIND("CFW110",B868))-(FIND("CFW110",B868)+6))),
IF(ISNUMBER(FIND("D",B868)),
VALUE(SUBSTITUTE(MID(B868,FIND("D",B868)+1,FIND("T",B868,FIND("D",B868))-(FIND("D",B868)+1)),"P",",")),
IF(ISNUMBER(FIND("CFW5",B868)),
VALUE(MID(B868,
IF(ISNUMBER(FIND("F",B868)),FIND("F",B868)+1,FIND("G",B868)+1),
FIND("T",B868)-(IF(ISNUMBER(FIND("F",B868)),FIND("F",B868)+1,FIND("G",B868)+1))
)),
VALUE(MID(B868,FIND("E0",B868)+2,FIND("T",B868,FIND("E0",B868))-(FIND("E0",B868)+2)))
))),"")</f>
        <v>142</v>
      </c>
      <c r="G868">
        <f>IFERROR(
IF(ISNUMBER(FIND("T2",B868)),220,
IF(ISNUMBER(FIND("T4",B868)),440,
IF(ISNUMBER(FIND("T5",B868)),575,
IF(ISNUMBER(FIND("T6",B868)),690,"")))),
"")</f>
        <v>220</v>
      </c>
    </row>
    <row r="869" spans="1:7" x14ac:dyDescent="0.25">
      <c r="A869">
        <v>11129388</v>
      </c>
      <c r="B869" t="str">
        <f>VLOOKUP(A869,Planilha2!B:C,2,0)</f>
        <v>INVERSOR MSCFW110142T2ODBZ</v>
      </c>
      <c r="C869" t="s">
        <v>1</v>
      </c>
      <c r="D869" t="str">
        <f>VLOOKUP(A869,Planilha2!B:H,7,0)</f>
        <v>LINHA G1</v>
      </c>
      <c r="E869" s="5">
        <v>64000</v>
      </c>
      <c r="F869">
        <f>IFERROR(
IF(ISNUMBER(FIND("CFW110",B869)),
VALUE(MID(B869,FIND("CFW110",B869)+6,FIND("T",B869,FIND("CFW110",B869))-(FIND("CFW110",B869)+6))),
IF(ISNUMBER(FIND("D",B869)),
VALUE(SUBSTITUTE(MID(B869,FIND("D",B869)+1,FIND("T",B869,FIND("D",B869))-(FIND("D",B869)+1)),"P",",")),
IF(ISNUMBER(FIND("CFW5",B869)),
VALUE(MID(B869,
IF(ISNUMBER(FIND("F",B869)),FIND("F",B869)+1,FIND("G",B869)+1),
FIND("T",B869)-(IF(ISNUMBER(FIND("F",B869)),FIND("F",B869)+1,FIND("G",B869)+1))
)),
VALUE(MID(B869,FIND("E0",B869)+2,FIND("T",B869,FIND("E0",B869))-(FIND("E0",B869)+2)))
))),"")</f>
        <v>142</v>
      </c>
      <c r="G869">
        <f>IFERROR(
IF(ISNUMBER(FIND("T2",B869)),220,
IF(ISNUMBER(FIND("T4",B869)),440,
IF(ISNUMBER(FIND("T5",B869)),575,
IF(ISNUMBER(FIND("T6",B869)),690,"")))),
"")</f>
        <v>220</v>
      </c>
    </row>
    <row r="870" spans="1:7" x14ac:dyDescent="0.25">
      <c r="A870">
        <v>11129517</v>
      </c>
      <c r="B870" t="str">
        <f>VLOOKUP(A870,Planilha2!B:C,2,0)</f>
        <v>INVERSOR NACFW110142T2ON1DBZ</v>
      </c>
      <c r="C870" t="s">
        <v>1</v>
      </c>
      <c r="D870" t="str">
        <f>VLOOKUP(A870,Planilha2!B:H,7,0)</f>
        <v>LINHA G1</v>
      </c>
      <c r="E870" s="5">
        <v>66100</v>
      </c>
      <c r="F870">
        <f>IFERROR(
IF(ISNUMBER(FIND("CFW110",B870)),
VALUE(MID(B870,FIND("CFW110",B870)+6,FIND("T",B870,FIND("CFW110",B870))-(FIND("CFW110",B870)+6))),
IF(ISNUMBER(FIND("D",B870)),
VALUE(SUBSTITUTE(MID(B870,FIND("D",B870)+1,FIND("T",B870,FIND("D",B870))-(FIND("D",B870)+1)),"P",",")),
IF(ISNUMBER(FIND("CFW5",B870)),
VALUE(MID(B870,
IF(ISNUMBER(FIND("F",B870)),FIND("F",B870)+1,FIND("G",B870)+1),
FIND("T",B870)-(IF(ISNUMBER(FIND("F",B870)),FIND("F",B870)+1,FIND("G",B870)+1))
)),
VALUE(MID(B870,FIND("E0",B870)+2,FIND("T",B870,FIND("E0",B870))-(FIND("E0",B870)+2)))
))),"")</f>
        <v>142</v>
      </c>
      <c r="G870">
        <f>IFERROR(
IF(ISNUMBER(FIND("T2",B870)),220,
IF(ISNUMBER(FIND("T4",B870)),440,
IF(ISNUMBER(FIND("T5",B870)),575,
IF(ISNUMBER(FIND("T6",B870)),690,"")))),
"")</f>
        <v>220</v>
      </c>
    </row>
    <row r="871" spans="1:7" x14ac:dyDescent="0.25">
      <c r="A871">
        <v>11544121</v>
      </c>
      <c r="B871" t="str">
        <f>VLOOKUP(A871,Planilha2!B:C,2,0)</f>
        <v>INVERSOR CFW700E0142T2DB20C3</v>
      </c>
      <c r="C871" t="s">
        <v>1</v>
      </c>
      <c r="D871" t="str">
        <f>VLOOKUP(A871,Planilha2!B:H,7,0)</f>
        <v>OBSOLETOS DRIVES</v>
      </c>
      <c r="E871" s="5">
        <v>69100</v>
      </c>
      <c r="F871" t="str">
        <f>IFERROR(
IF(ISNUMBER(FIND("CFW110",B871)),
VALUE(MID(B871,FIND("CFW110",B871)+6,FIND("T",B871,FIND("CFW110",B871))-(FIND("CFW110",B871)+6))),
IF(ISNUMBER(FIND("D",B871)),
VALUE(SUBSTITUTE(MID(B871,FIND("D",B871)+1,FIND("T",B871,FIND("D",B871))-(FIND("D",B871)+1)),"P",",")),
IF(ISNUMBER(FIND("CFW5",B871)),
VALUE(MID(B871,
IF(ISNUMBER(FIND("F",B871)),FIND("F",B871)+1,FIND("G",B871)+1),
FIND("T",B871)-(IF(ISNUMBER(FIND("F",B871)),FIND("F",B871)+1,FIND("G",B871)+1))
)),
VALUE(MID(B871,FIND("E0",B871)+2,FIND("T",B871,FIND("E0",B871))-(FIND("E0",B871)+2)))
))),"")</f>
        <v/>
      </c>
      <c r="G871">
        <f>IFERROR(
IF(ISNUMBER(FIND("T2",B871)),220,
IF(ISNUMBER(FIND("T4",B871)),440,
IF(ISNUMBER(FIND("T5",B871)),575,
IF(ISNUMBER(FIND("T6",B871)),690,"")))),
"")</f>
        <v>220</v>
      </c>
    </row>
    <row r="872" spans="1:7" x14ac:dyDescent="0.25">
      <c r="A872">
        <v>11341883</v>
      </c>
      <c r="B872" t="str">
        <f>VLOOKUP(A872,Planilha2!B:C,2,0)</f>
        <v>INVERSOR CFW700D88P0T4DBN1C3Y1</v>
      </c>
      <c r="C872" t="s">
        <v>1</v>
      </c>
      <c r="D872" t="str">
        <f>VLOOKUP(A872,Planilha2!B:H,7,0)</f>
        <v>OBSOLETOS DRIVES</v>
      </c>
      <c r="E872" s="5">
        <v>64000</v>
      </c>
      <c r="F872">
        <f>IFERROR(
IF(ISNUMBER(FIND("CFW110",B872)),
VALUE(MID(B872,FIND("CFW110",B872)+6,FIND("T",B872,FIND("CFW110",B872))-(FIND("CFW110",B872)+6))),
IF(ISNUMBER(FIND("D",B872)),
VALUE(SUBSTITUTE(MID(B872,FIND("D",B872)+1,FIND("T",B872,FIND("D",B872))-(FIND("D",B872)+1)),"P",",")),
IF(ISNUMBER(FIND("CFW5",B872)),
VALUE(MID(B872,
IF(ISNUMBER(FIND("F",B872)),FIND("F",B872)+1,FIND("G",B872)+1),
FIND("T",B872)-(IF(ISNUMBER(FIND("F",B872)),FIND("F",B872)+1,FIND("G",B872)+1))
)),
VALUE(MID(B872,FIND("E0",B872)+2,FIND("T",B872,FIND("E0",B872))-(FIND("E0",B872)+2)))
))),"")</f>
        <v>88</v>
      </c>
      <c r="G872">
        <f>IFERROR(
IF(ISNUMBER(FIND("T2",B872)),220,
IF(ISNUMBER(FIND("T4",B872)),440,
IF(ISNUMBER(FIND("T5",B872)),575,
IF(ISNUMBER(FIND("T6",B872)),690,"")))),
"")</f>
        <v>440</v>
      </c>
    </row>
    <row r="873" spans="1:7" x14ac:dyDescent="0.25">
      <c r="A873">
        <v>11135487</v>
      </c>
      <c r="B873" t="str">
        <f>VLOOKUP(A873,Planilha2!B:C,2,0)</f>
        <v>INVERSOR BRCFW110045T2O54Z</v>
      </c>
      <c r="C873" t="s">
        <v>1</v>
      </c>
      <c r="D873" t="str">
        <f>VLOOKUP(A873,Planilha2!B:H,7,0)</f>
        <v>LINHA M3</v>
      </c>
      <c r="E873" s="5">
        <v>26000</v>
      </c>
      <c r="F873">
        <f>IFERROR(
IF(ISNUMBER(FIND("CFW110",B873)),
VALUE(MID(B873,FIND("CFW110",B873)+6,FIND("T",B873,FIND("CFW110",B873))-(FIND("CFW110",B873)+6))),
IF(ISNUMBER(FIND("D",B873)),
VALUE(SUBSTITUTE(MID(B873,FIND("D",B873)+1,FIND("T",B873,FIND("D",B873))-(FIND("D",B873)+1)),"P",",")),
IF(ISNUMBER(FIND("CFW5",B873)),
VALUE(MID(B873,
IF(ISNUMBER(FIND("F",B873)),FIND("F",B873)+1,FIND("G",B873)+1),
FIND("T",B873)-(IF(ISNUMBER(FIND("F",B873)),FIND("F",B873)+1,FIND("G",B873)+1))
)),
VALUE(MID(B873,FIND("E0",B873)+2,FIND("T",B873,FIND("E0",B873))-(FIND("E0",B873)+2)))
))),"")</f>
        <v>45</v>
      </c>
      <c r="G873">
        <f>IFERROR(
IF(ISNUMBER(FIND("T2",B873)),220,
IF(ISNUMBER(FIND("T4",B873)),440,
IF(ISNUMBER(FIND("T5",B873)),575,
IF(ISNUMBER(FIND("T6",B873)),690,"")))),
"")</f>
        <v>220</v>
      </c>
    </row>
    <row r="874" spans="1:7" x14ac:dyDescent="0.25">
      <c r="A874">
        <v>11142636</v>
      </c>
      <c r="B874" t="str">
        <f>VLOOKUP(A874,Planilha2!B:C,2,0)</f>
        <v>INVERSOR BRCFW110105T2O54Z</v>
      </c>
      <c r="C874" t="s">
        <v>1</v>
      </c>
      <c r="D874" t="str">
        <f>VLOOKUP(A874,Planilha2!B:H,7,0)</f>
        <v>LINHA M3</v>
      </c>
      <c r="E874" s="5">
        <v>26000</v>
      </c>
      <c r="F874">
        <f>IFERROR(
IF(ISNUMBER(FIND("CFW110",B874)),
VALUE(MID(B874,FIND("CFW110",B874)+6,FIND("T",B874,FIND("CFW110",B874))-(FIND("CFW110",B874)+6))),
IF(ISNUMBER(FIND("D",B874)),
VALUE(SUBSTITUTE(MID(B874,FIND("D",B874)+1,FIND("T",B874,FIND("D",B874))-(FIND("D",B874)+1)),"P",",")),
IF(ISNUMBER(FIND("CFW5",B874)),
VALUE(MID(B874,
IF(ISNUMBER(FIND("F",B874)),FIND("F",B874)+1,FIND("G",B874)+1),
FIND("T",B874)-(IF(ISNUMBER(FIND("F",B874)),FIND("F",B874)+1,FIND("G",B874)+1))
)),
VALUE(MID(B874,FIND("E0",B874)+2,FIND("T",B874,FIND("E0",B874))-(FIND("E0",B874)+2)))
))),"")</f>
        <v>105</v>
      </c>
      <c r="G874">
        <f>IFERROR(
IF(ISNUMBER(FIND("T2",B874)),220,
IF(ISNUMBER(FIND("T4",B874)),440,
IF(ISNUMBER(FIND("T5",B874)),575,
IF(ISNUMBER(FIND("T6",B874)),690,"")))),
"")</f>
        <v>220</v>
      </c>
    </row>
    <row r="875" spans="1:7" x14ac:dyDescent="0.25">
      <c r="A875">
        <v>11135483</v>
      </c>
      <c r="B875" t="str">
        <f>VLOOKUP(A875,Planilha2!B:C,2,0)</f>
        <v>INVERSOR BRCFW110033T2O54Z</v>
      </c>
      <c r="C875" t="s">
        <v>1</v>
      </c>
      <c r="D875" t="str">
        <f>VLOOKUP(A875,Planilha2!B:H,7,0)</f>
        <v>LINHA M1</v>
      </c>
      <c r="E875" s="5">
        <v>15000</v>
      </c>
      <c r="F875">
        <f>IFERROR(
IF(ISNUMBER(FIND("CFW110",B875)),
VALUE(MID(B875,FIND("CFW110",B875)+6,FIND("T",B875,FIND("CFW110",B875))-(FIND("CFW110",B875)+6))),
IF(ISNUMBER(FIND("D",B875)),
VALUE(SUBSTITUTE(MID(B875,FIND("D",B875)+1,FIND("T",B875,FIND("D",B875))-(FIND("D",B875)+1)),"P",",")),
IF(ISNUMBER(FIND("CFW5",B875)),
VALUE(MID(B875,
IF(ISNUMBER(FIND("F",B875)),FIND("F",B875)+1,FIND("G",B875)+1),
FIND("T",B875)-(IF(ISNUMBER(FIND("F",B875)),FIND("F",B875)+1,FIND("G",B875)+1))
)),
VALUE(MID(B875,FIND("E0",B875)+2,FIND("T",B875,FIND("E0",B875))-(FIND("E0",B875)+2)))
))),"")</f>
        <v>33</v>
      </c>
      <c r="G875">
        <f>IFERROR(
IF(ISNUMBER(FIND("T2",B875)),220,
IF(ISNUMBER(FIND("T4",B875)),440,
IF(ISNUMBER(FIND("T5",B875)),575,
IF(ISNUMBER(FIND("T6",B875)),690,"")))),
"")</f>
        <v>220</v>
      </c>
    </row>
    <row r="876" spans="1:7" x14ac:dyDescent="0.25">
      <c r="A876">
        <v>11141278</v>
      </c>
      <c r="B876" t="str">
        <f>VLOOKUP(A876,Planilha2!B:C,2,0)</f>
        <v>INVERSOR BRCFW110054T2O54Z</v>
      </c>
      <c r="C876" t="s">
        <v>1</v>
      </c>
      <c r="D876" t="str">
        <f>VLOOKUP(A876,Planilha2!B:H,7,0)</f>
        <v>LINHA M3</v>
      </c>
      <c r="E876" s="5">
        <v>26000</v>
      </c>
      <c r="F876">
        <f>IFERROR(
IF(ISNUMBER(FIND("CFW110",B876)),
VALUE(MID(B876,FIND("CFW110",B876)+6,FIND("T",B876,FIND("CFW110",B876))-(FIND("CFW110",B876)+6))),
IF(ISNUMBER(FIND("D",B876)),
VALUE(SUBSTITUTE(MID(B876,FIND("D",B876)+1,FIND("T",B876,FIND("D",B876))-(FIND("D",B876)+1)),"P",",")),
IF(ISNUMBER(FIND("CFW5",B876)),
VALUE(MID(B876,
IF(ISNUMBER(FIND("F",B876)),FIND("F",B876)+1,FIND("G",B876)+1),
FIND("T",B876)-(IF(ISNUMBER(FIND("F",B876)),FIND("F",B876)+1,FIND("G",B876)+1))
)),
VALUE(MID(B876,FIND("E0",B876)+2,FIND("T",B876,FIND("E0",B876))-(FIND("E0",B876)+2)))
))),"")</f>
        <v>54</v>
      </c>
      <c r="G876">
        <f>IFERROR(
IF(ISNUMBER(FIND("T2",B876)),220,
IF(ISNUMBER(FIND("T4",B876)),440,
IF(ISNUMBER(FIND("T5",B876)),575,
IF(ISNUMBER(FIND("T6",B876)),690,"")))),
"")</f>
        <v>220</v>
      </c>
    </row>
    <row r="877" spans="1:7" x14ac:dyDescent="0.25">
      <c r="A877">
        <v>11142637</v>
      </c>
      <c r="B877" t="str">
        <f>VLOOKUP(A877,Planilha2!B:C,2,0)</f>
        <v>INVERSOR BRCFW110038T4O54Z</v>
      </c>
      <c r="C877" t="s">
        <v>1</v>
      </c>
      <c r="D877" t="str">
        <f>VLOOKUP(A877,Planilha2!B:H,7,0)</f>
        <v>LINHA M3</v>
      </c>
      <c r="E877" s="5">
        <v>26000</v>
      </c>
      <c r="F877">
        <f>IFERROR(
IF(ISNUMBER(FIND("CFW110",B877)),
VALUE(MID(B877,FIND("CFW110",B877)+6,FIND("T",B877,FIND("CFW110",B877))-(FIND("CFW110",B877)+6))),
IF(ISNUMBER(FIND("D",B877)),
VALUE(SUBSTITUTE(MID(B877,FIND("D",B877)+1,FIND("T",B877,FIND("D",B877))-(FIND("D",B877)+1)),"P",",")),
IF(ISNUMBER(FIND("CFW5",B877)),
VALUE(MID(B877,
IF(ISNUMBER(FIND("F",B877)),FIND("F",B877)+1,FIND("G",B877)+1),
FIND("T",B877)-(IF(ISNUMBER(FIND("F",B877)),FIND("F",B877)+1,FIND("G",B877)+1))
)),
VALUE(MID(B877,FIND("E0",B877)+2,FIND("T",B877,FIND("E0",B877))-(FIND("E0",B877)+2)))
))),"")</f>
        <v>38</v>
      </c>
      <c r="G877">
        <f>IFERROR(
IF(ISNUMBER(FIND("T2",B877)),220,
IF(ISNUMBER(FIND("T4",B877)),440,
IF(ISNUMBER(FIND("T5",B877)),575,
IF(ISNUMBER(FIND("T6",B877)),690,"")))),
"")</f>
        <v>440</v>
      </c>
    </row>
    <row r="878" spans="1:7" x14ac:dyDescent="0.25">
      <c r="A878">
        <v>11144162</v>
      </c>
      <c r="B878" t="str">
        <f>VLOOKUP(A878,Planilha2!B:C,2,0)</f>
        <v>INVERSOR BRCFW110045T4O54Z</v>
      </c>
      <c r="C878" t="s">
        <v>1</v>
      </c>
      <c r="D878" t="str">
        <f>VLOOKUP(A878,Planilha2!B:H,7,0)</f>
        <v>LINHA M3</v>
      </c>
      <c r="E878" s="5">
        <v>26000</v>
      </c>
      <c r="F878">
        <f>IFERROR(
IF(ISNUMBER(FIND("CFW110",B878)),
VALUE(MID(B878,FIND("CFW110",B878)+6,FIND("T",B878,FIND("CFW110",B878))-(FIND("CFW110",B878)+6))),
IF(ISNUMBER(FIND("D",B878)),
VALUE(SUBSTITUTE(MID(B878,FIND("D",B878)+1,FIND("T",B878,FIND("D",B878))-(FIND("D",B878)+1)),"P",",")),
IF(ISNUMBER(FIND("CFW5",B878)),
VALUE(MID(B878,
IF(ISNUMBER(FIND("F",B878)),FIND("F",B878)+1,FIND("G",B878)+1),
FIND("T",B878)-(IF(ISNUMBER(FIND("F",B878)),FIND("F",B878)+1,FIND("G",B878)+1))
)),
VALUE(MID(B878,FIND("E0",B878)+2,FIND("T",B878,FIND("E0",B878))-(FIND("E0",B878)+2)))
))),"")</f>
        <v>45</v>
      </c>
      <c r="G878">
        <f>IFERROR(
IF(ISNUMBER(FIND("T2",B878)),220,
IF(ISNUMBER(FIND("T4",B878)),440,
IF(ISNUMBER(FIND("T5",B878)),575,
IF(ISNUMBER(FIND("T6",B878)),690,"")))),
"")</f>
        <v>440</v>
      </c>
    </row>
    <row r="879" spans="1:7" x14ac:dyDescent="0.25">
      <c r="A879">
        <v>11144164</v>
      </c>
      <c r="B879" t="str">
        <f>VLOOKUP(A879,Planilha2!B:C,2,0)</f>
        <v>INVERSOR BRCFW110058T4O54Z</v>
      </c>
      <c r="C879" t="s">
        <v>1</v>
      </c>
      <c r="D879" t="str">
        <f>VLOOKUP(A879,Planilha2!B:H,7,0)</f>
        <v>LINHA M3</v>
      </c>
      <c r="E879" s="5">
        <v>26000</v>
      </c>
      <c r="F879">
        <f>IFERROR(
IF(ISNUMBER(FIND("CFW110",B879)),
VALUE(MID(B879,FIND("CFW110",B879)+6,FIND("T",B879,FIND("CFW110",B879))-(FIND("CFW110",B879)+6))),
IF(ISNUMBER(FIND("D",B879)),
VALUE(SUBSTITUTE(MID(B879,FIND("D",B879)+1,FIND("T",B879,FIND("D",B879))-(FIND("D",B879)+1)),"P",",")),
IF(ISNUMBER(FIND("CFW5",B879)),
VALUE(MID(B879,
IF(ISNUMBER(FIND("F",B879)),FIND("F",B879)+1,FIND("G",B879)+1),
FIND("T",B879)-(IF(ISNUMBER(FIND("F",B879)),FIND("F",B879)+1,FIND("G",B879)+1))
)),
VALUE(MID(B879,FIND("E0",B879)+2,FIND("T",B879,FIND("E0",B879))-(FIND("E0",B879)+2)))
))),"")</f>
        <v>58</v>
      </c>
      <c r="G879">
        <f>IFERROR(
IF(ISNUMBER(FIND("T2",B879)),220,
IF(ISNUMBER(FIND("T4",B879)),440,
IF(ISNUMBER(FIND("T5",B879)),575,
IF(ISNUMBER(FIND("T6",B879)),690,"")))),
"")</f>
        <v>440</v>
      </c>
    </row>
    <row r="880" spans="1:7" x14ac:dyDescent="0.25">
      <c r="A880">
        <v>11142664</v>
      </c>
      <c r="B880" t="str">
        <f>VLOOKUP(A880,Planilha2!B:C,2,0)</f>
        <v>INVERSOR BRCFW110088T4O54Z</v>
      </c>
      <c r="C880" t="s">
        <v>1</v>
      </c>
      <c r="D880" t="str">
        <f>VLOOKUP(A880,Planilha2!B:H,7,0)</f>
        <v>LINHA M3</v>
      </c>
      <c r="E880" s="5">
        <v>26000</v>
      </c>
      <c r="F880">
        <f>IFERROR(
IF(ISNUMBER(FIND("CFW110",B880)),
VALUE(MID(B880,FIND("CFW110",B880)+6,FIND("T",B880,FIND("CFW110",B880))-(FIND("CFW110",B880)+6))),
IF(ISNUMBER(FIND("D",B880)),
VALUE(SUBSTITUTE(MID(B880,FIND("D",B880)+1,FIND("T",B880,FIND("D",B880))-(FIND("D",B880)+1)),"P",",")),
IF(ISNUMBER(FIND("CFW5",B880)),
VALUE(MID(B880,
IF(ISNUMBER(FIND("F",B880)),FIND("F",B880)+1,FIND("G",B880)+1),
FIND("T",B880)-(IF(ISNUMBER(FIND("F",B880)),FIND("F",B880)+1,FIND("G",B880)+1))
)),
VALUE(MID(B880,FIND("E0",B880)+2,FIND("T",B880,FIND("E0",B880))-(FIND("E0",B880)+2)))
))),"")</f>
        <v>88</v>
      </c>
      <c r="G880">
        <f>IFERROR(
IF(ISNUMBER(FIND("T2",B880)),220,
IF(ISNUMBER(FIND("T4",B880)),440,
IF(ISNUMBER(FIND("T5",B880)),575,
IF(ISNUMBER(FIND("T6",B880)),690,"")))),
"")</f>
        <v>440</v>
      </c>
    </row>
    <row r="881" spans="1:7" x14ac:dyDescent="0.25">
      <c r="A881">
        <v>11144125</v>
      </c>
      <c r="B881" t="str">
        <f>VLOOKUP(A881,Planilha2!B:C,2,0)</f>
        <v>INVERSOR BRCFW110070T2O54Z</v>
      </c>
      <c r="C881" t="s">
        <v>1</v>
      </c>
      <c r="D881" t="str">
        <f>VLOOKUP(A881,Planilha2!B:H,7,0)</f>
        <v>LINHA M3</v>
      </c>
      <c r="E881" s="5">
        <v>26000</v>
      </c>
      <c r="F881">
        <f>IFERROR(
IF(ISNUMBER(FIND("CFW110",B881)),
VALUE(MID(B881,FIND("CFW110",B881)+6,FIND("T",B881,FIND("CFW110",B881))-(FIND("CFW110",B881)+6))),
IF(ISNUMBER(FIND("D",B881)),
VALUE(SUBSTITUTE(MID(B881,FIND("D",B881)+1,FIND("T",B881,FIND("D",B881))-(FIND("D",B881)+1)),"P",",")),
IF(ISNUMBER(FIND("CFW5",B881)),
VALUE(MID(B881,
IF(ISNUMBER(FIND("F",B881)),FIND("F",B881)+1,FIND("G",B881)+1),
FIND("T",B881)-(IF(ISNUMBER(FIND("F",B881)),FIND("F",B881)+1,FIND("G",B881)+1))
)),
VALUE(MID(B881,FIND("E0",B881)+2,FIND("T",B881,FIND("E0",B881))-(FIND("E0",B881)+2)))
))),"")</f>
        <v>70</v>
      </c>
      <c r="G881">
        <f>IFERROR(
IF(ISNUMBER(FIND("T2",B881)),220,
IF(ISNUMBER(FIND("T4",B881)),440,
IF(ISNUMBER(FIND("T5",B881)),575,
IF(ISNUMBER(FIND("T6",B881)),690,"")))),
"")</f>
        <v>220</v>
      </c>
    </row>
    <row r="882" spans="1:7" x14ac:dyDescent="0.25">
      <c r="A882">
        <v>11144159</v>
      </c>
      <c r="B882" t="str">
        <f>VLOOKUP(A882,Planilha2!B:C,2,0)</f>
        <v>INVERSOR BRCFW110086T2O54Z</v>
      </c>
      <c r="C882" t="s">
        <v>1</v>
      </c>
      <c r="D882" t="str">
        <f>VLOOKUP(A882,Planilha2!B:H,7,0)</f>
        <v>LINHA M3</v>
      </c>
      <c r="E882" s="5">
        <v>26000</v>
      </c>
      <c r="F882">
        <f>IFERROR(
IF(ISNUMBER(FIND("CFW110",B882)),
VALUE(MID(B882,FIND("CFW110",B882)+6,FIND("T",B882,FIND("CFW110",B882))-(FIND("CFW110",B882)+6))),
IF(ISNUMBER(FIND("D",B882)),
VALUE(SUBSTITUTE(MID(B882,FIND("D",B882)+1,FIND("T",B882,FIND("D",B882))-(FIND("D",B882)+1)),"P",",")),
IF(ISNUMBER(FIND("CFW5",B882)),
VALUE(MID(B882,
IF(ISNUMBER(FIND("F",B882)),FIND("F",B882)+1,FIND("G",B882)+1),
FIND("T",B882)-(IF(ISNUMBER(FIND("F",B882)),FIND("F",B882)+1,FIND("G",B882)+1))
)),
VALUE(MID(B882,FIND("E0",B882)+2,FIND("T",B882,FIND("E0",B882))-(FIND("E0",B882)+2)))
))),"")</f>
        <v>86</v>
      </c>
      <c r="G882">
        <f>IFERROR(
IF(ISNUMBER(FIND("T2",B882)),220,
IF(ISNUMBER(FIND("T4",B882)),440,
IF(ISNUMBER(FIND("T5",B882)),575,
IF(ISNUMBER(FIND("T6",B882)),690,"")))),
"")</f>
        <v>220</v>
      </c>
    </row>
    <row r="883" spans="1:7" x14ac:dyDescent="0.25">
      <c r="A883">
        <v>11144167</v>
      </c>
      <c r="B883" t="str">
        <f>VLOOKUP(A883,Planilha2!B:C,2,0)</f>
        <v>INVERSOR BRCFW110070T4O54Z</v>
      </c>
      <c r="C883" t="s">
        <v>1</v>
      </c>
      <c r="D883" t="str">
        <f>VLOOKUP(A883,Planilha2!B:H,7,0)</f>
        <v>LINHA M3</v>
      </c>
      <c r="E883" s="5">
        <v>26000</v>
      </c>
      <c r="F883">
        <f>IFERROR(
IF(ISNUMBER(FIND("CFW110",B883)),
VALUE(MID(B883,FIND("CFW110",B883)+6,FIND("T",B883,FIND("CFW110",B883))-(FIND("CFW110",B883)+6))),
IF(ISNUMBER(FIND("D",B883)),
VALUE(SUBSTITUTE(MID(B883,FIND("D",B883)+1,FIND("T",B883,FIND("D",B883))-(FIND("D",B883)+1)),"P",",")),
IF(ISNUMBER(FIND("CFW5",B883)),
VALUE(MID(B883,
IF(ISNUMBER(FIND("F",B883)),FIND("F",B883)+1,FIND("G",B883)+1),
FIND("T",B883)-(IF(ISNUMBER(FIND("F",B883)),FIND("F",B883)+1,FIND("G",B883)+1))
)),
VALUE(MID(B883,FIND("E0",B883)+2,FIND("T",B883,FIND("E0",B883))-(FIND("E0",B883)+2)))
))),"")</f>
        <v>70</v>
      </c>
      <c r="G883">
        <f>IFERROR(
IF(ISNUMBER(FIND("T2",B883)),220,
IF(ISNUMBER(FIND("T4",B883)),440,
IF(ISNUMBER(FIND("T5",B883)),575,
IF(ISNUMBER(FIND("T6",B883)),690,"")))),
"")</f>
        <v>440</v>
      </c>
    </row>
    <row r="884" spans="1:7" x14ac:dyDescent="0.25">
      <c r="A884">
        <v>10858751</v>
      </c>
      <c r="B884" t="str">
        <f>VLOOKUP(A884,Planilha2!B:C,2,0)</f>
        <v>INVERSOR BRCFW110142T2SZ</v>
      </c>
      <c r="C884" t="s">
        <v>1</v>
      </c>
      <c r="D884" t="str">
        <f>VLOOKUP(A884,Planilha2!B:H,7,0)</f>
        <v>LINHA G1</v>
      </c>
      <c r="E884" s="5">
        <v>69100</v>
      </c>
      <c r="F884">
        <f>IFERROR(
IF(ISNUMBER(FIND("CFW110",B884)),
VALUE(MID(B884,FIND("CFW110",B884)+6,FIND("T",B884,FIND("CFW110",B884))-(FIND("CFW110",B884)+6))),
IF(ISNUMBER(FIND("D",B884)),
VALUE(SUBSTITUTE(MID(B884,FIND("D",B884)+1,FIND("T",B884,FIND("D",B884))-(FIND("D",B884)+1)),"P",",")),
IF(ISNUMBER(FIND("CFW5",B884)),
VALUE(MID(B884,
IF(ISNUMBER(FIND("F",B884)),FIND("F",B884)+1,FIND("G",B884)+1),
FIND("T",B884)-(IF(ISNUMBER(FIND("F",B884)),FIND("F",B884)+1,FIND("G",B884)+1))
)),
VALUE(MID(B884,FIND("E0",B884)+2,FIND("T",B884,FIND("E0",B884))-(FIND("E0",B884)+2)))
))),"")</f>
        <v>142</v>
      </c>
      <c r="G884">
        <f>IFERROR(
IF(ISNUMBER(FIND("T2",B884)),220,
IF(ISNUMBER(FIND("T4",B884)),440,
IF(ISNUMBER(FIND("T5",B884)),575,
IF(ISNUMBER(FIND("T6",B884)),690,"")))),
"")</f>
        <v>220</v>
      </c>
    </row>
    <row r="885" spans="1:7" x14ac:dyDescent="0.25">
      <c r="A885">
        <v>10858777</v>
      </c>
      <c r="B885" t="str">
        <f>VLOOKUP(A885,Planilha2!B:C,2,0)</f>
        <v>INVERSOR BRCFW110142T2ODBZ</v>
      </c>
      <c r="C885" t="s">
        <v>1</v>
      </c>
      <c r="D885" t="str">
        <f>VLOOKUP(A885,Planilha2!B:H,7,0)</f>
        <v>LINHA G1</v>
      </c>
      <c r="E885" s="5">
        <v>64210</v>
      </c>
      <c r="F885">
        <f>IFERROR(
IF(ISNUMBER(FIND("CFW110",B885)),
VALUE(MID(B885,FIND("CFW110",B885)+6,FIND("T",B885,FIND("CFW110",B885))-(FIND("CFW110",B885)+6))),
IF(ISNUMBER(FIND("D",B885)),
VALUE(SUBSTITUTE(MID(B885,FIND("D",B885)+1,FIND("T",B885,FIND("D",B885))-(FIND("D",B885)+1)),"P",",")),
IF(ISNUMBER(FIND("CFW5",B885)),
VALUE(MID(B885,
IF(ISNUMBER(FIND("F",B885)),FIND("F",B885)+1,FIND("G",B885)+1),
FIND("T",B885)-(IF(ISNUMBER(FIND("F",B885)),FIND("F",B885)+1,FIND("G",B885)+1))
)),
VALUE(MID(B885,FIND("E0",B885)+2,FIND("T",B885,FIND("E0",B885))-(FIND("E0",B885)+2)))
))),"")</f>
        <v>142</v>
      </c>
      <c r="G885">
        <f>IFERROR(
IF(ISNUMBER(FIND("T2",B885)),220,
IF(ISNUMBER(FIND("T4",B885)),440,
IF(ISNUMBER(FIND("T5",B885)),575,
IF(ISNUMBER(FIND("T6",B885)),690,"")))),
"")</f>
        <v>220</v>
      </c>
    </row>
    <row r="886" spans="1:7" x14ac:dyDescent="0.25">
      <c r="A886">
        <v>11312691</v>
      </c>
      <c r="B886" t="str">
        <f>VLOOKUP(A886,Planilha2!B:C,2,0)</f>
        <v>INVERSOR CFW700E0142T2NB20C3</v>
      </c>
      <c r="C886" t="s">
        <v>1</v>
      </c>
      <c r="D886" t="str">
        <f>VLOOKUP(A886,Planilha2!B:H,7,0)</f>
        <v>OBSOLETOS DRIVES</v>
      </c>
      <c r="E886" s="5">
        <v>65000</v>
      </c>
      <c r="F886">
        <f>IFERROR(
IF(ISNUMBER(FIND("CFW110",B886)),
VALUE(MID(B886,FIND("CFW110",B886)+6,FIND("T",B886,FIND("CFW110",B886))-(FIND("CFW110",B886)+6))),
IF(ISNUMBER(FIND("D",B886)),
VALUE(SUBSTITUTE(MID(B886,FIND("D",B886)+1,FIND("T",B886,FIND("D",B886))-(FIND("D",B886)+1)),"P",",")),
IF(ISNUMBER(FIND("CFW5",B886)),
VALUE(MID(B886,
IF(ISNUMBER(FIND("F",B886)),FIND("F",B886)+1,FIND("G",B886)+1),
FIND("T",B886)-(IF(ISNUMBER(FIND("F",B886)),FIND("F",B886)+1,FIND("G",B886)+1))
)),
VALUE(MID(B886,FIND("E0",B886)+2,FIND("T",B886,FIND("E0",B886))-(FIND("E0",B886)+2)))
))),"")</f>
        <v>142</v>
      </c>
      <c r="G886">
        <f>IFERROR(
IF(ISNUMBER(FIND("T2",B886)),220,
IF(ISNUMBER(FIND("T4",B886)),440,
IF(ISNUMBER(FIND("T5",B886)),575,
IF(ISNUMBER(FIND("T6",B886)),690,"")))),
"")</f>
        <v>220</v>
      </c>
    </row>
    <row r="887" spans="1:7" x14ac:dyDescent="0.25">
      <c r="A887">
        <v>11543779</v>
      </c>
      <c r="B887" t="str">
        <f>VLOOKUP(A887,Planilha2!B:C,2,0)</f>
        <v>INVERSOR CFW700C45P0T2DB20C3</v>
      </c>
      <c r="C887" t="s">
        <v>1</v>
      </c>
      <c r="D887" t="str">
        <f>VLOOKUP(A887,Planilha2!B:H,7,0)</f>
        <v>OBSOLETOS DRIVES</v>
      </c>
      <c r="E887" s="5">
        <v>16000</v>
      </c>
      <c r="F887" t="str">
        <f>IFERROR(
IF(ISNUMBER(FIND("CFW110",B887)),
VALUE(MID(B887,FIND("CFW110",B887)+6,FIND("T",B887,FIND("CFW110",B887))-(FIND("CFW110",B887)+6))),
IF(ISNUMBER(FIND("D",B887)),
VALUE(SUBSTITUTE(MID(B887,FIND("D",B887)+1,FIND("T",B887,FIND("D",B887))-(FIND("D",B887)+1)),"P",",")),
IF(ISNUMBER(FIND("CFW5",B887)),
VALUE(MID(B887,
IF(ISNUMBER(FIND("F",B887)),FIND("F",B887)+1,FIND("G",B887)+1),
FIND("T",B887)-(IF(ISNUMBER(FIND("F",B887)),FIND("F",B887)+1,FIND("G",B887)+1))
)),
VALUE(MID(B887,FIND("E0",B887)+2,FIND("T",B887,FIND("E0",B887))-(FIND("E0",B887)+2)))
))),"")</f>
        <v/>
      </c>
      <c r="G887">
        <f>IFERROR(
IF(ISNUMBER(FIND("T2",B887)),220,
IF(ISNUMBER(FIND("T4",B887)),440,
IF(ISNUMBER(FIND("T5",B887)),575,
IF(ISNUMBER(FIND("T6",B887)),690,"")))),
"")</f>
        <v>220</v>
      </c>
    </row>
    <row r="888" spans="1:7" x14ac:dyDescent="0.25">
      <c r="A888">
        <v>11543785</v>
      </c>
      <c r="B888" t="str">
        <f>VLOOKUP(A888,Planilha2!B:C,2,0)</f>
        <v>INVERSOR CFW700C54P0T2DB20C3</v>
      </c>
      <c r="C888" t="s">
        <v>1</v>
      </c>
      <c r="D888" t="str">
        <f>VLOOKUP(A888,Planilha2!B:H,7,0)</f>
        <v>OBSOLETOS DRIVES</v>
      </c>
      <c r="E888" s="5">
        <v>16000</v>
      </c>
      <c r="F888" t="str">
        <f>IFERROR(
IF(ISNUMBER(FIND("CFW110",B888)),
VALUE(MID(B888,FIND("CFW110",B888)+6,FIND("T",B888,FIND("CFW110",B888))-(FIND("CFW110",B888)+6))),
IF(ISNUMBER(FIND("D",B888)),
VALUE(SUBSTITUTE(MID(B888,FIND("D",B888)+1,FIND("T",B888,FIND("D",B888))-(FIND("D",B888)+1)),"P",",")),
IF(ISNUMBER(FIND("CFW5",B888)),
VALUE(MID(B888,
IF(ISNUMBER(FIND("F",B888)),FIND("F",B888)+1,FIND("G",B888)+1),
FIND("T",B888)-(IF(ISNUMBER(FIND("F",B888)),FIND("F",B888)+1,FIND("G",B888)+1))
)),
VALUE(MID(B888,FIND("E0",B888)+2,FIND("T",B888,FIND("E0",B888))-(FIND("E0",B888)+2)))
))),"")</f>
        <v/>
      </c>
      <c r="G888">
        <f>IFERROR(
IF(ISNUMBER(FIND("T2",B888)),220,
IF(ISNUMBER(FIND("T4",B888)),440,
IF(ISNUMBER(FIND("T5",B888)),575,
IF(ISNUMBER(FIND("T6",B888)),690,"")))),
"")</f>
        <v>220</v>
      </c>
    </row>
    <row r="889" spans="1:7" x14ac:dyDescent="0.25">
      <c r="A889">
        <v>12049438</v>
      </c>
      <c r="B889" t="str">
        <f>VLOOKUP(A889,Planilha2!B:C,2,0)</f>
        <v>INVERSOR EUCFW110058T4OFAYWZ</v>
      </c>
      <c r="C889" t="s">
        <v>1</v>
      </c>
      <c r="D889" t="str">
        <f>VLOOKUP(A889,Planilha2!B:H,7,0)</f>
        <v>LINHA M1</v>
      </c>
      <c r="E889" s="5">
        <v>4500</v>
      </c>
      <c r="F889">
        <f>IFERROR(
IF(ISNUMBER(FIND("CFW110",B889)),
VALUE(MID(B889,FIND("CFW110",B889)+6,FIND("T",B889,FIND("CFW110",B889))-(FIND("CFW110",B889)+6))),
IF(ISNUMBER(FIND("D",B889)),
VALUE(SUBSTITUTE(MID(B889,FIND("D",B889)+1,FIND("T",B889,FIND("D",B889))-(FIND("D",B889)+1)),"P",",")),
IF(ISNUMBER(FIND("CFW5",B889)),
VALUE(MID(B889,
IF(ISNUMBER(FIND("F",B889)),FIND("F",B889)+1,FIND("G",B889)+1),
FIND("T",B889)-(IF(ISNUMBER(FIND("F",B889)),FIND("F",B889)+1,FIND("G",B889)+1))
)),
VALUE(MID(B889,FIND("E0",B889)+2,FIND("T",B889,FIND("E0",B889))-(FIND("E0",B889)+2)))
))),"")</f>
        <v>58</v>
      </c>
      <c r="G889">
        <f>IFERROR(
IF(ISNUMBER(FIND("T2",B889)),220,
IF(ISNUMBER(FIND("T4",B889)),440,
IF(ISNUMBER(FIND("T5",B889)),575,
IF(ISNUMBER(FIND("T6",B889)),690,"")))),
"")</f>
        <v>440</v>
      </c>
    </row>
    <row r="890" spans="1:7" x14ac:dyDescent="0.25">
      <c r="A890">
        <v>12049321</v>
      </c>
      <c r="B890" t="str">
        <f>VLOOKUP(A890,Planilha2!B:C,2,0)</f>
        <v>INVERSOR EUCFW110045T4OFAYWZ</v>
      </c>
      <c r="C890" t="s">
        <v>1</v>
      </c>
      <c r="D890" t="str">
        <f>VLOOKUP(A890,Planilha2!B:H,7,0)</f>
        <v>LINHA M1</v>
      </c>
      <c r="E890" s="5">
        <v>4500</v>
      </c>
      <c r="F890">
        <f>IFERROR(
IF(ISNUMBER(FIND("CFW110",B890)),
VALUE(MID(B890,FIND("CFW110",B890)+6,FIND("T",B890,FIND("CFW110",B890))-(FIND("CFW110",B890)+6))),
IF(ISNUMBER(FIND("D",B890)),
VALUE(SUBSTITUTE(MID(B890,FIND("D",B890)+1,FIND("T",B890,FIND("D",B890))-(FIND("D",B890)+1)),"P",",")),
IF(ISNUMBER(FIND("CFW5",B890)),
VALUE(MID(B890,
IF(ISNUMBER(FIND("F",B890)),FIND("F",B890)+1,FIND("G",B890)+1),
FIND("T",B890)-(IF(ISNUMBER(FIND("F",B890)),FIND("F",B890)+1,FIND("G",B890)+1))
)),
VALUE(MID(B890,FIND("E0",B890)+2,FIND("T",B890,FIND("E0",B890))-(FIND("E0",B890)+2)))
))),"")</f>
        <v>45</v>
      </c>
      <c r="G890">
        <f>IFERROR(
IF(ISNUMBER(FIND("T2",B890)),220,
IF(ISNUMBER(FIND("T4",B890)),440,
IF(ISNUMBER(FIND("T5",B890)),575,
IF(ISNUMBER(FIND("T6",B890)),690,"")))),
"")</f>
        <v>440</v>
      </c>
    </row>
    <row r="891" spans="1:7" x14ac:dyDescent="0.25">
      <c r="A891">
        <v>10587684</v>
      </c>
      <c r="B891" t="str">
        <f>VLOOKUP(A891,Planilha2!B:C,2,0)</f>
        <v>INVERSOR EUCFW110070T4SZ</v>
      </c>
      <c r="C891" t="s">
        <v>1</v>
      </c>
      <c r="D891" t="str">
        <f>VLOOKUP(A891,Planilha2!B:H,7,0)</f>
        <v>LINHA M3</v>
      </c>
      <c r="E891" s="5">
        <v>31100</v>
      </c>
      <c r="F891">
        <f>IFERROR(
IF(ISNUMBER(FIND("CFW110",B891)),
VALUE(MID(B891,FIND("CFW110",B891)+6,FIND("T",B891,FIND("CFW110",B891))-(FIND("CFW110",B891)+6))),
IF(ISNUMBER(FIND("D",B891)),
VALUE(SUBSTITUTE(MID(B891,FIND("D",B891)+1,FIND("T",B891,FIND("D",B891))-(FIND("D",B891)+1)),"P",",")),
IF(ISNUMBER(FIND("CFW5",B891)),
VALUE(MID(B891,
IF(ISNUMBER(FIND("F",B891)),FIND("F",B891)+1,FIND("G",B891)+1),
FIND("T",B891)-(IF(ISNUMBER(FIND("F",B891)),FIND("F",B891)+1,FIND("G",B891)+1))
)),
VALUE(MID(B891,FIND("E0",B891)+2,FIND("T",B891,FIND("E0",B891))-(FIND("E0",B891)+2)))
))),"")</f>
        <v>70</v>
      </c>
      <c r="G891">
        <f>IFERROR(
IF(ISNUMBER(FIND("T2",B891)),220,
IF(ISNUMBER(FIND("T4",B891)),440,
IF(ISNUMBER(FIND("T5",B891)),575,
IF(ISNUMBER(FIND("T6",B891)),690,"")))),
"")</f>
        <v>440</v>
      </c>
    </row>
    <row r="892" spans="1:7" x14ac:dyDescent="0.25">
      <c r="A892">
        <v>10587397</v>
      </c>
      <c r="B892" t="str">
        <f>VLOOKUP(A892,Planilha2!B:C,2,0)</f>
        <v>INVERSOR EUCFW110038T4SZ</v>
      </c>
      <c r="C892" t="s">
        <v>1</v>
      </c>
      <c r="D892" t="str">
        <f>VLOOKUP(A892,Planilha2!B:H,7,0)</f>
        <v>LINHA M1</v>
      </c>
      <c r="E892" s="5">
        <v>16400</v>
      </c>
      <c r="F892">
        <f>IFERROR(
IF(ISNUMBER(FIND("CFW110",B892)),
VALUE(MID(B892,FIND("CFW110",B892)+6,FIND("T",B892,FIND("CFW110",B892))-(FIND("CFW110",B892)+6))),
IF(ISNUMBER(FIND("D",B892)),
VALUE(SUBSTITUTE(MID(B892,FIND("D",B892)+1,FIND("T",B892,FIND("D",B892))-(FIND("D",B892)+1)),"P",",")),
IF(ISNUMBER(FIND("CFW5",B892)),
VALUE(MID(B892,
IF(ISNUMBER(FIND("F",B892)),FIND("F",B892)+1,FIND("G",B892)+1),
FIND("T",B892)-(IF(ISNUMBER(FIND("F",B892)),FIND("F",B892)+1,FIND("G",B892)+1))
)),
VALUE(MID(B892,FIND("E0",B892)+2,FIND("T",B892,FIND("E0",B892))-(FIND("E0",B892)+2)))
))),"")</f>
        <v>38</v>
      </c>
      <c r="G892">
        <f>IFERROR(
IF(ISNUMBER(FIND("T2",B892)),220,
IF(ISNUMBER(FIND("T4",B892)),440,
IF(ISNUMBER(FIND("T5",B892)),575,
IF(ISNUMBER(FIND("T6",B892)),690,"")))),
"")</f>
        <v>440</v>
      </c>
    </row>
    <row r="893" spans="1:7" x14ac:dyDescent="0.25">
      <c r="A893">
        <v>11996066</v>
      </c>
      <c r="B893" t="str">
        <f>VLOOKUP(A893,Planilha2!B:C,2,0)</f>
        <v>INVERSOR BRCFW110002T5ONFZ</v>
      </c>
      <c r="C893" t="s">
        <v>1</v>
      </c>
      <c r="D893" t="str">
        <f>VLOOKUP(A893,Planilha2!B:H,7,0)</f>
        <v>LINHA P7</v>
      </c>
      <c r="E893" s="5">
        <v>26000</v>
      </c>
      <c r="F893">
        <f>IFERROR(
IF(ISNUMBER(FIND("CFW110",B893)),
VALUE(MID(B893,FIND("CFW110",B893)+6,FIND("T",B893,FIND("CFW110",B893))-(FIND("CFW110",B893)+6))),
IF(ISNUMBER(FIND("D",B893)),
VALUE(SUBSTITUTE(MID(B893,FIND("D",B893)+1,FIND("T",B893,FIND("D",B893))-(FIND("D",B893)+1)),"P",",")),
IF(ISNUMBER(FIND("CFW5",B893)),
VALUE(MID(B893,
IF(ISNUMBER(FIND("F",B893)),FIND("F",B893)+1,FIND("G",B893)+1),
FIND("T",B893)-(IF(ISNUMBER(FIND("F",B893)),FIND("F",B893)+1,FIND("G",B893)+1))
)),
VALUE(MID(B893,FIND("E0",B893)+2,FIND("T",B893,FIND("E0",B893))-(FIND("E0",B893)+2)))
))),"")</f>
        <v>2</v>
      </c>
      <c r="G893">
        <f>IFERROR(
IF(ISNUMBER(FIND("T2",B893)),220,
IF(ISNUMBER(FIND("T4",B893)),440,
IF(ISNUMBER(FIND("T5",B893)),575,
IF(ISNUMBER(FIND("T6",B893)),690,"")))),
"")</f>
        <v>575</v>
      </c>
    </row>
    <row r="894" spans="1:7" x14ac:dyDescent="0.25">
      <c r="A894">
        <v>11996088</v>
      </c>
      <c r="B894" t="str">
        <f>VLOOKUP(A894,Planilha2!B:C,2,0)</f>
        <v>INVERSOR BRCFW110004T5ONFZ</v>
      </c>
      <c r="C894" t="s">
        <v>1</v>
      </c>
      <c r="D894" t="str">
        <f>VLOOKUP(A894,Planilha2!B:H,7,0)</f>
        <v>LINHA P7</v>
      </c>
      <c r="E894" s="5">
        <v>26000</v>
      </c>
      <c r="F894">
        <f>IFERROR(
IF(ISNUMBER(FIND("CFW110",B894)),
VALUE(MID(B894,FIND("CFW110",B894)+6,FIND("T",B894,FIND("CFW110",B894))-(FIND("CFW110",B894)+6))),
IF(ISNUMBER(FIND("D",B894)),
VALUE(SUBSTITUTE(MID(B894,FIND("D",B894)+1,FIND("T",B894,FIND("D",B894))-(FIND("D",B894)+1)),"P",",")),
IF(ISNUMBER(FIND("CFW5",B894)),
VALUE(MID(B894,
IF(ISNUMBER(FIND("F",B894)),FIND("F",B894)+1,FIND("G",B894)+1),
FIND("T",B894)-(IF(ISNUMBER(FIND("F",B894)),FIND("F",B894)+1,FIND("G",B894)+1))
)),
VALUE(MID(B894,FIND("E0",B894)+2,FIND("T",B894,FIND("E0",B894))-(FIND("E0",B894)+2)))
))),"")</f>
        <v>4</v>
      </c>
      <c r="G894">
        <f>IFERROR(
IF(ISNUMBER(FIND("T2",B894)),220,
IF(ISNUMBER(FIND("T4",B894)),440,
IF(ISNUMBER(FIND("T5",B894)),575,
IF(ISNUMBER(FIND("T6",B894)),690,"")))),
"")</f>
        <v>575</v>
      </c>
    </row>
    <row r="895" spans="1:7" x14ac:dyDescent="0.25">
      <c r="A895">
        <v>11996090</v>
      </c>
      <c r="B895" t="str">
        <f>VLOOKUP(A895,Planilha2!B:C,2,0)</f>
        <v>INVERSOR BRCFW110007T5ONFZ</v>
      </c>
      <c r="C895" t="s">
        <v>1</v>
      </c>
      <c r="D895" t="str">
        <f>VLOOKUP(A895,Planilha2!B:H,7,0)</f>
        <v>LINHA P7</v>
      </c>
      <c r="E895" s="5">
        <v>26000</v>
      </c>
      <c r="F895">
        <f>IFERROR(
IF(ISNUMBER(FIND("CFW110",B895)),
VALUE(MID(B895,FIND("CFW110",B895)+6,FIND("T",B895,FIND("CFW110",B895))-(FIND("CFW110",B895)+6))),
IF(ISNUMBER(FIND("D",B895)),
VALUE(SUBSTITUTE(MID(B895,FIND("D",B895)+1,FIND("T",B895,FIND("D",B895))-(FIND("D",B895)+1)),"P",",")),
IF(ISNUMBER(FIND("CFW5",B895)),
VALUE(MID(B895,
IF(ISNUMBER(FIND("F",B895)),FIND("F",B895)+1,FIND("G",B895)+1),
FIND("T",B895)-(IF(ISNUMBER(FIND("F",B895)),FIND("F",B895)+1,FIND("G",B895)+1))
)),
VALUE(MID(B895,FIND("E0",B895)+2,FIND("T",B895,FIND("E0",B895))-(FIND("E0",B895)+2)))
))),"")</f>
        <v>7</v>
      </c>
      <c r="G895">
        <f>IFERROR(
IF(ISNUMBER(FIND("T2",B895)),220,
IF(ISNUMBER(FIND("T4",B895)),440,
IF(ISNUMBER(FIND("T5",B895)),575,
IF(ISNUMBER(FIND("T6",B895)),690,"")))),
"")</f>
        <v>575</v>
      </c>
    </row>
    <row r="896" spans="1:7" x14ac:dyDescent="0.25">
      <c r="A896">
        <v>11996093</v>
      </c>
      <c r="B896" t="str">
        <f>VLOOKUP(A896,Planilha2!B:C,2,0)</f>
        <v>INVERSOR BRCFW110010T5ONFZ</v>
      </c>
      <c r="C896" t="s">
        <v>1</v>
      </c>
      <c r="D896" t="str">
        <f>VLOOKUP(A896,Planilha2!B:H,7,0)</f>
        <v>LINHA P7</v>
      </c>
      <c r="E896" s="5">
        <v>26000</v>
      </c>
      <c r="F896">
        <f>IFERROR(
IF(ISNUMBER(FIND("CFW110",B896)),
VALUE(MID(B896,FIND("CFW110",B896)+6,FIND("T",B896,FIND("CFW110",B896))-(FIND("CFW110",B896)+6))),
IF(ISNUMBER(FIND("D",B896)),
VALUE(SUBSTITUTE(MID(B896,FIND("D",B896)+1,FIND("T",B896,FIND("D",B896))-(FIND("D",B896)+1)),"P",",")),
IF(ISNUMBER(FIND("CFW5",B896)),
VALUE(MID(B896,
IF(ISNUMBER(FIND("F",B896)),FIND("F",B896)+1,FIND("G",B896)+1),
FIND("T",B896)-(IF(ISNUMBER(FIND("F",B896)),FIND("F",B896)+1,FIND("G",B896)+1))
)),
VALUE(MID(B896,FIND("E0",B896)+2,FIND("T",B896,FIND("E0",B896))-(FIND("E0",B896)+2)))
))),"")</f>
        <v>10</v>
      </c>
      <c r="G896">
        <f>IFERROR(
IF(ISNUMBER(FIND("T2",B896)),220,
IF(ISNUMBER(FIND("T4",B896)),440,
IF(ISNUMBER(FIND("T5",B896)),575,
IF(ISNUMBER(FIND("T6",B896)),690,"")))),
"")</f>
        <v>575</v>
      </c>
    </row>
    <row r="897" spans="1:7" x14ac:dyDescent="0.25">
      <c r="A897">
        <v>11996095</v>
      </c>
      <c r="B897" t="str">
        <f>VLOOKUP(A897,Planilha2!B:C,2,0)</f>
        <v>INVERSOR BRCFW110012T5ONFZ</v>
      </c>
      <c r="C897" t="s">
        <v>1</v>
      </c>
      <c r="D897" t="str">
        <f>VLOOKUP(A897,Planilha2!B:H,7,0)</f>
        <v>LINHA P7</v>
      </c>
      <c r="E897" s="5">
        <v>26000</v>
      </c>
      <c r="F897">
        <f>IFERROR(
IF(ISNUMBER(FIND("CFW110",B897)),
VALUE(MID(B897,FIND("CFW110",B897)+6,FIND("T",B897,FIND("CFW110",B897))-(FIND("CFW110",B897)+6))),
IF(ISNUMBER(FIND("D",B897)),
VALUE(SUBSTITUTE(MID(B897,FIND("D",B897)+1,FIND("T",B897,FIND("D",B897))-(FIND("D",B897)+1)),"P",",")),
IF(ISNUMBER(FIND("CFW5",B897)),
VALUE(MID(B897,
IF(ISNUMBER(FIND("F",B897)),FIND("F",B897)+1,FIND("G",B897)+1),
FIND("T",B897)-(IF(ISNUMBER(FIND("F",B897)),FIND("F",B897)+1,FIND("G",B897)+1))
)),
VALUE(MID(B897,FIND("E0",B897)+2,FIND("T",B897,FIND("E0",B897))-(FIND("E0",B897)+2)))
))),"")</f>
        <v>12</v>
      </c>
      <c r="G897">
        <f>IFERROR(
IF(ISNUMBER(FIND("T2",B897)),220,
IF(ISNUMBER(FIND("T4",B897)),440,
IF(ISNUMBER(FIND("T5",B897)),575,
IF(ISNUMBER(FIND("T6",B897)),690,"")))),
"")</f>
        <v>575</v>
      </c>
    </row>
    <row r="898" spans="1:7" x14ac:dyDescent="0.25">
      <c r="A898">
        <v>11996097</v>
      </c>
      <c r="B898" t="str">
        <f>VLOOKUP(A898,Planilha2!B:C,2,0)</f>
        <v>INVERSOR BRCFW110017T5ONFZ</v>
      </c>
      <c r="C898" t="s">
        <v>1</v>
      </c>
      <c r="D898" t="str">
        <f>VLOOKUP(A898,Planilha2!B:H,7,0)</f>
        <v>LINHA P7</v>
      </c>
      <c r="E898" s="5">
        <v>26000</v>
      </c>
      <c r="F898">
        <f>IFERROR(
IF(ISNUMBER(FIND("CFW110",B898)),
VALUE(MID(B898,FIND("CFW110",B898)+6,FIND("T",B898,FIND("CFW110",B898))-(FIND("CFW110",B898)+6))),
IF(ISNUMBER(FIND("D",B898)),
VALUE(SUBSTITUTE(MID(B898,FIND("D",B898)+1,FIND("T",B898,FIND("D",B898))-(FIND("D",B898)+1)),"P",",")),
IF(ISNUMBER(FIND("CFW5",B898)),
VALUE(MID(B898,
IF(ISNUMBER(FIND("F",B898)),FIND("F",B898)+1,FIND("G",B898)+1),
FIND("T",B898)-(IF(ISNUMBER(FIND("F",B898)),FIND("F",B898)+1,FIND("G",B898)+1))
)),
VALUE(MID(B898,FIND("E0",B898)+2,FIND("T",B898,FIND("E0",B898))-(FIND("E0",B898)+2)))
))),"")</f>
        <v>17</v>
      </c>
      <c r="G898">
        <f>IFERROR(
IF(ISNUMBER(FIND("T2",B898)),220,
IF(ISNUMBER(FIND("T4",B898)),440,
IF(ISNUMBER(FIND("T5",B898)),575,
IF(ISNUMBER(FIND("T6",B898)),690,"")))),
"")</f>
        <v>575</v>
      </c>
    </row>
    <row r="899" spans="1:7" x14ac:dyDescent="0.25">
      <c r="A899">
        <v>11874550</v>
      </c>
      <c r="B899" t="str">
        <f>VLOOKUP(A899,Planilha2!B:C,2,0)</f>
        <v>INVERSOR SACFW110088T4OYZ</v>
      </c>
      <c r="C899" t="s">
        <v>1</v>
      </c>
      <c r="D899" t="str">
        <f>VLOOKUP(A899,Planilha2!B:H,7,0)</f>
        <v>LINHA M3</v>
      </c>
      <c r="E899" s="5">
        <v>32600</v>
      </c>
      <c r="F899">
        <f>IFERROR(
IF(ISNUMBER(FIND("CFW110",B899)),
VALUE(MID(B899,FIND("CFW110",B899)+6,FIND("T",B899,FIND("CFW110",B899))-(FIND("CFW110",B899)+6))),
IF(ISNUMBER(FIND("D",B899)),
VALUE(SUBSTITUTE(MID(B899,FIND("D",B899)+1,FIND("T",B899,FIND("D",B899))-(FIND("D",B899)+1)),"P",",")),
IF(ISNUMBER(FIND("CFW5",B899)),
VALUE(MID(B899,
IF(ISNUMBER(FIND("F",B899)),FIND("F",B899)+1,FIND("G",B899)+1),
FIND("T",B899)-(IF(ISNUMBER(FIND("F",B899)),FIND("F",B899)+1,FIND("G",B899)+1))
)),
VALUE(MID(B899,FIND("E0",B899)+2,FIND("T",B899,FIND("E0",B899))-(FIND("E0",B899)+2)))
))),"")</f>
        <v>88</v>
      </c>
      <c r="G899">
        <f>IFERROR(
IF(ISNUMBER(FIND("T2",B899)),220,
IF(ISNUMBER(FIND("T4",B899)),440,
IF(ISNUMBER(FIND("T5",B899)),575,
IF(ISNUMBER(FIND("T6",B899)),690,"")))),
"")</f>
        <v>440</v>
      </c>
    </row>
    <row r="900" spans="1:7" x14ac:dyDescent="0.25">
      <c r="A900">
        <v>11874549</v>
      </c>
      <c r="B900" t="str">
        <f>VLOOKUP(A900,Planilha2!B:C,2,0)</f>
        <v>INVERSOR SACFW110070T4OYZ</v>
      </c>
      <c r="C900" t="s">
        <v>1</v>
      </c>
      <c r="D900" t="str">
        <f>VLOOKUP(A900,Planilha2!B:H,7,0)</f>
        <v>LINHA M3</v>
      </c>
      <c r="E900" s="5">
        <v>26000</v>
      </c>
      <c r="F900">
        <f>IFERROR(
IF(ISNUMBER(FIND("CFW110",B900)),
VALUE(MID(B900,FIND("CFW110",B900)+6,FIND("T",B900,FIND("CFW110",B900))-(FIND("CFW110",B900)+6))),
IF(ISNUMBER(FIND("D",B900)),
VALUE(SUBSTITUTE(MID(B900,FIND("D",B900)+1,FIND("T",B900,FIND("D",B900))-(FIND("D",B900)+1)),"P",",")),
IF(ISNUMBER(FIND("CFW5",B900)),
VALUE(MID(B900,
IF(ISNUMBER(FIND("F",B900)),FIND("F",B900)+1,FIND("G",B900)+1),
FIND("T",B900)-(IF(ISNUMBER(FIND("F",B900)),FIND("F",B900)+1,FIND("G",B900)+1))
)),
VALUE(MID(B900,FIND("E0",B900)+2,FIND("T",B900,FIND("E0",B900))-(FIND("E0",B900)+2)))
))),"")</f>
        <v>70</v>
      </c>
      <c r="G900">
        <f>IFERROR(
IF(ISNUMBER(FIND("T2",B900)),220,
IF(ISNUMBER(FIND("T4",B900)),440,
IF(ISNUMBER(FIND("T5",B900)),575,
IF(ISNUMBER(FIND("T6",B900)),690,"")))),
"")</f>
        <v>440</v>
      </c>
    </row>
    <row r="901" spans="1:7" x14ac:dyDescent="0.25">
      <c r="A901">
        <v>11874186</v>
      </c>
      <c r="B901" t="str">
        <f>VLOOKUP(A901,Planilha2!B:C,2,0)</f>
        <v>INVERSOR NACFW110070T4OYZ</v>
      </c>
      <c r="C901" t="s">
        <v>1</v>
      </c>
      <c r="D901" t="str">
        <f>VLOOKUP(A901,Planilha2!B:H,7,0)</f>
        <v>LINHA M3</v>
      </c>
      <c r="E901" s="5">
        <v>26000</v>
      </c>
      <c r="F901">
        <f>IFERROR(
IF(ISNUMBER(FIND("CFW110",B901)),
VALUE(MID(B901,FIND("CFW110",B901)+6,FIND("T",B901,FIND("CFW110",B901))-(FIND("CFW110",B901)+6))),
IF(ISNUMBER(FIND("D",B901)),
VALUE(SUBSTITUTE(MID(B901,FIND("D",B901)+1,FIND("T",B901,FIND("D",B901))-(FIND("D",B901)+1)),"P",",")),
IF(ISNUMBER(FIND("CFW5",B901)),
VALUE(MID(B901,
IF(ISNUMBER(FIND("F",B901)),FIND("F",B901)+1,FIND("G",B901)+1),
FIND("T",B901)-(IF(ISNUMBER(FIND("F",B901)),FIND("F",B901)+1,FIND("G",B901)+1))
)),
VALUE(MID(B901,FIND("E0",B901)+2,FIND("T",B901,FIND("E0",B901))-(FIND("E0",B901)+2)))
))),"")</f>
        <v>70</v>
      </c>
      <c r="G901">
        <f>IFERROR(
IF(ISNUMBER(FIND("T2",B901)),220,
IF(ISNUMBER(FIND("T4",B901)),440,
IF(ISNUMBER(FIND("T5",B901)),575,
IF(ISNUMBER(FIND("T6",B901)),690,"")))),
"")</f>
        <v>440</v>
      </c>
    </row>
    <row r="902" spans="1:7" x14ac:dyDescent="0.25">
      <c r="A902">
        <v>11874506</v>
      </c>
      <c r="B902" t="str">
        <f>VLOOKUP(A902,Planilha2!B:C,2,0)</f>
        <v>INVERSOR SACFW110058T4OYZ</v>
      </c>
      <c r="C902" t="s">
        <v>1</v>
      </c>
      <c r="D902" t="str">
        <f>VLOOKUP(A902,Planilha2!B:H,7,0)</f>
        <v>LINHA M1</v>
      </c>
      <c r="E902" s="5">
        <v>20500</v>
      </c>
      <c r="F902">
        <f>IFERROR(
IF(ISNUMBER(FIND("CFW110",B902)),
VALUE(MID(B902,FIND("CFW110",B902)+6,FIND("T",B902,FIND("CFW110",B902))-(FIND("CFW110",B902)+6))),
IF(ISNUMBER(FIND("D",B902)),
VALUE(SUBSTITUTE(MID(B902,FIND("D",B902)+1,FIND("T",B902,FIND("D",B902))-(FIND("D",B902)+1)),"P",",")),
IF(ISNUMBER(FIND("CFW5",B902)),
VALUE(MID(B902,
IF(ISNUMBER(FIND("F",B902)),FIND("F",B902)+1,FIND("G",B902)+1),
FIND("T",B902)-(IF(ISNUMBER(FIND("F",B902)),FIND("F",B902)+1,FIND("G",B902)+1))
)),
VALUE(MID(B902,FIND("E0",B902)+2,FIND("T",B902,FIND("E0",B902))-(FIND("E0",B902)+2)))
))),"")</f>
        <v>58</v>
      </c>
      <c r="G902">
        <f>IFERROR(
IF(ISNUMBER(FIND("T2",B902)),220,
IF(ISNUMBER(FIND("T4",B902)),440,
IF(ISNUMBER(FIND("T5",B902)),575,
IF(ISNUMBER(FIND("T6",B902)),690,"")))),
"")</f>
        <v>440</v>
      </c>
    </row>
    <row r="903" spans="1:7" x14ac:dyDescent="0.25">
      <c r="A903">
        <v>11874180</v>
      </c>
      <c r="B903" t="str">
        <f>VLOOKUP(A903,Planilha2!B:C,2,0)</f>
        <v>INVERSOR NACFW110058T4OYZ</v>
      </c>
      <c r="C903" t="s">
        <v>1</v>
      </c>
      <c r="D903" t="str">
        <f>VLOOKUP(A903,Planilha2!B:H,7,0)</f>
        <v>LINHA M1</v>
      </c>
      <c r="E903" s="5">
        <v>20500</v>
      </c>
      <c r="F903">
        <f>IFERROR(
IF(ISNUMBER(FIND("CFW110",B903)),
VALUE(MID(B903,FIND("CFW110",B903)+6,FIND("T",B903,FIND("CFW110",B903))-(FIND("CFW110",B903)+6))),
IF(ISNUMBER(FIND("D",B903)),
VALUE(SUBSTITUTE(MID(B903,FIND("D",B903)+1,FIND("T",B903,FIND("D",B903))-(FIND("D",B903)+1)),"P",",")),
IF(ISNUMBER(FIND("CFW5",B903)),
VALUE(MID(B903,
IF(ISNUMBER(FIND("F",B903)),FIND("F",B903)+1,FIND("G",B903)+1),
FIND("T",B903)-(IF(ISNUMBER(FIND("F",B903)),FIND("F",B903)+1,FIND("G",B903)+1))
)),
VALUE(MID(B903,FIND("E0",B903)+2,FIND("T",B903,FIND("E0",B903))-(FIND("E0",B903)+2)))
))),"")</f>
        <v>58</v>
      </c>
      <c r="G903">
        <f>IFERROR(
IF(ISNUMBER(FIND("T2",B903)),220,
IF(ISNUMBER(FIND("T4",B903)),440,
IF(ISNUMBER(FIND("T5",B903)),575,
IF(ISNUMBER(FIND("T6",B903)),690,"")))),
"")</f>
        <v>440</v>
      </c>
    </row>
    <row r="904" spans="1:7" x14ac:dyDescent="0.25">
      <c r="A904">
        <v>11874505</v>
      </c>
      <c r="B904" t="str">
        <f>VLOOKUP(A904,Planilha2!B:C,2,0)</f>
        <v>INVERSOR SACFW110045T4OYZ</v>
      </c>
      <c r="C904" t="s">
        <v>1</v>
      </c>
      <c r="D904" t="str">
        <f>VLOOKUP(A904,Planilha2!B:H,7,0)</f>
        <v>LINHA M1</v>
      </c>
      <c r="E904" s="5">
        <v>4500</v>
      </c>
      <c r="F904">
        <f>IFERROR(
IF(ISNUMBER(FIND("CFW110",B904)),
VALUE(MID(B904,FIND("CFW110",B904)+6,FIND("T",B904,FIND("CFW110",B904))-(FIND("CFW110",B904)+6))),
IF(ISNUMBER(FIND("D",B904)),
VALUE(SUBSTITUTE(MID(B904,FIND("D",B904)+1,FIND("T",B904,FIND("D",B904))-(FIND("D",B904)+1)),"P",",")),
IF(ISNUMBER(FIND("CFW5",B904)),
VALUE(MID(B904,
IF(ISNUMBER(FIND("F",B904)),FIND("F",B904)+1,FIND("G",B904)+1),
FIND("T",B904)-(IF(ISNUMBER(FIND("F",B904)),FIND("F",B904)+1,FIND("G",B904)+1))
)),
VALUE(MID(B904,FIND("E0",B904)+2,FIND("T",B904,FIND("E0",B904))-(FIND("E0",B904)+2)))
))),"")</f>
        <v>45</v>
      </c>
      <c r="G904">
        <f>IFERROR(
IF(ISNUMBER(FIND("T2",B904)),220,
IF(ISNUMBER(FIND("T4",B904)),440,
IF(ISNUMBER(FIND("T5",B904)),575,
IF(ISNUMBER(FIND("T6",B904)),690,"")))),
"")</f>
        <v>440</v>
      </c>
    </row>
    <row r="905" spans="1:7" x14ac:dyDescent="0.25">
      <c r="A905">
        <v>11874179</v>
      </c>
      <c r="B905" t="str">
        <f>VLOOKUP(A905,Planilha2!B:C,2,0)</f>
        <v>INVERSOR NACFW110045T4OYZ</v>
      </c>
      <c r="C905" t="s">
        <v>1</v>
      </c>
      <c r="D905" t="str">
        <f>VLOOKUP(A905,Planilha2!B:H,7,0)</f>
        <v>LINHA M1</v>
      </c>
      <c r="E905" s="5">
        <v>4500</v>
      </c>
      <c r="F905">
        <f>IFERROR(
IF(ISNUMBER(FIND("CFW110",B905)),
VALUE(MID(B905,FIND("CFW110",B905)+6,FIND("T",B905,FIND("CFW110",B905))-(FIND("CFW110",B905)+6))),
IF(ISNUMBER(FIND("D",B905)),
VALUE(SUBSTITUTE(MID(B905,FIND("D",B905)+1,FIND("T",B905,FIND("D",B905))-(FIND("D",B905)+1)),"P",",")),
IF(ISNUMBER(FIND("CFW5",B905)),
VALUE(MID(B905,
IF(ISNUMBER(FIND("F",B905)),FIND("F",B905)+1,FIND("G",B905)+1),
FIND("T",B905)-(IF(ISNUMBER(FIND("F",B905)),FIND("F",B905)+1,FIND("G",B905)+1))
)),
VALUE(MID(B905,FIND("E0",B905)+2,FIND("T",B905,FIND("E0",B905))-(FIND("E0",B905)+2)))
))),"")</f>
        <v>45</v>
      </c>
      <c r="G905">
        <f>IFERROR(
IF(ISNUMBER(FIND("T2",B905)),220,
IF(ISNUMBER(FIND("T4",B905)),440,
IF(ISNUMBER(FIND("T5",B905)),575,
IF(ISNUMBER(FIND("T6",B905)),690,"")))),
"")</f>
        <v>440</v>
      </c>
    </row>
    <row r="906" spans="1:7" x14ac:dyDescent="0.25">
      <c r="A906">
        <v>11873763</v>
      </c>
      <c r="B906" t="str">
        <f>VLOOKUP(A906,Planilha2!B:C,2,0)</f>
        <v>INVERSOR MSCFW110070T4OYZ</v>
      </c>
      <c r="C906" t="s">
        <v>1</v>
      </c>
      <c r="D906" t="str">
        <f>VLOOKUP(A906,Planilha2!B:H,7,0)</f>
        <v>LINHA M3</v>
      </c>
      <c r="E906" s="5">
        <v>26000</v>
      </c>
      <c r="F906">
        <f>IFERROR(
IF(ISNUMBER(FIND("CFW110",B906)),
VALUE(MID(B906,FIND("CFW110",B906)+6,FIND("T",B906,FIND("CFW110",B906))-(FIND("CFW110",B906)+6))),
IF(ISNUMBER(FIND("D",B906)),
VALUE(SUBSTITUTE(MID(B906,FIND("D",B906)+1,FIND("T",B906,FIND("D",B906))-(FIND("D",B906)+1)),"P",",")),
IF(ISNUMBER(FIND("CFW5",B906)),
VALUE(MID(B906,
IF(ISNUMBER(FIND("F",B906)),FIND("F",B906)+1,FIND("G",B906)+1),
FIND("T",B906)-(IF(ISNUMBER(FIND("F",B906)),FIND("F",B906)+1,FIND("G",B906)+1))
)),
VALUE(MID(B906,FIND("E0",B906)+2,FIND("T",B906,FIND("E0",B906))-(FIND("E0",B906)+2)))
))),"")</f>
        <v>70</v>
      </c>
      <c r="G906">
        <f>IFERROR(
IF(ISNUMBER(FIND("T2",B906)),220,
IF(ISNUMBER(FIND("T4",B906)),440,
IF(ISNUMBER(FIND("T5",B906)),575,
IF(ISNUMBER(FIND("T6",B906)),690,"")))),
"")</f>
        <v>440</v>
      </c>
    </row>
    <row r="907" spans="1:7" x14ac:dyDescent="0.25">
      <c r="A907">
        <v>11873764</v>
      </c>
      <c r="B907" t="str">
        <f>VLOOKUP(A907,Planilha2!B:C,2,0)</f>
        <v>INVERSOR MSCFW110088T4OYZ</v>
      </c>
      <c r="C907" t="s">
        <v>1</v>
      </c>
      <c r="D907" t="str">
        <f>VLOOKUP(A907,Planilha2!B:H,7,0)</f>
        <v>LINHA M3</v>
      </c>
      <c r="E907" s="5">
        <v>32600</v>
      </c>
      <c r="F907">
        <f>IFERROR(
IF(ISNUMBER(FIND("CFW110",B907)),
VALUE(MID(B907,FIND("CFW110",B907)+6,FIND("T",B907,FIND("CFW110",B907))-(FIND("CFW110",B907)+6))),
IF(ISNUMBER(FIND("D",B907)),
VALUE(SUBSTITUTE(MID(B907,FIND("D",B907)+1,FIND("T",B907,FIND("D",B907))-(FIND("D",B907)+1)),"P",",")),
IF(ISNUMBER(FIND("CFW5",B907)),
VALUE(MID(B907,
IF(ISNUMBER(FIND("F",B907)),FIND("F",B907)+1,FIND("G",B907)+1),
FIND("T",B907)-(IF(ISNUMBER(FIND("F",B907)),FIND("F",B907)+1,FIND("G",B907)+1))
)),
VALUE(MID(B907,FIND("E0",B907)+2,FIND("T",B907,FIND("E0",B907))-(FIND("E0",B907)+2)))
))),"")</f>
        <v>88</v>
      </c>
      <c r="G907">
        <f>IFERROR(
IF(ISNUMBER(FIND("T2",B907)),220,
IF(ISNUMBER(FIND("T4",B907)),440,
IF(ISNUMBER(FIND("T5",B907)),575,
IF(ISNUMBER(FIND("T6",B907)),690,"")))),
"")</f>
        <v>440</v>
      </c>
    </row>
    <row r="908" spans="1:7" x14ac:dyDescent="0.25">
      <c r="A908">
        <v>11873758</v>
      </c>
      <c r="B908" t="str">
        <f>VLOOKUP(A908,Planilha2!B:C,2,0)</f>
        <v>INVERSOR MSCFW110058T4OYZ</v>
      </c>
      <c r="C908" t="s">
        <v>1</v>
      </c>
      <c r="D908" t="str">
        <f>VLOOKUP(A908,Planilha2!B:H,7,0)</f>
        <v>LINHA M1</v>
      </c>
      <c r="E908" s="5">
        <v>20500</v>
      </c>
      <c r="F908">
        <f>IFERROR(
IF(ISNUMBER(FIND("CFW110",B908)),
VALUE(MID(B908,FIND("CFW110",B908)+6,FIND("T",B908,FIND("CFW110",B908))-(FIND("CFW110",B908)+6))),
IF(ISNUMBER(FIND("D",B908)),
VALUE(SUBSTITUTE(MID(B908,FIND("D",B908)+1,FIND("T",B908,FIND("D",B908))-(FIND("D",B908)+1)),"P",",")),
IF(ISNUMBER(FIND("CFW5",B908)),
VALUE(MID(B908,
IF(ISNUMBER(FIND("F",B908)),FIND("F",B908)+1,FIND("G",B908)+1),
FIND("T",B908)-(IF(ISNUMBER(FIND("F",B908)),FIND("F",B908)+1,FIND("G",B908)+1))
)),
VALUE(MID(B908,FIND("E0",B908)+2,FIND("T",B908,FIND("E0",B908))-(FIND("E0",B908)+2)))
))),"")</f>
        <v>58</v>
      </c>
      <c r="G908">
        <f>IFERROR(
IF(ISNUMBER(FIND("T2",B908)),220,
IF(ISNUMBER(FIND("T4",B908)),440,
IF(ISNUMBER(FIND("T5",B908)),575,
IF(ISNUMBER(FIND("T6",B908)),690,"")))),
"")</f>
        <v>440</v>
      </c>
    </row>
    <row r="909" spans="1:7" x14ac:dyDescent="0.25">
      <c r="A909">
        <v>11873761</v>
      </c>
      <c r="B909" t="str">
        <f>VLOOKUP(A909,Planilha2!B:C,2,0)</f>
        <v>INVERSOR MSCFW110086T2OYZ</v>
      </c>
      <c r="C909" t="s">
        <v>1</v>
      </c>
      <c r="D909" t="str">
        <f>VLOOKUP(A909,Planilha2!B:H,7,0)</f>
        <v>LINHA M3</v>
      </c>
      <c r="E909" s="5">
        <v>29500</v>
      </c>
      <c r="F909">
        <f>IFERROR(
IF(ISNUMBER(FIND("CFW110",B909)),
VALUE(MID(B909,FIND("CFW110",B909)+6,FIND("T",B909,FIND("CFW110",B909))-(FIND("CFW110",B909)+6))),
IF(ISNUMBER(FIND("D",B909)),
VALUE(SUBSTITUTE(MID(B909,FIND("D",B909)+1,FIND("T",B909,FIND("D",B909))-(FIND("D",B909)+1)),"P",",")),
IF(ISNUMBER(FIND("CFW5",B909)),
VALUE(MID(B909,
IF(ISNUMBER(FIND("F",B909)),FIND("F",B909)+1,FIND("G",B909)+1),
FIND("T",B909)-(IF(ISNUMBER(FIND("F",B909)),FIND("F",B909)+1,FIND("G",B909)+1))
)),
VALUE(MID(B909,FIND("E0",B909)+2,FIND("T",B909,FIND("E0",B909))-(FIND("E0",B909)+2)))
))),"")</f>
        <v>86</v>
      </c>
      <c r="G909">
        <f>IFERROR(
IF(ISNUMBER(FIND("T2",B909)),220,
IF(ISNUMBER(FIND("T4",B909)),440,
IF(ISNUMBER(FIND("T5",B909)),575,
IF(ISNUMBER(FIND("T6",B909)),690,"")))),
"")</f>
        <v>220</v>
      </c>
    </row>
    <row r="910" spans="1:7" x14ac:dyDescent="0.25">
      <c r="A910">
        <v>11874182</v>
      </c>
      <c r="B910" t="str">
        <f>VLOOKUP(A910,Planilha2!B:C,2,0)</f>
        <v>INVERSOR NACFW110086T2OYZ</v>
      </c>
      <c r="C910" t="s">
        <v>1</v>
      </c>
      <c r="D910" t="str">
        <f>VLOOKUP(A910,Planilha2!B:H,7,0)</f>
        <v>LINHA M3</v>
      </c>
      <c r="E910" s="5">
        <v>29360</v>
      </c>
      <c r="F910">
        <f>IFERROR(
IF(ISNUMBER(FIND("CFW110",B910)),
VALUE(MID(B910,FIND("CFW110",B910)+6,FIND("T",B910,FIND("CFW110",B910))-(FIND("CFW110",B910)+6))),
IF(ISNUMBER(FIND("D",B910)),
VALUE(SUBSTITUTE(MID(B910,FIND("D",B910)+1,FIND("T",B910,FIND("D",B910))-(FIND("D",B910)+1)),"P",",")),
IF(ISNUMBER(FIND("CFW5",B910)),
VALUE(MID(B910,
IF(ISNUMBER(FIND("F",B910)),FIND("F",B910)+1,FIND("G",B910)+1),
FIND("T",B910)-(IF(ISNUMBER(FIND("F",B910)),FIND("F",B910)+1,FIND("G",B910)+1))
)),
VALUE(MID(B910,FIND("E0",B910)+2,FIND("T",B910,FIND("E0",B910))-(FIND("E0",B910)+2)))
))),"")</f>
        <v>86</v>
      </c>
      <c r="G910">
        <f>IFERROR(
IF(ISNUMBER(FIND("T2",B910)),220,
IF(ISNUMBER(FIND("T4",B910)),440,
IF(ISNUMBER(FIND("T5",B910)),575,
IF(ISNUMBER(FIND("T6",B910)),690,"")))),
"")</f>
        <v>220</v>
      </c>
    </row>
    <row r="911" spans="1:7" x14ac:dyDescent="0.25">
      <c r="A911">
        <v>11874507</v>
      </c>
      <c r="B911" t="str">
        <f>VLOOKUP(A911,Planilha2!B:C,2,0)</f>
        <v>INVERSOR SACFW110086T2OYZ</v>
      </c>
      <c r="C911" t="s">
        <v>1</v>
      </c>
      <c r="D911" t="str">
        <f>VLOOKUP(A911,Planilha2!B:H,7,0)</f>
        <v>LINHA M3</v>
      </c>
      <c r="E911" s="5">
        <v>29500</v>
      </c>
      <c r="F911">
        <f>IFERROR(
IF(ISNUMBER(FIND("CFW110",B911)),
VALUE(MID(B911,FIND("CFW110",B911)+6,FIND("T",B911,FIND("CFW110",B911))-(FIND("CFW110",B911)+6))),
IF(ISNUMBER(FIND("D",B911)),
VALUE(SUBSTITUTE(MID(B911,FIND("D",B911)+1,FIND("T",B911,FIND("D",B911))-(FIND("D",B911)+1)),"P",",")),
IF(ISNUMBER(FIND("CFW5",B911)),
VALUE(MID(B911,
IF(ISNUMBER(FIND("F",B911)),FIND("F",B911)+1,FIND("G",B911)+1),
FIND("T",B911)-(IF(ISNUMBER(FIND("F",B911)),FIND("F",B911)+1,FIND("G",B911)+1))
)),
VALUE(MID(B911,FIND("E0",B911)+2,FIND("T",B911,FIND("E0",B911))-(FIND("E0",B911)+2)))
))),"")</f>
        <v>86</v>
      </c>
      <c r="G911">
        <f>IFERROR(
IF(ISNUMBER(FIND("T2",B911)),220,
IF(ISNUMBER(FIND("T4",B911)),440,
IF(ISNUMBER(FIND("T5",B911)),575,
IF(ISNUMBER(FIND("T6",B911)),690,"")))),
"")</f>
        <v>220</v>
      </c>
    </row>
    <row r="912" spans="1:7" x14ac:dyDescent="0.25">
      <c r="A912">
        <v>12028735</v>
      </c>
      <c r="B912" t="str">
        <f>VLOOKUP(A912,Planilha2!B:C,2,0)</f>
        <v>INVERSOR EUCFW110058T4O54FAYZ</v>
      </c>
      <c r="C912" t="s">
        <v>1</v>
      </c>
      <c r="D912" t="str">
        <f>VLOOKUP(A912,Planilha2!B:H,7,0)</f>
        <v>LINHA M3</v>
      </c>
      <c r="E912" s="5">
        <v>4500</v>
      </c>
      <c r="F912">
        <f>IFERROR(
IF(ISNUMBER(FIND("CFW110",B912)),
VALUE(MID(B912,FIND("CFW110",B912)+6,FIND("T",B912,FIND("CFW110",B912))-(FIND("CFW110",B912)+6))),
IF(ISNUMBER(FIND("D",B912)),
VALUE(SUBSTITUTE(MID(B912,FIND("D",B912)+1,FIND("T",B912,FIND("D",B912))-(FIND("D",B912)+1)),"P",",")),
IF(ISNUMBER(FIND("CFW5",B912)),
VALUE(MID(B912,
IF(ISNUMBER(FIND("F",B912)),FIND("F",B912)+1,FIND("G",B912)+1),
FIND("T",B912)-(IF(ISNUMBER(FIND("F",B912)),FIND("F",B912)+1,FIND("G",B912)+1))
)),
VALUE(MID(B912,FIND("E0",B912)+2,FIND("T",B912,FIND("E0",B912))-(FIND("E0",B912)+2)))
))),"")</f>
        <v>58</v>
      </c>
      <c r="G912">
        <f>IFERROR(
IF(ISNUMBER(FIND("T2",B912)),220,
IF(ISNUMBER(FIND("T4",B912)),440,
IF(ISNUMBER(FIND("T5",B912)),575,
IF(ISNUMBER(FIND("T6",B912)),690,"")))),
"")</f>
        <v>440</v>
      </c>
    </row>
    <row r="913" spans="1:7" x14ac:dyDescent="0.25">
      <c r="A913">
        <v>11876918</v>
      </c>
      <c r="B913" t="str">
        <f>VLOOKUP(A913,Planilha2!B:C,2,0)</f>
        <v>INVERSOR CFW700D70P5T4DBN1Y1</v>
      </c>
      <c r="C913" t="s">
        <v>1</v>
      </c>
      <c r="D913" t="str">
        <f>VLOOKUP(A913,Planilha2!B:H,7,0)</f>
        <v>OBSOLETOS DRIVES</v>
      </c>
      <c r="E913" s="5">
        <v>69100</v>
      </c>
      <c r="F913">
        <f>IFERROR(
IF(ISNUMBER(FIND("CFW110",B913)),
VALUE(MID(B913,FIND("CFW110",B913)+6,FIND("T",B913,FIND("CFW110",B913))-(FIND("CFW110",B913)+6))),
IF(ISNUMBER(FIND("D",B913)),
VALUE(SUBSTITUTE(MID(B913,FIND("D",B913)+1,FIND("T",B913,FIND("D",B913))-(FIND("D",B913)+1)),"P",",")),
IF(ISNUMBER(FIND("CFW5",B913)),
VALUE(MID(B913,
IF(ISNUMBER(FIND("F",B913)),FIND("F",B913)+1,FIND("G",B913)+1),
FIND("T",B913)-(IF(ISNUMBER(FIND("F",B913)),FIND("F",B913)+1,FIND("G",B913)+1))
)),
VALUE(MID(B913,FIND("E0",B913)+2,FIND("T",B913,FIND("E0",B913))-(FIND("E0",B913)+2)))
))),"")</f>
        <v>70.5</v>
      </c>
      <c r="G913">
        <f>IFERROR(
IF(ISNUMBER(FIND("T2",B913)),220,
IF(ISNUMBER(FIND("T4",B913)),440,
IF(ISNUMBER(FIND("T5",B913)),575,
IF(ISNUMBER(FIND("T6",B913)),690,"")))),
"")</f>
        <v>440</v>
      </c>
    </row>
    <row r="914" spans="1:7" x14ac:dyDescent="0.25">
      <c r="A914">
        <v>11876923</v>
      </c>
      <c r="B914" t="str">
        <f>VLOOKUP(A914,Planilha2!B:C,2,0)</f>
        <v>INVERSOR CFW700D70P5T4DBN1C3Y1</v>
      </c>
      <c r="C914" t="s">
        <v>1</v>
      </c>
      <c r="D914" t="str">
        <f>VLOOKUP(A914,Planilha2!B:H,7,0)</f>
        <v>OBSOLETOS DRIVES</v>
      </c>
      <c r="E914" s="5">
        <v>32600</v>
      </c>
      <c r="F914">
        <f>IFERROR(
IF(ISNUMBER(FIND("CFW110",B914)),
VALUE(MID(B914,FIND("CFW110",B914)+6,FIND("T",B914,FIND("CFW110",B914))-(FIND("CFW110",B914)+6))),
IF(ISNUMBER(FIND("D",B914)),
VALUE(SUBSTITUTE(MID(B914,FIND("D",B914)+1,FIND("T",B914,FIND("D",B914))-(FIND("D",B914)+1)),"P",",")),
IF(ISNUMBER(FIND("CFW5",B914)),
VALUE(MID(B914,
IF(ISNUMBER(FIND("F",B914)),FIND("F",B914)+1,FIND("G",B914)+1),
FIND("T",B914)-(IF(ISNUMBER(FIND("F",B914)),FIND("F",B914)+1,FIND("G",B914)+1))
)),
VALUE(MID(B914,FIND("E0",B914)+2,FIND("T",B914,FIND("E0",B914))-(FIND("E0",B914)+2)))
))),"")</f>
        <v>70.5</v>
      </c>
      <c r="G914">
        <f>IFERROR(
IF(ISNUMBER(FIND("T2",B914)),220,
IF(ISNUMBER(FIND("T4",B914)),440,
IF(ISNUMBER(FIND("T5",B914)),575,
IF(ISNUMBER(FIND("T6",B914)),690,"")))),
"")</f>
        <v>440</v>
      </c>
    </row>
    <row r="915" spans="1:7" x14ac:dyDescent="0.25">
      <c r="A915">
        <v>11876866</v>
      </c>
      <c r="B915" t="str">
        <f>VLOOKUP(A915,Planilha2!B:C,2,0)</f>
        <v>INVERSOR CFW700D0105T2DBN1Y1</v>
      </c>
      <c r="C915" t="s">
        <v>1</v>
      </c>
      <c r="D915" t="str">
        <f>VLOOKUP(A915,Planilha2!B:H,7,0)</f>
        <v>OBSOLETOS DRIVES</v>
      </c>
      <c r="E915" s="5">
        <v>69100</v>
      </c>
      <c r="F915">
        <f>IFERROR(
IF(ISNUMBER(FIND("CFW110",B915)),
VALUE(MID(B915,FIND("CFW110",B915)+6,FIND("T",B915,FIND("CFW110",B915))-(FIND("CFW110",B915)+6))),
IF(ISNUMBER(FIND("D",B915)),
VALUE(SUBSTITUTE(MID(B915,FIND("D",B915)+1,FIND("T",B915,FIND("D",B915))-(FIND("D",B915)+1)),"P",",")),
IF(ISNUMBER(FIND("CFW5",B915)),
VALUE(MID(B915,
IF(ISNUMBER(FIND("F",B915)),FIND("F",B915)+1,FIND("G",B915)+1),
FIND("T",B915)-(IF(ISNUMBER(FIND("F",B915)),FIND("F",B915)+1,FIND("G",B915)+1))
)),
VALUE(MID(B915,FIND("E0",B915)+2,FIND("T",B915,FIND("E0",B915))-(FIND("E0",B915)+2)))
))),"")</f>
        <v>105</v>
      </c>
      <c r="G915">
        <f>IFERROR(
IF(ISNUMBER(FIND("T2",B915)),220,
IF(ISNUMBER(FIND("T4",B915)),440,
IF(ISNUMBER(FIND("T5",B915)),575,
IF(ISNUMBER(FIND("T6",B915)),690,"")))),
"")</f>
        <v>220</v>
      </c>
    </row>
    <row r="916" spans="1:7" x14ac:dyDescent="0.25">
      <c r="A916">
        <v>11876919</v>
      </c>
      <c r="B916" t="str">
        <f>VLOOKUP(A916,Planilha2!B:C,2,0)</f>
        <v>INVERSOR CFW700D0105T2DBN1C3Y1</v>
      </c>
      <c r="C916" t="s">
        <v>1</v>
      </c>
      <c r="D916" t="str">
        <f>VLOOKUP(A916,Planilha2!B:H,7,0)</f>
        <v>OBSOLETOS DRIVES</v>
      </c>
      <c r="E916" s="5">
        <v>69100</v>
      </c>
      <c r="F916">
        <f>IFERROR(
IF(ISNUMBER(FIND("CFW110",B916)),
VALUE(MID(B916,FIND("CFW110",B916)+6,FIND("T",B916,FIND("CFW110",B916))-(FIND("CFW110",B916)+6))),
IF(ISNUMBER(FIND("D",B916)),
VALUE(SUBSTITUTE(MID(B916,FIND("D",B916)+1,FIND("T",B916,FIND("D",B916))-(FIND("D",B916)+1)),"P",",")),
IF(ISNUMBER(FIND("CFW5",B916)),
VALUE(MID(B916,
IF(ISNUMBER(FIND("F",B916)),FIND("F",B916)+1,FIND("G",B916)+1),
FIND("T",B916)-(IF(ISNUMBER(FIND("F",B916)),FIND("F",B916)+1,FIND("G",B916)+1))
)),
VALUE(MID(B916,FIND("E0",B916)+2,FIND("T",B916,FIND("E0",B916))-(FIND("E0",B916)+2)))
))),"")</f>
        <v>105</v>
      </c>
      <c r="G916">
        <f>IFERROR(
IF(ISNUMBER(FIND("T2",B916)),220,
IF(ISNUMBER(FIND("T4",B916)),440,
IF(ISNUMBER(FIND("T5",B916)),575,
IF(ISNUMBER(FIND("T6",B916)),690,"")))),
"")</f>
        <v>220</v>
      </c>
    </row>
    <row r="917" spans="1:7" x14ac:dyDescent="0.25">
      <c r="A917">
        <v>11876803</v>
      </c>
      <c r="B917" t="str">
        <f>VLOOKUP(A917,Planilha2!B:C,2,0)</f>
        <v>INVERSOR CFW700C58P5T4DB20Y1</v>
      </c>
      <c r="C917" t="s">
        <v>1</v>
      </c>
      <c r="D917" t="str">
        <f>VLOOKUP(A917,Planilha2!B:H,7,0)</f>
        <v>OBSOLETOS DRIVES</v>
      </c>
      <c r="E917" s="5">
        <v>16000</v>
      </c>
      <c r="F917" t="str">
        <f>IFERROR(
IF(ISNUMBER(FIND("CFW110",B917)),
VALUE(MID(B917,FIND("CFW110",B917)+6,FIND("T",B917,FIND("CFW110",B917))-(FIND("CFW110",B917)+6))),
IF(ISNUMBER(FIND("D",B917)),
VALUE(SUBSTITUTE(MID(B917,FIND("D",B917)+1,FIND("T",B917,FIND("D",B917))-(FIND("D",B917)+1)),"P",",")),
IF(ISNUMBER(FIND("CFW5",B917)),
VALUE(MID(B917,
IF(ISNUMBER(FIND("F",B917)),FIND("F",B917)+1,FIND("G",B917)+1),
FIND("T",B917)-(IF(ISNUMBER(FIND("F",B917)),FIND("F",B917)+1,FIND("G",B917)+1))
)),
VALUE(MID(B917,FIND("E0",B917)+2,FIND("T",B917,FIND("E0",B917))-(FIND("E0",B917)+2)))
))),"")</f>
        <v/>
      </c>
      <c r="G917">
        <f>IFERROR(
IF(ISNUMBER(FIND("T2",B917)),220,
IF(ISNUMBER(FIND("T4",B917)),440,
IF(ISNUMBER(FIND("T5",B917)),575,
IF(ISNUMBER(FIND("T6",B917)),690,"")))),
"")</f>
        <v>440</v>
      </c>
    </row>
    <row r="918" spans="1:7" x14ac:dyDescent="0.25">
      <c r="A918">
        <v>11876859</v>
      </c>
      <c r="B918" t="str">
        <f>VLOOKUP(A918,Planilha2!B:C,2,0)</f>
        <v>INVERSOR CFW700C58P5T4DB20C3Y1</v>
      </c>
      <c r="C918" t="s">
        <v>1</v>
      </c>
      <c r="D918" t="str">
        <f>VLOOKUP(A918,Planilha2!B:H,7,0)</f>
        <v>OBSOLETOS DRIVES</v>
      </c>
      <c r="E918" s="5">
        <v>16000</v>
      </c>
      <c r="F918" t="str">
        <f>IFERROR(
IF(ISNUMBER(FIND("CFW110",B918)),
VALUE(MID(B918,FIND("CFW110",B918)+6,FIND("T",B918,FIND("CFW110",B918))-(FIND("CFW110",B918)+6))),
IF(ISNUMBER(FIND("D",B918)),
VALUE(SUBSTITUTE(MID(B918,FIND("D",B918)+1,FIND("T",B918,FIND("D",B918))-(FIND("D",B918)+1)),"P",",")),
IF(ISNUMBER(FIND("CFW5",B918)),
VALUE(MID(B918,
IF(ISNUMBER(FIND("F",B918)),FIND("F",B918)+1,FIND("G",B918)+1),
FIND("T",B918)-(IF(ISNUMBER(FIND("F",B918)),FIND("F",B918)+1,FIND("G",B918)+1))
)),
VALUE(MID(B918,FIND("E0",B918)+2,FIND("T",B918,FIND("E0",B918))-(FIND("E0",B918)+2)))
))),"")</f>
        <v/>
      </c>
      <c r="G918">
        <f>IFERROR(
IF(ISNUMBER(FIND("T2",B918)),220,
IF(ISNUMBER(FIND("T4",B918)),440,
IF(ISNUMBER(FIND("T5",B918)),575,
IF(ISNUMBER(FIND("T6",B918)),690,"")))),
"")</f>
        <v>440</v>
      </c>
    </row>
    <row r="919" spans="1:7" x14ac:dyDescent="0.25">
      <c r="A919">
        <v>11876727</v>
      </c>
      <c r="B919" t="str">
        <f>VLOOKUP(A919,Planilha2!B:C,2,0)</f>
        <v>INVERSOR CFW700C54P0T2DB20Y1</v>
      </c>
      <c r="C919" t="s">
        <v>1</v>
      </c>
      <c r="D919" t="str">
        <f>VLOOKUP(A919,Planilha2!B:H,7,0)</f>
        <v>OBSOLETOS DRIVES</v>
      </c>
      <c r="E919" s="5">
        <v>16000</v>
      </c>
      <c r="F919" t="str">
        <f>IFERROR(
IF(ISNUMBER(FIND("CFW110",B919)),
VALUE(MID(B919,FIND("CFW110",B919)+6,FIND("T",B919,FIND("CFW110",B919))-(FIND("CFW110",B919)+6))),
IF(ISNUMBER(FIND("D",B919)),
VALUE(SUBSTITUTE(MID(B919,FIND("D",B919)+1,FIND("T",B919,FIND("D",B919))-(FIND("D",B919)+1)),"P",",")),
IF(ISNUMBER(FIND("CFW5",B919)),
VALUE(MID(B919,
IF(ISNUMBER(FIND("F",B919)),FIND("F",B919)+1,FIND("G",B919)+1),
FIND("T",B919)-(IF(ISNUMBER(FIND("F",B919)),FIND("F",B919)+1,FIND("G",B919)+1))
)),
VALUE(MID(B919,FIND("E0",B919)+2,FIND("T",B919,FIND("E0",B919))-(FIND("E0",B919)+2)))
))),"")</f>
        <v/>
      </c>
      <c r="G919">
        <f>IFERROR(
IF(ISNUMBER(FIND("T2",B919)),220,
IF(ISNUMBER(FIND("T4",B919)),440,
IF(ISNUMBER(FIND("T5",B919)),575,
IF(ISNUMBER(FIND("T6",B919)),690,"")))),
"")</f>
        <v>220</v>
      </c>
    </row>
    <row r="920" spans="1:7" x14ac:dyDescent="0.25">
      <c r="A920">
        <v>11876801</v>
      </c>
      <c r="B920" t="str">
        <f>VLOOKUP(A920,Planilha2!B:C,2,0)</f>
        <v>INVERSOR CFW700C45P0T4DB20Y1</v>
      </c>
      <c r="C920" t="s">
        <v>1</v>
      </c>
      <c r="D920" t="str">
        <f>VLOOKUP(A920,Planilha2!B:H,7,0)</f>
        <v>OBSOLETOS DRIVES</v>
      </c>
      <c r="E920" s="5">
        <v>16000</v>
      </c>
      <c r="F920" t="str">
        <f>IFERROR(
IF(ISNUMBER(FIND("CFW110",B920)),
VALUE(MID(B920,FIND("CFW110",B920)+6,FIND("T",B920,FIND("CFW110",B920))-(FIND("CFW110",B920)+6))),
IF(ISNUMBER(FIND("D",B920)),
VALUE(SUBSTITUTE(MID(B920,FIND("D",B920)+1,FIND("T",B920,FIND("D",B920))-(FIND("D",B920)+1)),"P",",")),
IF(ISNUMBER(FIND("CFW5",B920)),
VALUE(MID(B920,
IF(ISNUMBER(FIND("F",B920)),FIND("F",B920)+1,FIND("G",B920)+1),
FIND("T",B920)-(IF(ISNUMBER(FIND("F",B920)),FIND("F",B920)+1,FIND("G",B920)+1))
)),
VALUE(MID(B920,FIND("E0",B920)+2,FIND("T",B920,FIND("E0",B920))-(FIND("E0",B920)+2)))
))),"")</f>
        <v/>
      </c>
      <c r="G920">
        <f>IFERROR(
IF(ISNUMBER(FIND("T2",B920)),220,
IF(ISNUMBER(FIND("T4",B920)),440,
IF(ISNUMBER(FIND("T5",B920)),575,
IF(ISNUMBER(FIND("T6",B920)),690,"")))),
"")</f>
        <v>440</v>
      </c>
    </row>
    <row r="921" spans="1:7" x14ac:dyDescent="0.25">
      <c r="A921">
        <v>11876858</v>
      </c>
      <c r="B921" t="str">
        <f>VLOOKUP(A921,Planilha2!B:C,2,0)</f>
        <v>INVERSOR CFW700C45P0T4DB20C3Y1</v>
      </c>
      <c r="C921" t="s">
        <v>1</v>
      </c>
      <c r="D921" t="str">
        <f>VLOOKUP(A921,Planilha2!B:H,7,0)</f>
        <v>OBSOLETOS DRIVES</v>
      </c>
      <c r="E921" s="5">
        <v>16000</v>
      </c>
      <c r="F921" t="str">
        <f>IFERROR(
IF(ISNUMBER(FIND("CFW110",B921)),
VALUE(MID(B921,FIND("CFW110",B921)+6,FIND("T",B921,FIND("CFW110",B921))-(FIND("CFW110",B921)+6))),
IF(ISNUMBER(FIND("D",B921)),
VALUE(SUBSTITUTE(MID(B921,FIND("D",B921)+1,FIND("T",B921,FIND("D",B921))-(FIND("D",B921)+1)),"P",",")),
IF(ISNUMBER(FIND("CFW5",B921)),
VALUE(MID(B921,
IF(ISNUMBER(FIND("F",B921)),FIND("F",B921)+1,FIND("G",B921)+1),
FIND("T",B921)-(IF(ISNUMBER(FIND("F",B921)),FIND("F",B921)+1,FIND("G",B921)+1))
)),
VALUE(MID(B921,FIND("E0",B921)+2,FIND("T",B921,FIND("E0",B921))-(FIND("E0",B921)+2)))
))),"")</f>
        <v/>
      </c>
      <c r="G921">
        <f>IFERROR(
IF(ISNUMBER(FIND("T2",B921)),220,
IF(ISNUMBER(FIND("T4",B921)),440,
IF(ISNUMBER(FIND("T5",B921)),575,
IF(ISNUMBER(FIND("T6",B921)),690,"")))),
"")</f>
        <v>440</v>
      </c>
    </row>
    <row r="922" spans="1:7" x14ac:dyDescent="0.25">
      <c r="A922">
        <v>11876980</v>
      </c>
      <c r="B922" t="str">
        <f>VLOOKUP(A922,Planilha2!B:C,2,0)</f>
        <v>INVERSOR CFW700E0142T2NB20C3Y1</v>
      </c>
      <c r="C922" t="s">
        <v>1</v>
      </c>
      <c r="D922" t="str">
        <f>VLOOKUP(A922,Planilha2!B:H,7,0)</f>
        <v>OBSOLETOS DRIVES</v>
      </c>
      <c r="E922" s="5">
        <v>69100</v>
      </c>
      <c r="F922">
        <f>IFERROR(
IF(ISNUMBER(FIND("CFW110",B922)),
VALUE(MID(B922,FIND("CFW110",B922)+6,FIND("T",B922,FIND("CFW110",B922))-(FIND("CFW110",B922)+6))),
IF(ISNUMBER(FIND("D",B922)),
VALUE(SUBSTITUTE(MID(B922,FIND("D",B922)+1,FIND("T",B922,FIND("D",B922))-(FIND("D",B922)+1)),"P",",")),
IF(ISNUMBER(FIND("CFW5",B922)),
VALUE(MID(B922,
IF(ISNUMBER(FIND("F",B922)),FIND("F",B922)+1,FIND("G",B922)+1),
FIND("T",B922)-(IF(ISNUMBER(FIND("F",B922)),FIND("F",B922)+1,FIND("G",B922)+1))
)),
VALUE(MID(B922,FIND("E0",B922)+2,FIND("T",B922,FIND("E0",B922))-(FIND("E0",B922)+2)))
))),"")</f>
        <v>142</v>
      </c>
      <c r="G922">
        <f>IFERROR(
IF(ISNUMBER(FIND("T2",B922)),220,
IF(ISNUMBER(FIND("T4",B922)),440,
IF(ISNUMBER(FIND("T5",B922)),575,
IF(ISNUMBER(FIND("T6",B922)),690,"")))),
"")</f>
        <v>220</v>
      </c>
    </row>
    <row r="923" spans="1:7" x14ac:dyDescent="0.25">
      <c r="A923">
        <v>11873765</v>
      </c>
      <c r="B923" t="str">
        <f>VLOOKUP(A923,Planilha2!B:C,2,0)</f>
        <v>INVERSOR MSCFW110142T2OYZ</v>
      </c>
      <c r="C923" t="s">
        <v>1</v>
      </c>
      <c r="D923" t="str">
        <f>VLOOKUP(A923,Planilha2!B:H,7,0)</f>
        <v>LINHA G1</v>
      </c>
      <c r="E923" s="5">
        <v>139000</v>
      </c>
      <c r="F923">
        <f>IFERROR(
IF(ISNUMBER(FIND("CFW110",B923)),
VALUE(MID(B923,FIND("CFW110",B923)+6,FIND("T",B923,FIND("CFW110",B923))-(FIND("CFW110",B923)+6))),
IF(ISNUMBER(FIND("D",B923)),
VALUE(SUBSTITUTE(MID(B923,FIND("D",B923)+1,FIND("T",B923,FIND("D",B923))-(FIND("D",B923)+1)),"P",",")),
IF(ISNUMBER(FIND("CFW5",B923)),
VALUE(MID(B923,
IF(ISNUMBER(FIND("F",B923)),FIND("F",B923)+1,FIND("G",B923)+1),
FIND("T",B923)-(IF(ISNUMBER(FIND("F",B923)),FIND("F",B923)+1,FIND("G",B923)+1))
)),
VALUE(MID(B923,FIND("E0",B923)+2,FIND("T",B923,FIND("E0",B923))-(FIND("E0",B923)+2)))
))),"")</f>
        <v>142</v>
      </c>
      <c r="G923">
        <f>IFERROR(
IF(ISNUMBER(FIND("T2",B923)),220,
IF(ISNUMBER(FIND("T4",B923)),440,
IF(ISNUMBER(FIND("T5",B923)),575,
IF(ISNUMBER(FIND("T6",B923)),690,"")))),
"")</f>
        <v>220</v>
      </c>
    </row>
    <row r="924" spans="1:7" x14ac:dyDescent="0.25">
      <c r="A924">
        <v>11872976</v>
      </c>
      <c r="B924" t="str">
        <f>VLOOKUP(A924,Planilha2!B:C,2,0)</f>
        <v>INVERSOR EUCFW110045T2OFAYZ</v>
      </c>
      <c r="C924" t="s">
        <v>1</v>
      </c>
      <c r="D924" t="str">
        <f>VLOOKUP(A924,Planilha2!B:H,7,0)</f>
        <v>LINHA M1</v>
      </c>
      <c r="E924" s="5">
        <v>15600</v>
      </c>
      <c r="F924">
        <f>IFERROR(
IF(ISNUMBER(FIND("CFW110",B924)),
VALUE(MID(B924,FIND("CFW110",B924)+6,FIND("T",B924,FIND("CFW110",B924))-(FIND("CFW110",B924)+6))),
IF(ISNUMBER(FIND("D",B924)),
VALUE(SUBSTITUTE(MID(B924,FIND("D",B924)+1,FIND("T",B924,FIND("D",B924))-(FIND("D",B924)+1)),"P",",")),
IF(ISNUMBER(FIND("CFW5",B924)),
VALUE(MID(B924,
IF(ISNUMBER(FIND("F",B924)),FIND("F",B924)+1,FIND("G",B924)+1),
FIND("T",B924)-(IF(ISNUMBER(FIND("F",B924)),FIND("F",B924)+1,FIND("G",B924)+1))
)),
VALUE(MID(B924,FIND("E0",B924)+2,FIND("T",B924,FIND("E0",B924))-(FIND("E0",B924)+2)))
))),"")</f>
        <v>45</v>
      </c>
      <c r="G924">
        <f>IFERROR(
IF(ISNUMBER(FIND("T2",B924)),220,
IF(ISNUMBER(FIND("T4",B924)),440,
IF(ISNUMBER(FIND("T5",B924)),575,
IF(ISNUMBER(FIND("T6",B924)),690,"")))),
"")</f>
        <v>220</v>
      </c>
    </row>
    <row r="925" spans="1:7" x14ac:dyDescent="0.25">
      <c r="A925">
        <v>12004640</v>
      </c>
      <c r="B925" t="str">
        <f>VLOOKUP(A925,Planilha2!B:C,2,0)</f>
        <v>INVERSOR EUCFW110038T4OYWZ</v>
      </c>
      <c r="C925" t="s">
        <v>1</v>
      </c>
      <c r="D925" t="str">
        <f>VLOOKUP(A925,Planilha2!B:H,7,0)</f>
        <v>LINHA M1</v>
      </c>
      <c r="E925" s="5">
        <v>10000</v>
      </c>
      <c r="F925">
        <f>IFERROR(
IF(ISNUMBER(FIND("CFW110",B925)),
VALUE(MID(B925,FIND("CFW110",B925)+6,FIND("T",B925,FIND("CFW110",B925))-(FIND("CFW110",B925)+6))),
IF(ISNUMBER(FIND("D",B925)),
VALUE(SUBSTITUTE(MID(B925,FIND("D",B925)+1,FIND("T",B925,FIND("D",B925))-(FIND("D",B925)+1)),"P",",")),
IF(ISNUMBER(FIND("CFW5",B925)),
VALUE(MID(B925,
IF(ISNUMBER(FIND("F",B925)),FIND("F",B925)+1,FIND("G",B925)+1),
FIND("T",B925)-(IF(ISNUMBER(FIND("F",B925)),FIND("F",B925)+1,FIND("G",B925)+1))
)),
VALUE(MID(B925,FIND("E0",B925)+2,FIND("T",B925,FIND("E0",B925))-(FIND("E0",B925)+2)))
))),"")</f>
        <v>38</v>
      </c>
      <c r="G925">
        <f>IFERROR(
IF(ISNUMBER(FIND("T2",B925)),220,
IF(ISNUMBER(FIND("T4",B925)),440,
IF(ISNUMBER(FIND("T5",B925)),575,
IF(ISNUMBER(FIND("T6",B925)),690,"")))),
"")</f>
        <v>440</v>
      </c>
    </row>
    <row r="926" spans="1:7" x14ac:dyDescent="0.25">
      <c r="A926">
        <v>11873092</v>
      </c>
      <c r="B926" t="str">
        <f>VLOOKUP(A926,Planilha2!B:C,2,0)</f>
        <v>INVERSOR EUCFW110142T2OYZ</v>
      </c>
      <c r="C926" t="s">
        <v>1</v>
      </c>
      <c r="D926" t="str">
        <f>VLOOKUP(A926,Planilha2!B:H,7,0)</f>
        <v>LINHA G1</v>
      </c>
      <c r="E926" s="5">
        <v>139000</v>
      </c>
      <c r="F926">
        <f>IFERROR(
IF(ISNUMBER(FIND("CFW110",B926)),
VALUE(MID(B926,FIND("CFW110",B926)+6,FIND("T",B926,FIND("CFW110",B926))-(FIND("CFW110",B926)+6))),
IF(ISNUMBER(FIND("D",B926)),
VALUE(SUBSTITUTE(MID(B926,FIND("D",B926)+1,FIND("T",B926,FIND("D",B926))-(FIND("D",B926)+1)),"P",",")),
IF(ISNUMBER(FIND("CFW5",B926)),
VALUE(MID(B926,
IF(ISNUMBER(FIND("F",B926)),FIND("F",B926)+1,FIND("G",B926)+1),
FIND("T",B926)-(IF(ISNUMBER(FIND("F",B926)),FIND("F",B926)+1,FIND("G",B926)+1))
)),
VALUE(MID(B926,FIND("E0",B926)+2,FIND("T",B926,FIND("E0",B926))-(FIND("E0",B926)+2)))
))),"")</f>
        <v>142</v>
      </c>
      <c r="G926">
        <f>IFERROR(
IF(ISNUMBER(FIND("T2",B926)),220,
IF(ISNUMBER(FIND("T4",B926)),440,
IF(ISNUMBER(FIND("T5",B926)),575,
IF(ISNUMBER(FIND("T6",B926)),690,"")))),
"")</f>
        <v>220</v>
      </c>
    </row>
    <row r="927" spans="1:7" x14ac:dyDescent="0.25">
      <c r="A927">
        <v>12013812</v>
      </c>
      <c r="B927" t="str">
        <f>VLOOKUP(A927,Planilha2!B:C,2,0)</f>
        <v>INVERSOR EUCFW110045T4OYWZ</v>
      </c>
      <c r="C927" t="s">
        <v>1</v>
      </c>
      <c r="D927" t="str">
        <f>VLOOKUP(A927,Planilha2!B:H,7,0)</f>
        <v>LINHA M1</v>
      </c>
      <c r="E927" s="5">
        <v>4500</v>
      </c>
      <c r="F927">
        <f>IFERROR(
IF(ISNUMBER(FIND("CFW110",B927)),
VALUE(MID(B927,FIND("CFW110",B927)+6,FIND("T",B927,FIND("CFW110",B927))-(FIND("CFW110",B927)+6))),
IF(ISNUMBER(FIND("D",B927)),
VALUE(SUBSTITUTE(MID(B927,FIND("D",B927)+1,FIND("T",B927,FIND("D",B927))-(FIND("D",B927)+1)),"P",",")),
IF(ISNUMBER(FIND("CFW5",B927)),
VALUE(MID(B927,
IF(ISNUMBER(FIND("F",B927)),FIND("F",B927)+1,FIND("G",B927)+1),
FIND("T",B927)-(IF(ISNUMBER(FIND("F",B927)),FIND("F",B927)+1,FIND("G",B927)+1))
)),
VALUE(MID(B927,FIND("E0",B927)+2,FIND("T",B927,FIND("E0",B927))-(FIND("E0",B927)+2)))
))),"")</f>
        <v>45</v>
      </c>
      <c r="G927">
        <f>IFERROR(
IF(ISNUMBER(FIND("T2",B927)),220,
IF(ISNUMBER(FIND("T4",B927)),440,
IF(ISNUMBER(FIND("T5",B927)),575,
IF(ISNUMBER(FIND("T6",B927)),690,"")))),
"")</f>
        <v>440</v>
      </c>
    </row>
    <row r="928" spans="1:7" x14ac:dyDescent="0.25">
      <c r="A928">
        <v>12013814</v>
      </c>
      <c r="B928" t="str">
        <f>VLOOKUP(A928,Planilha2!B:C,2,0)</f>
        <v>INVERSOR EUCFW110058T4OYWZ</v>
      </c>
      <c r="C928" t="s">
        <v>1</v>
      </c>
      <c r="D928" t="str">
        <f>VLOOKUP(A928,Planilha2!B:H,7,0)</f>
        <v>LINHA M1</v>
      </c>
      <c r="E928" s="5">
        <v>45000</v>
      </c>
      <c r="F928">
        <f>IFERROR(
IF(ISNUMBER(FIND("CFW110",B928)),
VALUE(MID(B928,FIND("CFW110",B928)+6,FIND("T",B928,FIND("CFW110",B928))-(FIND("CFW110",B928)+6))),
IF(ISNUMBER(FIND("D",B928)),
VALUE(SUBSTITUTE(MID(B928,FIND("D",B928)+1,FIND("T",B928,FIND("D",B928))-(FIND("D",B928)+1)),"P",",")),
IF(ISNUMBER(FIND("CFW5",B928)),
VALUE(MID(B928,
IF(ISNUMBER(FIND("F",B928)),FIND("F",B928)+1,FIND("G",B928)+1),
FIND("T",B928)-(IF(ISNUMBER(FIND("F",B928)),FIND("F",B928)+1,FIND("G",B928)+1))
)),
VALUE(MID(B928,FIND("E0",B928)+2,FIND("T",B928,FIND("E0",B928))-(FIND("E0",B928)+2)))
))),"")</f>
        <v>58</v>
      </c>
      <c r="G928">
        <f>IFERROR(
IF(ISNUMBER(FIND("T2",B928)),220,
IF(ISNUMBER(FIND("T4",B928)),440,
IF(ISNUMBER(FIND("T5",B928)),575,
IF(ISNUMBER(FIND("T6",B928)),690,"")))),
"")</f>
        <v>440</v>
      </c>
    </row>
    <row r="929" spans="1:7" x14ac:dyDescent="0.25">
      <c r="A929">
        <v>12013816</v>
      </c>
      <c r="B929" t="str">
        <f>VLOOKUP(A929,Planilha2!B:C,2,0)</f>
        <v>INVERSOR EUCFW110070T4OYWZ</v>
      </c>
      <c r="C929" t="s">
        <v>1</v>
      </c>
      <c r="D929" t="str">
        <f>VLOOKUP(A929,Planilha2!B:H,7,0)</f>
        <v>LINHA M3</v>
      </c>
      <c r="E929" s="5">
        <v>26000</v>
      </c>
      <c r="F929">
        <f>IFERROR(
IF(ISNUMBER(FIND("CFW110",B929)),
VALUE(MID(B929,FIND("CFW110",B929)+6,FIND("T",B929,FIND("CFW110",B929))-(FIND("CFW110",B929)+6))),
IF(ISNUMBER(FIND("D",B929)),
VALUE(SUBSTITUTE(MID(B929,FIND("D",B929)+1,FIND("T",B929,FIND("D",B929))-(FIND("D",B929)+1)),"P",",")),
IF(ISNUMBER(FIND("CFW5",B929)),
VALUE(MID(B929,
IF(ISNUMBER(FIND("F",B929)),FIND("F",B929)+1,FIND("G",B929)+1),
FIND("T",B929)-(IF(ISNUMBER(FIND("F",B929)),FIND("F",B929)+1,FIND("G",B929)+1))
)),
VALUE(MID(B929,FIND("E0",B929)+2,FIND("T",B929,FIND("E0",B929))-(FIND("E0",B929)+2)))
))),"")</f>
        <v>70</v>
      </c>
      <c r="G929">
        <f>IFERROR(
IF(ISNUMBER(FIND("T2",B929)),220,
IF(ISNUMBER(FIND("T4",B929)),440,
IF(ISNUMBER(FIND("T5",B929)),575,
IF(ISNUMBER(FIND("T6",B929)),690,"")))),
"")</f>
        <v>440</v>
      </c>
    </row>
    <row r="930" spans="1:7" x14ac:dyDescent="0.25">
      <c r="A930">
        <v>12013841</v>
      </c>
      <c r="B930" t="str">
        <f>VLOOKUP(A930,Planilha2!B:C,2,0)</f>
        <v>INVERSOR EUCFW110088T4OYWZ</v>
      </c>
      <c r="C930" t="s">
        <v>1</v>
      </c>
      <c r="D930" t="str">
        <f>VLOOKUP(A930,Planilha2!B:H,7,0)</f>
        <v>LINHA M3</v>
      </c>
      <c r="E930" s="5">
        <v>32600</v>
      </c>
      <c r="F930">
        <f>IFERROR(
IF(ISNUMBER(FIND("CFW110",B930)),
VALUE(MID(B930,FIND("CFW110",B930)+6,FIND("T",B930,FIND("CFW110",B930))-(FIND("CFW110",B930)+6))),
IF(ISNUMBER(FIND("D",B930)),
VALUE(SUBSTITUTE(MID(B930,FIND("D",B930)+1,FIND("T",B930,FIND("D",B930))-(FIND("D",B930)+1)),"P",",")),
IF(ISNUMBER(FIND("CFW5",B930)),
VALUE(MID(B930,
IF(ISNUMBER(FIND("F",B930)),FIND("F",B930)+1,FIND("G",B930)+1),
FIND("T",B930)-(IF(ISNUMBER(FIND("F",B930)),FIND("F",B930)+1,FIND("G",B930)+1))
)),
VALUE(MID(B930,FIND("E0",B930)+2,FIND("T",B930,FIND("E0",B930))-(FIND("E0",B930)+2)))
))),"")</f>
        <v>88</v>
      </c>
      <c r="G930">
        <f>IFERROR(
IF(ISNUMBER(FIND("T2",B930)),220,
IF(ISNUMBER(FIND("T4",B930)),440,
IF(ISNUMBER(FIND("T5",B930)),575,
IF(ISNUMBER(FIND("T6",B930)),690,"")))),
"")</f>
        <v>440</v>
      </c>
    </row>
    <row r="931" spans="1:7" x14ac:dyDescent="0.25">
      <c r="A931">
        <v>11873030</v>
      </c>
      <c r="B931" t="str">
        <f>VLOOKUP(A931,Planilha2!B:C,2,0)</f>
        <v>INVERSOR EUCFW110054T2OFAYZ</v>
      </c>
      <c r="C931" t="s">
        <v>1</v>
      </c>
      <c r="D931" t="str">
        <f>VLOOKUP(A931,Planilha2!B:H,7,0)</f>
        <v>LINHA M1</v>
      </c>
      <c r="E931" s="5">
        <v>16000</v>
      </c>
      <c r="F931">
        <f>IFERROR(
IF(ISNUMBER(FIND("CFW110",B931)),
VALUE(MID(B931,FIND("CFW110",B931)+6,FIND("T",B931,FIND("CFW110",B931))-(FIND("CFW110",B931)+6))),
IF(ISNUMBER(FIND("D",B931)),
VALUE(SUBSTITUTE(MID(B931,FIND("D",B931)+1,FIND("T",B931,FIND("D",B931))-(FIND("D",B931)+1)),"P",",")),
IF(ISNUMBER(FIND("CFW5",B931)),
VALUE(MID(B931,
IF(ISNUMBER(FIND("F",B931)),FIND("F",B931)+1,FIND("G",B931)+1),
FIND("T",B931)-(IF(ISNUMBER(FIND("F",B931)),FIND("F",B931)+1,FIND("G",B931)+1))
)),
VALUE(MID(B931,FIND("E0",B931)+2,FIND("T",B931,FIND("E0",B931))-(FIND("E0",B931)+2)))
))),"")</f>
        <v>54</v>
      </c>
      <c r="G931">
        <f>IFERROR(
IF(ISNUMBER(FIND("T2",B931)),220,
IF(ISNUMBER(FIND("T4",B931)),440,
IF(ISNUMBER(FIND("T5",B931)),575,
IF(ISNUMBER(FIND("T6",B931)),690,"")))),
"")</f>
        <v>220</v>
      </c>
    </row>
    <row r="932" spans="1:7" x14ac:dyDescent="0.25">
      <c r="A932">
        <v>11873031</v>
      </c>
      <c r="B932" t="str">
        <f>VLOOKUP(A932,Planilha2!B:C,2,0)</f>
        <v>INVERSOR EUCFW110070T2OFAYZ</v>
      </c>
      <c r="C932" t="s">
        <v>1</v>
      </c>
      <c r="D932" t="str">
        <f>VLOOKUP(A932,Planilha2!B:H,7,0)</f>
        <v>LINHA M1</v>
      </c>
      <c r="E932" s="5">
        <v>16000</v>
      </c>
      <c r="F932">
        <f>IFERROR(
IF(ISNUMBER(FIND("CFW110",B932)),
VALUE(MID(B932,FIND("CFW110",B932)+6,FIND("T",B932,FIND("CFW110",B932))-(FIND("CFW110",B932)+6))),
IF(ISNUMBER(FIND("D",B932)),
VALUE(SUBSTITUTE(MID(B932,FIND("D",B932)+1,FIND("T",B932,FIND("D",B932))-(FIND("D",B932)+1)),"P",",")),
IF(ISNUMBER(FIND("CFW5",B932)),
VALUE(MID(B932,
IF(ISNUMBER(FIND("F",B932)),FIND("F",B932)+1,FIND("G",B932)+1),
FIND("T",B932)-(IF(ISNUMBER(FIND("F",B932)),FIND("F",B932)+1,FIND("G",B932)+1))
)),
VALUE(MID(B932,FIND("E0",B932)+2,FIND("T",B932,FIND("E0",B932))-(FIND("E0",B932)+2)))
))),"")</f>
        <v>70</v>
      </c>
      <c r="G932">
        <f>IFERROR(
IF(ISNUMBER(FIND("T2",B932)),220,
IF(ISNUMBER(FIND("T4",B932)),440,
IF(ISNUMBER(FIND("T5",B932)),575,
IF(ISNUMBER(FIND("T6",B932)),690,"")))),
"")</f>
        <v>220</v>
      </c>
    </row>
    <row r="933" spans="1:7" x14ac:dyDescent="0.25">
      <c r="A933">
        <v>11873032</v>
      </c>
      <c r="B933" t="str">
        <f>VLOOKUP(A933,Planilha2!B:C,2,0)</f>
        <v>INVERSOR EUCFW110086T2OFAYZ</v>
      </c>
      <c r="C933" t="s">
        <v>1</v>
      </c>
      <c r="D933" t="str">
        <f>VLOOKUP(A933,Planilha2!B:H,7,0)</f>
        <v>LINHA M3</v>
      </c>
      <c r="E933" s="5">
        <v>29500</v>
      </c>
      <c r="F933">
        <f>IFERROR(
IF(ISNUMBER(FIND("CFW110",B933)),
VALUE(MID(B933,FIND("CFW110",B933)+6,FIND("T",B933,FIND("CFW110",B933))-(FIND("CFW110",B933)+6))),
IF(ISNUMBER(FIND("D",B933)),
VALUE(SUBSTITUTE(MID(B933,FIND("D",B933)+1,FIND("T",B933,FIND("D",B933))-(FIND("D",B933)+1)),"P",",")),
IF(ISNUMBER(FIND("CFW5",B933)),
VALUE(MID(B933,
IF(ISNUMBER(FIND("F",B933)),FIND("F",B933)+1,FIND("G",B933)+1),
FIND("T",B933)-(IF(ISNUMBER(FIND("F",B933)),FIND("F",B933)+1,FIND("G",B933)+1))
)),
VALUE(MID(B933,FIND("E0",B933)+2,FIND("T",B933,FIND("E0",B933))-(FIND("E0",B933)+2)))
))),"")</f>
        <v>86</v>
      </c>
      <c r="G933">
        <f>IFERROR(
IF(ISNUMBER(FIND("T2",B933)),220,
IF(ISNUMBER(FIND("T4",B933)),440,
IF(ISNUMBER(FIND("T5",B933)),575,
IF(ISNUMBER(FIND("T6",B933)),690,"")))),
"")</f>
        <v>220</v>
      </c>
    </row>
    <row r="934" spans="1:7" x14ac:dyDescent="0.25">
      <c r="A934">
        <v>11312133</v>
      </c>
      <c r="B934" t="str">
        <f>VLOOKUP(A934,Planilha2!B:C,2,0)</f>
        <v>INVERSOR CFW700D86P0T2DBN1</v>
      </c>
      <c r="C934" t="s">
        <v>1</v>
      </c>
      <c r="D934" t="str">
        <f>VLOOKUP(A934,Planilha2!B:H,7,0)</f>
        <v>OBSOLETOS DRIVES</v>
      </c>
      <c r="E934" s="5">
        <v>31100</v>
      </c>
      <c r="F934">
        <f>IFERROR(
IF(ISNUMBER(FIND("CFW110",B934)),
VALUE(MID(B934,FIND("CFW110",B934)+6,FIND("T",B934,FIND("CFW110",B934))-(FIND("CFW110",B934)+6))),
IF(ISNUMBER(FIND("D",B934)),
VALUE(SUBSTITUTE(MID(B934,FIND("D",B934)+1,FIND("T",B934,FIND("D",B934))-(FIND("D",B934)+1)),"P",",")),
IF(ISNUMBER(FIND("CFW5",B934)),
VALUE(MID(B934,
IF(ISNUMBER(FIND("F",B934)),FIND("F",B934)+1,FIND("G",B934)+1),
FIND("T",B934)-(IF(ISNUMBER(FIND("F",B934)),FIND("F",B934)+1,FIND("G",B934)+1))
)),
VALUE(MID(B934,FIND("E0",B934)+2,FIND("T",B934,FIND("E0",B934))-(FIND("E0",B934)+2)))
))),"")</f>
        <v>86</v>
      </c>
      <c r="G934">
        <f>IFERROR(
IF(ISNUMBER(FIND("T2",B934)),220,
IF(ISNUMBER(FIND("T4",B934)),440,
IF(ISNUMBER(FIND("T5",B934)),575,
IF(ISNUMBER(FIND("T6",B934)),690,"")))),
"")</f>
        <v>220</v>
      </c>
    </row>
    <row r="935" spans="1:7" x14ac:dyDescent="0.25">
      <c r="A935">
        <v>11312629</v>
      </c>
      <c r="B935" t="str">
        <f>VLOOKUP(A935,Planilha2!B:C,2,0)</f>
        <v>INVERSOR CFW700D88P0T4DBN1</v>
      </c>
      <c r="C935" t="s">
        <v>1</v>
      </c>
      <c r="D935" t="str">
        <f>VLOOKUP(A935,Planilha2!B:H,7,0)</f>
        <v>OBSOLETOS DRIVES</v>
      </c>
      <c r="E935" s="5">
        <v>31100</v>
      </c>
      <c r="F935">
        <f>IFERROR(
IF(ISNUMBER(FIND("CFW110",B935)),
VALUE(MID(B935,FIND("CFW110",B935)+6,FIND("T",B935,FIND("CFW110",B935))-(FIND("CFW110",B935)+6))),
IF(ISNUMBER(FIND("D",B935)),
VALUE(SUBSTITUTE(MID(B935,FIND("D",B935)+1,FIND("T",B935,FIND("D",B935))-(FIND("D",B935)+1)),"P",",")),
IF(ISNUMBER(FIND("CFW5",B935)),
VALUE(MID(B935,
IF(ISNUMBER(FIND("F",B935)),FIND("F",B935)+1,FIND("G",B935)+1),
FIND("T",B935)-(IF(ISNUMBER(FIND("F",B935)),FIND("F",B935)+1,FIND("G",B935)+1))
)),
VALUE(MID(B935,FIND("E0",B935)+2,FIND("T",B935,FIND("E0",B935))-(FIND("E0",B935)+2)))
))),"")</f>
        <v>88</v>
      </c>
      <c r="G935">
        <f>IFERROR(
IF(ISNUMBER(FIND("T2",B935)),220,
IF(ISNUMBER(FIND("T4",B935)),440,
IF(ISNUMBER(FIND("T5",B935)),575,
IF(ISNUMBER(FIND("T6",B935)),690,"")))),
"")</f>
        <v>440</v>
      </c>
    </row>
    <row r="936" spans="1:7" x14ac:dyDescent="0.25">
      <c r="A936">
        <v>11312521</v>
      </c>
      <c r="B936" t="str">
        <f>VLOOKUP(A936,Planilha2!B:C,2,0)</f>
        <v>INVERSOR CFW700C58P5T4DB20</v>
      </c>
      <c r="C936" t="s">
        <v>1</v>
      </c>
      <c r="D936" t="str">
        <f>VLOOKUP(A936,Planilha2!B:H,7,0)</f>
        <v>OBSOLETOS DRIVES</v>
      </c>
      <c r="E936" s="5">
        <v>16000</v>
      </c>
      <c r="F936" t="str">
        <f>IFERROR(
IF(ISNUMBER(FIND("CFW110",B936)),
VALUE(MID(B936,FIND("CFW110",B936)+6,FIND("T",B936,FIND("CFW110",B936))-(FIND("CFW110",B936)+6))),
IF(ISNUMBER(FIND("D",B936)),
VALUE(SUBSTITUTE(MID(B936,FIND("D",B936)+1,FIND("T",B936,FIND("D",B936))-(FIND("D",B936)+1)),"P",",")),
IF(ISNUMBER(FIND("CFW5",B936)),
VALUE(MID(B936,
IF(ISNUMBER(FIND("F",B936)),FIND("F",B936)+1,FIND("G",B936)+1),
FIND("T",B936)-(IF(ISNUMBER(FIND("F",B936)),FIND("F",B936)+1,FIND("G",B936)+1))
)),
VALUE(MID(B936,FIND("E0",B936)+2,FIND("T",B936,FIND("E0",B936))-(FIND("E0",B936)+2)))
))),"")</f>
        <v/>
      </c>
      <c r="G936">
        <f>IFERROR(
IF(ISNUMBER(FIND("T2",B936)),220,
IF(ISNUMBER(FIND("T4",B936)),440,
IF(ISNUMBER(FIND("T5",B936)),575,
IF(ISNUMBER(FIND("T6",B936)),690,"")))),
"")</f>
        <v>440</v>
      </c>
    </row>
    <row r="937" spans="1:7" x14ac:dyDescent="0.25">
      <c r="A937">
        <v>11312064</v>
      </c>
      <c r="B937" t="str">
        <f>VLOOKUP(A937,Planilha2!B:C,2,0)</f>
        <v>INVERSOR CFW700C45P0T2DB20</v>
      </c>
      <c r="C937" t="s">
        <v>1</v>
      </c>
      <c r="D937" t="str">
        <f>VLOOKUP(A937,Planilha2!B:H,7,0)</f>
        <v>OBSOLETOS DRIVES</v>
      </c>
      <c r="E937" s="5">
        <v>16210</v>
      </c>
      <c r="F937" t="str">
        <f>IFERROR(
IF(ISNUMBER(FIND("CFW110",B937)),
VALUE(MID(B937,FIND("CFW110",B937)+6,FIND("T",B937,FIND("CFW110",B937))-(FIND("CFW110",B937)+6))),
IF(ISNUMBER(FIND("D",B937)),
VALUE(SUBSTITUTE(MID(B937,FIND("D",B937)+1,FIND("T",B937,FIND("D",B937))-(FIND("D",B937)+1)),"P",",")),
IF(ISNUMBER(FIND("CFW5",B937)),
VALUE(MID(B937,
IF(ISNUMBER(FIND("F",B937)),FIND("F",B937)+1,FIND("G",B937)+1),
FIND("T",B937)-(IF(ISNUMBER(FIND("F",B937)),FIND("F",B937)+1,FIND("G",B937)+1))
)),
VALUE(MID(B937,FIND("E0",B937)+2,FIND("T",B937,FIND("E0",B937))-(FIND("E0",B937)+2)))
))),"")</f>
        <v/>
      </c>
      <c r="G937">
        <f>IFERROR(
IF(ISNUMBER(FIND("T2",B937)),220,
IF(ISNUMBER(FIND("T4",B937)),440,
IF(ISNUMBER(FIND("T5",B937)),575,
IF(ISNUMBER(FIND("T6",B937)),690,"")))),
"")</f>
        <v>220</v>
      </c>
    </row>
    <row r="938" spans="1:7" x14ac:dyDescent="0.25">
      <c r="A938">
        <v>11312433</v>
      </c>
      <c r="B938" t="str">
        <f>VLOOKUP(A938,Planilha2!B:C,2,0)</f>
        <v>INVERSOR CFW700C38P0T4DB20</v>
      </c>
      <c r="C938" t="s">
        <v>1</v>
      </c>
      <c r="D938" t="str">
        <f>VLOOKUP(A938,Planilha2!B:H,7,0)</f>
        <v>OBSOLETOS DRIVES</v>
      </c>
      <c r="E938" s="5">
        <v>16000</v>
      </c>
      <c r="F938" t="str">
        <f>IFERROR(
IF(ISNUMBER(FIND("CFW110",B938)),
VALUE(MID(B938,FIND("CFW110",B938)+6,FIND("T",B938,FIND("CFW110",B938))-(FIND("CFW110",B938)+6))),
IF(ISNUMBER(FIND("D",B938)),
VALUE(SUBSTITUTE(MID(B938,FIND("D",B938)+1,FIND("T",B938,FIND("D",B938))-(FIND("D",B938)+1)),"P",",")),
IF(ISNUMBER(FIND("CFW5",B938)),
VALUE(MID(B938,
IF(ISNUMBER(FIND("F",B938)),FIND("F",B938)+1,FIND("G",B938)+1),
FIND("T",B938)-(IF(ISNUMBER(FIND("F",B938)),FIND("F",B938)+1,FIND("G",B938)+1))
)),
VALUE(MID(B938,FIND("E0",B938)+2,FIND("T",B938,FIND("E0",B938))-(FIND("E0",B938)+2)))
))),"")</f>
        <v/>
      </c>
      <c r="G938">
        <f>IFERROR(
IF(ISNUMBER(FIND("T2",B938)),220,
IF(ISNUMBER(FIND("T4",B938)),440,
IF(ISNUMBER(FIND("T5",B938)),575,
IF(ISNUMBER(FIND("T6",B938)),690,"")))),
"")</f>
        <v>440</v>
      </c>
    </row>
    <row r="939" spans="1:7" x14ac:dyDescent="0.25">
      <c r="A939">
        <v>10574785</v>
      </c>
      <c r="B939" t="str">
        <f>VLOOKUP(A939,Planilha2!B:C,2,0)</f>
        <v>INVERSOR EUCFW110054T2OFAZ</v>
      </c>
      <c r="C939" t="s">
        <v>1</v>
      </c>
      <c r="D939" t="str">
        <f>VLOOKUP(A939,Planilha2!B:H,7,0)</f>
        <v>LINHA M1</v>
      </c>
      <c r="E939" s="5">
        <v>16100</v>
      </c>
      <c r="F939">
        <f>IFERROR(
IF(ISNUMBER(FIND("CFW110",B939)),
VALUE(MID(B939,FIND("CFW110",B939)+6,FIND("T",B939,FIND("CFW110",B939))-(FIND("CFW110",B939)+6))),
IF(ISNUMBER(FIND("D",B939)),
VALUE(SUBSTITUTE(MID(B939,FIND("D",B939)+1,FIND("T",B939,FIND("D",B939))-(FIND("D",B939)+1)),"P",",")),
IF(ISNUMBER(FIND("CFW5",B939)),
VALUE(MID(B939,
IF(ISNUMBER(FIND("F",B939)),FIND("F",B939)+1,FIND("G",B939)+1),
FIND("T",B939)-(IF(ISNUMBER(FIND("F",B939)),FIND("F",B939)+1,FIND("G",B939)+1))
)),
VALUE(MID(B939,FIND("E0",B939)+2,FIND("T",B939,FIND("E0",B939))-(FIND("E0",B939)+2)))
))),"")</f>
        <v>54</v>
      </c>
      <c r="G939">
        <f>IFERROR(
IF(ISNUMBER(FIND("T2",B939)),220,
IF(ISNUMBER(FIND("T4",B939)),440,
IF(ISNUMBER(FIND("T5",B939)),575,
IF(ISNUMBER(FIND("T6",B939)),690,"")))),
"")</f>
        <v>220</v>
      </c>
    </row>
    <row r="940" spans="1:7" x14ac:dyDescent="0.25">
      <c r="A940">
        <v>11142665</v>
      </c>
      <c r="B940" t="str">
        <f>VLOOKUP(A940,Planilha2!B:C,2,0)</f>
        <v>INVERSOR BRCFW110142T2O54Z</v>
      </c>
      <c r="C940" t="s">
        <v>1</v>
      </c>
      <c r="D940" t="str">
        <f>VLOOKUP(A940,Planilha2!B:H,7,0)</f>
        <v>LINHA E1</v>
      </c>
      <c r="E940" s="5">
        <v>81800</v>
      </c>
      <c r="F940">
        <f>IFERROR(
IF(ISNUMBER(FIND("CFW110",B940)),
VALUE(MID(B940,FIND("CFW110",B940)+6,FIND("T",B940,FIND("CFW110",B940))-(FIND("CFW110",B940)+6))),
IF(ISNUMBER(FIND("D",B940)),
VALUE(SUBSTITUTE(MID(B940,FIND("D",B940)+1,FIND("T",B940,FIND("D",B940))-(FIND("D",B940)+1)),"P",",")),
IF(ISNUMBER(FIND("CFW5",B940)),
VALUE(MID(B940,
IF(ISNUMBER(FIND("F",B940)),FIND("F",B940)+1,FIND("G",B940)+1),
FIND("T",B940)-(IF(ISNUMBER(FIND("F",B940)),FIND("F",B940)+1,FIND("G",B940)+1))
)),
VALUE(MID(B940,FIND("E0",B940)+2,FIND("T",B940,FIND("E0",B940))-(FIND("E0",B940)+2)))
))),"")</f>
        <v>142</v>
      </c>
      <c r="G940">
        <f>IFERROR(
IF(ISNUMBER(FIND("T2",B940)),220,
IF(ISNUMBER(FIND("T4",B940)),440,
IF(ISNUMBER(FIND("T5",B940)),575,
IF(ISNUMBER(FIND("T6",B940)),690,"")))),
"")</f>
        <v>220</v>
      </c>
    </row>
    <row r="941" spans="1:7" x14ac:dyDescent="0.25">
      <c r="A941">
        <v>11143159</v>
      </c>
      <c r="B941" t="str">
        <f>VLOOKUP(A941,Planilha2!B:C,2,0)</f>
        <v>INVERSOR EUCFW110142T4O54DBZ</v>
      </c>
      <c r="C941" t="s">
        <v>1</v>
      </c>
      <c r="D941" t="str">
        <f>VLOOKUP(A941,Planilha2!B:H,7,0)</f>
        <v>LINHA E1</v>
      </c>
      <c r="E941" s="5">
        <v>81800</v>
      </c>
      <c r="F941">
        <f>IFERROR(
IF(ISNUMBER(FIND("CFW110",B941)),
VALUE(MID(B941,FIND("CFW110",B941)+6,FIND("T",B941,FIND("CFW110",B941))-(FIND("CFW110",B941)+6))),
IF(ISNUMBER(FIND("D",B941)),
VALUE(SUBSTITUTE(MID(B941,FIND("D",B941)+1,FIND("T",B941,FIND("D",B941))-(FIND("D",B941)+1)),"P",",")),
IF(ISNUMBER(FIND("CFW5",B941)),
VALUE(MID(B941,
IF(ISNUMBER(FIND("F",B941)),FIND("F",B941)+1,FIND("G",B941)+1),
FIND("T",B941)-(IF(ISNUMBER(FIND("F",B941)),FIND("F",B941)+1,FIND("G",B941)+1))
)),
VALUE(MID(B941,FIND("E0",B941)+2,FIND("T",B941,FIND("E0",B941))-(FIND("E0",B941)+2)))
))),"")</f>
        <v>142</v>
      </c>
      <c r="G941">
        <f>IFERROR(
IF(ISNUMBER(FIND("T2",B941)),220,
IF(ISNUMBER(FIND("T4",B941)),440,
IF(ISNUMBER(FIND("T5",B941)),575,
IF(ISNUMBER(FIND("T6",B941)),690,"")))),
"")</f>
        <v>440</v>
      </c>
    </row>
    <row r="942" spans="1:7" x14ac:dyDescent="0.25">
      <c r="A942">
        <v>11312596</v>
      </c>
      <c r="B942" t="str">
        <f>VLOOKUP(A942,Planilha2!B:C,2,0)</f>
        <v>INVERSOR CFW700D70P5T4DBN1</v>
      </c>
      <c r="C942" t="s">
        <v>1</v>
      </c>
      <c r="D942" t="str">
        <f>VLOOKUP(A942,Planilha2!B:H,7,0)</f>
        <v>OBSOLETOS DRIVES</v>
      </c>
      <c r="E942" s="5">
        <v>26000</v>
      </c>
      <c r="F942">
        <f>IFERROR(
IF(ISNUMBER(FIND("CFW110",B942)),
VALUE(MID(B942,FIND("CFW110",B942)+6,FIND("T",B942,FIND("CFW110",B942))-(FIND("CFW110",B942)+6))),
IF(ISNUMBER(FIND("D",B942)),
VALUE(SUBSTITUTE(MID(B942,FIND("D",B942)+1,FIND("T",B942,FIND("D",B942))-(FIND("D",B942)+1)),"P",",")),
IF(ISNUMBER(FIND("CFW5",B942)),
VALUE(MID(B942,
IF(ISNUMBER(FIND("F",B942)),FIND("F",B942)+1,FIND("G",B942)+1),
FIND("T",B942)-(IF(ISNUMBER(FIND("F",B942)),FIND("F",B942)+1,FIND("G",B942)+1))
)),
VALUE(MID(B942,FIND("E0",B942)+2,FIND("T",B942,FIND("E0",B942))-(FIND("E0",B942)+2)))
))),"")</f>
        <v>70.5</v>
      </c>
      <c r="G942">
        <f>IFERROR(
IF(ISNUMBER(FIND("T2",B942)),220,
IF(ISNUMBER(FIND("T4",B942)),440,
IF(ISNUMBER(FIND("T5",B942)),575,
IF(ISNUMBER(FIND("T6",B942)),690,"")))),
"")</f>
        <v>440</v>
      </c>
    </row>
    <row r="943" spans="1:7" x14ac:dyDescent="0.25">
      <c r="A943">
        <v>11313861</v>
      </c>
      <c r="B943" t="str">
        <f>VLOOKUP(A943,Planilha2!B:C,2,0)</f>
        <v>INVERSOR CFW700D0105T2DBN1</v>
      </c>
      <c r="C943" t="s">
        <v>1</v>
      </c>
      <c r="D943" t="str">
        <f>VLOOKUP(A943,Planilha2!B:H,7,0)</f>
        <v>OBSOLETOS DRIVES</v>
      </c>
      <c r="E943" s="5">
        <v>31100</v>
      </c>
      <c r="F943">
        <f>IFERROR(
IF(ISNUMBER(FIND("CFW110",B943)),
VALUE(MID(B943,FIND("CFW110",B943)+6,FIND("T",B943,FIND("CFW110",B943))-(FIND("CFW110",B943)+6))),
IF(ISNUMBER(FIND("D",B943)),
VALUE(SUBSTITUTE(MID(B943,FIND("D",B943)+1,FIND("T",B943,FIND("D",B943))-(FIND("D",B943)+1)),"P",",")),
IF(ISNUMBER(FIND("CFW5",B943)),
VALUE(MID(B943,
IF(ISNUMBER(FIND("F",B943)),FIND("F",B943)+1,FIND("G",B943)+1),
FIND("T",B943)-(IF(ISNUMBER(FIND("F",B943)),FIND("F",B943)+1,FIND("G",B943)+1))
)),
VALUE(MID(B943,FIND("E0",B943)+2,FIND("T",B943,FIND("E0",B943))-(FIND("E0",B943)+2)))
))),"")</f>
        <v>105</v>
      </c>
      <c r="G943">
        <f>IFERROR(
IF(ISNUMBER(FIND("T2",B943)),220,
IF(ISNUMBER(FIND("T4",B943)),440,
IF(ISNUMBER(FIND("T5",B943)),575,
IF(ISNUMBER(FIND("T6",B943)),690,"")))),
"")</f>
        <v>220</v>
      </c>
    </row>
    <row r="944" spans="1:7" x14ac:dyDescent="0.25">
      <c r="A944">
        <v>11543971</v>
      </c>
      <c r="B944" t="str">
        <f>VLOOKUP(A944,Planilha2!B:C,2,0)</f>
        <v>INVERSOR CFW700D70P5T4DBN1C3</v>
      </c>
      <c r="C944" t="s">
        <v>1</v>
      </c>
      <c r="D944" t="str">
        <f>VLOOKUP(A944,Planilha2!B:H,7,0)</f>
        <v>OBSOLETOS DRIVES</v>
      </c>
      <c r="E944" s="5">
        <v>31100</v>
      </c>
      <c r="F944">
        <f>IFERROR(
IF(ISNUMBER(FIND("CFW110",B944)),
VALUE(MID(B944,FIND("CFW110",B944)+6,FIND("T",B944,FIND("CFW110",B944))-(FIND("CFW110",B944)+6))),
IF(ISNUMBER(FIND("D",B944)),
VALUE(SUBSTITUTE(MID(B944,FIND("D",B944)+1,FIND("T",B944,FIND("D",B944))-(FIND("D",B944)+1)),"P",",")),
IF(ISNUMBER(FIND("CFW5",B944)),
VALUE(MID(B944,
IF(ISNUMBER(FIND("F",B944)),FIND("F",B944)+1,FIND("G",B944)+1),
FIND("T",B944)-(IF(ISNUMBER(FIND("F",B944)),FIND("F",B944)+1,FIND("G",B944)+1))
)),
VALUE(MID(B944,FIND("E0",B944)+2,FIND("T",B944,FIND("E0",B944))-(FIND("E0",B944)+2)))
))),"")</f>
        <v>70.5</v>
      </c>
      <c r="G944">
        <f>IFERROR(
IF(ISNUMBER(FIND("T2",B944)),220,
IF(ISNUMBER(FIND("T4",B944)),440,
IF(ISNUMBER(FIND("T5",B944)),575,
IF(ISNUMBER(FIND("T6",B944)),690,"")))),
"")</f>
        <v>440</v>
      </c>
    </row>
    <row r="945" spans="1:7" x14ac:dyDescent="0.25">
      <c r="A945">
        <v>10234054</v>
      </c>
      <c r="B945" t="str">
        <f>VLOOKUP(A945,Planilha2!B:C,2,0)</f>
        <v>INVERSOR BRCFW110105T2SZ</v>
      </c>
      <c r="C945" t="s">
        <v>1</v>
      </c>
      <c r="D945" t="str">
        <f>VLOOKUP(A945,Planilha2!B:H,7,0)</f>
        <v>LINHA M3</v>
      </c>
      <c r="E945" s="5">
        <v>31400</v>
      </c>
      <c r="F945">
        <f>IFERROR(
IF(ISNUMBER(FIND("CFW110",B945)),
VALUE(MID(B945,FIND("CFW110",B945)+6,FIND("T",B945,FIND("CFW110",B945))-(FIND("CFW110",B945)+6))),
IF(ISNUMBER(FIND("D",B945)),
VALUE(SUBSTITUTE(MID(B945,FIND("D",B945)+1,FIND("T",B945,FIND("D",B945))-(FIND("D",B945)+1)),"P",",")),
IF(ISNUMBER(FIND("CFW5",B945)),
VALUE(MID(B945,
IF(ISNUMBER(FIND("F",B945)),FIND("F",B945)+1,FIND("G",B945)+1),
FIND("T",B945)-(IF(ISNUMBER(FIND("F",B945)),FIND("F",B945)+1,FIND("G",B945)+1))
)),
VALUE(MID(B945,FIND("E0",B945)+2,FIND("T",B945,FIND("E0",B945))-(FIND("E0",B945)+2)))
))),"")</f>
        <v>105</v>
      </c>
      <c r="G945">
        <f>IFERROR(
IF(ISNUMBER(FIND("T2",B945)),220,
IF(ISNUMBER(FIND("T4",B945)),440,
IF(ISNUMBER(FIND("T5",B945)),575,
IF(ISNUMBER(FIND("T6",B945)),690,"")))),
"")</f>
        <v>220</v>
      </c>
    </row>
    <row r="946" spans="1:7" x14ac:dyDescent="0.25">
      <c r="A946">
        <v>10234065</v>
      </c>
      <c r="B946" t="str">
        <f>VLOOKUP(A946,Planilha2!B:C,2,0)</f>
        <v>INVERSOR BRCFW110086T2OFAZ</v>
      </c>
      <c r="C946" t="s">
        <v>1</v>
      </c>
      <c r="D946" t="str">
        <f>VLOOKUP(A946,Planilha2!B:H,7,0)</f>
        <v>LINHA M3</v>
      </c>
      <c r="E946" s="5">
        <v>29500</v>
      </c>
      <c r="F946">
        <f>IFERROR(
IF(ISNUMBER(FIND("CFW110",B946)),
VALUE(MID(B946,FIND("CFW110",B946)+6,FIND("T",B946,FIND("CFW110",B946))-(FIND("CFW110",B946)+6))),
IF(ISNUMBER(FIND("D",B946)),
VALUE(SUBSTITUTE(MID(B946,FIND("D",B946)+1,FIND("T",B946,FIND("D",B946))-(FIND("D",B946)+1)),"P",",")),
IF(ISNUMBER(FIND("CFW5",B946)),
VALUE(MID(B946,
IF(ISNUMBER(FIND("F",B946)),FIND("F",B946)+1,FIND("G",B946)+1),
FIND("T",B946)-(IF(ISNUMBER(FIND("F",B946)),FIND("F",B946)+1,FIND("G",B946)+1))
)),
VALUE(MID(B946,FIND("E0",B946)+2,FIND("T",B946,FIND("E0",B946))-(FIND("E0",B946)+2)))
))),"")</f>
        <v>86</v>
      </c>
      <c r="G946">
        <f>IFERROR(
IF(ISNUMBER(FIND("T2",B946)),220,
IF(ISNUMBER(FIND("T4",B946)),440,
IF(ISNUMBER(FIND("T5",B946)),575,
IF(ISNUMBER(FIND("T6",B946)),690,"")))),
"")</f>
        <v>220</v>
      </c>
    </row>
    <row r="947" spans="1:7" x14ac:dyDescent="0.25">
      <c r="A947">
        <v>10234066</v>
      </c>
      <c r="B947" t="str">
        <f>VLOOKUP(A947,Planilha2!B:C,2,0)</f>
        <v>INVERSOR BRCFW110105T2OFAZ</v>
      </c>
      <c r="C947" t="s">
        <v>1</v>
      </c>
      <c r="D947" t="str">
        <f>VLOOKUP(A947,Planilha2!B:H,7,0)</f>
        <v>LINHA M3</v>
      </c>
      <c r="E947" s="5">
        <v>31400</v>
      </c>
      <c r="F947">
        <f>IFERROR(
IF(ISNUMBER(FIND("CFW110",B947)),
VALUE(MID(B947,FIND("CFW110",B947)+6,FIND("T",B947,FIND("CFW110",B947))-(FIND("CFW110",B947)+6))),
IF(ISNUMBER(FIND("D",B947)),
VALUE(SUBSTITUTE(MID(B947,FIND("D",B947)+1,FIND("T",B947,FIND("D",B947))-(FIND("D",B947)+1)),"P",",")),
IF(ISNUMBER(FIND("CFW5",B947)),
VALUE(MID(B947,
IF(ISNUMBER(FIND("F",B947)),FIND("F",B947)+1,FIND("G",B947)+1),
FIND("T",B947)-(IF(ISNUMBER(FIND("F",B947)),FIND("F",B947)+1,FIND("G",B947)+1))
)),
VALUE(MID(B947,FIND("E0",B947)+2,FIND("T",B947,FIND("E0",B947))-(FIND("E0",B947)+2)))
))),"")</f>
        <v>105</v>
      </c>
      <c r="G947">
        <f>IFERROR(
IF(ISNUMBER(FIND("T2",B947)),220,
IF(ISNUMBER(FIND("T4",B947)),440,
IF(ISNUMBER(FIND("T5",B947)),575,
IF(ISNUMBER(FIND("T6",B947)),690,"")))),
"")</f>
        <v>220</v>
      </c>
    </row>
    <row r="948" spans="1:7" x14ac:dyDescent="0.25">
      <c r="A948">
        <v>10255164</v>
      </c>
      <c r="B948" t="str">
        <f>VLOOKUP(A948,Planilha2!B:C,2,0)</f>
        <v>INVERSOR BRCFW110086T2SZ</v>
      </c>
      <c r="C948" t="s">
        <v>1</v>
      </c>
      <c r="D948" t="str">
        <f>VLOOKUP(A948,Planilha2!B:H,7,0)</f>
        <v>LINHA M3</v>
      </c>
      <c r="E948" s="5">
        <v>29500</v>
      </c>
      <c r="F948">
        <f>IFERROR(
IF(ISNUMBER(FIND("CFW110",B948)),
VALUE(MID(B948,FIND("CFW110",B948)+6,FIND("T",B948,FIND("CFW110",B948))-(FIND("CFW110",B948)+6))),
IF(ISNUMBER(FIND("D",B948)),
VALUE(SUBSTITUTE(MID(B948,FIND("D",B948)+1,FIND("T",B948,FIND("D",B948))-(FIND("D",B948)+1)),"P",",")),
IF(ISNUMBER(FIND("CFW5",B948)),
VALUE(MID(B948,
IF(ISNUMBER(FIND("F",B948)),FIND("F",B948)+1,FIND("G",B948)+1),
FIND("T",B948)-(IF(ISNUMBER(FIND("F",B948)),FIND("F",B948)+1,FIND("G",B948)+1))
)),
VALUE(MID(B948,FIND("E0",B948)+2,FIND("T",B948,FIND("E0",B948))-(FIND("E0",B948)+2)))
))),"")</f>
        <v>86</v>
      </c>
      <c r="G948">
        <f>IFERROR(
IF(ISNUMBER(FIND("T2",B948)),220,
IF(ISNUMBER(FIND("T4",B948)),440,
IF(ISNUMBER(FIND("T5",B948)),575,
IF(ISNUMBER(FIND("T6",B948)),690,"")))),
"")</f>
        <v>220</v>
      </c>
    </row>
    <row r="949" spans="1:7" x14ac:dyDescent="0.25">
      <c r="A949">
        <v>10304067</v>
      </c>
      <c r="B949" t="str">
        <f>VLOOKUP(A949,Planilha2!B:C,2,0)</f>
        <v>INVERSOR EUCFW110070T4OFAZ</v>
      </c>
      <c r="C949" t="s">
        <v>1</v>
      </c>
      <c r="D949" t="str">
        <f>VLOOKUP(A949,Planilha2!B:H,7,0)</f>
        <v>LINHA M3</v>
      </c>
      <c r="E949" s="5">
        <v>31100</v>
      </c>
      <c r="F949">
        <f>IFERROR(
IF(ISNUMBER(FIND("CFW110",B949)),
VALUE(MID(B949,FIND("CFW110",B949)+6,FIND("T",B949,FIND("CFW110",B949))-(FIND("CFW110",B949)+6))),
IF(ISNUMBER(FIND("D",B949)),
VALUE(SUBSTITUTE(MID(B949,FIND("D",B949)+1,FIND("T",B949,FIND("D",B949))-(FIND("D",B949)+1)),"P",",")),
IF(ISNUMBER(FIND("CFW5",B949)),
VALUE(MID(B949,
IF(ISNUMBER(FIND("F",B949)),FIND("F",B949)+1,FIND("G",B949)+1),
FIND("T",B949)-(IF(ISNUMBER(FIND("F",B949)),FIND("F",B949)+1,FIND("G",B949)+1))
)),
VALUE(MID(B949,FIND("E0",B949)+2,FIND("T",B949,FIND("E0",B949))-(FIND("E0",B949)+2)))
))),"")</f>
        <v>70</v>
      </c>
      <c r="G949">
        <f>IFERROR(
IF(ISNUMBER(FIND("T2",B949)),220,
IF(ISNUMBER(FIND("T4",B949)),440,
IF(ISNUMBER(FIND("T5",B949)),575,
IF(ISNUMBER(FIND("T6",B949)),690,"")))),
"")</f>
        <v>440</v>
      </c>
    </row>
    <row r="950" spans="1:7" x14ac:dyDescent="0.25">
      <c r="A950">
        <v>10574705</v>
      </c>
      <c r="B950" t="str">
        <f>VLOOKUP(A950,Planilha2!B:C,2,0)</f>
        <v>INVERSOR NACFW110086T2SZ</v>
      </c>
      <c r="C950" t="s">
        <v>1</v>
      </c>
      <c r="D950" t="str">
        <f>VLOOKUP(A950,Planilha2!B:H,7,0)</f>
        <v>LINHA M3</v>
      </c>
      <c r="E950" s="5">
        <v>29500</v>
      </c>
      <c r="F950">
        <f>IFERROR(
IF(ISNUMBER(FIND("CFW110",B950)),
VALUE(MID(B950,FIND("CFW110",B950)+6,FIND("T",B950,FIND("CFW110",B950))-(FIND("CFW110",B950)+6))),
IF(ISNUMBER(FIND("D",B950)),
VALUE(SUBSTITUTE(MID(B950,FIND("D",B950)+1,FIND("T",B950,FIND("D",B950))-(FIND("D",B950)+1)),"P",",")),
IF(ISNUMBER(FIND("CFW5",B950)),
VALUE(MID(B950,
IF(ISNUMBER(FIND("F",B950)),FIND("F",B950)+1,FIND("G",B950)+1),
FIND("T",B950)-(IF(ISNUMBER(FIND("F",B950)),FIND("F",B950)+1,FIND("G",B950)+1))
)),
VALUE(MID(B950,FIND("E0",B950)+2,FIND("T",B950,FIND("E0",B950))-(FIND("E0",B950)+2)))
))),"")</f>
        <v>86</v>
      </c>
      <c r="G950">
        <f>IFERROR(
IF(ISNUMBER(FIND("T2",B950)),220,
IF(ISNUMBER(FIND("T4",B950)),440,
IF(ISNUMBER(FIND("T5",B950)),575,
IF(ISNUMBER(FIND("T6",B950)),690,"")))),
"")</f>
        <v>220</v>
      </c>
    </row>
    <row r="951" spans="1:7" x14ac:dyDescent="0.25">
      <c r="A951">
        <v>10574706</v>
      </c>
      <c r="B951" t="str">
        <f>VLOOKUP(A951,Planilha2!B:C,2,0)</f>
        <v>INVERSOR NACFW110105T2SZ</v>
      </c>
      <c r="C951" t="s">
        <v>1</v>
      </c>
      <c r="D951" t="str">
        <f>VLOOKUP(A951,Planilha2!B:H,7,0)</f>
        <v>LINHA M3</v>
      </c>
      <c r="E951" s="5">
        <v>31400</v>
      </c>
      <c r="F951">
        <f>IFERROR(
IF(ISNUMBER(FIND("CFW110",B951)),
VALUE(MID(B951,FIND("CFW110",B951)+6,FIND("T",B951,FIND("CFW110",B951))-(FIND("CFW110",B951)+6))),
IF(ISNUMBER(FIND("D",B951)),
VALUE(SUBSTITUTE(MID(B951,FIND("D",B951)+1,FIND("T",B951,FIND("D",B951))-(FIND("D",B951)+1)),"P",",")),
IF(ISNUMBER(FIND("CFW5",B951)),
VALUE(MID(B951,
IF(ISNUMBER(FIND("F",B951)),FIND("F",B951)+1,FIND("G",B951)+1),
FIND("T",B951)-(IF(ISNUMBER(FIND("F",B951)),FIND("F",B951)+1,FIND("G",B951)+1))
)),
VALUE(MID(B951,FIND("E0",B951)+2,FIND("T",B951,FIND("E0",B951))-(FIND("E0",B951)+2)))
))),"")</f>
        <v>105</v>
      </c>
      <c r="G951">
        <f>IFERROR(
IF(ISNUMBER(FIND("T2",B951)),220,
IF(ISNUMBER(FIND("T4",B951)),440,
IF(ISNUMBER(FIND("T5",B951)),575,
IF(ISNUMBER(FIND("T6",B951)),690,"")))),
"")</f>
        <v>220</v>
      </c>
    </row>
    <row r="952" spans="1:7" x14ac:dyDescent="0.25">
      <c r="A952">
        <v>10574718</v>
      </c>
      <c r="B952" t="str">
        <f>VLOOKUP(A952,Planilha2!B:C,2,0)</f>
        <v>INVERSOR NACFW110070T4SZ</v>
      </c>
      <c r="C952" t="s">
        <v>1</v>
      </c>
      <c r="D952" t="str">
        <f>VLOOKUP(A952,Planilha2!B:H,7,0)</f>
        <v>LINHA M3</v>
      </c>
      <c r="E952" s="5">
        <v>31100</v>
      </c>
      <c r="F952">
        <f>IFERROR(
IF(ISNUMBER(FIND("CFW110",B952)),
VALUE(MID(B952,FIND("CFW110",B952)+6,FIND("T",B952,FIND("CFW110",B952))-(FIND("CFW110",B952)+6))),
IF(ISNUMBER(FIND("D",B952)),
VALUE(SUBSTITUTE(MID(B952,FIND("D",B952)+1,FIND("T",B952,FIND("D",B952))-(FIND("D",B952)+1)),"P",",")),
IF(ISNUMBER(FIND("CFW5",B952)),
VALUE(MID(B952,
IF(ISNUMBER(FIND("F",B952)),FIND("F",B952)+1,FIND("G",B952)+1),
FIND("T",B952)-(IF(ISNUMBER(FIND("F",B952)),FIND("F",B952)+1,FIND("G",B952)+1))
)),
VALUE(MID(B952,FIND("E0",B952)+2,FIND("T",B952,FIND("E0",B952))-(FIND("E0",B952)+2)))
))),"")</f>
        <v>70</v>
      </c>
      <c r="G952">
        <f>IFERROR(
IF(ISNUMBER(FIND("T2",B952)),220,
IF(ISNUMBER(FIND("T4",B952)),440,
IF(ISNUMBER(FIND("T5",B952)),575,
IF(ISNUMBER(FIND("T6",B952)),690,"")))),
"")</f>
        <v>440</v>
      </c>
    </row>
    <row r="953" spans="1:7" x14ac:dyDescent="0.25">
      <c r="A953">
        <v>10574771</v>
      </c>
      <c r="B953" t="str">
        <f>VLOOKUP(A953,Planilha2!B:C,2,0)</f>
        <v>INVERSOR SACFW110070T4SZ</v>
      </c>
      <c r="C953" t="s">
        <v>1</v>
      </c>
      <c r="D953" t="str">
        <f>VLOOKUP(A953,Planilha2!B:H,7,0)</f>
        <v>LINHA M3</v>
      </c>
      <c r="E953" s="5">
        <v>31100</v>
      </c>
      <c r="F953">
        <f>IFERROR(
IF(ISNUMBER(FIND("CFW110",B953)),
VALUE(MID(B953,FIND("CFW110",B953)+6,FIND("T",B953,FIND("CFW110",B953))-(FIND("CFW110",B953)+6))),
IF(ISNUMBER(FIND("D",B953)),
VALUE(SUBSTITUTE(MID(B953,FIND("D",B953)+1,FIND("T",B953,FIND("D",B953))-(FIND("D",B953)+1)),"P",",")),
IF(ISNUMBER(FIND("CFW5",B953)),
VALUE(MID(B953,
IF(ISNUMBER(FIND("F",B953)),FIND("F",B953)+1,FIND("G",B953)+1),
FIND("T",B953)-(IF(ISNUMBER(FIND("F",B953)),FIND("F",B953)+1,FIND("G",B953)+1))
)),
VALUE(MID(B953,FIND("E0",B953)+2,FIND("T",B953,FIND("E0",B953))-(FIND("E0",B953)+2)))
))),"")</f>
        <v>70</v>
      </c>
      <c r="G953">
        <f>IFERROR(
IF(ISNUMBER(FIND("T2",B953)),220,
IF(ISNUMBER(FIND("T4",B953)),440,
IF(ISNUMBER(FIND("T5",B953)),575,
IF(ISNUMBER(FIND("T6",B953)),690,"")))),
"")</f>
        <v>440</v>
      </c>
    </row>
    <row r="954" spans="1:7" x14ac:dyDescent="0.25">
      <c r="A954">
        <v>10575266</v>
      </c>
      <c r="B954" t="str">
        <f>VLOOKUP(A954,Planilha2!B:C,2,0)</f>
        <v>INVERSOR MSCFW110086T2SZ</v>
      </c>
      <c r="C954" t="s">
        <v>1</v>
      </c>
      <c r="D954" t="str">
        <f>VLOOKUP(A954,Planilha2!B:H,7,0)</f>
        <v>LINHA M3</v>
      </c>
      <c r="E954" s="5">
        <v>29500</v>
      </c>
      <c r="F954">
        <f>IFERROR(
IF(ISNUMBER(FIND("CFW110",B954)),
VALUE(MID(B954,FIND("CFW110",B954)+6,FIND("T",B954,FIND("CFW110",B954))-(FIND("CFW110",B954)+6))),
IF(ISNUMBER(FIND("D",B954)),
VALUE(SUBSTITUTE(MID(B954,FIND("D",B954)+1,FIND("T",B954,FIND("D",B954))-(FIND("D",B954)+1)),"P",",")),
IF(ISNUMBER(FIND("CFW5",B954)),
VALUE(MID(B954,
IF(ISNUMBER(FIND("F",B954)),FIND("F",B954)+1,FIND("G",B954)+1),
FIND("T",B954)-(IF(ISNUMBER(FIND("F",B954)),FIND("F",B954)+1,FIND("G",B954)+1))
)),
VALUE(MID(B954,FIND("E0",B954)+2,FIND("T",B954,FIND("E0",B954))-(FIND("E0",B954)+2)))
))),"")</f>
        <v>86</v>
      </c>
      <c r="G954">
        <f>IFERROR(
IF(ISNUMBER(FIND("T2",B954)),220,
IF(ISNUMBER(FIND("T4",B954)),440,
IF(ISNUMBER(FIND("T5",B954)),575,
IF(ISNUMBER(FIND("T6",B954)),690,"")))),
"")</f>
        <v>220</v>
      </c>
    </row>
    <row r="955" spans="1:7" x14ac:dyDescent="0.25">
      <c r="A955">
        <v>10575267</v>
      </c>
      <c r="B955" t="str">
        <f>VLOOKUP(A955,Planilha2!B:C,2,0)</f>
        <v>INVERSOR MSCFW110105T2SZ</v>
      </c>
      <c r="C955" t="s">
        <v>1</v>
      </c>
      <c r="D955" t="str">
        <f>VLOOKUP(A955,Planilha2!B:H,7,0)</f>
        <v>LINHA M3</v>
      </c>
      <c r="E955" s="5">
        <v>31400</v>
      </c>
      <c r="F955">
        <f>IFERROR(
IF(ISNUMBER(FIND("CFW110",B955)),
VALUE(MID(B955,FIND("CFW110",B955)+6,FIND("T",B955,FIND("CFW110",B955))-(FIND("CFW110",B955)+6))),
IF(ISNUMBER(FIND("D",B955)),
VALUE(SUBSTITUTE(MID(B955,FIND("D",B955)+1,FIND("T",B955,FIND("D",B955))-(FIND("D",B955)+1)),"P",",")),
IF(ISNUMBER(FIND("CFW5",B955)),
VALUE(MID(B955,
IF(ISNUMBER(FIND("F",B955)),FIND("F",B955)+1,FIND("G",B955)+1),
FIND("T",B955)-(IF(ISNUMBER(FIND("F",B955)),FIND("F",B955)+1,FIND("G",B955)+1))
)),
VALUE(MID(B955,FIND("E0",B955)+2,FIND("T",B955,FIND("E0",B955))-(FIND("E0",B955)+2)))
))),"")</f>
        <v>105</v>
      </c>
      <c r="G955">
        <f>IFERROR(
IF(ISNUMBER(FIND("T2",B955)),220,
IF(ISNUMBER(FIND("T4",B955)),440,
IF(ISNUMBER(FIND("T5",B955)),575,
IF(ISNUMBER(FIND("T6",B955)),690,"")))),
"")</f>
        <v>220</v>
      </c>
    </row>
    <row r="956" spans="1:7" x14ac:dyDescent="0.25">
      <c r="A956">
        <v>10575279</v>
      </c>
      <c r="B956" t="str">
        <f>VLOOKUP(A956,Planilha2!B:C,2,0)</f>
        <v>INVERSOR MSCFW110070T4SZ</v>
      </c>
      <c r="C956" t="s">
        <v>1</v>
      </c>
      <c r="D956" t="str">
        <f>VLOOKUP(A956,Planilha2!B:H,7,0)</f>
        <v>LINHA M3</v>
      </c>
      <c r="E956" s="5">
        <v>31100</v>
      </c>
      <c r="F956">
        <f>IFERROR(
IF(ISNUMBER(FIND("CFW110",B956)),
VALUE(MID(B956,FIND("CFW110",B956)+6,FIND("T",B956,FIND("CFW110",B956))-(FIND("CFW110",B956)+6))),
IF(ISNUMBER(FIND("D",B956)),
VALUE(SUBSTITUTE(MID(B956,FIND("D",B956)+1,FIND("T",B956,FIND("D",B956))-(FIND("D",B956)+1)),"P",",")),
IF(ISNUMBER(FIND("CFW5",B956)),
VALUE(MID(B956,
IF(ISNUMBER(FIND("F",B956)),FIND("F",B956)+1,FIND("G",B956)+1),
FIND("T",B956)-(IF(ISNUMBER(FIND("F",B956)),FIND("F",B956)+1,FIND("G",B956)+1))
)),
VALUE(MID(B956,FIND("E0",B956)+2,FIND("T",B956,FIND("E0",B956))-(FIND("E0",B956)+2)))
))),"")</f>
        <v>70</v>
      </c>
      <c r="G956">
        <f>IFERROR(
IF(ISNUMBER(FIND("T2",B956)),220,
IF(ISNUMBER(FIND("T4",B956)),440,
IF(ISNUMBER(FIND("T5",B956)),575,
IF(ISNUMBER(FIND("T6",B956)),690,"")))),
"")</f>
        <v>440</v>
      </c>
    </row>
    <row r="957" spans="1:7" x14ac:dyDescent="0.25">
      <c r="A957">
        <v>10304068</v>
      </c>
      <c r="B957" t="str">
        <f>VLOOKUP(A957,Planilha2!B:C,2,0)</f>
        <v>INVERSOR EUCFW110088T4OFAZ</v>
      </c>
      <c r="C957" t="s">
        <v>1</v>
      </c>
      <c r="D957" t="str">
        <f>VLOOKUP(A957,Planilha2!B:H,7,0)</f>
        <v>LINHA M3</v>
      </c>
      <c r="E957" s="5">
        <v>32600</v>
      </c>
      <c r="F957">
        <f>IFERROR(
IF(ISNUMBER(FIND("CFW110",B957)),
VALUE(MID(B957,FIND("CFW110",B957)+6,FIND("T",B957,FIND("CFW110",B957))-(FIND("CFW110",B957)+6))),
IF(ISNUMBER(FIND("D",B957)),
VALUE(SUBSTITUTE(MID(B957,FIND("D",B957)+1,FIND("T",B957,FIND("D",B957))-(FIND("D",B957)+1)),"P",",")),
IF(ISNUMBER(FIND("CFW5",B957)),
VALUE(MID(B957,
IF(ISNUMBER(FIND("F",B957)),FIND("F",B957)+1,FIND("G",B957)+1),
FIND("T",B957)-(IF(ISNUMBER(FIND("F",B957)),FIND("F",B957)+1,FIND("G",B957)+1))
)),
VALUE(MID(B957,FIND("E0",B957)+2,FIND("T",B957,FIND("E0",B957))-(FIND("E0",B957)+2)))
))),"")</f>
        <v>88</v>
      </c>
      <c r="G957">
        <f>IFERROR(
IF(ISNUMBER(FIND("T2",B957)),220,
IF(ISNUMBER(FIND("T4",B957)),440,
IF(ISNUMBER(FIND("T5",B957)),575,
IF(ISNUMBER(FIND("T6",B957)),690,"")))),
"")</f>
        <v>440</v>
      </c>
    </row>
    <row r="958" spans="1:7" x14ac:dyDescent="0.25">
      <c r="A958">
        <v>10574719</v>
      </c>
      <c r="B958" t="str">
        <f>VLOOKUP(A958,Planilha2!B:C,2,0)</f>
        <v>INVERSOR NACFW110088T4SZ</v>
      </c>
      <c r="C958" t="s">
        <v>1</v>
      </c>
      <c r="D958" t="str">
        <f>VLOOKUP(A958,Planilha2!B:H,7,0)</f>
        <v>LINHA M3</v>
      </c>
      <c r="E958" s="5">
        <v>32600</v>
      </c>
      <c r="F958">
        <f>IFERROR(
IF(ISNUMBER(FIND("CFW110",B958)),
VALUE(MID(B958,FIND("CFW110",B958)+6,FIND("T",B958,FIND("CFW110",B958))-(FIND("CFW110",B958)+6))),
IF(ISNUMBER(FIND("D",B958)),
VALUE(SUBSTITUTE(MID(B958,FIND("D",B958)+1,FIND("T",B958,FIND("D",B958))-(FIND("D",B958)+1)),"P",",")),
IF(ISNUMBER(FIND("CFW5",B958)),
VALUE(MID(B958,
IF(ISNUMBER(FIND("F",B958)),FIND("F",B958)+1,FIND("G",B958)+1),
FIND("T",B958)-(IF(ISNUMBER(FIND("F",B958)),FIND("F",B958)+1,FIND("G",B958)+1))
)),
VALUE(MID(B958,FIND("E0",B958)+2,FIND("T",B958,FIND("E0",B958))-(FIND("E0",B958)+2)))
))),"")</f>
        <v>88</v>
      </c>
      <c r="G958">
        <f>IFERROR(
IF(ISNUMBER(FIND("T2",B958)),220,
IF(ISNUMBER(FIND("T4",B958)),440,
IF(ISNUMBER(FIND("T5",B958)),575,
IF(ISNUMBER(FIND("T6",B958)),690,"")))),
"")</f>
        <v>440</v>
      </c>
    </row>
    <row r="959" spans="1:7" x14ac:dyDescent="0.25">
      <c r="A959">
        <v>10574772</v>
      </c>
      <c r="B959" t="str">
        <f>VLOOKUP(A959,Planilha2!B:C,2,0)</f>
        <v>INVERSOR SACFW110088T4SZ</v>
      </c>
      <c r="C959" t="s">
        <v>1</v>
      </c>
      <c r="D959" t="str">
        <f>VLOOKUP(A959,Planilha2!B:H,7,0)</f>
        <v>LINHA M3</v>
      </c>
      <c r="E959" s="5">
        <v>32600</v>
      </c>
      <c r="F959">
        <f>IFERROR(
IF(ISNUMBER(FIND("CFW110",B959)),
VALUE(MID(B959,FIND("CFW110",B959)+6,FIND("T",B959,FIND("CFW110",B959))-(FIND("CFW110",B959)+6))),
IF(ISNUMBER(FIND("D",B959)),
VALUE(SUBSTITUTE(MID(B959,FIND("D",B959)+1,FIND("T",B959,FIND("D",B959))-(FIND("D",B959)+1)),"P",",")),
IF(ISNUMBER(FIND("CFW5",B959)),
VALUE(MID(B959,
IF(ISNUMBER(FIND("F",B959)),FIND("F",B959)+1,FIND("G",B959)+1),
FIND("T",B959)-(IF(ISNUMBER(FIND("F",B959)),FIND("F",B959)+1,FIND("G",B959)+1))
)),
VALUE(MID(B959,FIND("E0",B959)+2,FIND("T",B959,FIND("E0",B959))-(FIND("E0",B959)+2)))
))),"")</f>
        <v>88</v>
      </c>
      <c r="G959">
        <f>IFERROR(
IF(ISNUMBER(FIND("T2",B959)),220,
IF(ISNUMBER(FIND("T4",B959)),440,
IF(ISNUMBER(FIND("T5",B959)),575,
IF(ISNUMBER(FIND("T6",B959)),690,"")))),
"")</f>
        <v>440</v>
      </c>
    </row>
    <row r="960" spans="1:7" x14ac:dyDescent="0.25">
      <c r="A960">
        <v>10575280</v>
      </c>
      <c r="B960" t="str">
        <f>VLOOKUP(A960,Planilha2!B:C,2,0)</f>
        <v>INVERSOR MSCFW110088T4SZ</v>
      </c>
      <c r="C960" t="s">
        <v>1</v>
      </c>
      <c r="D960" t="str">
        <f>VLOOKUP(A960,Planilha2!B:H,7,0)</f>
        <v>LINHA M3</v>
      </c>
      <c r="E960" s="5">
        <v>32600</v>
      </c>
      <c r="F960">
        <f>IFERROR(
IF(ISNUMBER(FIND("CFW110",B960)),
VALUE(MID(B960,FIND("CFW110",B960)+6,FIND("T",B960,FIND("CFW110",B960))-(FIND("CFW110",B960)+6))),
IF(ISNUMBER(FIND("D",B960)),
VALUE(SUBSTITUTE(MID(B960,FIND("D",B960)+1,FIND("T",B960,FIND("D",B960))-(FIND("D",B960)+1)),"P",",")),
IF(ISNUMBER(FIND("CFW5",B960)),
VALUE(MID(B960,
IF(ISNUMBER(FIND("F",B960)),FIND("F",B960)+1,FIND("G",B960)+1),
FIND("T",B960)-(IF(ISNUMBER(FIND("F",B960)),FIND("F",B960)+1,FIND("G",B960)+1))
)),
VALUE(MID(B960,FIND("E0",B960)+2,FIND("T",B960,FIND("E0",B960))-(FIND("E0",B960)+2)))
))),"")</f>
        <v>88</v>
      </c>
      <c r="G960">
        <f>IFERROR(
IF(ISNUMBER(FIND("T2",B960)),220,
IF(ISNUMBER(FIND("T4",B960)),440,
IF(ISNUMBER(FIND("T5",B960)),575,
IF(ISNUMBER(FIND("T6",B960)),690,"")))),
"")</f>
        <v>440</v>
      </c>
    </row>
    <row r="961" spans="1:7" x14ac:dyDescent="0.25">
      <c r="A961">
        <v>10587685</v>
      </c>
      <c r="B961" t="str">
        <f>VLOOKUP(A961,Planilha2!B:C,2,0)</f>
        <v>INVERSOR EUCFW110088T4SZ</v>
      </c>
      <c r="C961" t="s">
        <v>1</v>
      </c>
      <c r="D961" t="str">
        <f>VLOOKUP(A961,Planilha2!B:H,7,0)</f>
        <v>LINHA M3</v>
      </c>
      <c r="E961" s="5">
        <v>32600</v>
      </c>
      <c r="F961">
        <f>IFERROR(
IF(ISNUMBER(FIND("CFW110",B961)),
VALUE(MID(B961,FIND("CFW110",B961)+6,FIND("T",B961,FIND("CFW110",B961))-(FIND("CFW110",B961)+6))),
IF(ISNUMBER(FIND("D",B961)),
VALUE(SUBSTITUTE(MID(B961,FIND("D",B961)+1,FIND("T",B961,FIND("D",B961))-(FIND("D",B961)+1)),"P",",")),
IF(ISNUMBER(FIND("CFW5",B961)),
VALUE(MID(B961,
IF(ISNUMBER(FIND("F",B961)),FIND("F",B961)+1,FIND("G",B961)+1),
FIND("T",B961)-(IF(ISNUMBER(FIND("F",B961)),FIND("F",B961)+1,FIND("G",B961)+1))
)),
VALUE(MID(B961,FIND("E0",B961)+2,FIND("T",B961,FIND("E0",B961))-(FIND("E0",B961)+2)))
))),"")</f>
        <v>88</v>
      </c>
      <c r="G961">
        <f>IFERROR(
IF(ISNUMBER(FIND("T2",B961)),220,
IF(ISNUMBER(FIND("T4",B961)),440,
IF(ISNUMBER(FIND("T5",B961)),575,
IF(ISNUMBER(FIND("T6",B961)),690,"")))),
"")</f>
        <v>440</v>
      </c>
    </row>
    <row r="962" spans="1:7" x14ac:dyDescent="0.25">
      <c r="A962">
        <v>11328318</v>
      </c>
      <c r="B962" t="str">
        <f>VLOOKUP(A962,Planilha2!B:C,2,0)</f>
        <v>INVERSOR BRCFW110088T4OFAZ</v>
      </c>
      <c r="C962" t="s">
        <v>1</v>
      </c>
      <c r="D962" t="str">
        <f>VLOOKUP(A962,Planilha2!B:H,7,0)</f>
        <v>LINHA M3</v>
      </c>
      <c r="E962" s="5">
        <v>29500</v>
      </c>
      <c r="F962">
        <f>IFERROR(
IF(ISNUMBER(FIND("CFW110",B962)),
VALUE(MID(B962,FIND("CFW110",B962)+6,FIND("T",B962,FIND("CFW110",B962))-(FIND("CFW110",B962)+6))),
IF(ISNUMBER(FIND("D",B962)),
VALUE(SUBSTITUTE(MID(B962,FIND("D",B962)+1,FIND("T",B962,FIND("D",B962))-(FIND("D",B962)+1)),"P",",")),
IF(ISNUMBER(FIND("CFW5",B962)),
VALUE(MID(B962,
IF(ISNUMBER(FIND("F",B962)),FIND("F",B962)+1,FIND("G",B962)+1),
FIND("T",B962)-(IF(ISNUMBER(FIND("F",B962)),FIND("F",B962)+1,FIND("G",B962)+1))
)),
VALUE(MID(B962,FIND("E0",B962)+2,FIND("T",B962,FIND("E0",B962))-(FIND("E0",B962)+2)))
))),"")</f>
        <v>88</v>
      </c>
      <c r="G962">
        <f>IFERROR(
IF(ISNUMBER(FIND("T2",B962)),220,
IF(ISNUMBER(FIND("T4",B962)),440,
IF(ISNUMBER(FIND("T5",B962)),575,
IF(ISNUMBER(FIND("T6",B962)),690,"")))),
"")</f>
        <v>440</v>
      </c>
    </row>
    <row r="963" spans="1:7" x14ac:dyDescent="0.25">
      <c r="A963">
        <v>10574799</v>
      </c>
      <c r="B963" t="str">
        <f>VLOOKUP(A963,Planilha2!B:C,2,0)</f>
        <v>INVERSOR EUCFW110058T4OFAZ</v>
      </c>
      <c r="C963" t="s">
        <v>1</v>
      </c>
      <c r="D963" t="str">
        <f>VLOOKUP(A963,Planilha2!B:H,7,0)</f>
        <v>LINHA M1</v>
      </c>
      <c r="E963" s="5">
        <v>20600</v>
      </c>
      <c r="F963">
        <f>IFERROR(
IF(ISNUMBER(FIND("CFW110",B963)),
VALUE(MID(B963,FIND("CFW110",B963)+6,FIND("T",B963,FIND("CFW110",B963))-(FIND("CFW110",B963)+6))),
IF(ISNUMBER(FIND("D",B963)),
VALUE(SUBSTITUTE(MID(B963,FIND("D",B963)+1,FIND("T",B963,FIND("D",B963))-(FIND("D",B963)+1)),"P",",")),
IF(ISNUMBER(FIND("CFW5",B963)),
VALUE(MID(B963,
IF(ISNUMBER(FIND("F",B963)),FIND("F",B963)+1,FIND("G",B963)+1),
FIND("T",B963)-(IF(ISNUMBER(FIND("F",B963)),FIND("F",B963)+1,FIND("G",B963)+1))
)),
VALUE(MID(B963,FIND("E0",B963)+2,FIND("T",B963,FIND("E0",B963))-(FIND("E0",B963)+2)))
))),"")</f>
        <v>58</v>
      </c>
      <c r="G963">
        <f>IFERROR(
IF(ISNUMBER(FIND("T2",B963)),220,
IF(ISNUMBER(FIND("T4",B963)),440,
IF(ISNUMBER(FIND("T5",B963)),575,
IF(ISNUMBER(FIND("T6",B963)),690,"")))),
"")</f>
        <v>440</v>
      </c>
    </row>
    <row r="964" spans="1:7" x14ac:dyDescent="0.25">
      <c r="A964">
        <v>10574715</v>
      </c>
      <c r="B964" t="str">
        <f>VLOOKUP(A964,Planilha2!B:C,2,0)</f>
        <v>INVERSOR NACFW110038T4SZ</v>
      </c>
      <c r="C964" t="s">
        <v>1</v>
      </c>
      <c r="D964" t="str">
        <f>VLOOKUP(A964,Planilha2!B:H,7,0)</f>
        <v>LINHA M1</v>
      </c>
      <c r="E964" s="5">
        <v>16400</v>
      </c>
      <c r="F964">
        <f>IFERROR(
IF(ISNUMBER(FIND("CFW110",B964)),
VALUE(MID(B964,FIND("CFW110",B964)+6,FIND("T",B964,FIND("CFW110",B964))-(FIND("CFW110",B964)+6))),
IF(ISNUMBER(FIND("D",B964)),
VALUE(SUBSTITUTE(MID(B964,FIND("D",B964)+1,FIND("T",B964,FIND("D",B964))-(FIND("D",B964)+1)),"P",",")),
IF(ISNUMBER(FIND("CFW5",B964)),
VALUE(MID(B964,
IF(ISNUMBER(FIND("F",B964)),FIND("F",B964)+1,FIND("G",B964)+1),
FIND("T",B964)-(IF(ISNUMBER(FIND("F",B964)),FIND("F",B964)+1,FIND("G",B964)+1))
)),
VALUE(MID(B964,FIND("E0",B964)+2,FIND("T",B964,FIND("E0",B964))-(FIND("E0",B964)+2)))
))),"")</f>
        <v>38</v>
      </c>
      <c r="G964">
        <f>IFERROR(
IF(ISNUMBER(FIND("T2",B964)),220,
IF(ISNUMBER(FIND("T4",B964)),440,
IF(ISNUMBER(FIND("T5",B964)),575,
IF(ISNUMBER(FIND("T6",B964)),690,"")))),
"")</f>
        <v>440</v>
      </c>
    </row>
    <row r="965" spans="1:7" x14ac:dyDescent="0.25">
      <c r="A965">
        <v>10574716</v>
      </c>
      <c r="B965" t="str">
        <f>VLOOKUP(A965,Planilha2!B:C,2,0)</f>
        <v>INVERSOR NACFW110045T4SZ</v>
      </c>
      <c r="C965" t="s">
        <v>1</v>
      </c>
      <c r="D965" t="str">
        <f>VLOOKUP(A965,Planilha2!B:H,7,0)</f>
        <v>LINHA M1</v>
      </c>
      <c r="E965" s="5">
        <v>19600</v>
      </c>
      <c r="F965">
        <f>IFERROR(
IF(ISNUMBER(FIND("CFW110",B965)),
VALUE(MID(B965,FIND("CFW110",B965)+6,FIND("T",B965,FIND("CFW110",B965))-(FIND("CFW110",B965)+6))),
IF(ISNUMBER(FIND("D",B965)),
VALUE(SUBSTITUTE(MID(B965,FIND("D",B965)+1,FIND("T",B965,FIND("D",B965))-(FIND("D",B965)+1)),"P",",")),
IF(ISNUMBER(FIND("CFW5",B965)),
VALUE(MID(B965,
IF(ISNUMBER(FIND("F",B965)),FIND("F",B965)+1,FIND("G",B965)+1),
FIND("T",B965)-(IF(ISNUMBER(FIND("F",B965)),FIND("F",B965)+1,FIND("G",B965)+1))
)),
VALUE(MID(B965,FIND("E0",B965)+2,FIND("T",B965,FIND("E0",B965))-(FIND("E0",B965)+2)))
))),"")</f>
        <v>45</v>
      </c>
      <c r="G965">
        <f>IFERROR(
IF(ISNUMBER(FIND("T2",B965)),220,
IF(ISNUMBER(FIND("T4",B965)),440,
IF(ISNUMBER(FIND("T5",B965)),575,
IF(ISNUMBER(FIND("T6",B965)),690,"")))),
"")</f>
        <v>440</v>
      </c>
    </row>
    <row r="966" spans="1:7" x14ac:dyDescent="0.25">
      <c r="A966">
        <v>10574717</v>
      </c>
      <c r="B966" t="str">
        <f>VLOOKUP(A966,Planilha2!B:C,2,0)</f>
        <v>INVERSOR NACFW110058T4SZ</v>
      </c>
      <c r="C966" t="s">
        <v>1</v>
      </c>
      <c r="D966" t="str">
        <f>VLOOKUP(A966,Planilha2!B:H,7,0)</f>
        <v>LINHA M1</v>
      </c>
      <c r="E966" s="5">
        <v>20500</v>
      </c>
      <c r="F966">
        <f>IFERROR(
IF(ISNUMBER(FIND("CFW110",B966)),
VALUE(MID(B966,FIND("CFW110",B966)+6,FIND("T",B966,FIND("CFW110",B966))-(FIND("CFW110",B966)+6))),
IF(ISNUMBER(FIND("D",B966)),
VALUE(SUBSTITUTE(MID(B966,FIND("D",B966)+1,FIND("T",B966,FIND("D",B966))-(FIND("D",B966)+1)),"P",",")),
IF(ISNUMBER(FIND("CFW5",B966)),
VALUE(MID(B966,
IF(ISNUMBER(FIND("F",B966)),FIND("F",B966)+1,FIND("G",B966)+1),
FIND("T",B966)-(IF(ISNUMBER(FIND("F",B966)),FIND("F",B966)+1,FIND("G",B966)+1))
)),
VALUE(MID(B966,FIND("E0",B966)+2,FIND("T",B966,FIND("E0",B966))-(FIND("E0",B966)+2)))
))),"")</f>
        <v>58</v>
      </c>
      <c r="G966">
        <f>IFERROR(
IF(ISNUMBER(FIND("T2",B966)),220,
IF(ISNUMBER(FIND("T4",B966)),440,
IF(ISNUMBER(FIND("T5",B966)),575,
IF(ISNUMBER(FIND("T6",B966)),690,"")))),
"")</f>
        <v>440</v>
      </c>
    </row>
    <row r="967" spans="1:7" x14ac:dyDescent="0.25">
      <c r="A967">
        <v>10574741</v>
      </c>
      <c r="B967" t="str">
        <f>VLOOKUP(A967,Planilha2!B:C,2,0)</f>
        <v>INVERSOR NACFW110038T4ON1Z</v>
      </c>
      <c r="C967" t="s">
        <v>1</v>
      </c>
      <c r="D967" t="str">
        <f>VLOOKUP(A967,Planilha2!B:H,7,0)</f>
        <v>LINHA M1</v>
      </c>
      <c r="E967" s="5">
        <v>16400</v>
      </c>
      <c r="F967">
        <f>IFERROR(
IF(ISNUMBER(FIND("CFW110",B967)),
VALUE(MID(B967,FIND("CFW110",B967)+6,FIND("T",B967,FIND("CFW110",B967))-(FIND("CFW110",B967)+6))),
IF(ISNUMBER(FIND("D",B967)),
VALUE(SUBSTITUTE(MID(B967,FIND("D",B967)+1,FIND("T",B967,FIND("D",B967))-(FIND("D",B967)+1)),"P",",")),
IF(ISNUMBER(FIND("CFW5",B967)),
VALUE(MID(B967,
IF(ISNUMBER(FIND("F",B967)),FIND("F",B967)+1,FIND("G",B967)+1),
FIND("T",B967)-(IF(ISNUMBER(FIND("F",B967)),FIND("F",B967)+1,FIND("G",B967)+1))
)),
VALUE(MID(B967,FIND("E0",B967)+2,FIND("T",B967,FIND("E0",B967))-(FIND("E0",B967)+2)))
))),"")</f>
        <v>38</v>
      </c>
      <c r="G967">
        <f>IFERROR(
IF(ISNUMBER(FIND("T2",B967)),220,
IF(ISNUMBER(FIND("T4",B967)),440,
IF(ISNUMBER(FIND("T5",B967)),575,
IF(ISNUMBER(FIND("T6",B967)),690,"")))),
"")</f>
        <v>440</v>
      </c>
    </row>
    <row r="968" spans="1:7" x14ac:dyDescent="0.25">
      <c r="A968">
        <v>10574742</v>
      </c>
      <c r="B968" t="str">
        <f>VLOOKUP(A968,Planilha2!B:C,2,0)</f>
        <v>INVERSOR NACFW110045T4ON1Z</v>
      </c>
      <c r="C968" t="s">
        <v>1</v>
      </c>
      <c r="D968" t="str">
        <f>VLOOKUP(A968,Planilha2!B:H,7,0)</f>
        <v>LINHA M1</v>
      </c>
      <c r="E968" s="5">
        <v>19600</v>
      </c>
      <c r="F968">
        <f>IFERROR(
IF(ISNUMBER(FIND("CFW110",B968)),
VALUE(MID(B968,FIND("CFW110",B968)+6,FIND("T",B968,FIND("CFW110",B968))-(FIND("CFW110",B968)+6))),
IF(ISNUMBER(FIND("D",B968)),
VALUE(SUBSTITUTE(MID(B968,FIND("D",B968)+1,FIND("T",B968,FIND("D",B968))-(FIND("D",B968)+1)),"P",",")),
IF(ISNUMBER(FIND("CFW5",B968)),
VALUE(MID(B968,
IF(ISNUMBER(FIND("F",B968)),FIND("F",B968)+1,FIND("G",B968)+1),
FIND("T",B968)-(IF(ISNUMBER(FIND("F",B968)),FIND("F",B968)+1,FIND("G",B968)+1))
)),
VALUE(MID(B968,FIND("E0",B968)+2,FIND("T",B968,FIND("E0",B968))-(FIND("E0",B968)+2)))
))),"")</f>
        <v>45</v>
      </c>
      <c r="G968">
        <f>IFERROR(
IF(ISNUMBER(FIND("T2",B968)),220,
IF(ISNUMBER(FIND("T4",B968)),440,
IF(ISNUMBER(FIND("T5",B968)),575,
IF(ISNUMBER(FIND("T6",B968)),690,"")))),
"")</f>
        <v>440</v>
      </c>
    </row>
    <row r="969" spans="1:7" x14ac:dyDescent="0.25">
      <c r="A969">
        <v>10574743</v>
      </c>
      <c r="B969" t="str">
        <f>VLOOKUP(A969,Planilha2!B:C,2,0)</f>
        <v>INVERSOR NACFW110058T4ON1Z</v>
      </c>
      <c r="C969" t="s">
        <v>1</v>
      </c>
      <c r="D969" t="str">
        <f>VLOOKUP(A969,Planilha2!B:H,7,0)</f>
        <v>LINHA M1</v>
      </c>
      <c r="E969" s="5">
        <v>20500</v>
      </c>
      <c r="F969">
        <f>IFERROR(
IF(ISNUMBER(FIND("CFW110",B969)),
VALUE(MID(B969,FIND("CFW110",B969)+6,FIND("T",B969,FIND("CFW110",B969))-(FIND("CFW110",B969)+6))),
IF(ISNUMBER(FIND("D",B969)),
VALUE(SUBSTITUTE(MID(B969,FIND("D",B969)+1,FIND("T",B969,FIND("D",B969))-(FIND("D",B969)+1)),"P",",")),
IF(ISNUMBER(FIND("CFW5",B969)),
VALUE(MID(B969,
IF(ISNUMBER(FIND("F",B969)),FIND("F",B969)+1,FIND("G",B969)+1),
FIND("T",B969)-(IF(ISNUMBER(FIND("F",B969)),FIND("F",B969)+1,FIND("G",B969)+1))
)),
VALUE(MID(B969,FIND("E0",B969)+2,FIND("T",B969,FIND("E0",B969))-(FIND("E0",B969)+2)))
))),"")</f>
        <v>58</v>
      </c>
      <c r="G969">
        <f>IFERROR(
IF(ISNUMBER(FIND("T2",B969)),220,
IF(ISNUMBER(FIND("T4",B969)),440,
IF(ISNUMBER(FIND("T5",B969)),575,
IF(ISNUMBER(FIND("T6",B969)),690,"")))),
"")</f>
        <v>440</v>
      </c>
    </row>
    <row r="970" spans="1:7" x14ac:dyDescent="0.25">
      <c r="A970">
        <v>10574768</v>
      </c>
      <c r="B970" t="str">
        <f>VLOOKUP(A970,Planilha2!B:C,2,0)</f>
        <v>INVERSOR SACFW110038T4SZ</v>
      </c>
      <c r="C970" t="s">
        <v>1</v>
      </c>
      <c r="D970" t="str">
        <f>VLOOKUP(A970,Planilha2!B:H,7,0)</f>
        <v>LINHA M1</v>
      </c>
      <c r="E970" s="5">
        <v>16400</v>
      </c>
      <c r="F970">
        <f>IFERROR(
IF(ISNUMBER(FIND("CFW110",B970)),
VALUE(MID(B970,FIND("CFW110",B970)+6,FIND("T",B970,FIND("CFW110",B970))-(FIND("CFW110",B970)+6))),
IF(ISNUMBER(FIND("D",B970)),
VALUE(SUBSTITUTE(MID(B970,FIND("D",B970)+1,FIND("T",B970,FIND("D",B970))-(FIND("D",B970)+1)),"P",",")),
IF(ISNUMBER(FIND("CFW5",B970)),
VALUE(MID(B970,
IF(ISNUMBER(FIND("F",B970)),FIND("F",B970)+1,FIND("G",B970)+1),
FIND("T",B970)-(IF(ISNUMBER(FIND("F",B970)),FIND("F",B970)+1,FIND("G",B970)+1))
)),
VALUE(MID(B970,FIND("E0",B970)+2,FIND("T",B970,FIND("E0",B970))-(FIND("E0",B970)+2)))
))),"")</f>
        <v>38</v>
      </c>
      <c r="G970">
        <f>IFERROR(
IF(ISNUMBER(FIND("T2",B970)),220,
IF(ISNUMBER(FIND("T4",B970)),440,
IF(ISNUMBER(FIND("T5",B970)),575,
IF(ISNUMBER(FIND("T6",B970)),690,"")))),
"")</f>
        <v>440</v>
      </c>
    </row>
    <row r="971" spans="1:7" x14ac:dyDescent="0.25">
      <c r="A971">
        <v>10574769</v>
      </c>
      <c r="B971" t="str">
        <f>VLOOKUP(A971,Planilha2!B:C,2,0)</f>
        <v>INVERSOR SACFW110045T4SZ</v>
      </c>
      <c r="C971" t="s">
        <v>1</v>
      </c>
      <c r="D971" t="str">
        <f>VLOOKUP(A971,Planilha2!B:H,7,0)</f>
        <v>LINHA M1</v>
      </c>
      <c r="E971" s="5">
        <v>19600</v>
      </c>
      <c r="F971">
        <f>IFERROR(
IF(ISNUMBER(FIND("CFW110",B971)),
VALUE(MID(B971,FIND("CFW110",B971)+6,FIND("T",B971,FIND("CFW110",B971))-(FIND("CFW110",B971)+6))),
IF(ISNUMBER(FIND("D",B971)),
VALUE(SUBSTITUTE(MID(B971,FIND("D",B971)+1,FIND("T",B971,FIND("D",B971))-(FIND("D",B971)+1)),"P",",")),
IF(ISNUMBER(FIND("CFW5",B971)),
VALUE(MID(B971,
IF(ISNUMBER(FIND("F",B971)),FIND("F",B971)+1,FIND("G",B971)+1),
FIND("T",B971)-(IF(ISNUMBER(FIND("F",B971)),FIND("F",B971)+1,FIND("G",B971)+1))
)),
VALUE(MID(B971,FIND("E0",B971)+2,FIND("T",B971,FIND("E0",B971))-(FIND("E0",B971)+2)))
))),"")</f>
        <v>45</v>
      </c>
      <c r="G971">
        <f>IFERROR(
IF(ISNUMBER(FIND("T2",B971)),220,
IF(ISNUMBER(FIND("T4",B971)),440,
IF(ISNUMBER(FIND("T5",B971)),575,
IF(ISNUMBER(FIND("T6",B971)),690,"")))),
"")</f>
        <v>440</v>
      </c>
    </row>
    <row r="972" spans="1:7" x14ac:dyDescent="0.25">
      <c r="A972">
        <v>10574770</v>
      </c>
      <c r="B972" t="str">
        <f>VLOOKUP(A972,Planilha2!B:C,2,0)</f>
        <v>INVERSOR SACFW110058T4SZ</v>
      </c>
      <c r="C972" t="s">
        <v>1</v>
      </c>
      <c r="D972" t="str">
        <f>VLOOKUP(A972,Planilha2!B:H,7,0)</f>
        <v>LINHA M1</v>
      </c>
      <c r="E972" s="5">
        <v>20500</v>
      </c>
      <c r="F972">
        <f>IFERROR(
IF(ISNUMBER(FIND("CFW110",B972)),
VALUE(MID(B972,FIND("CFW110",B972)+6,FIND("T",B972,FIND("CFW110",B972))-(FIND("CFW110",B972)+6))),
IF(ISNUMBER(FIND("D",B972)),
VALUE(SUBSTITUTE(MID(B972,FIND("D",B972)+1,FIND("T",B972,FIND("D",B972))-(FIND("D",B972)+1)),"P",",")),
IF(ISNUMBER(FIND("CFW5",B972)),
VALUE(MID(B972,
IF(ISNUMBER(FIND("F",B972)),FIND("F",B972)+1,FIND("G",B972)+1),
FIND("T",B972)-(IF(ISNUMBER(FIND("F",B972)),FIND("F",B972)+1,FIND("G",B972)+1))
)),
VALUE(MID(B972,FIND("E0",B972)+2,FIND("T",B972,FIND("E0",B972))-(FIND("E0",B972)+2)))
))),"")</f>
        <v>58</v>
      </c>
      <c r="G972">
        <f>IFERROR(
IF(ISNUMBER(FIND("T2",B972)),220,
IF(ISNUMBER(FIND("T4",B972)),440,
IF(ISNUMBER(FIND("T5",B972)),575,
IF(ISNUMBER(FIND("T6",B972)),690,"")))),
"")</f>
        <v>440</v>
      </c>
    </row>
    <row r="973" spans="1:7" x14ac:dyDescent="0.25">
      <c r="A973">
        <v>10574797</v>
      </c>
      <c r="B973" t="str">
        <f>VLOOKUP(A973,Planilha2!B:C,2,0)</f>
        <v>INVERSOR EUCFW110038T4OFAZ</v>
      </c>
      <c r="C973" t="s">
        <v>1</v>
      </c>
      <c r="D973" t="str">
        <f>VLOOKUP(A973,Planilha2!B:H,7,0)</f>
        <v>LINHA M1</v>
      </c>
      <c r="E973" s="5">
        <v>16500</v>
      </c>
      <c r="F973">
        <f>IFERROR(
IF(ISNUMBER(FIND("CFW110",B973)),
VALUE(MID(B973,FIND("CFW110",B973)+6,FIND("T",B973,FIND("CFW110",B973))-(FIND("CFW110",B973)+6))),
IF(ISNUMBER(FIND("D",B973)),
VALUE(SUBSTITUTE(MID(B973,FIND("D",B973)+1,FIND("T",B973,FIND("D",B973))-(FIND("D",B973)+1)),"P",",")),
IF(ISNUMBER(FIND("CFW5",B973)),
VALUE(MID(B973,
IF(ISNUMBER(FIND("F",B973)),FIND("F",B973)+1,FIND("G",B973)+1),
FIND("T",B973)-(IF(ISNUMBER(FIND("F",B973)),FIND("F",B973)+1,FIND("G",B973)+1))
)),
VALUE(MID(B973,FIND("E0",B973)+2,FIND("T",B973,FIND("E0",B973))-(FIND("E0",B973)+2)))
))),"")</f>
        <v>38</v>
      </c>
      <c r="G973">
        <f>IFERROR(
IF(ISNUMBER(FIND("T2",B973)),220,
IF(ISNUMBER(FIND("T4",B973)),440,
IF(ISNUMBER(FIND("T5",B973)),575,
IF(ISNUMBER(FIND("T6",B973)),690,"")))),
"")</f>
        <v>440</v>
      </c>
    </row>
    <row r="974" spans="1:7" x14ac:dyDescent="0.25">
      <c r="A974">
        <v>10574798</v>
      </c>
      <c r="B974" t="str">
        <f>VLOOKUP(A974,Planilha2!B:C,2,0)</f>
        <v>INVERSOR EUCFW110045T4OFAZ</v>
      </c>
      <c r="C974" t="s">
        <v>1</v>
      </c>
      <c r="D974" t="str">
        <f>VLOOKUP(A974,Planilha2!B:H,7,0)</f>
        <v>LINHA M1</v>
      </c>
      <c r="E974" s="5">
        <v>19700</v>
      </c>
      <c r="F974">
        <f>IFERROR(
IF(ISNUMBER(FIND("CFW110",B974)),
VALUE(MID(B974,FIND("CFW110",B974)+6,FIND("T",B974,FIND("CFW110",B974))-(FIND("CFW110",B974)+6))),
IF(ISNUMBER(FIND("D",B974)),
VALUE(SUBSTITUTE(MID(B974,FIND("D",B974)+1,FIND("T",B974,FIND("D",B974))-(FIND("D",B974)+1)),"P",",")),
IF(ISNUMBER(FIND("CFW5",B974)),
VALUE(MID(B974,
IF(ISNUMBER(FIND("F",B974)),FIND("F",B974)+1,FIND("G",B974)+1),
FIND("T",B974)-(IF(ISNUMBER(FIND("F",B974)),FIND("F",B974)+1,FIND("G",B974)+1))
)),
VALUE(MID(B974,FIND("E0",B974)+2,FIND("T",B974,FIND("E0",B974))-(FIND("E0",B974)+2)))
))),"")</f>
        <v>45</v>
      </c>
      <c r="G974">
        <f>IFERROR(
IF(ISNUMBER(FIND("T2",B974)),220,
IF(ISNUMBER(FIND("T4",B974)),440,
IF(ISNUMBER(FIND("T5",B974)),575,
IF(ISNUMBER(FIND("T6",B974)),690,"")))),
"")</f>
        <v>440</v>
      </c>
    </row>
    <row r="975" spans="1:7" x14ac:dyDescent="0.25">
      <c r="A975">
        <v>10575276</v>
      </c>
      <c r="B975" t="str">
        <f>VLOOKUP(A975,Planilha2!B:C,2,0)</f>
        <v>INVERSOR MSCFW110038T4SZ</v>
      </c>
      <c r="C975" t="s">
        <v>1</v>
      </c>
      <c r="D975" t="str">
        <f>VLOOKUP(A975,Planilha2!B:H,7,0)</f>
        <v>LINHA M1</v>
      </c>
      <c r="E975" s="5">
        <v>16400</v>
      </c>
      <c r="F975">
        <f>IFERROR(
IF(ISNUMBER(FIND("CFW110",B975)),
VALUE(MID(B975,FIND("CFW110",B975)+6,FIND("T",B975,FIND("CFW110",B975))-(FIND("CFW110",B975)+6))),
IF(ISNUMBER(FIND("D",B975)),
VALUE(SUBSTITUTE(MID(B975,FIND("D",B975)+1,FIND("T",B975,FIND("D",B975))-(FIND("D",B975)+1)),"P",",")),
IF(ISNUMBER(FIND("CFW5",B975)),
VALUE(MID(B975,
IF(ISNUMBER(FIND("F",B975)),FIND("F",B975)+1,FIND("G",B975)+1),
FIND("T",B975)-(IF(ISNUMBER(FIND("F",B975)),FIND("F",B975)+1,FIND("G",B975)+1))
)),
VALUE(MID(B975,FIND("E0",B975)+2,FIND("T",B975,FIND("E0",B975))-(FIND("E0",B975)+2)))
))),"")</f>
        <v>38</v>
      </c>
      <c r="G975">
        <f>IFERROR(
IF(ISNUMBER(FIND("T2",B975)),220,
IF(ISNUMBER(FIND("T4",B975)),440,
IF(ISNUMBER(FIND("T5",B975)),575,
IF(ISNUMBER(FIND("T6",B975)),690,"")))),
"")</f>
        <v>440</v>
      </c>
    </row>
    <row r="976" spans="1:7" x14ac:dyDescent="0.25">
      <c r="A976">
        <v>10575277</v>
      </c>
      <c r="B976" t="str">
        <f>VLOOKUP(A976,Planilha2!B:C,2,0)</f>
        <v>INVERSOR MSCFW110045T4SZ</v>
      </c>
      <c r="C976" t="s">
        <v>1</v>
      </c>
      <c r="D976" t="str">
        <f>VLOOKUP(A976,Planilha2!B:H,7,0)</f>
        <v>LINHA M1</v>
      </c>
      <c r="E976" s="5">
        <v>19600</v>
      </c>
      <c r="F976">
        <f>IFERROR(
IF(ISNUMBER(FIND("CFW110",B976)),
VALUE(MID(B976,FIND("CFW110",B976)+6,FIND("T",B976,FIND("CFW110",B976))-(FIND("CFW110",B976)+6))),
IF(ISNUMBER(FIND("D",B976)),
VALUE(SUBSTITUTE(MID(B976,FIND("D",B976)+1,FIND("T",B976,FIND("D",B976))-(FIND("D",B976)+1)),"P",",")),
IF(ISNUMBER(FIND("CFW5",B976)),
VALUE(MID(B976,
IF(ISNUMBER(FIND("F",B976)),FIND("F",B976)+1,FIND("G",B976)+1),
FIND("T",B976)-(IF(ISNUMBER(FIND("F",B976)),FIND("F",B976)+1,FIND("G",B976)+1))
)),
VALUE(MID(B976,FIND("E0",B976)+2,FIND("T",B976,FIND("E0",B976))-(FIND("E0",B976)+2)))
))),"")</f>
        <v>45</v>
      </c>
      <c r="G976">
        <f>IFERROR(
IF(ISNUMBER(FIND("T2",B976)),220,
IF(ISNUMBER(FIND("T4",B976)),440,
IF(ISNUMBER(FIND("T5",B976)),575,
IF(ISNUMBER(FIND("T6",B976)),690,"")))),
"")</f>
        <v>440</v>
      </c>
    </row>
    <row r="977" spans="1:7" x14ac:dyDescent="0.25">
      <c r="A977">
        <v>10575278</v>
      </c>
      <c r="B977" t="str">
        <f>VLOOKUP(A977,Planilha2!B:C,2,0)</f>
        <v>INVERSOR MSCFW110058T4SZ</v>
      </c>
      <c r="C977" t="s">
        <v>1</v>
      </c>
      <c r="D977" t="str">
        <f>VLOOKUP(A977,Planilha2!B:H,7,0)</f>
        <v>LINHA M1</v>
      </c>
      <c r="E977" s="5">
        <v>20500</v>
      </c>
      <c r="F977">
        <f>IFERROR(
IF(ISNUMBER(FIND("CFW110",B977)),
VALUE(MID(B977,FIND("CFW110",B977)+6,FIND("T",B977,FIND("CFW110",B977))-(FIND("CFW110",B977)+6))),
IF(ISNUMBER(FIND("D",B977)),
VALUE(SUBSTITUTE(MID(B977,FIND("D",B977)+1,FIND("T",B977,FIND("D",B977))-(FIND("D",B977)+1)),"P",",")),
IF(ISNUMBER(FIND("CFW5",B977)),
VALUE(MID(B977,
IF(ISNUMBER(FIND("F",B977)),FIND("F",B977)+1,FIND("G",B977)+1),
FIND("T",B977)-(IF(ISNUMBER(FIND("F",B977)),FIND("F",B977)+1,FIND("G",B977)+1))
)),
VALUE(MID(B977,FIND("E0",B977)+2,FIND("T",B977,FIND("E0",B977))-(FIND("E0",B977)+2)))
))),"")</f>
        <v>58</v>
      </c>
      <c r="G977">
        <f>IFERROR(
IF(ISNUMBER(FIND("T2",B977)),220,
IF(ISNUMBER(FIND("T4",B977)),440,
IF(ISNUMBER(FIND("T5",B977)),575,
IF(ISNUMBER(FIND("T6",B977)),690,"")))),
"")</f>
        <v>440</v>
      </c>
    </row>
    <row r="978" spans="1:7" x14ac:dyDescent="0.25">
      <c r="A978">
        <v>11476313</v>
      </c>
      <c r="B978" t="str">
        <f>VLOOKUP(A978,Planilha2!B:C,2,0)</f>
        <v>INVERSOR EWCFW110038T4OFAZ</v>
      </c>
      <c r="C978" t="s">
        <v>1</v>
      </c>
      <c r="D978" t="str">
        <f>VLOOKUP(A978,Planilha2!B:H,7,0)</f>
        <v>LINHA M1</v>
      </c>
      <c r="E978" s="5">
        <v>20870</v>
      </c>
      <c r="F978">
        <f>IFERROR(
IF(ISNUMBER(FIND("CFW110",B978)),
VALUE(MID(B978,FIND("CFW110",B978)+6,FIND("T",B978,FIND("CFW110",B978))-(FIND("CFW110",B978)+6))),
IF(ISNUMBER(FIND("D",B978)),
VALUE(SUBSTITUTE(MID(B978,FIND("D",B978)+1,FIND("T",B978,FIND("D",B978))-(FIND("D",B978)+1)),"P",",")),
IF(ISNUMBER(FIND("CFW5",B978)),
VALUE(MID(B978,
IF(ISNUMBER(FIND("F",B978)),FIND("F",B978)+1,FIND("G",B978)+1),
FIND("T",B978)-(IF(ISNUMBER(FIND("F",B978)),FIND("F",B978)+1,FIND("G",B978)+1))
)),
VALUE(MID(B978,FIND("E0",B978)+2,FIND("T",B978,FIND("E0",B978))-(FIND("E0",B978)+2)))
))),"")</f>
        <v>38</v>
      </c>
      <c r="G978">
        <f>IFERROR(
IF(ISNUMBER(FIND("T2",B978)),220,
IF(ISNUMBER(FIND("T4",B978)),440,
IF(ISNUMBER(FIND("T5",B978)),575,
IF(ISNUMBER(FIND("T6",B978)),690,"")))),
"")</f>
        <v>440</v>
      </c>
    </row>
    <row r="979" spans="1:7" x14ac:dyDescent="0.25">
      <c r="A979">
        <v>11476316</v>
      </c>
      <c r="B979" t="str">
        <f>VLOOKUP(A979,Planilha2!B:C,2,0)</f>
        <v>INVERSOR EWCFW110045T4OFAZ</v>
      </c>
      <c r="C979" t="s">
        <v>1</v>
      </c>
      <c r="D979" t="str">
        <f>VLOOKUP(A979,Planilha2!B:H,7,0)</f>
        <v>LINHA M1</v>
      </c>
      <c r="E979" s="5">
        <v>20870</v>
      </c>
      <c r="F979">
        <f>IFERROR(
IF(ISNUMBER(FIND("CFW110",B979)),
VALUE(MID(B979,FIND("CFW110",B979)+6,FIND("T",B979,FIND("CFW110",B979))-(FIND("CFW110",B979)+6))),
IF(ISNUMBER(FIND("D",B979)),
VALUE(SUBSTITUTE(MID(B979,FIND("D",B979)+1,FIND("T",B979,FIND("D",B979))-(FIND("D",B979)+1)),"P",",")),
IF(ISNUMBER(FIND("CFW5",B979)),
VALUE(MID(B979,
IF(ISNUMBER(FIND("F",B979)),FIND("F",B979)+1,FIND("G",B979)+1),
FIND("T",B979)-(IF(ISNUMBER(FIND("F",B979)),FIND("F",B979)+1,FIND("G",B979)+1))
)),
VALUE(MID(B979,FIND("E0",B979)+2,FIND("T",B979,FIND("E0",B979))-(FIND("E0",B979)+2)))
))),"")</f>
        <v>45</v>
      </c>
      <c r="G979">
        <f>IFERROR(
IF(ISNUMBER(FIND("T2",B979)),220,
IF(ISNUMBER(FIND("T4",B979)),440,
IF(ISNUMBER(FIND("T5",B979)),575,
IF(ISNUMBER(FIND("T6",B979)),690,"")))),
"")</f>
        <v>440</v>
      </c>
    </row>
    <row r="980" spans="1:7" x14ac:dyDescent="0.25">
      <c r="A980">
        <v>11543799</v>
      </c>
      <c r="B980" t="str">
        <f>VLOOKUP(A980,Planilha2!B:C,2,0)</f>
        <v>INVERSOR CFW700C58P5T4DB20C3</v>
      </c>
      <c r="C980" t="s">
        <v>1</v>
      </c>
      <c r="D980" t="str">
        <f>VLOOKUP(A980,Planilha2!B:H,7,0)</f>
        <v>OBSOLETOS DRIVES</v>
      </c>
      <c r="E980" s="5">
        <v>16000</v>
      </c>
      <c r="F980" t="str">
        <f>IFERROR(
IF(ISNUMBER(FIND("CFW110",B980)),
VALUE(MID(B980,FIND("CFW110",B980)+6,FIND("T",B980,FIND("CFW110",B980))-(FIND("CFW110",B980)+6))),
IF(ISNUMBER(FIND("D",B980)),
VALUE(SUBSTITUTE(MID(B980,FIND("D",B980)+1,FIND("T",B980,FIND("D",B980))-(FIND("D",B980)+1)),"P",",")),
IF(ISNUMBER(FIND("CFW5",B980)),
VALUE(MID(B980,
IF(ISNUMBER(FIND("F",B980)),FIND("F",B980)+1,FIND("G",B980)+1),
FIND("T",B980)-(IF(ISNUMBER(FIND("F",B980)),FIND("F",B980)+1,FIND("G",B980)+1))
)),
VALUE(MID(B980,FIND("E0",B980)+2,FIND("T",B980,FIND("E0",B980))-(FIND("E0",B980)+2)))
))),"")</f>
        <v/>
      </c>
      <c r="G980">
        <f>IFERROR(
IF(ISNUMBER(FIND("T2",B980)),220,
IF(ISNUMBER(FIND("T4",B980)),440,
IF(ISNUMBER(FIND("T5",B980)),575,
IF(ISNUMBER(FIND("T6",B980)),690,"")))),
"")</f>
        <v>440</v>
      </c>
    </row>
    <row r="981" spans="1:7" x14ac:dyDescent="0.25">
      <c r="A981">
        <v>11312067</v>
      </c>
      <c r="B981" t="str">
        <f>VLOOKUP(A981,Planilha2!B:C,2,0)</f>
        <v>INVERSOR CFW700C54P0T2DB20</v>
      </c>
      <c r="C981" t="s">
        <v>1</v>
      </c>
      <c r="D981" t="str">
        <f>VLOOKUP(A981,Planilha2!B:H,7,0)</f>
        <v>OBSOLETOS DRIVES</v>
      </c>
      <c r="E981" s="5">
        <v>16000</v>
      </c>
      <c r="F981" t="str">
        <f>IFERROR(
IF(ISNUMBER(FIND("CFW110",B981)),
VALUE(MID(B981,FIND("CFW110",B981)+6,FIND("T",B981,FIND("CFW110",B981))-(FIND("CFW110",B981)+6))),
IF(ISNUMBER(FIND("D",B981)),
VALUE(SUBSTITUTE(MID(B981,FIND("D",B981)+1,FIND("T",B981,FIND("D",B981))-(FIND("D",B981)+1)),"P",",")),
IF(ISNUMBER(FIND("CFW5",B981)),
VALUE(MID(B981,
IF(ISNUMBER(FIND("F",B981)),FIND("F",B981)+1,FIND("G",B981)+1),
FIND("T",B981)-(IF(ISNUMBER(FIND("F",B981)),FIND("F",B981)+1,FIND("G",B981)+1))
)),
VALUE(MID(B981,FIND("E0",B981)+2,FIND("T",B981,FIND("E0",B981))-(FIND("E0",B981)+2)))
))),"")</f>
        <v/>
      </c>
      <c r="G981">
        <f>IFERROR(
IF(ISNUMBER(FIND("T2",B981)),220,
IF(ISNUMBER(FIND("T4",B981)),440,
IF(ISNUMBER(FIND("T5",B981)),575,
IF(ISNUMBER(FIND("T6",B981)),690,"")))),
"")</f>
        <v>220</v>
      </c>
    </row>
    <row r="982" spans="1:7" x14ac:dyDescent="0.25">
      <c r="A982">
        <v>11312128</v>
      </c>
      <c r="B982" t="str">
        <f>VLOOKUP(A982,Planilha2!B:C,2,0)</f>
        <v>INVERSOR CFW700C70P0T2DB20</v>
      </c>
      <c r="C982" t="s">
        <v>1</v>
      </c>
      <c r="D982" t="str">
        <f>VLOOKUP(A982,Planilha2!B:H,7,0)</f>
        <v>OBSOLETOS DRIVES</v>
      </c>
      <c r="E982" s="5">
        <v>16000</v>
      </c>
      <c r="F982" t="str">
        <f>IFERROR(
IF(ISNUMBER(FIND("CFW110",B982)),
VALUE(MID(B982,FIND("CFW110",B982)+6,FIND("T",B982,FIND("CFW110",B982))-(FIND("CFW110",B982)+6))),
IF(ISNUMBER(FIND("D",B982)),
VALUE(SUBSTITUTE(MID(B982,FIND("D",B982)+1,FIND("T",B982,FIND("D",B982))-(FIND("D",B982)+1)),"P",",")),
IF(ISNUMBER(FIND("CFW5",B982)),
VALUE(MID(B982,
IF(ISNUMBER(FIND("F",B982)),FIND("F",B982)+1,FIND("G",B982)+1),
FIND("T",B982)-(IF(ISNUMBER(FIND("F",B982)),FIND("F",B982)+1,FIND("G",B982)+1))
)),
VALUE(MID(B982,FIND("E0",B982)+2,FIND("T",B982,FIND("E0",B982))-(FIND("E0",B982)+2)))
))),"")</f>
        <v/>
      </c>
      <c r="G982">
        <f>IFERROR(
IF(ISNUMBER(FIND("T2",B982)),220,
IF(ISNUMBER(FIND("T4",B982)),440,
IF(ISNUMBER(FIND("T5",B982)),575,
IF(ISNUMBER(FIND("T6",B982)),690,"")))),
"")</f>
        <v>220</v>
      </c>
    </row>
    <row r="983" spans="1:7" x14ac:dyDescent="0.25">
      <c r="A983">
        <v>11543801</v>
      </c>
      <c r="B983" t="str">
        <f>VLOOKUP(A983,Planilha2!B:C,2,0)</f>
        <v>INVERSOR CFW700C70P0T2DB20C3</v>
      </c>
      <c r="C983" t="s">
        <v>1</v>
      </c>
      <c r="D983" t="str">
        <f>VLOOKUP(A983,Planilha2!B:H,7,0)</f>
        <v>OBSOLETOS DRIVES</v>
      </c>
      <c r="E983" s="5">
        <v>16000</v>
      </c>
      <c r="F983" t="str">
        <f>IFERROR(
IF(ISNUMBER(FIND("CFW110",B983)),
VALUE(MID(B983,FIND("CFW110",B983)+6,FIND("T",B983,FIND("CFW110",B983))-(FIND("CFW110",B983)+6))),
IF(ISNUMBER(FIND("D",B983)),
VALUE(SUBSTITUTE(MID(B983,FIND("D",B983)+1,FIND("T",B983,FIND("D",B983))-(FIND("D",B983)+1)),"P",",")),
IF(ISNUMBER(FIND("CFW5",B983)),
VALUE(MID(B983,
IF(ISNUMBER(FIND("F",B983)),FIND("F",B983)+1,FIND("G",B983)+1),
FIND("T",B983)-(IF(ISNUMBER(FIND("F",B983)),FIND("F",B983)+1,FIND("G",B983)+1))
)),
VALUE(MID(B983,FIND("E0",B983)+2,FIND("T",B983,FIND("E0",B983))-(FIND("E0",B983)+2)))
))),"")</f>
        <v/>
      </c>
      <c r="G983">
        <f>IFERROR(
IF(ISNUMBER(FIND("T2",B983)),220,
IF(ISNUMBER(FIND("T4",B983)),440,
IF(ISNUMBER(FIND("T5",B983)),575,
IF(ISNUMBER(FIND("T6",B983)),690,"")))),
"")</f>
        <v>220</v>
      </c>
    </row>
    <row r="984" spans="1:7" x14ac:dyDescent="0.25">
      <c r="A984">
        <v>11312480</v>
      </c>
      <c r="B984" t="str">
        <f>VLOOKUP(A984,Planilha2!B:C,2,0)</f>
        <v>INVERSOR CFW700C45P0T4DB20</v>
      </c>
      <c r="C984" t="s">
        <v>1</v>
      </c>
      <c r="D984" t="str">
        <f>VLOOKUP(A984,Planilha2!B:H,7,0)</f>
        <v>OBSOLETOS DRIVES</v>
      </c>
      <c r="E984" s="5">
        <v>21000</v>
      </c>
      <c r="F984" t="str">
        <f>IFERROR(
IF(ISNUMBER(FIND("CFW110",B984)),
VALUE(MID(B984,FIND("CFW110",B984)+6,FIND("T",B984,FIND("CFW110",B984))-(FIND("CFW110",B984)+6))),
IF(ISNUMBER(FIND("D",B984)),
VALUE(SUBSTITUTE(MID(B984,FIND("D",B984)+1,FIND("T",B984,FIND("D",B984))-(FIND("D",B984)+1)),"P",",")),
IF(ISNUMBER(FIND("CFW5",B984)),
VALUE(MID(B984,
IF(ISNUMBER(FIND("F",B984)),FIND("F",B984)+1,FIND("G",B984)+1),
FIND("T",B984)-(IF(ISNUMBER(FIND("F",B984)),FIND("F",B984)+1,FIND("G",B984)+1))
)),
VALUE(MID(B984,FIND("E0",B984)+2,FIND("T",B984,FIND("E0",B984))-(FIND("E0",B984)+2)))
))),"")</f>
        <v/>
      </c>
      <c r="G984">
        <f>IFERROR(
IF(ISNUMBER(FIND("T2",B984)),220,
IF(ISNUMBER(FIND("T4",B984)),440,
IF(ISNUMBER(FIND("T5",B984)),575,
IF(ISNUMBER(FIND("T6",B984)),690,"")))),
"")</f>
        <v>440</v>
      </c>
    </row>
    <row r="985" spans="1:7" x14ac:dyDescent="0.25">
      <c r="A985">
        <v>11543736</v>
      </c>
      <c r="B985" t="str">
        <f>VLOOKUP(A985,Planilha2!B:C,2,0)</f>
        <v>INVERSOR CFW700C38P0T4DB20C3</v>
      </c>
      <c r="C985" t="s">
        <v>1</v>
      </c>
      <c r="D985" t="str">
        <f>VLOOKUP(A985,Planilha2!B:H,7,0)</f>
        <v>OBSOLETOS DRIVES</v>
      </c>
      <c r="E985" s="5">
        <v>16000</v>
      </c>
      <c r="F985" t="str">
        <f>IFERROR(
IF(ISNUMBER(FIND("CFW110",B985)),
VALUE(MID(B985,FIND("CFW110",B985)+6,FIND("T",B985,FIND("CFW110",B985))-(FIND("CFW110",B985)+6))),
IF(ISNUMBER(FIND("D",B985)),
VALUE(SUBSTITUTE(MID(B985,FIND("D",B985)+1,FIND("T",B985,FIND("D",B985))-(FIND("D",B985)+1)),"P",",")),
IF(ISNUMBER(FIND("CFW5",B985)),
VALUE(MID(B985,
IF(ISNUMBER(FIND("F",B985)),FIND("F",B985)+1,FIND("G",B985)+1),
FIND("T",B985)-(IF(ISNUMBER(FIND("F",B985)),FIND("F",B985)+1,FIND("G",B985)+1))
)),
VALUE(MID(B985,FIND("E0",B985)+2,FIND("T",B985,FIND("E0",B985))-(FIND("E0",B985)+2)))
))),"")</f>
        <v/>
      </c>
      <c r="G985">
        <f>IFERROR(
IF(ISNUMBER(FIND("T2",B985)),220,
IF(ISNUMBER(FIND("T4",B985)),440,
IF(ISNUMBER(FIND("T5",B985)),575,
IF(ISNUMBER(FIND("T6",B985)),690,"")))),
"")</f>
        <v>440</v>
      </c>
    </row>
    <row r="986" spans="1:7" x14ac:dyDescent="0.25">
      <c r="A986">
        <v>11543783</v>
      </c>
      <c r="B986" t="str">
        <f>VLOOKUP(A986,Planilha2!B:C,2,0)</f>
        <v>INVERSOR CFW700C45P0T4DB20C3</v>
      </c>
      <c r="C986" t="s">
        <v>1</v>
      </c>
      <c r="D986" t="str">
        <f>VLOOKUP(A986,Planilha2!B:H,7,0)</f>
        <v>OBSOLETOS DRIVES</v>
      </c>
      <c r="E986" s="5">
        <v>16000</v>
      </c>
      <c r="F986" t="str">
        <f>IFERROR(
IF(ISNUMBER(FIND("CFW110",B986)),
VALUE(MID(B986,FIND("CFW110",B986)+6,FIND("T",B986,FIND("CFW110",B986))-(FIND("CFW110",B986)+6))),
IF(ISNUMBER(FIND("D",B986)),
VALUE(SUBSTITUTE(MID(B986,FIND("D",B986)+1,FIND("T",B986,FIND("D",B986))-(FIND("D",B986)+1)),"P",",")),
IF(ISNUMBER(FIND("CFW5",B986)),
VALUE(MID(B986,
IF(ISNUMBER(FIND("F",B986)),FIND("F",B986)+1,FIND("G",B986)+1),
FIND("T",B986)-(IF(ISNUMBER(FIND("F",B986)),FIND("F",B986)+1,FIND("G",B986)+1))
)),
VALUE(MID(B986,FIND("E0",B986)+2,FIND("T",B986,FIND("E0",B986))-(FIND("E0",B986)+2)))
))),"")</f>
        <v/>
      </c>
      <c r="G986">
        <f>IFERROR(
IF(ISNUMBER(FIND("T2",B986)),220,
IF(ISNUMBER(FIND("T4",B986)),440,
IF(ISNUMBER(FIND("T5",B986)),575,
IF(ISNUMBER(FIND("T6",B986)),690,"")))),
"")</f>
        <v>440</v>
      </c>
    </row>
    <row r="987" spans="1:7" x14ac:dyDescent="0.25">
      <c r="A987">
        <v>10193861</v>
      </c>
      <c r="B987" t="str">
        <f>VLOOKUP(A987,Planilha2!B:C,2,0)</f>
        <v>INVERSOR BRCFW110054T2SZ</v>
      </c>
      <c r="C987" t="s">
        <v>1</v>
      </c>
      <c r="D987" t="str">
        <f>VLOOKUP(A987,Planilha2!B:H,7,0)</f>
        <v>LINHA M1</v>
      </c>
      <c r="E987" s="5">
        <v>16000</v>
      </c>
      <c r="F987">
        <f>IFERROR(
IF(ISNUMBER(FIND("CFW110",B987)),
VALUE(MID(B987,FIND("CFW110",B987)+6,FIND("T",B987,FIND("CFW110",B987))-(FIND("CFW110",B987)+6))),
IF(ISNUMBER(FIND("D",B987)),
VALUE(SUBSTITUTE(MID(B987,FIND("D",B987)+1,FIND("T",B987,FIND("D",B987))-(FIND("D",B987)+1)),"P",",")),
IF(ISNUMBER(FIND("CFW5",B987)),
VALUE(MID(B987,
IF(ISNUMBER(FIND("F",B987)),FIND("F",B987)+1,FIND("G",B987)+1),
FIND("T",B987)-(IF(ISNUMBER(FIND("F",B987)),FIND("F",B987)+1,FIND("G",B987)+1))
)),
VALUE(MID(B987,FIND("E0",B987)+2,FIND("T",B987,FIND("E0",B987))-(FIND("E0",B987)+2)))
))),"")</f>
        <v>54</v>
      </c>
      <c r="G987">
        <f>IFERROR(
IF(ISNUMBER(FIND("T2",B987)),220,
IF(ISNUMBER(FIND("T4",B987)),440,
IF(ISNUMBER(FIND("T5",B987)),575,
IF(ISNUMBER(FIND("T6",B987)),690,"")))),
"")</f>
        <v>220</v>
      </c>
    </row>
    <row r="988" spans="1:7" x14ac:dyDescent="0.25">
      <c r="A988">
        <v>10193862</v>
      </c>
      <c r="B988" t="str">
        <f>VLOOKUP(A988,Planilha2!B:C,2,0)</f>
        <v>INVERSOR BRCFW110070T2SZ</v>
      </c>
      <c r="C988" t="s">
        <v>1</v>
      </c>
      <c r="D988" t="str">
        <f>VLOOKUP(A988,Planilha2!B:H,7,0)</f>
        <v>LINHA M1</v>
      </c>
      <c r="E988" s="5">
        <v>17900</v>
      </c>
      <c r="F988">
        <f>IFERROR(
IF(ISNUMBER(FIND("CFW110",B988)),
VALUE(MID(B988,FIND("CFW110",B988)+6,FIND("T",B988,FIND("CFW110",B988))-(FIND("CFW110",B988)+6))),
IF(ISNUMBER(FIND("D",B988)),
VALUE(SUBSTITUTE(MID(B988,FIND("D",B988)+1,FIND("T",B988,FIND("D",B988))-(FIND("D",B988)+1)),"P",",")),
IF(ISNUMBER(FIND("CFW5",B988)),
VALUE(MID(B988,
IF(ISNUMBER(FIND("F",B988)),FIND("F",B988)+1,FIND("G",B988)+1),
FIND("T",B988)-(IF(ISNUMBER(FIND("F",B988)),FIND("F",B988)+1,FIND("G",B988)+1))
)),
VALUE(MID(B988,FIND("E0",B988)+2,FIND("T",B988,FIND("E0",B988))-(FIND("E0",B988)+2)))
))),"")</f>
        <v>70</v>
      </c>
      <c r="G988">
        <f>IFERROR(
IF(ISNUMBER(FIND("T2",B988)),220,
IF(ISNUMBER(FIND("T4",B988)),440,
IF(ISNUMBER(FIND("T5",B988)),575,
IF(ISNUMBER(FIND("T6",B988)),690,"")))),
"")</f>
        <v>220</v>
      </c>
    </row>
    <row r="989" spans="1:7" x14ac:dyDescent="0.25">
      <c r="A989">
        <v>10574702</v>
      </c>
      <c r="B989" t="str">
        <f>VLOOKUP(A989,Planilha2!B:C,2,0)</f>
        <v>INVERSOR NACFW110045T2SZ</v>
      </c>
      <c r="C989" t="s">
        <v>1</v>
      </c>
      <c r="D989" t="str">
        <f>VLOOKUP(A989,Planilha2!B:H,7,0)</f>
        <v>LINHA M1</v>
      </c>
      <c r="E989" s="5">
        <v>15600</v>
      </c>
      <c r="F989">
        <f>IFERROR(
IF(ISNUMBER(FIND("CFW110",B989)),
VALUE(MID(B989,FIND("CFW110",B989)+6,FIND("T",B989,FIND("CFW110",B989))-(FIND("CFW110",B989)+6))),
IF(ISNUMBER(FIND("D",B989)),
VALUE(SUBSTITUTE(MID(B989,FIND("D",B989)+1,FIND("T",B989,FIND("D",B989))-(FIND("D",B989)+1)),"P",",")),
IF(ISNUMBER(FIND("CFW5",B989)),
VALUE(MID(B989,
IF(ISNUMBER(FIND("F",B989)),FIND("F",B989)+1,FIND("G",B989)+1),
FIND("T",B989)-(IF(ISNUMBER(FIND("F",B989)),FIND("F",B989)+1,FIND("G",B989)+1))
)),
VALUE(MID(B989,FIND("E0",B989)+2,FIND("T",B989,FIND("E0",B989))-(FIND("E0",B989)+2)))
))),"")</f>
        <v>45</v>
      </c>
      <c r="G989">
        <f>IFERROR(
IF(ISNUMBER(FIND("T2",B989)),220,
IF(ISNUMBER(FIND("T4",B989)),440,
IF(ISNUMBER(FIND("T5",B989)),575,
IF(ISNUMBER(FIND("T6",B989)),690,"")))),
"")</f>
        <v>220</v>
      </c>
    </row>
    <row r="990" spans="1:7" x14ac:dyDescent="0.25">
      <c r="A990">
        <v>10574703</v>
      </c>
      <c r="B990" t="str">
        <f>VLOOKUP(A990,Planilha2!B:C,2,0)</f>
        <v>INVERSOR NACFW110054T2SZ</v>
      </c>
      <c r="C990" t="s">
        <v>1</v>
      </c>
      <c r="D990" t="str">
        <f>VLOOKUP(A990,Planilha2!B:H,7,0)</f>
        <v>LINHA M1</v>
      </c>
      <c r="E990" s="5">
        <v>16000</v>
      </c>
      <c r="F990">
        <f>IFERROR(
IF(ISNUMBER(FIND("CFW110",B990)),
VALUE(MID(B990,FIND("CFW110",B990)+6,FIND("T",B990,FIND("CFW110",B990))-(FIND("CFW110",B990)+6))),
IF(ISNUMBER(FIND("D",B990)),
VALUE(SUBSTITUTE(MID(B990,FIND("D",B990)+1,FIND("T",B990,FIND("D",B990))-(FIND("D",B990)+1)),"P",",")),
IF(ISNUMBER(FIND("CFW5",B990)),
VALUE(MID(B990,
IF(ISNUMBER(FIND("F",B990)),FIND("F",B990)+1,FIND("G",B990)+1),
FIND("T",B990)-(IF(ISNUMBER(FIND("F",B990)),FIND("F",B990)+1,FIND("G",B990)+1))
)),
VALUE(MID(B990,FIND("E0",B990)+2,FIND("T",B990,FIND("E0",B990))-(FIND("E0",B990)+2)))
))),"")</f>
        <v>54</v>
      </c>
      <c r="G990">
        <f>IFERROR(
IF(ISNUMBER(FIND("T2",B990)),220,
IF(ISNUMBER(FIND("T4",B990)),440,
IF(ISNUMBER(FIND("T5",B990)),575,
IF(ISNUMBER(FIND("T6",B990)),690,"")))),
"")</f>
        <v>220</v>
      </c>
    </row>
    <row r="991" spans="1:7" x14ac:dyDescent="0.25">
      <c r="A991">
        <v>10574704</v>
      </c>
      <c r="B991" t="str">
        <f>VLOOKUP(A991,Planilha2!B:C,2,0)</f>
        <v>INVERSOR NACFW110070T2SZ</v>
      </c>
      <c r="C991" t="s">
        <v>1</v>
      </c>
      <c r="D991" t="str">
        <f>VLOOKUP(A991,Planilha2!B:H,7,0)</f>
        <v>LINHA M1</v>
      </c>
      <c r="E991" s="5">
        <v>17900</v>
      </c>
      <c r="F991">
        <f>IFERROR(
IF(ISNUMBER(FIND("CFW110",B991)),
VALUE(MID(B991,FIND("CFW110",B991)+6,FIND("T",B991,FIND("CFW110",B991))-(FIND("CFW110",B991)+6))),
IF(ISNUMBER(FIND("D",B991)),
VALUE(SUBSTITUTE(MID(B991,FIND("D",B991)+1,FIND("T",B991,FIND("D",B991))-(FIND("D",B991)+1)),"P",",")),
IF(ISNUMBER(FIND("CFW5",B991)),
VALUE(MID(B991,
IF(ISNUMBER(FIND("F",B991)),FIND("F",B991)+1,FIND("G",B991)+1),
FIND("T",B991)-(IF(ISNUMBER(FIND("F",B991)),FIND("F",B991)+1,FIND("G",B991)+1))
)),
VALUE(MID(B991,FIND("E0",B991)+2,FIND("T",B991,FIND("E0",B991))-(FIND("E0",B991)+2)))
))),"")</f>
        <v>70</v>
      </c>
      <c r="G991">
        <f>IFERROR(
IF(ISNUMBER(FIND("T2",B991)),220,
IF(ISNUMBER(FIND("T4",B991)),440,
IF(ISNUMBER(FIND("T5",B991)),575,
IF(ISNUMBER(FIND("T6",B991)),690,"")))),
"")</f>
        <v>220</v>
      </c>
    </row>
    <row r="992" spans="1:7" x14ac:dyDescent="0.25">
      <c r="A992">
        <v>10574730</v>
      </c>
      <c r="B992" t="str">
        <f>VLOOKUP(A992,Planilha2!B:C,2,0)</f>
        <v>INVERSOR NACFW110045T2ON1Z</v>
      </c>
      <c r="C992" t="s">
        <v>1</v>
      </c>
      <c r="D992" t="str">
        <f>VLOOKUP(A992,Planilha2!B:H,7,0)</f>
        <v>LINHA M1</v>
      </c>
      <c r="E992" s="5">
        <v>15600</v>
      </c>
      <c r="F992">
        <f>IFERROR(
IF(ISNUMBER(FIND("CFW110",B992)),
VALUE(MID(B992,FIND("CFW110",B992)+6,FIND("T",B992,FIND("CFW110",B992))-(FIND("CFW110",B992)+6))),
IF(ISNUMBER(FIND("D",B992)),
VALUE(SUBSTITUTE(MID(B992,FIND("D",B992)+1,FIND("T",B992,FIND("D",B992))-(FIND("D",B992)+1)),"P",",")),
IF(ISNUMBER(FIND("CFW5",B992)),
VALUE(MID(B992,
IF(ISNUMBER(FIND("F",B992)),FIND("F",B992)+1,FIND("G",B992)+1),
FIND("T",B992)-(IF(ISNUMBER(FIND("F",B992)),FIND("F",B992)+1,FIND("G",B992)+1))
)),
VALUE(MID(B992,FIND("E0",B992)+2,FIND("T",B992,FIND("E0",B992))-(FIND("E0",B992)+2)))
))),"")</f>
        <v>45</v>
      </c>
      <c r="G992">
        <f>IFERROR(
IF(ISNUMBER(FIND("T2",B992)),220,
IF(ISNUMBER(FIND("T4",B992)),440,
IF(ISNUMBER(FIND("T5",B992)),575,
IF(ISNUMBER(FIND("T6",B992)),690,"")))),
"")</f>
        <v>220</v>
      </c>
    </row>
    <row r="993" spans="1:7" x14ac:dyDescent="0.25">
      <c r="A993">
        <v>10574731</v>
      </c>
      <c r="B993" t="str">
        <f>VLOOKUP(A993,Planilha2!B:C,2,0)</f>
        <v>INVERSOR NACFW110054T2ON1Z</v>
      </c>
      <c r="C993" t="s">
        <v>1</v>
      </c>
      <c r="D993" t="str">
        <f>VLOOKUP(A993,Planilha2!B:H,7,0)</f>
        <v>LINHA M1</v>
      </c>
      <c r="E993" s="5">
        <v>16000</v>
      </c>
      <c r="F993">
        <f>IFERROR(
IF(ISNUMBER(FIND("CFW110",B993)),
VALUE(MID(B993,FIND("CFW110",B993)+6,FIND("T",B993,FIND("CFW110",B993))-(FIND("CFW110",B993)+6))),
IF(ISNUMBER(FIND("D",B993)),
VALUE(SUBSTITUTE(MID(B993,FIND("D",B993)+1,FIND("T",B993,FIND("D",B993))-(FIND("D",B993)+1)),"P",",")),
IF(ISNUMBER(FIND("CFW5",B993)),
VALUE(MID(B993,
IF(ISNUMBER(FIND("F",B993)),FIND("F",B993)+1,FIND("G",B993)+1),
FIND("T",B993)-(IF(ISNUMBER(FIND("F",B993)),FIND("F",B993)+1,FIND("G",B993)+1))
)),
VALUE(MID(B993,FIND("E0",B993)+2,FIND("T",B993,FIND("E0",B993))-(FIND("E0",B993)+2)))
))),"")</f>
        <v>54</v>
      </c>
      <c r="G993">
        <f>IFERROR(
IF(ISNUMBER(FIND("T2",B993)),220,
IF(ISNUMBER(FIND("T4",B993)),440,
IF(ISNUMBER(FIND("T5",B993)),575,
IF(ISNUMBER(FIND("T6",B993)),690,"")))),
"")</f>
        <v>220</v>
      </c>
    </row>
    <row r="994" spans="1:7" x14ac:dyDescent="0.25">
      <c r="A994">
        <v>10574732</v>
      </c>
      <c r="B994" t="str">
        <f>VLOOKUP(A994,Planilha2!B:C,2,0)</f>
        <v>INVERSOR NACFW110070T2ON1Z</v>
      </c>
      <c r="C994" t="s">
        <v>1</v>
      </c>
      <c r="D994" t="str">
        <f>VLOOKUP(A994,Planilha2!B:H,7,0)</f>
        <v>LINHA M1</v>
      </c>
      <c r="E994" s="5">
        <v>17900</v>
      </c>
      <c r="F994">
        <f>IFERROR(
IF(ISNUMBER(FIND("CFW110",B994)),
VALUE(MID(B994,FIND("CFW110",B994)+6,FIND("T",B994,FIND("CFW110",B994))-(FIND("CFW110",B994)+6))),
IF(ISNUMBER(FIND("D",B994)),
VALUE(SUBSTITUTE(MID(B994,FIND("D",B994)+1,FIND("T",B994,FIND("D",B994))-(FIND("D",B994)+1)),"P",",")),
IF(ISNUMBER(FIND("CFW5",B994)),
VALUE(MID(B994,
IF(ISNUMBER(FIND("F",B994)),FIND("F",B994)+1,FIND("G",B994)+1),
FIND("T",B994)-(IF(ISNUMBER(FIND("F",B994)),FIND("F",B994)+1,FIND("G",B994)+1))
)),
VALUE(MID(B994,FIND("E0",B994)+2,FIND("T",B994,FIND("E0",B994))-(FIND("E0",B994)+2)))
))),"")</f>
        <v>70</v>
      </c>
      <c r="G994">
        <f>IFERROR(
IF(ISNUMBER(FIND("T2",B994)),220,
IF(ISNUMBER(FIND("T4",B994)),440,
IF(ISNUMBER(FIND("T5",B994)),575,
IF(ISNUMBER(FIND("T6",B994)),690,"")))),
"")</f>
        <v>220</v>
      </c>
    </row>
    <row r="995" spans="1:7" x14ac:dyDescent="0.25">
      <c r="A995">
        <v>10575263</v>
      </c>
      <c r="B995" t="str">
        <f>VLOOKUP(A995,Planilha2!B:C,2,0)</f>
        <v>INVERSOR MSCFW110045T2SZ</v>
      </c>
      <c r="C995" t="s">
        <v>1</v>
      </c>
      <c r="D995" t="str">
        <f>VLOOKUP(A995,Planilha2!B:H,7,0)</f>
        <v>LINHA M1</v>
      </c>
      <c r="E995" s="5">
        <v>15600</v>
      </c>
      <c r="F995">
        <f>IFERROR(
IF(ISNUMBER(FIND("CFW110",B995)),
VALUE(MID(B995,FIND("CFW110",B995)+6,FIND("T",B995,FIND("CFW110",B995))-(FIND("CFW110",B995)+6))),
IF(ISNUMBER(FIND("D",B995)),
VALUE(SUBSTITUTE(MID(B995,FIND("D",B995)+1,FIND("T",B995,FIND("D",B995))-(FIND("D",B995)+1)),"P",",")),
IF(ISNUMBER(FIND("CFW5",B995)),
VALUE(MID(B995,
IF(ISNUMBER(FIND("F",B995)),FIND("F",B995)+1,FIND("G",B995)+1),
FIND("T",B995)-(IF(ISNUMBER(FIND("F",B995)),FIND("F",B995)+1,FIND("G",B995)+1))
)),
VALUE(MID(B995,FIND("E0",B995)+2,FIND("T",B995,FIND("E0",B995))-(FIND("E0",B995)+2)))
))),"")</f>
        <v>45</v>
      </c>
      <c r="G995">
        <f>IFERROR(
IF(ISNUMBER(FIND("T2",B995)),220,
IF(ISNUMBER(FIND("T4",B995)),440,
IF(ISNUMBER(FIND("T5",B995)),575,
IF(ISNUMBER(FIND("T6",B995)),690,"")))),
"")</f>
        <v>220</v>
      </c>
    </row>
    <row r="996" spans="1:7" x14ac:dyDescent="0.25">
      <c r="A996">
        <v>10575264</v>
      </c>
      <c r="B996" t="str">
        <f>VLOOKUP(A996,Planilha2!B:C,2,0)</f>
        <v>INVERSOR MSCFW110054T2SZ</v>
      </c>
      <c r="C996" t="s">
        <v>1</v>
      </c>
      <c r="D996" t="str">
        <f>VLOOKUP(A996,Planilha2!B:H,7,0)</f>
        <v>LINHA M1</v>
      </c>
      <c r="E996" s="5">
        <v>16000</v>
      </c>
      <c r="F996">
        <f>IFERROR(
IF(ISNUMBER(FIND("CFW110",B996)),
VALUE(MID(B996,FIND("CFW110",B996)+6,FIND("T",B996,FIND("CFW110",B996))-(FIND("CFW110",B996)+6))),
IF(ISNUMBER(FIND("D",B996)),
VALUE(SUBSTITUTE(MID(B996,FIND("D",B996)+1,FIND("T",B996,FIND("D",B996))-(FIND("D",B996)+1)),"P",",")),
IF(ISNUMBER(FIND("CFW5",B996)),
VALUE(MID(B996,
IF(ISNUMBER(FIND("F",B996)),FIND("F",B996)+1,FIND("G",B996)+1),
FIND("T",B996)-(IF(ISNUMBER(FIND("F",B996)),FIND("F",B996)+1,FIND("G",B996)+1))
)),
VALUE(MID(B996,FIND("E0",B996)+2,FIND("T",B996,FIND("E0",B996))-(FIND("E0",B996)+2)))
))),"")</f>
        <v>54</v>
      </c>
      <c r="G996">
        <f>IFERROR(
IF(ISNUMBER(FIND("T2",B996)),220,
IF(ISNUMBER(FIND("T4",B996)),440,
IF(ISNUMBER(FIND("T5",B996)),575,
IF(ISNUMBER(FIND("T6",B996)),690,"")))),
"")</f>
        <v>220</v>
      </c>
    </row>
    <row r="997" spans="1:7" x14ac:dyDescent="0.25">
      <c r="A997">
        <v>10575265</v>
      </c>
      <c r="B997" t="str">
        <f>VLOOKUP(A997,Planilha2!B:C,2,0)</f>
        <v>INVERSOR MSCFW110070T2SZ</v>
      </c>
      <c r="C997" t="s">
        <v>1</v>
      </c>
      <c r="D997" t="str">
        <f>VLOOKUP(A997,Planilha2!B:H,7,0)</f>
        <v>LINHA M1</v>
      </c>
      <c r="E997" s="5">
        <v>17900</v>
      </c>
      <c r="F997">
        <f>IFERROR(
IF(ISNUMBER(FIND("CFW110",B997)),
VALUE(MID(B997,FIND("CFW110",B997)+6,FIND("T",B997,FIND("CFW110",B997))-(FIND("CFW110",B997)+6))),
IF(ISNUMBER(FIND("D",B997)),
VALUE(SUBSTITUTE(MID(B997,FIND("D",B997)+1,FIND("T",B997,FIND("D",B997))-(FIND("D",B997)+1)),"P",",")),
IF(ISNUMBER(FIND("CFW5",B997)),
VALUE(MID(B997,
IF(ISNUMBER(FIND("F",B997)),FIND("F",B997)+1,FIND("G",B997)+1),
FIND("T",B997)-(IF(ISNUMBER(FIND("F",B997)),FIND("F",B997)+1,FIND("G",B997)+1))
)),
VALUE(MID(B997,FIND("E0",B997)+2,FIND("T",B997,FIND("E0",B997))-(FIND("E0",B997)+2)))
))),"")</f>
        <v>70</v>
      </c>
      <c r="G997">
        <f>IFERROR(
IF(ISNUMBER(FIND("T2",B997)),220,
IF(ISNUMBER(FIND("T4",B997)),440,
IF(ISNUMBER(FIND("T5",B997)),575,
IF(ISNUMBER(FIND("T6",B997)),690,"")))),
"")</f>
        <v>220</v>
      </c>
    </row>
    <row r="998" spans="1:7" x14ac:dyDescent="0.25">
      <c r="A998">
        <v>11385178</v>
      </c>
      <c r="B998" t="str">
        <f>VLOOKUP(A998,Planilha2!B:C,2,0)</f>
        <v>INVERSOR BRCFW110054T2OFAZ</v>
      </c>
      <c r="C998" t="s">
        <v>1</v>
      </c>
      <c r="D998" t="str">
        <f>VLOOKUP(A998,Planilha2!B:H,7,0)</f>
        <v>LINHA M1</v>
      </c>
      <c r="E998" s="5">
        <v>26701</v>
      </c>
      <c r="F998">
        <f>IFERROR(
IF(ISNUMBER(FIND("CFW110",B998)),
VALUE(MID(B998,FIND("CFW110",B998)+6,FIND("T",B998,FIND("CFW110",B998))-(FIND("CFW110",B998)+6))),
IF(ISNUMBER(FIND("D",B998)),
VALUE(SUBSTITUTE(MID(B998,FIND("D",B998)+1,FIND("T",B998,FIND("D",B998))-(FIND("D",B998)+1)),"P",",")),
IF(ISNUMBER(FIND("CFW5",B998)),
VALUE(MID(B998,
IF(ISNUMBER(FIND("F",B998)),FIND("F",B998)+1,FIND("G",B998)+1),
FIND("T",B998)-(IF(ISNUMBER(FIND("F",B998)),FIND("F",B998)+1,FIND("G",B998)+1))
)),
VALUE(MID(B998,FIND("E0",B998)+2,FIND("T",B998,FIND("E0",B998))-(FIND("E0",B998)+2)))
))),"")</f>
        <v>54</v>
      </c>
      <c r="G998">
        <f>IFERROR(
IF(ISNUMBER(FIND("T2",B998)),220,
IF(ISNUMBER(FIND("T4",B998)),440,
IF(ISNUMBER(FIND("T5",B998)),575,
IF(ISNUMBER(FIND("T6",B998)),690,"")))),
"")</f>
        <v>220</v>
      </c>
    </row>
    <row r="999" spans="1:7" x14ac:dyDescent="0.25">
      <c r="A999">
        <v>11494282</v>
      </c>
      <c r="B999" t="str">
        <f>VLOOKUP(A999,Planilha2!B:C,2,0)</f>
        <v>INVERSOR BRCFW110045T2OFAZ</v>
      </c>
      <c r="C999" t="s">
        <v>1</v>
      </c>
      <c r="D999" t="str">
        <f>VLOOKUP(A999,Planilha2!B:H,7,0)</f>
        <v>LINHA M1</v>
      </c>
      <c r="E999" s="5">
        <v>26701</v>
      </c>
      <c r="F999">
        <f>IFERROR(
IF(ISNUMBER(FIND("CFW110",B999)),
VALUE(MID(B999,FIND("CFW110",B999)+6,FIND("T",B999,FIND("CFW110",B999))-(FIND("CFW110",B999)+6))),
IF(ISNUMBER(FIND("D",B999)),
VALUE(SUBSTITUTE(MID(B999,FIND("D",B999)+1,FIND("T",B999,FIND("D",B999))-(FIND("D",B999)+1)),"P",",")),
IF(ISNUMBER(FIND("CFW5",B999)),
VALUE(MID(B999,
IF(ISNUMBER(FIND("F",B999)),FIND("F",B999)+1,FIND("G",B999)+1),
FIND("T",B999)-(IF(ISNUMBER(FIND("F",B999)),FIND("F",B999)+1,FIND("G",B999)+1))
)),
VALUE(MID(B999,FIND("E0",B999)+2,FIND("T",B999,FIND("E0",B999))-(FIND("E0",B999)+2)))
))),"")</f>
        <v>45</v>
      </c>
      <c r="G999">
        <f>IFERROR(
IF(ISNUMBER(FIND("T2",B999)),220,
IF(ISNUMBER(FIND("T4",B999)),440,
IF(ISNUMBER(FIND("T5",B999)),575,
IF(ISNUMBER(FIND("T6",B999)),690,"")))),
"")</f>
        <v>220</v>
      </c>
    </row>
    <row r="1000" spans="1:7" x14ac:dyDescent="0.25">
      <c r="A1000">
        <v>11143158</v>
      </c>
      <c r="B1000" t="str">
        <f>VLOOKUP(A1000,Planilha2!B:C,2,0)</f>
        <v>INVERSOR EUCFW110105T4O54DBZ</v>
      </c>
      <c r="C1000" t="s">
        <v>1</v>
      </c>
      <c r="D1000" t="str">
        <f>VLOOKUP(A1000,Planilha2!B:H,7,0)</f>
        <v>LINHA E1</v>
      </c>
      <c r="E1000" s="5">
        <v>79700</v>
      </c>
      <c r="F1000">
        <f>IFERROR(
IF(ISNUMBER(FIND("CFW110",B1000)),
VALUE(MID(B1000,FIND("CFW110",B1000)+6,FIND("T",B1000,FIND("CFW110",B1000))-(FIND("CFW110",B1000)+6))),
IF(ISNUMBER(FIND("D",B1000)),
VALUE(SUBSTITUTE(MID(B1000,FIND("D",B1000)+1,FIND("T",B1000,FIND("D",B1000))-(FIND("D",B1000)+1)),"P",",")),
IF(ISNUMBER(FIND("CFW5",B1000)),
VALUE(MID(B1000,
IF(ISNUMBER(FIND("F",B1000)),FIND("F",B1000)+1,FIND("G",B1000)+1),
FIND("T",B1000)-(IF(ISNUMBER(FIND("F",B1000)),FIND("F",B1000)+1,FIND("G",B1000)+1))
)),
VALUE(MID(B1000,FIND("E0",B1000)+2,FIND("T",B1000,FIND("E0",B1000))-(FIND("E0",B1000)+2)))
))),"")</f>
        <v>105</v>
      </c>
      <c r="G1000">
        <f>IFERROR(
IF(ISNUMBER(FIND("T2",B1000)),220,
IF(ISNUMBER(FIND("T4",B1000)),440,
IF(ISNUMBER(FIND("T5",B1000)),575,
IF(ISNUMBER(FIND("T6",B1000)),690,"")))),
"")</f>
        <v>440</v>
      </c>
    </row>
    <row r="1001" spans="1:7" x14ac:dyDescent="0.25">
      <c r="A1001">
        <v>11144212</v>
      </c>
      <c r="B1001" t="str">
        <f>VLOOKUP(A1001,Planilha2!B:C,2,0)</f>
        <v>INVERSOR BRCFW110105T4O54Z</v>
      </c>
      <c r="C1001" t="s">
        <v>1</v>
      </c>
      <c r="D1001" t="str">
        <f>VLOOKUP(A1001,Planilha2!B:H,7,0)</f>
        <v>LINHA E1</v>
      </c>
      <c r="E1001" s="5">
        <v>78700</v>
      </c>
      <c r="F1001">
        <f>IFERROR(
IF(ISNUMBER(FIND("CFW110",B1001)),
VALUE(MID(B1001,FIND("CFW110",B1001)+6,FIND("T",B1001,FIND("CFW110",B1001))-(FIND("CFW110",B1001)+6))),
IF(ISNUMBER(FIND("D",B1001)),
VALUE(SUBSTITUTE(MID(B1001,FIND("D",B1001)+1,FIND("T",B1001,FIND("D",B1001))-(FIND("D",B1001)+1)),"P",",")),
IF(ISNUMBER(FIND("CFW5",B1001)),
VALUE(MID(B1001,
IF(ISNUMBER(FIND("F",B1001)),FIND("F",B1001)+1,FIND("G",B1001)+1),
FIND("T",B1001)-(IF(ISNUMBER(FIND("F",B1001)),FIND("F",B1001)+1,FIND("G",B1001)+1))
)),
VALUE(MID(B1001,FIND("E0",B1001)+2,FIND("T",B1001,FIND("E0",B1001))-(FIND("E0",B1001)+2)))
))),"")</f>
        <v>105</v>
      </c>
      <c r="G1001">
        <f>IFERROR(
IF(ISNUMBER(FIND("T2",B1001)),220,
IF(ISNUMBER(FIND("T4",B1001)),440,
IF(ISNUMBER(FIND("T5",B1001)),575,
IF(ISNUMBER(FIND("T6",B1001)),690,"")))),
"")</f>
        <v>440</v>
      </c>
    </row>
    <row r="1002" spans="1:7" x14ac:dyDescent="0.25">
      <c r="A1002">
        <v>11144217</v>
      </c>
      <c r="B1002" t="str">
        <f>VLOOKUP(A1002,Planilha2!B:C,2,0)</f>
        <v>INVERSOR BRCFW110142T2O54DBZ</v>
      </c>
      <c r="C1002" t="s">
        <v>1</v>
      </c>
      <c r="D1002" t="str">
        <f>VLOOKUP(A1002,Planilha2!B:H,7,0)</f>
        <v>LINHA E1</v>
      </c>
      <c r="E1002" s="5">
        <v>81800</v>
      </c>
      <c r="F1002">
        <f>IFERROR(
IF(ISNUMBER(FIND("CFW110",B1002)),
VALUE(MID(B1002,FIND("CFW110",B1002)+6,FIND("T",B1002,FIND("CFW110",B1002))-(FIND("CFW110",B1002)+6))),
IF(ISNUMBER(FIND("D",B1002)),
VALUE(SUBSTITUTE(MID(B1002,FIND("D",B1002)+1,FIND("T",B1002,FIND("D",B1002))-(FIND("D",B1002)+1)),"P",",")),
IF(ISNUMBER(FIND("CFW5",B1002)),
VALUE(MID(B1002,
IF(ISNUMBER(FIND("F",B1002)),FIND("F",B1002)+1,FIND("G",B1002)+1),
FIND("T",B1002)-(IF(ISNUMBER(FIND("F",B1002)),FIND("F",B1002)+1,FIND("G",B1002)+1))
)),
VALUE(MID(B1002,FIND("E0",B1002)+2,FIND("T",B1002,FIND("E0",B1002))-(FIND("E0",B1002)+2)))
))),"")</f>
        <v>142</v>
      </c>
      <c r="G1002">
        <f>IFERROR(
IF(ISNUMBER(FIND("T2",B1002)),220,
IF(ISNUMBER(FIND("T4",B1002)),440,
IF(ISNUMBER(FIND("T5",B1002)),575,
IF(ISNUMBER(FIND("T6",B1002)),690,"")))),
"")</f>
        <v>220</v>
      </c>
    </row>
    <row r="1003" spans="1:7" x14ac:dyDescent="0.25">
      <c r="A1003">
        <v>11874502</v>
      </c>
      <c r="B1003" t="str">
        <f>VLOOKUP(A1003,Planilha2!B:C,2,0)</f>
        <v>INVERSOR SACFW110070T2OYZ</v>
      </c>
      <c r="C1003" t="s">
        <v>1</v>
      </c>
      <c r="D1003" t="str">
        <f>VLOOKUP(A1003,Planilha2!B:H,7,0)</f>
        <v>LINHA M1</v>
      </c>
      <c r="E1003" s="5">
        <v>17900</v>
      </c>
      <c r="F1003">
        <f>IFERROR(
IF(ISNUMBER(FIND("CFW110",B1003)),
VALUE(MID(B1003,FIND("CFW110",B1003)+6,FIND("T",B1003,FIND("CFW110",B1003))-(FIND("CFW110",B1003)+6))),
IF(ISNUMBER(FIND("D",B1003)),
VALUE(SUBSTITUTE(MID(B1003,FIND("D",B1003)+1,FIND("T",B1003,FIND("D",B1003))-(FIND("D",B1003)+1)),"P",",")),
IF(ISNUMBER(FIND("CFW5",B1003)),
VALUE(MID(B1003,
IF(ISNUMBER(FIND("F",B1003)),FIND("F",B1003)+1,FIND("G",B1003)+1),
FIND("T",B1003)-(IF(ISNUMBER(FIND("F",B1003)),FIND("F",B1003)+1,FIND("G",B1003)+1))
)),
VALUE(MID(B1003,FIND("E0",B1003)+2,FIND("T",B1003,FIND("E0",B1003))-(FIND("E0",B1003)+2)))
))),"")</f>
        <v>70</v>
      </c>
      <c r="G1003">
        <f>IFERROR(
IF(ISNUMBER(FIND("T2",B1003)),220,
IF(ISNUMBER(FIND("T4",B1003)),440,
IF(ISNUMBER(FIND("T5",B1003)),575,
IF(ISNUMBER(FIND("T6",B1003)),690,"")))),
"")</f>
        <v>220</v>
      </c>
    </row>
    <row r="1004" spans="1:7" x14ac:dyDescent="0.25">
      <c r="A1004">
        <v>11874500</v>
      </c>
      <c r="B1004" t="str">
        <f>VLOOKUP(A1004,Planilha2!B:C,2,0)</f>
        <v>INVERSOR SACFW110054T2OYZ</v>
      </c>
      <c r="C1004" t="s">
        <v>1</v>
      </c>
      <c r="D1004" t="str">
        <f>VLOOKUP(A1004,Planilha2!B:H,7,0)</f>
        <v>LINHA M1</v>
      </c>
      <c r="E1004" s="5">
        <v>16000</v>
      </c>
      <c r="F1004">
        <f>IFERROR(
IF(ISNUMBER(FIND("CFW110",B1004)),
VALUE(MID(B1004,FIND("CFW110",B1004)+6,FIND("T",B1004,FIND("CFW110",B1004))-(FIND("CFW110",B1004)+6))),
IF(ISNUMBER(FIND("D",B1004)),
VALUE(SUBSTITUTE(MID(B1004,FIND("D",B1004)+1,FIND("T",B1004,FIND("D",B1004))-(FIND("D",B1004)+1)),"P",",")),
IF(ISNUMBER(FIND("CFW5",B1004)),
VALUE(MID(B1004,
IF(ISNUMBER(FIND("F",B1004)),FIND("F",B1004)+1,FIND("G",B1004)+1),
FIND("T",B1004)-(IF(ISNUMBER(FIND("F",B1004)),FIND("F",B1004)+1,FIND("G",B1004)+1))
)),
VALUE(MID(B1004,FIND("E0",B1004)+2,FIND("T",B1004,FIND("E0",B1004))-(FIND("E0",B1004)+2)))
))),"")</f>
        <v>54</v>
      </c>
      <c r="G1004">
        <f>IFERROR(
IF(ISNUMBER(FIND("T2",B1004)),220,
IF(ISNUMBER(FIND("T4",B1004)),440,
IF(ISNUMBER(FIND("T5",B1004)),575,
IF(ISNUMBER(FIND("T6",B1004)),690,"")))),
"")</f>
        <v>220</v>
      </c>
    </row>
    <row r="1005" spans="1:7" x14ac:dyDescent="0.25">
      <c r="A1005">
        <v>11874499</v>
      </c>
      <c r="B1005" t="str">
        <f>VLOOKUP(A1005,Planilha2!B:C,2,0)</f>
        <v>INVERSOR SACFW110045T2OYZ</v>
      </c>
      <c r="C1005" t="s">
        <v>1</v>
      </c>
      <c r="D1005" t="str">
        <f>VLOOKUP(A1005,Planilha2!B:H,7,0)</f>
        <v>LINHA M1</v>
      </c>
      <c r="E1005" s="5">
        <v>15600</v>
      </c>
      <c r="F1005">
        <f>IFERROR(
IF(ISNUMBER(FIND("CFW110",B1005)),
VALUE(MID(B1005,FIND("CFW110",B1005)+6,FIND("T",B1005,FIND("CFW110",B1005))-(FIND("CFW110",B1005)+6))),
IF(ISNUMBER(FIND("D",B1005)),
VALUE(SUBSTITUTE(MID(B1005,FIND("D",B1005)+1,FIND("T",B1005,FIND("D",B1005))-(FIND("D",B1005)+1)),"P",",")),
IF(ISNUMBER(FIND("CFW5",B1005)),
VALUE(MID(B1005,
IF(ISNUMBER(FIND("F",B1005)),FIND("F",B1005)+1,FIND("G",B1005)+1),
FIND("T",B1005)-(IF(ISNUMBER(FIND("F",B1005)),FIND("F",B1005)+1,FIND("G",B1005)+1))
)),
VALUE(MID(B1005,FIND("E0",B1005)+2,FIND("T",B1005,FIND("E0",B1005))-(FIND("E0",B1005)+2)))
))),"")</f>
        <v>45</v>
      </c>
      <c r="G1005">
        <f>IFERROR(
IF(ISNUMBER(FIND("T2",B1005)),220,
IF(ISNUMBER(FIND("T4",B1005)),440,
IF(ISNUMBER(FIND("T5",B1005)),575,
IF(ISNUMBER(FIND("T6",B1005)),690,"")))),
"")</f>
        <v>220</v>
      </c>
    </row>
    <row r="1006" spans="1:7" x14ac:dyDescent="0.25">
      <c r="A1006">
        <v>11874504</v>
      </c>
      <c r="B1006" t="str">
        <f>VLOOKUP(A1006,Planilha2!B:C,2,0)</f>
        <v>INVERSOR SACFW110038T4OYZ</v>
      </c>
      <c r="C1006" t="s">
        <v>1</v>
      </c>
      <c r="D1006" t="str">
        <f>VLOOKUP(A1006,Planilha2!B:H,7,0)</f>
        <v>LINHA M1</v>
      </c>
      <c r="E1006" s="5">
        <v>4500</v>
      </c>
      <c r="F1006">
        <f>IFERROR(
IF(ISNUMBER(FIND("CFW110",B1006)),
VALUE(MID(B1006,FIND("CFW110",B1006)+6,FIND("T",B1006,FIND("CFW110",B1006))-(FIND("CFW110",B1006)+6))),
IF(ISNUMBER(FIND("D",B1006)),
VALUE(SUBSTITUTE(MID(B1006,FIND("D",B1006)+1,FIND("T",B1006,FIND("D",B1006))-(FIND("D",B1006)+1)),"P",",")),
IF(ISNUMBER(FIND("CFW5",B1006)),
VALUE(MID(B1006,
IF(ISNUMBER(FIND("F",B1006)),FIND("F",B1006)+1,FIND("G",B1006)+1),
FIND("T",B1006)-(IF(ISNUMBER(FIND("F",B1006)),FIND("F",B1006)+1,FIND("G",B1006)+1))
)),
VALUE(MID(B1006,FIND("E0",B1006)+2,FIND("T",B1006,FIND("E0",B1006))-(FIND("E0",B1006)+2)))
))),"")</f>
        <v>38</v>
      </c>
      <c r="G1006">
        <f>IFERROR(
IF(ISNUMBER(FIND("T2",B1006)),220,
IF(ISNUMBER(FIND("T4",B1006)),440,
IF(ISNUMBER(FIND("T5",B1006)),575,
IF(ISNUMBER(FIND("T6",B1006)),690,"")))),
"")</f>
        <v>440</v>
      </c>
    </row>
    <row r="1007" spans="1:7" x14ac:dyDescent="0.25">
      <c r="A1007">
        <v>11874076</v>
      </c>
      <c r="B1007" t="str">
        <f>VLOOKUP(A1007,Planilha2!B:C,2,0)</f>
        <v>INVERSOR NACFW110070T2OYZ</v>
      </c>
      <c r="C1007" t="s">
        <v>1</v>
      </c>
      <c r="D1007" t="str">
        <f>VLOOKUP(A1007,Planilha2!B:H,7,0)</f>
        <v>LINHA M1</v>
      </c>
      <c r="E1007" s="5">
        <v>17900</v>
      </c>
      <c r="F1007">
        <f>IFERROR(
IF(ISNUMBER(FIND("CFW110",B1007)),
VALUE(MID(B1007,FIND("CFW110",B1007)+6,FIND("T",B1007,FIND("CFW110",B1007))-(FIND("CFW110",B1007)+6))),
IF(ISNUMBER(FIND("D",B1007)),
VALUE(SUBSTITUTE(MID(B1007,FIND("D",B1007)+1,FIND("T",B1007,FIND("D",B1007))-(FIND("D",B1007)+1)),"P",",")),
IF(ISNUMBER(FIND("CFW5",B1007)),
VALUE(MID(B1007,
IF(ISNUMBER(FIND("F",B1007)),FIND("F",B1007)+1,FIND("G",B1007)+1),
FIND("T",B1007)-(IF(ISNUMBER(FIND("F",B1007)),FIND("F",B1007)+1,FIND("G",B1007)+1))
)),
VALUE(MID(B1007,FIND("E0",B1007)+2,FIND("T",B1007,FIND("E0",B1007))-(FIND("E0",B1007)+2)))
))),"")</f>
        <v>70</v>
      </c>
      <c r="G1007">
        <f>IFERROR(
IF(ISNUMBER(FIND("T2",B1007)),220,
IF(ISNUMBER(FIND("T4",B1007)),440,
IF(ISNUMBER(FIND("T5",B1007)),575,
IF(ISNUMBER(FIND("T6",B1007)),690,"")))),
"")</f>
        <v>220</v>
      </c>
    </row>
    <row r="1008" spans="1:7" x14ac:dyDescent="0.25">
      <c r="A1008">
        <v>11873652</v>
      </c>
      <c r="B1008" t="str">
        <f>VLOOKUP(A1008,Planilha2!B:C,2,0)</f>
        <v>INVERSOR MSCFW110070T2OYZ</v>
      </c>
      <c r="C1008" t="s">
        <v>1</v>
      </c>
      <c r="D1008" t="str">
        <f>VLOOKUP(A1008,Planilha2!B:H,7,0)</f>
        <v>LINHA M1</v>
      </c>
      <c r="E1008" s="5">
        <v>17900</v>
      </c>
      <c r="F1008">
        <f>IFERROR(
IF(ISNUMBER(FIND("CFW110",B1008)),
VALUE(MID(B1008,FIND("CFW110",B1008)+6,FIND("T",B1008,FIND("CFW110",B1008))-(FIND("CFW110",B1008)+6))),
IF(ISNUMBER(FIND("D",B1008)),
VALUE(SUBSTITUTE(MID(B1008,FIND("D",B1008)+1,FIND("T",B1008,FIND("D",B1008))-(FIND("D",B1008)+1)),"P",",")),
IF(ISNUMBER(FIND("CFW5",B1008)),
VALUE(MID(B1008,
IF(ISNUMBER(FIND("F",B1008)),FIND("F",B1008)+1,FIND("G",B1008)+1),
FIND("T",B1008)-(IF(ISNUMBER(FIND("F",B1008)),FIND("F",B1008)+1,FIND("G",B1008)+1))
)),
VALUE(MID(B1008,FIND("E0",B1008)+2,FIND("T",B1008,FIND("E0",B1008))-(FIND("E0",B1008)+2)))
))),"")</f>
        <v>70</v>
      </c>
      <c r="G1008">
        <f>IFERROR(
IF(ISNUMBER(FIND("T2",B1008)),220,
IF(ISNUMBER(FIND("T4",B1008)),440,
IF(ISNUMBER(FIND("T5",B1008)),575,
IF(ISNUMBER(FIND("T6",B1008)),690,"")))),
"")</f>
        <v>220</v>
      </c>
    </row>
    <row r="1009" spans="1:7" x14ac:dyDescent="0.25">
      <c r="A1009">
        <v>11874075</v>
      </c>
      <c r="B1009" t="str">
        <f>VLOOKUP(A1009,Planilha2!B:C,2,0)</f>
        <v>INVERSOR NACFW110054T2OYZ</v>
      </c>
      <c r="C1009" t="s">
        <v>1</v>
      </c>
      <c r="D1009" t="str">
        <f>VLOOKUP(A1009,Planilha2!B:H,7,0)</f>
        <v>LINHA M1</v>
      </c>
      <c r="E1009" s="5">
        <v>16000</v>
      </c>
      <c r="F1009">
        <f>IFERROR(
IF(ISNUMBER(FIND("CFW110",B1009)),
VALUE(MID(B1009,FIND("CFW110",B1009)+6,FIND("T",B1009,FIND("CFW110",B1009))-(FIND("CFW110",B1009)+6))),
IF(ISNUMBER(FIND("D",B1009)),
VALUE(SUBSTITUTE(MID(B1009,FIND("D",B1009)+1,FIND("T",B1009,FIND("D",B1009))-(FIND("D",B1009)+1)),"P",",")),
IF(ISNUMBER(FIND("CFW5",B1009)),
VALUE(MID(B1009,
IF(ISNUMBER(FIND("F",B1009)),FIND("F",B1009)+1,FIND("G",B1009)+1),
FIND("T",B1009)-(IF(ISNUMBER(FIND("F",B1009)),FIND("F",B1009)+1,FIND("G",B1009)+1))
)),
VALUE(MID(B1009,FIND("E0",B1009)+2,FIND("T",B1009,FIND("E0",B1009))-(FIND("E0",B1009)+2)))
))),"")</f>
        <v>54</v>
      </c>
      <c r="G1009">
        <f>IFERROR(
IF(ISNUMBER(FIND("T2",B1009)),220,
IF(ISNUMBER(FIND("T4",B1009)),440,
IF(ISNUMBER(FIND("T5",B1009)),575,
IF(ISNUMBER(FIND("T6",B1009)),690,"")))),
"")</f>
        <v>220</v>
      </c>
    </row>
    <row r="1010" spans="1:7" x14ac:dyDescent="0.25">
      <c r="A1010">
        <v>11873491</v>
      </c>
      <c r="B1010" t="str">
        <f>VLOOKUP(A1010,Planilha2!B:C,2,0)</f>
        <v>INVERSOR MSCFW110054T2OYZ</v>
      </c>
      <c r="C1010" t="s">
        <v>1</v>
      </c>
      <c r="D1010" t="str">
        <f>VLOOKUP(A1010,Planilha2!B:H,7,0)</f>
        <v>LINHA M1</v>
      </c>
      <c r="E1010" s="5">
        <v>16000</v>
      </c>
      <c r="F1010">
        <f>IFERROR(
IF(ISNUMBER(FIND("CFW110",B1010)),
VALUE(MID(B1010,FIND("CFW110",B1010)+6,FIND("T",B1010,FIND("CFW110",B1010))-(FIND("CFW110",B1010)+6))),
IF(ISNUMBER(FIND("D",B1010)),
VALUE(SUBSTITUTE(MID(B1010,FIND("D",B1010)+1,FIND("T",B1010,FIND("D",B1010))-(FIND("D",B1010)+1)),"P",",")),
IF(ISNUMBER(FIND("CFW5",B1010)),
VALUE(MID(B1010,
IF(ISNUMBER(FIND("F",B1010)),FIND("F",B1010)+1,FIND("G",B1010)+1),
FIND("T",B1010)-(IF(ISNUMBER(FIND("F",B1010)),FIND("F",B1010)+1,FIND("G",B1010)+1))
)),
VALUE(MID(B1010,FIND("E0",B1010)+2,FIND("T",B1010,FIND("E0",B1010))-(FIND("E0",B1010)+2)))
))),"")</f>
        <v>54</v>
      </c>
      <c r="G1010">
        <f>IFERROR(
IF(ISNUMBER(FIND("T2",B1010)),220,
IF(ISNUMBER(FIND("T4",B1010)),440,
IF(ISNUMBER(FIND("T5",B1010)),575,
IF(ISNUMBER(FIND("T6",B1010)),690,"")))),
"")</f>
        <v>220</v>
      </c>
    </row>
    <row r="1011" spans="1:7" x14ac:dyDescent="0.25">
      <c r="A1011">
        <v>11874074</v>
      </c>
      <c r="B1011" t="str">
        <f>VLOOKUP(A1011,Planilha2!B:C,2,0)</f>
        <v>INVERSOR NACFW110045T2OYZ</v>
      </c>
      <c r="C1011" t="s">
        <v>1</v>
      </c>
      <c r="D1011" t="str">
        <f>VLOOKUP(A1011,Planilha2!B:H,7,0)</f>
        <v>LINHA M1</v>
      </c>
      <c r="E1011" s="5">
        <v>15600</v>
      </c>
      <c r="F1011">
        <f>IFERROR(
IF(ISNUMBER(FIND("CFW110",B1011)),
VALUE(MID(B1011,FIND("CFW110",B1011)+6,FIND("T",B1011,FIND("CFW110",B1011))-(FIND("CFW110",B1011)+6))),
IF(ISNUMBER(FIND("D",B1011)),
VALUE(SUBSTITUTE(MID(B1011,FIND("D",B1011)+1,FIND("T",B1011,FIND("D",B1011))-(FIND("D",B1011)+1)),"P",",")),
IF(ISNUMBER(FIND("CFW5",B1011)),
VALUE(MID(B1011,
IF(ISNUMBER(FIND("F",B1011)),FIND("F",B1011)+1,FIND("G",B1011)+1),
FIND("T",B1011)-(IF(ISNUMBER(FIND("F",B1011)),FIND("F",B1011)+1,FIND("G",B1011)+1))
)),
VALUE(MID(B1011,FIND("E0",B1011)+2,FIND("T",B1011,FIND("E0",B1011))-(FIND("E0",B1011)+2)))
))),"")</f>
        <v>45</v>
      </c>
      <c r="G1011">
        <f>IFERROR(
IF(ISNUMBER(FIND("T2",B1011)),220,
IF(ISNUMBER(FIND("T4",B1011)),440,
IF(ISNUMBER(FIND("T5",B1011)),575,
IF(ISNUMBER(FIND("T6",B1011)),690,"")))),
"")</f>
        <v>220</v>
      </c>
    </row>
    <row r="1012" spans="1:7" x14ac:dyDescent="0.25">
      <c r="A1012">
        <v>11873656</v>
      </c>
      <c r="B1012" t="str">
        <f>VLOOKUP(A1012,Planilha2!B:C,2,0)</f>
        <v>INVERSOR MSCFW110045T4OYZ</v>
      </c>
      <c r="C1012" t="s">
        <v>1</v>
      </c>
      <c r="D1012" t="str">
        <f>VLOOKUP(A1012,Planilha2!B:H,7,0)</f>
        <v>LINHA M1</v>
      </c>
      <c r="E1012" s="5">
        <v>4500</v>
      </c>
      <c r="F1012">
        <f>IFERROR(
IF(ISNUMBER(FIND("CFW110",B1012)),
VALUE(MID(B1012,FIND("CFW110",B1012)+6,FIND("T",B1012,FIND("CFW110",B1012))-(FIND("CFW110",B1012)+6))),
IF(ISNUMBER(FIND("D",B1012)),
VALUE(SUBSTITUTE(MID(B1012,FIND("D",B1012)+1,FIND("T",B1012,FIND("D",B1012))-(FIND("D",B1012)+1)),"P",",")),
IF(ISNUMBER(FIND("CFW5",B1012)),
VALUE(MID(B1012,
IF(ISNUMBER(FIND("F",B1012)),FIND("F",B1012)+1,FIND("G",B1012)+1),
FIND("T",B1012)-(IF(ISNUMBER(FIND("F",B1012)),FIND("F",B1012)+1,FIND("G",B1012)+1))
)),
VALUE(MID(B1012,FIND("E0",B1012)+2,FIND("T",B1012,FIND("E0",B1012))-(FIND("E0",B1012)+2)))
))),"")</f>
        <v>45</v>
      </c>
      <c r="G1012">
        <f>IFERROR(
IF(ISNUMBER(FIND("T2",B1012)),220,
IF(ISNUMBER(FIND("T4",B1012)),440,
IF(ISNUMBER(FIND("T5",B1012)),575,
IF(ISNUMBER(FIND("T6",B1012)),690,"")))),
"")</f>
        <v>440</v>
      </c>
    </row>
    <row r="1013" spans="1:7" x14ac:dyDescent="0.25">
      <c r="A1013">
        <v>11873489</v>
      </c>
      <c r="B1013" t="str">
        <f>VLOOKUP(A1013,Planilha2!B:C,2,0)</f>
        <v>INVERSOR MSCFW110045T2OYZ</v>
      </c>
      <c r="C1013" t="s">
        <v>1</v>
      </c>
      <c r="D1013" t="str">
        <f>VLOOKUP(A1013,Planilha2!B:H,7,0)</f>
        <v>LINHA M1</v>
      </c>
      <c r="E1013" s="5">
        <v>15600</v>
      </c>
      <c r="F1013">
        <f>IFERROR(
IF(ISNUMBER(FIND("CFW110",B1013)),
VALUE(MID(B1013,FIND("CFW110",B1013)+6,FIND("T",B1013,FIND("CFW110",B1013))-(FIND("CFW110",B1013)+6))),
IF(ISNUMBER(FIND("D",B1013)),
VALUE(SUBSTITUTE(MID(B1013,FIND("D",B1013)+1,FIND("T",B1013,FIND("D",B1013))-(FIND("D",B1013)+1)),"P",",")),
IF(ISNUMBER(FIND("CFW5",B1013)),
VALUE(MID(B1013,
IF(ISNUMBER(FIND("F",B1013)),FIND("F",B1013)+1,FIND("G",B1013)+1),
FIND("T",B1013)-(IF(ISNUMBER(FIND("F",B1013)),FIND("F",B1013)+1,FIND("G",B1013)+1))
)),
VALUE(MID(B1013,FIND("E0",B1013)+2,FIND("T",B1013,FIND("E0",B1013))-(FIND("E0",B1013)+2)))
))),"")</f>
        <v>45</v>
      </c>
      <c r="G1013">
        <f>IFERROR(
IF(ISNUMBER(FIND("T2",B1013)),220,
IF(ISNUMBER(FIND("T4",B1013)),440,
IF(ISNUMBER(FIND("T5",B1013)),575,
IF(ISNUMBER(FIND("T6",B1013)),690,"")))),
"")</f>
        <v>220</v>
      </c>
    </row>
    <row r="1014" spans="1:7" x14ac:dyDescent="0.25">
      <c r="A1014">
        <v>11874178</v>
      </c>
      <c r="B1014" t="str">
        <f>VLOOKUP(A1014,Planilha2!B:C,2,0)</f>
        <v>INVERSOR NACFW110038T4OYZ</v>
      </c>
      <c r="C1014" t="s">
        <v>1</v>
      </c>
      <c r="D1014" t="str">
        <f>VLOOKUP(A1014,Planilha2!B:H,7,0)</f>
        <v>LINHA M1</v>
      </c>
      <c r="E1014" s="5">
        <v>4500</v>
      </c>
      <c r="F1014">
        <f>IFERROR(
IF(ISNUMBER(FIND("CFW110",B1014)),
VALUE(MID(B1014,FIND("CFW110",B1014)+6,FIND("T",B1014,FIND("CFW110",B1014))-(FIND("CFW110",B1014)+6))),
IF(ISNUMBER(FIND("D",B1014)),
VALUE(SUBSTITUTE(MID(B1014,FIND("D",B1014)+1,FIND("T",B1014,FIND("D",B1014))-(FIND("D",B1014)+1)),"P",",")),
IF(ISNUMBER(FIND("CFW5",B1014)),
VALUE(MID(B1014,
IF(ISNUMBER(FIND("F",B1014)),FIND("F",B1014)+1,FIND("G",B1014)+1),
FIND("T",B1014)-(IF(ISNUMBER(FIND("F",B1014)),FIND("F",B1014)+1,FIND("G",B1014)+1))
)),
VALUE(MID(B1014,FIND("E0",B1014)+2,FIND("T",B1014,FIND("E0",B1014))-(FIND("E0",B1014)+2)))
))),"")</f>
        <v>38</v>
      </c>
      <c r="G1014">
        <f>IFERROR(
IF(ISNUMBER(FIND("T2",B1014)),220,
IF(ISNUMBER(FIND("T4",B1014)),440,
IF(ISNUMBER(FIND("T5",B1014)),575,
IF(ISNUMBER(FIND("T6",B1014)),690,"")))),
"")</f>
        <v>440</v>
      </c>
    </row>
    <row r="1015" spans="1:7" x14ac:dyDescent="0.25">
      <c r="A1015">
        <v>11873653</v>
      </c>
      <c r="B1015" t="str">
        <f>VLOOKUP(A1015,Planilha2!B:C,2,0)</f>
        <v>INVERSOR MSCFW110038T4OYZ</v>
      </c>
      <c r="C1015" t="s">
        <v>1</v>
      </c>
      <c r="D1015" t="str">
        <f>VLOOKUP(A1015,Planilha2!B:H,7,0)</f>
        <v>LINHA M1</v>
      </c>
      <c r="E1015" s="5">
        <v>4500</v>
      </c>
      <c r="F1015">
        <f>IFERROR(
IF(ISNUMBER(FIND("CFW110",B1015)),
VALUE(MID(B1015,FIND("CFW110",B1015)+6,FIND("T",B1015,FIND("CFW110",B1015))-(FIND("CFW110",B1015)+6))),
IF(ISNUMBER(FIND("D",B1015)),
VALUE(SUBSTITUTE(MID(B1015,FIND("D",B1015)+1,FIND("T",B1015,FIND("D",B1015))-(FIND("D",B1015)+1)),"P",",")),
IF(ISNUMBER(FIND("CFW5",B1015)),
VALUE(MID(B1015,
IF(ISNUMBER(FIND("F",B1015)),FIND("F",B1015)+1,FIND("G",B1015)+1),
FIND("T",B1015)-(IF(ISNUMBER(FIND("F",B1015)),FIND("F",B1015)+1,FIND("G",B1015)+1))
)),
VALUE(MID(B1015,FIND("E0",B1015)+2,FIND("T",B1015,FIND("E0",B1015))-(FIND("E0",B1015)+2)))
))),"")</f>
        <v>38</v>
      </c>
      <c r="G1015">
        <f>IFERROR(
IF(ISNUMBER(FIND("T2",B1015)),220,
IF(ISNUMBER(FIND("T4",B1015)),440,
IF(ISNUMBER(FIND("T5",B1015)),575,
IF(ISNUMBER(FIND("T6",B1015)),690,"")))),
"")</f>
        <v>440</v>
      </c>
    </row>
    <row r="1016" spans="1:7" x14ac:dyDescent="0.25">
      <c r="A1016">
        <v>10574784</v>
      </c>
      <c r="B1016" t="str">
        <f>VLOOKUP(A1016,Planilha2!B:C,2,0)</f>
        <v>INVERSOR EUCFW110045T2OFAZ</v>
      </c>
      <c r="C1016" t="s">
        <v>1</v>
      </c>
      <c r="D1016" t="str">
        <f>VLOOKUP(A1016,Planilha2!B:H,7,0)</f>
        <v>LINHA M1</v>
      </c>
      <c r="E1016" s="5">
        <v>15700</v>
      </c>
      <c r="F1016">
        <f>IFERROR(
IF(ISNUMBER(FIND("CFW110",B1016)),
VALUE(MID(B1016,FIND("CFW110",B1016)+6,FIND("T",B1016,FIND("CFW110",B1016))-(FIND("CFW110",B1016)+6))),
IF(ISNUMBER(FIND("D",B1016)),
VALUE(SUBSTITUTE(MID(B1016,FIND("D",B1016)+1,FIND("T",B1016,FIND("D",B1016))-(FIND("D",B1016)+1)),"P",",")),
IF(ISNUMBER(FIND("CFW5",B1016)),
VALUE(MID(B1016,
IF(ISNUMBER(FIND("F",B1016)),FIND("F",B1016)+1,FIND("G",B1016)+1),
FIND("T",B1016)-(IF(ISNUMBER(FIND("F",B1016)),FIND("F",B1016)+1,FIND("G",B1016)+1))
)),
VALUE(MID(B1016,FIND("E0",B1016)+2,FIND("T",B1016,FIND("E0",B1016))-(FIND("E0",B1016)+2)))
))),"")</f>
        <v>45</v>
      </c>
      <c r="G1016">
        <f>IFERROR(
IF(ISNUMBER(FIND("T2",B1016)),220,
IF(ISNUMBER(FIND("T4",B1016)),440,
IF(ISNUMBER(FIND("T5",B1016)),575,
IF(ISNUMBER(FIND("T6",B1016)),690,"")))),
"")</f>
        <v>220</v>
      </c>
    </row>
    <row r="1017" spans="1:7" x14ac:dyDescent="0.25">
      <c r="A1017">
        <v>10574786</v>
      </c>
      <c r="B1017" t="str">
        <f>VLOOKUP(A1017,Planilha2!B:C,2,0)</f>
        <v>INVERSOR EUCFW110070T2OFAZ</v>
      </c>
      <c r="C1017" t="s">
        <v>1</v>
      </c>
      <c r="D1017" t="str">
        <f>VLOOKUP(A1017,Planilha2!B:H,7,0)</f>
        <v>LINHA M1</v>
      </c>
      <c r="E1017" s="5">
        <v>18000</v>
      </c>
      <c r="F1017">
        <f>IFERROR(
IF(ISNUMBER(FIND("CFW110",B1017)),
VALUE(MID(B1017,FIND("CFW110",B1017)+6,FIND("T",B1017,FIND("CFW110",B1017))-(FIND("CFW110",B1017)+6))),
IF(ISNUMBER(FIND("D",B1017)),
VALUE(SUBSTITUTE(MID(B1017,FIND("D",B1017)+1,FIND("T",B1017,FIND("D",B1017))-(FIND("D",B1017)+1)),"P",",")),
IF(ISNUMBER(FIND("CFW5",B1017)),
VALUE(MID(B1017,
IF(ISNUMBER(FIND("F",B1017)),FIND("F",B1017)+1,FIND("G",B1017)+1),
FIND("T",B1017)-(IF(ISNUMBER(FIND("F",B1017)),FIND("F",B1017)+1,FIND("G",B1017)+1))
)),
VALUE(MID(B1017,FIND("E0",B1017)+2,FIND("T",B1017,FIND("E0",B1017))-(FIND("E0",B1017)+2)))
))),"")</f>
        <v>70</v>
      </c>
      <c r="G1017">
        <f>IFERROR(
IF(ISNUMBER(FIND("T2",B1017)),220,
IF(ISNUMBER(FIND("T4",B1017)),440,
IF(ISNUMBER(FIND("T5",B1017)),575,
IF(ISNUMBER(FIND("T6",B1017)),690,"")))),
"")</f>
        <v>220</v>
      </c>
    </row>
    <row r="1018" spans="1:7" x14ac:dyDescent="0.25">
      <c r="A1018">
        <v>10574787</v>
      </c>
      <c r="B1018" t="str">
        <f>VLOOKUP(A1018,Planilha2!B:C,2,0)</f>
        <v>INVERSOR EUCFW110086T2OFAZ</v>
      </c>
      <c r="C1018" t="s">
        <v>1</v>
      </c>
      <c r="D1018" t="str">
        <f>VLOOKUP(A1018,Planilha2!B:H,7,0)</f>
        <v>LINHA M3</v>
      </c>
      <c r="E1018" s="5">
        <v>29500</v>
      </c>
      <c r="F1018">
        <f>IFERROR(
IF(ISNUMBER(FIND("CFW110",B1018)),
VALUE(MID(B1018,FIND("CFW110",B1018)+6,FIND("T",B1018,FIND("CFW110",B1018))-(FIND("CFW110",B1018)+6))),
IF(ISNUMBER(FIND("D",B1018)),
VALUE(SUBSTITUTE(MID(B1018,FIND("D",B1018)+1,FIND("T",B1018,FIND("D",B1018))-(FIND("D",B1018)+1)),"P",",")),
IF(ISNUMBER(FIND("CFW5",B1018)),
VALUE(MID(B1018,
IF(ISNUMBER(FIND("F",B1018)),FIND("F",B1018)+1,FIND("G",B1018)+1),
FIND("T",B1018)-(IF(ISNUMBER(FIND("F",B1018)),FIND("F",B1018)+1,FIND("G",B1018)+1))
)),
VALUE(MID(B1018,FIND("E0",B1018)+2,FIND("T",B1018,FIND("E0",B1018))-(FIND("E0",B1018)+2)))
))),"")</f>
        <v>86</v>
      </c>
      <c r="G1018">
        <f>IFERROR(
IF(ISNUMBER(FIND("T2",B1018)),220,
IF(ISNUMBER(FIND("T4",B1018)),440,
IF(ISNUMBER(FIND("T5",B1018)),575,
IF(ISNUMBER(FIND("T6",B1018)),690,"")))),
"")</f>
        <v>220</v>
      </c>
    </row>
    <row r="1019" spans="1:7" x14ac:dyDescent="0.25">
      <c r="A1019">
        <v>10574788</v>
      </c>
      <c r="B1019" t="str">
        <f>VLOOKUP(A1019,Planilha2!B:C,2,0)</f>
        <v>INVERSOR EUCFW110105T2OFAZ</v>
      </c>
      <c r="C1019" t="s">
        <v>1</v>
      </c>
      <c r="D1019" t="str">
        <f>VLOOKUP(A1019,Planilha2!B:H,7,0)</f>
        <v>LINHA M3</v>
      </c>
      <c r="E1019" s="5">
        <v>31400</v>
      </c>
      <c r="F1019">
        <f>IFERROR(
IF(ISNUMBER(FIND("CFW110",B1019)),
VALUE(MID(B1019,FIND("CFW110",B1019)+6,FIND("T",B1019,FIND("CFW110",B1019))-(FIND("CFW110",B1019)+6))),
IF(ISNUMBER(FIND("D",B1019)),
VALUE(SUBSTITUTE(MID(B1019,FIND("D",B1019)+1,FIND("T",B1019,FIND("D",B1019))-(FIND("D",B1019)+1)),"P",",")),
IF(ISNUMBER(FIND("CFW5",B1019)),
VALUE(MID(B1019,
IF(ISNUMBER(FIND("F",B1019)),FIND("F",B1019)+1,FIND("G",B1019)+1),
FIND("T",B1019)-(IF(ISNUMBER(FIND("F",B1019)),FIND("F",B1019)+1,FIND("G",B1019)+1))
)),
VALUE(MID(B1019,FIND("E0",B1019)+2,FIND("T",B1019,FIND("E0",B1019))-(FIND("E0",B1019)+2)))
))),"")</f>
        <v>105</v>
      </c>
      <c r="G1019">
        <f>IFERROR(
IF(ISNUMBER(FIND("T2",B1019)),220,
IF(ISNUMBER(FIND("T4",B1019)),440,
IF(ISNUMBER(FIND("T5",B1019)),575,
IF(ISNUMBER(FIND("T6",B1019)),690,"")))),
"")</f>
        <v>220</v>
      </c>
    </row>
    <row r="1020" spans="1:7" x14ac:dyDescent="0.25">
      <c r="A1020">
        <v>12095345</v>
      </c>
      <c r="B1020" t="str">
        <f>VLOOKUP(A1020,Planilha2!B:C,2,0)</f>
        <v>INVERSOR SACFW110070T4OYWZ</v>
      </c>
      <c r="C1020" t="s">
        <v>1</v>
      </c>
      <c r="D1020" t="str">
        <f>VLOOKUP(A1020,Planilha2!B:H,7,0)</f>
        <v>LINHA M3</v>
      </c>
      <c r="E1020" s="5">
        <v>26000</v>
      </c>
      <c r="F1020">
        <f>IFERROR(
IF(ISNUMBER(FIND("CFW110",B1020)),
VALUE(MID(B1020,FIND("CFW110",B1020)+6,FIND("T",B1020,FIND("CFW110",B1020))-(FIND("CFW110",B1020)+6))),
IF(ISNUMBER(FIND("D",B1020)),
VALUE(SUBSTITUTE(MID(B1020,FIND("D",B1020)+1,FIND("T",B1020,FIND("D",B1020))-(FIND("D",B1020)+1)),"P",",")),
IF(ISNUMBER(FIND("CFW5",B1020)),
VALUE(MID(B1020,
IF(ISNUMBER(FIND("F",B1020)),FIND("F",B1020)+1,FIND("G",B1020)+1),
FIND("T",B1020)-(IF(ISNUMBER(FIND("F",B1020)),FIND("F",B1020)+1,FIND("G",B1020)+1))
)),
VALUE(MID(B1020,FIND("E0",B1020)+2,FIND("T",B1020,FIND("E0",B1020))-(FIND("E0",B1020)+2)))
))),"")</f>
        <v>70</v>
      </c>
      <c r="G1020">
        <f>IFERROR(
IF(ISNUMBER(FIND("T2",B1020)),220,
IF(ISNUMBER(FIND("T4",B1020)),440,
IF(ISNUMBER(FIND("T5",B1020)),575,
IF(ISNUMBER(FIND("T6",B1020)),690,"")))),
"")</f>
        <v>440</v>
      </c>
    </row>
    <row r="1021" spans="1:7" x14ac:dyDescent="0.25">
      <c r="A1021">
        <v>12096134</v>
      </c>
      <c r="B1021" t="str">
        <f>VLOOKUP(A1021,Planilha2!B:C,2,0)</f>
        <v>INVERSOR EUCFW110070T4OFAYWZ</v>
      </c>
      <c r="C1021" t="s">
        <v>1</v>
      </c>
      <c r="D1021" t="str">
        <f>VLOOKUP(A1021,Planilha2!B:H,7,0)</f>
        <v>LINHA M3</v>
      </c>
      <c r="E1021" s="5">
        <v>26000</v>
      </c>
      <c r="F1021">
        <f>IFERROR(
IF(ISNUMBER(FIND("CFW110",B1021)),
VALUE(MID(B1021,FIND("CFW110",B1021)+6,FIND("T",B1021,FIND("CFW110",B1021))-(FIND("CFW110",B1021)+6))),
IF(ISNUMBER(FIND("D",B1021)),
VALUE(SUBSTITUTE(MID(B1021,FIND("D",B1021)+1,FIND("T",B1021,FIND("D",B1021))-(FIND("D",B1021)+1)),"P",",")),
IF(ISNUMBER(FIND("CFW5",B1021)),
VALUE(MID(B1021,
IF(ISNUMBER(FIND("F",B1021)),FIND("F",B1021)+1,FIND("G",B1021)+1),
FIND("T",B1021)-(IF(ISNUMBER(FIND("F",B1021)),FIND("F",B1021)+1,FIND("G",B1021)+1))
)),
VALUE(MID(B1021,FIND("E0",B1021)+2,FIND("T",B1021,FIND("E0",B1021))-(FIND("E0",B1021)+2)))
))),"")</f>
        <v>70</v>
      </c>
      <c r="G1021">
        <f>IFERROR(
IF(ISNUMBER(FIND("T2",B1021)),220,
IF(ISNUMBER(FIND("T4",B1021)),440,
IF(ISNUMBER(FIND("T5",B1021)),575,
IF(ISNUMBER(FIND("T6",B1021)),690,"")))),
"")</f>
        <v>440</v>
      </c>
    </row>
    <row r="1022" spans="1:7" x14ac:dyDescent="0.25">
      <c r="A1022">
        <v>12095342</v>
      </c>
      <c r="B1022" t="str">
        <f>VLOOKUP(A1022,Planilha2!B:C,2,0)</f>
        <v>INVERSOR SACFW110045T4OYWZ</v>
      </c>
      <c r="C1022" t="s">
        <v>1</v>
      </c>
      <c r="D1022" t="str">
        <f>VLOOKUP(A1022,Planilha2!B:H,7,0)</f>
        <v>LINHA M1</v>
      </c>
      <c r="E1022" s="5">
        <v>4500</v>
      </c>
      <c r="F1022">
        <f>IFERROR(
IF(ISNUMBER(FIND("CFW110",B1022)),
VALUE(MID(B1022,FIND("CFW110",B1022)+6,FIND("T",B1022,FIND("CFW110",B1022))-(FIND("CFW110",B1022)+6))),
IF(ISNUMBER(FIND("D",B1022)),
VALUE(SUBSTITUTE(MID(B1022,FIND("D",B1022)+1,FIND("T",B1022,FIND("D",B1022))-(FIND("D",B1022)+1)),"P",",")),
IF(ISNUMBER(FIND("CFW5",B1022)),
VALUE(MID(B1022,
IF(ISNUMBER(FIND("F",B1022)),FIND("F",B1022)+1,FIND("G",B1022)+1),
FIND("T",B1022)-(IF(ISNUMBER(FIND("F",B1022)),FIND("F",B1022)+1,FIND("G",B1022)+1))
)),
VALUE(MID(B1022,FIND("E0",B1022)+2,FIND("T",B1022,FIND("E0",B1022))-(FIND("E0",B1022)+2)))
))),"")</f>
        <v>45</v>
      </c>
      <c r="G1022">
        <f>IFERROR(
IF(ISNUMBER(FIND("T2",B1022)),220,
IF(ISNUMBER(FIND("T4",B1022)),440,
IF(ISNUMBER(FIND("T5",B1022)),575,
IF(ISNUMBER(FIND("T6",B1022)),690,"")))),
"")</f>
        <v>440</v>
      </c>
    </row>
    <row r="1023" spans="1:7" x14ac:dyDescent="0.25">
      <c r="A1023">
        <v>12176437</v>
      </c>
      <c r="B1023" t="str">
        <f>VLOOKUP(A1023,Planilha2!B:C,2,0)</f>
        <v>INVERSOR EUCFW110070T4O54FAYZ</v>
      </c>
      <c r="C1023" t="s">
        <v>1</v>
      </c>
      <c r="D1023" t="str">
        <f>VLOOKUP(A1023,Planilha2!B:H,7,0)</f>
        <v>LINHA M3</v>
      </c>
      <c r="E1023" s="5">
        <v>26000</v>
      </c>
      <c r="F1023">
        <f>IFERROR(
IF(ISNUMBER(FIND("CFW110",B1023)),
VALUE(MID(B1023,FIND("CFW110",B1023)+6,FIND("T",B1023,FIND("CFW110",B1023))-(FIND("CFW110",B1023)+6))),
IF(ISNUMBER(FIND("D",B1023)),
VALUE(SUBSTITUTE(MID(B1023,FIND("D",B1023)+1,FIND("T",B1023,FIND("D",B1023))-(FIND("D",B1023)+1)),"P",",")),
IF(ISNUMBER(FIND("CFW5",B1023)),
VALUE(MID(B1023,
IF(ISNUMBER(FIND("F",B1023)),FIND("F",B1023)+1,FIND("G",B1023)+1),
FIND("T",B1023)-(IF(ISNUMBER(FIND("F",B1023)),FIND("F",B1023)+1,FIND("G",B1023)+1))
)),
VALUE(MID(B1023,FIND("E0",B1023)+2,FIND("T",B1023,FIND("E0",B1023))-(FIND("E0",B1023)+2)))
))),"")</f>
        <v>70</v>
      </c>
      <c r="G1023">
        <f>IFERROR(
IF(ISNUMBER(FIND("T2",B1023)),220,
IF(ISNUMBER(FIND("T4",B1023)),440,
IF(ISNUMBER(FIND("T5",B1023)),575,
IF(ISNUMBER(FIND("T6",B1023)),690,"")))),
"")</f>
        <v>440</v>
      </c>
    </row>
    <row r="1024" spans="1:7" x14ac:dyDescent="0.25">
      <c r="A1024">
        <v>11995931</v>
      </c>
      <c r="B1024" t="str">
        <f>VLOOKUP(A1024,Planilha2!B:C,2,0)</f>
        <v>INVERSOR SACFW110002T5ONFZ</v>
      </c>
      <c r="C1024" t="s">
        <v>1</v>
      </c>
      <c r="D1024" t="str">
        <f>VLOOKUP(A1024,Planilha2!B:H,7,0)</f>
        <v>LINHA P7</v>
      </c>
      <c r="E1024" s="5">
        <v>26000</v>
      </c>
      <c r="F1024">
        <f>IFERROR(
IF(ISNUMBER(FIND("CFW110",B1024)),
VALUE(MID(B1024,FIND("CFW110",B1024)+6,FIND("T",B1024,FIND("CFW110",B1024))-(FIND("CFW110",B1024)+6))),
IF(ISNUMBER(FIND("D",B1024)),
VALUE(SUBSTITUTE(MID(B1024,FIND("D",B1024)+1,FIND("T",B1024,FIND("D",B1024))-(FIND("D",B1024)+1)),"P",",")),
IF(ISNUMBER(FIND("CFW5",B1024)),
VALUE(MID(B1024,
IF(ISNUMBER(FIND("F",B1024)),FIND("F",B1024)+1,FIND("G",B1024)+1),
FIND("T",B1024)-(IF(ISNUMBER(FIND("F",B1024)),FIND("F",B1024)+1,FIND("G",B1024)+1))
)),
VALUE(MID(B1024,FIND("E0",B1024)+2,FIND("T",B1024,FIND("E0",B1024))-(FIND("E0",B1024)+2)))
))),"")</f>
        <v>2</v>
      </c>
      <c r="G1024">
        <f>IFERROR(
IF(ISNUMBER(FIND("T2",B1024)),220,
IF(ISNUMBER(FIND("T4",B1024)),440,
IF(ISNUMBER(FIND("T5",B1024)),575,
IF(ISNUMBER(FIND("T6",B1024)),690,"")))),
"")</f>
        <v>575</v>
      </c>
    </row>
    <row r="1025" spans="1:7" x14ac:dyDescent="0.25">
      <c r="A1025">
        <v>12161871</v>
      </c>
      <c r="B1025" t="str">
        <f>VLOOKUP(A1025,Planilha2!B:C,2,0)</f>
        <v>INVERSOR SACFW110017T5SZ</v>
      </c>
      <c r="C1025" t="s">
        <v>1</v>
      </c>
      <c r="D1025" t="str">
        <f>VLOOKUP(A1025,Planilha2!B:H,7,0)</f>
        <v>LINHA P7</v>
      </c>
      <c r="E1025" s="5">
        <v>26000</v>
      </c>
      <c r="F1025">
        <f>IFERROR(
IF(ISNUMBER(FIND("CFW110",B1025)),
VALUE(MID(B1025,FIND("CFW110",B1025)+6,FIND("T",B1025,FIND("CFW110",B1025))-(FIND("CFW110",B1025)+6))),
IF(ISNUMBER(FIND("D",B1025)),
VALUE(SUBSTITUTE(MID(B1025,FIND("D",B1025)+1,FIND("T",B1025,FIND("D",B1025))-(FIND("D",B1025)+1)),"P",",")),
IF(ISNUMBER(FIND("CFW5",B1025)),
VALUE(MID(B1025,
IF(ISNUMBER(FIND("F",B1025)),FIND("F",B1025)+1,FIND("G",B1025)+1),
FIND("T",B1025)-(IF(ISNUMBER(FIND("F",B1025)),FIND("F",B1025)+1,FIND("G",B1025)+1))
)),
VALUE(MID(B1025,FIND("E0",B1025)+2,FIND("T",B1025,FIND("E0",B1025))-(FIND("E0",B1025)+2)))
))),"")</f>
        <v>17</v>
      </c>
      <c r="G1025">
        <f>IFERROR(
IF(ISNUMBER(FIND("T2",B1025)),220,
IF(ISNUMBER(FIND("T4",B1025)),440,
IF(ISNUMBER(FIND("T5",B1025)),575,
IF(ISNUMBER(FIND("T6",B1025)),690,"")))),
"")</f>
        <v>575</v>
      </c>
    </row>
    <row r="1026" spans="1:7" x14ac:dyDescent="0.25">
      <c r="A1026">
        <v>11995935</v>
      </c>
      <c r="B1026" t="str">
        <f>VLOOKUP(A1026,Planilha2!B:C,2,0)</f>
        <v>INVERSOR SACFW110004T5ONFZ</v>
      </c>
      <c r="C1026" t="s">
        <v>1</v>
      </c>
      <c r="D1026" t="str">
        <f>VLOOKUP(A1026,Planilha2!B:H,7,0)</f>
        <v>LINHA P7</v>
      </c>
      <c r="E1026" s="5">
        <v>26000</v>
      </c>
      <c r="F1026">
        <f>IFERROR(
IF(ISNUMBER(FIND("CFW110",B1026)),
VALUE(MID(B1026,FIND("CFW110",B1026)+6,FIND("T",B1026,FIND("CFW110",B1026))-(FIND("CFW110",B1026)+6))),
IF(ISNUMBER(FIND("D",B1026)),
VALUE(SUBSTITUTE(MID(B1026,FIND("D",B1026)+1,FIND("T",B1026,FIND("D",B1026))-(FIND("D",B1026)+1)),"P",",")),
IF(ISNUMBER(FIND("CFW5",B1026)),
VALUE(MID(B1026,
IF(ISNUMBER(FIND("F",B1026)),FIND("F",B1026)+1,FIND("G",B1026)+1),
FIND("T",B1026)-(IF(ISNUMBER(FIND("F",B1026)),FIND("F",B1026)+1,FIND("G",B1026)+1))
)),
VALUE(MID(B1026,FIND("E0",B1026)+2,FIND("T",B1026,FIND("E0",B1026))-(FIND("E0",B1026)+2)))
))),"")</f>
        <v>4</v>
      </c>
      <c r="G1026">
        <f>IFERROR(
IF(ISNUMBER(FIND("T2",B1026)),220,
IF(ISNUMBER(FIND("T4",B1026)),440,
IF(ISNUMBER(FIND("T5",B1026)),575,
IF(ISNUMBER(FIND("T6",B1026)),690,"")))),
"")</f>
        <v>575</v>
      </c>
    </row>
    <row r="1027" spans="1:7" x14ac:dyDescent="0.25">
      <c r="A1027">
        <v>11988663</v>
      </c>
      <c r="B1027" t="str">
        <f>VLOOKUP(A1027,Planilha2!B:C,2,0)</f>
        <v>INVERSOR SACFW110017T6ONBZ</v>
      </c>
      <c r="C1027" t="s">
        <v>1</v>
      </c>
      <c r="D1027" t="str">
        <f>VLOOKUP(A1027,Planilha2!B:H,7,0)</f>
        <v>LINHA M3</v>
      </c>
      <c r="E1027" s="5">
        <v>26000</v>
      </c>
      <c r="F1027">
        <f>IFERROR(
IF(ISNUMBER(FIND("CFW110",B1027)),
VALUE(MID(B1027,FIND("CFW110",B1027)+6,FIND("T",B1027,FIND("CFW110",B1027))-(FIND("CFW110",B1027)+6))),
IF(ISNUMBER(FIND("D",B1027)),
VALUE(SUBSTITUTE(MID(B1027,FIND("D",B1027)+1,FIND("T",B1027,FIND("D",B1027))-(FIND("D",B1027)+1)),"P",",")),
IF(ISNUMBER(FIND("CFW5",B1027)),
VALUE(MID(B1027,
IF(ISNUMBER(FIND("F",B1027)),FIND("F",B1027)+1,FIND("G",B1027)+1),
FIND("T",B1027)-(IF(ISNUMBER(FIND("F",B1027)),FIND("F",B1027)+1,FIND("G",B1027)+1))
)),
VALUE(MID(B1027,FIND("E0",B1027)+2,FIND("T",B1027,FIND("E0",B1027))-(FIND("E0",B1027)+2)))
))),"")</f>
        <v>17</v>
      </c>
      <c r="G1027">
        <f>IFERROR(
IF(ISNUMBER(FIND("T2",B1027)),220,
IF(ISNUMBER(FIND("T4",B1027)),440,
IF(ISNUMBER(FIND("T5",B1027)),575,
IF(ISNUMBER(FIND("T6",B1027)),690,"")))),
"")</f>
        <v>690</v>
      </c>
    </row>
    <row r="1028" spans="1:7" x14ac:dyDescent="0.25">
      <c r="A1028">
        <v>11988658</v>
      </c>
      <c r="B1028" t="str">
        <f>VLOOKUP(A1028,Planilha2!B:C,2,0)</f>
        <v>INVERSOR SACFW110012T6ONBZ</v>
      </c>
      <c r="C1028" t="s">
        <v>1</v>
      </c>
      <c r="D1028" t="str">
        <f>VLOOKUP(A1028,Planilha2!B:H,7,0)</f>
        <v>LINHA M3</v>
      </c>
      <c r="E1028" s="5">
        <v>26000</v>
      </c>
      <c r="F1028">
        <f>IFERROR(
IF(ISNUMBER(FIND("CFW110",B1028)),
VALUE(MID(B1028,FIND("CFW110",B1028)+6,FIND("T",B1028,FIND("CFW110",B1028))-(FIND("CFW110",B1028)+6))),
IF(ISNUMBER(FIND("D",B1028)),
VALUE(SUBSTITUTE(MID(B1028,FIND("D",B1028)+1,FIND("T",B1028,FIND("D",B1028))-(FIND("D",B1028)+1)),"P",",")),
IF(ISNUMBER(FIND("CFW5",B1028)),
VALUE(MID(B1028,
IF(ISNUMBER(FIND("F",B1028)),FIND("F",B1028)+1,FIND("G",B1028)+1),
FIND("T",B1028)-(IF(ISNUMBER(FIND("F",B1028)),FIND("F",B1028)+1,FIND("G",B1028)+1))
)),
VALUE(MID(B1028,FIND("E0",B1028)+2,FIND("T",B1028,FIND("E0",B1028))-(FIND("E0",B1028)+2)))
))),"")</f>
        <v>12</v>
      </c>
      <c r="G1028">
        <f>IFERROR(
IF(ISNUMBER(FIND("T2",B1028)),220,
IF(ISNUMBER(FIND("T4",B1028)),440,
IF(ISNUMBER(FIND("T5",B1028)),575,
IF(ISNUMBER(FIND("T6",B1028)),690,"")))),
"")</f>
        <v>690</v>
      </c>
    </row>
    <row r="1029" spans="1:7" x14ac:dyDescent="0.25">
      <c r="A1029">
        <v>11988636</v>
      </c>
      <c r="B1029" t="str">
        <f>VLOOKUP(A1029,Planilha2!B:C,2,0)</f>
        <v>INVERSOR SACFW110010T6ONBZ</v>
      </c>
      <c r="C1029" t="s">
        <v>1</v>
      </c>
      <c r="D1029" t="str">
        <f>VLOOKUP(A1029,Planilha2!B:H,7,0)</f>
        <v>LINHA M3</v>
      </c>
      <c r="E1029" s="5">
        <v>26000</v>
      </c>
      <c r="F1029">
        <f>IFERROR(
IF(ISNUMBER(FIND("CFW110",B1029)),
VALUE(MID(B1029,FIND("CFW110",B1029)+6,FIND("T",B1029,FIND("CFW110",B1029))-(FIND("CFW110",B1029)+6))),
IF(ISNUMBER(FIND("D",B1029)),
VALUE(SUBSTITUTE(MID(B1029,FIND("D",B1029)+1,FIND("T",B1029,FIND("D",B1029))-(FIND("D",B1029)+1)),"P",",")),
IF(ISNUMBER(FIND("CFW5",B1029)),
VALUE(MID(B1029,
IF(ISNUMBER(FIND("F",B1029)),FIND("F",B1029)+1,FIND("G",B1029)+1),
FIND("T",B1029)-(IF(ISNUMBER(FIND("F",B1029)),FIND("F",B1029)+1,FIND("G",B1029)+1))
)),
VALUE(MID(B1029,FIND("E0",B1029)+2,FIND("T",B1029,FIND("E0",B1029))-(FIND("E0",B1029)+2)))
))),"")</f>
        <v>10</v>
      </c>
      <c r="G1029">
        <f>IFERROR(
IF(ISNUMBER(FIND("T2",B1029)),220,
IF(ISNUMBER(FIND("T4",B1029)),440,
IF(ISNUMBER(FIND("T5",B1029)),575,
IF(ISNUMBER(FIND("T6",B1029)),690,"")))),
"")</f>
        <v>690</v>
      </c>
    </row>
    <row r="1030" spans="1:7" x14ac:dyDescent="0.25">
      <c r="A1030">
        <v>11988632</v>
      </c>
      <c r="B1030" t="str">
        <f>VLOOKUP(A1030,Planilha2!B:C,2,0)</f>
        <v>INVERSOR SACFW110007T6ONBZ</v>
      </c>
      <c r="C1030" t="s">
        <v>1</v>
      </c>
      <c r="D1030" t="str">
        <f>VLOOKUP(A1030,Planilha2!B:H,7,0)</f>
        <v>LINHA M3</v>
      </c>
      <c r="E1030" s="5">
        <v>26000</v>
      </c>
      <c r="F1030">
        <f>IFERROR(
IF(ISNUMBER(FIND("CFW110",B1030)),
VALUE(MID(B1030,FIND("CFW110",B1030)+6,FIND("T",B1030,FIND("CFW110",B1030))-(FIND("CFW110",B1030)+6))),
IF(ISNUMBER(FIND("D",B1030)),
VALUE(SUBSTITUTE(MID(B1030,FIND("D",B1030)+1,FIND("T",B1030,FIND("D",B1030))-(FIND("D",B1030)+1)),"P",",")),
IF(ISNUMBER(FIND("CFW5",B1030)),
VALUE(MID(B1030,
IF(ISNUMBER(FIND("F",B1030)),FIND("F",B1030)+1,FIND("G",B1030)+1),
FIND("T",B1030)-(IF(ISNUMBER(FIND("F",B1030)),FIND("F",B1030)+1,FIND("G",B1030)+1))
)),
VALUE(MID(B1030,FIND("E0",B1030)+2,FIND("T",B1030,FIND("E0",B1030))-(FIND("E0",B1030)+2)))
))),"")</f>
        <v>7</v>
      </c>
      <c r="G1030">
        <f>IFERROR(
IF(ISNUMBER(FIND("T2",B1030)),220,
IF(ISNUMBER(FIND("T4",B1030)),440,
IF(ISNUMBER(FIND("T5",B1030)),575,
IF(ISNUMBER(FIND("T6",B1030)),690,"")))),
"")</f>
        <v>690</v>
      </c>
    </row>
    <row r="1031" spans="1:7" x14ac:dyDescent="0.25">
      <c r="A1031">
        <v>11988346</v>
      </c>
      <c r="B1031" t="str">
        <f>VLOOKUP(A1031,Planilha2!B:C,2,0)</f>
        <v>INVERSOR SACFW110004T6ONBZ</v>
      </c>
      <c r="C1031" t="s">
        <v>1</v>
      </c>
      <c r="D1031" t="str">
        <f>VLOOKUP(A1031,Planilha2!B:H,7,0)</f>
        <v>LINHA M3</v>
      </c>
      <c r="E1031" s="5">
        <v>26000</v>
      </c>
      <c r="F1031">
        <f>IFERROR(
IF(ISNUMBER(FIND("CFW110",B1031)),
VALUE(MID(B1031,FIND("CFW110",B1031)+6,FIND("T",B1031,FIND("CFW110",B1031))-(FIND("CFW110",B1031)+6))),
IF(ISNUMBER(FIND("D",B1031)),
VALUE(SUBSTITUTE(MID(B1031,FIND("D",B1031)+1,FIND("T",B1031,FIND("D",B1031))-(FIND("D",B1031)+1)),"P",",")),
IF(ISNUMBER(FIND("CFW5",B1031)),
VALUE(MID(B1031,
IF(ISNUMBER(FIND("F",B1031)),FIND("F",B1031)+1,FIND("G",B1031)+1),
FIND("T",B1031)-(IF(ISNUMBER(FIND("F",B1031)),FIND("F",B1031)+1,FIND("G",B1031)+1))
)),
VALUE(MID(B1031,FIND("E0",B1031)+2,FIND("T",B1031,FIND("E0",B1031))-(FIND("E0",B1031)+2)))
))),"")</f>
        <v>4</v>
      </c>
      <c r="G1031">
        <f>IFERROR(
IF(ISNUMBER(FIND("T2",B1031)),220,
IF(ISNUMBER(FIND("T4",B1031)),440,
IF(ISNUMBER(FIND("T5",B1031)),575,
IF(ISNUMBER(FIND("T6",B1031)),690,"")))),
"")</f>
        <v>690</v>
      </c>
    </row>
    <row r="1032" spans="1:7" x14ac:dyDescent="0.25">
      <c r="A1032">
        <v>11987816</v>
      </c>
      <c r="B1032" t="str">
        <f>VLOOKUP(A1032,Planilha2!B:C,2,0)</f>
        <v>INVERSOR SACFW110002T6ONBZ</v>
      </c>
      <c r="C1032" t="s">
        <v>1</v>
      </c>
      <c r="D1032" t="str">
        <f>VLOOKUP(A1032,Planilha2!B:H,7,0)</f>
        <v>LINHA M3</v>
      </c>
      <c r="E1032" s="5">
        <v>26000</v>
      </c>
      <c r="F1032">
        <f>IFERROR(
IF(ISNUMBER(FIND("CFW110",B1032)),
VALUE(MID(B1032,FIND("CFW110",B1032)+6,FIND("T",B1032,FIND("CFW110",B1032))-(FIND("CFW110",B1032)+6))),
IF(ISNUMBER(FIND("D",B1032)),
VALUE(SUBSTITUTE(MID(B1032,FIND("D",B1032)+1,FIND("T",B1032,FIND("D",B1032))-(FIND("D",B1032)+1)),"P",",")),
IF(ISNUMBER(FIND("CFW5",B1032)),
VALUE(MID(B1032,
IF(ISNUMBER(FIND("F",B1032)),FIND("F",B1032)+1,FIND("G",B1032)+1),
FIND("T",B1032)-(IF(ISNUMBER(FIND("F",B1032)),FIND("F",B1032)+1,FIND("G",B1032)+1))
)),
VALUE(MID(B1032,FIND("E0",B1032)+2,FIND("T",B1032,FIND("E0",B1032))-(FIND("E0",B1032)+2)))
))),"")</f>
        <v>2</v>
      </c>
      <c r="G1032">
        <f>IFERROR(
IF(ISNUMBER(FIND("T2",B1032)),220,
IF(ISNUMBER(FIND("T4",B1032)),440,
IF(ISNUMBER(FIND("T5",B1032)),575,
IF(ISNUMBER(FIND("T6",B1032)),690,"")))),
"")</f>
        <v>690</v>
      </c>
    </row>
    <row r="1033" spans="1:7" x14ac:dyDescent="0.25">
      <c r="A1033">
        <v>12095324</v>
      </c>
      <c r="B1033" t="str">
        <f>VLOOKUP(A1033,Planilha2!B:C,2,0)</f>
        <v>INVERSOR SACFW110003T4OYWZ</v>
      </c>
      <c r="C1033" t="s">
        <v>1</v>
      </c>
      <c r="D1033" t="str">
        <f>VLOOKUP(A1033,Planilha2!B:H,7,0)</f>
        <v>LINHA P5</v>
      </c>
      <c r="E1033" s="5">
        <v>5700</v>
      </c>
      <c r="F1033">
        <f>IFERROR(
IF(ISNUMBER(FIND("CFW110",B1033)),
VALUE(MID(B1033,FIND("CFW110",B1033)+6,FIND("T",B1033,FIND("CFW110",B1033))-(FIND("CFW110",B1033)+6))),
IF(ISNUMBER(FIND("D",B1033)),
VALUE(SUBSTITUTE(MID(B1033,FIND("D",B1033)+1,FIND("T",B1033,FIND("D",B1033))-(FIND("D",B1033)+1)),"P",",")),
IF(ISNUMBER(FIND("CFW5",B1033)),
VALUE(MID(B1033,
IF(ISNUMBER(FIND("F",B1033)),FIND("F",B1033)+1,FIND("G",B1033)+1),
FIND("T",B1033)-(IF(ISNUMBER(FIND("F",B1033)),FIND("F",B1033)+1,FIND("G",B1033)+1))
)),
VALUE(MID(B1033,FIND("E0",B1033)+2,FIND("T",B1033,FIND("E0",B1033))-(FIND("E0",B1033)+2)))
))),"")</f>
        <v>3</v>
      </c>
      <c r="G1033">
        <f>IFERROR(
IF(ISNUMBER(FIND("T2",B1033)),220,
IF(ISNUMBER(FIND("T4",B1033)),440,
IF(ISNUMBER(FIND("T5",B1033)),575,
IF(ISNUMBER(FIND("T6",B1033)),690,"")))),
"")</f>
        <v>440</v>
      </c>
    </row>
    <row r="1034" spans="1:7" x14ac:dyDescent="0.25">
      <c r="A1034">
        <v>12095327</v>
      </c>
      <c r="B1034" t="str">
        <f>VLOOKUP(A1034,Planilha2!B:C,2,0)</f>
        <v>INVERSOR SACFW110005T4OYWZ</v>
      </c>
      <c r="C1034" t="s">
        <v>1</v>
      </c>
      <c r="D1034" t="str">
        <f>VLOOKUP(A1034,Planilha2!B:H,7,0)</f>
        <v>LINHA P5</v>
      </c>
      <c r="E1034" s="5">
        <v>5900</v>
      </c>
      <c r="F1034">
        <f>IFERROR(
IF(ISNUMBER(FIND("CFW110",B1034)),
VALUE(MID(B1034,FIND("CFW110",B1034)+6,FIND("T",B1034,FIND("CFW110",B1034))-(FIND("CFW110",B1034)+6))),
IF(ISNUMBER(FIND("D",B1034)),
VALUE(SUBSTITUTE(MID(B1034,FIND("D",B1034)+1,FIND("T",B1034,FIND("D",B1034))-(FIND("D",B1034)+1)),"P",",")),
IF(ISNUMBER(FIND("CFW5",B1034)),
VALUE(MID(B1034,
IF(ISNUMBER(FIND("F",B1034)),FIND("F",B1034)+1,FIND("G",B1034)+1),
FIND("T",B1034)-(IF(ISNUMBER(FIND("F",B1034)),FIND("F",B1034)+1,FIND("G",B1034)+1))
)),
VALUE(MID(B1034,FIND("E0",B1034)+2,FIND("T",B1034,FIND("E0",B1034))-(FIND("E0",B1034)+2)))
))),"")</f>
        <v>5</v>
      </c>
      <c r="G1034">
        <f>IFERROR(
IF(ISNUMBER(FIND("T2",B1034)),220,
IF(ISNUMBER(FIND("T4",B1034)),440,
IF(ISNUMBER(FIND("T5",B1034)),575,
IF(ISNUMBER(FIND("T6",B1034)),690,"")))),
"")</f>
        <v>440</v>
      </c>
    </row>
    <row r="1035" spans="1:7" x14ac:dyDescent="0.25">
      <c r="A1035">
        <v>12095339</v>
      </c>
      <c r="B1035" t="str">
        <f>VLOOKUP(A1035,Planilha2!B:C,2,0)</f>
        <v>INVERSOR SACFW110007T4OYWZ</v>
      </c>
      <c r="C1035" t="s">
        <v>1</v>
      </c>
      <c r="D1035" t="str">
        <f>VLOOKUP(A1035,Planilha2!B:H,7,0)</f>
        <v>LINHA P5</v>
      </c>
      <c r="E1035" s="5">
        <v>5900</v>
      </c>
      <c r="F1035">
        <f>IFERROR(
IF(ISNUMBER(FIND("CFW110",B1035)),
VALUE(MID(B1035,FIND("CFW110",B1035)+6,FIND("T",B1035,FIND("CFW110",B1035))-(FIND("CFW110",B1035)+6))),
IF(ISNUMBER(FIND("D",B1035)),
VALUE(SUBSTITUTE(MID(B1035,FIND("D",B1035)+1,FIND("T",B1035,FIND("D",B1035))-(FIND("D",B1035)+1)),"P",",")),
IF(ISNUMBER(FIND("CFW5",B1035)),
VALUE(MID(B1035,
IF(ISNUMBER(FIND("F",B1035)),FIND("F",B1035)+1,FIND("G",B1035)+1),
FIND("T",B1035)-(IF(ISNUMBER(FIND("F",B1035)),FIND("F",B1035)+1,FIND("G",B1035)+1))
)),
VALUE(MID(B1035,FIND("E0",B1035)+2,FIND("T",B1035,FIND("E0",B1035))-(FIND("E0",B1035)+2)))
))),"")</f>
        <v>7</v>
      </c>
      <c r="G1035">
        <f>IFERROR(
IF(ISNUMBER(FIND("T2",B1035)),220,
IF(ISNUMBER(FIND("T4",B1035)),440,
IF(ISNUMBER(FIND("T5",B1035)),575,
IF(ISNUMBER(FIND("T6",B1035)),690,"")))),
"")</f>
        <v>440</v>
      </c>
    </row>
    <row r="1036" spans="1:7" x14ac:dyDescent="0.25">
      <c r="A1036">
        <v>12176435</v>
      </c>
      <c r="B1036" t="str">
        <f>VLOOKUP(A1036,Planilha2!B:C,2,0)</f>
        <v>INVERSOR EUCFW110045T4O54FAYZ</v>
      </c>
      <c r="C1036" t="s">
        <v>1</v>
      </c>
      <c r="D1036" t="str">
        <f>VLOOKUP(A1036,Planilha2!B:H,7,0)</f>
        <v>LINHA M3</v>
      </c>
      <c r="E1036" s="5">
        <v>17500</v>
      </c>
      <c r="F1036">
        <f>IFERROR(
IF(ISNUMBER(FIND("CFW110",B1036)),
VALUE(MID(B1036,FIND("CFW110",B1036)+6,FIND("T",B1036,FIND("CFW110",B1036))-(FIND("CFW110",B1036)+6))),
IF(ISNUMBER(FIND("D",B1036)),
VALUE(SUBSTITUTE(MID(B1036,FIND("D",B1036)+1,FIND("T",B1036,FIND("D",B1036))-(FIND("D",B1036)+1)),"P",",")),
IF(ISNUMBER(FIND("CFW5",B1036)),
VALUE(MID(B1036,
IF(ISNUMBER(FIND("F",B1036)),FIND("F",B1036)+1,FIND("G",B1036)+1),
FIND("T",B1036)-(IF(ISNUMBER(FIND("F",B1036)),FIND("F",B1036)+1,FIND("G",B1036)+1))
)),
VALUE(MID(B1036,FIND("E0",B1036)+2,FIND("T",B1036,FIND("E0",B1036))-(FIND("E0",B1036)+2)))
))),"")</f>
        <v>45</v>
      </c>
      <c r="G1036">
        <f>IFERROR(
IF(ISNUMBER(FIND("T2",B1036)),220,
IF(ISNUMBER(FIND("T4",B1036)),440,
IF(ISNUMBER(FIND("T5",B1036)),575,
IF(ISNUMBER(FIND("T6",B1036)),690,"")))),
"")</f>
        <v>440</v>
      </c>
    </row>
    <row r="1037" spans="1:7" x14ac:dyDescent="0.25">
      <c r="A1037">
        <v>12176433</v>
      </c>
      <c r="B1037" t="str">
        <f>VLOOKUP(A1037,Planilha2!B:C,2,0)</f>
        <v>INVERSOR EUCFW110038T4O54FAYZ</v>
      </c>
      <c r="C1037" t="s">
        <v>1</v>
      </c>
      <c r="D1037" t="str">
        <f>VLOOKUP(A1037,Planilha2!B:H,7,0)</f>
        <v>LINHA M3</v>
      </c>
      <c r="E1037" s="5">
        <v>4500</v>
      </c>
      <c r="F1037">
        <f>IFERROR(
IF(ISNUMBER(FIND("CFW110",B1037)),
VALUE(MID(B1037,FIND("CFW110",B1037)+6,FIND("T",B1037,FIND("CFW110",B1037))-(FIND("CFW110",B1037)+6))),
IF(ISNUMBER(FIND("D",B1037)),
VALUE(SUBSTITUTE(MID(B1037,FIND("D",B1037)+1,FIND("T",B1037,FIND("D",B1037))-(FIND("D",B1037)+1)),"P",",")),
IF(ISNUMBER(FIND("CFW5",B1037)),
VALUE(MID(B1037,
IF(ISNUMBER(FIND("F",B1037)),FIND("F",B1037)+1,FIND("G",B1037)+1),
FIND("T",B1037)-(IF(ISNUMBER(FIND("F",B1037)),FIND("F",B1037)+1,FIND("G",B1037)+1))
)),
VALUE(MID(B1037,FIND("E0",B1037)+2,FIND("T",B1037,FIND("E0",B1037))-(FIND("E0",B1037)+2)))
))),"")</f>
        <v>38</v>
      </c>
      <c r="G1037">
        <f>IFERROR(
IF(ISNUMBER(FIND("T2",B1037)),220,
IF(ISNUMBER(FIND("T4",B1037)),440,
IF(ISNUMBER(FIND("T5",B1037)),575,
IF(ISNUMBER(FIND("T6",B1037)),690,"")))),
"")</f>
        <v>440</v>
      </c>
    </row>
    <row r="1038" spans="1:7" x14ac:dyDescent="0.25">
      <c r="A1038">
        <v>12203255</v>
      </c>
      <c r="B1038" t="str">
        <f>VLOOKUP(A1038,Planilha2!B:C,2,0)</f>
        <v>INVERSOR CFW701B17P0T5DB20C3</v>
      </c>
      <c r="C1038" t="s">
        <v>1</v>
      </c>
      <c r="D1038" t="str">
        <f>VLOOKUP(A1038,Planilha2!B:H,7,0)</f>
        <v>OBSOLETOS DRIVES</v>
      </c>
      <c r="E1038" s="5">
        <v>4500</v>
      </c>
      <c r="F1038" t="str">
        <f>IFERROR(
IF(ISNUMBER(FIND("CFW110",B1038)),
VALUE(MID(B1038,FIND("CFW110",B1038)+6,FIND("T",B1038,FIND("CFW110",B1038))-(FIND("CFW110",B1038)+6))),
IF(ISNUMBER(FIND("D",B1038)),
VALUE(SUBSTITUTE(MID(B1038,FIND("D",B1038)+1,FIND("T",B1038,FIND("D",B1038))-(FIND("D",B1038)+1)),"P",",")),
IF(ISNUMBER(FIND("CFW5",B1038)),
VALUE(MID(B1038,
IF(ISNUMBER(FIND("F",B1038)),FIND("F",B1038)+1,FIND("G",B1038)+1),
FIND("T",B1038)-(IF(ISNUMBER(FIND("F",B1038)),FIND("F",B1038)+1,FIND("G",B1038)+1))
)),
VALUE(MID(B1038,FIND("E0",B1038)+2,FIND("T",B1038,FIND("E0",B1038))-(FIND("E0",B1038)+2)))
))),"")</f>
        <v/>
      </c>
      <c r="G1038">
        <f>IFERROR(
IF(ISNUMBER(FIND("T2",B1038)),220,
IF(ISNUMBER(FIND("T4",B1038)),440,
IF(ISNUMBER(FIND("T5",B1038)),575,
IF(ISNUMBER(FIND("T6",B1038)),690,"")))),
"")</f>
        <v>575</v>
      </c>
    </row>
    <row r="1039" spans="1:7" x14ac:dyDescent="0.25">
      <c r="A1039">
        <v>12203253</v>
      </c>
      <c r="B1039" t="str">
        <f>VLOOKUP(A1039,Planilha2!B:C,2,0)</f>
        <v>INVERSOR CFW701B12P0T5DB20C3</v>
      </c>
      <c r="C1039" t="s">
        <v>1</v>
      </c>
      <c r="D1039" t="str">
        <f>VLOOKUP(A1039,Planilha2!B:H,7,0)</f>
        <v>OBSOLETOS DRIVES</v>
      </c>
      <c r="E1039" s="5">
        <v>11440</v>
      </c>
      <c r="F1039" t="str">
        <f>IFERROR(
IF(ISNUMBER(FIND("CFW110",B1039)),
VALUE(MID(B1039,FIND("CFW110",B1039)+6,FIND("T",B1039,FIND("CFW110",B1039))-(FIND("CFW110",B1039)+6))),
IF(ISNUMBER(FIND("D",B1039)),
VALUE(SUBSTITUTE(MID(B1039,FIND("D",B1039)+1,FIND("T",B1039,FIND("D",B1039))-(FIND("D",B1039)+1)),"P",",")),
IF(ISNUMBER(FIND("CFW5",B1039)),
VALUE(MID(B1039,
IF(ISNUMBER(FIND("F",B1039)),FIND("F",B1039)+1,FIND("G",B1039)+1),
FIND("T",B1039)-(IF(ISNUMBER(FIND("F",B1039)),FIND("F",B1039)+1,FIND("G",B1039)+1))
)),
VALUE(MID(B1039,FIND("E0",B1039)+2,FIND("T",B1039,FIND("E0",B1039))-(FIND("E0",B1039)+2)))
))),"")</f>
        <v/>
      </c>
      <c r="G1039">
        <f>IFERROR(
IF(ISNUMBER(FIND("T2",B1039)),220,
IF(ISNUMBER(FIND("T4",B1039)),440,
IF(ISNUMBER(FIND("T5",B1039)),575,
IF(ISNUMBER(FIND("T6",B1039)),690,"")))),
"")</f>
        <v>575</v>
      </c>
    </row>
    <row r="1040" spans="1:7" x14ac:dyDescent="0.25">
      <c r="A1040">
        <v>12263710</v>
      </c>
      <c r="B1040" t="str">
        <f>VLOOKUP(A1040,Planilha2!B:C,2,0)</f>
        <v>INVERSOR CFW701D44P0T5NBN1C3</v>
      </c>
      <c r="C1040" t="s">
        <v>1</v>
      </c>
      <c r="D1040" t="str">
        <f>VLOOKUP(A1040,Planilha2!B:H,7,0)</f>
        <v>OBSOLETOS DRIVES</v>
      </c>
      <c r="E1040" s="5">
        <v>20000</v>
      </c>
      <c r="F1040">
        <f>IFERROR(
IF(ISNUMBER(FIND("CFW110",B1040)),
VALUE(MID(B1040,FIND("CFW110",B1040)+6,FIND("T",B1040,FIND("CFW110",B1040))-(FIND("CFW110",B1040)+6))),
IF(ISNUMBER(FIND("D",B1040)),
VALUE(SUBSTITUTE(MID(B1040,FIND("D",B1040)+1,FIND("T",B1040,FIND("D",B1040))-(FIND("D",B1040)+1)),"P",",")),
IF(ISNUMBER(FIND("CFW5",B1040)),
VALUE(MID(B1040,
IF(ISNUMBER(FIND("F",B1040)),FIND("F",B1040)+1,FIND("G",B1040)+1),
FIND("T",B1040)-(IF(ISNUMBER(FIND("F",B1040)),FIND("F",B1040)+1,FIND("G",B1040)+1))
)),
VALUE(MID(B1040,FIND("E0",B1040)+2,FIND("T",B1040,FIND("E0",B1040))-(FIND("E0",B1040)+2)))
))),"")</f>
        <v>44</v>
      </c>
      <c r="G1040">
        <f>IFERROR(
IF(ISNUMBER(FIND("T2",B1040)),220,
IF(ISNUMBER(FIND("T4",B1040)),440,
IF(ISNUMBER(FIND("T5",B1040)),575,
IF(ISNUMBER(FIND("T6",B1040)),690,"")))),
"")</f>
        <v>575</v>
      </c>
    </row>
    <row r="1041" spans="1:7" x14ac:dyDescent="0.25">
      <c r="A1041">
        <v>12263709</v>
      </c>
      <c r="B1041" t="str">
        <f>VLOOKUP(A1041,Planilha2!B:C,2,0)</f>
        <v>INVERSOR CFW701D32P0T5NBN1C3</v>
      </c>
      <c r="C1041" t="s">
        <v>1</v>
      </c>
      <c r="D1041" t="str">
        <f>VLOOKUP(A1041,Planilha2!B:H,7,0)</f>
        <v>OBSOLETOS DRIVES</v>
      </c>
      <c r="E1041" s="5">
        <v>20000</v>
      </c>
      <c r="F1041">
        <f>IFERROR(
IF(ISNUMBER(FIND("CFW110",B1041)),
VALUE(MID(B1041,FIND("CFW110",B1041)+6,FIND("T",B1041,FIND("CFW110",B1041))-(FIND("CFW110",B1041)+6))),
IF(ISNUMBER(FIND("D",B1041)),
VALUE(SUBSTITUTE(MID(B1041,FIND("D",B1041)+1,FIND("T",B1041,FIND("D",B1041))-(FIND("D",B1041)+1)),"P",",")),
IF(ISNUMBER(FIND("CFW5",B1041)),
VALUE(MID(B1041,
IF(ISNUMBER(FIND("F",B1041)),FIND("F",B1041)+1,FIND("G",B1041)+1),
FIND("T",B1041)-(IF(ISNUMBER(FIND("F",B1041)),FIND("F",B1041)+1,FIND("G",B1041)+1))
)),
VALUE(MID(B1041,FIND("E0",B1041)+2,FIND("T",B1041,FIND("E0",B1041))-(FIND("E0",B1041)+2)))
))),"")</f>
        <v>32</v>
      </c>
      <c r="G1041">
        <f>IFERROR(
IF(ISNUMBER(FIND("T2",B1041)),220,
IF(ISNUMBER(FIND("T4",B1041)),440,
IF(ISNUMBER(FIND("T5",B1041)),575,
IF(ISNUMBER(FIND("T6",B1041)),690,"")))),
"")</f>
        <v>575</v>
      </c>
    </row>
    <row r="1042" spans="1:7" x14ac:dyDescent="0.25">
      <c r="A1042">
        <v>12263708</v>
      </c>
      <c r="B1042" t="str">
        <f>VLOOKUP(A1042,Planilha2!B:C,2,0)</f>
        <v>INVERSOR CFW701D27P0T5NBN1C3</v>
      </c>
      <c r="C1042" t="s">
        <v>1</v>
      </c>
      <c r="D1042" t="str">
        <f>VLOOKUP(A1042,Planilha2!B:H,7,0)</f>
        <v>OBSOLETOS DRIVES</v>
      </c>
      <c r="E1042" s="5">
        <v>20000</v>
      </c>
      <c r="F1042">
        <f>IFERROR(
IF(ISNUMBER(FIND("CFW110",B1042)),
VALUE(MID(B1042,FIND("CFW110",B1042)+6,FIND("T",B1042,FIND("CFW110",B1042))-(FIND("CFW110",B1042)+6))),
IF(ISNUMBER(FIND("D",B1042)),
VALUE(SUBSTITUTE(MID(B1042,FIND("D",B1042)+1,FIND("T",B1042,FIND("D",B1042))-(FIND("D",B1042)+1)),"P",",")),
IF(ISNUMBER(FIND("CFW5",B1042)),
VALUE(MID(B1042,
IF(ISNUMBER(FIND("F",B1042)),FIND("F",B1042)+1,FIND("G",B1042)+1),
FIND("T",B1042)-(IF(ISNUMBER(FIND("F",B1042)),FIND("F",B1042)+1,FIND("G",B1042)+1))
)),
VALUE(MID(B1042,FIND("E0",B1042)+2,FIND("T",B1042,FIND("E0",B1042))-(FIND("E0",B1042)+2)))
))),"")</f>
        <v>27</v>
      </c>
      <c r="G1042">
        <f>IFERROR(
IF(ISNUMBER(FIND("T2",B1042)),220,
IF(ISNUMBER(FIND("T4",B1042)),440,
IF(ISNUMBER(FIND("T5",B1042)),575,
IF(ISNUMBER(FIND("T6",B1042)),690,"")))),
"")</f>
        <v>575</v>
      </c>
    </row>
    <row r="1043" spans="1:7" x14ac:dyDescent="0.25">
      <c r="A1043">
        <v>12263697</v>
      </c>
      <c r="B1043" t="str">
        <f>VLOOKUP(A1043,Planilha2!B:C,2,0)</f>
        <v>INVERSOR CFW701D22P0T5NBN1C3</v>
      </c>
      <c r="C1043" t="s">
        <v>1</v>
      </c>
      <c r="D1043" t="str">
        <f>VLOOKUP(A1043,Planilha2!B:H,7,0)</f>
        <v>OBSOLETOS DRIVES</v>
      </c>
      <c r="E1043" s="5">
        <v>20000</v>
      </c>
      <c r="F1043">
        <f>IFERROR(
IF(ISNUMBER(FIND("CFW110",B1043)),
VALUE(MID(B1043,FIND("CFW110",B1043)+6,FIND("T",B1043,FIND("CFW110",B1043))-(FIND("CFW110",B1043)+6))),
IF(ISNUMBER(FIND("D",B1043)),
VALUE(SUBSTITUTE(MID(B1043,FIND("D",B1043)+1,FIND("T",B1043,FIND("D",B1043))-(FIND("D",B1043)+1)),"P",",")),
IF(ISNUMBER(FIND("CFW5",B1043)),
VALUE(MID(B1043,
IF(ISNUMBER(FIND("F",B1043)),FIND("F",B1043)+1,FIND("G",B1043)+1),
FIND("T",B1043)-(IF(ISNUMBER(FIND("F",B1043)),FIND("F",B1043)+1,FIND("G",B1043)+1))
)),
VALUE(MID(B1043,FIND("E0",B1043)+2,FIND("T",B1043,FIND("E0",B1043))-(FIND("E0",B1043)+2)))
))),"")</f>
        <v>22</v>
      </c>
      <c r="G1043">
        <f>IFERROR(
IF(ISNUMBER(FIND("T2",B1043)),220,
IF(ISNUMBER(FIND("T4",B1043)),440,
IF(ISNUMBER(FIND("T5",B1043)),575,
IF(ISNUMBER(FIND("T6",B1043)),690,"")))),
"")</f>
        <v>575</v>
      </c>
    </row>
    <row r="1044" spans="1:7" x14ac:dyDescent="0.25">
      <c r="A1044">
        <v>11993167</v>
      </c>
      <c r="B1044" t="str">
        <f>VLOOKUP(A1044,Planilha2!B:C,2,0)</f>
        <v>INVERSOR NACFW110044T6ON1NBZ</v>
      </c>
      <c r="C1044" t="s">
        <v>1</v>
      </c>
      <c r="D1044" t="str">
        <f>VLOOKUP(A1044,Planilha2!B:H,7,0)</f>
        <v>LINHA M3</v>
      </c>
      <c r="E1044" s="5">
        <v>31600</v>
      </c>
      <c r="F1044">
        <f>IFERROR(
IF(ISNUMBER(FIND("CFW110",B1044)),
VALUE(MID(B1044,FIND("CFW110",B1044)+6,FIND("T",B1044,FIND("CFW110",B1044))-(FIND("CFW110",B1044)+6))),
IF(ISNUMBER(FIND("D",B1044)),
VALUE(SUBSTITUTE(MID(B1044,FIND("D",B1044)+1,FIND("T",B1044,FIND("D",B1044))-(FIND("D",B1044)+1)),"P",",")),
IF(ISNUMBER(FIND("CFW5",B1044)),
VALUE(MID(B1044,
IF(ISNUMBER(FIND("F",B1044)),FIND("F",B1044)+1,FIND("G",B1044)+1),
FIND("T",B1044)-(IF(ISNUMBER(FIND("F",B1044)),FIND("F",B1044)+1,FIND("G",B1044)+1))
)),
VALUE(MID(B1044,FIND("E0",B1044)+2,FIND("T",B1044,FIND("E0",B1044))-(FIND("E0",B1044)+2)))
))),"")</f>
        <v>44</v>
      </c>
      <c r="G1044">
        <f>IFERROR(
IF(ISNUMBER(FIND("T2",B1044)),220,
IF(ISNUMBER(FIND("T4",B1044)),440,
IF(ISNUMBER(FIND("T5",B1044)),575,
IF(ISNUMBER(FIND("T6",B1044)),690,"")))),
"")</f>
        <v>690</v>
      </c>
    </row>
    <row r="1045" spans="1:7" x14ac:dyDescent="0.25">
      <c r="A1045">
        <v>12336205</v>
      </c>
      <c r="B1045" t="str">
        <f>VLOOKUP(A1045,Planilha2!B:C,2,0)</f>
        <v>INVERSOR EUCFW110031T4OWZ</v>
      </c>
      <c r="C1045" t="s">
        <v>1</v>
      </c>
      <c r="D1045" t="str">
        <f>VLOOKUP(A1045,Planilha2!B:H,7,0)</f>
        <v>LINHA P7</v>
      </c>
      <c r="E1045" s="5">
        <v>10400</v>
      </c>
      <c r="F1045">
        <f>IFERROR(
IF(ISNUMBER(FIND("CFW110",B1045)),
VALUE(MID(B1045,FIND("CFW110",B1045)+6,FIND("T",B1045,FIND("CFW110",B1045))-(FIND("CFW110",B1045)+6))),
IF(ISNUMBER(FIND("D",B1045)),
VALUE(SUBSTITUTE(MID(B1045,FIND("D",B1045)+1,FIND("T",B1045,FIND("D",B1045))-(FIND("D",B1045)+1)),"P",",")),
IF(ISNUMBER(FIND("CFW5",B1045)),
VALUE(MID(B1045,
IF(ISNUMBER(FIND("F",B1045)),FIND("F",B1045)+1,FIND("G",B1045)+1),
FIND("T",B1045)-(IF(ISNUMBER(FIND("F",B1045)),FIND("F",B1045)+1,FIND("G",B1045)+1))
)),
VALUE(MID(B1045,FIND("E0",B1045)+2,FIND("T",B1045,FIND("E0",B1045))-(FIND("E0",B1045)+2)))
))),"")</f>
        <v>31</v>
      </c>
      <c r="G1045">
        <f>IFERROR(
IF(ISNUMBER(FIND("T2",B1045)),220,
IF(ISNUMBER(FIND("T4",B1045)),440,
IF(ISNUMBER(FIND("T5",B1045)),575,
IF(ISNUMBER(FIND("T6",B1045)),690,"")))),
"")</f>
        <v>440</v>
      </c>
    </row>
    <row r="1046" spans="1:7" x14ac:dyDescent="0.25">
      <c r="A1046">
        <v>12105100</v>
      </c>
      <c r="B1046" t="str">
        <f>VLOOKUP(A1046,Planilha2!B:C,2,0)</f>
        <v>INVERSOR NACFW110045T4ON1YZ</v>
      </c>
      <c r="C1046" t="s">
        <v>1</v>
      </c>
      <c r="D1046" t="str">
        <f>VLOOKUP(A1046,Planilha2!B:H,7,0)</f>
        <v>LINHA M1</v>
      </c>
      <c r="E1046" s="5">
        <v>4500</v>
      </c>
      <c r="F1046">
        <f>IFERROR(
IF(ISNUMBER(FIND("CFW110",B1046)),
VALUE(MID(B1046,FIND("CFW110",B1046)+6,FIND("T",B1046,FIND("CFW110",B1046))-(FIND("CFW110",B1046)+6))),
IF(ISNUMBER(FIND("D",B1046)),
VALUE(SUBSTITUTE(MID(B1046,FIND("D",B1046)+1,FIND("T",B1046,FIND("D",B1046))-(FIND("D",B1046)+1)),"P",",")),
IF(ISNUMBER(FIND("CFW5",B1046)),
VALUE(MID(B1046,
IF(ISNUMBER(FIND("F",B1046)),FIND("F",B1046)+1,FIND("G",B1046)+1),
FIND("T",B1046)-(IF(ISNUMBER(FIND("F",B1046)),FIND("F",B1046)+1,FIND("G",B1046)+1))
)),
VALUE(MID(B1046,FIND("E0",B1046)+2,FIND("T",B1046,FIND("E0",B1046))-(FIND("E0",B1046)+2)))
))),"")</f>
        <v>45</v>
      </c>
      <c r="G1046">
        <f>IFERROR(
IF(ISNUMBER(FIND("T2",B1046)),220,
IF(ISNUMBER(FIND("T4",B1046)),440,
IF(ISNUMBER(FIND("T5",B1046)),575,
IF(ISNUMBER(FIND("T6",B1046)),690,"")))),
"")</f>
        <v>440</v>
      </c>
    </row>
    <row r="1047" spans="1:7" x14ac:dyDescent="0.25">
      <c r="A1047">
        <v>12105053</v>
      </c>
      <c r="B1047" t="str">
        <f>VLOOKUP(A1047,Planilha2!B:C,2,0)</f>
        <v>INVERSOR NACFW110017T4ON1YZ</v>
      </c>
      <c r="C1047" t="s">
        <v>1</v>
      </c>
      <c r="D1047" t="str">
        <f>VLOOKUP(A1047,Planilha2!B:H,7,0)</f>
        <v>LINHA P7</v>
      </c>
      <c r="E1047" s="5">
        <v>4500</v>
      </c>
      <c r="F1047">
        <f>IFERROR(
IF(ISNUMBER(FIND("CFW110",B1047)),
VALUE(MID(B1047,FIND("CFW110",B1047)+6,FIND("T",B1047,FIND("CFW110",B1047))-(FIND("CFW110",B1047)+6))),
IF(ISNUMBER(FIND("D",B1047)),
VALUE(SUBSTITUTE(MID(B1047,FIND("D",B1047)+1,FIND("T",B1047,FIND("D",B1047))-(FIND("D",B1047)+1)),"P",",")),
IF(ISNUMBER(FIND("CFW5",B1047)),
VALUE(MID(B1047,
IF(ISNUMBER(FIND("F",B1047)),FIND("F",B1047)+1,FIND("G",B1047)+1),
FIND("T",B1047)-(IF(ISNUMBER(FIND("F",B1047)),FIND("F",B1047)+1,FIND("G",B1047)+1))
)),
VALUE(MID(B1047,FIND("E0",B1047)+2,FIND("T",B1047,FIND("E0",B1047))-(FIND("E0",B1047)+2)))
))),"")</f>
        <v>17</v>
      </c>
      <c r="G1047">
        <f>IFERROR(
IF(ISNUMBER(FIND("T2",B1047)),220,
IF(ISNUMBER(FIND("T4",B1047)),440,
IF(ISNUMBER(FIND("T5",B1047)),575,
IF(ISNUMBER(FIND("T6",B1047)),690,"")))),
"")</f>
        <v>440</v>
      </c>
    </row>
    <row r="1048" spans="1:7" x14ac:dyDescent="0.25">
      <c r="A1048">
        <v>12388071</v>
      </c>
      <c r="B1048" t="str">
        <f>VLOOKUP(A1048,Planilha2!B:C,2,0)</f>
        <v>INVERSOR BRCFW110086T2O54FAZ</v>
      </c>
      <c r="C1048" t="s">
        <v>1</v>
      </c>
      <c r="D1048" t="str">
        <f>VLOOKUP(A1048,Planilha2!B:H,7,0)</f>
        <v>LINHA M3</v>
      </c>
      <c r="E1048" s="5">
        <v>27950</v>
      </c>
      <c r="F1048">
        <f>IFERROR(
IF(ISNUMBER(FIND("CFW110",B1048)),
VALUE(MID(B1048,FIND("CFW110",B1048)+6,FIND("T",B1048,FIND("CFW110",B1048))-(FIND("CFW110",B1048)+6))),
IF(ISNUMBER(FIND("D",B1048)),
VALUE(SUBSTITUTE(MID(B1048,FIND("D",B1048)+1,FIND("T",B1048,FIND("D",B1048))-(FIND("D",B1048)+1)),"P",",")),
IF(ISNUMBER(FIND("CFW5",B1048)),
VALUE(MID(B1048,
IF(ISNUMBER(FIND("F",B1048)),FIND("F",B1048)+1,FIND("G",B1048)+1),
FIND("T",B1048)-(IF(ISNUMBER(FIND("F",B1048)),FIND("F",B1048)+1,FIND("G",B1048)+1))
)),
VALUE(MID(B1048,FIND("E0",B1048)+2,FIND("T",B1048,FIND("E0",B1048))-(FIND("E0",B1048)+2)))
))),"")</f>
        <v>86</v>
      </c>
      <c r="G1048">
        <f>IFERROR(
IF(ISNUMBER(FIND("T2",B1048)),220,
IF(ISNUMBER(FIND("T4",B1048)),440,
IF(ISNUMBER(FIND("T5",B1048)),575,
IF(ISNUMBER(FIND("T6",B1048)),690,"")))),
"")</f>
        <v>220</v>
      </c>
    </row>
    <row r="1049" spans="1:7" x14ac:dyDescent="0.25">
      <c r="A1049">
        <v>12388649</v>
      </c>
      <c r="B1049" t="str">
        <f>VLOOKUP(A1049,Planilha2!B:C,2,0)</f>
        <v>INVERSOR BRCFW110045T4OFAWZ</v>
      </c>
      <c r="C1049" t="s">
        <v>1</v>
      </c>
      <c r="D1049" t="str">
        <f>VLOOKUP(A1049,Planilha2!B:H,7,0)</f>
        <v>LINHA M1</v>
      </c>
      <c r="E1049" s="5">
        <v>16550</v>
      </c>
      <c r="F1049">
        <f>IFERROR(
IF(ISNUMBER(FIND("CFW110",B1049)),
VALUE(MID(B1049,FIND("CFW110",B1049)+6,FIND("T",B1049,FIND("CFW110",B1049))-(FIND("CFW110",B1049)+6))),
IF(ISNUMBER(FIND("D",B1049)),
VALUE(SUBSTITUTE(MID(B1049,FIND("D",B1049)+1,FIND("T",B1049,FIND("D",B1049))-(FIND("D",B1049)+1)),"P",",")),
IF(ISNUMBER(FIND("CFW5",B1049)),
VALUE(MID(B1049,
IF(ISNUMBER(FIND("F",B1049)),FIND("F",B1049)+1,FIND("G",B1049)+1),
FIND("T",B1049)-(IF(ISNUMBER(FIND("F",B1049)),FIND("F",B1049)+1,FIND("G",B1049)+1))
)),
VALUE(MID(B1049,FIND("E0",B1049)+2,FIND("T",B1049,FIND("E0",B1049))-(FIND("E0",B1049)+2)))
))),"")</f>
        <v>45</v>
      </c>
      <c r="G1049">
        <f>IFERROR(
IF(ISNUMBER(FIND("T2",B1049)),220,
IF(ISNUMBER(FIND("T4",B1049)),440,
IF(ISNUMBER(FIND("T5",B1049)),575,
IF(ISNUMBER(FIND("T6",B1049)),690,"")))),
"")</f>
        <v>440</v>
      </c>
    </row>
    <row r="1050" spans="1:7" x14ac:dyDescent="0.25">
      <c r="A1050">
        <v>11873036</v>
      </c>
      <c r="B1050" t="str">
        <f>VLOOKUP(A1050,Planilha2!B:C,2,0)</f>
        <v>INVERSOR EUCFW110105T2OFAYZ</v>
      </c>
      <c r="C1050" t="s">
        <v>1</v>
      </c>
      <c r="D1050" t="str">
        <f>VLOOKUP(A1050,Planilha2!B:H,7,0)</f>
        <v>LINHA M3</v>
      </c>
      <c r="E1050" s="5">
        <v>31400</v>
      </c>
      <c r="F1050">
        <f>IFERROR(
IF(ISNUMBER(FIND("CFW110",B1050)),
VALUE(MID(B1050,FIND("CFW110",B1050)+6,FIND("T",B1050,FIND("CFW110",B1050))-(FIND("CFW110",B1050)+6))),
IF(ISNUMBER(FIND("D",B1050)),
VALUE(SUBSTITUTE(MID(B1050,FIND("D",B1050)+1,FIND("T",B1050,FIND("D",B1050))-(FIND("D",B1050)+1)),"P",",")),
IF(ISNUMBER(FIND("CFW5",B1050)),
VALUE(MID(B1050,
IF(ISNUMBER(FIND("F",B1050)),FIND("F",B1050)+1,FIND("G",B1050)+1),
FIND("T",B1050)-(IF(ISNUMBER(FIND("F",B1050)),FIND("F",B1050)+1,FIND("G",B1050)+1))
)),
VALUE(MID(B1050,FIND("E0",B1050)+2,FIND("T",B1050,FIND("E0",B1050))-(FIND("E0",B1050)+2)))
))),"")</f>
        <v>105</v>
      </c>
      <c r="G1050">
        <f>IFERROR(
IF(ISNUMBER(FIND("T2",B1050)),220,
IF(ISNUMBER(FIND("T4",B1050)),440,
IF(ISNUMBER(FIND("T5",B1050)),575,
IF(ISNUMBER(FIND("T6",B1050)),690,"")))),
"")</f>
        <v>220</v>
      </c>
    </row>
    <row r="1051" spans="1:7" x14ac:dyDescent="0.25">
      <c r="A1051">
        <v>11988630</v>
      </c>
      <c r="B1051" t="str">
        <f>VLOOKUP(A1051,Planilha2!B:C,2,0)</f>
        <v>INVERSOR SACFW110017T6OYZ</v>
      </c>
      <c r="C1051" t="s">
        <v>1</v>
      </c>
      <c r="D1051" t="str">
        <f>VLOOKUP(A1051,Planilha2!B:H,7,0)</f>
        <v>LINHA M3</v>
      </c>
      <c r="E1051" s="5">
        <v>29500</v>
      </c>
      <c r="F1051">
        <f>IFERROR(
IF(ISNUMBER(FIND("CFW110",B1051)),
VALUE(MID(B1051,FIND("CFW110",B1051)+6,FIND("T",B1051,FIND("CFW110",B1051))-(FIND("CFW110",B1051)+6))),
IF(ISNUMBER(FIND("D",B1051)),
VALUE(SUBSTITUTE(MID(B1051,FIND("D",B1051)+1,FIND("T",B1051,FIND("D",B1051))-(FIND("D",B1051)+1)),"P",",")),
IF(ISNUMBER(FIND("CFW5",B1051)),
VALUE(MID(B1051,
IF(ISNUMBER(FIND("F",B1051)),FIND("F",B1051)+1,FIND("G",B1051)+1),
FIND("T",B1051)-(IF(ISNUMBER(FIND("F",B1051)),FIND("F",B1051)+1,FIND("G",B1051)+1))
)),
VALUE(MID(B1051,FIND("E0",B1051)+2,FIND("T",B1051,FIND("E0",B1051))-(FIND("E0",B1051)+2)))
))),"")</f>
        <v>17</v>
      </c>
      <c r="G1051">
        <f>IFERROR(
IF(ISNUMBER(FIND("T2",B1051)),220,
IF(ISNUMBER(FIND("T4",B1051)),440,
IF(ISNUMBER(FIND("T5",B1051)),575,
IF(ISNUMBER(FIND("T6",B1051)),690,"")))),
"")</f>
        <v>690</v>
      </c>
    </row>
    <row r="1052" spans="1:7" x14ac:dyDescent="0.25">
      <c r="A1052">
        <v>10587682</v>
      </c>
      <c r="B1052" t="str">
        <f>VLOOKUP(A1052,Planilha2!B:C,2,0)</f>
        <v>INVERSOR EUCFW110045T4SZ</v>
      </c>
      <c r="C1052" t="s">
        <v>1</v>
      </c>
      <c r="D1052" t="str">
        <f>VLOOKUP(A1052,Planilha2!B:H,7,0)</f>
        <v>LINHA M1</v>
      </c>
      <c r="E1052" s="5">
        <v>19600</v>
      </c>
      <c r="F1052">
        <f>IFERROR(
IF(ISNUMBER(FIND("CFW110",B1052)),
VALUE(MID(B1052,FIND("CFW110",B1052)+6,FIND("T",B1052,FIND("CFW110",B1052))-(FIND("CFW110",B1052)+6))),
IF(ISNUMBER(FIND("D",B1052)),
VALUE(SUBSTITUTE(MID(B1052,FIND("D",B1052)+1,FIND("T",B1052,FIND("D",B1052))-(FIND("D",B1052)+1)),"P",",")),
IF(ISNUMBER(FIND("CFW5",B1052)),
VALUE(MID(B1052,
IF(ISNUMBER(FIND("F",B1052)),FIND("F",B1052)+1,FIND("G",B1052)+1),
FIND("T",B1052)-(IF(ISNUMBER(FIND("F",B1052)),FIND("F",B1052)+1,FIND("G",B1052)+1))
)),
VALUE(MID(B1052,FIND("E0",B1052)+2,FIND("T",B1052,FIND("E0",B1052))-(FIND("E0",B1052)+2)))
))),"")</f>
        <v>45</v>
      </c>
      <c r="G1052">
        <f>IFERROR(
IF(ISNUMBER(FIND("T2",B1052)),220,
IF(ISNUMBER(FIND("T4",B1052)),440,
IF(ISNUMBER(FIND("T5",B1052)),575,
IF(ISNUMBER(FIND("T6",B1052)),690,"")))),
"")</f>
        <v>440</v>
      </c>
    </row>
    <row r="1053" spans="1:7" x14ac:dyDescent="0.25">
      <c r="A1053">
        <v>12276457</v>
      </c>
      <c r="B1053" t="str">
        <f>VLOOKUP(A1053,Planilha2!B:C,2,0)</f>
        <v>INVERSOR BRCFW110070T4OYWZ</v>
      </c>
      <c r="C1053" t="s">
        <v>1</v>
      </c>
      <c r="D1053" t="str">
        <f>VLOOKUP(A1053,Planilha2!B:H,7,0)</f>
        <v>LINHA M3</v>
      </c>
      <c r="E1053" s="5">
        <v>26000</v>
      </c>
      <c r="F1053">
        <f>IFERROR(
IF(ISNUMBER(FIND("CFW110",B1053)),
VALUE(MID(B1053,FIND("CFW110",B1053)+6,FIND("T",B1053,FIND("CFW110",B1053))-(FIND("CFW110",B1053)+6))),
IF(ISNUMBER(FIND("D",B1053)),
VALUE(SUBSTITUTE(MID(B1053,FIND("D",B1053)+1,FIND("T",B1053,FIND("D",B1053))-(FIND("D",B1053)+1)),"P",",")),
IF(ISNUMBER(FIND("CFW5",B1053)),
VALUE(MID(B1053,
IF(ISNUMBER(FIND("F",B1053)),FIND("F",B1053)+1,FIND("G",B1053)+1),
FIND("T",B1053)-(IF(ISNUMBER(FIND("F",B1053)),FIND("F",B1053)+1,FIND("G",B1053)+1))
)),
VALUE(MID(B1053,FIND("E0",B1053)+2,FIND("T",B1053,FIND("E0",B1053))-(FIND("E0",B1053)+2)))
))),"")</f>
        <v>70</v>
      </c>
      <c r="G1053">
        <f>IFERROR(
IF(ISNUMBER(FIND("T2",B1053)),220,
IF(ISNUMBER(FIND("T4",B1053)),440,
IF(ISNUMBER(FIND("T5",B1053)),575,
IF(ISNUMBER(FIND("T6",B1053)),690,"")))),
"")</f>
        <v>440</v>
      </c>
    </row>
    <row r="1054" spans="1:7" x14ac:dyDescent="0.25">
      <c r="A1054">
        <v>12276454</v>
      </c>
      <c r="B1054" t="str">
        <f>VLOOKUP(A1054,Planilha2!B:C,2,0)</f>
        <v>INVERSOR BRCFW110045T4OYWZ</v>
      </c>
      <c r="C1054" t="s">
        <v>1</v>
      </c>
      <c r="D1054" t="str">
        <f>VLOOKUP(A1054,Planilha2!B:H,7,0)</f>
        <v>LINHA M1</v>
      </c>
      <c r="E1054" s="5">
        <v>10000</v>
      </c>
      <c r="F1054">
        <f>IFERROR(
IF(ISNUMBER(FIND("CFW110",B1054)),
VALUE(MID(B1054,FIND("CFW110",B1054)+6,FIND("T",B1054,FIND("CFW110",B1054))-(FIND("CFW110",B1054)+6))),
IF(ISNUMBER(FIND("D",B1054)),
VALUE(SUBSTITUTE(MID(B1054,FIND("D",B1054)+1,FIND("T",B1054,FIND("D",B1054))-(FIND("D",B1054)+1)),"P",",")),
IF(ISNUMBER(FIND("CFW5",B1054)),
VALUE(MID(B1054,
IF(ISNUMBER(FIND("F",B1054)),FIND("F",B1054)+1,FIND("G",B1054)+1),
FIND("T",B1054)-(IF(ISNUMBER(FIND("F",B1054)),FIND("F",B1054)+1,FIND("G",B1054)+1))
)),
VALUE(MID(B1054,FIND("E0",B1054)+2,FIND("T",B1054,FIND("E0",B1054))-(FIND("E0",B1054)+2)))
))),"")</f>
        <v>45</v>
      </c>
      <c r="G1054">
        <f>IFERROR(
IF(ISNUMBER(FIND("T2",B1054)),220,
IF(ISNUMBER(FIND("T4",B1054)),440,
IF(ISNUMBER(FIND("T5",B1054)),575,
IF(ISNUMBER(FIND("T6",B1054)),690,"")))),
"")</f>
        <v>440</v>
      </c>
    </row>
    <row r="1055" spans="1:7" x14ac:dyDescent="0.25">
      <c r="A1055">
        <v>11994767</v>
      </c>
      <c r="B1055" t="str">
        <f>VLOOKUP(A1055,Planilha2!B:C,2,0)</f>
        <v>INVERSOR BRCFW110044T6ONBZ</v>
      </c>
      <c r="C1055" t="s">
        <v>1</v>
      </c>
      <c r="D1055" t="str">
        <f>VLOOKUP(A1055,Planilha2!B:H,7,0)</f>
        <v>LINHA M3</v>
      </c>
      <c r="E1055" s="5">
        <v>31600</v>
      </c>
      <c r="F1055">
        <f>IFERROR(
IF(ISNUMBER(FIND("CFW110",B1055)),
VALUE(MID(B1055,FIND("CFW110",B1055)+6,FIND("T",B1055,FIND("CFW110",B1055))-(FIND("CFW110",B1055)+6))),
IF(ISNUMBER(FIND("D",B1055)),
VALUE(SUBSTITUTE(MID(B1055,FIND("D",B1055)+1,FIND("T",B1055,FIND("D",B1055))-(FIND("D",B1055)+1)),"P",",")),
IF(ISNUMBER(FIND("CFW5",B1055)),
VALUE(MID(B1055,
IF(ISNUMBER(FIND("F",B1055)),FIND("F",B1055)+1,FIND("G",B1055)+1),
FIND("T",B1055)-(IF(ISNUMBER(FIND("F",B1055)),FIND("F",B1055)+1,FIND("G",B1055)+1))
)),
VALUE(MID(B1055,FIND("E0",B1055)+2,FIND("T",B1055,FIND("E0",B1055))-(FIND("E0",B1055)+2)))
))),"")</f>
        <v>44</v>
      </c>
      <c r="G1055">
        <f>IFERROR(
IF(ISNUMBER(FIND("T2",B1055)),220,
IF(ISNUMBER(FIND("T4",B1055)),440,
IF(ISNUMBER(FIND("T5",B1055)),575,
IF(ISNUMBER(FIND("T6",B1055)),690,"")))),
"")</f>
        <v>690</v>
      </c>
    </row>
    <row r="1056" spans="1:7" x14ac:dyDescent="0.25">
      <c r="A1056">
        <v>12319294</v>
      </c>
      <c r="B1056" t="str">
        <f>VLOOKUP(A1056,Planilha2!B:C,2,0)</f>
        <v>INVERSOR CFW701C70P0T2DB20C3H00</v>
      </c>
      <c r="C1056" t="s">
        <v>1</v>
      </c>
      <c r="D1056" t="str">
        <f>VLOOKUP(A1056,Planilha2!B:H,7,0)</f>
        <v>OBSOLETOS DRIVES</v>
      </c>
      <c r="E1056" s="5">
        <v>17900</v>
      </c>
      <c r="F1056" t="str">
        <f>IFERROR(
IF(ISNUMBER(FIND("CFW110",B1056)),
VALUE(MID(B1056,FIND("CFW110",B1056)+6,FIND("T",B1056,FIND("CFW110",B1056))-(FIND("CFW110",B1056)+6))),
IF(ISNUMBER(FIND("D",B1056)),
VALUE(SUBSTITUTE(MID(B1056,FIND("D",B1056)+1,FIND("T",B1056,FIND("D",B1056))-(FIND("D",B1056)+1)),"P",",")),
IF(ISNUMBER(FIND("CFW5",B1056)),
VALUE(MID(B1056,
IF(ISNUMBER(FIND("F",B1056)),FIND("F",B1056)+1,FIND("G",B1056)+1),
FIND("T",B1056)-(IF(ISNUMBER(FIND("F",B1056)),FIND("F",B1056)+1,FIND("G",B1056)+1))
)),
VALUE(MID(B1056,FIND("E0",B1056)+2,FIND("T",B1056,FIND("E0",B1056))-(FIND("E0",B1056)+2)))
))),"")</f>
        <v/>
      </c>
      <c r="G1056">
        <f>IFERROR(
IF(ISNUMBER(FIND("T2",B1056)),220,
IF(ISNUMBER(FIND("T4",B1056)),440,
IF(ISNUMBER(FIND("T5",B1056)),575,
IF(ISNUMBER(FIND("T6",B1056)),690,"")))),
"")</f>
        <v>220</v>
      </c>
    </row>
    <row r="1057" spans="1:7" x14ac:dyDescent="0.25">
      <c r="A1057">
        <v>12403703</v>
      </c>
      <c r="B1057" t="str">
        <f>VLOOKUP(A1057,Planilha2!B:C,2,0)</f>
        <v>INVERSOR SACFW110038T4OFAZ</v>
      </c>
      <c r="C1057" t="s">
        <v>1</v>
      </c>
      <c r="D1057" t="str">
        <f>VLOOKUP(A1057,Planilha2!B:H,7,0)</f>
        <v>LINHA M1</v>
      </c>
      <c r="E1057" s="5">
        <v>4500</v>
      </c>
      <c r="F1057">
        <f>IFERROR(
IF(ISNUMBER(FIND("CFW110",B1057)),
VALUE(MID(B1057,FIND("CFW110",B1057)+6,FIND("T",B1057,FIND("CFW110",B1057))-(FIND("CFW110",B1057)+6))),
IF(ISNUMBER(FIND("D",B1057)),
VALUE(SUBSTITUTE(MID(B1057,FIND("D",B1057)+1,FIND("T",B1057,FIND("D",B1057))-(FIND("D",B1057)+1)),"P",",")),
IF(ISNUMBER(FIND("CFW5",B1057)),
VALUE(MID(B1057,
IF(ISNUMBER(FIND("F",B1057)),FIND("F",B1057)+1,FIND("G",B1057)+1),
FIND("T",B1057)-(IF(ISNUMBER(FIND("F",B1057)),FIND("F",B1057)+1,FIND("G",B1057)+1))
)),
VALUE(MID(B1057,FIND("E0",B1057)+2,FIND("T",B1057,FIND("E0",B1057))-(FIND("E0",B1057)+2)))
))),"")</f>
        <v>38</v>
      </c>
      <c r="G1057">
        <f>IFERROR(
IF(ISNUMBER(FIND("T2",B1057)),220,
IF(ISNUMBER(FIND("T4",B1057)),440,
IF(ISNUMBER(FIND("T5",B1057)),575,
IF(ISNUMBER(FIND("T6",B1057)),690,"")))),
"")</f>
        <v>440</v>
      </c>
    </row>
    <row r="1058" spans="1:7" x14ac:dyDescent="0.25">
      <c r="A1058">
        <v>12403704</v>
      </c>
      <c r="B1058" t="str">
        <f>VLOOKUP(A1058,Planilha2!B:C,2,0)</f>
        <v>INVERSOR SACFW110045T4OFAZ</v>
      </c>
      <c r="C1058" t="s">
        <v>1</v>
      </c>
      <c r="D1058" t="str">
        <f>VLOOKUP(A1058,Planilha2!B:H,7,0)</f>
        <v>LINHA M1</v>
      </c>
      <c r="E1058" s="5">
        <v>4500</v>
      </c>
      <c r="F1058">
        <f>IFERROR(
IF(ISNUMBER(FIND("CFW110",B1058)),
VALUE(MID(B1058,FIND("CFW110",B1058)+6,FIND("T",B1058,FIND("CFW110",B1058))-(FIND("CFW110",B1058)+6))),
IF(ISNUMBER(FIND("D",B1058)),
VALUE(SUBSTITUTE(MID(B1058,FIND("D",B1058)+1,FIND("T",B1058,FIND("D",B1058))-(FIND("D",B1058)+1)),"P",",")),
IF(ISNUMBER(FIND("CFW5",B1058)),
VALUE(MID(B1058,
IF(ISNUMBER(FIND("F",B1058)),FIND("F",B1058)+1,FIND("G",B1058)+1),
FIND("T",B1058)-(IF(ISNUMBER(FIND("F",B1058)),FIND("F",B1058)+1,FIND("G",B1058)+1))
)),
VALUE(MID(B1058,FIND("E0",B1058)+2,FIND("T",B1058,FIND("E0",B1058))-(FIND("E0",B1058)+2)))
))),"")</f>
        <v>45</v>
      </c>
      <c r="G1058">
        <f>IFERROR(
IF(ISNUMBER(FIND("T2",B1058)),220,
IF(ISNUMBER(FIND("T4",B1058)),440,
IF(ISNUMBER(FIND("T5",B1058)),575,
IF(ISNUMBER(FIND("T6",B1058)),690,"")))),
"")</f>
        <v>440</v>
      </c>
    </row>
    <row r="1059" spans="1:7" x14ac:dyDescent="0.25">
      <c r="A1059">
        <v>12403706</v>
      </c>
      <c r="B1059" t="str">
        <f>VLOOKUP(A1059,Planilha2!B:C,2,0)</f>
        <v>INVERSOR SACFW110070T4OFAZ</v>
      </c>
      <c r="C1059" t="s">
        <v>1</v>
      </c>
      <c r="D1059" t="str">
        <f>VLOOKUP(A1059,Planilha2!B:H,7,0)</f>
        <v>LINHA M3</v>
      </c>
      <c r="E1059" s="5">
        <v>26000</v>
      </c>
      <c r="F1059">
        <f>IFERROR(
IF(ISNUMBER(FIND("CFW110",B1059)),
VALUE(MID(B1059,FIND("CFW110",B1059)+6,FIND("T",B1059,FIND("CFW110",B1059))-(FIND("CFW110",B1059)+6))),
IF(ISNUMBER(FIND("D",B1059)),
VALUE(SUBSTITUTE(MID(B1059,FIND("D",B1059)+1,FIND("T",B1059,FIND("D",B1059))-(FIND("D",B1059)+1)),"P",",")),
IF(ISNUMBER(FIND("CFW5",B1059)),
VALUE(MID(B1059,
IF(ISNUMBER(FIND("F",B1059)),FIND("F",B1059)+1,FIND("G",B1059)+1),
FIND("T",B1059)-(IF(ISNUMBER(FIND("F",B1059)),FIND("F",B1059)+1,FIND("G",B1059)+1))
)),
VALUE(MID(B1059,FIND("E0",B1059)+2,FIND("T",B1059,FIND("E0",B1059))-(FIND("E0",B1059)+2)))
))),"")</f>
        <v>70</v>
      </c>
      <c r="G1059">
        <f>IFERROR(
IF(ISNUMBER(FIND("T2",B1059)),220,
IF(ISNUMBER(FIND("T4",B1059)),440,
IF(ISNUMBER(FIND("T5",B1059)),575,
IF(ISNUMBER(FIND("T6",B1059)),690,"")))),
"")</f>
        <v>440</v>
      </c>
    </row>
    <row r="1060" spans="1:7" x14ac:dyDescent="0.25">
      <c r="A1060">
        <v>12403707</v>
      </c>
      <c r="B1060" t="str">
        <f>VLOOKUP(A1060,Planilha2!B:C,2,0)</f>
        <v>INVERSOR SACFW110088T4OFAZ</v>
      </c>
      <c r="C1060" t="s">
        <v>1</v>
      </c>
      <c r="D1060" t="str">
        <f>VLOOKUP(A1060,Planilha2!B:H,7,0)</f>
        <v>LINHA M3</v>
      </c>
      <c r="E1060" s="5">
        <v>26000</v>
      </c>
      <c r="F1060">
        <f>IFERROR(
IF(ISNUMBER(FIND("CFW110",B1060)),
VALUE(MID(B1060,FIND("CFW110",B1060)+6,FIND("T",B1060,FIND("CFW110",B1060))-(FIND("CFW110",B1060)+6))),
IF(ISNUMBER(FIND("D",B1060)),
VALUE(SUBSTITUTE(MID(B1060,FIND("D",B1060)+1,FIND("T",B1060,FIND("D",B1060))-(FIND("D",B1060)+1)),"P",",")),
IF(ISNUMBER(FIND("CFW5",B1060)),
VALUE(MID(B1060,
IF(ISNUMBER(FIND("F",B1060)),FIND("F",B1060)+1,FIND("G",B1060)+1),
FIND("T",B1060)-(IF(ISNUMBER(FIND("F",B1060)),FIND("F",B1060)+1,FIND("G",B1060)+1))
)),
VALUE(MID(B1060,FIND("E0",B1060)+2,FIND("T",B1060,FIND("E0",B1060))-(FIND("E0",B1060)+2)))
))),"")</f>
        <v>88</v>
      </c>
      <c r="G1060">
        <f>IFERROR(
IF(ISNUMBER(FIND("T2",B1060)),220,
IF(ISNUMBER(FIND("T4",B1060)),440,
IF(ISNUMBER(FIND("T5",B1060)),575,
IF(ISNUMBER(FIND("T6",B1060)),690,"")))),
"")</f>
        <v>440</v>
      </c>
    </row>
    <row r="1061" spans="1:7" x14ac:dyDescent="0.25">
      <c r="A1061">
        <v>10587683</v>
      </c>
      <c r="B1061" t="str">
        <f>VLOOKUP(A1061,Planilha2!B:C,2,0)</f>
        <v>INVERSOR EUCFW110058T4SZ</v>
      </c>
      <c r="C1061" t="s">
        <v>1</v>
      </c>
      <c r="D1061" t="str">
        <f>VLOOKUP(A1061,Planilha2!B:H,7,0)</f>
        <v>LINHA M1</v>
      </c>
      <c r="E1061" s="5">
        <v>20500</v>
      </c>
      <c r="F1061">
        <f>IFERROR(
IF(ISNUMBER(FIND("CFW110",B1061)),
VALUE(MID(B1061,FIND("CFW110",B1061)+6,FIND("T",B1061,FIND("CFW110",B1061))-(FIND("CFW110",B1061)+6))),
IF(ISNUMBER(FIND("D",B1061)),
VALUE(SUBSTITUTE(MID(B1061,FIND("D",B1061)+1,FIND("T",B1061,FIND("D",B1061))-(FIND("D",B1061)+1)),"P",",")),
IF(ISNUMBER(FIND("CFW5",B1061)),
VALUE(MID(B1061,
IF(ISNUMBER(FIND("F",B1061)),FIND("F",B1061)+1,FIND("G",B1061)+1),
FIND("T",B1061)-(IF(ISNUMBER(FIND("F",B1061)),FIND("F",B1061)+1,FIND("G",B1061)+1))
)),
VALUE(MID(B1061,FIND("E0",B1061)+2,FIND("T",B1061,FIND("E0",B1061))-(FIND("E0",B1061)+2)))
))),"")</f>
        <v>58</v>
      </c>
      <c r="G1061">
        <f>IFERROR(
IF(ISNUMBER(FIND("T2",B1061)),220,
IF(ISNUMBER(FIND("T4",B1061)),440,
IF(ISNUMBER(FIND("T5",B1061)),575,
IF(ISNUMBER(FIND("T6",B1061)),690,"")))),
"")</f>
        <v>440</v>
      </c>
    </row>
    <row r="1062" spans="1:7" x14ac:dyDescent="0.25">
      <c r="A1062">
        <v>11988883</v>
      </c>
      <c r="B1062" t="str">
        <f>VLOOKUP(A1062,Planilha2!B:C,2,0)</f>
        <v>INVERSOR EUCFW110022T6OYZ</v>
      </c>
      <c r="C1062" t="s">
        <v>1</v>
      </c>
      <c r="D1062" t="str">
        <f>VLOOKUP(A1062,Planilha2!B:H,7,0)</f>
        <v>LINHA M3</v>
      </c>
      <c r="E1062" s="5">
        <v>25500</v>
      </c>
      <c r="F1062">
        <f>IFERROR(
IF(ISNUMBER(FIND("CFW110",B1062)),
VALUE(MID(B1062,FIND("CFW110",B1062)+6,FIND("T",B1062,FIND("CFW110",B1062))-(FIND("CFW110",B1062)+6))),
IF(ISNUMBER(FIND("D",B1062)),
VALUE(SUBSTITUTE(MID(B1062,FIND("D",B1062)+1,FIND("T",B1062,FIND("D",B1062))-(FIND("D",B1062)+1)),"P",",")),
IF(ISNUMBER(FIND("CFW5",B1062)),
VALUE(MID(B1062,
IF(ISNUMBER(FIND("F",B1062)),FIND("F",B1062)+1,FIND("G",B1062)+1),
FIND("T",B1062)-(IF(ISNUMBER(FIND("F",B1062)),FIND("F",B1062)+1,FIND("G",B1062)+1))
)),
VALUE(MID(B1062,FIND("E0",B1062)+2,FIND("T",B1062,FIND("E0",B1062))-(FIND("E0",B1062)+2)))
))),"")</f>
        <v>22</v>
      </c>
      <c r="G1062">
        <f>IFERROR(
IF(ISNUMBER(FIND("T2",B1062)),220,
IF(ISNUMBER(FIND("T4",B1062)),440,
IF(ISNUMBER(FIND("T5",B1062)),575,
IF(ISNUMBER(FIND("T6",B1062)),690,"")))),
"")</f>
        <v>690</v>
      </c>
    </row>
    <row r="1063" spans="1:7" x14ac:dyDescent="0.25">
      <c r="A1063">
        <v>12467963</v>
      </c>
      <c r="B1063" t="str">
        <f>VLOOKUP(A1063,Planilha2!B:C,2,0)</f>
        <v>INVERSOR BRCFW110070T4OFAWZ</v>
      </c>
      <c r="C1063" t="s">
        <v>1</v>
      </c>
      <c r="D1063" t="str">
        <f>VLOOKUP(A1063,Planilha2!B:H,7,0)</f>
        <v>LINHA M3</v>
      </c>
      <c r="E1063" s="5">
        <v>26000</v>
      </c>
      <c r="F1063">
        <f>IFERROR(
IF(ISNUMBER(FIND("CFW110",B1063)),
VALUE(MID(B1063,FIND("CFW110",B1063)+6,FIND("T",B1063,FIND("CFW110",B1063))-(FIND("CFW110",B1063)+6))),
IF(ISNUMBER(FIND("D",B1063)),
VALUE(SUBSTITUTE(MID(B1063,FIND("D",B1063)+1,FIND("T",B1063,FIND("D",B1063))-(FIND("D",B1063)+1)),"P",",")),
IF(ISNUMBER(FIND("CFW5",B1063)),
VALUE(MID(B1063,
IF(ISNUMBER(FIND("F",B1063)),FIND("F",B1063)+1,FIND("G",B1063)+1),
FIND("T",B1063)-(IF(ISNUMBER(FIND("F",B1063)),FIND("F",B1063)+1,FIND("G",B1063)+1))
)),
VALUE(MID(B1063,FIND("E0",B1063)+2,FIND("T",B1063,FIND("E0",B1063))-(FIND("E0",B1063)+2)))
))),"")</f>
        <v>70</v>
      </c>
      <c r="G1063">
        <f>IFERROR(
IF(ISNUMBER(FIND("T2",B1063)),220,
IF(ISNUMBER(FIND("T4",B1063)),440,
IF(ISNUMBER(FIND("T5",B1063)),575,
IF(ISNUMBER(FIND("T6",B1063)),690,"")))),
"")</f>
        <v>440</v>
      </c>
    </row>
    <row r="1064" spans="1:7" x14ac:dyDescent="0.25">
      <c r="A1064">
        <v>12452080</v>
      </c>
      <c r="B1064" t="str">
        <f>VLOOKUP(A1064,Planilha2!B:C,2,0)</f>
        <v>INVERSOR CFW701C54P0T2DB20C3H00</v>
      </c>
      <c r="C1064" t="s">
        <v>1</v>
      </c>
      <c r="D1064" t="str">
        <f>VLOOKUP(A1064,Planilha2!B:H,7,0)</f>
        <v>OBSOLETOS DRIVES</v>
      </c>
      <c r="E1064" s="5">
        <v>16000</v>
      </c>
      <c r="F1064" t="str">
        <f>IFERROR(
IF(ISNUMBER(FIND("CFW110",B1064)),
VALUE(MID(B1064,FIND("CFW110",B1064)+6,FIND("T",B1064,FIND("CFW110",B1064))-(FIND("CFW110",B1064)+6))),
IF(ISNUMBER(FIND("D",B1064)),
VALUE(SUBSTITUTE(MID(B1064,FIND("D",B1064)+1,FIND("T",B1064,FIND("D",B1064))-(FIND("D",B1064)+1)),"P",",")),
IF(ISNUMBER(FIND("CFW5",B1064)),
VALUE(MID(B1064,
IF(ISNUMBER(FIND("F",B1064)),FIND("F",B1064)+1,FIND("G",B1064)+1),
FIND("T",B1064)-(IF(ISNUMBER(FIND("F",B1064)),FIND("F",B1064)+1,FIND("G",B1064)+1))
)),
VALUE(MID(B1064,FIND("E0",B1064)+2,FIND("T",B1064,FIND("E0",B1064))-(FIND("E0",B1064)+2)))
))),"")</f>
        <v/>
      </c>
      <c r="G1064">
        <f>IFERROR(
IF(ISNUMBER(FIND("T2",B1064)),220,
IF(ISNUMBER(FIND("T4",B1064)),440,
IF(ISNUMBER(FIND("T5",B1064)),575,
IF(ISNUMBER(FIND("T6",B1064)),690,"")))),
"")</f>
        <v>220</v>
      </c>
    </row>
    <row r="1065" spans="1:7" x14ac:dyDescent="0.25">
      <c r="A1065">
        <v>12600795</v>
      </c>
      <c r="B1065" t="str">
        <f>VLOOKUP(A1065,Planilha2!B:C,2,0)</f>
        <v>INVERSOR SACFW110022T5ONFZ</v>
      </c>
      <c r="C1065" t="s">
        <v>1</v>
      </c>
      <c r="D1065" t="str">
        <f>VLOOKUP(A1065,Planilha2!B:H,7,0)</f>
        <v>LINHA M1</v>
      </c>
      <c r="E1065" t="s">
        <v>3173</v>
      </c>
      <c r="F1065">
        <f>IFERROR(
IF(ISNUMBER(FIND("CFW110",B1065)),
VALUE(MID(B1065,FIND("CFW110",B1065)+6,FIND("T",B1065,FIND("CFW110",B1065))-(FIND("CFW110",B1065)+6))),
IF(ISNUMBER(FIND("D",B1065)),
VALUE(SUBSTITUTE(MID(B1065,FIND("D",B1065)+1,FIND("T",B1065,FIND("D",B1065))-(FIND("D",B1065)+1)),"P",",")),
IF(ISNUMBER(FIND("CFW5",B1065)),
VALUE(MID(B1065,
IF(ISNUMBER(FIND("F",B1065)),FIND("F",B1065)+1,FIND("G",B1065)+1),
FIND("T",B1065)-(IF(ISNUMBER(FIND("F",B1065)),FIND("F",B1065)+1,FIND("G",B1065)+1))
)),
VALUE(MID(B1065,FIND("E0",B1065)+2,FIND("T",B1065,FIND("E0",B1065))-(FIND("E0",B1065)+2)))
))),"")</f>
        <v>22</v>
      </c>
      <c r="G1065">
        <f>IFERROR(
IF(ISNUMBER(FIND("T2",B1065)),220,
IF(ISNUMBER(FIND("T4",B1065)),440,
IF(ISNUMBER(FIND("T5",B1065)),575,
IF(ISNUMBER(FIND("T6",B1065)),690,"")))),
"")</f>
        <v>575</v>
      </c>
    </row>
    <row r="1066" spans="1:7" x14ac:dyDescent="0.25">
      <c r="A1066">
        <v>12600796</v>
      </c>
      <c r="B1066" t="str">
        <f>VLOOKUP(A1066,Planilha2!B:C,2,0)</f>
        <v>INVERSOR SACFW110027T5ONFZ</v>
      </c>
      <c r="C1066" t="s">
        <v>1</v>
      </c>
      <c r="D1066" t="str">
        <f>VLOOKUP(A1066,Planilha2!B:H,7,0)</f>
        <v>LINHA M1</v>
      </c>
      <c r="E1066" s="5">
        <v>1000</v>
      </c>
      <c r="F1066">
        <f>IFERROR(
IF(ISNUMBER(FIND("CFW110",B1066)),
VALUE(MID(B1066,FIND("CFW110",B1066)+6,FIND("T",B1066,FIND("CFW110",B1066))-(FIND("CFW110",B1066)+6))),
IF(ISNUMBER(FIND("D",B1066)),
VALUE(SUBSTITUTE(MID(B1066,FIND("D",B1066)+1,FIND("T",B1066,FIND("D",B1066))-(FIND("D",B1066)+1)),"P",",")),
IF(ISNUMBER(FIND("CFW5",B1066)),
VALUE(MID(B1066,
IF(ISNUMBER(FIND("F",B1066)),FIND("F",B1066)+1,FIND("G",B1066)+1),
FIND("T",B1066)-(IF(ISNUMBER(FIND("F",B1066)),FIND("F",B1066)+1,FIND("G",B1066)+1))
)),
VALUE(MID(B1066,FIND("E0",B1066)+2,FIND("T",B1066,FIND("E0",B1066))-(FIND("E0",B1066)+2)))
))),"")</f>
        <v>27</v>
      </c>
      <c r="G1066">
        <f>IFERROR(
IF(ISNUMBER(FIND("T2",B1066)),220,
IF(ISNUMBER(FIND("T4",B1066)),440,
IF(ISNUMBER(FIND("T5",B1066)),575,
IF(ISNUMBER(FIND("T6",B1066)),690,"")))),
"")</f>
        <v>575</v>
      </c>
    </row>
    <row r="1067" spans="1:7" x14ac:dyDescent="0.25">
      <c r="A1067">
        <v>12600797</v>
      </c>
      <c r="B1067" t="str">
        <f>VLOOKUP(A1067,Planilha2!B:C,2,0)</f>
        <v>INVERSOR SACFW110032T5ONFZ</v>
      </c>
      <c r="C1067" t="s">
        <v>1</v>
      </c>
      <c r="D1067" t="str">
        <f>VLOOKUP(A1067,Planilha2!B:H,7,0)</f>
        <v>LINHA M1</v>
      </c>
      <c r="E1067" s="5">
        <v>26000</v>
      </c>
      <c r="F1067">
        <f>IFERROR(
IF(ISNUMBER(FIND("CFW110",B1067)),
VALUE(MID(B1067,FIND("CFW110",B1067)+6,FIND("T",B1067,FIND("CFW110",B1067))-(FIND("CFW110",B1067)+6))),
IF(ISNUMBER(FIND("D",B1067)),
VALUE(SUBSTITUTE(MID(B1067,FIND("D",B1067)+1,FIND("T",B1067,FIND("D",B1067))-(FIND("D",B1067)+1)),"P",",")),
IF(ISNUMBER(FIND("CFW5",B1067)),
VALUE(MID(B1067,
IF(ISNUMBER(FIND("F",B1067)),FIND("F",B1067)+1,FIND("G",B1067)+1),
FIND("T",B1067)-(IF(ISNUMBER(FIND("F",B1067)),FIND("F",B1067)+1,FIND("G",B1067)+1))
)),
VALUE(MID(B1067,FIND("E0",B1067)+2,FIND("T",B1067,FIND("E0",B1067))-(FIND("E0",B1067)+2)))
))),"")</f>
        <v>32</v>
      </c>
      <c r="G1067">
        <f>IFERROR(
IF(ISNUMBER(FIND("T2",B1067)),220,
IF(ISNUMBER(FIND("T4",B1067)),440,
IF(ISNUMBER(FIND("T5",B1067)),575,
IF(ISNUMBER(FIND("T6",B1067)),690,"")))),
"")</f>
        <v>575</v>
      </c>
    </row>
    <row r="1068" spans="1:7" x14ac:dyDescent="0.25">
      <c r="A1068">
        <v>12600949</v>
      </c>
      <c r="B1068" t="str">
        <f>VLOOKUP(A1068,Planilha2!B:C,2,0)</f>
        <v>INVERSOR SACFW110044T5ONFZ</v>
      </c>
      <c r="C1068" t="s">
        <v>1</v>
      </c>
      <c r="D1068" t="str">
        <f>VLOOKUP(A1068,Planilha2!B:H,7,0)</f>
        <v>LINHA M1</v>
      </c>
      <c r="E1068" s="5">
        <v>20050</v>
      </c>
      <c r="F1068">
        <f>IFERROR(
IF(ISNUMBER(FIND("CFW110",B1068)),
VALUE(MID(B1068,FIND("CFW110",B1068)+6,FIND("T",B1068,FIND("CFW110",B1068))-(FIND("CFW110",B1068)+6))),
IF(ISNUMBER(FIND("D",B1068)),
VALUE(SUBSTITUTE(MID(B1068,FIND("D",B1068)+1,FIND("T",B1068,FIND("D",B1068))-(FIND("D",B1068)+1)),"P",",")),
IF(ISNUMBER(FIND("CFW5",B1068)),
VALUE(MID(B1068,
IF(ISNUMBER(FIND("F",B1068)),FIND("F",B1068)+1,FIND("G",B1068)+1),
FIND("T",B1068)-(IF(ISNUMBER(FIND("F",B1068)),FIND("F",B1068)+1,FIND("G",B1068)+1))
)),
VALUE(MID(B1068,FIND("E0",B1068)+2,FIND("T",B1068,FIND("E0",B1068))-(FIND("E0",B1068)+2)))
))),"")</f>
        <v>44</v>
      </c>
      <c r="G1068">
        <f>IFERROR(
IF(ISNUMBER(FIND("T2",B1068)),220,
IF(ISNUMBER(FIND("T4",B1068)),440,
IF(ISNUMBER(FIND("T5",B1068)),575,
IF(ISNUMBER(FIND("T6",B1068)),690,"")))),
"")</f>
        <v>575</v>
      </c>
    </row>
    <row r="1069" spans="1:7" x14ac:dyDescent="0.25">
      <c r="A1069">
        <v>12579155</v>
      </c>
      <c r="B1069" t="str">
        <f>VLOOKUP(A1069,Planilha2!B:C,2,0)</f>
        <v>INVERSOR CFW701C38P0T4DB55C3</v>
      </c>
      <c r="C1069" t="s">
        <v>1</v>
      </c>
      <c r="D1069" t="str">
        <f>VLOOKUP(A1069,Planilha2!B:H,7,0)</f>
        <v>OBSOLETOS DRIVES</v>
      </c>
      <c r="E1069" s="5">
        <v>29711</v>
      </c>
      <c r="F1069" t="str">
        <f>IFERROR(
IF(ISNUMBER(FIND("CFW110",B1069)),
VALUE(MID(B1069,FIND("CFW110",B1069)+6,FIND("T",B1069,FIND("CFW110",B1069))-(FIND("CFW110",B1069)+6))),
IF(ISNUMBER(FIND("D",B1069)),
VALUE(SUBSTITUTE(MID(B1069,FIND("D",B1069)+1,FIND("T",B1069,FIND("D",B1069))-(FIND("D",B1069)+1)),"P",",")),
IF(ISNUMBER(FIND("CFW5",B1069)),
VALUE(MID(B1069,
IF(ISNUMBER(FIND("F",B1069)),FIND("F",B1069)+1,FIND("G",B1069)+1),
FIND("T",B1069)-(IF(ISNUMBER(FIND("F",B1069)),FIND("F",B1069)+1,FIND("G",B1069)+1))
)),
VALUE(MID(B1069,FIND("E0",B1069)+2,FIND("T",B1069,FIND("E0",B1069))-(FIND("E0",B1069)+2)))
))),"")</f>
        <v/>
      </c>
      <c r="G1069">
        <f>IFERROR(
IF(ISNUMBER(FIND("T2",B1069)),220,
IF(ISNUMBER(FIND("T4",B1069)),440,
IF(ISNUMBER(FIND("T5",B1069)),575,
IF(ISNUMBER(FIND("T6",B1069)),690,"")))),
"")</f>
        <v>440</v>
      </c>
    </row>
    <row r="1070" spans="1:7" x14ac:dyDescent="0.25">
      <c r="A1070">
        <v>12579136</v>
      </c>
      <c r="B1070" t="str">
        <f>VLOOKUP(A1070,Planilha2!B:C,2,0)</f>
        <v>INVERSOR CFW701C45P0T2DB55C3</v>
      </c>
      <c r="C1070" t="s">
        <v>1</v>
      </c>
      <c r="D1070" t="str">
        <f>VLOOKUP(A1070,Planilha2!B:H,7,0)</f>
        <v>OBSOLETOS DRIVES</v>
      </c>
      <c r="E1070" s="5">
        <v>15847</v>
      </c>
      <c r="F1070" t="str">
        <f>IFERROR(
IF(ISNUMBER(FIND("CFW110",B1070)),
VALUE(MID(B1070,FIND("CFW110",B1070)+6,FIND("T",B1070,FIND("CFW110",B1070))-(FIND("CFW110",B1070)+6))),
IF(ISNUMBER(FIND("D",B1070)),
VALUE(SUBSTITUTE(MID(B1070,FIND("D",B1070)+1,FIND("T",B1070,FIND("D",B1070))-(FIND("D",B1070)+1)),"P",",")),
IF(ISNUMBER(FIND("CFW5",B1070)),
VALUE(MID(B1070,
IF(ISNUMBER(FIND("F",B1070)),FIND("F",B1070)+1,FIND("G",B1070)+1),
FIND("T",B1070)-(IF(ISNUMBER(FIND("F",B1070)),FIND("F",B1070)+1,FIND("G",B1070)+1))
)),
VALUE(MID(B1070,FIND("E0",B1070)+2,FIND("T",B1070,FIND("E0",B1070))-(FIND("E0",B1070)+2)))
))),"")</f>
        <v/>
      </c>
      <c r="G1070">
        <f>IFERROR(
IF(ISNUMBER(FIND("T2",B1070)),220,
IF(ISNUMBER(FIND("T4",B1070)),440,
IF(ISNUMBER(FIND("T5",B1070)),575,
IF(ISNUMBER(FIND("T6",B1070)),690,"")))),
"")</f>
        <v>220</v>
      </c>
    </row>
    <row r="1071" spans="1:7" x14ac:dyDescent="0.25">
      <c r="A1071">
        <v>12579156</v>
      </c>
      <c r="B1071" t="str">
        <f>VLOOKUP(A1071,Planilha2!B:C,2,0)</f>
        <v>INVERSOR CFW701C45P0T4DB55C3</v>
      </c>
      <c r="C1071" t="s">
        <v>1</v>
      </c>
      <c r="D1071" t="str">
        <f>VLOOKUP(A1071,Planilha2!B:H,7,0)</f>
        <v>OBSOLETOS DRIVES</v>
      </c>
      <c r="E1071" s="5">
        <v>29711</v>
      </c>
      <c r="F1071" t="str">
        <f>IFERROR(
IF(ISNUMBER(FIND("CFW110",B1071)),
VALUE(MID(B1071,FIND("CFW110",B1071)+6,FIND("T",B1071,FIND("CFW110",B1071))-(FIND("CFW110",B1071)+6))),
IF(ISNUMBER(FIND("D",B1071)),
VALUE(SUBSTITUTE(MID(B1071,FIND("D",B1071)+1,FIND("T",B1071,FIND("D",B1071))-(FIND("D",B1071)+1)),"P",",")),
IF(ISNUMBER(FIND("CFW5",B1071)),
VALUE(MID(B1071,
IF(ISNUMBER(FIND("F",B1071)),FIND("F",B1071)+1,FIND("G",B1071)+1),
FIND("T",B1071)-(IF(ISNUMBER(FIND("F",B1071)),FIND("F",B1071)+1,FIND("G",B1071)+1))
)),
VALUE(MID(B1071,FIND("E0",B1071)+2,FIND("T",B1071,FIND("E0",B1071))-(FIND("E0",B1071)+2)))
))),"")</f>
        <v/>
      </c>
      <c r="G1071">
        <f>IFERROR(
IF(ISNUMBER(FIND("T2",B1071)),220,
IF(ISNUMBER(FIND("T4",B1071)),440,
IF(ISNUMBER(FIND("T5",B1071)),575,
IF(ISNUMBER(FIND("T6",B1071)),690,"")))),
"")</f>
        <v>440</v>
      </c>
    </row>
    <row r="1072" spans="1:7" x14ac:dyDescent="0.25">
      <c r="A1072">
        <v>12579150</v>
      </c>
      <c r="B1072" t="str">
        <f>VLOOKUP(A1072,Planilha2!B:C,2,0)</f>
        <v>INVERSOR CFW701C54P0T2DB55C3</v>
      </c>
      <c r="C1072" t="s">
        <v>1</v>
      </c>
      <c r="D1072" t="str">
        <f>VLOOKUP(A1072,Planilha2!B:H,7,0)</f>
        <v>OBSOLETOS DRIVES</v>
      </c>
      <c r="E1072" s="5">
        <v>21277</v>
      </c>
      <c r="F1072" t="str">
        <f>IFERROR(
IF(ISNUMBER(FIND("CFW110",B1072)),
VALUE(MID(B1072,FIND("CFW110",B1072)+6,FIND("T",B1072,FIND("CFW110",B1072))-(FIND("CFW110",B1072)+6))),
IF(ISNUMBER(FIND("D",B1072)),
VALUE(SUBSTITUTE(MID(B1072,FIND("D",B1072)+1,FIND("T",B1072,FIND("D",B1072))-(FIND("D",B1072)+1)),"P",",")),
IF(ISNUMBER(FIND("CFW5",B1072)),
VALUE(MID(B1072,
IF(ISNUMBER(FIND("F",B1072)),FIND("F",B1072)+1,FIND("G",B1072)+1),
FIND("T",B1072)-(IF(ISNUMBER(FIND("F",B1072)),FIND("F",B1072)+1,FIND("G",B1072)+1))
)),
VALUE(MID(B1072,FIND("E0",B1072)+2,FIND("T",B1072,FIND("E0",B1072))-(FIND("E0",B1072)+2)))
))),"")</f>
        <v/>
      </c>
      <c r="G1072">
        <f>IFERROR(
IF(ISNUMBER(FIND("T2",B1072)),220,
IF(ISNUMBER(FIND("T4",B1072)),440,
IF(ISNUMBER(FIND("T5",B1072)),575,
IF(ISNUMBER(FIND("T6",B1072)),690,"")))),
"")</f>
        <v>220</v>
      </c>
    </row>
    <row r="1073" spans="1:7" x14ac:dyDescent="0.25">
      <c r="A1073">
        <v>12579157</v>
      </c>
      <c r="B1073" t="str">
        <f>VLOOKUP(A1073,Planilha2!B:C,2,0)</f>
        <v>INVERSOR CFW701C58P5T4DB55C3</v>
      </c>
      <c r="C1073" t="s">
        <v>1</v>
      </c>
      <c r="D1073" t="str">
        <f>VLOOKUP(A1073,Planilha2!B:H,7,0)</f>
        <v>OBSOLETOS DRIVES</v>
      </c>
      <c r="E1073" s="5">
        <v>25711</v>
      </c>
      <c r="F1073" t="str">
        <f>IFERROR(
IF(ISNUMBER(FIND("CFW110",B1073)),
VALUE(MID(B1073,FIND("CFW110",B1073)+6,FIND("T",B1073,FIND("CFW110",B1073))-(FIND("CFW110",B1073)+6))),
IF(ISNUMBER(FIND("D",B1073)),
VALUE(SUBSTITUTE(MID(B1073,FIND("D",B1073)+1,FIND("T",B1073,FIND("D",B1073))-(FIND("D",B1073)+1)),"P",",")),
IF(ISNUMBER(FIND("CFW5",B1073)),
VALUE(MID(B1073,
IF(ISNUMBER(FIND("F",B1073)),FIND("F",B1073)+1,FIND("G",B1073)+1),
FIND("T",B1073)-(IF(ISNUMBER(FIND("F",B1073)),FIND("F",B1073)+1,FIND("G",B1073)+1))
)),
VALUE(MID(B1073,FIND("E0",B1073)+2,FIND("T",B1073,FIND("E0",B1073))-(FIND("E0",B1073)+2)))
))),"")</f>
        <v/>
      </c>
      <c r="G1073">
        <f>IFERROR(
IF(ISNUMBER(FIND("T2",B1073)),220,
IF(ISNUMBER(FIND("T4",B1073)),440,
IF(ISNUMBER(FIND("T5",B1073)),575,
IF(ISNUMBER(FIND("T6",B1073)),690,"")))),
"")</f>
        <v>440</v>
      </c>
    </row>
    <row r="1074" spans="1:7" x14ac:dyDescent="0.25">
      <c r="A1074">
        <v>12579151</v>
      </c>
      <c r="B1074" t="str">
        <f>VLOOKUP(A1074,Planilha2!B:C,2,0)</f>
        <v>INVERSOR CFW701C70P0T2DB55C3</v>
      </c>
      <c r="C1074" t="s">
        <v>1</v>
      </c>
      <c r="D1074" t="str">
        <f>VLOOKUP(A1074,Planilha2!B:H,7,0)</f>
        <v>OBSOLETOS DRIVES</v>
      </c>
      <c r="E1074" s="5">
        <v>18147</v>
      </c>
      <c r="F1074" t="str">
        <f>IFERROR(
IF(ISNUMBER(FIND("CFW110",B1074)),
VALUE(MID(B1074,FIND("CFW110",B1074)+6,FIND("T",B1074,FIND("CFW110",B1074))-(FIND("CFW110",B1074)+6))),
IF(ISNUMBER(FIND("D",B1074)),
VALUE(SUBSTITUTE(MID(B1074,FIND("D",B1074)+1,FIND("T",B1074,FIND("D",B1074))-(FIND("D",B1074)+1)),"P",",")),
IF(ISNUMBER(FIND("CFW5",B1074)),
VALUE(MID(B1074,
IF(ISNUMBER(FIND("F",B1074)),FIND("F",B1074)+1,FIND("G",B1074)+1),
FIND("T",B1074)-(IF(ISNUMBER(FIND("F",B1074)),FIND("F",B1074)+1,FIND("G",B1074)+1))
)),
VALUE(MID(B1074,FIND("E0",B1074)+2,FIND("T",B1074,FIND("E0",B1074))-(FIND("E0",B1074)+2)))
))),"")</f>
        <v/>
      </c>
      <c r="G1074">
        <f>IFERROR(
IF(ISNUMBER(FIND("T2",B1074)),220,
IF(ISNUMBER(FIND("T4",B1074)),440,
IF(ISNUMBER(FIND("T5",B1074)),575,
IF(ISNUMBER(FIND("T6",B1074)),690,"")))),
"")</f>
        <v>220</v>
      </c>
    </row>
    <row r="1075" spans="1:7" x14ac:dyDescent="0.25">
      <c r="A1075">
        <v>11996062</v>
      </c>
      <c r="B1075" t="str">
        <f>VLOOKUP(A1075,Planilha2!B:C,2,0)</f>
        <v>INVERSOR NACFW110007T5ON1NFYZ</v>
      </c>
      <c r="C1075" t="s">
        <v>1</v>
      </c>
      <c r="D1075" t="str">
        <f>VLOOKUP(A1075,Planilha2!B:H,7,0)</f>
        <v>LINHA P7</v>
      </c>
      <c r="E1075" s="5">
        <v>12500</v>
      </c>
      <c r="F1075">
        <f>IFERROR(
IF(ISNUMBER(FIND("CFW110",B1075)),
VALUE(MID(B1075,FIND("CFW110",B1075)+6,FIND("T",B1075,FIND("CFW110",B1075))-(FIND("CFW110",B1075)+6))),
IF(ISNUMBER(FIND("D",B1075)),
VALUE(SUBSTITUTE(MID(B1075,FIND("D",B1075)+1,FIND("T",B1075,FIND("D",B1075))-(FIND("D",B1075)+1)),"P",",")),
IF(ISNUMBER(FIND("CFW5",B1075)),
VALUE(MID(B1075,
IF(ISNUMBER(FIND("F",B1075)),FIND("F",B1075)+1,FIND("G",B1075)+1),
FIND("T",B1075)-(IF(ISNUMBER(FIND("F",B1075)),FIND("F",B1075)+1,FIND("G",B1075)+1))
)),
VALUE(MID(B1075,FIND("E0",B1075)+2,FIND("T",B1075,FIND("E0",B1075))-(FIND("E0",B1075)+2)))
))),"")</f>
        <v>7</v>
      </c>
      <c r="G1075">
        <f>IFERROR(
IF(ISNUMBER(FIND("T2",B1075)),220,
IF(ISNUMBER(FIND("T4",B1075)),440,
IF(ISNUMBER(FIND("T5",B1075)),575,
IF(ISNUMBER(FIND("T6",B1075)),690,"")))),
"")</f>
        <v>575</v>
      </c>
    </row>
    <row r="1076" spans="1:7" x14ac:dyDescent="0.25">
      <c r="A1076">
        <v>12619864</v>
      </c>
      <c r="B1076" t="str">
        <f>VLOOKUP(A1076,Planilha2!B:C,2,0)</f>
        <v>INVERSOR CFW701C38P0T4DB55C3DS</v>
      </c>
      <c r="C1076" t="s">
        <v>1</v>
      </c>
      <c r="D1076" t="str">
        <f>VLOOKUP(A1076,Planilha2!B:H,7,0)</f>
        <v>OBSOLETOS DRIVES</v>
      </c>
      <c r="E1076" s="5">
        <v>16400</v>
      </c>
      <c r="F1076" t="str">
        <f>IFERROR(
IF(ISNUMBER(FIND("CFW110",B1076)),
VALUE(MID(B1076,FIND("CFW110",B1076)+6,FIND("T",B1076,FIND("CFW110",B1076))-(FIND("CFW110",B1076)+6))),
IF(ISNUMBER(FIND("D",B1076)),
VALUE(SUBSTITUTE(MID(B1076,FIND("D",B1076)+1,FIND("T",B1076,FIND("D",B1076))-(FIND("D",B1076)+1)),"P",",")),
IF(ISNUMBER(FIND("CFW5",B1076)),
VALUE(MID(B1076,
IF(ISNUMBER(FIND("F",B1076)),FIND("F",B1076)+1,FIND("G",B1076)+1),
FIND("T",B1076)-(IF(ISNUMBER(FIND("F",B1076)),FIND("F",B1076)+1,FIND("G",B1076)+1))
)),
VALUE(MID(B1076,FIND("E0",B1076)+2,FIND("T",B1076,FIND("E0",B1076))-(FIND("E0",B1076)+2)))
))),"")</f>
        <v/>
      </c>
      <c r="G1076">
        <f>IFERROR(
IF(ISNUMBER(FIND("T2",B1076)),220,
IF(ISNUMBER(FIND("T4",B1076)),440,
IF(ISNUMBER(FIND("T5",B1076)),575,
IF(ISNUMBER(FIND("T6",B1076)),690,"")))),
"")</f>
        <v>440</v>
      </c>
    </row>
    <row r="1077" spans="1:7" x14ac:dyDescent="0.25">
      <c r="A1077">
        <v>12619867</v>
      </c>
      <c r="B1077" t="str">
        <f>VLOOKUP(A1077,Planilha2!B:C,2,0)</f>
        <v>INVERSOR CFW701C45P0T4DB55C3DS</v>
      </c>
      <c r="C1077" t="s">
        <v>1</v>
      </c>
      <c r="D1077" t="str">
        <f>VLOOKUP(A1077,Planilha2!B:H,7,0)</f>
        <v>OBSOLETOS DRIVES</v>
      </c>
      <c r="E1077" s="5">
        <v>19600</v>
      </c>
      <c r="F1077" t="str">
        <f>IFERROR(
IF(ISNUMBER(FIND("CFW110",B1077)),
VALUE(MID(B1077,FIND("CFW110",B1077)+6,FIND("T",B1077,FIND("CFW110",B1077))-(FIND("CFW110",B1077)+6))),
IF(ISNUMBER(FIND("D",B1077)),
VALUE(SUBSTITUTE(MID(B1077,FIND("D",B1077)+1,FIND("T",B1077,FIND("D",B1077))-(FIND("D",B1077)+1)),"P",",")),
IF(ISNUMBER(FIND("CFW5",B1077)),
VALUE(MID(B1077,
IF(ISNUMBER(FIND("F",B1077)),FIND("F",B1077)+1,FIND("G",B1077)+1),
FIND("T",B1077)-(IF(ISNUMBER(FIND("F",B1077)),FIND("F",B1077)+1,FIND("G",B1077)+1))
)),
VALUE(MID(B1077,FIND("E0",B1077)+2,FIND("T",B1077,FIND("E0",B1077))-(FIND("E0",B1077)+2)))
))),"")</f>
        <v/>
      </c>
      <c r="G1077">
        <f>IFERROR(
IF(ISNUMBER(FIND("T2",B1077)),220,
IF(ISNUMBER(FIND("T4",B1077)),440,
IF(ISNUMBER(FIND("T5",B1077)),575,
IF(ISNUMBER(FIND("T6",B1077)),690,"")))),
"")</f>
        <v>440</v>
      </c>
    </row>
    <row r="1078" spans="1:7" x14ac:dyDescent="0.25">
      <c r="A1078">
        <v>12619900</v>
      </c>
      <c r="B1078" t="str">
        <f>VLOOKUP(A1078,Planilha2!B:C,2,0)</f>
        <v>INVERSOR CFW701C58P5T4DB55C3DS</v>
      </c>
      <c r="C1078" t="s">
        <v>1</v>
      </c>
      <c r="D1078" t="str">
        <f>VLOOKUP(A1078,Planilha2!B:H,7,0)</f>
        <v>OBSOLETOS DRIVES</v>
      </c>
      <c r="E1078" s="5">
        <v>20500</v>
      </c>
      <c r="F1078" t="str">
        <f>IFERROR(
IF(ISNUMBER(FIND("CFW110",B1078)),
VALUE(MID(B1078,FIND("CFW110",B1078)+6,FIND("T",B1078,FIND("CFW110",B1078))-(FIND("CFW110",B1078)+6))),
IF(ISNUMBER(FIND("D",B1078)),
VALUE(SUBSTITUTE(MID(B1078,FIND("D",B1078)+1,FIND("T",B1078,FIND("D",B1078))-(FIND("D",B1078)+1)),"P",",")),
IF(ISNUMBER(FIND("CFW5",B1078)),
VALUE(MID(B1078,
IF(ISNUMBER(FIND("F",B1078)),FIND("F",B1078)+1,FIND("G",B1078)+1),
FIND("T",B1078)-(IF(ISNUMBER(FIND("F",B1078)),FIND("F",B1078)+1,FIND("G",B1078)+1))
)),
VALUE(MID(B1078,FIND("E0",B1078)+2,FIND("T",B1078,FIND("E0",B1078))-(FIND("E0",B1078)+2)))
))),"")</f>
        <v/>
      </c>
      <c r="G1078">
        <f>IFERROR(
IF(ISNUMBER(FIND("T2",B1078)),220,
IF(ISNUMBER(FIND("T4",B1078)),440,
IF(ISNUMBER(FIND("T5",B1078)),575,
IF(ISNUMBER(FIND("T6",B1078)),690,"")))),
"")</f>
        <v>440</v>
      </c>
    </row>
    <row r="1079" spans="1:7" x14ac:dyDescent="0.25">
      <c r="A1079">
        <v>12619865</v>
      </c>
      <c r="B1079" t="str">
        <f>VLOOKUP(A1079,Planilha2!B:C,2,0)</f>
        <v>INVERSOR CFW701C45P0T2DB55C3DS</v>
      </c>
      <c r="C1079" t="s">
        <v>1</v>
      </c>
      <c r="D1079" t="str">
        <f>VLOOKUP(A1079,Planilha2!B:H,7,0)</f>
        <v>OBSOLETOS DRIVES</v>
      </c>
      <c r="E1079" s="5">
        <v>15600</v>
      </c>
      <c r="F1079" t="str">
        <f>IFERROR(
IF(ISNUMBER(FIND("CFW110",B1079)),
VALUE(MID(B1079,FIND("CFW110",B1079)+6,FIND("T",B1079,FIND("CFW110",B1079))-(FIND("CFW110",B1079)+6))),
IF(ISNUMBER(FIND("D",B1079)),
VALUE(SUBSTITUTE(MID(B1079,FIND("D",B1079)+1,FIND("T",B1079,FIND("D",B1079))-(FIND("D",B1079)+1)),"P",",")),
IF(ISNUMBER(FIND("CFW5",B1079)),
VALUE(MID(B1079,
IF(ISNUMBER(FIND("F",B1079)),FIND("F",B1079)+1,FIND("G",B1079)+1),
FIND("T",B1079)-(IF(ISNUMBER(FIND("F",B1079)),FIND("F",B1079)+1,FIND("G",B1079)+1))
)),
VALUE(MID(B1079,FIND("E0",B1079)+2,FIND("T",B1079,FIND("E0",B1079))-(FIND("E0",B1079)+2)))
))),"")</f>
        <v/>
      </c>
      <c r="G1079">
        <f>IFERROR(
IF(ISNUMBER(FIND("T2",B1079)),220,
IF(ISNUMBER(FIND("T4",B1079)),440,
IF(ISNUMBER(FIND("T5",B1079)),575,
IF(ISNUMBER(FIND("T6",B1079)),690,"")))),
"")</f>
        <v>220</v>
      </c>
    </row>
    <row r="1080" spans="1:7" x14ac:dyDescent="0.25">
      <c r="A1080">
        <v>12619898</v>
      </c>
      <c r="B1080" t="str">
        <f>VLOOKUP(A1080,Planilha2!B:C,2,0)</f>
        <v>INVERSOR CFW701C54P0T2DB55C3DS</v>
      </c>
      <c r="C1080" t="s">
        <v>1</v>
      </c>
      <c r="D1080" t="str">
        <f>VLOOKUP(A1080,Planilha2!B:H,7,0)</f>
        <v>OBSOLETOS DRIVES</v>
      </c>
      <c r="E1080" s="5">
        <v>16000</v>
      </c>
      <c r="F1080" t="str">
        <f>IFERROR(
IF(ISNUMBER(FIND("CFW110",B1080)),
VALUE(MID(B1080,FIND("CFW110",B1080)+6,FIND("T",B1080,FIND("CFW110",B1080))-(FIND("CFW110",B1080)+6))),
IF(ISNUMBER(FIND("D",B1080)),
VALUE(SUBSTITUTE(MID(B1080,FIND("D",B1080)+1,FIND("T",B1080,FIND("D",B1080))-(FIND("D",B1080)+1)),"P",",")),
IF(ISNUMBER(FIND("CFW5",B1080)),
VALUE(MID(B1080,
IF(ISNUMBER(FIND("F",B1080)),FIND("F",B1080)+1,FIND("G",B1080)+1),
FIND("T",B1080)-(IF(ISNUMBER(FIND("F",B1080)),FIND("F",B1080)+1,FIND("G",B1080)+1))
)),
VALUE(MID(B1080,FIND("E0",B1080)+2,FIND("T",B1080,FIND("E0",B1080))-(FIND("E0",B1080)+2)))
))),"")</f>
        <v/>
      </c>
      <c r="G1080">
        <f>IFERROR(
IF(ISNUMBER(FIND("T2",B1080)),220,
IF(ISNUMBER(FIND("T4",B1080)),440,
IF(ISNUMBER(FIND("T5",B1080)),575,
IF(ISNUMBER(FIND("T6",B1080)),690,"")))),
"")</f>
        <v>220</v>
      </c>
    </row>
    <row r="1081" spans="1:7" x14ac:dyDescent="0.25">
      <c r="A1081">
        <v>12619901</v>
      </c>
      <c r="B1081" t="str">
        <f>VLOOKUP(A1081,Planilha2!B:C,2,0)</f>
        <v>INVERSOR CFW701C70P0T2DB55C3DS</v>
      </c>
      <c r="C1081" t="s">
        <v>1</v>
      </c>
      <c r="D1081" t="str">
        <f>VLOOKUP(A1081,Planilha2!B:H,7,0)</f>
        <v>OBSOLETOS DRIVES</v>
      </c>
      <c r="E1081" s="5">
        <v>17900</v>
      </c>
      <c r="F1081" t="str">
        <f>IFERROR(
IF(ISNUMBER(FIND("CFW110",B1081)),
VALUE(MID(B1081,FIND("CFW110",B1081)+6,FIND("T",B1081,FIND("CFW110",B1081))-(FIND("CFW110",B1081)+6))),
IF(ISNUMBER(FIND("D",B1081)),
VALUE(SUBSTITUTE(MID(B1081,FIND("D",B1081)+1,FIND("T",B1081,FIND("D",B1081))-(FIND("D",B1081)+1)),"P",",")),
IF(ISNUMBER(FIND("CFW5",B1081)),
VALUE(MID(B1081,
IF(ISNUMBER(FIND("F",B1081)),FIND("F",B1081)+1,FIND("G",B1081)+1),
FIND("T",B1081)-(IF(ISNUMBER(FIND("F",B1081)),FIND("F",B1081)+1,FIND("G",B1081)+1))
)),
VALUE(MID(B1081,FIND("E0",B1081)+2,FIND("T",B1081,FIND("E0",B1081))-(FIND("E0",B1081)+2)))
))),"")</f>
        <v/>
      </c>
      <c r="G1081">
        <f>IFERROR(
IF(ISNUMBER(FIND("T2",B1081)),220,
IF(ISNUMBER(FIND("T4",B1081)),440,
IF(ISNUMBER(FIND("T5",B1081)),575,
IF(ISNUMBER(FIND("T6",B1081)),690,"")))),
"")</f>
        <v>220</v>
      </c>
    </row>
    <row r="1082" spans="1:7" x14ac:dyDescent="0.25">
      <c r="A1082">
        <v>11988637</v>
      </c>
      <c r="B1082" t="str">
        <f>VLOOKUP(A1082,Planilha2!B:C,2,0)</f>
        <v>INVERSOR SACFW110027T6OYZ</v>
      </c>
      <c r="C1082" t="s">
        <v>1</v>
      </c>
      <c r="D1082" t="str">
        <f>VLOOKUP(A1082,Planilha2!B:H,7,0)</f>
        <v>LINHA M3</v>
      </c>
      <c r="E1082" s="5">
        <v>29500</v>
      </c>
      <c r="F1082">
        <f>IFERROR(
IF(ISNUMBER(FIND("CFW110",B1082)),
VALUE(MID(B1082,FIND("CFW110",B1082)+6,FIND("T",B1082,FIND("CFW110",B1082))-(FIND("CFW110",B1082)+6))),
IF(ISNUMBER(FIND("D",B1082)),
VALUE(SUBSTITUTE(MID(B1082,FIND("D",B1082)+1,FIND("T",B1082,FIND("D",B1082))-(FIND("D",B1082)+1)),"P",",")),
IF(ISNUMBER(FIND("CFW5",B1082)),
VALUE(MID(B1082,
IF(ISNUMBER(FIND("F",B1082)),FIND("F",B1082)+1,FIND("G",B1082)+1),
FIND("T",B1082)-(IF(ISNUMBER(FIND("F",B1082)),FIND("F",B1082)+1,FIND("G",B1082)+1))
)),
VALUE(MID(B1082,FIND("E0",B1082)+2,FIND("T",B1082,FIND("E0",B1082))-(FIND("E0",B1082)+2)))
))),"")</f>
        <v>27</v>
      </c>
      <c r="G1082">
        <f>IFERROR(
IF(ISNUMBER(FIND("T2",B1082)),220,
IF(ISNUMBER(FIND("T4",B1082)),440,
IF(ISNUMBER(FIND("T5",B1082)),575,
IF(ISNUMBER(FIND("T6",B1082)),690,"")))),
"")</f>
        <v>690</v>
      </c>
    </row>
    <row r="1083" spans="1:7" x14ac:dyDescent="0.25">
      <c r="A1083">
        <v>11988878</v>
      </c>
      <c r="B1083" t="str">
        <f>VLOOKUP(A1083,Planilha2!B:C,2,0)</f>
        <v>INVERSOR EUCFW110007T6OYZ</v>
      </c>
      <c r="C1083" t="s">
        <v>1</v>
      </c>
      <c r="D1083" t="str">
        <f>VLOOKUP(A1083,Planilha2!B:H,7,0)</f>
        <v>LINHA M3</v>
      </c>
      <c r="E1083" s="5">
        <v>29500</v>
      </c>
      <c r="F1083">
        <f>IFERROR(
IF(ISNUMBER(FIND("CFW110",B1083)),
VALUE(MID(B1083,FIND("CFW110",B1083)+6,FIND("T",B1083,FIND("CFW110",B1083))-(FIND("CFW110",B1083)+6))),
IF(ISNUMBER(FIND("D",B1083)),
VALUE(SUBSTITUTE(MID(B1083,FIND("D",B1083)+1,FIND("T",B1083,FIND("D",B1083))-(FIND("D",B1083)+1)),"P",",")),
IF(ISNUMBER(FIND("CFW5",B1083)),
VALUE(MID(B1083,
IF(ISNUMBER(FIND("F",B1083)),FIND("F",B1083)+1,FIND("G",B1083)+1),
FIND("T",B1083)-(IF(ISNUMBER(FIND("F",B1083)),FIND("F",B1083)+1,FIND("G",B1083)+1))
)),
VALUE(MID(B1083,FIND("E0",B1083)+2,FIND("T",B1083,FIND("E0",B1083))-(FIND("E0",B1083)+2)))
))),"")</f>
        <v>7</v>
      </c>
      <c r="G1083">
        <f>IFERROR(
IF(ISNUMBER(FIND("T2",B1083)),220,
IF(ISNUMBER(FIND("T4",B1083)),440,
IF(ISNUMBER(FIND("T5",B1083)),575,
IF(ISNUMBER(FIND("T6",B1083)),690,"")))),
"")</f>
        <v>690</v>
      </c>
    </row>
    <row r="1084" spans="1:7" x14ac:dyDescent="0.25">
      <c r="A1084">
        <v>14363373</v>
      </c>
      <c r="B1084" t="str">
        <f>VLOOKUP(A1084,Planilha2!B:C,2,0)</f>
        <v>INVERSOR BRCFW110088T4OFAYH8SKZ</v>
      </c>
      <c r="C1084" t="s">
        <v>1</v>
      </c>
      <c r="D1084" t="str">
        <f>VLOOKUP(A1084,Planilha2!B:H,7,0)</f>
        <v>LINHA M3</v>
      </c>
      <c r="E1084" s="5">
        <v>33060</v>
      </c>
      <c r="F1084">
        <f>IFERROR(
IF(ISNUMBER(FIND("CFW110",B1084)),
VALUE(MID(B1084,FIND("CFW110",B1084)+6,FIND("T",B1084,FIND("CFW110",B1084))-(FIND("CFW110",B1084)+6))),
IF(ISNUMBER(FIND("D",B1084)),
VALUE(SUBSTITUTE(MID(B1084,FIND("D",B1084)+1,FIND("T",B1084,FIND("D",B1084))-(FIND("D",B1084)+1)),"P",",")),
IF(ISNUMBER(FIND("CFW5",B1084)),
VALUE(MID(B1084,
IF(ISNUMBER(FIND("F",B1084)),FIND("F",B1084)+1,FIND("G",B1084)+1),
FIND("T",B1084)-(IF(ISNUMBER(FIND("F",B1084)),FIND("F",B1084)+1,FIND("G",B1084)+1))
)),
VALUE(MID(B1084,FIND("E0",B1084)+2,FIND("T",B1084,FIND("E0",B1084))-(FIND("E0",B1084)+2)))
))),"")</f>
        <v>88</v>
      </c>
      <c r="G1084">
        <f>IFERROR(
IF(ISNUMBER(FIND("T2",B1084)),220,
IF(ISNUMBER(FIND("T4",B1084)),440,
IF(ISNUMBER(FIND("T5",B1084)),575,
IF(ISNUMBER(FIND("T6",B1084)),690,"")))),
"")</f>
        <v>440</v>
      </c>
    </row>
    <row r="1085" spans="1:7" x14ac:dyDescent="0.25">
      <c r="A1085">
        <v>14363132</v>
      </c>
      <c r="B1085" t="str">
        <f>VLOOKUP(A1085,Planilha2!B:C,2,0)</f>
        <v>INVERSOR BRCFW110070T4OFAYH8SKZ</v>
      </c>
      <c r="C1085" t="s">
        <v>1</v>
      </c>
      <c r="D1085" t="str">
        <f>VLOOKUP(A1085,Planilha2!B:H,7,0)</f>
        <v>LINHA M3</v>
      </c>
      <c r="E1085" s="5">
        <v>26400</v>
      </c>
      <c r="F1085">
        <f>IFERROR(
IF(ISNUMBER(FIND("CFW110",B1085)),
VALUE(MID(B1085,FIND("CFW110",B1085)+6,FIND("T",B1085,FIND("CFW110",B1085))-(FIND("CFW110",B1085)+6))),
IF(ISNUMBER(FIND("D",B1085)),
VALUE(SUBSTITUTE(MID(B1085,FIND("D",B1085)+1,FIND("T",B1085,FIND("D",B1085))-(FIND("D",B1085)+1)),"P",",")),
IF(ISNUMBER(FIND("CFW5",B1085)),
VALUE(MID(B1085,
IF(ISNUMBER(FIND("F",B1085)),FIND("F",B1085)+1,FIND("G",B1085)+1),
FIND("T",B1085)-(IF(ISNUMBER(FIND("F",B1085)),FIND("F",B1085)+1,FIND("G",B1085)+1))
)),
VALUE(MID(B1085,FIND("E0",B1085)+2,FIND("T",B1085,FIND("E0",B1085))-(FIND("E0",B1085)+2)))
))),"")</f>
        <v>70</v>
      </c>
      <c r="G1085">
        <f>IFERROR(
IF(ISNUMBER(FIND("T2",B1085)),220,
IF(ISNUMBER(FIND("T4",B1085)),440,
IF(ISNUMBER(FIND("T5",B1085)),575,
IF(ISNUMBER(FIND("T6",B1085)),690,"")))),
"")</f>
        <v>440</v>
      </c>
    </row>
    <row r="1086" spans="1:7" x14ac:dyDescent="0.25">
      <c r="A1086">
        <v>13537946</v>
      </c>
      <c r="B1086" t="str">
        <f>VLOOKUP(A1086,Planilha2!B:C,2,0)</f>
        <v>INVERSOR BRCFW110105T2O55DSZ</v>
      </c>
      <c r="C1086" t="s">
        <v>1</v>
      </c>
      <c r="D1086" t="str">
        <f>VLOOKUP(A1086,Planilha2!B:H,7,0)</f>
        <v>LINHA M3</v>
      </c>
      <c r="E1086" t="s">
        <v>3172</v>
      </c>
      <c r="F1086">
        <f>IFERROR(
IF(ISNUMBER(FIND("CFW110",B1086)),
VALUE(MID(B1086,FIND("CFW110",B1086)+6,FIND("T",B1086,FIND("CFW110",B1086))-(FIND("CFW110",B1086)+6))),
IF(ISNUMBER(FIND("D",B1086)),
VALUE(SUBSTITUTE(MID(B1086,FIND("D",B1086)+1,FIND("T",B1086,FIND("D",B1086))-(FIND("D",B1086)+1)),"P",",")),
IF(ISNUMBER(FIND("CFW5",B1086)),
VALUE(MID(B1086,
IF(ISNUMBER(FIND("F",B1086)),FIND("F",B1086)+1,FIND("G",B1086)+1),
FIND("T",B1086)-(IF(ISNUMBER(FIND("F",B1086)),FIND("F",B1086)+1,FIND("G",B1086)+1))
)),
VALUE(MID(B1086,FIND("E0",B1086)+2,FIND("T",B1086,FIND("E0",B1086))-(FIND("E0",B1086)+2)))
))),"")</f>
        <v>105</v>
      </c>
      <c r="G1086">
        <f>IFERROR(
IF(ISNUMBER(FIND("T2",B1086)),220,
IF(ISNUMBER(FIND("T4",B1086)),440,
IF(ISNUMBER(FIND("T5",B1086)),575,
IF(ISNUMBER(FIND("T6",B1086)),690,"")))),
"")</f>
        <v>220</v>
      </c>
    </row>
    <row r="1087" spans="1:7" x14ac:dyDescent="0.25">
      <c r="A1087">
        <v>13537385</v>
      </c>
      <c r="B1087" t="str">
        <f>VLOOKUP(A1087,Planilha2!B:C,2,0)</f>
        <v>INVERSOR BRCFW110045T2O55Z</v>
      </c>
      <c r="C1087" t="s">
        <v>1</v>
      </c>
      <c r="D1087" t="str">
        <f>VLOOKUP(A1087,Planilha2!B:H,7,0)</f>
        <v>LINHA M3</v>
      </c>
      <c r="E1087" t="s">
        <v>3172</v>
      </c>
      <c r="F1087">
        <f>IFERROR(
IF(ISNUMBER(FIND("CFW110",B1087)),
VALUE(MID(B1087,FIND("CFW110",B1087)+6,FIND("T",B1087,FIND("CFW110",B1087))-(FIND("CFW110",B1087)+6))),
IF(ISNUMBER(FIND("D",B1087)),
VALUE(SUBSTITUTE(MID(B1087,FIND("D",B1087)+1,FIND("T",B1087,FIND("D",B1087))-(FIND("D",B1087)+1)),"P",",")),
IF(ISNUMBER(FIND("CFW5",B1087)),
VALUE(MID(B1087,
IF(ISNUMBER(FIND("F",B1087)),FIND("F",B1087)+1,FIND("G",B1087)+1),
FIND("T",B1087)-(IF(ISNUMBER(FIND("F",B1087)),FIND("F",B1087)+1,FIND("G",B1087)+1))
)),
VALUE(MID(B1087,FIND("E0",B1087)+2,FIND("T",B1087,FIND("E0",B1087))-(FIND("E0",B1087)+2)))
))),"")</f>
        <v>45</v>
      </c>
      <c r="G1087">
        <f>IFERROR(
IF(ISNUMBER(FIND("T2",B1087)),220,
IF(ISNUMBER(FIND("T4",B1087)),440,
IF(ISNUMBER(FIND("T5",B1087)),575,
IF(ISNUMBER(FIND("T6",B1087)),690,"")))),
"")</f>
        <v>220</v>
      </c>
    </row>
    <row r="1088" spans="1:7" x14ac:dyDescent="0.25">
      <c r="A1088">
        <v>13537866</v>
      </c>
      <c r="B1088" t="str">
        <f>VLOOKUP(A1088,Planilha2!B:C,2,0)</f>
        <v>INVERSOR BRCFW110086T2O55Z</v>
      </c>
      <c r="C1088" t="s">
        <v>1</v>
      </c>
      <c r="D1088" t="str">
        <f>VLOOKUP(A1088,Planilha2!B:H,7,0)</f>
        <v>LINHA M3</v>
      </c>
      <c r="E1088" t="s">
        <v>3172</v>
      </c>
      <c r="F1088">
        <f>IFERROR(
IF(ISNUMBER(FIND("CFW110",B1088)),
VALUE(MID(B1088,FIND("CFW110",B1088)+6,FIND("T",B1088,FIND("CFW110",B1088))-(FIND("CFW110",B1088)+6))),
IF(ISNUMBER(FIND("D",B1088)),
VALUE(SUBSTITUTE(MID(B1088,FIND("D",B1088)+1,FIND("T",B1088,FIND("D",B1088))-(FIND("D",B1088)+1)),"P",",")),
IF(ISNUMBER(FIND("CFW5",B1088)),
VALUE(MID(B1088,
IF(ISNUMBER(FIND("F",B1088)),FIND("F",B1088)+1,FIND("G",B1088)+1),
FIND("T",B1088)-(IF(ISNUMBER(FIND("F",B1088)),FIND("F",B1088)+1,FIND("G",B1088)+1))
)),
VALUE(MID(B1088,FIND("E0",B1088)+2,FIND("T",B1088,FIND("E0",B1088))-(FIND("E0",B1088)+2)))
))),"")</f>
        <v>86</v>
      </c>
      <c r="G1088">
        <f>IFERROR(
IF(ISNUMBER(FIND("T2",B1088)),220,
IF(ISNUMBER(FIND("T4",B1088)),440,
IF(ISNUMBER(FIND("T5",B1088)),575,
IF(ISNUMBER(FIND("T6",B1088)),690,"")))),
"")</f>
        <v>220</v>
      </c>
    </row>
    <row r="1089" spans="1:7" x14ac:dyDescent="0.25">
      <c r="A1089">
        <v>13541495</v>
      </c>
      <c r="B1089" t="str">
        <f>VLOOKUP(A1089,Planilha2!B:C,2,0)</f>
        <v>INVERSOR BRCFW110142T2O55Z</v>
      </c>
      <c r="C1089" t="s">
        <v>1</v>
      </c>
      <c r="D1089" t="str">
        <f>VLOOKUP(A1089,Planilha2!B:H,7,0)</f>
        <v>LINHA E1</v>
      </c>
      <c r="E1089" s="5">
        <v>88100</v>
      </c>
      <c r="F1089">
        <f>IFERROR(
IF(ISNUMBER(FIND("CFW110",B1089)),
VALUE(MID(B1089,FIND("CFW110",B1089)+6,FIND("T",B1089,FIND("CFW110",B1089))-(FIND("CFW110",B1089)+6))),
IF(ISNUMBER(FIND("D",B1089)),
VALUE(SUBSTITUTE(MID(B1089,FIND("D",B1089)+1,FIND("T",B1089,FIND("D",B1089))-(FIND("D",B1089)+1)),"P",",")),
IF(ISNUMBER(FIND("CFW5",B1089)),
VALUE(MID(B1089,
IF(ISNUMBER(FIND("F",B1089)),FIND("F",B1089)+1,FIND("G",B1089)+1),
FIND("T",B1089)-(IF(ISNUMBER(FIND("F",B1089)),FIND("F",B1089)+1,FIND("G",B1089)+1))
)),
VALUE(MID(B1089,FIND("E0",B1089)+2,FIND("T",B1089,FIND("E0",B1089))-(FIND("E0",B1089)+2)))
))),"")</f>
        <v>142</v>
      </c>
      <c r="G1089">
        <f>IFERROR(
IF(ISNUMBER(FIND("T2",B1089)),220,
IF(ISNUMBER(FIND("T4",B1089)),440,
IF(ISNUMBER(FIND("T5",B1089)),575,
IF(ISNUMBER(FIND("T6",B1089)),690,"")))),
"")</f>
        <v>220</v>
      </c>
    </row>
    <row r="1090" spans="1:7" x14ac:dyDescent="0.25">
      <c r="A1090">
        <v>13537386</v>
      </c>
      <c r="B1090" t="str">
        <f>VLOOKUP(A1090,Planilha2!B:C,2,0)</f>
        <v>INVERSOR BRCFW110045T2O55DSZ</v>
      </c>
      <c r="C1090" t="s">
        <v>1</v>
      </c>
      <c r="D1090" t="str">
        <f>VLOOKUP(A1090,Planilha2!B:H,7,0)</f>
        <v>LINHA M3</v>
      </c>
      <c r="E1090" t="s">
        <v>3172</v>
      </c>
      <c r="F1090">
        <f>IFERROR(
IF(ISNUMBER(FIND("CFW110",B1090)),
VALUE(MID(B1090,FIND("CFW110",B1090)+6,FIND("T",B1090,FIND("CFW110",B1090))-(FIND("CFW110",B1090)+6))),
IF(ISNUMBER(FIND("D",B1090)),
VALUE(SUBSTITUTE(MID(B1090,FIND("D",B1090)+1,FIND("T",B1090,FIND("D",B1090))-(FIND("D",B1090)+1)),"P",",")),
IF(ISNUMBER(FIND("CFW5",B1090)),
VALUE(MID(B1090,
IF(ISNUMBER(FIND("F",B1090)),FIND("F",B1090)+1,FIND("G",B1090)+1),
FIND("T",B1090)-(IF(ISNUMBER(FIND("F",B1090)),FIND("F",B1090)+1,FIND("G",B1090)+1))
)),
VALUE(MID(B1090,FIND("E0",B1090)+2,FIND("T",B1090,FIND("E0",B1090))-(FIND("E0",B1090)+2)))
))),"")</f>
        <v>45</v>
      </c>
      <c r="G1090">
        <f>IFERROR(
IF(ISNUMBER(FIND("T2",B1090)),220,
IF(ISNUMBER(FIND("T4",B1090)),440,
IF(ISNUMBER(FIND("T5",B1090)),575,
IF(ISNUMBER(FIND("T6",B1090)),690,"")))),
"")</f>
        <v>220</v>
      </c>
    </row>
    <row r="1091" spans="1:7" x14ac:dyDescent="0.25">
      <c r="A1091">
        <v>13537387</v>
      </c>
      <c r="B1091" t="str">
        <f>VLOOKUP(A1091,Planilha2!B:C,2,0)</f>
        <v>INVERSOR NACFW110045T2O55Z</v>
      </c>
      <c r="C1091" t="s">
        <v>1</v>
      </c>
      <c r="D1091" t="str">
        <f>VLOOKUP(A1091,Planilha2!B:H,7,0)</f>
        <v>LINHA M3</v>
      </c>
      <c r="E1091" s="5">
        <v>15600</v>
      </c>
      <c r="F1091">
        <f>IFERROR(
IF(ISNUMBER(FIND("CFW110",B1091)),
VALUE(MID(B1091,FIND("CFW110",B1091)+6,FIND("T",B1091,FIND("CFW110",B1091))-(FIND("CFW110",B1091)+6))),
IF(ISNUMBER(FIND("D",B1091)),
VALUE(SUBSTITUTE(MID(B1091,FIND("D",B1091)+1,FIND("T",B1091,FIND("D",B1091))-(FIND("D",B1091)+1)),"P",",")),
IF(ISNUMBER(FIND("CFW5",B1091)),
VALUE(MID(B1091,
IF(ISNUMBER(FIND("F",B1091)),FIND("F",B1091)+1,FIND("G",B1091)+1),
FIND("T",B1091)-(IF(ISNUMBER(FIND("F",B1091)),FIND("F",B1091)+1,FIND("G",B1091)+1))
)),
VALUE(MID(B1091,FIND("E0",B1091)+2,FIND("T",B1091,FIND("E0",B1091))-(FIND("E0",B1091)+2)))
))),"")</f>
        <v>45</v>
      </c>
      <c r="G1091">
        <f>IFERROR(
IF(ISNUMBER(FIND("T2",B1091)),220,
IF(ISNUMBER(FIND("T4",B1091)),440,
IF(ISNUMBER(FIND("T5",B1091)),575,
IF(ISNUMBER(FIND("T6",B1091)),690,"")))),
"")</f>
        <v>220</v>
      </c>
    </row>
    <row r="1092" spans="1:7" x14ac:dyDescent="0.25">
      <c r="A1092">
        <v>13537449</v>
      </c>
      <c r="B1092" t="str">
        <f>VLOOKUP(A1092,Planilha2!B:C,2,0)</f>
        <v>INVERSOR NACFW110045T2O55DSZ</v>
      </c>
      <c r="C1092" t="s">
        <v>1</v>
      </c>
      <c r="D1092" t="str">
        <f>VLOOKUP(A1092,Planilha2!B:H,7,0)</f>
        <v>LINHA M3</v>
      </c>
      <c r="E1092" s="5">
        <v>17900</v>
      </c>
      <c r="F1092">
        <f>IFERROR(
IF(ISNUMBER(FIND("CFW110",B1092)),
VALUE(MID(B1092,FIND("CFW110",B1092)+6,FIND("T",B1092,FIND("CFW110",B1092))-(FIND("CFW110",B1092)+6))),
IF(ISNUMBER(FIND("D",B1092)),
VALUE(SUBSTITUTE(MID(B1092,FIND("D",B1092)+1,FIND("T",B1092,FIND("D",B1092))-(FIND("D",B1092)+1)),"P",",")),
IF(ISNUMBER(FIND("CFW5",B1092)),
VALUE(MID(B1092,
IF(ISNUMBER(FIND("F",B1092)),FIND("F",B1092)+1,FIND("G",B1092)+1),
FIND("T",B1092)-(IF(ISNUMBER(FIND("F",B1092)),FIND("F",B1092)+1,FIND("G",B1092)+1))
)),
VALUE(MID(B1092,FIND("E0",B1092)+2,FIND("T",B1092,FIND("E0",B1092))-(FIND("E0",B1092)+2)))
))),"")</f>
        <v>45</v>
      </c>
      <c r="G1092">
        <f>IFERROR(
IF(ISNUMBER(FIND("T2",B1092)),220,
IF(ISNUMBER(FIND("T4",B1092)),440,
IF(ISNUMBER(FIND("T5",B1092)),575,
IF(ISNUMBER(FIND("T6",B1092)),690,"")))),
"")</f>
        <v>220</v>
      </c>
    </row>
    <row r="1093" spans="1:7" x14ac:dyDescent="0.25">
      <c r="A1093">
        <v>13537450</v>
      </c>
      <c r="B1093" t="str">
        <f>VLOOKUP(A1093,Planilha2!B:C,2,0)</f>
        <v>INVERSOR BRCFW110054T2O55Z</v>
      </c>
      <c r="C1093" t="s">
        <v>1</v>
      </c>
      <c r="D1093" t="str">
        <f>VLOOKUP(A1093,Planilha2!B:H,7,0)</f>
        <v>LINHA M3</v>
      </c>
      <c r="E1093" t="s">
        <v>3172</v>
      </c>
      <c r="F1093">
        <f>IFERROR(
IF(ISNUMBER(FIND("CFW110",B1093)),
VALUE(MID(B1093,FIND("CFW110",B1093)+6,FIND("T",B1093,FIND("CFW110",B1093))-(FIND("CFW110",B1093)+6))),
IF(ISNUMBER(FIND("D",B1093)),
VALUE(SUBSTITUTE(MID(B1093,FIND("D",B1093)+1,FIND("T",B1093,FIND("D",B1093))-(FIND("D",B1093)+1)),"P",",")),
IF(ISNUMBER(FIND("CFW5",B1093)),
VALUE(MID(B1093,
IF(ISNUMBER(FIND("F",B1093)),FIND("F",B1093)+1,FIND("G",B1093)+1),
FIND("T",B1093)-(IF(ISNUMBER(FIND("F",B1093)),FIND("F",B1093)+1,FIND("G",B1093)+1))
)),
VALUE(MID(B1093,FIND("E0",B1093)+2,FIND("T",B1093,FIND("E0",B1093))-(FIND("E0",B1093)+2)))
))),"")</f>
        <v>54</v>
      </c>
      <c r="G1093">
        <f>IFERROR(
IF(ISNUMBER(FIND("T2",B1093)),220,
IF(ISNUMBER(FIND("T4",B1093)),440,
IF(ISNUMBER(FIND("T5",B1093)),575,
IF(ISNUMBER(FIND("T6",B1093)),690,"")))),
"")</f>
        <v>220</v>
      </c>
    </row>
    <row r="1094" spans="1:7" x14ac:dyDescent="0.25">
      <c r="A1094">
        <v>13537451</v>
      </c>
      <c r="B1094" t="str">
        <f>VLOOKUP(A1094,Planilha2!B:C,2,0)</f>
        <v>INVERSOR BRCFW110054T2O55DSZ</v>
      </c>
      <c r="C1094" t="s">
        <v>1</v>
      </c>
      <c r="D1094" t="str">
        <f>VLOOKUP(A1094,Planilha2!B:H,7,0)</f>
        <v>LINHA M3</v>
      </c>
      <c r="E1094" t="s">
        <v>3172</v>
      </c>
      <c r="F1094">
        <f>IFERROR(
IF(ISNUMBER(FIND("CFW110",B1094)),
VALUE(MID(B1094,FIND("CFW110",B1094)+6,FIND("T",B1094,FIND("CFW110",B1094))-(FIND("CFW110",B1094)+6))),
IF(ISNUMBER(FIND("D",B1094)),
VALUE(SUBSTITUTE(MID(B1094,FIND("D",B1094)+1,FIND("T",B1094,FIND("D",B1094))-(FIND("D",B1094)+1)),"P",",")),
IF(ISNUMBER(FIND("CFW5",B1094)),
VALUE(MID(B1094,
IF(ISNUMBER(FIND("F",B1094)),FIND("F",B1094)+1,FIND("G",B1094)+1),
FIND("T",B1094)-(IF(ISNUMBER(FIND("F",B1094)),FIND("F",B1094)+1,FIND("G",B1094)+1))
)),
VALUE(MID(B1094,FIND("E0",B1094)+2,FIND("T",B1094,FIND("E0",B1094))-(FIND("E0",B1094)+2)))
))),"")</f>
        <v>54</v>
      </c>
      <c r="G1094">
        <f>IFERROR(
IF(ISNUMBER(FIND("T2",B1094)),220,
IF(ISNUMBER(FIND("T4",B1094)),440,
IF(ISNUMBER(FIND("T5",B1094)),575,
IF(ISNUMBER(FIND("T6",B1094)),690,"")))),
"")</f>
        <v>220</v>
      </c>
    </row>
    <row r="1095" spans="1:7" x14ac:dyDescent="0.25">
      <c r="A1095">
        <v>13537453</v>
      </c>
      <c r="B1095" t="str">
        <f>VLOOKUP(A1095,Planilha2!B:C,2,0)</f>
        <v>INVERSOR NACFW110054T2O55Z</v>
      </c>
      <c r="C1095" t="s">
        <v>1</v>
      </c>
      <c r="D1095" t="str">
        <f>VLOOKUP(A1095,Planilha2!B:H,7,0)</f>
        <v>LINHA M3</v>
      </c>
      <c r="E1095" s="5">
        <v>19600</v>
      </c>
      <c r="F1095">
        <f>IFERROR(
IF(ISNUMBER(FIND("CFW110",B1095)),
VALUE(MID(B1095,FIND("CFW110",B1095)+6,FIND("T",B1095,FIND("CFW110",B1095))-(FIND("CFW110",B1095)+6))),
IF(ISNUMBER(FIND("D",B1095)),
VALUE(SUBSTITUTE(MID(B1095,FIND("D",B1095)+1,FIND("T",B1095,FIND("D",B1095))-(FIND("D",B1095)+1)),"P",",")),
IF(ISNUMBER(FIND("CFW5",B1095)),
VALUE(MID(B1095,
IF(ISNUMBER(FIND("F",B1095)),FIND("F",B1095)+1,FIND("G",B1095)+1),
FIND("T",B1095)-(IF(ISNUMBER(FIND("F",B1095)),FIND("F",B1095)+1,FIND("G",B1095)+1))
)),
VALUE(MID(B1095,FIND("E0",B1095)+2,FIND("T",B1095,FIND("E0",B1095))-(FIND("E0",B1095)+2)))
))),"")</f>
        <v>54</v>
      </c>
      <c r="G1095">
        <f>IFERROR(
IF(ISNUMBER(FIND("T2",B1095)),220,
IF(ISNUMBER(FIND("T4",B1095)),440,
IF(ISNUMBER(FIND("T5",B1095)),575,
IF(ISNUMBER(FIND("T6",B1095)),690,"")))),
"")</f>
        <v>220</v>
      </c>
    </row>
    <row r="1096" spans="1:7" x14ac:dyDescent="0.25">
      <c r="A1096">
        <v>13537454</v>
      </c>
      <c r="B1096" t="str">
        <f>VLOOKUP(A1096,Planilha2!B:C,2,0)</f>
        <v>INVERSOR NACFW110054T2O55DSZ</v>
      </c>
      <c r="C1096" t="s">
        <v>1</v>
      </c>
      <c r="D1096" t="str">
        <f>VLOOKUP(A1096,Planilha2!B:H,7,0)</f>
        <v>LINHA M3</v>
      </c>
      <c r="E1096" s="5">
        <v>17900</v>
      </c>
      <c r="F1096">
        <f>IFERROR(
IF(ISNUMBER(FIND("CFW110",B1096)),
VALUE(MID(B1096,FIND("CFW110",B1096)+6,FIND("T",B1096,FIND("CFW110",B1096))-(FIND("CFW110",B1096)+6))),
IF(ISNUMBER(FIND("D",B1096)),
VALUE(SUBSTITUTE(MID(B1096,FIND("D",B1096)+1,FIND("T",B1096,FIND("D",B1096))-(FIND("D",B1096)+1)),"P",",")),
IF(ISNUMBER(FIND("CFW5",B1096)),
VALUE(MID(B1096,
IF(ISNUMBER(FIND("F",B1096)),FIND("F",B1096)+1,FIND("G",B1096)+1),
FIND("T",B1096)-(IF(ISNUMBER(FIND("F",B1096)),FIND("F",B1096)+1,FIND("G",B1096)+1))
)),
VALUE(MID(B1096,FIND("E0",B1096)+2,FIND("T",B1096,FIND("E0",B1096))-(FIND("E0",B1096)+2)))
))),"")</f>
        <v>54</v>
      </c>
      <c r="G1096">
        <f>IFERROR(
IF(ISNUMBER(FIND("T2",B1096)),220,
IF(ISNUMBER(FIND("T4",B1096)),440,
IF(ISNUMBER(FIND("T5",B1096)),575,
IF(ISNUMBER(FIND("T6",B1096)),690,"")))),
"")</f>
        <v>220</v>
      </c>
    </row>
    <row r="1097" spans="1:7" x14ac:dyDescent="0.25">
      <c r="A1097">
        <v>13537455</v>
      </c>
      <c r="B1097" t="str">
        <f>VLOOKUP(A1097,Planilha2!B:C,2,0)</f>
        <v>INVERSOR BRCFW110070T2O55Z</v>
      </c>
      <c r="C1097" t="s">
        <v>1</v>
      </c>
      <c r="D1097" t="str">
        <f>VLOOKUP(A1097,Planilha2!B:H,7,0)</f>
        <v>LINHA M3</v>
      </c>
      <c r="E1097" t="s">
        <v>3172</v>
      </c>
      <c r="F1097">
        <f>IFERROR(
IF(ISNUMBER(FIND("CFW110",B1097)),
VALUE(MID(B1097,FIND("CFW110",B1097)+6,FIND("T",B1097,FIND("CFW110",B1097))-(FIND("CFW110",B1097)+6))),
IF(ISNUMBER(FIND("D",B1097)),
VALUE(SUBSTITUTE(MID(B1097,FIND("D",B1097)+1,FIND("T",B1097,FIND("D",B1097))-(FIND("D",B1097)+1)),"P",",")),
IF(ISNUMBER(FIND("CFW5",B1097)),
VALUE(MID(B1097,
IF(ISNUMBER(FIND("F",B1097)),FIND("F",B1097)+1,FIND("G",B1097)+1),
FIND("T",B1097)-(IF(ISNUMBER(FIND("F",B1097)),FIND("F",B1097)+1,FIND("G",B1097)+1))
)),
VALUE(MID(B1097,FIND("E0",B1097)+2,FIND("T",B1097,FIND("E0",B1097))-(FIND("E0",B1097)+2)))
))),"")</f>
        <v>70</v>
      </c>
      <c r="G1097">
        <f>IFERROR(
IF(ISNUMBER(FIND("T2",B1097)),220,
IF(ISNUMBER(FIND("T4",B1097)),440,
IF(ISNUMBER(FIND("T5",B1097)),575,
IF(ISNUMBER(FIND("T6",B1097)),690,"")))),
"")</f>
        <v>220</v>
      </c>
    </row>
    <row r="1098" spans="1:7" x14ac:dyDescent="0.25">
      <c r="A1098">
        <v>13537456</v>
      </c>
      <c r="B1098" t="str">
        <f>VLOOKUP(A1098,Planilha2!B:C,2,0)</f>
        <v>INVERSOR BRCFW110070T2O55DSZ</v>
      </c>
      <c r="C1098" t="s">
        <v>1</v>
      </c>
      <c r="D1098" t="str">
        <f>VLOOKUP(A1098,Planilha2!B:H,7,0)</f>
        <v>LINHA M3</v>
      </c>
      <c r="E1098" t="s">
        <v>3172</v>
      </c>
      <c r="F1098">
        <f>IFERROR(
IF(ISNUMBER(FIND("CFW110",B1098)),
VALUE(MID(B1098,FIND("CFW110",B1098)+6,FIND("T",B1098,FIND("CFW110",B1098))-(FIND("CFW110",B1098)+6))),
IF(ISNUMBER(FIND("D",B1098)),
VALUE(SUBSTITUTE(MID(B1098,FIND("D",B1098)+1,FIND("T",B1098,FIND("D",B1098))-(FIND("D",B1098)+1)),"P",",")),
IF(ISNUMBER(FIND("CFW5",B1098)),
VALUE(MID(B1098,
IF(ISNUMBER(FIND("F",B1098)),FIND("F",B1098)+1,FIND("G",B1098)+1),
FIND("T",B1098)-(IF(ISNUMBER(FIND("F",B1098)),FIND("F",B1098)+1,FIND("G",B1098)+1))
)),
VALUE(MID(B1098,FIND("E0",B1098)+2,FIND("T",B1098,FIND("E0",B1098))-(FIND("E0",B1098)+2)))
))),"")</f>
        <v>70</v>
      </c>
      <c r="G1098">
        <f>IFERROR(
IF(ISNUMBER(FIND("T2",B1098)),220,
IF(ISNUMBER(FIND("T4",B1098)),440,
IF(ISNUMBER(FIND("T5",B1098)),575,
IF(ISNUMBER(FIND("T6",B1098)),690,"")))),
"")</f>
        <v>220</v>
      </c>
    </row>
    <row r="1099" spans="1:7" x14ac:dyDescent="0.25">
      <c r="A1099">
        <v>13537457</v>
      </c>
      <c r="B1099" t="str">
        <f>VLOOKUP(A1099,Planilha2!B:C,2,0)</f>
        <v>INVERSOR NACFW110070T2O55Z</v>
      </c>
      <c r="C1099" t="s">
        <v>1</v>
      </c>
      <c r="D1099" t="str">
        <f>VLOOKUP(A1099,Planilha2!B:H,7,0)</f>
        <v>LINHA M3</v>
      </c>
      <c r="E1099" s="5">
        <v>19600</v>
      </c>
      <c r="F1099">
        <f>IFERROR(
IF(ISNUMBER(FIND("CFW110",B1099)),
VALUE(MID(B1099,FIND("CFW110",B1099)+6,FIND("T",B1099,FIND("CFW110",B1099))-(FIND("CFW110",B1099)+6))),
IF(ISNUMBER(FIND("D",B1099)),
VALUE(SUBSTITUTE(MID(B1099,FIND("D",B1099)+1,FIND("T",B1099,FIND("D",B1099))-(FIND("D",B1099)+1)),"P",",")),
IF(ISNUMBER(FIND("CFW5",B1099)),
VALUE(MID(B1099,
IF(ISNUMBER(FIND("F",B1099)),FIND("F",B1099)+1,FIND("G",B1099)+1),
FIND("T",B1099)-(IF(ISNUMBER(FIND("F",B1099)),FIND("F",B1099)+1,FIND("G",B1099)+1))
)),
VALUE(MID(B1099,FIND("E0",B1099)+2,FIND("T",B1099,FIND("E0",B1099))-(FIND("E0",B1099)+2)))
))),"")</f>
        <v>70</v>
      </c>
      <c r="G1099">
        <f>IFERROR(
IF(ISNUMBER(FIND("T2",B1099)),220,
IF(ISNUMBER(FIND("T4",B1099)),440,
IF(ISNUMBER(FIND("T5",B1099)),575,
IF(ISNUMBER(FIND("T6",B1099)),690,"")))),
"")</f>
        <v>220</v>
      </c>
    </row>
    <row r="1100" spans="1:7" x14ac:dyDescent="0.25">
      <c r="A1100">
        <v>13537478</v>
      </c>
      <c r="B1100" t="str">
        <f>VLOOKUP(A1100,Planilha2!B:C,2,0)</f>
        <v>INVERSOR NACFW110070T2O55DSZ</v>
      </c>
      <c r="C1100" t="s">
        <v>1</v>
      </c>
      <c r="D1100" t="str">
        <f>VLOOKUP(A1100,Planilha2!B:H,7,0)</f>
        <v>LINHA M3</v>
      </c>
      <c r="E1100" s="5">
        <v>17900</v>
      </c>
      <c r="F1100">
        <f>IFERROR(
IF(ISNUMBER(FIND("CFW110",B1100)),
VALUE(MID(B1100,FIND("CFW110",B1100)+6,FIND("T",B1100,FIND("CFW110",B1100))-(FIND("CFW110",B1100)+6))),
IF(ISNUMBER(FIND("D",B1100)),
VALUE(SUBSTITUTE(MID(B1100,FIND("D",B1100)+1,FIND("T",B1100,FIND("D",B1100))-(FIND("D",B1100)+1)),"P",",")),
IF(ISNUMBER(FIND("CFW5",B1100)),
VALUE(MID(B1100,
IF(ISNUMBER(FIND("F",B1100)),FIND("F",B1100)+1,FIND("G",B1100)+1),
FIND("T",B1100)-(IF(ISNUMBER(FIND("F",B1100)),FIND("F",B1100)+1,FIND("G",B1100)+1))
)),
VALUE(MID(B1100,FIND("E0",B1100)+2,FIND("T",B1100,FIND("E0",B1100))-(FIND("E0",B1100)+2)))
))),"")</f>
        <v>70</v>
      </c>
      <c r="G1100">
        <f>IFERROR(
IF(ISNUMBER(FIND("T2",B1100)),220,
IF(ISNUMBER(FIND("T4",B1100)),440,
IF(ISNUMBER(FIND("T5",B1100)),575,
IF(ISNUMBER(FIND("T6",B1100)),690,"")))),
"")</f>
        <v>220</v>
      </c>
    </row>
    <row r="1101" spans="1:7" x14ac:dyDescent="0.25">
      <c r="A1101">
        <v>13537804</v>
      </c>
      <c r="B1101" t="str">
        <f>VLOOKUP(A1101,Planilha2!B:C,2,0)</f>
        <v>INVERSOR BRCFW110038T4O55DSZ</v>
      </c>
      <c r="C1101" t="s">
        <v>1</v>
      </c>
      <c r="D1101" t="str">
        <f>VLOOKUP(A1101,Planilha2!B:H,7,0)</f>
        <v>LINHA M3</v>
      </c>
      <c r="E1101" t="s">
        <v>3172</v>
      </c>
      <c r="F1101">
        <f>IFERROR(
IF(ISNUMBER(FIND("CFW110",B1101)),
VALUE(MID(B1101,FIND("CFW110",B1101)+6,FIND("T",B1101,FIND("CFW110",B1101))-(FIND("CFW110",B1101)+6))),
IF(ISNUMBER(FIND("D",B1101)),
VALUE(SUBSTITUTE(MID(B1101,FIND("D",B1101)+1,FIND("T",B1101,FIND("D",B1101))-(FIND("D",B1101)+1)),"P",",")),
IF(ISNUMBER(FIND("CFW5",B1101)),
VALUE(MID(B1101,
IF(ISNUMBER(FIND("F",B1101)),FIND("F",B1101)+1,FIND("G",B1101)+1),
FIND("T",B1101)-(IF(ISNUMBER(FIND("F",B1101)),FIND("F",B1101)+1,FIND("G",B1101)+1))
)),
VALUE(MID(B1101,FIND("E0",B1101)+2,FIND("T",B1101,FIND("E0",B1101))-(FIND("E0",B1101)+2)))
))),"")</f>
        <v>38</v>
      </c>
      <c r="G1101">
        <f>IFERROR(
IF(ISNUMBER(FIND("T2",B1101)),220,
IF(ISNUMBER(FIND("T4",B1101)),440,
IF(ISNUMBER(FIND("T5",B1101)),575,
IF(ISNUMBER(FIND("T6",B1101)),690,"")))),
"")</f>
        <v>440</v>
      </c>
    </row>
    <row r="1102" spans="1:7" x14ac:dyDescent="0.25">
      <c r="A1102">
        <v>13537806</v>
      </c>
      <c r="B1102" t="str">
        <f>VLOOKUP(A1102,Planilha2!B:C,2,0)</f>
        <v>INVERSOR EUCFW110038T4O55FAZ</v>
      </c>
      <c r="C1102" t="s">
        <v>1</v>
      </c>
      <c r="D1102" t="str">
        <f>VLOOKUP(A1102,Planilha2!B:H,7,0)</f>
        <v>LINHA M3</v>
      </c>
      <c r="E1102" s="5">
        <v>16400</v>
      </c>
      <c r="F1102">
        <f>IFERROR(
IF(ISNUMBER(FIND("CFW110",B1102)),
VALUE(MID(B1102,FIND("CFW110",B1102)+6,FIND("T",B1102,FIND("CFW110",B1102))-(FIND("CFW110",B1102)+6))),
IF(ISNUMBER(FIND("D",B1102)),
VALUE(SUBSTITUTE(MID(B1102,FIND("D",B1102)+1,FIND("T",B1102,FIND("D",B1102))-(FIND("D",B1102)+1)),"P",",")),
IF(ISNUMBER(FIND("CFW5",B1102)),
VALUE(MID(B1102,
IF(ISNUMBER(FIND("F",B1102)),FIND("F",B1102)+1,FIND("G",B1102)+1),
FIND("T",B1102)-(IF(ISNUMBER(FIND("F",B1102)),FIND("F",B1102)+1,FIND("G",B1102)+1))
)),
VALUE(MID(B1102,FIND("E0",B1102)+2,FIND("T",B1102,FIND("E0",B1102))-(FIND("E0",B1102)+2)))
))),"")</f>
        <v>38</v>
      </c>
      <c r="G1102">
        <f>IFERROR(
IF(ISNUMBER(FIND("T2",B1102)),220,
IF(ISNUMBER(FIND("T4",B1102)),440,
IF(ISNUMBER(FIND("T5",B1102)),575,
IF(ISNUMBER(FIND("T6",B1102)),690,"")))),
"")</f>
        <v>440</v>
      </c>
    </row>
    <row r="1103" spans="1:7" x14ac:dyDescent="0.25">
      <c r="A1103">
        <v>13537838</v>
      </c>
      <c r="B1103" t="str">
        <f>VLOOKUP(A1103,Planilha2!B:C,2,0)</f>
        <v>INVERSOR EUCFW110038T4O55FADSZ</v>
      </c>
      <c r="C1103" t="s">
        <v>1</v>
      </c>
      <c r="D1103" t="str">
        <f>VLOOKUP(A1103,Planilha2!B:H,7,0)</f>
        <v>LINHA M3</v>
      </c>
      <c r="E1103" s="5">
        <v>30000</v>
      </c>
      <c r="F1103">
        <f>IFERROR(
IF(ISNUMBER(FIND("CFW110",B1103)),
VALUE(MID(B1103,FIND("CFW110",B1103)+6,FIND("T",B1103,FIND("CFW110",B1103))-(FIND("CFW110",B1103)+6))),
IF(ISNUMBER(FIND("D",B1103)),
VALUE(SUBSTITUTE(MID(B1103,FIND("D",B1103)+1,FIND("T",B1103,FIND("D",B1103))-(FIND("D",B1103)+1)),"P",",")),
IF(ISNUMBER(FIND("CFW5",B1103)),
VALUE(MID(B1103,
IF(ISNUMBER(FIND("F",B1103)),FIND("F",B1103)+1,FIND("G",B1103)+1),
FIND("T",B1103)-(IF(ISNUMBER(FIND("F",B1103)),FIND("F",B1103)+1,FIND("G",B1103)+1))
)),
VALUE(MID(B1103,FIND("E0",B1103)+2,FIND("T",B1103,FIND("E0",B1103))-(FIND("E0",B1103)+2)))
))),"")</f>
        <v>38</v>
      </c>
      <c r="G1103">
        <f>IFERROR(
IF(ISNUMBER(FIND("T2",B1103)),220,
IF(ISNUMBER(FIND("T4",B1103)),440,
IF(ISNUMBER(FIND("T5",B1103)),575,
IF(ISNUMBER(FIND("T6",B1103)),690,"")))),
"")</f>
        <v>440</v>
      </c>
    </row>
    <row r="1104" spans="1:7" x14ac:dyDescent="0.25">
      <c r="A1104">
        <v>13537843</v>
      </c>
      <c r="B1104" t="str">
        <f>VLOOKUP(A1104,Planilha2!B:C,2,0)</f>
        <v>INVERSOR BRCFW110045T4O55DSZ</v>
      </c>
      <c r="C1104" t="s">
        <v>1</v>
      </c>
      <c r="D1104" t="str">
        <f>VLOOKUP(A1104,Planilha2!B:H,7,0)</f>
        <v>LINHA M3</v>
      </c>
      <c r="E1104" t="s">
        <v>3172</v>
      </c>
      <c r="F1104">
        <f>IFERROR(
IF(ISNUMBER(FIND("CFW110",B1104)),
VALUE(MID(B1104,FIND("CFW110",B1104)+6,FIND("T",B1104,FIND("CFW110",B1104))-(FIND("CFW110",B1104)+6))),
IF(ISNUMBER(FIND("D",B1104)),
VALUE(SUBSTITUTE(MID(B1104,FIND("D",B1104)+1,FIND("T",B1104,FIND("D",B1104))-(FIND("D",B1104)+1)),"P",",")),
IF(ISNUMBER(FIND("CFW5",B1104)),
VALUE(MID(B1104,
IF(ISNUMBER(FIND("F",B1104)),FIND("F",B1104)+1,FIND("G",B1104)+1),
FIND("T",B1104)-(IF(ISNUMBER(FIND("F",B1104)),FIND("F",B1104)+1,FIND("G",B1104)+1))
)),
VALUE(MID(B1104,FIND("E0",B1104)+2,FIND("T",B1104,FIND("E0",B1104))-(FIND("E0",B1104)+2)))
))),"")</f>
        <v>45</v>
      </c>
      <c r="G1104">
        <f>IFERROR(
IF(ISNUMBER(FIND("T2",B1104)),220,
IF(ISNUMBER(FIND("T4",B1104)),440,
IF(ISNUMBER(FIND("T5",B1104)),575,
IF(ISNUMBER(FIND("T6",B1104)),690,"")))),
"")</f>
        <v>440</v>
      </c>
    </row>
    <row r="1105" spans="1:7" x14ac:dyDescent="0.25">
      <c r="A1105">
        <v>13537845</v>
      </c>
      <c r="B1105" t="str">
        <f>VLOOKUP(A1105,Planilha2!B:C,2,0)</f>
        <v>INVERSOR EUCFW110045T4O55FAZ</v>
      </c>
      <c r="C1105" t="s">
        <v>1</v>
      </c>
      <c r="D1105" t="str">
        <f>VLOOKUP(A1105,Planilha2!B:H,7,0)</f>
        <v>LINHA M3</v>
      </c>
      <c r="E1105" s="5">
        <v>31100</v>
      </c>
      <c r="F1105">
        <f>IFERROR(
IF(ISNUMBER(FIND("CFW110",B1105)),
VALUE(MID(B1105,FIND("CFW110",B1105)+6,FIND("T",B1105,FIND("CFW110",B1105))-(FIND("CFW110",B1105)+6))),
IF(ISNUMBER(FIND("D",B1105)),
VALUE(SUBSTITUTE(MID(B1105,FIND("D",B1105)+1,FIND("T",B1105,FIND("D",B1105))-(FIND("D",B1105)+1)),"P",",")),
IF(ISNUMBER(FIND("CFW5",B1105)),
VALUE(MID(B1105,
IF(ISNUMBER(FIND("F",B1105)),FIND("F",B1105)+1,FIND("G",B1105)+1),
FIND("T",B1105)-(IF(ISNUMBER(FIND("F",B1105)),FIND("F",B1105)+1,FIND("G",B1105)+1))
)),
VALUE(MID(B1105,FIND("E0",B1105)+2,FIND("T",B1105,FIND("E0",B1105))-(FIND("E0",B1105)+2)))
))),"")</f>
        <v>45</v>
      </c>
      <c r="G1105">
        <f>IFERROR(
IF(ISNUMBER(FIND("T2",B1105)),220,
IF(ISNUMBER(FIND("T4",B1105)),440,
IF(ISNUMBER(FIND("T5",B1105)),575,
IF(ISNUMBER(FIND("T6",B1105)),690,"")))),
"")</f>
        <v>440</v>
      </c>
    </row>
    <row r="1106" spans="1:7" x14ac:dyDescent="0.25">
      <c r="A1106">
        <v>13537847</v>
      </c>
      <c r="B1106" t="str">
        <f>VLOOKUP(A1106,Planilha2!B:C,2,0)</f>
        <v>INVERSOR EUCFW110045T4O55FADSZ</v>
      </c>
      <c r="C1106" t="s">
        <v>1</v>
      </c>
      <c r="D1106" t="str">
        <f>VLOOKUP(A1106,Planilha2!B:H,7,0)</f>
        <v>LINHA M3</v>
      </c>
      <c r="E1106" s="5">
        <v>19600</v>
      </c>
      <c r="F1106">
        <f>IFERROR(
IF(ISNUMBER(FIND("CFW110",B1106)),
VALUE(MID(B1106,FIND("CFW110",B1106)+6,FIND("T",B1106,FIND("CFW110",B1106))-(FIND("CFW110",B1106)+6))),
IF(ISNUMBER(FIND("D",B1106)),
VALUE(SUBSTITUTE(MID(B1106,FIND("D",B1106)+1,FIND("T",B1106,FIND("D",B1106))-(FIND("D",B1106)+1)),"P",",")),
IF(ISNUMBER(FIND("CFW5",B1106)),
VALUE(MID(B1106,
IF(ISNUMBER(FIND("F",B1106)),FIND("F",B1106)+1,FIND("G",B1106)+1),
FIND("T",B1106)-(IF(ISNUMBER(FIND("F",B1106)),FIND("F",B1106)+1,FIND("G",B1106)+1))
)),
VALUE(MID(B1106,FIND("E0",B1106)+2,FIND("T",B1106,FIND("E0",B1106))-(FIND("E0",B1106)+2)))
))),"")</f>
        <v>45</v>
      </c>
      <c r="G1106">
        <f>IFERROR(
IF(ISNUMBER(FIND("T2",B1106)),220,
IF(ISNUMBER(FIND("T4",B1106)),440,
IF(ISNUMBER(FIND("T5",B1106)),575,
IF(ISNUMBER(FIND("T6",B1106)),690,"")))),
"")</f>
        <v>440</v>
      </c>
    </row>
    <row r="1107" spans="1:7" x14ac:dyDescent="0.25">
      <c r="A1107">
        <v>13537863</v>
      </c>
      <c r="B1107" t="str">
        <f>VLOOKUP(A1107,Planilha2!B:C,2,0)</f>
        <v>INVERSOR BRCFW110058T4O55DSZ</v>
      </c>
      <c r="C1107" t="s">
        <v>1</v>
      </c>
      <c r="D1107" t="str">
        <f>VLOOKUP(A1107,Planilha2!B:H,7,0)</f>
        <v>LINHA M3</v>
      </c>
      <c r="E1107" s="5">
        <v>20500</v>
      </c>
      <c r="F1107">
        <f>IFERROR(
IF(ISNUMBER(FIND("CFW110",B1107)),
VALUE(MID(B1107,FIND("CFW110",B1107)+6,FIND("T",B1107,FIND("CFW110",B1107))-(FIND("CFW110",B1107)+6))),
IF(ISNUMBER(FIND("D",B1107)),
VALUE(SUBSTITUTE(MID(B1107,FIND("D",B1107)+1,FIND("T",B1107,FIND("D",B1107))-(FIND("D",B1107)+1)),"P",",")),
IF(ISNUMBER(FIND("CFW5",B1107)),
VALUE(MID(B1107,
IF(ISNUMBER(FIND("F",B1107)),FIND("F",B1107)+1,FIND("G",B1107)+1),
FIND("T",B1107)-(IF(ISNUMBER(FIND("F",B1107)),FIND("F",B1107)+1,FIND("G",B1107)+1))
)),
VALUE(MID(B1107,FIND("E0",B1107)+2,FIND("T",B1107,FIND("E0",B1107))-(FIND("E0",B1107)+2)))
))),"")</f>
        <v>58</v>
      </c>
      <c r="G1107">
        <f>IFERROR(
IF(ISNUMBER(FIND("T2",B1107)),220,
IF(ISNUMBER(FIND("T4",B1107)),440,
IF(ISNUMBER(FIND("T5",B1107)),575,
IF(ISNUMBER(FIND("T6",B1107)),690,"")))),
"")</f>
        <v>440</v>
      </c>
    </row>
    <row r="1108" spans="1:7" x14ac:dyDescent="0.25">
      <c r="A1108">
        <v>13537864</v>
      </c>
      <c r="B1108" t="str">
        <f>VLOOKUP(A1108,Planilha2!B:C,2,0)</f>
        <v>INVERSOR EUCFW110058T4O55FAZ</v>
      </c>
      <c r="C1108" t="s">
        <v>1</v>
      </c>
      <c r="D1108" t="str">
        <f>VLOOKUP(A1108,Planilha2!B:H,7,0)</f>
        <v>LINHA M3</v>
      </c>
      <c r="E1108" s="5">
        <v>22000</v>
      </c>
      <c r="F1108">
        <f>IFERROR(
IF(ISNUMBER(FIND("CFW110",B1108)),
VALUE(MID(B1108,FIND("CFW110",B1108)+6,FIND("T",B1108,FIND("CFW110",B1108))-(FIND("CFW110",B1108)+6))),
IF(ISNUMBER(FIND("D",B1108)),
VALUE(SUBSTITUTE(MID(B1108,FIND("D",B1108)+1,FIND("T",B1108,FIND("D",B1108))-(FIND("D",B1108)+1)),"P",",")),
IF(ISNUMBER(FIND("CFW5",B1108)),
VALUE(MID(B1108,
IF(ISNUMBER(FIND("F",B1108)),FIND("F",B1108)+1,FIND("G",B1108)+1),
FIND("T",B1108)-(IF(ISNUMBER(FIND("F",B1108)),FIND("F",B1108)+1,FIND("G",B1108)+1))
)),
VALUE(MID(B1108,FIND("E0",B1108)+2,FIND("T",B1108,FIND("E0",B1108))-(FIND("E0",B1108)+2)))
))),"")</f>
        <v>58</v>
      </c>
      <c r="G1108">
        <f>IFERROR(
IF(ISNUMBER(FIND("T2",B1108)),220,
IF(ISNUMBER(FIND("T4",B1108)),440,
IF(ISNUMBER(FIND("T5",B1108)),575,
IF(ISNUMBER(FIND("T6",B1108)),690,"")))),
"")</f>
        <v>440</v>
      </c>
    </row>
    <row r="1109" spans="1:7" x14ac:dyDescent="0.25">
      <c r="A1109">
        <v>13537867</v>
      </c>
      <c r="B1109" t="str">
        <f>VLOOKUP(A1109,Planilha2!B:C,2,0)</f>
        <v>INVERSOR BRCFW110086T2O55DSZ</v>
      </c>
      <c r="C1109" t="s">
        <v>1</v>
      </c>
      <c r="D1109" t="str">
        <f>VLOOKUP(A1109,Planilha2!B:H,7,0)</f>
        <v>LINHA M3</v>
      </c>
      <c r="E1109" t="s">
        <v>3172</v>
      </c>
      <c r="F1109">
        <f>IFERROR(
IF(ISNUMBER(FIND("CFW110",B1109)),
VALUE(MID(B1109,FIND("CFW110",B1109)+6,FIND("T",B1109,FIND("CFW110",B1109))-(FIND("CFW110",B1109)+6))),
IF(ISNUMBER(FIND("D",B1109)),
VALUE(SUBSTITUTE(MID(B1109,FIND("D",B1109)+1,FIND("T",B1109,FIND("D",B1109))-(FIND("D",B1109)+1)),"P",",")),
IF(ISNUMBER(FIND("CFW5",B1109)),
VALUE(MID(B1109,
IF(ISNUMBER(FIND("F",B1109)),FIND("F",B1109)+1,FIND("G",B1109)+1),
FIND("T",B1109)-(IF(ISNUMBER(FIND("F",B1109)),FIND("F",B1109)+1,FIND("G",B1109)+1))
)),
VALUE(MID(B1109,FIND("E0",B1109)+2,FIND("T",B1109,FIND("E0",B1109))-(FIND("E0",B1109)+2)))
))),"")</f>
        <v>86</v>
      </c>
      <c r="G1109">
        <f>IFERROR(
IF(ISNUMBER(FIND("T2",B1109)),220,
IF(ISNUMBER(FIND("T4",B1109)),440,
IF(ISNUMBER(FIND("T5",B1109)),575,
IF(ISNUMBER(FIND("T6",B1109)),690,"")))),
"")</f>
        <v>220</v>
      </c>
    </row>
    <row r="1110" spans="1:7" x14ac:dyDescent="0.25">
      <c r="A1110">
        <v>13537918</v>
      </c>
      <c r="B1110" t="str">
        <f>VLOOKUP(A1110,Planilha2!B:C,2,0)</f>
        <v>INVERSOR NACFW110086T2O55Z</v>
      </c>
      <c r="C1110" t="s">
        <v>1</v>
      </c>
      <c r="D1110" t="str">
        <f>VLOOKUP(A1110,Planilha2!B:H,7,0)</f>
        <v>LINHA M3</v>
      </c>
      <c r="E1110" s="5">
        <v>47800</v>
      </c>
      <c r="F1110">
        <f>IFERROR(
IF(ISNUMBER(FIND("CFW110",B1110)),
VALUE(MID(B1110,FIND("CFW110",B1110)+6,FIND("T",B1110,FIND("CFW110",B1110))-(FIND("CFW110",B1110)+6))),
IF(ISNUMBER(FIND("D",B1110)),
VALUE(SUBSTITUTE(MID(B1110,FIND("D",B1110)+1,FIND("T",B1110,FIND("D",B1110))-(FIND("D",B1110)+1)),"P",",")),
IF(ISNUMBER(FIND("CFW5",B1110)),
VALUE(MID(B1110,
IF(ISNUMBER(FIND("F",B1110)),FIND("F",B1110)+1,FIND("G",B1110)+1),
FIND("T",B1110)-(IF(ISNUMBER(FIND("F",B1110)),FIND("F",B1110)+1,FIND("G",B1110)+1))
)),
VALUE(MID(B1110,FIND("E0",B1110)+2,FIND("T",B1110,FIND("E0",B1110))-(FIND("E0",B1110)+2)))
))),"")</f>
        <v>86</v>
      </c>
      <c r="G1110">
        <f>IFERROR(
IF(ISNUMBER(FIND("T2",B1110)),220,
IF(ISNUMBER(FIND("T4",B1110)),440,
IF(ISNUMBER(FIND("T5",B1110)),575,
IF(ISNUMBER(FIND("T6",B1110)),690,"")))),
"")</f>
        <v>220</v>
      </c>
    </row>
    <row r="1111" spans="1:7" x14ac:dyDescent="0.25">
      <c r="A1111">
        <v>13537919</v>
      </c>
      <c r="B1111" t="str">
        <f>VLOOKUP(A1111,Planilha2!B:C,2,0)</f>
        <v>INVERSOR NACFW110086T2O55DSZ</v>
      </c>
      <c r="C1111" t="s">
        <v>1</v>
      </c>
      <c r="D1111" t="str">
        <f>VLOOKUP(A1111,Planilha2!B:H,7,0)</f>
        <v>LINHA M3</v>
      </c>
      <c r="E1111" s="5">
        <v>42915</v>
      </c>
      <c r="F1111">
        <f>IFERROR(
IF(ISNUMBER(FIND("CFW110",B1111)),
VALUE(MID(B1111,FIND("CFW110",B1111)+6,FIND("T",B1111,FIND("CFW110",B1111))-(FIND("CFW110",B1111)+6))),
IF(ISNUMBER(FIND("D",B1111)),
VALUE(SUBSTITUTE(MID(B1111,FIND("D",B1111)+1,FIND("T",B1111,FIND("D",B1111))-(FIND("D",B1111)+1)),"P",",")),
IF(ISNUMBER(FIND("CFW5",B1111)),
VALUE(MID(B1111,
IF(ISNUMBER(FIND("F",B1111)),FIND("F",B1111)+1,FIND("G",B1111)+1),
FIND("T",B1111)-(IF(ISNUMBER(FIND("F",B1111)),FIND("F",B1111)+1,FIND("G",B1111)+1))
)),
VALUE(MID(B1111,FIND("E0",B1111)+2,FIND("T",B1111,FIND("E0",B1111))-(FIND("E0",B1111)+2)))
))),"")</f>
        <v>86</v>
      </c>
      <c r="G1111">
        <f>IFERROR(
IF(ISNUMBER(FIND("T2",B1111)),220,
IF(ISNUMBER(FIND("T4",B1111)),440,
IF(ISNUMBER(FIND("T5",B1111)),575,
IF(ISNUMBER(FIND("T6",B1111)),690,"")))),
"")</f>
        <v>220</v>
      </c>
    </row>
    <row r="1112" spans="1:7" x14ac:dyDescent="0.25">
      <c r="A1112">
        <v>13537945</v>
      </c>
      <c r="B1112" t="str">
        <f>VLOOKUP(A1112,Planilha2!B:C,2,0)</f>
        <v>INVERSOR BRCFW110105T2O55Z</v>
      </c>
      <c r="C1112" t="s">
        <v>1</v>
      </c>
      <c r="D1112" t="str">
        <f>VLOOKUP(A1112,Planilha2!B:H,7,0)</f>
        <v>LINHA M3</v>
      </c>
      <c r="E1112" s="5">
        <v>48126</v>
      </c>
      <c r="F1112">
        <f>IFERROR(
IF(ISNUMBER(FIND("CFW110",B1112)),
VALUE(MID(B1112,FIND("CFW110",B1112)+6,FIND("T",B1112,FIND("CFW110",B1112))-(FIND("CFW110",B1112)+6))),
IF(ISNUMBER(FIND("D",B1112)),
VALUE(SUBSTITUTE(MID(B1112,FIND("D",B1112)+1,FIND("T",B1112,FIND("D",B1112))-(FIND("D",B1112)+1)),"P",",")),
IF(ISNUMBER(FIND("CFW5",B1112)),
VALUE(MID(B1112,
IF(ISNUMBER(FIND("F",B1112)),FIND("F",B1112)+1,FIND("G",B1112)+1),
FIND("T",B1112)-(IF(ISNUMBER(FIND("F",B1112)),FIND("F",B1112)+1,FIND("G",B1112)+1))
)),
VALUE(MID(B1112,FIND("E0",B1112)+2,FIND("T",B1112,FIND("E0",B1112))-(FIND("E0",B1112)+2)))
))),"")</f>
        <v>105</v>
      </c>
      <c r="G1112">
        <f>IFERROR(
IF(ISNUMBER(FIND("T2",B1112)),220,
IF(ISNUMBER(FIND("T4",B1112)),440,
IF(ISNUMBER(FIND("T5",B1112)),575,
IF(ISNUMBER(FIND("T6",B1112)),690,"")))),
"")</f>
        <v>220</v>
      </c>
    </row>
    <row r="1113" spans="1:7" x14ac:dyDescent="0.25">
      <c r="A1113">
        <v>13537968</v>
      </c>
      <c r="B1113" t="str">
        <f>VLOOKUP(A1113,Planilha2!B:C,2,0)</f>
        <v>INVERSOR NACFW110105T2O55Z</v>
      </c>
      <c r="C1113" t="s">
        <v>1</v>
      </c>
      <c r="D1113" t="str">
        <f>VLOOKUP(A1113,Planilha2!B:H,7,0)</f>
        <v>LINHA M3</v>
      </c>
      <c r="E1113" s="5">
        <v>85300</v>
      </c>
      <c r="F1113">
        <f>IFERROR(
IF(ISNUMBER(FIND("CFW110",B1113)),
VALUE(MID(B1113,FIND("CFW110",B1113)+6,FIND("T",B1113,FIND("CFW110",B1113))-(FIND("CFW110",B1113)+6))),
IF(ISNUMBER(FIND("D",B1113)),
VALUE(SUBSTITUTE(MID(B1113,FIND("D",B1113)+1,FIND("T",B1113,FIND("D",B1113))-(FIND("D",B1113)+1)),"P",",")),
IF(ISNUMBER(FIND("CFW5",B1113)),
VALUE(MID(B1113,
IF(ISNUMBER(FIND("F",B1113)),FIND("F",B1113)+1,FIND("G",B1113)+1),
FIND("T",B1113)-(IF(ISNUMBER(FIND("F",B1113)),FIND("F",B1113)+1,FIND("G",B1113)+1))
)),
VALUE(MID(B1113,FIND("E0",B1113)+2,FIND("T",B1113,FIND("E0",B1113))-(FIND("E0",B1113)+2)))
))),"")</f>
        <v>105</v>
      </c>
      <c r="G1113">
        <f>IFERROR(
IF(ISNUMBER(FIND("T2",B1113)),220,
IF(ISNUMBER(FIND("T4",B1113)),440,
IF(ISNUMBER(FIND("T5",B1113)),575,
IF(ISNUMBER(FIND("T6",B1113)),690,"")))),
"")</f>
        <v>220</v>
      </c>
    </row>
    <row r="1114" spans="1:7" x14ac:dyDescent="0.25">
      <c r="A1114">
        <v>13537969</v>
      </c>
      <c r="B1114" t="str">
        <f>VLOOKUP(A1114,Planilha2!B:C,2,0)</f>
        <v>INVERSOR NACFW110105T2O55DSZ</v>
      </c>
      <c r="C1114" t="s">
        <v>1</v>
      </c>
      <c r="D1114" t="str">
        <f>VLOOKUP(A1114,Planilha2!B:H,7,0)</f>
        <v>LINHA M3</v>
      </c>
      <c r="E1114" s="5">
        <v>44915</v>
      </c>
      <c r="F1114">
        <f>IFERROR(
IF(ISNUMBER(FIND("CFW110",B1114)),
VALUE(MID(B1114,FIND("CFW110",B1114)+6,FIND("T",B1114,FIND("CFW110",B1114))-(FIND("CFW110",B1114)+6))),
IF(ISNUMBER(FIND("D",B1114)),
VALUE(SUBSTITUTE(MID(B1114,FIND("D",B1114)+1,FIND("T",B1114,FIND("D",B1114))-(FIND("D",B1114)+1)),"P",",")),
IF(ISNUMBER(FIND("CFW5",B1114)),
VALUE(MID(B1114,
IF(ISNUMBER(FIND("F",B1114)),FIND("F",B1114)+1,FIND("G",B1114)+1),
FIND("T",B1114)-(IF(ISNUMBER(FIND("F",B1114)),FIND("F",B1114)+1,FIND("G",B1114)+1))
)),
VALUE(MID(B1114,FIND("E0",B1114)+2,FIND("T",B1114,FIND("E0",B1114))-(FIND("E0",B1114)+2)))
))),"")</f>
        <v>105</v>
      </c>
      <c r="G1114">
        <f>IFERROR(
IF(ISNUMBER(FIND("T2",B1114)),220,
IF(ISNUMBER(FIND("T4",B1114)),440,
IF(ISNUMBER(FIND("T5",B1114)),575,
IF(ISNUMBER(FIND("T6",B1114)),690,"")))),
"")</f>
        <v>220</v>
      </c>
    </row>
    <row r="1115" spans="1:7" x14ac:dyDescent="0.25">
      <c r="A1115">
        <v>13537939</v>
      </c>
      <c r="B1115" t="str">
        <f>VLOOKUP(A1115,Planilha2!B:C,2,0)</f>
        <v>INVERSOR BRCFW110070T4O55Z</v>
      </c>
      <c r="C1115" t="s">
        <v>1</v>
      </c>
      <c r="D1115" t="str">
        <f>VLOOKUP(A1115,Planilha2!B:H,7,0)</f>
        <v>LINHA M3</v>
      </c>
      <c r="E1115" s="5">
        <v>47200</v>
      </c>
      <c r="F1115">
        <f>IFERROR(
IF(ISNUMBER(FIND("CFW110",B1115)),
VALUE(MID(B1115,FIND("CFW110",B1115)+6,FIND("T",B1115,FIND("CFW110",B1115))-(FIND("CFW110",B1115)+6))),
IF(ISNUMBER(FIND("D",B1115)),
VALUE(SUBSTITUTE(MID(B1115,FIND("D",B1115)+1,FIND("T",B1115,FIND("D",B1115))-(FIND("D",B1115)+1)),"P",",")),
IF(ISNUMBER(FIND("CFW5",B1115)),
VALUE(MID(B1115,
IF(ISNUMBER(FIND("F",B1115)),FIND("F",B1115)+1,FIND("G",B1115)+1),
FIND("T",B1115)-(IF(ISNUMBER(FIND("F",B1115)),FIND("F",B1115)+1,FIND("G",B1115)+1))
)),
VALUE(MID(B1115,FIND("E0",B1115)+2,FIND("T",B1115,FIND("E0",B1115))-(FIND("E0",B1115)+2)))
))),"")</f>
        <v>70</v>
      </c>
      <c r="G1115">
        <f>IFERROR(
IF(ISNUMBER(FIND("T2",B1115)),220,
IF(ISNUMBER(FIND("T4",B1115)),440,
IF(ISNUMBER(FIND("T5",B1115)),575,
IF(ISNUMBER(FIND("T6",B1115)),690,"")))),
"")</f>
        <v>440</v>
      </c>
    </row>
    <row r="1116" spans="1:7" x14ac:dyDescent="0.25">
      <c r="A1116">
        <v>13537940</v>
      </c>
      <c r="B1116" t="str">
        <f>VLOOKUP(A1116,Planilha2!B:C,2,0)</f>
        <v>INVERSOR BRCFW110070T4O55DSZ</v>
      </c>
      <c r="C1116" t="s">
        <v>1</v>
      </c>
      <c r="D1116" t="str">
        <f>VLOOKUP(A1116,Planilha2!B:H,7,0)</f>
        <v>LINHA M3</v>
      </c>
      <c r="E1116" t="s">
        <v>3172</v>
      </c>
      <c r="F1116">
        <f>IFERROR(
IF(ISNUMBER(FIND("CFW110",B1116)),
VALUE(MID(B1116,FIND("CFW110",B1116)+6,FIND("T",B1116,FIND("CFW110",B1116))-(FIND("CFW110",B1116)+6))),
IF(ISNUMBER(FIND("D",B1116)),
VALUE(SUBSTITUTE(MID(B1116,FIND("D",B1116)+1,FIND("T",B1116,FIND("D",B1116))-(FIND("D",B1116)+1)),"P",",")),
IF(ISNUMBER(FIND("CFW5",B1116)),
VALUE(MID(B1116,
IF(ISNUMBER(FIND("F",B1116)),FIND("F",B1116)+1,FIND("G",B1116)+1),
FIND("T",B1116)-(IF(ISNUMBER(FIND("F",B1116)),FIND("F",B1116)+1,FIND("G",B1116)+1))
)),
VALUE(MID(B1116,FIND("E0",B1116)+2,FIND("T",B1116,FIND("E0",B1116))-(FIND("E0",B1116)+2)))
))),"")</f>
        <v>70</v>
      </c>
      <c r="G1116">
        <f>IFERROR(
IF(ISNUMBER(FIND("T2",B1116)),220,
IF(ISNUMBER(FIND("T4",B1116)),440,
IF(ISNUMBER(FIND("T5",B1116)),575,
IF(ISNUMBER(FIND("T6",B1116)),690,"")))),
"")</f>
        <v>440</v>
      </c>
    </row>
    <row r="1117" spans="1:7" x14ac:dyDescent="0.25">
      <c r="A1117">
        <v>13537943</v>
      </c>
      <c r="B1117" t="str">
        <f>VLOOKUP(A1117,Planilha2!B:C,2,0)</f>
        <v>INVERSOR EUCFW110070T4O55FAZ</v>
      </c>
      <c r="C1117" t="s">
        <v>1</v>
      </c>
      <c r="D1117" t="str">
        <f>VLOOKUP(A1117,Planilha2!B:H,7,0)</f>
        <v>LINHA M3</v>
      </c>
      <c r="E1117" s="5">
        <v>19600</v>
      </c>
      <c r="F1117">
        <f>IFERROR(
IF(ISNUMBER(FIND("CFW110",B1117)),
VALUE(MID(B1117,FIND("CFW110",B1117)+6,FIND("T",B1117,FIND("CFW110",B1117))-(FIND("CFW110",B1117)+6))),
IF(ISNUMBER(FIND("D",B1117)),
VALUE(SUBSTITUTE(MID(B1117,FIND("D",B1117)+1,FIND("T",B1117,FIND("D",B1117))-(FIND("D",B1117)+1)),"P",",")),
IF(ISNUMBER(FIND("CFW5",B1117)),
VALUE(MID(B1117,
IF(ISNUMBER(FIND("F",B1117)),FIND("F",B1117)+1,FIND("G",B1117)+1),
FIND("T",B1117)-(IF(ISNUMBER(FIND("F",B1117)),FIND("F",B1117)+1,FIND("G",B1117)+1))
)),
VALUE(MID(B1117,FIND("E0",B1117)+2,FIND("T",B1117,FIND("E0",B1117))-(FIND("E0",B1117)+2)))
))),"")</f>
        <v>70</v>
      </c>
      <c r="G1117">
        <f>IFERROR(
IF(ISNUMBER(FIND("T2",B1117)),220,
IF(ISNUMBER(FIND("T4",B1117)),440,
IF(ISNUMBER(FIND("T5",B1117)),575,
IF(ISNUMBER(FIND("T6",B1117)),690,"")))),
"")</f>
        <v>440</v>
      </c>
    </row>
    <row r="1118" spans="1:7" x14ac:dyDescent="0.25">
      <c r="A1118">
        <v>13537944</v>
      </c>
      <c r="B1118" t="str">
        <f>VLOOKUP(A1118,Planilha2!B:C,2,0)</f>
        <v>INVERSOR EUCFW110070T4O55FADSZ</v>
      </c>
      <c r="C1118" t="s">
        <v>1</v>
      </c>
      <c r="D1118" t="str">
        <f>VLOOKUP(A1118,Planilha2!B:H,7,0)</f>
        <v>LINHA M3</v>
      </c>
      <c r="E1118" s="5">
        <v>50000</v>
      </c>
      <c r="F1118">
        <f>IFERROR(
IF(ISNUMBER(FIND("CFW110",B1118)),
VALUE(MID(B1118,FIND("CFW110",B1118)+6,FIND("T",B1118,FIND("CFW110",B1118))-(FIND("CFW110",B1118)+6))),
IF(ISNUMBER(FIND("D",B1118)),
VALUE(SUBSTITUTE(MID(B1118,FIND("D",B1118)+1,FIND("T",B1118,FIND("D",B1118))-(FIND("D",B1118)+1)),"P",",")),
IF(ISNUMBER(FIND("CFW5",B1118)),
VALUE(MID(B1118,
IF(ISNUMBER(FIND("F",B1118)),FIND("F",B1118)+1,FIND("G",B1118)+1),
FIND("T",B1118)-(IF(ISNUMBER(FIND("F",B1118)),FIND("F",B1118)+1,FIND("G",B1118)+1))
)),
VALUE(MID(B1118,FIND("E0",B1118)+2,FIND("T",B1118,FIND("E0",B1118))-(FIND("E0",B1118)+2)))
))),"")</f>
        <v>70</v>
      </c>
      <c r="G1118">
        <f>IFERROR(
IF(ISNUMBER(FIND("T2",B1118)),220,
IF(ISNUMBER(FIND("T4",B1118)),440,
IF(ISNUMBER(FIND("T5",B1118)),575,
IF(ISNUMBER(FIND("T6",B1118)),690,"")))),
"")</f>
        <v>440</v>
      </c>
    </row>
    <row r="1119" spans="1:7" x14ac:dyDescent="0.25">
      <c r="A1119">
        <v>13537974</v>
      </c>
      <c r="B1119" t="str">
        <f>VLOOKUP(A1119,Planilha2!B:C,2,0)</f>
        <v>INVERSOR BRCFW110088T4O55Z</v>
      </c>
      <c r="C1119" t="s">
        <v>1</v>
      </c>
      <c r="D1119" t="str">
        <f>VLOOKUP(A1119,Planilha2!B:H,7,0)</f>
        <v>LINHA M3</v>
      </c>
      <c r="E1119" s="5">
        <v>47800</v>
      </c>
      <c r="F1119">
        <f>IFERROR(
IF(ISNUMBER(FIND("CFW110",B1119)),
VALUE(MID(B1119,FIND("CFW110",B1119)+6,FIND("T",B1119,FIND("CFW110",B1119))-(FIND("CFW110",B1119)+6))),
IF(ISNUMBER(FIND("D",B1119)),
VALUE(SUBSTITUTE(MID(B1119,FIND("D",B1119)+1,FIND("T",B1119,FIND("D",B1119))-(FIND("D",B1119)+1)),"P",",")),
IF(ISNUMBER(FIND("CFW5",B1119)),
VALUE(MID(B1119,
IF(ISNUMBER(FIND("F",B1119)),FIND("F",B1119)+1,FIND("G",B1119)+1),
FIND("T",B1119)-(IF(ISNUMBER(FIND("F",B1119)),FIND("F",B1119)+1,FIND("G",B1119)+1))
)),
VALUE(MID(B1119,FIND("E0",B1119)+2,FIND("T",B1119,FIND("E0",B1119))-(FIND("E0",B1119)+2)))
))),"")</f>
        <v>88</v>
      </c>
      <c r="G1119">
        <f>IFERROR(
IF(ISNUMBER(FIND("T2",B1119)),220,
IF(ISNUMBER(FIND("T4",B1119)),440,
IF(ISNUMBER(FIND("T5",B1119)),575,
IF(ISNUMBER(FIND("T6",B1119)),690,"")))),
"")</f>
        <v>440</v>
      </c>
    </row>
    <row r="1120" spans="1:7" x14ac:dyDescent="0.25">
      <c r="A1120">
        <v>13538028</v>
      </c>
      <c r="B1120" t="str">
        <f>VLOOKUP(A1120,Planilha2!B:C,2,0)</f>
        <v>INVERSOR BRCFW110088T4O55DSZ</v>
      </c>
      <c r="C1120" t="s">
        <v>1</v>
      </c>
      <c r="D1120" t="str">
        <f>VLOOKUP(A1120,Planilha2!B:H,7,0)</f>
        <v>LINHA M3</v>
      </c>
      <c r="E1120" s="5">
        <v>47800</v>
      </c>
      <c r="F1120">
        <f>IFERROR(
IF(ISNUMBER(FIND("CFW110",B1120)),
VALUE(MID(B1120,FIND("CFW110",B1120)+6,FIND("T",B1120,FIND("CFW110",B1120))-(FIND("CFW110",B1120)+6))),
IF(ISNUMBER(FIND("D",B1120)),
VALUE(SUBSTITUTE(MID(B1120,FIND("D",B1120)+1,FIND("T",B1120,FIND("D",B1120))-(FIND("D",B1120)+1)),"P",",")),
IF(ISNUMBER(FIND("CFW5",B1120)),
VALUE(MID(B1120,
IF(ISNUMBER(FIND("F",B1120)),FIND("F",B1120)+1,FIND("G",B1120)+1),
FIND("T",B1120)-(IF(ISNUMBER(FIND("F",B1120)),FIND("F",B1120)+1,FIND("G",B1120)+1))
)),
VALUE(MID(B1120,FIND("E0",B1120)+2,FIND("T",B1120,FIND("E0",B1120))-(FIND("E0",B1120)+2)))
))),"")</f>
        <v>88</v>
      </c>
      <c r="G1120">
        <f>IFERROR(
IF(ISNUMBER(FIND("T2",B1120)),220,
IF(ISNUMBER(FIND("T4",B1120)),440,
IF(ISNUMBER(FIND("T5",B1120)),575,
IF(ISNUMBER(FIND("T6",B1120)),690,"")))),
"")</f>
        <v>440</v>
      </c>
    </row>
    <row r="1121" spans="1:7" x14ac:dyDescent="0.25">
      <c r="A1121">
        <v>13538030</v>
      </c>
      <c r="B1121" t="str">
        <f>VLOOKUP(A1121,Planilha2!B:C,2,0)</f>
        <v>INVERSOR EUCFW110088T4O55FAZ</v>
      </c>
      <c r="C1121" t="s">
        <v>1</v>
      </c>
      <c r="D1121" t="str">
        <f>VLOOKUP(A1121,Planilha2!B:H,7,0)</f>
        <v>LINHA M3</v>
      </c>
      <c r="E1121" s="5">
        <v>47800</v>
      </c>
      <c r="F1121">
        <f>IFERROR(
IF(ISNUMBER(FIND("CFW110",B1121)),
VALUE(MID(B1121,FIND("CFW110",B1121)+6,FIND("T",B1121,FIND("CFW110",B1121))-(FIND("CFW110",B1121)+6))),
IF(ISNUMBER(FIND("D",B1121)),
VALUE(SUBSTITUTE(MID(B1121,FIND("D",B1121)+1,FIND("T",B1121,FIND("D",B1121))-(FIND("D",B1121)+1)),"P",",")),
IF(ISNUMBER(FIND("CFW5",B1121)),
VALUE(MID(B1121,
IF(ISNUMBER(FIND("F",B1121)),FIND("F",B1121)+1,FIND("G",B1121)+1),
FIND("T",B1121)-(IF(ISNUMBER(FIND("F",B1121)),FIND("F",B1121)+1,FIND("G",B1121)+1))
)),
VALUE(MID(B1121,FIND("E0",B1121)+2,FIND("T",B1121,FIND("E0",B1121))-(FIND("E0",B1121)+2)))
))),"")</f>
        <v>88</v>
      </c>
      <c r="G1121">
        <f>IFERROR(
IF(ISNUMBER(FIND("T2",B1121)),220,
IF(ISNUMBER(FIND("T4",B1121)),440,
IF(ISNUMBER(FIND("T5",B1121)),575,
IF(ISNUMBER(FIND("T6",B1121)),690,"")))),
"")</f>
        <v>440</v>
      </c>
    </row>
    <row r="1122" spans="1:7" x14ac:dyDescent="0.25">
      <c r="A1122">
        <v>13541497</v>
      </c>
      <c r="B1122" t="str">
        <f>VLOOKUP(A1122,Planilha2!B:C,2,0)</f>
        <v>INVERSOR BRCFW110142T2O55DSZ</v>
      </c>
      <c r="C1122" t="s">
        <v>1</v>
      </c>
      <c r="D1122" t="str">
        <f>VLOOKUP(A1122,Planilha2!B:H,7,0)</f>
        <v>LINHA E1</v>
      </c>
      <c r="E1122" t="s">
        <v>3172</v>
      </c>
      <c r="F1122">
        <f>IFERROR(
IF(ISNUMBER(FIND("CFW110",B1122)),
VALUE(MID(B1122,FIND("CFW110",B1122)+6,FIND("T",B1122,FIND("CFW110",B1122))-(FIND("CFW110",B1122)+6))),
IF(ISNUMBER(FIND("D",B1122)),
VALUE(SUBSTITUTE(MID(B1122,FIND("D",B1122)+1,FIND("T",B1122,FIND("D",B1122))-(FIND("D",B1122)+1)),"P",",")),
IF(ISNUMBER(FIND("CFW5",B1122)),
VALUE(MID(B1122,
IF(ISNUMBER(FIND("F",B1122)),FIND("F",B1122)+1,FIND("G",B1122)+1),
FIND("T",B1122)-(IF(ISNUMBER(FIND("F",B1122)),FIND("F",B1122)+1,FIND("G",B1122)+1))
)),
VALUE(MID(B1122,FIND("E0",B1122)+2,FIND("T",B1122,FIND("E0",B1122))-(FIND("E0",B1122)+2)))
))),"")</f>
        <v>142</v>
      </c>
      <c r="G1122">
        <f>IFERROR(
IF(ISNUMBER(FIND("T2",B1122)),220,
IF(ISNUMBER(FIND("T4",B1122)),440,
IF(ISNUMBER(FIND("T5",B1122)),575,
IF(ISNUMBER(FIND("T6",B1122)),690,"")))),
"")</f>
        <v>220</v>
      </c>
    </row>
    <row r="1123" spans="1:7" x14ac:dyDescent="0.25">
      <c r="A1123">
        <v>13541539</v>
      </c>
      <c r="B1123" t="str">
        <f>VLOOKUP(A1123,Planilha2!B:C,2,0)</f>
        <v>INVERSOR EUCFW110142T2O55Z</v>
      </c>
      <c r="C1123" t="s">
        <v>1</v>
      </c>
      <c r="D1123" t="str">
        <f>VLOOKUP(A1123,Planilha2!B:H,7,0)</f>
        <v>LINHA E1</v>
      </c>
      <c r="E1123" s="5">
        <v>88100</v>
      </c>
      <c r="F1123">
        <f>IFERROR(
IF(ISNUMBER(FIND("CFW110",B1123)),
VALUE(MID(B1123,FIND("CFW110",B1123)+6,FIND("T",B1123,FIND("CFW110",B1123))-(FIND("CFW110",B1123)+6))),
IF(ISNUMBER(FIND("D",B1123)),
VALUE(SUBSTITUTE(MID(B1123,FIND("D",B1123)+1,FIND("T",B1123,FIND("D",B1123))-(FIND("D",B1123)+1)),"P",",")),
IF(ISNUMBER(FIND("CFW5",B1123)),
VALUE(MID(B1123,
IF(ISNUMBER(FIND("F",B1123)),FIND("F",B1123)+1,FIND("G",B1123)+1),
FIND("T",B1123)-(IF(ISNUMBER(FIND("F",B1123)),FIND("F",B1123)+1,FIND("G",B1123)+1))
)),
VALUE(MID(B1123,FIND("E0",B1123)+2,FIND("T",B1123,FIND("E0",B1123))-(FIND("E0",B1123)+2)))
))),"")</f>
        <v>142</v>
      </c>
      <c r="G1123">
        <f>IFERROR(
IF(ISNUMBER(FIND("T2",B1123)),220,
IF(ISNUMBER(FIND("T4",B1123)),440,
IF(ISNUMBER(FIND("T5",B1123)),575,
IF(ISNUMBER(FIND("T6",B1123)),690,"")))),
"")</f>
        <v>220</v>
      </c>
    </row>
    <row r="1124" spans="1:7" x14ac:dyDescent="0.25">
      <c r="A1124">
        <v>13541540</v>
      </c>
      <c r="B1124" t="str">
        <f>VLOOKUP(A1124,Planilha2!B:C,2,0)</f>
        <v>INVERSOR EUCFW110142T2O55DSZ</v>
      </c>
      <c r="C1124" t="s">
        <v>1</v>
      </c>
      <c r="D1124" t="str">
        <f>VLOOKUP(A1124,Planilha2!B:H,7,0)</f>
        <v>LINHA E1</v>
      </c>
      <c r="E1124" s="5">
        <v>90200</v>
      </c>
      <c r="F1124">
        <f>IFERROR(
IF(ISNUMBER(FIND("CFW110",B1124)),
VALUE(MID(B1124,FIND("CFW110",B1124)+6,FIND("T",B1124,FIND("CFW110",B1124))-(FIND("CFW110",B1124)+6))),
IF(ISNUMBER(FIND("D",B1124)),
VALUE(SUBSTITUTE(MID(B1124,FIND("D",B1124)+1,FIND("T",B1124,FIND("D",B1124))-(FIND("D",B1124)+1)),"P",",")),
IF(ISNUMBER(FIND("CFW5",B1124)),
VALUE(MID(B1124,
IF(ISNUMBER(FIND("F",B1124)),FIND("F",B1124)+1,FIND("G",B1124)+1),
FIND("T",B1124)-(IF(ISNUMBER(FIND("F",B1124)),FIND("F",B1124)+1,FIND("G",B1124)+1))
)),
VALUE(MID(B1124,FIND("E0",B1124)+2,FIND("T",B1124,FIND("E0",B1124))-(FIND("E0",B1124)+2)))
))),"")</f>
        <v>142</v>
      </c>
      <c r="G1124">
        <f>IFERROR(
IF(ISNUMBER(FIND("T2",B1124)),220,
IF(ISNUMBER(FIND("T4",B1124)),440,
IF(ISNUMBER(FIND("T5",B1124)),575,
IF(ISNUMBER(FIND("T6",B1124)),690,"")))),
"")</f>
        <v>220</v>
      </c>
    </row>
    <row r="1125" spans="1:7" x14ac:dyDescent="0.25">
      <c r="A1125">
        <v>14479908</v>
      </c>
      <c r="B1125" t="str">
        <f>VLOOKUP(A1125,Planilha2!B:C,2,0)</f>
        <v>INVERSOR BRCFW110058T4OYWSIZ</v>
      </c>
      <c r="C1125" t="s">
        <v>1</v>
      </c>
      <c r="D1125" t="str">
        <f>VLOOKUP(A1125,Planilha2!B:H,7,0)</f>
        <v>LINHA M1</v>
      </c>
      <c r="E1125" s="5">
        <v>19010</v>
      </c>
      <c r="F1125">
        <f>IFERROR(
IF(ISNUMBER(FIND("CFW110",B1125)),
VALUE(MID(B1125,FIND("CFW110",B1125)+6,FIND("T",B1125,FIND("CFW110",B1125))-(FIND("CFW110",B1125)+6))),
IF(ISNUMBER(FIND("D",B1125)),
VALUE(SUBSTITUTE(MID(B1125,FIND("D",B1125)+1,FIND("T",B1125,FIND("D",B1125))-(FIND("D",B1125)+1)),"P",",")),
IF(ISNUMBER(FIND("CFW5",B1125)),
VALUE(MID(B1125,
IF(ISNUMBER(FIND("F",B1125)),FIND("F",B1125)+1,FIND("G",B1125)+1),
FIND("T",B1125)-(IF(ISNUMBER(FIND("F",B1125)),FIND("F",B1125)+1,FIND("G",B1125)+1))
)),
VALUE(MID(B1125,FIND("E0",B1125)+2,FIND("T",B1125,FIND("E0",B1125))-(FIND("E0",B1125)+2)))
))),"")</f>
        <v>58</v>
      </c>
      <c r="G1125">
        <f>IFERROR(
IF(ISNUMBER(FIND("T2",B1125)),220,
IF(ISNUMBER(FIND("T4",B1125)),440,
IF(ISNUMBER(FIND("T5",B1125)),575,
IF(ISNUMBER(FIND("T6",B1125)),690,"")))),
"")</f>
        <v>440</v>
      </c>
    </row>
    <row r="1126" spans="1:7" x14ac:dyDescent="0.25">
      <c r="A1126">
        <v>14472972</v>
      </c>
      <c r="B1126" t="str">
        <f>VLOOKUP(A1126,Planilha2!B:C,2,0)</f>
        <v>INVERSOR EUCFW110032T5OYHXZ</v>
      </c>
      <c r="C1126" t="s">
        <v>1</v>
      </c>
      <c r="D1126" t="str">
        <f>VLOOKUP(A1126,Planilha2!B:H,7,0)</f>
        <v>LINHA M1</v>
      </c>
      <c r="E1126" s="5">
        <v>26260</v>
      </c>
      <c r="F1126">
        <f>IFERROR(
IF(ISNUMBER(FIND("CFW110",B1126)),
VALUE(MID(B1126,FIND("CFW110",B1126)+6,FIND("T",B1126,FIND("CFW110",B1126))-(FIND("CFW110",B1126)+6))),
IF(ISNUMBER(FIND("D",B1126)),
VALUE(SUBSTITUTE(MID(B1126,FIND("D",B1126)+1,FIND("T",B1126,FIND("D",B1126))-(FIND("D",B1126)+1)),"P",",")),
IF(ISNUMBER(FIND("CFW5",B1126)),
VALUE(MID(B1126,
IF(ISNUMBER(FIND("F",B1126)),FIND("F",B1126)+1,FIND("G",B1126)+1),
FIND("T",B1126)-(IF(ISNUMBER(FIND("F",B1126)),FIND("F",B1126)+1,FIND("G",B1126)+1))
)),
VALUE(MID(B1126,FIND("E0",B1126)+2,FIND("T",B1126,FIND("E0",B1126))-(FIND("E0",B1126)+2)))
))),"")</f>
        <v>32</v>
      </c>
      <c r="G1126">
        <f>IFERROR(
IF(ISNUMBER(FIND("T2",B1126)),220,
IF(ISNUMBER(FIND("T4",B1126)),440,
IF(ISNUMBER(FIND("T5",B1126)),575,
IF(ISNUMBER(FIND("T6",B1126)),690,"")))),
"")</f>
        <v>575</v>
      </c>
    </row>
    <row r="1127" spans="1:7" x14ac:dyDescent="0.25">
      <c r="A1127">
        <v>14452120</v>
      </c>
      <c r="B1127" t="str">
        <f>VLOOKUP(A1127,Planilha2!B:C,2,0)</f>
        <v>INVERSOR EUCFW110058T4O55FAYZ</v>
      </c>
      <c r="C1127" t="s">
        <v>1</v>
      </c>
      <c r="D1127" t="str">
        <f>VLOOKUP(A1127,Planilha2!B:H,7,0)</f>
        <v>LINHA M3</v>
      </c>
      <c r="E1127" s="5">
        <v>20822</v>
      </c>
      <c r="F1127">
        <f>IFERROR(
IF(ISNUMBER(FIND("CFW110",B1127)),
VALUE(MID(B1127,FIND("CFW110",B1127)+6,FIND("T",B1127,FIND("CFW110",B1127))-(FIND("CFW110",B1127)+6))),
IF(ISNUMBER(FIND("D",B1127)),
VALUE(SUBSTITUTE(MID(B1127,FIND("D",B1127)+1,FIND("T",B1127,FIND("D",B1127))-(FIND("D",B1127)+1)),"P",",")),
IF(ISNUMBER(FIND("CFW5",B1127)),
VALUE(MID(B1127,
IF(ISNUMBER(FIND("F",B1127)),FIND("F",B1127)+1,FIND("G",B1127)+1),
FIND("T",B1127)-(IF(ISNUMBER(FIND("F",B1127)),FIND("F",B1127)+1,FIND("G",B1127)+1))
)),
VALUE(MID(B1127,FIND("E0",B1127)+2,FIND("T",B1127,FIND("E0",B1127))-(FIND("E0",B1127)+2)))
))),"")</f>
        <v>58</v>
      </c>
      <c r="G1127">
        <f>IFERROR(
IF(ISNUMBER(FIND("T2",B1127)),220,
IF(ISNUMBER(FIND("T4",B1127)),440,
IF(ISNUMBER(FIND("T5",B1127)),575,
IF(ISNUMBER(FIND("T6",B1127)),690,"")))),
"")</f>
        <v>440</v>
      </c>
    </row>
    <row r="1128" spans="1:7" x14ac:dyDescent="0.25">
      <c r="A1128">
        <v>14452122</v>
      </c>
      <c r="B1128" t="str">
        <f>VLOOKUP(A1128,Planilha2!B:C,2,0)</f>
        <v>INVERSOR EUCFW110088T4O55FAYZ</v>
      </c>
      <c r="C1128" t="s">
        <v>1</v>
      </c>
      <c r="D1128" t="str">
        <f>VLOOKUP(A1128,Planilha2!B:H,7,0)</f>
        <v>LINHA M3</v>
      </c>
      <c r="E1128" s="5">
        <v>48260</v>
      </c>
      <c r="F1128">
        <f>IFERROR(
IF(ISNUMBER(FIND("CFW110",B1128)),
VALUE(MID(B1128,FIND("CFW110",B1128)+6,FIND("T",B1128,FIND("CFW110",B1128))-(FIND("CFW110",B1128)+6))),
IF(ISNUMBER(FIND("D",B1128)),
VALUE(SUBSTITUTE(MID(B1128,FIND("D",B1128)+1,FIND("T",B1128,FIND("D",B1128))-(FIND("D",B1128)+1)),"P",",")),
IF(ISNUMBER(FIND("CFW5",B1128)),
VALUE(MID(B1128,
IF(ISNUMBER(FIND("F",B1128)),FIND("F",B1128)+1,FIND("G",B1128)+1),
FIND("T",B1128)-(IF(ISNUMBER(FIND("F",B1128)),FIND("F",B1128)+1,FIND("G",B1128)+1))
)),
VALUE(MID(B1128,FIND("E0",B1128)+2,FIND("T",B1128,FIND("E0",B1128))-(FIND("E0",B1128)+2)))
))),"")</f>
        <v>88</v>
      </c>
      <c r="G1128">
        <f>IFERROR(
IF(ISNUMBER(FIND("T2",B1128)),220,
IF(ISNUMBER(FIND("T4",B1128)),440,
IF(ISNUMBER(FIND("T5",B1128)),575,
IF(ISNUMBER(FIND("T6",B1128)),690,"")))),
"")</f>
        <v>440</v>
      </c>
    </row>
    <row r="1129" spans="1:7" x14ac:dyDescent="0.25">
      <c r="A1129">
        <v>14875796</v>
      </c>
      <c r="B1129" t="str">
        <f>VLOOKUP(A1129,Planilha2!B:C,2,0)</f>
        <v>INVERSOR MPW090045T3848G2Z</v>
      </c>
      <c r="C1129" t="s">
        <v>1</v>
      </c>
      <c r="D1129" t="str">
        <f>VLOOKUP(A1129,Planilha2!B:H,7,0)</f>
        <v>LINHA M1</v>
      </c>
      <c r="E1129" s="5">
        <v>18500</v>
      </c>
      <c r="F1129" t="str">
        <f>IFERROR(
IF(ISNUMBER(FIND("CFW110",B1129)),
VALUE(MID(B1129,FIND("CFW110",B1129)+6,FIND("T",B1129,FIND("CFW110",B1129))-(FIND("CFW110",B1129)+6))),
IF(ISNUMBER(FIND("D",B1129)),
VALUE(SUBSTITUTE(MID(B1129,FIND("D",B1129)+1,FIND("T",B1129,FIND("D",B1129))-(FIND("D",B1129)+1)),"P",",")),
IF(ISNUMBER(FIND("CFW5",B1129)),
VALUE(MID(B1129,
IF(ISNUMBER(FIND("F",B1129)),FIND("F",B1129)+1,FIND("G",B1129)+1),
FIND("T",B1129)-(IF(ISNUMBER(FIND("F",B1129)),FIND("F",B1129)+1,FIND("G",B1129)+1))
)),
VALUE(MID(B1129,FIND("E0",B1129)+2,FIND("T",B1129,FIND("E0",B1129))-(FIND("E0",B1129)+2)))
))),"")</f>
        <v/>
      </c>
      <c r="G1129" t="str">
        <f>IFERROR(
IF(ISNUMBER(FIND("T2",B1129)),220,
IF(ISNUMBER(FIND("T4",B1129)),440,
IF(ISNUMBER(FIND("T5",B1129)),575,
IF(ISNUMBER(FIND("T6",B1129)),690,"")))),
"")</f>
        <v/>
      </c>
    </row>
    <row r="1130" spans="1:7" x14ac:dyDescent="0.25">
      <c r="A1130">
        <v>14995270</v>
      </c>
      <c r="B1130" t="str">
        <f>VLOOKUP(A1130,Planilha2!B:C,2,0)</f>
        <v>INVERSOR BRCFW110045T4OFAYWZ</v>
      </c>
      <c r="C1130" t="s">
        <v>1</v>
      </c>
      <c r="D1130" t="str">
        <f>VLOOKUP(A1130,Planilha2!B:H,7,0)</f>
        <v>LINHA M1</v>
      </c>
      <c r="E1130" s="5">
        <v>4500</v>
      </c>
      <c r="F1130">
        <f>IFERROR(
IF(ISNUMBER(FIND("CFW110",B1130)),
VALUE(MID(B1130,FIND("CFW110",B1130)+6,FIND("T",B1130,FIND("CFW110",B1130))-(FIND("CFW110",B1130)+6))),
IF(ISNUMBER(FIND("D",B1130)),
VALUE(SUBSTITUTE(MID(B1130,FIND("D",B1130)+1,FIND("T",B1130,FIND("D",B1130))-(FIND("D",B1130)+1)),"P",",")),
IF(ISNUMBER(FIND("CFW5",B1130)),
VALUE(MID(B1130,
IF(ISNUMBER(FIND("F",B1130)),FIND("F",B1130)+1,FIND("G",B1130)+1),
FIND("T",B1130)-(IF(ISNUMBER(FIND("F",B1130)),FIND("F",B1130)+1,FIND("G",B1130)+1))
)),
VALUE(MID(B1130,FIND("E0",B1130)+2,FIND("T",B1130,FIND("E0",B1130))-(FIND("E0",B1130)+2)))
))),"")</f>
        <v>45</v>
      </c>
      <c r="G1130">
        <f>IFERROR(
IF(ISNUMBER(FIND("T2",B1130)),220,
IF(ISNUMBER(FIND("T4",B1130)),440,
IF(ISNUMBER(FIND("T5",B1130)),575,
IF(ISNUMBER(FIND("T6",B1130)),690,"")))),
"")</f>
        <v>440</v>
      </c>
    </row>
    <row r="1131" spans="1:7" x14ac:dyDescent="0.25">
      <c r="A1131">
        <v>14192781</v>
      </c>
      <c r="B1131" t="str">
        <f>VLOOKUP(A1131,Planilha2!B:C,2,0)</f>
        <v>INVERSOR BRCFW110070T4OSFZ</v>
      </c>
      <c r="C1131" t="s">
        <v>1</v>
      </c>
      <c r="D1131" t="str">
        <f>VLOOKUP(A1131,Planilha2!B:H,7,0)</f>
        <v>LINHA M3</v>
      </c>
      <c r="E1131" s="5">
        <v>31100</v>
      </c>
      <c r="F1131">
        <f>IFERROR(
IF(ISNUMBER(FIND("CFW110",B1131)),
VALUE(MID(B1131,FIND("CFW110",B1131)+6,FIND("T",B1131,FIND("CFW110",B1131))-(FIND("CFW110",B1131)+6))),
IF(ISNUMBER(FIND("D",B1131)),
VALUE(SUBSTITUTE(MID(B1131,FIND("D",B1131)+1,FIND("T",B1131,FIND("D",B1131))-(FIND("D",B1131)+1)),"P",",")),
IF(ISNUMBER(FIND("CFW5",B1131)),
VALUE(MID(B1131,
IF(ISNUMBER(FIND("F",B1131)),FIND("F",B1131)+1,FIND("G",B1131)+1),
FIND("T",B1131)-(IF(ISNUMBER(FIND("F",B1131)),FIND("F",B1131)+1,FIND("G",B1131)+1))
)),
VALUE(MID(B1131,FIND("E0",B1131)+2,FIND("T",B1131,FIND("E0",B1131))-(FIND("E0",B1131)+2)))
))),"")</f>
        <v>70</v>
      </c>
      <c r="G1131">
        <f>IFERROR(
IF(ISNUMBER(FIND("T2",B1131)),220,
IF(ISNUMBER(FIND("T4",B1131)),440,
IF(ISNUMBER(FIND("T5",B1131)),575,
IF(ISNUMBER(FIND("T6",B1131)),690,"")))),
"")</f>
        <v>440</v>
      </c>
    </row>
    <row r="1132" spans="1:7" x14ac:dyDescent="0.25">
      <c r="A1132">
        <v>14207307</v>
      </c>
      <c r="B1132" t="str">
        <f>VLOOKUP(A1132,Planilha2!B:C,2,0)</f>
        <v>INVERSOR BRCFW110058T4OSSZ</v>
      </c>
      <c r="C1132" t="s">
        <v>1</v>
      </c>
      <c r="D1132" t="str">
        <f>VLOOKUP(A1132,Planilha2!B:H,7,0)</f>
        <v>LINHA M1</v>
      </c>
      <c r="E1132" s="5">
        <v>20500</v>
      </c>
      <c r="F1132">
        <f>IFERROR(
IF(ISNUMBER(FIND("CFW110",B1132)),
VALUE(MID(B1132,FIND("CFW110",B1132)+6,FIND("T",B1132,FIND("CFW110",B1132))-(FIND("CFW110",B1132)+6))),
IF(ISNUMBER(FIND("D",B1132)),
VALUE(SUBSTITUTE(MID(B1132,FIND("D",B1132)+1,FIND("T",B1132,FIND("D",B1132))-(FIND("D",B1132)+1)),"P",",")),
IF(ISNUMBER(FIND("CFW5",B1132)),
VALUE(MID(B1132,
IF(ISNUMBER(FIND("F",B1132)),FIND("F",B1132)+1,FIND("G",B1132)+1),
FIND("T",B1132)-(IF(ISNUMBER(FIND("F",B1132)),FIND("F",B1132)+1,FIND("G",B1132)+1))
)),
VALUE(MID(B1132,FIND("E0",B1132)+2,FIND("T",B1132,FIND("E0",B1132))-(FIND("E0",B1132)+2)))
))),"")</f>
        <v>58</v>
      </c>
      <c r="G1132">
        <f>IFERROR(
IF(ISNUMBER(FIND("T2",B1132)),220,
IF(ISNUMBER(FIND("T4",B1132)),440,
IF(ISNUMBER(FIND("T5",B1132)),575,
IF(ISNUMBER(FIND("T6",B1132)),690,"")))),
"")</f>
        <v>440</v>
      </c>
    </row>
    <row r="1133" spans="1:7" x14ac:dyDescent="0.25">
      <c r="A1133">
        <v>14208328</v>
      </c>
      <c r="B1133" t="str">
        <f>VLOOKUP(A1133,Planilha2!B:C,2,0)</f>
        <v>INVERSOR BRCFW110070T4OSFZ-UI</v>
      </c>
      <c r="C1133" t="s">
        <v>1</v>
      </c>
      <c r="D1133" t="str">
        <f>VLOOKUP(A1133,Planilha2!B:H,7,0)</f>
        <v>LINHA M3</v>
      </c>
      <c r="E1133" s="5">
        <v>31100</v>
      </c>
      <c r="F1133">
        <f>IFERROR(
IF(ISNUMBER(FIND("CFW110",B1133)),
VALUE(MID(B1133,FIND("CFW110",B1133)+6,FIND("T",B1133,FIND("CFW110",B1133))-(FIND("CFW110",B1133)+6))),
IF(ISNUMBER(FIND("D",B1133)),
VALUE(SUBSTITUTE(MID(B1133,FIND("D",B1133)+1,FIND("T",B1133,FIND("D",B1133))-(FIND("D",B1133)+1)),"P",",")),
IF(ISNUMBER(FIND("CFW5",B1133)),
VALUE(MID(B1133,
IF(ISNUMBER(FIND("F",B1133)),FIND("F",B1133)+1,FIND("G",B1133)+1),
FIND("T",B1133)-(IF(ISNUMBER(FIND("F",B1133)),FIND("F",B1133)+1,FIND("G",B1133)+1))
)),
VALUE(MID(B1133,FIND("E0",B1133)+2,FIND("T",B1133,FIND("E0",B1133))-(FIND("E0",B1133)+2)))
))),"")</f>
        <v>70</v>
      </c>
      <c r="G1133">
        <f>IFERROR(
IF(ISNUMBER(FIND("T2",B1133)),220,
IF(ISNUMBER(FIND("T4",B1133)),440,
IF(ISNUMBER(FIND("T5",B1133)),575,
IF(ISNUMBER(FIND("T6",B1133)),690,"")))),
"")</f>
        <v>440</v>
      </c>
    </row>
    <row r="1134" spans="1:7" x14ac:dyDescent="0.25">
      <c r="A1134">
        <v>15329268</v>
      </c>
      <c r="B1134" t="str">
        <f>VLOOKUP(A1134,Planilha2!B:C,2,0)</f>
        <v>INVERSOR MPW090060T3848G2Z</v>
      </c>
      <c r="C1134" t="s">
        <v>1</v>
      </c>
      <c r="D1134" t="str">
        <f>VLOOKUP(A1134,Planilha2!B:H,7,0)</f>
        <v>LINHA E1</v>
      </c>
      <c r="E1134" s="5">
        <v>23031</v>
      </c>
      <c r="F1134" t="str">
        <f>IFERROR(
IF(ISNUMBER(FIND("CFW110",B1134)),
VALUE(MID(B1134,FIND("CFW110",B1134)+6,FIND("T",B1134,FIND("CFW110",B1134))-(FIND("CFW110",B1134)+6))),
IF(ISNUMBER(FIND("D",B1134)),
VALUE(SUBSTITUTE(MID(B1134,FIND("D",B1134)+1,FIND("T",B1134,FIND("D",B1134))-(FIND("D",B1134)+1)),"P",",")),
IF(ISNUMBER(FIND("CFW5",B1134)),
VALUE(MID(B1134,
IF(ISNUMBER(FIND("F",B1134)),FIND("F",B1134)+1,FIND("G",B1134)+1),
FIND("T",B1134)-(IF(ISNUMBER(FIND("F",B1134)),FIND("F",B1134)+1,FIND("G",B1134)+1))
)),
VALUE(MID(B1134,FIND("E0",B1134)+2,FIND("T",B1134,FIND("E0",B1134))-(FIND("E0",B1134)+2)))
))),"")</f>
        <v/>
      </c>
      <c r="G1134" t="str">
        <f>IFERROR(
IF(ISNUMBER(FIND("T2",B1134)),220,
IF(ISNUMBER(FIND("T4",B1134)),440,
IF(ISNUMBER(FIND("T5",B1134)),575,
IF(ISNUMBER(FIND("T6",B1134)),690,"")))),
"")</f>
        <v/>
      </c>
    </row>
    <row r="1135" spans="1:7" x14ac:dyDescent="0.25">
      <c r="A1135">
        <v>15324524</v>
      </c>
      <c r="B1135" t="str">
        <f>VLOOKUP(A1135,Planilha2!B:C,2,0)</f>
        <v>INVERSOR MPW090030T3848G2Z</v>
      </c>
      <c r="C1135" t="s">
        <v>1</v>
      </c>
      <c r="D1135" t="str">
        <f>VLOOKUP(A1135,Planilha2!B:H,7,0)</f>
        <v>LINHA M1</v>
      </c>
      <c r="E1135" s="5">
        <v>13913</v>
      </c>
      <c r="F1135" t="str">
        <f>IFERROR(
IF(ISNUMBER(FIND("CFW110",B1135)),
VALUE(MID(B1135,FIND("CFW110",B1135)+6,FIND("T",B1135,FIND("CFW110",B1135))-(FIND("CFW110",B1135)+6))),
IF(ISNUMBER(FIND("D",B1135)),
VALUE(SUBSTITUTE(MID(B1135,FIND("D",B1135)+1,FIND("T",B1135,FIND("D",B1135))-(FIND("D",B1135)+1)),"P",",")),
IF(ISNUMBER(FIND("CFW5",B1135)),
VALUE(MID(B1135,
IF(ISNUMBER(FIND("F",B1135)),FIND("F",B1135)+1,FIND("G",B1135)+1),
FIND("T",B1135)-(IF(ISNUMBER(FIND("F",B1135)),FIND("F",B1135)+1,FIND("G",B1135)+1))
)),
VALUE(MID(B1135,FIND("E0",B1135)+2,FIND("T",B1135,FIND("E0",B1135))-(FIND("E0",B1135)+2)))
))),"")</f>
        <v/>
      </c>
      <c r="G1135" t="str">
        <f>IFERROR(
IF(ISNUMBER(FIND("T2",B1135)),220,
IF(ISNUMBER(FIND("T4",B1135)),440,
IF(ISNUMBER(FIND("T5",B1135)),575,
IF(ISNUMBER(FIND("T6",B1135)),690,"")))),
"")</f>
        <v/>
      </c>
    </row>
    <row r="1136" spans="1:7" x14ac:dyDescent="0.25">
      <c r="A1136">
        <v>15329107</v>
      </c>
      <c r="B1136" t="str">
        <f>VLOOKUP(A1136,Planilha2!B:C,2,0)</f>
        <v>INVERSOR MPW090045T2223G2Z</v>
      </c>
      <c r="C1136" t="s">
        <v>1</v>
      </c>
      <c r="D1136" t="str">
        <f>VLOOKUP(A1136,Planilha2!B:H,7,0)</f>
        <v>LINHA M1</v>
      </c>
      <c r="E1136" s="5">
        <v>13913</v>
      </c>
      <c r="F1136" t="str">
        <f>IFERROR(
IF(ISNUMBER(FIND("CFW110",B1136)),
VALUE(MID(B1136,FIND("CFW110",B1136)+6,FIND("T",B1136,FIND("CFW110",B1136))-(FIND("CFW110",B1136)+6))),
IF(ISNUMBER(FIND("D",B1136)),
VALUE(SUBSTITUTE(MID(B1136,FIND("D",B1136)+1,FIND("T",B1136,FIND("D",B1136))-(FIND("D",B1136)+1)),"P",",")),
IF(ISNUMBER(FIND("CFW5",B1136)),
VALUE(MID(B1136,
IF(ISNUMBER(FIND("F",B1136)),FIND("F",B1136)+1,FIND("G",B1136)+1),
FIND("T",B1136)-(IF(ISNUMBER(FIND("F",B1136)),FIND("F",B1136)+1,FIND("G",B1136)+1))
)),
VALUE(MID(B1136,FIND("E0",B1136)+2,FIND("T",B1136,FIND("E0",B1136))-(FIND("E0",B1136)+2)))
))),"")</f>
        <v/>
      </c>
      <c r="G1136">
        <f>IFERROR(
IF(ISNUMBER(FIND("T2",B1136)),220,
IF(ISNUMBER(FIND("T4",B1136)),440,
IF(ISNUMBER(FIND("T5",B1136)),575,
IF(ISNUMBER(FIND("T6",B1136)),690,"")))),
"")</f>
        <v>220</v>
      </c>
    </row>
    <row r="1137" spans="1:7" x14ac:dyDescent="0.25">
      <c r="A1137">
        <v>15329271</v>
      </c>
      <c r="B1137" t="str">
        <f>VLOOKUP(A1137,Planilha2!B:C,2,0)</f>
        <v>INVERSOR MPW090086T3848G2Z</v>
      </c>
      <c r="C1137" t="s">
        <v>1</v>
      </c>
      <c r="D1137" t="str">
        <f>VLOOKUP(A1137,Planilha2!B:H,7,0)</f>
        <v>LINHA E1</v>
      </c>
      <c r="E1137" s="5">
        <v>29158</v>
      </c>
      <c r="F1137" t="str">
        <f>IFERROR(
IF(ISNUMBER(FIND("CFW110",B1137)),
VALUE(MID(B1137,FIND("CFW110",B1137)+6,FIND("T",B1137,FIND("CFW110",B1137))-(FIND("CFW110",B1137)+6))),
IF(ISNUMBER(FIND("D",B1137)),
VALUE(SUBSTITUTE(MID(B1137,FIND("D",B1137)+1,FIND("T",B1137,FIND("D",B1137))-(FIND("D",B1137)+1)),"P",",")),
IF(ISNUMBER(FIND("CFW5",B1137)),
VALUE(MID(B1137,
IF(ISNUMBER(FIND("F",B1137)),FIND("F",B1137)+1,FIND("G",B1137)+1),
FIND("T",B1137)-(IF(ISNUMBER(FIND("F",B1137)),FIND("F",B1137)+1,FIND("G",B1137)+1))
)),
VALUE(MID(B1137,FIND("E0",B1137)+2,FIND("T",B1137,FIND("E0",B1137))-(FIND("E0",B1137)+2)))
))),"")</f>
        <v/>
      </c>
      <c r="G1137" t="str">
        <f>IFERROR(
IF(ISNUMBER(FIND("T2",B1137)),220,
IF(ISNUMBER(FIND("T4",B1137)),440,
IF(ISNUMBER(FIND("T5",B1137)),575,
IF(ISNUMBER(FIND("T6",B1137)),690,"")))),
"")</f>
        <v/>
      </c>
    </row>
    <row r="1138" spans="1:7" x14ac:dyDescent="0.25">
      <c r="A1138">
        <v>15329272</v>
      </c>
      <c r="B1138" t="str">
        <f>VLOOKUP(A1138,Planilha2!B:C,2,0)</f>
        <v>INVERSOR MPW090142T3848G2H1Z</v>
      </c>
      <c r="C1138" t="s">
        <v>1</v>
      </c>
      <c r="D1138" t="str">
        <f>VLOOKUP(A1138,Planilha2!B:H,7,0)</f>
        <v>LINHA E1</v>
      </c>
      <c r="E1138" s="5">
        <v>38400</v>
      </c>
      <c r="F1138" t="str">
        <f>IFERROR(
IF(ISNUMBER(FIND("CFW110",B1138)),
VALUE(MID(B1138,FIND("CFW110",B1138)+6,FIND("T",B1138,FIND("CFW110",B1138))-(FIND("CFW110",B1138)+6))),
IF(ISNUMBER(FIND("D",B1138)),
VALUE(SUBSTITUTE(MID(B1138,FIND("D",B1138)+1,FIND("T",B1138,FIND("D",B1138))-(FIND("D",B1138)+1)),"P",",")),
IF(ISNUMBER(FIND("CFW5",B1138)),
VALUE(MID(B1138,
IF(ISNUMBER(FIND("F",B1138)),FIND("F",B1138)+1,FIND("G",B1138)+1),
FIND("T",B1138)-(IF(ISNUMBER(FIND("F",B1138)),FIND("F",B1138)+1,FIND("G",B1138)+1))
)),
VALUE(MID(B1138,FIND("E0",B1138)+2,FIND("T",B1138,FIND("E0",B1138))-(FIND("E0",B1138)+2)))
))),"")</f>
        <v/>
      </c>
      <c r="G1138" t="str">
        <f>IFERROR(
IF(ISNUMBER(FIND("T2",B1138)),220,
IF(ISNUMBER(FIND("T4",B1138)),440,
IF(ISNUMBER(FIND("T5",B1138)),575,
IF(ISNUMBER(FIND("T6",B1138)),690,"")))),
"")</f>
        <v/>
      </c>
    </row>
    <row r="1139" spans="1:7" x14ac:dyDescent="0.25">
      <c r="A1139">
        <v>14240852</v>
      </c>
      <c r="B1139" t="str">
        <f>VLOOKUP(A1139,Planilha2!B:C,2,0)</f>
        <v>INVERSOR CFW700D86P0T2DBN1HIR</v>
      </c>
      <c r="C1139" t="s">
        <v>1</v>
      </c>
      <c r="D1139" t="str">
        <f>VLOOKUP(A1139,Planilha2!B:H,7,0)</f>
        <v>OBSOLETOS DRIVES</v>
      </c>
      <c r="E1139" s="5">
        <v>26580</v>
      </c>
      <c r="F1139">
        <f>IFERROR(
IF(ISNUMBER(FIND("CFW110",B1139)),
VALUE(MID(B1139,FIND("CFW110",B1139)+6,FIND("T",B1139,FIND("CFW110",B1139))-(FIND("CFW110",B1139)+6))),
IF(ISNUMBER(FIND("D",B1139)),
VALUE(SUBSTITUTE(MID(B1139,FIND("D",B1139)+1,FIND("T",B1139,FIND("D",B1139))-(FIND("D",B1139)+1)),"P",",")),
IF(ISNUMBER(FIND("CFW5",B1139)),
VALUE(MID(B1139,
IF(ISNUMBER(FIND("F",B1139)),FIND("F",B1139)+1,FIND("G",B1139)+1),
FIND("T",B1139)-(IF(ISNUMBER(FIND("F",B1139)),FIND("F",B1139)+1,FIND("G",B1139)+1))
)),
VALUE(MID(B1139,FIND("E0",B1139)+2,FIND("T",B1139,FIND("E0",B1139))-(FIND("E0",B1139)+2)))
))),"")</f>
        <v>86</v>
      </c>
      <c r="G1139">
        <f>IFERROR(
IF(ISNUMBER(FIND("T2",B1139)),220,
IF(ISNUMBER(FIND("T4",B1139)),440,
IF(ISNUMBER(FIND("T5",B1139)),575,
IF(ISNUMBER(FIND("T6",B1139)),690,"")))),
"")</f>
        <v>220</v>
      </c>
    </row>
    <row r="1140" spans="1:7" x14ac:dyDescent="0.25">
      <c r="A1140">
        <v>14266427</v>
      </c>
      <c r="B1140" t="str">
        <f>VLOOKUP(A1140,Planilha2!B:C,2,0)</f>
        <v>INVERSOR CFW701C58P5T4DB20C3Y1</v>
      </c>
      <c r="C1140" t="s">
        <v>1</v>
      </c>
      <c r="D1140" t="str">
        <f>VLOOKUP(A1140,Planilha2!B:H,7,0)</f>
        <v>OBSOLETOS DRIVES</v>
      </c>
      <c r="E1140" s="5">
        <v>16000</v>
      </c>
      <c r="F1140" t="str">
        <f>IFERROR(
IF(ISNUMBER(FIND("CFW110",B1140)),
VALUE(MID(B1140,FIND("CFW110",B1140)+6,FIND("T",B1140,FIND("CFW110",B1140))-(FIND("CFW110",B1140)+6))),
IF(ISNUMBER(FIND("D",B1140)),
VALUE(SUBSTITUTE(MID(B1140,FIND("D",B1140)+1,FIND("T",B1140,FIND("D",B1140))-(FIND("D",B1140)+1)),"P",",")),
IF(ISNUMBER(FIND("CFW5",B1140)),
VALUE(MID(B1140,
IF(ISNUMBER(FIND("F",B1140)),FIND("F",B1140)+1,FIND("G",B1140)+1),
FIND("T",B1140)-(IF(ISNUMBER(FIND("F",B1140)),FIND("F",B1140)+1,FIND("G",B1140)+1))
)),
VALUE(MID(B1140,FIND("E0",B1140)+2,FIND("T",B1140,FIND("E0",B1140))-(FIND("E0",B1140)+2)))
))),"")</f>
        <v/>
      </c>
      <c r="G1140">
        <f>IFERROR(
IF(ISNUMBER(FIND("T2",B1140)),220,
IF(ISNUMBER(FIND("T4",B1140)),440,
IF(ISNUMBER(FIND("T5",B1140)),575,
IF(ISNUMBER(FIND("T6",B1140)),690,"")))),
"")</f>
        <v>440</v>
      </c>
    </row>
    <row r="1141" spans="1:7" x14ac:dyDescent="0.25">
      <c r="A1141">
        <v>14261361</v>
      </c>
      <c r="B1141" t="str">
        <f>VLOOKUP(A1141,Planilha2!B:C,2,0)</f>
        <v>INVERSOR BRCFW110088T4OFAYZ-UI</v>
      </c>
      <c r="C1141" t="s">
        <v>1</v>
      </c>
      <c r="D1141" t="str">
        <f>VLOOKUP(A1141,Planilha2!B:H,7,0)</f>
        <v>LINHA M3</v>
      </c>
      <c r="E1141" s="5">
        <v>29500</v>
      </c>
      <c r="F1141">
        <f>IFERROR(
IF(ISNUMBER(FIND("CFW110",B1141)),
VALUE(MID(B1141,FIND("CFW110",B1141)+6,FIND("T",B1141,FIND("CFW110",B1141))-(FIND("CFW110",B1141)+6))),
IF(ISNUMBER(FIND("D",B1141)),
VALUE(SUBSTITUTE(MID(B1141,FIND("D",B1141)+1,FIND("T",B1141,FIND("D",B1141))-(FIND("D",B1141)+1)),"P",",")),
IF(ISNUMBER(FIND("CFW5",B1141)),
VALUE(MID(B1141,
IF(ISNUMBER(FIND("F",B1141)),FIND("F",B1141)+1,FIND("G",B1141)+1),
FIND("T",B1141)-(IF(ISNUMBER(FIND("F",B1141)),FIND("F",B1141)+1,FIND("G",B1141)+1))
)),
VALUE(MID(B1141,FIND("E0",B1141)+2,FIND("T",B1141,FIND("E0",B1141))-(FIND("E0",B1141)+2)))
))),"")</f>
        <v>88</v>
      </c>
      <c r="G1141">
        <f>IFERROR(
IF(ISNUMBER(FIND("T2",B1141)),220,
IF(ISNUMBER(FIND("T4",B1141)),440,
IF(ISNUMBER(FIND("T5",B1141)),575,
IF(ISNUMBER(FIND("T6",B1141)),690,"")))),
"")</f>
        <v>440</v>
      </c>
    </row>
    <row r="1142" spans="1:7" x14ac:dyDescent="0.25">
      <c r="A1142">
        <v>15686530</v>
      </c>
      <c r="B1142" t="str">
        <f>VLOOKUP(A1142,Planilha2!B:C,2,0)</f>
        <v>INVERSOR CFW900D0110T2DB20Y2B</v>
      </c>
      <c r="C1142" t="s">
        <v>1</v>
      </c>
      <c r="D1142" t="str">
        <f>VLOOKUP(A1142,Planilha2!B:H,7,0)</f>
        <v>LINHA G1</v>
      </c>
      <c r="E1142" s="5">
        <v>33500</v>
      </c>
      <c r="F1142">
        <f>IFERROR(
IF(ISNUMBER(FIND("CFW110",B1142)),
VALUE(MID(B1142,FIND("CFW110",B1142)+6,FIND("T",B1142,FIND("CFW110",B1142))-(FIND("CFW110",B1142)+6))),
IF(ISNUMBER(FIND("D",B1142)),
VALUE(SUBSTITUTE(MID(B1142,FIND("D",B1142)+1,FIND("T",B1142,FIND("D",B1142))-(FIND("D",B1142)+1)),"P",",")),
IF(ISNUMBER(FIND("CFW5",B1142)),
VALUE(MID(B1142,
IF(ISNUMBER(FIND("F",B1142)),FIND("F",B1142)+1,FIND("G",B1142)+1),
FIND("T",B1142)-(IF(ISNUMBER(FIND("F",B1142)),FIND("F",B1142)+1,FIND("G",B1142)+1))
)),
VALUE(MID(B1142,FIND("E0",B1142)+2,FIND("T",B1142,FIND("E0",B1142))-(FIND("E0",B1142)+2)))
))),"")</f>
        <v>110</v>
      </c>
      <c r="G1142">
        <f>IFERROR(
IF(ISNUMBER(FIND("T2",B1142)),220,
IF(ISNUMBER(FIND("T4",B1142)),440,
IF(ISNUMBER(FIND("T5",B1142)),575,
IF(ISNUMBER(FIND("T6",B1142)),690,"")))),
"")</f>
        <v>220</v>
      </c>
    </row>
    <row r="1143" spans="1:7" x14ac:dyDescent="0.25">
      <c r="A1143">
        <v>15686712</v>
      </c>
      <c r="B1143" t="str">
        <f>VLOOKUP(A1143,Planilha2!B:C,2,0)</f>
        <v>INVERSOR CFW900D0110T2NB20Y2B</v>
      </c>
      <c r="C1143" t="s">
        <v>1</v>
      </c>
      <c r="D1143" t="str">
        <f>VLOOKUP(A1143,Planilha2!B:H,7,0)</f>
        <v>LINHA G1</v>
      </c>
      <c r="E1143" s="5">
        <v>33500</v>
      </c>
      <c r="F1143">
        <f>IFERROR(
IF(ISNUMBER(FIND("CFW110",B1143)),
VALUE(MID(B1143,FIND("CFW110",B1143)+6,FIND("T",B1143,FIND("CFW110",B1143))-(FIND("CFW110",B1143)+6))),
IF(ISNUMBER(FIND("D",B1143)),
VALUE(SUBSTITUTE(MID(B1143,FIND("D",B1143)+1,FIND("T",B1143,FIND("D",B1143))-(FIND("D",B1143)+1)),"P",",")),
IF(ISNUMBER(FIND("CFW5",B1143)),
VALUE(MID(B1143,
IF(ISNUMBER(FIND("F",B1143)),FIND("F",B1143)+1,FIND("G",B1143)+1),
FIND("T",B1143)-(IF(ISNUMBER(FIND("F",B1143)),FIND("F",B1143)+1,FIND("G",B1143)+1))
)),
VALUE(MID(B1143,FIND("E0",B1143)+2,FIND("T",B1143,FIND("E0",B1143))-(FIND("E0",B1143)+2)))
))),"")</f>
        <v>110</v>
      </c>
      <c r="G1143">
        <f>IFERROR(
IF(ISNUMBER(FIND("T2",B1143)),220,
IF(ISNUMBER(FIND("T4",B1143)),440,
IF(ISNUMBER(FIND("T5",B1143)),575,
IF(ISNUMBER(FIND("T6",B1143)),690,"")))),
"")</f>
        <v>220</v>
      </c>
    </row>
    <row r="1144" spans="1:7" x14ac:dyDescent="0.25">
      <c r="A1144">
        <v>15686537</v>
      </c>
      <c r="B1144" t="str">
        <f>VLOOKUP(A1144,Planilha2!B:C,2,0)</f>
        <v>INVERSOR CFW900D0124T4DB20Y2B</v>
      </c>
      <c r="C1144" t="s">
        <v>1</v>
      </c>
      <c r="D1144" t="str">
        <f>VLOOKUP(A1144,Planilha2!B:H,7,0)</f>
        <v>LINHA G1</v>
      </c>
      <c r="E1144" s="5">
        <v>33500</v>
      </c>
      <c r="F1144">
        <f>IFERROR(
IF(ISNUMBER(FIND("CFW110",B1144)),
VALUE(MID(B1144,FIND("CFW110",B1144)+6,FIND("T",B1144,FIND("CFW110",B1144))-(FIND("CFW110",B1144)+6))),
IF(ISNUMBER(FIND("D",B1144)),
VALUE(SUBSTITUTE(MID(B1144,FIND("D",B1144)+1,FIND("T",B1144,FIND("D",B1144))-(FIND("D",B1144)+1)),"P",",")),
IF(ISNUMBER(FIND("CFW5",B1144)),
VALUE(MID(B1144,
IF(ISNUMBER(FIND("F",B1144)),FIND("F",B1144)+1,FIND("G",B1144)+1),
FIND("T",B1144)-(IF(ISNUMBER(FIND("F",B1144)),FIND("F",B1144)+1,FIND("G",B1144)+1))
)),
VALUE(MID(B1144,FIND("E0",B1144)+2,FIND("T",B1144,FIND("E0",B1144))-(FIND("E0",B1144)+2)))
))),"")</f>
        <v>124</v>
      </c>
      <c r="G1144">
        <f>IFERROR(
IF(ISNUMBER(FIND("T2",B1144)),220,
IF(ISNUMBER(FIND("T4",B1144)),440,
IF(ISNUMBER(FIND("T5",B1144)),575,
IF(ISNUMBER(FIND("T6",B1144)),690,"")))),
"")</f>
        <v>440</v>
      </c>
    </row>
    <row r="1145" spans="1:7" x14ac:dyDescent="0.25">
      <c r="A1145">
        <v>15686789</v>
      </c>
      <c r="B1145" t="str">
        <f>VLOOKUP(A1145,Planilha2!B:C,2,0)</f>
        <v>INVERSOR CFW900D0124T4NB20Y2B</v>
      </c>
      <c r="C1145" t="s">
        <v>1</v>
      </c>
      <c r="D1145" t="str">
        <f>VLOOKUP(A1145,Planilha2!B:H,7,0)</f>
        <v>LINHA G1</v>
      </c>
      <c r="E1145" s="5">
        <v>33500</v>
      </c>
      <c r="F1145">
        <f>IFERROR(
IF(ISNUMBER(FIND("CFW110",B1145)),
VALUE(MID(B1145,FIND("CFW110",B1145)+6,FIND("T",B1145,FIND("CFW110",B1145))-(FIND("CFW110",B1145)+6))),
IF(ISNUMBER(FIND("D",B1145)),
VALUE(SUBSTITUTE(MID(B1145,FIND("D",B1145)+1,FIND("T",B1145,FIND("D",B1145))-(FIND("D",B1145)+1)),"P",",")),
IF(ISNUMBER(FIND("CFW5",B1145)),
VALUE(MID(B1145,
IF(ISNUMBER(FIND("F",B1145)),FIND("F",B1145)+1,FIND("G",B1145)+1),
FIND("T",B1145)-(IF(ISNUMBER(FIND("F",B1145)),FIND("F",B1145)+1,FIND("G",B1145)+1))
)),
VALUE(MID(B1145,FIND("E0",B1145)+2,FIND("T",B1145,FIND("E0",B1145))-(FIND("E0",B1145)+2)))
))),"")</f>
        <v>124</v>
      </c>
      <c r="G1145">
        <f>IFERROR(
IF(ISNUMBER(FIND("T2",B1145)),220,
IF(ISNUMBER(FIND("T4",B1145)),440,
IF(ISNUMBER(FIND("T5",B1145)),575,
IF(ISNUMBER(FIND("T6",B1145)),690,"")))),
"")</f>
        <v>440</v>
      </c>
    </row>
    <row r="1146" spans="1:7" x14ac:dyDescent="0.25">
      <c r="A1146">
        <v>15686534</v>
      </c>
      <c r="B1146" t="str">
        <f>VLOOKUP(A1146,Planilha2!B:C,2,0)</f>
        <v>INVERSOR CFW900D0135T2DB20Y2B</v>
      </c>
      <c r="C1146" t="s">
        <v>1</v>
      </c>
      <c r="D1146" t="str">
        <f>VLOOKUP(A1146,Planilha2!B:H,7,0)</f>
        <v>LINHA G1</v>
      </c>
      <c r="E1146" s="5">
        <v>33500</v>
      </c>
      <c r="F1146">
        <f>IFERROR(
IF(ISNUMBER(FIND("CFW110",B1146)),
VALUE(MID(B1146,FIND("CFW110",B1146)+6,FIND("T",B1146,FIND("CFW110",B1146))-(FIND("CFW110",B1146)+6))),
IF(ISNUMBER(FIND("D",B1146)),
VALUE(SUBSTITUTE(MID(B1146,FIND("D",B1146)+1,FIND("T",B1146,FIND("D",B1146))-(FIND("D",B1146)+1)),"P",",")),
IF(ISNUMBER(FIND("CFW5",B1146)),
VALUE(MID(B1146,
IF(ISNUMBER(FIND("F",B1146)),FIND("F",B1146)+1,FIND("G",B1146)+1),
FIND("T",B1146)-(IF(ISNUMBER(FIND("F",B1146)),FIND("F",B1146)+1,FIND("G",B1146)+1))
)),
VALUE(MID(B1146,FIND("E0",B1146)+2,FIND("T",B1146,FIND("E0",B1146))-(FIND("E0",B1146)+2)))
))),"")</f>
        <v>135</v>
      </c>
      <c r="G1146">
        <f>IFERROR(
IF(ISNUMBER(FIND("T2",B1146)),220,
IF(ISNUMBER(FIND("T4",B1146)),440,
IF(ISNUMBER(FIND("T5",B1146)),575,
IF(ISNUMBER(FIND("T6",B1146)),690,"")))),
"")</f>
        <v>220</v>
      </c>
    </row>
    <row r="1147" spans="1:7" x14ac:dyDescent="0.25">
      <c r="A1147">
        <v>15686715</v>
      </c>
      <c r="B1147" t="str">
        <f>VLOOKUP(A1147,Planilha2!B:C,2,0)</f>
        <v>INVERSOR CFW900D0135T2NB20Y2B</v>
      </c>
      <c r="C1147" t="s">
        <v>1</v>
      </c>
      <c r="D1147" t="str">
        <f>VLOOKUP(A1147,Planilha2!B:H,7,0)</f>
        <v>LINHA G1</v>
      </c>
      <c r="E1147" s="5">
        <v>33500</v>
      </c>
      <c r="F1147">
        <f>IFERROR(
IF(ISNUMBER(FIND("CFW110",B1147)),
VALUE(MID(B1147,FIND("CFW110",B1147)+6,FIND("T",B1147,FIND("CFW110",B1147))-(FIND("CFW110",B1147)+6))),
IF(ISNUMBER(FIND("D",B1147)),
VALUE(SUBSTITUTE(MID(B1147,FIND("D",B1147)+1,FIND("T",B1147,FIND("D",B1147))-(FIND("D",B1147)+1)),"P",",")),
IF(ISNUMBER(FIND("CFW5",B1147)),
VALUE(MID(B1147,
IF(ISNUMBER(FIND("F",B1147)),FIND("F",B1147)+1,FIND("G",B1147)+1),
FIND("T",B1147)-(IF(ISNUMBER(FIND("F",B1147)),FIND("F",B1147)+1,FIND("G",B1147)+1))
)),
VALUE(MID(B1147,FIND("E0",B1147)+2,FIND("T",B1147,FIND("E0",B1147))-(FIND("E0",B1147)+2)))
))),"")</f>
        <v>135</v>
      </c>
      <c r="G1147">
        <f>IFERROR(
IF(ISNUMBER(FIND("T2",B1147)),220,
IF(ISNUMBER(FIND("T4",B1147)),440,
IF(ISNUMBER(FIND("T5",B1147)),575,
IF(ISNUMBER(FIND("T6",B1147)),690,"")))),
"")</f>
        <v>220</v>
      </c>
    </row>
    <row r="1148" spans="1:7" x14ac:dyDescent="0.25">
      <c r="A1148">
        <v>15686709</v>
      </c>
      <c r="B1148" t="str">
        <f>VLOOKUP(A1148,Planilha2!B:C,2,0)</f>
        <v>INVERSOR CFW900D0146T4DB20Y2B</v>
      </c>
      <c r="C1148" t="s">
        <v>1</v>
      </c>
      <c r="D1148" t="str">
        <f>VLOOKUP(A1148,Planilha2!B:H,7,0)</f>
        <v>LINHA G1</v>
      </c>
      <c r="E1148" s="5">
        <v>33500</v>
      </c>
      <c r="F1148">
        <f>IFERROR(
IF(ISNUMBER(FIND("CFW110",B1148)),
VALUE(MID(B1148,FIND("CFW110",B1148)+6,FIND("T",B1148,FIND("CFW110",B1148))-(FIND("CFW110",B1148)+6))),
IF(ISNUMBER(FIND("D",B1148)),
VALUE(SUBSTITUTE(MID(B1148,FIND("D",B1148)+1,FIND("T",B1148,FIND("D",B1148))-(FIND("D",B1148)+1)),"P",",")),
IF(ISNUMBER(FIND("CFW5",B1148)),
VALUE(MID(B1148,
IF(ISNUMBER(FIND("F",B1148)),FIND("F",B1148)+1,FIND("G",B1148)+1),
FIND("T",B1148)-(IF(ISNUMBER(FIND("F",B1148)),FIND("F",B1148)+1,FIND("G",B1148)+1))
)),
VALUE(MID(B1148,FIND("E0",B1148)+2,FIND("T",B1148,FIND("E0",B1148))-(FIND("E0",B1148)+2)))
))),"")</f>
        <v>146</v>
      </c>
      <c r="G1148">
        <f>IFERROR(
IF(ISNUMBER(FIND("T2",B1148)),220,
IF(ISNUMBER(FIND("T4",B1148)),440,
IF(ISNUMBER(FIND("T5",B1148)),575,
IF(ISNUMBER(FIND("T6",B1148)),690,"")))),
"")</f>
        <v>440</v>
      </c>
    </row>
    <row r="1149" spans="1:7" x14ac:dyDescent="0.25">
      <c r="A1149">
        <v>15686790</v>
      </c>
      <c r="B1149" t="str">
        <f>VLOOKUP(A1149,Planilha2!B:C,2,0)</f>
        <v>INVERSOR CFW900D0146T4NB20Y2B</v>
      </c>
      <c r="C1149" t="s">
        <v>1</v>
      </c>
      <c r="D1149" t="str">
        <f>VLOOKUP(A1149,Planilha2!B:H,7,0)</f>
        <v>LINHA G1</v>
      </c>
      <c r="E1149" s="5">
        <v>33500</v>
      </c>
      <c r="F1149">
        <f>IFERROR(
IF(ISNUMBER(FIND("CFW110",B1149)),
VALUE(MID(B1149,FIND("CFW110",B1149)+6,FIND("T",B1149,FIND("CFW110",B1149))-(FIND("CFW110",B1149)+6))),
IF(ISNUMBER(FIND("D",B1149)),
VALUE(SUBSTITUTE(MID(B1149,FIND("D",B1149)+1,FIND("T",B1149,FIND("D",B1149))-(FIND("D",B1149)+1)),"P",",")),
IF(ISNUMBER(FIND("CFW5",B1149)),
VALUE(MID(B1149,
IF(ISNUMBER(FIND("F",B1149)),FIND("F",B1149)+1,FIND("G",B1149)+1),
FIND("T",B1149)-(IF(ISNUMBER(FIND("F",B1149)),FIND("F",B1149)+1,FIND("G",B1149)+1))
)),
VALUE(MID(B1149,FIND("E0",B1149)+2,FIND("T",B1149,FIND("E0",B1149))-(FIND("E0",B1149)+2)))
))),"")</f>
        <v>146</v>
      </c>
      <c r="G1149">
        <f>IFERROR(
IF(ISNUMBER(FIND("T2",B1149)),220,
IF(ISNUMBER(FIND("T4",B1149)),440,
IF(ISNUMBER(FIND("T5",B1149)),575,
IF(ISNUMBER(FIND("T6",B1149)),690,"")))),
"")</f>
        <v>440</v>
      </c>
    </row>
    <row r="1150" spans="1:7" x14ac:dyDescent="0.25">
      <c r="A1150">
        <v>15686535</v>
      </c>
      <c r="B1150" t="str">
        <f>VLOOKUP(A1150,Planilha2!B:C,2,0)</f>
        <v>INVERSOR CFW900D0150T2DB20Y2B</v>
      </c>
      <c r="C1150" t="s">
        <v>1</v>
      </c>
      <c r="D1150" t="str">
        <f>VLOOKUP(A1150,Planilha2!B:H,7,0)</f>
        <v>LINHA G1</v>
      </c>
      <c r="E1150" s="5">
        <v>33500</v>
      </c>
      <c r="F1150">
        <f>IFERROR(
IF(ISNUMBER(FIND("CFW110",B1150)),
VALUE(MID(B1150,FIND("CFW110",B1150)+6,FIND("T",B1150,FIND("CFW110",B1150))-(FIND("CFW110",B1150)+6))),
IF(ISNUMBER(FIND("D",B1150)),
VALUE(SUBSTITUTE(MID(B1150,FIND("D",B1150)+1,FIND("T",B1150,FIND("D",B1150))-(FIND("D",B1150)+1)),"P",",")),
IF(ISNUMBER(FIND("CFW5",B1150)),
VALUE(MID(B1150,
IF(ISNUMBER(FIND("F",B1150)),FIND("F",B1150)+1,FIND("G",B1150)+1),
FIND("T",B1150)-(IF(ISNUMBER(FIND("F",B1150)),FIND("F",B1150)+1,FIND("G",B1150)+1))
)),
VALUE(MID(B1150,FIND("E0",B1150)+2,FIND("T",B1150,FIND("E0",B1150))-(FIND("E0",B1150)+2)))
))),"")</f>
        <v>150</v>
      </c>
      <c r="G1150">
        <f>IFERROR(
IF(ISNUMBER(FIND("T2",B1150)),220,
IF(ISNUMBER(FIND("T4",B1150)),440,
IF(ISNUMBER(FIND("T5",B1150)),575,
IF(ISNUMBER(FIND("T6",B1150)),690,"")))),
"")</f>
        <v>220</v>
      </c>
    </row>
    <row r="1151" spans="1:7" x14ac:dyDescent="0.25">
      <c r="A1151">
        <v>15686716</v>
      </c>
      <c r="B1151" t="str">
        <f>VLOOKUP(A1151,Planilha2!B:C,2,0)</f>
        <v>INVERSOR CFW900D0150T2NB20Y2B</v>
      </c>
      <c r="C1151" t="s">
        <v>1</v>
      </c>
      <c r="D1151" t="str">
        <f>VLOOKUP(A1151,Planilha2!B:H,7,0)</f>
        <v>LINHA G1</v>
      </c>
      <c r="E1151" s="5">
        <v>33500</v>
      </c>
      <c r="F1151">
        <f>IFERROR(
IF(ISNUMBER(FIND("CFW110",B1151)),
VALUE(MID(B1151,FIND("CFW110",B1151)+6,FIND("T",B1151,FIND("CFW110",B1151))-(FIND("CFW110",B1151)+6))),
IF(ISNUMBER(FIND("D",B1151)),
VALUE(SUBSTITUTE(MID(B1151,FIND("D",B1151)+1,FIND("T",B1151,FIND("D",B1151))-(FIND("D",B1151)+1)),"P",",")),
IF(ISNUMBER(FIND("CFW5",B1151)),
VALUE(MID(B1151,
IF(ISNUMBER(FIND("F",B1151)),FIND("F",B1151)+1,FIND("G",B1151)+1),
FIND("T",B1151)-(IF(ISNUMBER(FIND("F",B1151)),FIND("F",B1151)+1,FIND("G",B1151)+1))
)),
VALUE(MID(B1151,FIND("E0",B1151)+2,FIND("T",B1151,FIND("E0",B1151))-(FIND("E0",B1151)+2)))
))),"")</f>
        <v>150</v>
      </c>
      <c r="G1151">
        <f>IFERROR(
IF(ISNUMBER(FIND("T2",B1151)),220,
IF(ISNUMBER(FIND("T4",B1151)),440,
IF(ISNUMBER(FIND("T5",B1151)),575,
IF(ISNUMBER(FIND("T6",B1151)),690,"")))),
"")</f>
        <v>220</v>
      </c>
    </row>
    <row r="1152" spans="1:7" x14ac:dyDescent="0.25">
      <c r="A1152">
        <v>15686536</v>
      </c>
      <c r="B1152" t="str">
        <f>VLOOKUP(A1152,Planilha2!B:C,2,0)</f>
        <v>INVERSOR CFW900D96P0T4DB20Y2B</v>
      </c>
      <c r="C1152" t="s">
        <v>1</v>
      </c>
      <c r="D1152" t="str">
        <f>VLOOKUP(A1152,Planilha2!B:H,7,0)</f>
        <v>LINHA G1</v>
      </c>
      <c r="E1152" s="5">
        <v>33500</v>
      </c>
      <c r="F1152">
        <f>IFERROR(
IF(ISNUMBER(FIND("CFW110",B1152)),
VALUE(MID(B1152,FIND("CFW110",B1152)+6,FIND("T",B1152,FIND("CFW110",B1152))-(FIND("CFW110",B1152)+6))),
IF(ISNUMBER(FIND("D",B1152)),
VALUE(SUBSTITUTE(MID(B1152,FIND("D",B1152)+1,FIND("T",B1152,FIND("D",B1152))-(FIND("D",B1152)+1)),"P",",")),
IF(ISNUMBER(FIND("CFW5",B1152)),
VALUE(MID(B1152,
IF(ISNUMBER(FIND("F",B1152)),FIND("F",B1152)+1,FIND("G",B1152)+1),
FIND("T",B1152)-(IF(ISNUMBER(FIND("F",B1152)),FIND("F",B1152)+1,FIND("G",B1152)+1))
)),
VALUE(MID(B1152,FIND("E0",B1152)+2,FIND("T",B1152,FIND("E0",B1152))-(FIND("E0",B1152)+2)))
))),"")</f>
        <v>96</v>
      </c>
      <c r="G1152">
        <f>IFERROR(
IF(ISNUMBER(FIND("T2",B1152)),220,
IF(ISNUMBER(FIND("T4",B1152)),440,
IF(ISNUMBER(FIND("T5",B1152)),575,
IF(ISNUMBER(FIND("T6",B1152)),690,"")))),
"")</f>
        <v>440</v>
      </c>
    </row>
    <row r="1153" spans="1:7" x14ac:dyDescent="0.25">
      <c r="A1153">
        <v>15686788</v>
      </c>
      <c r="B1153" t="str">
        <f>VLOOKUP(A1153,Planilha2!B:C,2,0)</f>
        <v>INVERSOR CFW900D96P0T4NB20Y2B</v>
      </c>
      <c r="C1153" t="s">
        <v>1</v>
      </c>
      <c r="D1153" t="str">
        <f>VLOOKUP(A1153,Planilha2!B:H,7,0)</f>
        <v>LINHA G1</v>
      </c>
      <c r="E1153" s="5">
        <v>33500</v>
      </c>
      <c r="F1153">
        <f>IFERROR(
IF(ISNUMBER(FIND("CFW110",B1153)),
VALUE(MID(B1153,FIND("CFW110",B1153)+6,FIND("T",B1153,FIND("CFW110",B1153))-(FIND("CFW110",B1153)+6))),
IF(ISNUMBER(FIND("D",B1153)),
VALUE(SUBSTITUTE(MID(B1153,FIND("D",B1153)+1,FIND("T",B1153,FIND("D",B1153))-(FIND("D",B1153)+1)),"P",",")),
IF(ISNUMBER(FIND("CFW5",B1153)),
VALUE(MID(B1153,
IF(ISNUMBER(FIND("F",B1153)),FIND("F",B1153)+1,FIND("G",B1153)+1),
FIND("T",B1153)-(IF(ISNUMBER(FIND("F",B1153)),FIND("F",B1153)+1,FIND("G",B1153)+1))
)),
VALUE(MID(B1153,FIND("E0",B1153)+2,FIND("T",B1153,FIND("E0",B1153))-(FIND("E0",B1153)+2)))
))),"")</f>
        <v>96</v>
      </c>
      <c r="G1153">
        <f>IFERROR(
IF(ISNUMBER(FIND("T2",B1153)),220,
IF(ISNUMBER(FIND("T4",B1153)),440,
IF(ISNUMBER(FIND("T5",B1153)),575,
IF(ISNUMBER(FIND("T6",B1153)),690,"")))),
"")</f>
        <v>440</v>
      </c>
    </row>
    <row r="1154" spans="1:7" x14ac:dyDescent="0.25">
      <c r="A1154">
        <v>14522042</v>
      </c>
      <c r="B1154" t="str">
        <f>VLOOKUP(A1154,Planilha2!B:C,2,0)</f>
        <v>INVERSOR EUCFW110045T4OFAYHXZ</v>
      </c>
      <c r="C1154" t="s">
        <v>1</v>
      </c>
      <c r="D1154" t="str">
        <f>VLOOKUP(A1154,Planilha2!B:H,7,0)</f>
        <v>LINHA M1</v>
      </c>
      <c r="E1154" s="5">
        <v>4500</v>
      </c>
      <c r="F1154">
        <f>IFERROR(
IF(ISNUMBER(FIND("CFW110",B1154)),
VALUE(MID(B1154,FIND("CFW110",B1154)+6,FIND("T",B1154,FIND("CFW110",B1154))-(FIND("CFW110",B1154)+6))),
IF(ISNUMBER(FIND("D",B1154)),
VALUE(SUBSTITUTE(MID(B1154,FIND("D",B1154)+1,FIND("T",B1154,FIND("D",B1154))-(FIND("D",B1154)+1)),"P",",")),
IF(ISNUMBER(FIND("CFW5",B1154)),
VALUE(MID(B1154,
IF(ISNUMBER(FIND("F",B1154)),FIND("F",B1154)+1,FIND("G",B1154)+1),
FIND("T",B1154)-(IF(ISNUMBER(FIND("F",B1154)),FIND("F",B1154)+1,FIND("G",B1154)+1))
)),
VALUE(MID(B1154,FIND("E0",B1154)+2,FIND("T",B1154,FIND("E0",B1154))-(FIND("E0",B1154)+2)))
))),"")</f>
        <v>45</v>
      </c>
      <c r="G1154">
        <f>IFERROR(
IF(ISNUMBER(FIND("T2",B1154)),220,
IF(ISNUMBER(FIND("T4",B1154)),440,
IF(ISNUMBER(FIND("T5",B1154)),575,
IF(ISNUMBER(FIND("T6",B1154)),690,"")))),
"")</f>
        <v>440</v>
      </c>
    </row>
    <row r="1155" spans="1:7" x14ac:dyDescent="0.25">
      <c r="A1155">
        <v>14518483</v>
      </c>
      <c r="B1155" t="str">
        <f>VLOOKUP(A1155,Planilha2!B:C,2,0)</f>
        <v>INVERSOR BRCFW110045T4OFAH4Z</v>
      </c>
      <c r="C1155" t="s">
        <v>1</v>
      </c>
      <c r="D1155" t="str">
        <f>VLOOKUP(A1155,Planilha2!B:H,7,0)</f>
        <v>LINHA M1</v>
      </c>
      <c r="E1155" s="5">
        <v>16500</v>
      </c>
      <c r="F1155">
        <f>IFERROR(
IF(ISNUMBER(FIND("CFW110",B1155)),
VALUE(MID(B1155,FIND("CFW110",B1155)+6,FIND("T",B1155,FIND("CFW110",B1155))-(FIND("CFW110",B1155)+6))),
IF(ISNUMBER(FIND("D",B1155)),
VALUE(SUBSTITUTE(MID(B1155,FIND("D",B1155)+1,FIND("T",B1155,FIND("D",B1155))-(FIND("D",B1155)+1)),"P",",")),
IF(ISNUMBER(FIND("CFW5",B1155)),
VALUE(MID(B1155,
IF(ISNUMBER(FIND("F",B1155)),FIND("F",B1155)+1,FIND("G",B1155)+1),
FIND("T",B1155)-(IF(ISNUMBER(FIND("F",B1155)),FIND("F",B1155)+1,FIND("G",B1155)+1))
)),
VALUE(MID(B1155,FIND("E0",B1155)+2,FIND("T",B1155,FIND("E0",B1155))-(FIND("E0",B1155)+2)))
))),"")</f>
        <v>45</v>
      </c>
      <c r="G1155">
        <f>IFERROR(
IF(ISNUMBER(FIND("T2",B1155)),220,
IF(ISNUMBER(FIND("T4",B1155)),440,
IF(ISNUMBER(FIND("T5",B1155)),575,
IF(ISNUMBER(FIND("T6",B1155)),690,"")))),
"")</f>
        <v>440</v>
      </c>
    </row>
    <row r="1156" spans="1:7" x14ac:dyDescent="0.25">
      <c r="A1156">
        <v>14538017</v>
      </c>
      <c r="B1156" t="str">
        <f>VLOOKUP(A1156,Planilha2!B:C,2,0)</f>
        <v>INVERSOR BRCFW110088T4O55YZ</v>
      </c>
      <c r="C1156" t="s">
        <v>1</v>
      </c>
      <c r="D1156" t="str">
        <f>VLOOKUP(A1156,Planilha2!B:H,7,0)</f>
        <v>LINHA M3</v>
      </c>
      <c r="E1156" t="s">
        <v>3172</v>
      </c>
      <c r="F1156">
        <f>IFERROR(
IF(ISNUMBER(FIND("CFW110",B1156)),
VALUE(MID(B1156,FIND("CFW110",B1156)+6,FIND("T",B1156,FIND("CFW110",B1156))-(FIND("CFW110",B1156)+6))),
IF(ISNUMBER(FIND("D",B1156)),
VALUE(SUBSTITUTE(MID(B1156,FIND("D",B1156)+1,FIND("T",B1156,FIND("D",B1156))-(FIND("D",B1156)+1)),"P",",")),
IF(ISNUMBER(FIND("CFW5",B1156)),
VALUE(MID(B1156,
IF(ISNUMBER(FIND("F",B1156)),FIND("F",B1156)+1,FIND("G",B1156)+1),
FIND("T",B1156)-(IF(ISNUMBER(FIND("F",B1156)),FIND("F",B1156)+1,FIND("G",B1156)+1))
)),
VALUE(MID(B1156,FIND("E0",B1156)+2,FIND("T",B1156,FIND("E0",B1156))-(FIND("E0",B1156)+2)))
))),"")</f>
        <v>88</v>
      </c>
      <c r="G1156">
        <f>IFERROR(
IF(ISNUMBER(FIND("T2",B1156)),220,
IF(ISNUMBER(FIND("T4",B1156)),440,
IF(ISNUMBER(FIND("T5",B1156)),575,
IF(ISNUMBER(FIND("T6",B1156)),690,"")))),
"")</f>
        <v>440</v>
      </c>
    </row>
    <row r="1157" spans="1:7" x14ac:dyDescent="0.25">
      <c r="A1157">
        <v>14538184</v>
      </c>
      <c r="B1157" t="str">
        <f>VLOOKUP(A1157,Planilha2!B:C,2,0)</f>
        <v>INVERSOR BRCFW110070T4OSSZ</v>
      </c>
      <c r="C1157" t="s">
        <v>1</v>
      </c>
      <c r="D1157" t="str">
        <f>VLOOKUP(A1157,Planilha2!B:H,7,0)</f>
        <v>LINHA M3</v>
      </c>
      <c r="E1157" s="5">
        <v>31100</v>
      </c>
      <c r="F1157">
        <f>IFERROR(
IF(ISNUMBER(FIND("CFW110",B1157)),
VALUE(MID(B1157,FIND("CFW110",B1157)+6,FIND("T",B1157,FIND("CFW110",B1157))-(FIND("CFW110",B1157)+6))),
IF(ISNUMBER(FIND("D",B1157)),
VALUE(SUBSTITUTE(MID(B1157,FIND("D",B1157)+1,FIND("T",B1157,FIND("D",B1157))-(FIND("D",B1157)+1)),"P",",")),
IF(ISNUMBER(FIND("CFW5",B1157)),
VALUE(MID(B1157,
IF(ISNUMBER(FIND("F",B1157)),FIND("F",B1157)+1,FIND("G",B1157)+1),
FIND("T",B1157)-(IF(ISNUMBER(FIND("F",B1157)),FIND("F",B1157)+1,FIND("G",B1157)+1))
)),
VALUE(MID(B1157,FIND("E0",B1157)+2,FIND("T",B1157,FIND("E0",B1157))-(FIND("E0",B1157)+2)))
))),"")</f>
        <v>70</v>
      </c>
      <c r="G1157">
        <f>IFERROR(
IF(ISNUMBER(FIND("T2",B1157)),220,
IF(ISNUMBER(FIND("T4",B1157)),440,
IF(ISNUMBER(FIND("T5",B1157)),575,
IF(ISNUMBER(FIND("T6",B1157)),690,"")))),
"")</f>
        <v>440</v>
      </c>
    </row>
    <row r="1158" spans="1:7" x14ac:dyDescent="0.25">
      <c r="A1158">
        <v>14259933</v>
      </c>
      <c r="B1158" t="str">
        <f>VLOOKUP(A1158,Planilha2!B:C,2,0)</f>
        <v>INVERSOR EUCFW110142T4OYZ-UI</v>
      </c>
      <c r="C1158" t="s">
        <v>1</v>
      </c>
      <c r="D1158" t="str">
        <f>VLOOKUP(A1158,Planilha2!B:H,7,0)</f>
        <v>LINHA G1</v>
      </c>
      <c r="E1158" s="5">
        <v>69100</v>
      </c>
      <c r="F1158">
        <f>IFERROR(
IF(ISNUMBER(FIND("CFW110",B1158)),
VALUE(MID(B1158,FIND("CFW110",B1158)+6,FIND("T",B1158,FIND("CFW110",B1158))-(FIND("CFW110",B1158)+6))),
IF(ISNUMBER(FIND("D",B1158)),
VALUE(SUBSTITUTE(MID(B1158,FIND("D",B1158)+1,FIND("T",B1158,FIND("D",B1158))-(FIND("D",B1158)+1)),"P",",")),
IF(ISNUMBER(FIND("CFW5",B1158)),
VALUE(MID(B1158,
IF(ISNUMBER(FIND("F",B1158)),FIND("F",B1158)+1,FIND("G",B1158)+1),
FIND("T",B1158)-(IF(ISNUMBER(FIND("F",B1158)),FIND("F",B1158)+1,FIND("G",B1158)+1))
)),
VALUE(MID(B1158,FIND("E0",B1158)+2,FIND("T",B1158,FIND("E0",B1158))-(FIND("E0",B1158)+2)))
))),"")</f>
        <v>142</v>
      </c>
      <c r="G1158">
        <f>IFERROR(
IF(ISNUMBER(FIND("T2",B1158)),220,
IF(ISNUMBER(FIND("T4",B1158)),440,
IF(ISNUMBER(FIND("T5",B1158)),575,
IF(ISNUMBER(FIND("T6",B1158)),690,"")))),
"")</f>
        <v>440</v>
      </c>
    </row>
    <row r="1159" spans="1:7" x14ac:dyDescent="0.25">
      <c r="A1159">
        <v>16905623</v>
      </c>
      <c r="B1159" t="str">
        <f>VLOOKUP(A1159,Planilha2!B:C,2,0)</f>
        <v>INVERSOR CFW500C47P0T2DB66G2</v>
      </c>
      <c r="C1159" t="s">
        <v>1</v>
      </c>
      <c r="D1159" t="str">
        <f>VLOOKUP(A1159,Planilha2!B:H,7,0)</f>
        <v>LINHA M4</v>
      </c>
      <c r="E1159" s="5">
        <v>19200</v>
      </c>
      <c r="F1159" t="str">
        <f>IFERROR(
IF(ISNUMBER(FIND("CFW110",B1159)),
VALUE(MID(B1159,FIND("CFW110",B1159)+6,FIND("T",B1159,FIND("CFW110",B1159))-(FIND("CFW110",B1159)+6))),
IF(ISNUMBER(FIND("D",B1159)),
VALUE(SUBSTITUTE(MID(B1159,FIND("D",B1159)+1,FIND("T",B1159,FIND("D",B1159))-(FIND("D",B1159)+1)),"P",",")),
IF(ISNUMBER(FIND("CFW5",B1159)),
VALUE(MID(B1159,
IF(ISNUMBER(FIND("F",B1159)),FIND("F",B1159)+1,FIND("G",B1159)+1),
FIND("T",B1159)-(IF(ISNUMBER(FIND("F",B1159)),FIND("F",B1159)+1,FIND("G",B1159)+1))
)),
VALUE(MID(B1159,FIND("E0",B1159)+2,FIND("T",B1159,FIND("E0",B1159))-(FIND("E0",B1159)+2)))
))),"")</f>
        <v/>
      </c>
      <c r="G1159">
        <f>IFERROR(
IF(ISNUMBER(FIND("T2",B1159)),220,
IF(ISNUMBER(FIND("T4",B1159)),440,
IF(ISNUMBER(FIND("T5",B1159)),575,
IF(ISNUMBER(FIND("T6",B1159)),690,"")))),
"")</f>
        <v>220</v>
      </c>
    </row>
    <row r="1160" spans="1:7" x14ac:dyDescent="0.25">
      <c r="A1160">
        <v>17830389</v>
      </c>
      <c r="B1160" t="str">
        <f>VLOOKUP(A1160,Planilha2!B:C,2,0)</f>
        <v>INVERSOR CFW900D02P9T6DB20Y2B</v>
      </c>
      <c r="C1160" t="s">
        <v>1</v>
      </c>
      <c r="D1160" t="str">
        <f>VLOOKUP(A1160,Planilha2!B:H,7,0)</f>
        <v>PROD. EM LPS/LP</v>
      </c>
      <c r="E1160" s="5">
        <v>33500</v>
      </c>
      <c r="F1160">
        <f>IFERROR(
IF(ISNUMBER(FIND("CFW110",B1160)),
VALUE(MID(B1160,FIND("CFW110",B1160)+6,FIND("T",B1160,FIND("CFW110",B1160))-(FIND("CFW110",B1160)+6))),
IF(ISNUMBER(FIND("D",B1160)),
VALUE(SUBSTITUTE(MID(B1160,FIND("D",B1160)+1,FIND("T",B1160,FIND("D",B1160))-(FIND("D",B1160)+1)),"P",",")),
IF(ISNUMBER(FIND("CFW5",B1160)),
VALUE(MID(B1160,
IF(ISNUMBER(FIND("F",B1160)),FIND("F",B1160)+1,FIND("G",B1160)+1),
FIND("T",B1160)-(IF(ISNUMBER(FIND("F",B1160)),FIND("F",B1160)+1,FIND("G",B1160)+1))
)),
VALUE(MID(B1160,FIND("E0",B1160)+2,FIND("T",B1160,FIND("E0",B1160))-(FIND("E0",B1160)+2)))
))),"")</f>
        <v>2.9</v>
      </c>
      <c r="G1160">
        <f>IFERROR(
IF(ISNUMBER(FIND("T2",B1160)),220,
IF(ISNUMBER(FIND("T4",B1160)),440,
IF(ISNUMBER(FIND("T5",B1160)),575,
IF(ISNUMBER(FIND("T6",B1160)),690,"")))),
"")</f>
        <v>690</v>
      </c>
    </row>
    <row r="1161" spans="1:7" x14ac:dyDescent="0.25">
      <c r="A1161">
        <v>17838061</v>
      </c>
      <c r="B1161" t="str">
        <f>VLOOKUP(A1161,Planilha2!B:C,2,0)</f>
        <v>INVERSOR CFW900D07P0T6DB20Y2B</v>
      </c>
      <c r="C1161" t="s">
        <v>1</v>
      </c>
      <c r="D1161" t="str">
        <f>VLOOKUP(A1161,Planilha2!B:H,7,0)</f>
        <v>PROD. EM LPS/LP</v>
      </c>
      <c r="E1161" s="5">
        <v>33500</v>
      </c>
      <c r="F1161">
        <f>IFERROR(
IF(ISNUMBER(FIND("CFW110",B1161)),
VALUE(MID(B1161,FIND("CFW110",B1161)+6,FIND("T",B1161,FIND("CFW110",B1161))-(FIND("CFW110",B1161)+6))),
IF(ISNUMBER(FIND("D",B1161)),
VALUE(SUBSTITUTE(MID(B1161,FIND("D",B1161)+1,FIND("T",B1161,FIND("D",B1161))-(FIND("D",B1161)+1)),"P",",")),
IF(ISNUMBER(FIND("CFW5",B1161)),
VALUE(MID(B1161,
IF(ISNUMBER(FIND("F",B1161)),FIND("F",B1161)+1,FIND("G",B1161)+1),
FIND("T",B1161)-(IF(ISNUMBER(FIND("F",B1161)),FIND("F",B1161)+1,FIND("G",B1161)+1))
)),
VALUE(MID(B1161,FIND("E0",B1161)+2,FIND("T",B1161,FIND("E0",B1161))-(FIND("E0",B1161)+2)))
))),"")</f>
        <v>7</v>
      </c>
      <c r="G1161">
        <f>IFERROR(
IF(ISNUMBER(FIND("T2",B1161)),220,
IF(ISNUMBER(FIND("T4",B1161)),440,
IF(ISNUMBER(FIND("T5",B1161)),575,
IF(ISNUMBER(FIND("T6",B1161)),690,"")))),
"")</f>
        <v>690</v>
      </c>
    </row>
    <row r="1162" spans="1:7" x14ac:dyDescent="0.25">
      <c r="A1162">
        <v>17838063</v>
      </c>
      <c r="B1162" t="str">
        <f>VLOOKUP(A1162,Planilha2!B:C,2,0)</f>
        <v>INVERSOR CFW900D10P0T6DB20Y2B</v>
      </c>
      <c r="C1162" t="s">
        <v>1</v>
      </c>
      <c r="D1162" t="str">
        <f>VLOOKUP(A1162,Planilha2!B:H,7,0)</f>
        <v>PROD. EM LPS/LP</v>
      </c>
      <c r="E1162" s="5">
        <v>33500</v>
      </c>
      <c r="F1162">
        <f>IFERROR(
IF(ISNUMBER(FIND("CFW110",B1162)),
VALUE(MID(B1162,FIND("CFW110",B1162)+6,FIND("T",B1162,FIND("CFW110",B1162))-(FIND("CFW110",B1162)+6))),
IF(ISNUMBER(FIND("D",B1162)),
VALUE(SUBSTITUTE(MID(B1162,FIND("D",B1162)+1,FIND("T",B1162,FIND("D",B1162))-(FIND("D",B1162)+1)),"P",",")),
IF(ISNUMBER(FIND("CFW5",B1162)),
VALUE(MID(B1162,
IF(ISNUMBER(FIND("F",B1162)),FIND("F",B1162)+1,FIND("G",B1162)+1),
FIND("T",B1162)-(IF(ISNUMBER(FIND("F",B1162)),FIND("F",B1162)+1,FIND("G",B1162)+1))
)),
VALUE(MID(B1162,FIND("E0",B1162)+2,FIND("T",B1162,FIND("E0",B1162))-(FIND("E0",B1162)+2)))
))),"")</f>
        <v>10</v>
      </c>
      <c r="G1162">
        <f>IFERROR(
IF(ISNUMBER(FIND("T2",B1162)),220,
IF(ISNUMBER(FIND("T4",B1162)),440,
IF(ISNUMBER(FIND("T5",B1162)),575,
IF(ISNUMBER(FIND("T6",B1162)),690,"")))),
"")</f>
        <v>690</v>
      </c>
    </row>
    <row r="1163" spans="1:7" x14ac:dyDescent="0.25">
      <c r="A1163">
        <v>17838066</v>
      </c>
      <c r="B1163" t="str">
        <f>VLOOKUP(A1163,Planilha2!B:C,2,0)</f>
        <v>INVERSOR CFW900D17P0T6DB20Y2B</v>
      </c>
      <c r="C1163" t="s">
        <v>1</v>
      </c>
      <c r="D1163" t="str">
        <f>VLOOKUP(A1163,Planilha2!B:H,7,0)</f>
        <v>PROD. EM LPS/LP</v>
      </c>
      <c r="E1163" s="5">
        <v>33500</v>
      </c>
      <c r="F1163">
        <f>IFERROR(
IF(ISNUMBER(FIND("CFW110",B1163)),
VALUE(MID(B1163,FIND("CFW110",B1163)+6,FIND("T",B1163,FIND("CFW110",B1163))-(FIND("CFW110",B1163)+6))),
IF(ISNUMBER(FIND("D",B1163)),
VALUE(SUBSTITUTE(MID(B1163,FIND("D",B1163)+1,FIND("T",B1163,FIND("D",B1163))-(FIND("D",B1163)+1)),"P",",")),
IF(ISNUMBER(FIND("CFW5",B1163)),
VALUE(MID(B1163,
IF(ISNUMBER(FIND("F",B1163)),FIND("F",B1163)+1,FIND("G",B1163)+1),
FIND("T",B1163)-(IF(ISNUMBER(FIND("F",B1163)),FIND("F",B1163)+1,FIND("G",B1163)+1))
)),
VALUE(MID(B1163,FIND("E0",B1163)+2,FIND("T",B1163,FIND("E0",B1163))-(FIND("E0",B1163)+2)))
))),"")</f>
        <v>17</v>
      </c>
      <c r="G1163">
        <f>IFERROR(
IF(ISNUMBER(FIND("T2",B1163)),220,
IF(ISNUMBER(FIND("T4",B1163)),440,
IF(ISNUMBER(FIND("T5",B1163)),575,
IF(ISNUMBER(FIND("T6",B1163)),690,"")))),
"")</f>
        <v>690</v>
      </c>
    </row>
    <row r="1164" spans="1:7" x14ac:dyDescent="0.25">
      <c r="A1164">
        <v>17838288</v>
      </c>
      <c r="B1164" t="str">
        <f>VLOOKUP(A1164,Planilha2!B:C,2,0)</f>
        <v>INVERSOR CFW900D22P0T6DB20Y2B</v>
      </c>
      <c r="C1164" t="s">
        <v>1</v>
      </c>
      <c r="D1164" t="str">
        <f>VLOOKUP(A1164,Planilha2!B:H,7,0)</f>
        <v>PROD. EM LPS/LP</v>
      </c>
      <c r="E1164" s="5">
        <v>33500</v>
      </c>
      <c r="F1164">
        <f>IFERROR(
IF(ISNUMBER(FIND("CFW110",B1164)),
VALUE(MID(B1164,FIND("CFW110",B1164)+6,FIND("T",B1164,FIND("CFW110",B1164))-(FIND("CFW110",B1164)+6))),
IF(ISNUMBER(FIND("D",B1164)),
VALUE(SUBSTITUTE(MID(B1164,FIND("D",B1164)+1,FIND("T",B1164,FIND("D",B1164))-(FIND("D",B1164)+1)),"P",",")),
IF(ISNUMBER(FIND("CFW5",B1164)),
VALUE(MID(B1164,
IF(ISNUMBER(FIND("F",B1164)),FIND("F",B1164)+1,FIND("G",B1164)+1),
FIND("T",B1164)-(IF(ISNUMBER(FIND("F",B1164)),FIND("F",B1164)+1,FIND("G",B1164)+1))
)),
VALUE(MID(B1164,FIND("E0",B1164)+2,FIND("T",B1164,FIND("E0",B1164))-(FIND("E0",B1164)+2)))
))),"")</f>
        <v>22</v>
      </c>
      <c r="G1164">
        <f>IFERROR(
IF(ISNUMBER(FIND("T2",B1164)),220,
IF(ISNUMBER(FIND("T4",B1164)),440,
IF(ISNUMBER(FIND("T5",B1164)),575,
IF(ISNUMBER(FIND("T6",B1164)),690,"")))),
"")</f>
        <v>690</v>
      </c>
    </row>
    <row r="1165" spans="1:7" x14ac:dyDescent="0.25">
      <c r="A1165">
        <v>17838290</v>
      </c>
      <c r="B1165" t="str">
        <f>VLOOKUP(A1165,Planilha2!B:C,2,0)</f>
        <v>INVERSOR CFW900D27P0T6DB20Y2B</v>
      </c>
      <c r="C1165" t="s">
        <v>1</v>
      </c>
      <c r="D1165" t="str">
        <f>VLOOKUP(A1165,Planilha2!B:H,7,0)</f>
        <v>PROD. EM LPS/LP</v>
      </c>
      <c r="E1165" s="5">
        <v>33500</v>
      </c>
      <c r="F1165">
        <f>IFERROR(
IF(ISNUMBER(FIND("CFW110",B1165)),
VALUE(MID(B1165,FIND("CFW110",B1165)+6,FIND("T",B1165,FIND("CFW110",B1165))-(FIND("CFW110",B1165)+6))),
IF(ISNUMBER(FIND("D",B1165)),
VALUE(SUBSTITUTE(MID(B1165,FIND("D",B1165)+1,FIND("T",B1165,FIND("D",B1165))-(FIND("D",B1165)+1)),"P",",")),
IF(ISNUMBER(FIND("CFW5",B1165)),
VALUE(MID(B1165,
IF(ISNUMBER(FIND("F",B1165)),FIND("F",B1165)+1,FIND("G",B1165)+1),
FIND("T",B1165)-(IF(ISNUMBER(FIND("F",B1165)),FIND("F",B1165)+1,FIND("G",B1165)+1))
)),
VALUE(MID(B1165,FIND("E0",B1165)+2,FIND("T",B1165,FIND("E0",B1165))-(FIND("E0",B1165)+2)))
))),"")</f>
        <v>27</v>
      </c>
      <c r="G1165">
        <f>IFERROR(
IF(ISNUMBER(FIND("T2",B1165)),220,
IF(ISNUMBER(FIND("T4",B1165)),440,
IF(ISNUMBER(FIND("T5",B1165)),575,
IF(ISNUMBER(FIND("T6",B1165)),690,"")))),
"")</f>
        <v>690</v>
      </c>
    </row>
    <row r="1166" spans="1:7" x14ac:dyDescent="0.25">
      <c r="A1166">
        <v>17838291</v>
      </c>
      <c r="B1166" t="str">
        <f>VLOOKUP(A1166,Planilha2!B:C,2,0)</f>
        <v>INVERSOR CFW900D32P0T6DB20Y2B</v>
      </c>
      <c r="C1166" t="s">
        <v>1</v>
      </c>
      <c r="D1166" t="str">
        <f>VLOOKUP(A1166,Planilha2!B:H,7,0)</f>
        <v>PROD. EM LPS/LP</v>
      </c>
      <c r="E1166" s="5">
        <v>33500</v>
      </c>
      <c r="F1166">
        <f>IFERROR(
IF(ISNUMBER(FIND("CFW110",B1166)),
VALUE(MID(B1166,FIND("CFW110",B1166)+6,FIND("T",B1166,FIND("CFW110",B1166))-(FIND("CFW110",B1166)+6))),
IF(ISNUMBER(FIND("D",B1166)),
VALUE(SUBSTITUTE(MID(B1166,FIND("D",B1166)+1,FIND("T",B1166,FIND("D",B1166))-(FIND("D",B1166)+1)),"P",",")),
IF(ISNUMBER(FIND("CFW5",B1166)),
VALUE(MID(B1166,
IF(ISNUMBER(FIND("F",B1166)),FIND("F",B1166)+1,FIND("G",B1166)+1),
FIND("T",B1166)-(IF(ISNUMBER(FIND("F",B1166)),FIND("F",B1166)+1,FIND("G",B1166)+1))
)),
VALUE(MID(B1166,FIND("E0",B1166)+2,FIND("T",B1166,FIND("E0",B1166))-(FIND("E0",B1166)+2)))
))),"")</f>
        <v>32</v>
      </c>
      <c r="G1166">
        <f>IFERROR(
IF(ISNUMBER(FIND("T2",B1166)),220,
IF(ISNUMBER(FIND("T4",B1166)),440,
IF(ISNUMBER(FIND("T5",B1166)),575,
IF(ISNUMBER(FIND("T6",B1166)),690,"")))),
"")</f>
        <v>690</v>
      </c>
    </row>
    <row r="1167" spans="1:7" x14ac:dyDescent="0.25">
      <c r="A1167">
        <v>17838292</v>
      </c>
      <c r="B1167" t="str">
        <f>VLOOKUP(A1167,Planilha2!B:C,2,0)</f>
        <v>INVERSOR CFW900D44P0T6DB20Y2B</v>
      </c>
      <c r="C1167" t="s">
        <v>1</v>
      </c>
      <c r="D1167" t="str">
        <f>VLOOKUP(A1167,Planilha2!B:H,7,0)</f>
        <v>PROD. EM LPS/LP</v>
      </c>
      <c r="E1167" s="5">
        <v>33500</v>
      </c>
      <c r="F1167">
        <f>IFERROR(
IF(ISNUMBER(FIND("CFW110",B1167)),
VALUE(MID(B1167,FIND("CFW110",B1167)+6,FIND("T",B1167,FIND("CFW110",B1167))-(FIND("CFW110",B1167)+6))),
IF(ISNUMBER(FIND("D",B1167)),
VALUE(SUBSTITUTE(MID(B1167,FIND("D",B1167)+1,FIND("T",B1167,FIND("D",B1167))-(FIND("D",B1167)+1)),"P",",")),
IF(ISNUMBER(FIND("CFW5",B1167)),
VALUE(MID(B1167,
IF(ISNUMBER(FIND("F",B1167)),FIND("F",B1167)+1,FIND("G",B1167)+1),
FIND("T",B1167)-(IF(ISNUMBER(FIND("F",B1167)),FIND("F",B1167)+1,FIND("G",B1167)+1))
)),
VALUE(MID(B1167,FIND("E0",B1167)+2,FIND("T",B1167,FIND("E0",B1167))-(FIND("E0",B1167)+2)))
))),"")</f>
        <v>44</v>
      </c>
      <c r="G1167">
        <f>IFERROR(
IF(ISNUMBER(FIND("T2",B1167)),220,
IF(ISNUMBER(FIND("T4",B1167)),440,
IF(ISNUMBER(FIND("T5",B1167)),575,
IF(ISNUMBER(FIND("T6",B1167)),690,"")))),
"")</f>
        <v>690</v>
      </c>
    </row>
    <row r="1168" spans="1:7" x14ac:dyDescent="0.25">
      <c r="A1168">
        <v>17838295</v>
      </c>
      <c r="B1168" t="str">
        <f>VLOOKUP(A1168,Planilha2!B:C,2,0)</f>
        <v>INVERSOR CFW900D54P0T6DB20Y2B</v>
      </c>
      <c r="C1168" t="s">
        <v>1</v>
      </c>
      <c r="D1168" t="str">
        <f>VLOOKUP(A1168,Planilha2!B:H,7,0)</f>
        <v>PROD. EM LPS/LP</v>
      </c>
      <c r="E1168" s="5">
        <v>33500</v>
      </c>
      <c r="F1168">
        <f>IFERROR(
IF(ISNUMBER(FIND("CFW110",B1168)),
VALUE(MID(B1168,FIND("CFW110",B1168)+6,FIND("T",B1168,FIND("CFW110",B1168))-(FIND("CFW110",B1168)+6))),
IF(ISNUMBER(FIND("D",B1168)),
VALUE(SUBSTITUTE(MID(B1168,FIND("D",B1168)+1,FIND("T",B1168,FIND("D",B1168))-(FIND("D",B1168)+1)),"P",",")),
IF(ISNUMBER(FIND("CFW5",B1168)),
VALUE(MID(B1168,
IF(ISNUMBER(FIND("F",B1168)),FIND("F",B1168)+1,FIND("G",B1168)+1),
FIND("T",B1168)-(IF(ISNUMBER(FIND("F",B1168)),FIND("F",B1168)+1,FIND("G",B1168)+1))
)),
VALUE(MID(B1168,FIND("E0",B1168)+2,FIND("T",B1168,FIND("E0",B1168))-(FIND("E0",B1168)+2)))
))),"")</f>
        <v>54</v>
      </c>
      <c r="G1168">
        <f>IFERROR(
IF(ISNUMBER(FIND("T2",B1168)),220,
IF(ISNUMBER(FIND("T4",B1168)),440,
IF(ISNUMBER(FIND("T5",B1168)),575,
IF(ISNUMBER(FIND("T6",B1168)),690,"")))),
"")</f>
        <v>690</v>
      </c>
    </row>
    <row r="1169" spans="1:7" x14ac:dyDescent="0.25">
      <c r="A1169">
        <v>17838421</v>
      </c>
      <c r="B1169" t="str">
        <f>VLOOKUP(A1169,Planilha2!B:C,2,0)</f>
        <v>INVERSOR CFW900D64P0T6DB20Y2B</v>
      </c>
      <c r="C1169" t="s">
        <v>1</v>
      </c>
      <c r="D1169" t="str">
        <f>VLOOKUP(A1169,Planilha2!B:H,7,0)</f>
        <v>PROD. EM LPS/LP</v>
      </c>
      <c r="E1169" s="5">
        <v>33500</v>
      </c>
      <c r="F1169">
        <f>IFERROR(
IF(ISNUMBER(FIND("CFW110",B1169)),
VALUE(MID(B1169,FIND("CFW110",B1169)+6,FIND("T",B1169,FIND("CFW110",B1169))-(FIND("CFW110",B1169)+6))),
IF(ISNUMBER(FIND("D",B1169)),
VALUE(SUBSTITUTE(MID(B1169,FIND("D",B1169)+1,FIND("T",B1169,FIND("D",B1169))-(FIND("D",B1169)+1)),"P",",")),
IF(ISNUMBER(FIND("CFW5",B1169)),
VALUE(MID(B1169,
IF(ISNUMBER(FIND("F",B1169)),FIND("F",B1169)+1,FIND("G",B1169)+1),
FIND("T",B1169)-(IF(ISNUMBER(FIND("F",B1169)),FIND("F",B1169)+1,FIND("G",B1169)+1))
)),
VALUE(MID(B1169,FIND("E0",B1169)+2,FIND("T",B1169,FIND("E0",B1169))-(FIND("E0",B1169)+2)))
))),"")</f>
        <v>64</v>
      </c>
      <c r="G1169">
        <f>IFERROR(
IF(ISNUMBER(FIND("T2",B1169)),220,
IF(ISNUMBER(FIND("T4",B1169)),440,
IF(ISNUMBER(FIND("T5",B1169)),575,
IF(ISNUMBER(FIND("T6",B1169)),690,"")))),
"")</f>
        <v>690</v>
      </c>
    </row>
    <row r="1170" spans="1:7" x14ac:dyDescent="0.25">
      <c r="A1170">
        <v>17838422</v>
      </c>
      <c r="B1170" t="str">
        <f>VLOOKUP(A1170,Planilha2!B:C,2,0)</f>
        <v>INVERSOR CFW900D80P0T6DB20Y2BH1</v>
      </c>
      <c r="C1170" t="s">
        <v>1</v>
      </c>
      <c r="D1170" t="str">
        <f>VLOOKUP(A1170,Planilha2!B:H,7,0)</f>
        <v>PROD. EM LPS/LP</v>
      </c>
      <c r="E1170" s="5">
        <v>36000</v>
      </c>
      <c r="F1170">
        <f>IFERROR(
IF(ISNUMBER(FIND("CFW110",B1170)),
VALUE(MID(B1170,FIND("CFW110",B1170)+6,FIND("T",B1170,FIND("CFW110",B1170))-(FIND("CFW110",B1170)+6))),
IF(ISNUMBER(FIND("D",B1170)),
VALUE(SUBSTITUTE(MID(B1170,FIND("D",B1170)+1,FIND("T",B1170,FIND("D",B1170))-(FIND("D",B1170)+1)),"P",",")),
IF(ISNUMBER(FIND("CFW5",B1170)),
VALUE(MID(B1170,
IF(ISNUMBER(FIND("F",B1170)),FIND("F",B1170)+1,FIND("G",B1170)+1),
FIND("T",B1170)-(IF(ISNUMBER(FIND("F",B1170)),FIND("F",B1170)+1,FIND("G",B1170)+1))
)),
VALUE(MID(B1170,FIND("E0",B1170)+2,FIND("T",B1170,FIND("E0",B1170))-(FIND("E0",B1170)+2)))
))),"")</f>
        <v>80</v>
      </c>
      <c r="G1170">
        <f>IFERROR(
IF(ISNUMBER(FIND("T2",B1170)),220,
IF(ISNUMBER(FIND("T4",B1170)),440,
IF(ISNUMBER(FIND("T5",B1170)),575,
IF(ISNUMBER(FIND("T6",B1170)),690,"")))),
"")</f>
        <v>690</v>
      </c>
    </row>
    <row r="1171" spans="1:7" x14ac:dyDescent="0.25">
      <c r="A1171">
        <v>17838423</v>
      </c>
      <c r="B1171" t="str">
        <f>VLOOKUP(A1171,Planilha2!B:C,2,0)</f>
        <v>INVERSOR CFW900D99P0T6DB20Y2BH1</v>
      </c>
      <c r="C1171" t="s">
        <v>1</v>
      </c>
      <c r="D1171" t="str">
        <f>VLOOKUP(A1171,Planilha2!B:H,7,0)</f>
        <v>PROD. EM LPS/LP</v>
      </c>
      <c r="E1171" s="5">
        <v>36000</v>
      </c>
      <c r="F1171">
        <f>IFERROR(
IF(ISNUMBER(FIND("CFW110",B1171)),
VALUE(MID(B1171,FIND("CFW110",B1171)+6,FIND("T",B1171,FIND("CFW110",B1171))-(FIND("CFW110",B1171)+6))),
IF(ISNUMBER(FIND("D",B1171)),
VALUE(SUBSTITUTE(MID(B1171,FIND("D",B1171)+1,FIND("T",B1171,FIND("D",B1171))-(FIND("D",B1171)+1)),"P",",")),
IF(ISNUMBER(FIND("CFW5",B1171)),
VALUE(MID(B1171,
IF(ISNUMBER(FIND("F",B1171)),FIND("F",B1171)+1,FIND("G",B1171)+1),
FIND("T",B1171)-(IF(ISNUMBER(FIND("F",B1171)),FIND("F",B1171)+1,FIND("G",B1171)+1))
)),
VALUE(MID(B1171,FIND("E0",B1171)+2,FIND("T",B1171,FIND("E0",B1171))-(FIND("E0",B1171)+2)))
))),"")</f>
        <v>99</v>
      </c>
      <c r="G1171">
        <f>IFERROR(
IF(ISNUMBER(FIND("T2",B1171)),220,
IF(ISNUMBER(FIND("T4",B1171)),440,
IF(ISNUMBER(FIND("T5",B1171)),575,
IF(ISNUMBER(FIND("T6",B1171)),690,"")))),
"")</f>
        <v>690</v>
      </c>
    </row>
    <row r="1172" spans="1:7" x14ac:dyDescent="0.25">
      <c r="A1172">
        <v>18412323</v>
      </c>
      <c r="B1172" t="str">
        <f>VLOOKUP(A1172,Planilha2!B:C,2,0)</f>
        <v>INVERSOR CFW900D02P9T6DB20Y2</v>
      </c>
      <c r="C1172" t="s">
        <v>1</v>
      </c>
      <c r="D1172" t="str">
        <f>VLOOKUP(A1172,Planilha2!B:H,7,0)</f>
        <v>PROD. EM LPS/LP</v>
      </c>
      <c r="E1172" s="5">
        <v>33500</v>
      </c>
      <c r="F1172">
        <f>IFERROR(
IF(ISNUMBER(FIND("CFW110",B1172)),
VALUE(MID(B1172,FIND("CFW110",B1172)+6,FIND("T",B1172,FIND("CFW110",B1172))-(FIND("CFW110",B1172)+6))),
IF(ISNUMBER(FIND("D",B1172)),
VALUE(SUBSTITUTE(MID(B1172,FIND("D",B1172)+1,FIND("T",B1172,FIND("D",B1172))-(FIND("D",B1172)+1)),"P",",")),
IF(ISNUMBER(FIND("CFW5",B1172)),
VALUE(MID(B1172,
IF(ISNUMBER(FIND("F",B1172)),FIND("F",B1172)+1,FIND("G",B1172)+1),
FIND("T",B1172)-(IF(ISNUMBER(FIND("F",B1172)),FIND("F",B1172)+1,FIND("G",B1172)+1))
)),
VALUE(MID(B1172,FIND("E0",B1172)+2,FIND("T",B1172,FIND("E0",B1172))-(FIND("E0",B1172)+2)))
))),"")</f>
        <v>2.9</v>
      </c>
      <c r="G1172">
        <f>IFERROR(
IF(ISNUMBER(FIND("T2",B1172)),220,
IF(ISNUMBER(FIND("T4",B1172)),440,
IF(ISNUMBER(FIND("T5",B1172)),575,
IF(ISNUMBER(FIND("T6",B1172)),690,"")))),
"")</f>
        <v>690</v>
      </c>
    </row>
    <row r="1173" spans="1:7" x14ac:dyDescent="0.25">
      <c r="A1173">
        <v>18412324</v>
      </c>
      <c r="B1173" t="str">
        <f>VLOOKUP(A1173,Planilha2!B:C,2,0)</f>
        <v>INVERSOR CFW900D04P2T6DB20Y2</v>
      </c>
      <c r="C1173" t="s">
        <v>1</v>
      </c>
      <c r="D1173" t="str">
        <f>VLOOKUP(A1173,Planilha2!B:H,7,0)</f>
        <v>PROD. EM LPS/LP</v>
      </c>
      <c r="E1173" s="5">
        <v>33500</v>
      </c>
      <c r="F1173">
        <f>IFERROR(
IF(ISNUMBER(FIND("CFW110",B1173)),
VALUE(MID(B1173,FIND("CFW110",B1173)+6,FIND("T",B1173,FIND("CFW110",B1173))-(FIND("CFW110",B1173)+6))),
IF(ISNUMBER(FIND("D",B1173)),
VALUE(SUBSTITUTE(MID(B1173,FIND("D",B1173)+1,FIND("T",B1173,FIND("D",B1173))-(FIND("D",B1173)+1)),"P",",")),
IF(ISNUMBER(FIND("CFW5",B1173)),
VALUE(MID(B1173,
IF(ISNUMBER(FIND("F",B1173)),FIND("F",B1173)+1,FIND("G",B1173)+1),
FIND("T",B1173)-(IF(ISNUMBER(FIND("F",B1173)),FIND("F",B1173)+1,FIND("G",B1173)+1))
)),
VALUE(MID(B1173,FIND("E0",B1173)+2,FIND("T",B1173,FIND("E0",B1173))-(FIND("E0",B1173)+2)))
))),"")</f>
        <v>4.2</v>
      </c>
      <c r="G1173">
        <f>IFERROR(
IF(ISNUMBER(FIND("T2",B1173)),220,
IF(ISNUMBER(FIND("T4",B1173)),440,
IF(ISNUMBER(FIND("T5",B1173)),575,
IF(ISNUMBER(FIND("T6",B1173)),690,"")))),
"")</f>
        <v>690</v>
      </c>
    </row>
    <row r="1174" spans="1:7" x14ac:dyDescent="0.25">
      <c r="A1174">
        <v>18412326</v>
      </c>
      <c r="B1174" t="str">
        <f>VLOOKUP(A1174,Planilha2!B:C,2,0)</f>
        <v>INVERSOR CFW900D07P0T6DB20Y2</v>
      </c>
      <c r="C1174" t="s">
        <v>1</v>
      </c>
      <c r="D1174" t="str">
        <f>VLOOKUP(A1174,Planilha2!B:H,7,0)</f>
        <v>PROD. EM LPS/LP</v>
      </c>
      <c r="E1174" s="5">
        <v>33500</v>
      </c>
      <c r="F1174">
        <f>IFERROR(
IF(ISNUMBER(FIND("CFW110",B1174)),
VALUE(MID(B1174,FIND("CFW110",B1174)+6,FIND("T",B1174,FIND("CFW110",B1174))-(FIND("CFW110",B1174)+6))),
IF(ISNUMBER(FIND("D",B1174)),
VALUE(SUBSTITUTE(MID(B1174,FIND("D",B1174)+1,FIND("T",B1174,FIND("D",B1174))-(FIND("D",B1174)+1)),"P",",")),
IF(ISNUMBER(FIND("CFW5",B1174)),
VALUE(MID(B1174,
IF(ISNUMBER(FIND("F",B1174)),FIND("F",B1174)+1,FIND("G",B1174)+1),
FIND("T",B1174)-(IF(ISNUMBER(FIND("F",B1174)),FIND("F",B1174)+1,FIND("G",B1174)+1))
)),
VALUE(MID(B1174,FIND("E0",B1174)+2,FIND("T",B1174,FIND("E0",B1174))-(FIND("E0",B1174)+2)))
))),"")</f>
        <v>7</v>
      </c>
      <c r="G1174">
        <f>IFERROR(
IF(ISNUMBER(FIND("T2",B1174)),220,
IF(ISNUMBER(FIND("T4",B1174)),440,
IF(ISNUMBER(FIND("T5",B1174)),575,
IF(ISNUMBER(FIND("T6",B1174)),690,"")))),
"")</f>
        <v>690</v>
      </c>
    </row>
    <row r="1175" spans="1:7" x14ac:dyDescent="0.25">
      <c r="A1175">
        <v>18412538</v>
      </c>
      <c r="B1175" t="str">
        <f>VLOOKUP(A1175,Planilha2!B:C,2,0)</f>
        <v>INVERSOR CFW900D10P0T6DB20Y2</v>
      </c>
      <c r="C1175" t="s">
        <v>1</v>
      </c>
      <c r="D1175" t="str">
        <f>VLOOKUP(A1175,Planilha2!B:H,7,0)</f>
        <v>PROD. EM LPS/LP</v>
      </c>
      <c r="E1175" s="5">
        <v>33500</v>
      </c>
      <c r="F1175">
        <f>IFERROR(
IF(ISNUMBER(FIND("CFW110",B1175)),
VALUE(MID(B1175,FIND("CFW110",B1175)+6,FIND("T",B1175,FIND("CFW110",B1175))-(FIND("CFW110",B1175)+6))),
IF(ISNUMBER(FIND("D",B1175)),
VALUE(SUBSTITUTE(MID(B1175,FIND("D",B1175)+1,FIND("T",B1175,FIND("D",B1175))-(FIND("D",B1175)+1)),"P",",")),
IF(ISNUMBER(FIND("CFW5",B1175)),
VALUE(MID(B1175,
IF(ISNUMBER(FIND("F",B1175)),FIND("F",B1175)+1,FIND("G",B1175)+1),
FIND("T",B1175)-(IF(ISNUMBER(FIND("F",B1175)),FIND("F",B1175)+1,FIND("G",B1175)+1))
)),
VALUE(MID(B1175,FIND("E0",B1175)+2,FIND("T",B1175,FIND("E0",B1175))-(FIND("E0",B1175)+2)))
))),"")</f>
        <v>10</v>
      </c>
      <c r="G1175">
        <f>IFERROR(
IF(ISNUMBER(FIND("T2",B1175)),220,
IF(ISNUMBER(FIND("T4",B1175)),440,
IF(ISNUMBER(FIND("T5",B1175)),575,
IF(ISNUMBER(FIND("T6",B1175)),690,"")))),
"")</f>
        <v>690</v>
      </c>
    </row>
    <row r="1176" spans="1:7" x14ac:dyDescent="0.25">
      <c r="A1176">
        <v>18412540</v>
      </c>
      <c r="B1176" t="str">
        <f>VLOOKUP(A1176,Planilha2!B:C,2,0)</f>
        <v>INVERSOR CFW900D12P0T6DB20Y2</v>
      </c>
      <c r="C1176" t="s">
        <v>1</v>
      </c>
      <c r="D1176" t="str">
        <f>VLOOKUP(A1176,Planilha2!B:H,7,0)</f>
        <v>PROD. EM LPS/LP</v>
      </c>
      <c r="E1176" s="5">
        <v>33500</v>
      </c>
      <c r="F1176">
        <f>IFERROR(
IF(ISNUMBER(FIND("CFW110",B1176)),
VALUE(MID(B1176,FIND("CFW110",B1176)+6,FIND("T",B1176,FIND("CFW110",B1176))-(FIND("CFW110",B1176)+6))),
IF(ISNUMBER(FIND("D",B1176)),
VALUE(SUBSTITUTE(MID(B1176,FIND("D",B1176)+1,FIND("T",B1176,FIND("D",B1176))-(FIND("D",B1176)+1)),"P",",")),
IF(ISNUMBER(FIND("CFW5",B1176)),
VALUE(MID(B1176,
IF(ISNUMBER(FIND("F",B1176)),FIND("F",B1176)+1,FIND("G",B1176)+1),
FIND("T",B1176)-(IF(ISNUMBER(FIND("F",B1176)),FIND("F",B1176)+1,FIND("G",B1176)+1))
)),
VALUE(MID(B1176,FIND("E0",B1176)+2,FIND("T",B1176,FIND("E0",B1176))-(FIND("E0",B1176)+2)))
))),"")</f>
        <v>12</v>
      </c>
      <c r="G1176">
        <f>IFERROR(
IF(ISNUMBER(FIND("T2",B1176)),220,
IF(ISNUMBER(FIND("T4",B1176)),440,
IF(ISNUMBER(FIND("T5",B1176)),575,
IF(ISNUMBER(FIND("T6",B1176)),690,"")))),
"")</f>
        <v>690</v>
      </c>
    </row>
    <row r="1177" spans="1:7" x14ac:dyDescent="0.25">
      <c r="A1177">
        <v>18412542</v>
      </c>
      <c r="B1177" t="str">
        <f>VLOOKUP(A1177,Planilha2!B:C,2,0)</f>
        <v>INVERSOR CFW900D17P0T6DB20Y2</v>
      </c>
      <c r="C1177" t="s">
        <v>1</v>
      </c>
      <c r="D1177" t="str">
        <f>VLOOKUP(A1177,Planilha2!B:H,7,0)</f>
        <v>PROD. EM LPS/LP</v>
      </c>
      <c r="E1177" s="5">
        <v>33500</v>
      </c>
      <c r="F1177">
        <f>IFERROR(
IF(ISNUMBER(FIND("CFW110",B1177)),
VALUE(MID(B1177,FIND("CFW110",B1177)+6,FIND("T",B1177,FIND("CFW110",B1177))-(FIND("CFW110",B1177)+6))),
IF(ISNUMBER(FIND("D",B1177)),
VALUE(SUBSTITUTE(MID(B1177,FIND("D",B1177)+1,FIND("T",B1177,FIND("D",B1177))-(FIND("D",B1177)+1)),"P",",")),
IF(ISNUMBER(FIND("CFW5",B1177)),
VALUE(MID(B1177,
IF(ISNUMBER(FIND("F",B1177)),FIND("F",B1177)+1,FIND("G",B1177)+1),
FIND("T",B1177)-(IF(ISNUMBER(FIND("F",B1177)),FIND("F",B1177)+1,FIND("G",B1177)+1))
)),
VALUE(MID(B1177,FIND("E0",B1177)+2,FIND("T",B1177,FIND("E0",B1177))-(FIND("E0",B1177)+2)))
))),"")</f>
        <v>17</v>
      </c>
      <c r="G1177">
        <f>IFERROR(
IF(ISNUMBER(FIND("T2",B1177)),220,
IF(ISNUMBER(FIND("T4",B1177)),440,
IF(ISNUMBER(FIND("T5",B1177)),575,
IF(ISNUMBER(FIND("T6",B1177)),690,"")))),
"")</f>
        <v>690</v>
      </c>
    </row>
    <row r="1178" spans="1:7" x14ac:dyDescent="0.25">
      <c r="A1178">
        <v>18412466</v>
      </c>
      <c r="B1178" t="str">
        <f>VLOOKUP(A1178,Planilha2!B:C,2,0)</f>
        <v>INVERSOR CFW900D22P0T6DB20Y2</v>
      </c>
      <c r="C1178" t="s">
        <v>1</v>
      </c>
      <c r="D1178" t="str">
        <f>VLOOKUP(A1178,Planilha2!B:H,7,0)</f>
        <v>PROD. EM LPS/LP</v>
      </c>
      <c r="E1178" s="5">
        <v>33500</v>
      </c>
      <c r="F1178">
        <f>IFERROR(
IF(ISNUMBER(FIND("CFW110",B1178)),
VALUE(MID(B1178,FIND("CFW110",B1178)+6,FIND("T",B1178,FIND("CFW110",B1178))-(FIND("CFW110",B1178)+6))),
IF(ISNUMBER(FIND("D",B1178)),
VALUE(SUBSTITUTE(MID(B1178,FIND("D",B1178)+1,FIND("T",B1178,FIND("D",B1178))-(FIND("D",B1178)+1)),"P",",")),
IF(ISNUMBER(FIND("CFW5",B1178)),
VALUE(MID(B1178,
IF(ISNUMBER(FIND("F",B1178)),FIND("F",B1178)+1,FIND("G",B1178)+1),
FIND("T",B1178)-(IF(ISNUMBER(FIND("F",B1178)),FIND("F",B1178)+1,FIND("G",B1178)+1))
)),
VALUE(MID(B1178,FIND("E0",B1178)+2,FIND("T",B1178,FIND("E0",B1178))-(FIND("E0",B1178)+2)))
))),"")</f>
        <v>22</v>
      </c>
      <c r="G1178">
        <f>IFERROR(
IF(ISNUMBER(FIND("T2",B1178)),220,
IF(ISNUMBER(FIND("T4",B1178)),440,
IF(ISNUMBER(FIND("T5",B1178)),575,
IF(ISNUMBER(FIND("T6",B1178)),690,"")))),
"")</f>
        <v>690</v>
      </c>
    </row>
    <row r="1179" spans="1:7" x14ac:dyDescent="0.25">
      <c r="A1179">
        <v>18412942</v>
      </c>
      <c r="B1179" t="str">
        <f>VLOOKUP(A1179,Planilha2!B:C,2,0)</f>
        <v>INVERSOR CFW900D27P0T6DB20Y2</v>
      </c>
      <c r="C1179" t="s">
        <v>1</v>
      </c>
      <c r="D1179" t="str">
        <f>VLOOKUP(A1179,Planilha2!B:H,7,0)</f>
        <v>PROD. EM LPS/LP</v>
      </c>
      <c r="E1179" s="5">
        <v>33500</v>
      </c>
      <c r="F1179">
        <f>IFERROR(
IF(ISNUMBER(FIND("CFW110",B1179)),
VALUE(MID(B1179,FIND("CFW110",B1179)+6,FIND("T",B1179,FIND("CFW110",B1179))-(FIND("CFW110",B1179)+6))),
IF(ISNUMBER(FIND("D",B1179)),
VALUE(SUBSTITUTE(MID(B1179,FIND("D",B1179)+1,FIND("T",B1179,FIND("D",B1179))-(FIND("D",B1179)+1)),"P",",")),
IF(ISNUMBER(FIND("CFW5",B1179)),
VALUE(MID(B1179,
IF(ISNUMBER(FIND("F",B1179)),FIND("F",B1179)+1,FIND("G",B1179)+1),
FIND("T",B1179)-(IF(ISNUMBER(FIND("F",B1179)),FIND("F",B1179)+1,FIND("G",B1179)+1))
)),
VALUE(MID(B1179,FIND("E0",B1179)+2,FIND("T",B1179,FIND("E0",B1179))-(FIND("E0",B1179)+2)))
))),"")</f>
        <v>27</v>
      </c>
      <c r="G1179">
        <f>IFERROR(
IF(ISNUMBER(FIND("T2",B1179)),220,
IF(ISNUMBER(FIND("T4",B1179)),440,
IF(ISNUMBER(FIND("T5",B1179)),575,
IF(ISNUMBER(FIND("T6",B1179)),690,"")))),
"")</f>
        <v>690</v>
      </c>
    </row>
    <row r="1180" spans="1:7" x14ac:dyDescent="0.25">
      <c r="A1180">
        <v>18412944</v>
      </c>
      <c r="B1180" t="str">
        <f>VLOOKUP(A1180,Planilha2!B:C,2,0)</f>
        <v>INVERSOR CFW900D32P0T6DB20Y2</v>
      </c>
      <c r="C1180" t="s">
        <v>1</v>
      </c>
      <c r="D1180" t="str">
        <f>VLOOKUP(A1180,Planilha2!B:H,7,0)</f>
        <v>PROD. EM LPS/LP</v>
      </c>
      <c r="E1180" s="5">
        <v>33500</v>
      </c>
      <c r="F1180">
        <f>IFERROR(
IF(ISNUMBER(FIND("CFW110",B1180)),
VALUE(MID(B1180,FIND("CFW110",B1180)+6,FIND("T",B1180,FIND("CFW110",B1180))-(FIND("CFW110",B1180)+6))),
IF(ISNUMBER(FIND("D",B1180)),
VALUE(SUBSTITUTE(MID(B1180,FIND("D",B1180)+1,FIND("T",B1180,FIND("D",B1180))-(FIND("D",B1180)+1)),"P",",")),
IF(ISNUMBER(FIND("CFW5",B1180)),
VALUE(MID(B1180,
IF(ISNUMBER(FIND("F",B1180)),FIND("F",B1180)+1,FIND("G",B1180)+1),
FIND("T",B1180)-(IF(ISNUMBER(FIND("F",B1180)),FIND("F",B1180)+1,FIND("G",B1180)+1))
)),
VALUE(MID(B1180,FIND("E0",B1180)+2,FIND("T",B1180,FIND("E0",B1180))-(FIND("E0",B1180)+2)))
))),"")</f>
        <v>32</v>
      </c>
      <c r="G1180">
        <f>IFERROR(
IF(ISNUMBER(FIND("T2",B1180)),220,
IF(ISNUMBER(FIND("T4",B1180)),440,
IF(ISNUMBER(FIND("T5",B1180)),575,
IF(ISNUMBER(FIND("T6",B1180)),690,"")))),
"")</f>
        <v>690</v>
      </c>
    </row>
    <row r="1181" spans="1:7" x14ac:dyDescent="0.25">
      <c r="A1181">
        <v>18412946</v>
      </c>
      <c r="B1181" t="str">
        <f>VLOOKUP(A1181,Planilha2!B:C,2,0)</f>
        <v>INVERSOR CFW900D44P0T6DB20Y2</v>
      </c>
      <c r="C1181" t="s">
        <v>1</v>
      </c>
      <c r="D1181" t="str">
        <f>VLOOKUP(A1181,Planilha2!B:H,7,0)</f>
        <v>PROD. EM LPS/LP</v>
      </c>
      <c r="E1181" s="5">
        <v>33500</v>
      </c>
      <c r="F1181">
        <f>IFERROR(
IF(ISNUMBER(FIND("CFW110",B1181)),
VALUE(MID(B1181,FIND("CFW110",B1181)+6,FIND("T",B1181,FIND("CFW110",B1181))-(FIND("CFW110",B1181)+6))),
IF(ISNUMBER(FIND("D",B1181)),
VALUE(SUBSTITUTE(MID(B1181,FIND("D",B1181)+1,FIND("T",B1181,FIND("D",B1181))-(FIND("D",B1181)+1)),"P",",")),
IF(ISNUMBER(FIND("CFW5",B1181)),
VALUE(MID(B1181,
IF(ISNUMBER(FIND("F",B1181)),FIND("F",B1181)+1,FIND("G",B1181)+1),
FIND("T",B1181)-(IF(ISNUMBER(FIND("F",B1181)),FIND("F",B1181)+1,FIND("G",B1181)+1))
)),
VALUE(MID(B1181,FIND("E0",B1181)+2,FIND("T",B1181,FIND("E0",B1181))-(FIND("E0",B1181)+2)))
))),"")</f>
        <v>44</v>
      </c>
      <c r="G1181">
        <f>IFERROR(
IF(ISNUMBER(FIND("T2",B1181)),220,
IF(ISNUMBER(FIND("T4",B1181)),440,
IF(ISNUMBER(FIND("T5",B1181)),575,
IF(ISNUMBER(FIND("T6",B1181)),690,"")))),
"")</f>
        <v>690</v>
      </c>
    </row>
    <row r="1182" spans="1:7" x14ac:dyDescent="0.25">
      <c r="A1182">
        <v>18412947</v>
      </c>
      <c r="B1182" t="str">
        <f>VLOOKUP(A1182,Planilha2!B:C,2,0)</f>
        <v>INVERSOR CFW900D54P0T6DB20Y2</v>
      </c>
      <c r="C1182" t="s">
        <v>1</v>
      </c>
      <c r="D1182" t="str">
        <f>VLOOKUP(A1182,Planilha2!B:H,7,0)</f>
        <v>PROD. EM LPS/LP</v>
      </c>
      <c r="E1182" s="5">
        <v>33500</v>
      </c>
      <c r="F1182">
        <f>IFERROR(
IF(ISNUMBER(FIND("CFW110",B1182)),
VALUE(MID(B1182,FIND("CFW110",B1182)+6,FIND("T",B1182,FIND("CFW110",B1182))-(FIND("CFW110",B1182)+6))),
IF(ISNUMBER(FIND("D",B1182)),
VALUE(SUBSTITUTE(MID(B1182,FIND("D",B1182)+1,FIND("T",B1182,FIND("D",B1182))-(FIND("D",B1182)+1)),"P",",")),
IF(ISNUMBER(FIND("CFW5",B1182)),
VALUE(MID(B1182,
IF(ISNUMBER(FIND("F",B1182)),FIND("F",B1182)+1,FIND("G",B1182)+1),
FIND("T",B1182)-(IF(ISNUMBER(FIND("F",B1182)),FIND("F",B1182)+1,FIND("G",B1182)+1))
)),
VALUE(MID(B1182,FIND("E0",B1182)+2,FIND("T",B1182,FIND("E0",B1182))-(FIND("E0",B1182)+2)))
))),"")</f>
        <v>54</v>
      </c>
      <c r="G1182">
        <f>IFERROR(
IF(ISNUMBER(FIND("T2",B1182)),220,
IF(ISNUMBER(FIND("T4",B1182)),440,
IF(ISNUMBER(FIND("T5",B1182)),575,
IF(ISNUMBER(FIND("T6",B1182)),690,"")))),
"")</f>
        <v>690</v>
      </c>
    </row>
    <row r="1183" spans="1:7" x14ac:dyDescent="0.25">
      <c r="A1183">
        <v>18413230</v>
      </c>
      <c r="B1183" t="str">
        <f>VLOOKUP(A1183,Planilha2!B:C,2,0)</f>
        <v>INVERSOR CFW900D64P0T6DB20Y2</v>
      </c>
      <c r="C1183" t="s">
        <v>1</v>
      </c>
      <c r="D1183" t="str">
        <f>VLOOKUP(A1183,Planilha2!B:H,7,0)</f>
        <v>PROD. EM LPS/LP</v>
      </c>
      <c r="E1183" s="5">
        <v>33500</v>
      </c>
      <c r="F1183">
        <f>IFERROR(
IF(ISNUMBER(FIND("CFW110",B1183)),
VALUE(MID(B1183,FIND("CFW110",B1183)+6,FIND("T",B1183,FIND("CFW110",B1183))-(FIND("CFW110",B1183)+6))),
IF(ISNUMBER(FIND("D",B1183)),
VALUE(SUBSTITUTE(MID(B1183,FIND("D",B1183)+1,FIND("T",B1183,FIND("D",B1183))-(FIND("D",B1183)+1)),"P",",")),
IF(ISNUMBER(FIND("CFW5",B1183)),
VALUE(MID(B1183,
IF(ISNUMBER(FIND("F",B1183)),FIND("F",B1183)+1,FIND("G",B1183)+1),
FIND("T",B1183)-(IF(ISNUMBER(FIND("F",B1183)),FIND("F",B1183)+1,FIND("G",B1183)+1))
)),
VALUE(MID(B1183,FIND("E0",B1183)+2,FIND("T",B1183,FIND("E0",B1183))-(FIND("E0",B1183)+2)))
))),"")</f>
        <v>64</v>
      </c>
      <c r="G1183">
        <f>IFERROR(
IF(ISNUMBER(FIND("T2",B1183)),220,
IF(ISNUMBER(FIND("T4",B1183)),440,
IF(ISNUMBER(FIND("T5",B1183)),575,
IF(ISNUMBER(FIND("T6",B1183)),690,"")))),
"")</f>
        <v>690</v>
      </c>
    </row>
    <row r="1184" spans="1:7" x14ac:dyDescent="0.25">
      <c r="A1184">
        <v>18413231</v>
      </c>
      <c r="B1184" t="str">
        <f>VLOOKUP(A1184,Planilha2!B:C,2,0)</f>
        <v>INVERSOR CFW900D80P0T6DB20Y2H1</v>
      </c>
      <c r="C1184" t="s">
        <v>1</v>
      </c>
      <c r="D1184" t="str">
        <f>VLOOKUP(A1184,Planilha2!B:H,7,0)</f>
        <v>PROD. EM LPS/LP</v>
      </c>
      <c r="E1184" s="5">
        <v>36000</v>
      </c>
      <c r="F1184">
        <f>IFERROR(
IF(ISNUMBER(FIND("CFW110",B1184)),
VALUE(MID(B1184,FIND("CFW110",B1184)+6,FIND("T",B1184,FIND("CFW110",B1184))-(FIND("CFW110",B1184)+6))),
IF(ISNUMBER(FIND("D",B1184)),
VALUE(SUBSTITUTE(MID(B1184,FIND("D",B1184)+1,FIND("T",B1184,FIND("D",B1184))-(FIND("D",B1184)+1)),"P",",")),
IF(ISNUMBER(FIND("CFW5",B1184)),
VALUE(MID(B1184,
IF(ISNUMBER(FIND("F",B1184)),FIND("F",B1184)+1,FIND("G",B1184)+1),
FIND("T",B1184)-(IF(ISNUMBER(FIND("F",B1184)),FIND("F",B1184)+1,FIND("G",B1184)+1))
)),
VALUE(MID(B1184,FIND("E0",B1184)+2,FIND("T",B1184,FIND("E0",B1184))-(FIND("E0",B1184)+2)))
))),"")</f>
        <v>80</v>
      </c>
      <c r="G1184">
        <f>IFERROR(
IF(ISNUMBER(FIND("T2",B1184)),220,
IF(ISNUMBER(FIND("T4",B1184)),440,
IF(ISNUMBER(FIND("T5",B1184)),575,
IF(ISNUMBER(FIND("T6",B1184)),690,"")))),
"")</f>
        <v>690</v>
      </c>
    </row>
    <row r="1185" spans="1:7" x14ac:dyDescent="0.25">
      <c r="A1185">
        <v>18413736</v>
      </c>
      <c r="B1185" t="str">
        <f>VLOOKUP(A1185,Planilha2!B:C,2,0)</f>
        <v>INVERSOR CFW900D99P0T6DB20Y2H1</v>
      </c>
      <c r="C1185" t="s">
        <v>1</v>
      </c>
      <c r="D1185" t="str">
        <f>VLOOKUP(A1185,Planilha2!B:H,7,0)</f>
        <v>PROD. EM LPS/LP</v>
      </c>
      <c r="E1185" s="5">
        <v>36000</v>
      </c>
      <c r="F1185">
        <f>IFERROR(
IF(ISNUMBER(FIND("CFW110",B1185)),
VALUE(MID(B1185,FIND("CFW110",B1185)+6,FIND("T",B1185,FIND("CFW110",B1185))-(FIND("CFW110",B1185)+6))),
IF(ISNUMBER(FIND("D",B1185)),
VALUE(SUBSTITUTE(MID(B1185,FIND("D",B1185)+1,FIND("T",B1185,FIND("D",B1185))-(FIND("D",B1185)+1)),"P",",")),
IF(ISNUMBER(FIND("CFW5",B1185)),
VALUE(MID(B1185,
IF(ISNUMBER(FIND("F",B1185)),FIND("F",B1185)+1,FIND("G",B1185)+1),
FIND("T",B1185)-(IF(ISNUMBER(FIND("F",B1185)),FIND("F",B1185)+1,FIND("G",B1185)+1))
)),
VALUE(MID(B1185,FIND("E0",B1185)+2,FIND("T",B1185,FIND("E0",B1185))-(FIND("E0",B1185)+2)))
))),"")</f>
        <v>99</v>
      </c>
      <c r="G1185">
        <f>IFERROR(
IF(ISNUMBER(FIND("T2",B1185)),220,
IF(ISNUMBER(FIND("T4",B1185)),440,
IF(ISNUMBER(FIND("T5",B1185)),575,
IF(ISNUMBER(FIND("T6",B1185)),690,"")))),
"")</f>
        <v>690</v>
      </c>
    </row>
    <row r="1186" spans="1:7" x14ac:dyDescent="0.25">
      <c r="A1186">
        <v>17837715</v>
      </c>
      <c r="B1186" t="str">
        <f>VLOOKUP(A1186,Planilha2!B:C,2,0)</f>
        <v>INVERSOR CFW900D04P2T6DB20Y2B</v>
      </c>
      <c r="C1186" t="s">
        <v>1</v>
      </c>
      <c r="D1186" t="str">
        <f>VLOOKUP(A1186,Planilha2!B:H,7,0)</f>
        <v>PROD. EM LPS/LP</v>
      </c>
      <c r="E1186" s="5">
        <v>33500</v>
      </c>
      <c r="F1186">
        <f>IFERROR(
IF(ISNUMBER(FIND("CFW110",B1186)),
VALUE(MID(B1186,FIND("CFW110",B1186)+6,FIND("T",B1186,FIND("CFW110",B1186))-(FIND("CFW110",B1186)+6))),
IF(ISNUMBER(FIND("D",B1186)),
VALUE(SUBSTITUTE(MID(B1186,FIND("D",B1186)+1,FIND("T",B1186,FIND("D",B1186))-(FIND("D",B1186)+1)),"P",",")),
IF(ISNUMBER(FIND("CFW5",B1186)),
VALUE(MID(B1186,
IF(ISNUMBER(FIND("F",B1186)),FIND("F",B1186)+1,FIND("G",B1186)+1),
FIND("T",B1186)-(IF(ISNUMBER(FIND("F",B1186)),FIND("F",B1186)+1,FIND("G",B1186)+1))
)),
VALUE(MID(B1186,FIND("E0",B1186)+2,FIND("T",B1186,FIND("E0",B1186))-(FIND("E0",B1186)+2)))
))),"")</f>
        <v>4.2</v>
      </c>
      <c r="G1186">
        <f>IFERROR(
IF(ISNUMBER(FIND("T2",B1186)),220,
IF(ISNUMBER(FIND("T4",B1186)),440,
IF(ISNUMBER(FIND("T5",B1186)),575,
IF(ISNUMBER(FIND("T6",B1186)),690,"")))),
"")</f>
        <v>690</v>
      </c>
    </row>
    <row r="1187" spans="1:7" x14ac:dyDescent="0.25">
      <c r="A1187">
        <v>17838064</v>
      </c>
      <c r="B1187" t="str">
        <f>VLOOKUP(A1187,Planilha2!B:C,2,0)</f>
        <v>INVERSOR CFW900D12P0T6DB20Y2B</v>
      </c>
      <c r="C1187" t="s">
        <v>1</v>
      </c>
      <c r="D1187" t="str">
        <f>VLOOKUP(A1187,Planilha2!B:H,7,0)</f>
        <v>PROD. EM LPS/LP</v>
      </c>
      <c r="E1187" s="5">
        <v>33500</v>
      </c>
      <c r="F1187">
        <f>IFERROR(
IF(ISNUMBER(FIND("CFW110",B1187)),
VALUE(MID(B1187,FIND("CFW110",B1187)+6,FIND("T",B1187,FIND("CFW110",B1187))-(FIND("CFW110",B1187)+6))),
IF(ISNUMBER(FIND("D",B1187)),
VALUE(SUBSTITUTE(MID(B1187,FIND("D",B1187)+1,FIND("T",B1187,FIND("D",B1187))-(FIND("D",B1187)+1)),"P",",")),
IF(ISNUMBER(FIND("CFW5",B1187)),
VALUE(MID(B1187,
IF(ISNUMBER(FIND("F",B1187)),FIND("F",B1187)+1,FIND("G",B1187)+1),
FIND("T",B1187)-(IF(ISNUMBER(FIND("F",B1187)),FIND("F",B1187)+1,FIND("G",B1187)+1))
)),
VALUE(MID(B1187,FIND("E0",B1187)+2,FIND("T",B1187,FIND("E0",B1187))-(FIND("E0",B1187)+2)))
))),"")</f>
        <v>12</v>
      </c>
      <c r="G1187">
        <f>IFERROR(
IF(ISNUMBER(FIND("T2",B1187)),220,
IF(ISNUMBER(FIND("T4",B1187)),440,
IF(ISNUMBER(FIND("T5",B1187)),575,
IF(ISNUMBER(FIND("T6",B1187)),690,"")))),
"")</f>
        <v>690</v>
      </c>
    </row>
    <row r="1188" spans="1:7" x14ac:dyDescent="0.25">
      <c r="A1188">
        <v>17838425</v>
      </c>
      <c r="B1188" t="str">
        <f>VLOOKUP(A1188,Planilha2!B:C,2,0)</f>
        <v>INVERSOR CFW900D02P9T6NB20Y2B</v>
      </c>
      <c r="C1188" t="s">
        <v>1</v>
      </c>
      <c r="D1188" t="str">
        <f>VLOOKUP(A1188,Planilha2!B:H,7,0)</f>
        <v>PROD. EM LPS/LP</v>
      </c>
      <c r="E1188" s="5">
        <v>33500</v>
      </c>
      <c r="F1188">
        <f>IFERROR(
IF(ISNUMBER(FIND("CFW110",B1188)),
VALUE(MID(B1188,FIND("CFW110",B1188)+6,FIND("T",B1188,FIND("CFW110",B1188))-(FIND("CFW110",B1188)+6))),
IF(ISNUMBER(FIND("D",B1188)),
VALUE(SUBSTITUTE(MID(B1188,FIND("D",B1188)+1,FIND("T",B1188,FIND("D",B1188))-(FIND("D",B1188)+1)),"P",",")),
IF(ISNUMBER(FIND("CFW5",B1188)),
VALUE(MID(B1188,
IF(ISNUMBER(FIND("F",B1188)),FIND("F",B1188)+1,FIND("G",B1188)+1),
FIND("T",B1188)-(IF(ISNUMBER(FIND("F",B1188)),FIND("F",B1188)+1,FIND("G",B1188)+1))
)),
VALUE(MID(B1188,FIND("E0",B1188)+2,FIND("T",B1188,FIND("E0",B1188))-(FIND("E0",B1188)+2)))
))),"")</f>
        <v>2.9</v>
      </c>
      <c r="G1188">
        <f>IFERROR(
IF(ISNUMBER(FIND("T2",B1188)),220,
IF(ISNUMBER(FIND("T4",B1188)),440,
IF(ISNUMBER(FIND("T5",B1188)),575,
IF(ISNUMBER(FIND("T6",B1188)),690,"")))),
"")</f>
        <v>690</v>
      </c>
    </row>
    <row r="1189" spans="1:7" x14ac:dyDescent="0.25">
      <c r="A1189">
        <v>17838427</v>
      </c>
      <c r="B1189" t="str">
        <f>VLOOKUP(A1189,Planilha2!B:C,2,0)</f>
        <v>INVERSOR CFW900D04P2T6NB20Y2B</v>
      </c>
      <c r="C1189" t="s">
        <v>1</v>
      </c>
      <c r="D1189" t="str">
        <f>VLOOKUP(A1189,Planilha2!B:H,7,0)</f>
        <v>PROD. EM LPS/LP</v>
      </c>
      <c r="E1189" s="5">
        <v>33500</v>
      </c>
      <c r="F1189">
        <f>IFERROR(
IF(ISNUMBER(FIND("CFW110",B1189)),
VALUE(MID(B1189,FIND("CFW110",B1189)+6,FIND("T",B1189,FIND("CFW110",B1189))-(FIND("CFW110",B1189)+6))),
IF(ISNUMBER(FIND("D",B1189)),
VALUE(SUBSTITUTE(MID(B1189,FIND("D",B1189)+1,FIND("T",B1189,FIND("D",B1189))-(FIND("D",B1189)+1)),"P",",")),
IF(ISNUMBER(FIND("CFW5",B1189)),
VALUE(MID(B1189,
IF(ISNUMBER(FIND("F",B1189)),FIND("F",B1189)+1,FIND("G",B1189)+1),
FIND("T",B1189)-(IF(ISNUMBER(FIND("F",B1189)),FIND("F",B1189)+1,FIND("G",B1189)+1))
)),
VALUE(MID(B1189,FIND("E0",B1189)+2,FIND("T",B1189,FIND("E0",B1189))-(FIND("E0",B1189)+2)))
))),"")</f>
        <v>4.2</v>
      </c>
      <c r="G1189">
        <f>IFERROR(
IF(ISNUMBER(FIND("T2",B1189)),220,
IF(ISNUMBER(FIND("T4",B1189)),440,
IF(ISNUMBER(FIND("T5",B1189)),575,
IF(ISNUMBER(FIND("T6",B1189)),690,"")))),
"")</f>
        <v>690</v>
      </c>
    </row>
    <row r="1190" spans="1:7" x14ac:dyDescent="0.25">
      <c r="A1190">
        <v>17838528</v>
      </c>
      <c r="B1190" t="str">
        <f>VLOOKUP(A1190,Planilha2!B:C,2,0)</f>
        <v>INVERSOR CFW900D07P0T6NB20Y2B</v>
      </c>
      <c r="C1190" t="s">
        <v>1</v>
      </c>
      <c r="D1190" t="str">
        <f>VLOOKUP(A1190,Planilha2!B:H,7,0)</f>
        <v>PROD. EM LPS/LP</v>
      </c>
      <c r="E1190" s="5">
        <v>33500</v>
      </c>
      <c r="F1190">
        <f>IFERROR(
IF(ISNUMBER(FIND("CFW110",B1190)),
VALUE(MID(B1190,FIND("CFW110",B1190)+6,FIND("T",B1190,FIND("CFW110",B1190))-(FIND("CFW110",B1190)+6))),
IF(ISNUMBER(FIND("D",B1190)),
VALUE(SUBSTITUTE(MID(B1190,FIND("D",B1190)+1,FIND("T",B1190,FIND("D",B1190))-(FIND("D",B1190)+1)),"P",",")),
IF(ISNUMBER(FIND("CFW5",B1190)),
VALUE(MID(B1190,
IF(ISNUMBER(FIND("F",B1190)),FIND("F",B1190)+1,FIND("G",B1190)+1),
FIND("T",B1190)-(IF(ISNUMBER(FIND("F",B1190)),FIND("F",B1190)+1,FIND("G",B1190)+1))
)),
VALUE(MID(B1190,FIND("E0",B1190)+2,FIND("T",B1190,FIND("E0",B1190))-(FIND("E0",B1190)+2)))
))),"")</f>
        <v>7</v>
      </c>
      <c r="G1190">
        <f>IFERROR(
IF(ISNUMBER(FIND("T2",B1190)),220,
IF(ISNUMBER(FIND("T4",B1190)),440,
IF(ISNUMBER(FIND("T5",B1190)),575,
IF(ISNUMBER(FIND("T6",B1190)),690,"")))),
"")</f>
        <v>690</v>
      </c>
    </row>
    <row r="1191" spans="1:7" x14ac:dyDescent="0.25">
      <c r="A1191">
        <v>17838530</v>
      </c>
      <c r="B1191" t="str">
        <f>VLOOKUP(A1191,Planilha2!B:C,2,0)</f>
        <v>INVERSOR CFW900D10P0T6NB20Y2B</v>
      </c>
      <c r="C1191" t="s">
        <v>1</v>
      </c>
      <c r="D1191" t="str">
        <f>VLOOKUP(A1191,Planilha2!B:H,7,0)</f>
        <v>PROD. EM LPS/LP</v>
      </c>
      <c r="E1191" s="5">
        <v>33500</v>
      </c>
      <c r="F1191">
        <f>IFERROR(
IF(ISNUMBER(FIND("CFW110",B1191)),
VALUE(MID(B1191,FIND("CFW110",B1191)+6,FIND("T",B1191,FIND("CFW110",B1191))-(FIND("CFW110",B1191)+6))),
IF(ISNUMBER(FIND("D",B1191)),
VALUE(SUBSTITUTE(MID(B1191,FIND("D",B1191)+1,FIND("T",B1191,FIND("D",B1191))-(FIND("D",B1191)+1)),"P",",")),
IF(ISNUMBER(FIND("CFW5",B1191)),
VALUE(MID(B1191,
IF(ISNUMBER(FIND("F",B1191)),FIND("F",B1191)+1,FIND("G",B1191)+1),
FIND("T",B1191)-(IF(ISNUMBER(FIND("F",B1191)),FIND("F",B1191)+1,FIND("G",B1191)+1))
)),
VALUE(MID(B1191,FIND("E0",B1191)+2,FIND("T",B1191,FIND("E0",B1191))-(FIND("E0",B1191)+2)))
))),"")</f>
        <v>10</v>
      </c>
      <c r="G1191">
        <f>IFERROR(
IF(ISNUMBER(FIND("T2",B1191)),220,
IF(ISNUMBER(FIND("T4",B1191)),440,
IF(ISNUMBER(FIND("T5",B1191)),575,
IF(ISNUMBER(FIND("T6",B1191)),690,"")))),
"")</f>
        <v>690</v>
      </c>
    </row>
    <row r="1192" spans="1:7" x14ac:dyDescent="0.25">
      <c r="A1192">
        <v>17838531</v>
      </c>
      <c r="B1192" t="str">
        <f>VLOOKUP(A1192,Planilha2!B:C,2,0)</f>
        <v>INVERSOR CFW900D12P0T6NB20Y2B</v>
      </c>
      <c r="C1192" t="s">
        <v>1</v>
      </c>
      <c r="D1192" t="str">
        <f>VLOOKUP(A1192,Planilha2!B:H,7,0)</f>
        <v>PROD. EM LPS/LP</v>
      </c>
      <c r="E1192" s="5">
        <v>33500</v>
      </c>
      <c r="F1192">
        <f>IFERROR(
IF(ISNUMBER(FIND("CFW110",B1192)),
VALUE(MID(B1192,FIND("CFW110",B1192)+6,FIND("T",B1192,FIND("CFW110",B1192))-(FIND("CFW110",B1192)+6))),
IF(ISNUMBER(FIND("D",B1192)),
VALUE(SUBSTITUTE(MID(B1192,FIND("D",B1192)+1,FIND("T",B1192,FIND("D",B1192))-(FIND("D",B1192)+1)),"P",",")),
IF(ISNUMBER(FIND("CFW5",B1192)),
VALUE(MID(B1192,
IF(ISNUMBER(FIND("F",B1192)),FIND("F",B1192)+1,FIND("G",B1192)+1),
FIND("T",B1192)-(IF(ISNUMBER(FIND("F",B1192)),FIND("F",B1192)+1,FIND("G",B1192)+1))
)),
VALUE(MID(B1192,FIND("E0",B1192)+2,FIND("T",B1192,FIND("E0",B1192))-(FIND("E0",B1192)+2)))
))),"")</f>
        <v>12</v>
      </c>
      <c r="G1192">
        <f>IFERROR(
IF(ISNUMBER(FIND("T2",B1192)),220,
IF(ISNUMBER(FIND("T4",B1192)),440,
IF(ISNUMBER(FIND("T5",B1192)),575,
IF(ISNUMBER(FIND("T6",B1192)),690,"")))),
"")</f>
        <v>690</v>
      </c>
    </row>
    <row r="1193" spans="1:7" x14ac:dyDescent="0.25">
      <c r="A1193">
        <v>17838532</v>
      </c>
      <c r="B1193" t="str">
        <f>VLOOKUP(A1193,Planilha2!B:C,2,0)</f>
        <v>INVERSOR CFW900D17P0T6NB20Y2B</v>
      </c>
      <c r="C1193" t="s">
        <v>1</v>
      </c>
      <c r="D1193" t="str">
        <f>VLOOKUP(A1193,Planilha2!B:H,7,0)</f>
        <v>PROD. EM LPS/LP</v>
      </c>
      <c r="E1193" s="5">
        <v>33500</v>
      </c>
      <c r="F1193">
        <f>IFERROR(
IF(ISNUMBER(FIND("CFW110",B1193)),
VALUE(MID(B1193,FIND("CFW110",B1193)+6,FIND("T",B1193,FIND("CFW110",B1193))-(FIND("CFW110",B1193)+6))),
IF(ISNUMBER(FIND("D",B1193)),
VALUE(SUBSTITUTE(MID(B1193,FIND("D",B1193)+1,FIND("T",B1193,FIND("D",B1193))-(FIND("D",B1193)+1)),"P",",")),
IF(ISNUMBER(FIND("CFW5",B1193)),
VALUE(MID(B1193,
IF(ISNUMBER(FIND("F",B1193)),FIND("F",B1193)+1,FIND("G",B1193)+1),
FIND("T",B1193)-(IF(ISNUMBER(FIND("F",B1193)),FIND("F",B1193)+1,FIND("G",B1193)+1))
)),
VALUE(MID(B1193,FIND("E0",B1193)+2,FIND("T",B1193,FIND("E0",B1193))-(FIND("E0",B1193)+2)))
))),"")</f>
        <v>17</v>
      </c>
      <c r="G1193">
        <f>IFERROR(
IF(ISNUMBER(FIND("T2",B1193)),220,
IF(ISNUMBER(FIND("T4",B1193)),440,
IF(ISNUMBER(FIND("T5",B1193)),575,
IF(ISNUMBER(FIND("T6",B1193)),690,"")))),
"")</f>
        <v>690</v>
      </c>
    </row>
    <row r="1194" spans="1:7" x14ac:dyDescent="0.25">
      <c r="A1194">
        <v>17838534</v>
      </c>
      <c r="B1194" t="str">
        <f>VLOOKUP(A1194,Planilha2!B:C,2,0)</f>
        <v>INVERSOR CFW900D22P0T6NB20Y2B</v>
      </c>
      <c r="C1194" t="s">
        <v>1</v>
      </c>
      <c r="D1194" t="str">
        <f>VLOOKUP(A1194,Planilha2!B:H,7,0)</f>
        <v>PROD. EM LPS/LP</v>
      </c>
      <c r="E1194" s="5">
        <v>33500</v>
      </c>
      <c r="F1194">
        <f>IFERROR(
IF(ISNUMBER(FIND("CFW110",B1194)),
VALUE(MID(B1194,FIND("CFW110",B1194)+6,FIND("T",B1194,FIND("CFW110",B1194))-(FIND("CFW110",B1194)+6))),
IF(ISNUMBER(FIND("D",B1194)),
VALUE(SUBSTITUTE(MID(B1194,FIND("D",B1194)+1,FIND("T",B1194,FIND("D",B1194))-(FIND("D",B1194)+1)),"P",",")),
IF(ISNUMBER(FIND("CFW5",B1194)),
VALUE(MID(B1194,
IF(ISNUMBER(FIND("F",B1194)),FIND("F",B1194)+1,FIND("G",B1194)+1),
FIND("T",B1194)-(IF(ISNUMBER(FIND("F",B1194)),FIND("F",B1194)+1,FIND("G",B1194)+1))
)),
VALUE(MID(B1194,FIND("E0",B1194)+2,FIND("T",B1194,FIND("E0",B1194))-(FIND("E0",B1194)+2)))
))),"")</f>
        <v>22</v>
      </c>
      <c r="G1194">
        <f>IFERROR(
IF(ISNUMBER(FIND("T2",B1194)),220,
IF(ISNUMBER(FIND("T4",B1194)),440,
IF(ISNUMBER(FIND("T5",B1194)),575,
IF(ISNUMBER(FIND("T6",B1194)),690,"")))),
"")</f>
        <v>690</v>
      </c>
    </row>
    <row r="1195" spans="1:7" x14ac:dyDescent="0.25">
      <c r="A1195">
        <v>17838535</v>
      </c>
      <c r="B1195" t="str">
        <f>VLOOKUP(A1195,Planilha2!B:C,2,0)</f>
        <v>INVERSOR CFW900D27P0T6NB20Y2B</v>
      </c>
      <c r="C1195" t="s">
        <v>1</v>
      </c>
      <c r="D1195" t="str">
        <f>VLOOKUP(A1195,Planilha2!B:H,7,0)</f>
        <v>PROD. EM LPS/LP</v>
      </c>
      <c r="E1195" s="5">
        <v>33500</v>
      </c>
      <c r="F1195">
        <f>IFERROR(
IF(ISNUMBER(FIND("CFW110",B1195)),
VALUE(MID(B1195,FIND("CFW110",B1195)+6,FIND("T",B1195,FIND("CFW110",B1195))-(FIND("CFW110",B1195)+6))),
IF(ISNUMBER(FIND("D",B1195)),
VALUE(SUBSTITUTE(MID(B1195,FIND("D",B1195)+1,FIND("T",B1195,FIND("D",B1195))-(FIND("D",B1195)+1)),"P",",")),
IF(ISNUMBER(FIND("CFW5",B1195)),
VALUE(MID(B1195,
IF(ISNUMBER(FIND("F",B1195)),FIND("F",B1195)+1,FIND("G",B1195)+1),
FIND("T",B1195)-(IF(ISNUMBER(FIND("F",B1195)),FIND("F",B1195)+1,FIND("G",B1195)+1))
)),
VALUE(MID(B1195,FIND("E0",B1195)+2,FIND("T",B1195,FIND("E0",B1195))-(FIND("E0",B1195)+2)))
))),"")</f>
        <v>27</v>
      </c>
      <c r="G1195">
        <f>IFERROR(
IF(ISNUMBER(FIND("T2",B1195)),220,
IF(ISNUMBER(FIND("T4",B1195)),440,
IF(ISNUMBER(FIND("T5",B1195)),575,
IF(ISNUMBER(FIND("T6",B1195)),690,"")))),
"")</f>
        <v>690</v>
      </c>
    </row>
    <row r="1196" spans="1:7" x14ac:dyDescent="0.25">
      <c r="A1196">
        <v>17838798</v>
      </c>
      <c r="B1196" t="str">
        <f>VLOOKUP(A1196,Planilha2!B:C,2,0)</f>
        <v>INVERSOR CFW900D32P0T6NB20Y2B</v>
      </c>
      <c r="C1196" t="s">
        <v>1</v>
      </c>
      <c r="D1196" t="str">
        <f>VLOOKUP(A1196,Planilha2!B:H,7,0)</f>
        <v>PROD. EM LPS/LP</v>
      </c>
      <c r="E1196" s="5">
        <v>33500</v>
      </c>
      <c r="F1196">
        <f>IFERROR(
IF(ISNUMBER(FIND("CFW110",B1196)),
VALUE(MID(B1196,FIND("CFW110",B1196)+6,FIND("T",B1196,FIND("CFW110",B1196))-(FIND("CFW110",B1196)+6))),
IF(ISNUMBER(FIND("D",B1196)),
VALUE(SUBSTITUTE(MID(B1196,FIND("D",B1196)+1,FIND("T",B1196,FIND("D",B1196))-(FIND("D",B1196)+1)),"P",",")),
IF(ISNUMBER(FIND("CFW5",B1196)),
VALUE(MID(B1196,
IF(ISNUMBER(FIND("F",B1196)),FIND("F",B1196)+1,FIND("G",B1196)+1),
FIND("T",B1196)-(IF(ISNUMBER(FIND("F",B1196)),FIND("F",B1196)+1,FIND("G",B1196)+1))
)),
VALUE(MID(B1196,FIND("E0",B1196)+2,FIND("T",B1196,FIND("E0",B1196))-(FIND("E0",B1196)+2)))
))),"")</f>
        <v>32</v>
      </c>
      <c r="G1196">
        <f>IFERROR(
IF(ISNUMBER(FIND("T2",B1196)),220,
IF(ISNUMBER(FIND("T4",B1196)),440,
IF(ISNUMBER(FIND("T5",B1196)),575,
IF(ISNUMBER(FIND("T6",B1196)),690,"")))),
"")</f>
        <v>690</v>
      </c>
    </row>
    <row r="1197" spans="1:7" x14ac:dyDescent="0.25">
      <c r="A1197">
        <v>17839145</v>
      </c>
      <c r="B1197" t="str">
        <f>VLOOKUP(A1197,Planilha2!B:C,2,0)</f>
        <v>INVERSOR CFW900D44P0T6NB20Y2B</v>
      </c>
      <c r="C1197" t="s">
        <v>1</v>
      </c>
      <c r="D1197" t="str">
        <f>VLOOKUP(A1197,Planilha2!B:H,7,0)</f>
        <v>PROD. EM LPS/LP</v>
      </c>
      <c r="E1197" s="5">
        <v>33500</v>
      </c>
      <c r="F1197">
        <f>IFERROR(
IF(ISNUMBER(FIND("CFW110",B1197)),
VALUE(MID(B1197,FIND("CFW110",B1197)+6,FIND("T",B1197,FIND("CFW110",B1197))-(FIND("CFW110",B1197)+6))),
IF(ISNUMBER(FIND("D",B1197)),
VALUE(SUBSTITUTE(MID(B1197,FIND("D",B1197)+1,FIND("T",B1197,FIND("D",B1197))-(FIND("D",B1197)+1)),"P",",")),
IF(ISNUMBER(FIND("CFW5",B1197)),
VALUE(MID(B1197,
IF(ISNUMBER(FIND("F",B1197)),FIND("F",B1197)+1,FIND("G",B1197)+1),
FIND("T",B1197)-(IF(ISNUMBER(FIND("F",B1197)),FIND("F",B1197)+1,FIND("G",B1197)+1))
)),
VALUE(MID(B1197,FIND("E0",B1197)+2,FIND("T",B1197,FIND("E0",B1197))-(FIND("E0",B1197)+2)))
))),"")</f>
        <v>44</v>
      </c>
      <c r="G1197">
        <f>IFERROR(
IF(ISNUMBER(FIND("T2",B1197)),220,
IF(ISNUMBER(FIND("T4",B1197)),440,
IF(ISNUMBER(FIND("T5",B1197)),575,
IF(ISNUMBER(FIND("T6",B1197)),690,"")))),
"")</f>
        <v>690</v>
      </c>
    </row>
    <row r="1198" spans="1:7" x14ac:dyDescent="0.25">
      <c r="A1198">
        <v>17839146</v>
      </c>
      <c r="B1198" t="str">
        <f>VLOOKUP(A1198,Planilha2!B:C,2,0)</f>
        <v>INVERSOR CFW900D54P0T6NB20Y2B</v>
      </c>
      <c r="C1198" t="s">
        <v>1</v>
      </c>
      <c r="D1198" t="str">
        <f>VLOOKUP(A1198,Planilha2!B:H,7,0)</f>
        <v>PROD. EM LPS/LP</v>
      </c>
      <c r="E1198" s="5">
        <v>33500</v>
      </c>
      <c r="F1198">
        <f>IFERROR(
IF(ISNUMBER(FIND("CFW110",B1198)),
VALUE(MID(B1198,FIND("CFW110",B1198)+6,FIND("T",B1198,FIND("CFW110",B1198))-(FIND("CFW110",B1198)+6))),
IF(ISNUMBER(FIND("D",B1198)),
VALUE(SUBSTITUTE(MID(B1198,FIND("D",B1198)+1,FIND("T",B1198,FIND("D",B1198))-(FIND("D",B1198)+1)),"P",",")),
IF(ISNUMBER(FIND("CFW5",B1198)),
VALUE(MID(B1198,
IF(ISNUMBER(FIND("F",B1198)),FIND("F",B1198)+1,FIND("G",B1198)+1),
FIND("T",B1198)-(IF(ISNUMBER(FIND("F",B1198)),FIND("F",B1198)+1,FIND("G",B1198)+1))
)),
VALUE(MID(B1198,FIND("E0",B1198)+2,FIND("T",B1198,FIND("E0",B1198))-(FIND("E0",B1198)+2)))
))),"")</f>
        <v>54</v>
      </c>
      <c r="G1198">
        <f>IFERROR(
IF(ISNUMBER(FIND("T2",B1198)),220,
IF(ISNUMBER(FIND("T4",B1198)),440,
IF(ISNUMBER(FIND("T5",B1198)),575,
IF(ISNUMBER(FIND("T6",B1198)),690,"")))),
"")</f>
        <v>690</v>
      </c>
    </row>
    <row r="1199" spans="1:7" x14ac:dyDescent="0.25">
      <c r="A1199">
        <v>17839509</v>
      </c>
      <c r="B1199" t="str">
        <f>VLOOKUP(A1199,Planilha2!B:C,2,0)</f>
        <v>INVERSOR CFW900D64P0T6NB20Y2B</v>
      </c>
      <c r="C1199" t="s">
        <v>1</v>
      </c>
      <c r="D1199" t="str">
        <f>VLOOKUP(A1199,Planilha2!B:H,7,0)</f>
        <v>PROD. EM LPS/LP</v>
      </c>
      <c r="E1199" s="5">
        <v>33500</v>
      </c>
      <c r="F1199">
        <f>IFERROR(
IF(ISNUMBER(FIND("CFW110",B1199)),
VALUE(MID(B1199,FIND("CFW110",B1199)+6,FIND("T",B1199,FIND("CFW110",B1199))-(FIND("CFW110",B1199)+6))),
IF(ISNUMBER(FIND("D",B1199)),
VALUE(SUBSTITUTE(MID(B1199,FIND("D",B1199)+1,FIND("T",B1199,FIND("D",B1199))-(FIND("D",B1199)+1)),"P",",")),
IF(ISNUMBER(FIND("CFW5",B1199)),
VALUE(MID(B1199,
IF(ISNUMBER(FIND("F",B1199)),FIND("F",B1199)+1,FIND("G",B1199)+1),
FIND("T",B1199)-(IF(ISNUMBER(FIND("F",B1199)),FIND("F",B1199)+1,FIND("G",B1199)+1))
)),
VALUE(MID(B1199,FIND("E0",B1199)+2,FIND("T",B1199,FIND("E0",B1199))-(FIND("E0",B1199)+2)))
))),"")</f>
        <v>64</v>
      </c>
      <c r="G1199">
        <f>IFERROR(
IF(ISNUMBER(FIND("T2",B1199)),220,
IF(ISNUMBER(FIND("T4",B1199)),440,
IF(ISNUMBER(FIND("T5",B1199)),575,
IF(ISNUMBER(FIND("T6",B1199)),690,"")))),
"")</f>
        <v>690</v>
      </c>
    </row>
    <row r="1200" spans="1:7" x14ac:dyDescent="0.25">
      <c r="A1200">
        <v>17839511</v>
      </c>
      <c r="B1200" t="str">
        <f>VLOOKUP(A1200,Planilha2!B:C,2,0)</f>
        <v>INVERSOR CFW900D80P0T6NB20Y2BH1</v>
      </c>
      <c r="C1200" t="s">
        <v>1</v>
      </c>
      <c r="D1200" t="str">
        <f>VLOOKUP(A1200,Planilha2!B:H,7,0)</f>
        <v>PROD. EM LPS/LP</v>
      </c>
      <c r="E1200" s="5">
        <v>36000</v>
      </c>
      <c r="F1200">
        <f>IFERROR(
IF(ISNUMBER(FIND("CFW110",B1200)),
VALUE(MID(B1200,FIND("CFW110",B1200)+6,FIND("T",B1200,FIND("CFW110",B1200))-(FIND("CFW110",B1200)+6))),
IF(ISNUMBER(FIND("D",B1200)),
VALUE(SUBSTITUTE(MID(B1200,FIND("D",B1200)+1,FIND("T",B1200,FIND("D",B1200))-(FIND("D",B1200)+1)),"P",",")),
IF(ISNUMBER(FIND("CFW5",B1200)),
VALUE(MID(B1200,
IF(ISNUMBER(FIND("F",B1200)),FIND("F",B1200)+1,FIND("G",B1200)+1),
FIND("T",B1200)-(IF(ISNUMBER(FIND("F",B1200)),FIND("F",B1200)+1,FIND("G",B1200)+1))
)),
VALUE(MID(B1200,FIND("E0",B1200)+2,FIND("T",B1200,FIND("E0",B1200))-(FIND("E0",B1200)+2)))
))),"")</f>
        <v>80</v>
      </c>
      <c r="G1200">
        <f>IFERROR(
IF(ISNUMBER(FIND("T2",B1200)),220,
IF(ISNUMBER(FIND("T4",B1200)),440,
IF(ISNUMBER(FIND("T5",B1200)),575,
IF(ISNUMBER(FIND("T6",B1200)),690,"")))),
"")</f>
        <v>690</v>
      </c>
    </row>
    <row r="1201" spans="1:7" x14ac:dyDescent="0.25">
      <c r="A1201">
        <v>17839512</v>
      </c>
      <c r="B1201" t="str">
        <f>VLOOKUP(A1201,Planilha2!B:C,2,0)</f>
        <v>INVERSOR CFW900D99P0T6NB20Y2BH1</v>
      </c>
      <c r="C1201" t="s">
        <v>1</v>
      </c>
      <c r="D1201" t="str">
        <f>VLOOKUP(A1201,Planilha2!B:H,7,0)</f>
        <v>PROD. EM LPS/LP</v>
      </c>
      <c r="E1201" s="5">
        <v>36000</v>
      </c>
      <c r="F1201">
        <f>IFERROR(
IF(ISNUMBER(FIND("CFW110",B1201)),
VALUE(MID(B1201,FIND("CFW110",B1201)+6,FIND("T",B1201,FIND("CFW110",B1201))-(FIND("CFW110",B1201)+6))),
IF(ISNUMBER(FIND("D",B1201)),
VALUE(SUBSTITUTE(MID(B1201,FIND("D",B1201)+1,FIND("T",B1201,FIND("D",B1201))-(FIND("D",B1201)+1)),"P",",")),
IF(ISNUMBER(FIND("CFW5",B1201)),
VALUE(MID(B1201,
IF(ISNUMBER(FIND("F",B1201)),FIND("F",B1201)+1,FIND("G",B1201)+1),
FIND("T",B1201)-(IF(ISNUMBER(FIND("F",B1201)),FIND("F",B1201)+1,FIND("G",B1201)+1))
)),
VALUE(MID(B1201,FIND("E0",B1201)+2,FIND("T",B1201,FIND("E0",B1201))-(FIND("E0",B1201)+2)))
))),"")</f>
        <v>99</v>
      </c>
      <c r="G1201">
        <f>IFERROR(
IF(ISNUMBER(FIND("T2",B1201)),220,
IF(ISNUMBER(FIND("T4",B1201)),440,
IF(ISNUMBER(FIND("T5",B1201)),575,
IF(ISNUMBER(FIND("T6",B1201)),690,"")))),
"")</f>
        <v>690</v>
      </c>
    </row>
    <row r="1202" spans="1:7" x14ac:dyDescent="0.25">
      <c r="A1202">
        <v>18414778</v>
      </c>
      <c r="B1202" t="str">
        <f>VLOOKUP(A1202,Planilha2!B:C,2,0)</f>
        <v>INVERSOR CFW900D02P9T6NB20Y2</v>
      </c>
      <c r="C1202" t="s">
        <v>1</v>
      </c>
      <c r="D1202" t="str">
        <f>VLOOKUP(A1202,Planilha2!B:H,7,0)</f>
        <v>PROD. EM LPS/LP</v>
      </c>
      <c r="E1202" s="5">
        <v>33500</v>
      </c>
      <c r="F1202">
        <f>IFERROR(
IF(ISNUMBER(FIND("CFW110",B1202)),
VALUE(MID(B1202,FIND("CFW110",B1202)+6,FIND("T",B1202,FIND("CFW110",B1202))-(FIND("CFW110",B1202)+6))),
IF(ISNUMBER(FIND("D",B1202)),
VALUE(SUBSTITUTE(MID(B1202,FIND("D",B1202)+1,FIND("T",B1202,FIND("D",B1202))-(FIND("D",B1202)+1)),"P",",")),
IF(ISNUMBER(FIND("CFW5",B1202)),
VALUE(MID(B1202,
IF(ISNUMBER(FIND("F",B1202)),FIND("F",B1202)+1,FIND("G",B1202)+1),
FIND("T",B1202)-(IF(ISNUMBER(FIND("F",B1202)),FIND("F",B1202)+1,FIND("G",B1202)+1))
)),
VALUE(MID(B1202,FIND("E0",B1202)+2,FIND("T",B1202,FIND("E0",B1202))-(FIND("E0",B1202)+2)))
))),"")</f>
        <v>2.9</v>
      </c>
      <c r="G1202">
        <f>IFERROR(
IF(ISNUMBER(FIND("T2",B1202)),220,
IF(ISNUMBER(FIND("T4",B1202)),440,
IF(ISNUMBER(FIND("T5",B1202)),575,
IF(ISNUMBER(FIND("T6",B1202)),690,"")))),
"")</f>
        <v>690</v>
      </c>
    </row>
    <row r="1203" spans="1:7" x14ac:dyDescent="0.25">
      <c r="A1203">
        <v>18414779</v>
      </c>
      <c r="B1203" t="str">
        <f>VLOOKUP(A1203,Planilha2!B:C,2,0)</f>
        <v>INVERSOR CFW900D04P2T6NB20Y2</v>
      </c>
      <c r="C1203" t="s">
        <v>1</v>
      </c>
      <c r="D1203" t="str">
        <f>VLOOKUP(A1203,Planilha2!B:H,7,0)</f>
        <v>PROD. EM LPS/LP</v>
      </c>
      <c r="E1203" s="5">
        <v>33500</v>
      </c>
      <c r="F1203">
        <f>IFERROR(
IF(ISNUMBER(FIND("CFW110",B1203)),
VALUE(MID(B1203,FIND("CFW110",B1203)+6,FIND("T",B1203,FIND("CFW110",B1203))-(FIND("CFW110",B1203)+6))),
IF(ISNUMBER(FIND("D",B1203)),
VALUE(SUBSTITUTE(MID(B1203,FIND("D",B1203)+1,FIND("T",B1203,FIND("D",B1203))-(FIND("D",B1203)+1)),"P",",")),
IF(ISNUMBER(FIND("CFW5",B1203)),
VALUE(MID(B1203,
IF(ISNUMBER(FIND("F",B1203)),FIND("F",B1203)+1,FIND("G",B1203)+1),
FIND("T",B1203)-(IF(ISNUMBER(FIND("F",B1203)),FIND("F",B1203)+1,FIND("G",B1203)+1))
)),
VALUE(MID(B1203,FIND("E0",B1203)+2,FIND("T",B1203,FIND("E0",B1203))-(FIND("E0",B1203)+2)))
))),"")</f>
        <v>4.2</v>
      </c>
      <c r="G1203">
        <f>IFERROR(
IF(ISNUMBER(FIND("T2",B1203)),220,
IF(ISNUMBER(FIND("T4",B1203)),440,
IF(ISNUMBER(FIND("T5",B1203)),575,
IF(ISNUMBER(FIND("T6",B1203)),690,"")))),
"")</f>
        <v>690</v>
      </c>
    </row>
    <row r="1204" spans="1:7" x14ac:dyDescent="0.25">
      <c r="A1204">
        <v>18414784</v>
      </c>
      <c r="B1204" t="str">
        <f>VLOOKUP(A1204,Planilha2!B:C,2,0)</f>
        <v>INVERSOR CFW900D07P0T6NB20Y2</v>
      </c>
      <c r="C1204" t="s">
        <v>1</v>
      </c>
      <c r="D1204" t="str">
        <f>VLOOKUP(A1204,Planilha2!B:H,7,0)</f>
        <v>PROD. EM LPS/LP</v>
      </c>
      <c r="E1204" s="5">
        <v>33500</v>
      </c>
      <c r="F1204">
        <f>IFERROR(
IF(ISNUMBER(FIND("CFW110",B1204)),
VALUE(MID(B1204,FIND("CFW110",B1204)+6,FIND("T",B1204,FIND("CFW110",B1204))-(FIND("CFW110",B1204)+6))),
IF(ISNUMBER(FIND("D",B1204)),
VALUE(SUBSTITUTE(MID(B1204,FIND("D",B1204)+1,FIND("T",B1204,FIND("D",B1204))-(FIND("D",B1204)+1)),"P",",")),
IF(ISNUMBER(FIND("CFW5",B1204)),
VALUE(MID(B1204,
IF(ISNUMBER(FIND("F",B1204)),FIND("F",B1204)+1,FIND("G",B1204)+1),
FIND("T",B1204)-(IF(ISNUMBER(FIND("F",B1204)),FIND("F",B1204)+1,FIND("G",B1204)+1))
)),
VALUE(MID(B1204,FIND("E0",B1204)+2,FIND("T",B1204,FIND("E0",B1204))-(FIND("E0",B1204)+2)))
))),"")</f>
        <v>7</v>
      </c>
      <c r="G1204">
        <f>IFERROR(
IF(ISNUMBER(FIND("T2",B1204)),220,
IF(ISNUMBER(FIND("T4",B1204)),440,
IF(ISNUMBER(FIND("T5",B1204)),575,
IF(ISNUMBER(FIND("T6",B1204)),690,"")))),
"")</f>
        <v>690</v>
      </c>
    </row>
    <row r="1205" spans="1:7" x14ac:dyDescent="0.25">
      <c r="A1205">
        <v>18414785</v>
      </c>
      <c r="B1205" t="str">
        <f>VLOOKUP(A1205,Planilha2!B:C,2,0)</f>
        <v>INVERSOR CFW900D10P0T6NB20Y2</v>
      </c>
      <c r="C1205" t="s">
        <v>1</v>
      </c>
      <c r="D1205" t="str">
        <f>VLOOKUP(A1205,Planilha2!B:H,7,0)</f>
        <v>PROD. EM LPS/LP</v>
      </c>
      <c r="E1205" s="5">
        <v>33500</v>
      </c>
      <c r="F1205">
        <f>IFERROR(
IF(ISNUMBER(FIND("CFW110",B1205)),
VALUE(MID(B1205,FIND("CFW110",B1205)+6,FIND("T",B1205,FIND("CFW110",B1205))-(FIND("CFW110",B1205)+6))),
IF(ISNUMBER(FIND("D",B1205)),
VALUE(SUBSTITUTE(MID(B1205,FIND("D",B1205)+1,FIND("T",B1205,FIND("D",B1205))-(FIND("D",B1205)+1)),"P",",")),
IF(ISNUMBER(FIND("CFW5",B1205)),
VALUE(MID(B1205,
IF(ISNUMBER(FIND("F",B1205)),FIND("F",B1205)+1,FIND("G",B1205)+1),
FIND("T",B1205)-(IF(ISNUMBER(FIND("F",B1205)),FIND("F",B1205)+1,FIND("G",B1205)+1))
)),
VALUE(MID(B1205,FIND("E0",B1205)+2,FIND("T",B1205,FIND("E0",B1205))-(FIND("E0",B1205)+2)))
))),"")</f>
        <v>10</v>
      </c>
      <c r="G1205">
        <f>IFERROR(
IF(ISNUMBER(FIND("T2",B1205)),220,
IF(ISNUMBER(FIND("T4",B1205)),440,
IF(ISNUMBER(FIND("T5",B1205)),575,
IF(ISNUMBER(FIND("T6",B1205)),690,"")))),
"")</f>
        <v>690</v>
      </c>
    </row>
    <row r="1206" spans="1:7" x14ac:dyDescent="0.25">
      <c r="A1206">
        <v>18414787</v>
      </c>
      <c r="B1206" t="str">
        <f>VLOOKUP(A1206,Planilha2!B:C,2,0)</f>
        <v>INVERSOR CFW900D12P0T6NB20Y2</v>
      </c>
      <c r="C1206" t="s">
        <v>1</v>
      </c>
      <c r="D1206" t="str">
        <f>VLOOKUP(A1206,Planilha2!B:H,7,0)</f>
        <v>PROD. EM LPS/LP</v>
      </c>
      <c r="E1206" s="5">
        <v>33500</v>
      </c>
      <c r="F1206">
        <f>IFERROR(
IF(ISNUMBER(FIND("CFW110",B1206)),
VALUE(MID(B1206,FIND("CFW110",B1206)+6,FIND("T",B1206,FIND("CFW110",B1206))-(FIND("CFW110",B1206)+6))),
IF(ISNUMBER(FIND("D",B1206)),
VALUE(SUBSTITUTE(MID(B1206,FIND("D",B1206)+1,FIND("T",B1206,FIND("D",B1206))-(FIND("D",B1206)+1)),"P",",")),
IF(ISNUMBER(FIND("CFW5",B1206)),
VALUE(MID(B1206,
IF(ISNUMBER(FIND("F",B1206)),FIND("F",B1206)+1,FIND("G",B1206)+1),
FIND("T",B1206)-(IF(ISNUMBER(FIND("F",B1206)),FIND("F",B1206)+1,FIND("G",B1206)+1))
)),
VALUE(MID(B1206,FIND("E0",B1206)+2,FIND("T",B1206,FIND("E0",B1206))-(FIND("E0",B1206)+2)))
))),"")</f>
        <v>12</v>
      </c>
      <c r="G1206">
        <f>IFERROR(
IF(ISNUMBER(FIND("T2",B1206)),220,
IF(ISNUMBER(FIND("T4",B1206)),440,
IF(ISNUMBER(FIND("T5",B1206)),575,
IF(ISNUMBER(FIND("T6",B1206)),690,"")))),
"")</f>
        <v>690</v>
      </c>
    </row>
    <row r="1207" spans="1:7" x14ac:dyDescent="0.25">
      <c r="A1207">
        <v>18414898</v>
      </c>
      <c r="B1207" t="str">
        <f>VLOOKUP(A1207,Planilha2!B:C,2,0)</f>
        <v>INVERSOR CFW900D17P0T6NB20Y2</v>
      </c>
      <c r="C1207" t="s">
        <v>1</v>
      </c>
      <c r="D1207" t="str">
        <f>VLOOKUP(A1207,Planilha2!B:H,7,0)</f>
        <v>PROD. EM LPS/LP</v>
      </c>
      <c r="E1207" s="5">
        <v>33500</v>
      </c>
      <c r="F1207">
        <f>IFERROR(
IF(ISNUMBER(FIND("CFW110",B1207)),
VALUE(MID(B1207,FIND("CFW110",B1207)+6,FIND("T",B1207,FIND("CFW110",B1207))-(FIND("CFW110",B1207)+6))),
IF(ISNUMBER(FIND("D",B1207)),
VALUE(SUBSTITUTE(MID(B1207,FIND("D",B1207)+1,FIND("T",B1207,FIND("D",B1207))-(FIND("D",B1207)+1)),"P",",")),
IF(ISNUMBER(FIND("CFW5",B1207)),
VALUE(MID(B1207,
IF(ISNUMBER(FIND("F",B1207)),FIND("F",B1207)+1,FIND("G",B1207)+1),
FIND("T",B1207)-(IF(ISNUMBER(FIND("F",B1207)),FIND("F",B1207)+1,FIND("G",B1207)+1))
)),
VALUE(MID(B1207,FIND("E0",B1207)+2,FIND("T",B1207,FIND("E0",B1207))-(FIND("E0",B1207)+2)))
))),"")</f>
        <v>17</v>
      </c>
      <c r="G1207">
        <f>IFERROR(
IF(ISNUMBER(FIND("T2",B1207)),220,
IF(ISNUMBER(FIND("T4",B1207)),440,
IF(ISNUMBER(FIND("T5",B1207)),575,
IF(ISNUMBER(FIND("T6",B1207)),690,"")))),
"")</f>
        <v>690</v>
      </c>
    </row>
    <row r="1208" spans="1:7" x14ac:dyDescent="0.25">
      <c r="A1208">
        <v>18414901</v>
      </c>
      <c r="B1208" t="str">
        <f>VLOOKUP(A1208,Planilha2!B:C,2,0)</f>
        <v>INVERSOR CFW900D22P0T6NB20Y2</v>
      </c>
      <c r="C1208" t="s">
        <v>1</v>
      </c>
      <c r="D1208" t="str">
        <f>VLOOKUP(A1208,Planilha2!B:H,7,0)</f>
        <v>PROD. EM LPS/LP</v>
      </c>
      <c r="E1208" s="5">
        <v>33500</v>
      </c>
      <c r="F1208">
        <f>IFERROR(
IF(ISNUMBER(FIND("CFW110",B1208)),
VALUE(MID(B1208,FIND("CFW110",B1208)+6,FIND("T",B1208,FIND("CFW110",B1208))-(FIND("CFW110",B1208)+6))),
IF(ISNUMBER(FIND("D",B1208)),
VALUE(SUBSTITUTE(MID(B1208,FIND("D",B1208)+1,FIND("T",B1208,FIND("D",B1208))-(FIND("D",B1208)+1)),"P",",")),
IF(ISNUMBER(FIND("CFW5",B1208)),
VALUE(MID(B1208,
IF(ISNUMBER(FIND("F",B1208)),FIND("F",B1208)+1,FIND("G",B1208)+1),
FIND("T",B1208)-(IF(ISNUMBER(FIND("F",B1208)),FIND("F",B1208)+1,FIND("G",B1208)+1))
)),
VALUE(MID(B1208,FIND("E0",B1208)+2,FIND("T",B1208,FIND("E0",B1208))-(FIND("E0",B1208)+2)))
))),"")</f>
        <v>22</v>
      </c>
      <c r="G1208">
        <f>IFERROR(
IF(ISNUMBER(FIND("T2",B1208)),220,
IF(ISNUMBER(FIND("T4",B1208)),440,
IF(ISNUMBER(FIND("T5",B1208)),575,
IF(ISNUMBER(FIND("T6",B1208)),690,"")))),
"")</f>
        <v>690</v>
      </c>
    </row>
    <row r="1209" spans="1:7" x14ac:dyDescent="0.25">
      <c r="A1209">
        <v>18414903</v>
      </c>
      <c r="B1209" t="str">
        <f>VLOOKUP(A1209,Planilha2!B:C,2,0)</f>
        <v>INVERSOR CFW900D27P0T6NB20Y2</v>
      </c>
      <c r="C1209" t="s">
        <v>1</v>
      </c>
      <c r="D1209" t="str">
        <f>VLOOKUP(A1209,Planilha2!B:H,7,0)</f>
        <v>PROD. EM LPS/LP</v>
      </c>
      <c r="E1209" s="5">
        <v>33500</v>
      </c>
      <c r="F1209">
        <f>IFERROR(
IF(ISNUMBER(FIND("CFW110",B1209)),
VALUE(MID(B1209,FIND("CFW110",B1209)+6,FIND("T",B1209,FIND("CFW110",B1209))-(FIND("CFW110",B1209)+6))),
IF(ISNUMBER(FIND("D",B1209)),
VALUE(SUBSTITUTE(MID(B1209,FIND("D",B1209)+1,FIND("T",B1209,FIND("D",B1209))-(FIND("D",B1209)+1)),"P",",")),
IF(ISNUMBER(FIND("CFW5",B1209)),
VALUE(MID(B1209,
IF(ISNUMBER(FIND("F",B1209)),FIND("F",B1209)+1,FIND("G",B1209)+1),
FIND("T",B1209)-(IF(ISNUMBER(FIND("F",B1209)),FIND("F",B1209)+1,FIND("G",B1209)+1))
)),
VALUE(MID(B1209,FIND("E0",B1209)+2,FIND("T",B1209,FIND("E0",B1209))-(FIND("E0",B1209)+2)))
))),"")</f>
        <v>27</v>
      </c>
      <c r="G1209">
        <f>IFERROR(
IF(ISNUMBER(FIND("T2",B1209)),220,
IF(ISNUMBER(FIND("T4",B1209)),440,
IF(ISNUMBER(FIND("T5",B1209)),575,
IF(ISNUMBER(FIND("T6",B1209)),690,"")))),
"")</f>
        <v>690</v>
      </c>
    </row>
    <row r="1210" spans="1:7" x14ac:dyDescent="0.25">
      <c r="A1210">
        <v>18414904</v>
      </c>
      <c r="B1210" t="str">
        <f>VLOOKUP(A1210,Planilha2!B:C,2,0)</f>
        <v>INVERSOR CFW900D32P0T6NB20Y2</v>
      </c>
      <c r="C1210" t="s">
        <v>1</v>
      </c>
      <c r="D1210" t="str">
        <f>VLOOKUP(A1210,Planilha2!B:H,7,0)</f>
        <v>PROD. EM LPS/LP</v>
      </c>
      <c r="E1210" s="5">
        <v>33500</v>
      </c>
      <c r="F1210">
        <f>IFERROR(
IF(ISNUMBER(FIND("CFW110",B1210)),
VALUE(MID(B1210,FIND("CFW110",B1210)+6,FIND("T",B1210,FIND("CFW110",B1210))-(FIND("CFW110",B1210)+6))),
IF(ISNUMBER(FIND("D",B1210)),
VALUE(SUBSTITUTE(MID(B1210,FIND("D",B1210)+1,FIND("T",B1210,FIND("D",B1210))-(FIND("D",B1210)+1)),"P",",")),
IF(ISNUMBER(FIND("CFW5",B1210)),
VALUE(MID(B1210,
IF(ISNUMBER(FIND("F",B1210)),FIND("F",B1210)+1,FIND("G",B1210)+1),
FIND("T",B1210)-(IF(ISNUMBER(FIND("F",B1210)),FIND("F",B1210)+1,FIND("G",B1210)+1))
)),
VALUE(MID(B1210,FIND("E0",B1210)+2,FIND("T",B1210,FIND("E0",B1210))-(FIND("E0",B1210)+2)))
))),"")</f>
        <v>32</v>
      </c>
      <c r="G1210">
        <f>IFERROR(
IF(ISNUMBER(FIND("T2",B1210)),220,
IF(ISNUMBER(FIND("T4",B1210)),440,
IF(ISNUMBER(FIND("T5",B1210)),575,
IF(ISNUMBER(FIND("T6",B1210)),690,"")))),
"")</f>
        <v>690</v>
      </c>
    </row>
    <row r="1211" spans="1:7" x14ac:dyDescent="0.25">
      <c r="A1211">
        <v>18414906</v>
      </c>
      <c r="B1211" t="str">
        <f>VLOOKUP(A1211,Planilha2!B:C,2,0)</f>
        <v>INVERSOR CFW900D44P0T6NB20Y2</v>
      </c>
      <c r="C1211" t="s">
        <v>1</v>
      </c>
      <c r="D1211" t="str">
        <f>VLOOKUP(A1211,Planilha2!B:H,7,0)</f>
        <v>PROD. EM LPS/LP</v>
      </c>
      <c r="E1211" s="5">
        <v>33500</v>
      </c>
      <c r="F1211">
        <f>IFERROR(
IF(ISNUMBER(FIND("CFW110",B1211)),
VALUE(MID(B1211,FIND("CFW110",B1211)+6,FIND("T",B1211,FIND("CFW110",B1211))-(FIND("CFW110",B1211)+6))),
IF(ISNUMBER(FIND("D",B1211)),
VALUE(SUBSTITUTE(MID(B1211,FIND("D",B1211)+1,FIND("T",B1211,FIND("D",B1211))-(FIND("D",B1211)+1)),"P",",")),
IF(ISNUMBER(FIND("CFW5",B1211)),
VALUE(MID(B1211,
IF(ISNUMBER(FIND("F",B1211)),FIND("F",B1211)+1,FIND("G",B1211)+1),
FIND("T",B1211)-(IF(ISNUMBER(FIND("F",B1211)),FIND("F",B1211)+1,FIND("G",B1211)+1))
)),
VALUE(MID(B1211,FIND("E0",B1211)+2,FIND("T",B1211,FIND("E0",B1211))-(FIND("E0",B1211)+2)))
))),"")</f>
        <v>44</v>
      </c>
      <c r="G1211">
        <f>IFERROR(
IF(ISNUMBER(FIND("T2",B1211)),220,
IF(ISNUMBER(FIND("T4",B1211)),440,
IF(ISNUMBER(FIND("T5",B1211)),575,
IF(ISNUMBER(FIND("T6",B1211)),690,"")))),
"")</f>
        <v>690</v>
      </c>
    </row>
    <row r="1212" spans="1:7" x14ac:dyDescent="0.25">
      <c r="A1212">
        <v>18414907</v>
      </c>
      <c r="B1212" t="str">
        <f>VLOOKUP(A1212,Planilha2!B:C,2,0)</f>
        <v>INVERSOR CFW900D54P0T6NB20Y2</v>
      </c>
      <c r="C1212" t="s">
        <v>1</v>
      </c>
      <c r="D1212" t="str">
        <f>VLOOKUP(A1212,Planilha2!B:H,7,0)</f>
        <v>PROD. EM LPS/LP</v>
      </c>
      <c r="E1212" s="5">
        <v>33500</v>
      </c>
      <c r="F1212">
        <f>IFERROR(
IF(ISNUMBER(FIND("CFW110",B1212)),
VALUE(MID(B1212,FIND("CFW110",B1212)+6,FIND("T",B1212,FIND("CFW110",B1212))-(FIND("CFW110",B1212)+6))),
IF(ISNUMBER(FIND("D",B1212)),
VALUE(SUBSTITUTE(MID(B1212,FIND("D",B1212)+1,FIND("T",B1212,FIND("D",B1212))-(FIND("D",B1212)+1)),"P",",")),
IF(ISNUMBER(FIND("CFW5",B1212)),
VALUE(MID(B1212,
IF(ISNUMBER(FIND("F",B1212)),FIND("F",B1212)+1,FIND("G",B1212)+1),
FIND("T",B1212)-(IF(ISNUMBER(FIND("F",B1212)),FIND("F",B1212)+1,FIND("G",B1212)+1))
)),
VALUE(MID(B1212,FIND("E0",B1212)+2,FIND("T",B1212,FIND("E0",B1212))-(FIND("E0",B1212)+2)))
))),"")</f>
        <v>54</v>
      </c>
      <c r="G1212">
        <f>IFERROR(
IF(ISNUMBER(FIND("T2",B1212)),220,
IF(ISNUMBER(FIND("T4",B1212)),440,
IF(ISNUMBER(FIND("T5",B1212)),575,
IF(ISNUMBER(FIND("T6",B1212)),690,"")))),
"")</f>
        <v>690</v>
      </c>
    </row>
    <row r="1213" spans="1:7" x14ac:dyDescent="0.25">
      <c r="A1213">
        <v>18415028</v>
      </c>
      <c r="B1213" t="str">
        <f>VLOOKUP(A1213,Planilha2!B:C,2,0)</f>
        <v>INVERSOR CFW900D64P0T6NB20Y2</v>
      </c>
      <c r="C1213" t="s">
        <v>1</v>
      </c>
      <c r="D1213" t="str">
        <f>VLOOKUP(A1213,Planilha2!B:H,7,0)</f>
        <v>PROD. EM LPS/LP</v>
      </c>
      <c r="E1213" s="5">
        <v>33500</v>
      </c>
      <c r="F1213">
        <f>IFERROR(
IF(ISNUMBER(FIND("CFW110",B1213)),
VALUE(MID(B1213,FIND("CFW110",B1213)+6,FIND("T",B1213,FIND("CFW110",B1213))-(FIND("CFW110",B1213)+6))),
IF(ISNUMBER(FIND("D",B1213)),
VALUE(SUBSTITUTE(MID(B1213,FIND("D",B1213)+1,FIND("T",B1213,FIND("D",B1213))-(FIND("D",B1213)+1)),"P",",")),
IF(ISNUMBER(FIND("CFW5",B1213)),
VALUE(MID(B1213,
IF(ISNUMBER(FIND("F",B1213)),FIND("F",B1213)+1,FIND("G",B1213)+1),
FIND("T",B1213)-(IF(ISNUMBER(FIND("F",B1213)),FIND("F",B1213)+1,FIND("G",B1213)+1))
)),
VALUE(MID(B1213,FIND("E0",B1213)+2,FIND("T",B1213,FIND("E0",B1213))-(FIND("E0",B1213)+2)))
))),"")</f>
        <v>64</v>
      </c>
      <c r="G1213">
        <f>IFERROR(
IF(ISNUMBER(FIND("T2",B1213)),220,
IF(ISNUMBER(FIND("T4",B1213)),440,
IF(ISNUMBER(FIND("T5",B1213)),575,
IF(ISNUMBER(FIND("T6",B1213)),690,"")))),
"")</f>
        <v>690</v>
      </c>
    </row>
    <row r="1214" spans="1:7" x14ac:dyDescent="0.25">
      <c r="A1214">
        <v>18415032</v>
      </c>
      <c r="B1214" t="str">
        <f>VLOOKUP(A1214,Planilha2!B:C,2,0)</f>
        <v>INVERSOR CFW900D80P0T6NB20Y2H1</v>
      </c>
      <c r="C1214" t="s">
        <v>1</v>
      </c>
      <c r="D1214" t="str">
        <f>VLOOKUP(A1214,Planilha2!B:H,7,0)</f>
        <v>PROD. EM LPS/LP</v>
      </c>
      <c r="E1214" s="5">
        <v>36000</v>
      </c>
      <c r="F1214">
        <f>IFERROR(
IF(ISNUMBER(FIND("CFW110",B1214)),
VALUE(MID(B1214,FIND("CFW110",B1214)+6,FIND("T",B1214,FIND("CFW110",B1214))-(FIND("CFW110",B1214)+6))),
IF(ISNUMBER(FIND("D",B1214)),
VALUE(SUBSTITUTE(MID(B1214,FIND("D",B1214)+1,FIND("T",B1214,FIND("D",B1214))-(FIND("D",B1214)+1)),"P",",")),
IF(ISNUMBER(FIND("CFW5",B1214)),
VALUE(MID(B1214,
IF(ISNUMBER(FIND("F",B1214)),FIND("F",B1214)+1,FIND("G",B1214)+1),
FIND("T",B1214)-(IF(ISNUMBER(FIND("F",B1214)),FIND("F",B1214)+1,FIND("G",B1214)+1))
)),
VALUE(MID(B1214,FIND("E0",B1214)+2,FIND("T",B1214,FIND("E0",B1214))-(FIND("E0",B1214)+2)))
))),"")</f>
        <v>80</v>
      </c>
      <c r="G1214">
        <f>IFERROR(
IF(ISNUMBER(FIND("T2",B1214)),220,
IF(ISNUMBER(FIND("T4",B1214)),440,
IF(ISNUMBER(FIND("T5",B1214)),575,
IF(ISNUMBER(FIND("T6",B1214)),690,"")))),
"")</f>
        <v>690</v>
      </c>
    </row>
    <row r="1215" spans="1:7" x14ac:dyDescent="0.25">
      <c r="A1215">
        <v>18415034</v>
      </c>
      <c r="B1215" t="str">
        <f>VLOOKUP(A1215,Planilha2!B:C,2,0)</f>
        <v>INVERSOR CFW900D99P0T6NB20Y2H1</v>
      </c>
      <c r="C1215" t="s">
        <v>1</v>
      </c>
      <c r="D1215" t="str">
        <f>VLOOKUP(A1215,Planilha2!B:H,7,0)</f>
        <v>PROD. EM LPS/LP</v>
      </c>
      <c r="E1215" s="5">
        <v>36000</v>
      </c>
      <c r="F1215">
        <f>IFERROR(
IF(ISNUMBER(FIND("CFW110",B1215)),
VALUE(MID(B1215,FIND("CFW110",B1215)+6,FIND("T",B1215,FIND("CFW110",B1215))-(FIND("CFW110",B1215)+6))),
IF(ISNUMBER(FIND("D",B1215)),
VALUE(SUBSTITUTE(MID(B1215,FIND("D",B1215)+1,FIND("T",B1215,FIND("D",B1215))-(FIND("D",B1215)+1)),"P",",")),
IF(ISNUMBER(FIND("CFW5",B1215)),
VALUE(MID(B1215,
IF(ISNUMBER(FIND("F",B1215)),FIND("F",B1215)+1,FIND("G",B1215)+1),
FIND("T",B1215)-(IF(ISNUMBER(FIND("F",B1215)),FIND("F",B1215)+1,FIND("G",B1215)+1))
)),
VALUE(MID(B1215,FIND("E0",B1215)+2,FIND("T",B1215,FIND("E0",B1215))-(FIND("E0",B1215)+2)))
))),"")</f>
        <v>99</v>
      </c>
      <c r="G1215">
        <f>IFERROR(
IF(ISNUMBER(FIND("T2",B1215)),220,
IF(ISNUMBER(FIND("T4",B1215)),440,
IF(ISNUMBER(FIND("T5",B1215)),575,
IF(ISNUMBER(FIND("T6",B1215)),690,"")))),
"")</f>
        <v>690</v>
      </c>
    </row>
    <row r="1216" spans="1:7" x14ac:dyDescent="0.25">
      <c r="A1216">
        <v>15488554</v>
      </c>
      <c r="B1216" t="str">
        <f>VLOOKUP(A1216,Planilha2!B:C,2,0)</f>
        <v>INVERSOR EUCFW110142T4OYWSUZ-UI</v>
      </c>
      <c r="C1216" t="s">
        <v>1</v>
      </c>
      <c r="D1216" t="str">
        <f>VLOOKUP(A1216,Planilha2!B:H,7,0)</f>
        <v>LINHA G1</v>
      </c>
      <c r="E1216" s="5">
        <v>64498</v>
      </c>
      <c r="F1216">
        <f>IFERROR(
IF(ISNUMBER(FIND("CFW110",B1216)),
VALUE(MID(B1216,FIND("CFW110",B1216)+6,FIND("T",B1216,FIND("CFW110",B1216))-(FIND("CFW110",B1216)+6))),
IF(ISNUMBER(FIND("D",B1216)),
VALUE(SUBSTITUTE(MID(B1216,FIND("D",B1216)+1,FIND("T",B1216,FIND("D",B1216))-(FIND("D",B1216)+1)),"P",",")),
IF(ISNUMBER(FIND("CFW5",B1216)),
VALUE(MID(B1216,
IF(ISNUMBER(FIND("F",B1216)),FIND("F",B1216)+1,FIND("G",B1216)+1),
FIND("T",B1216)-(IF(ISNUMBER(FIND("F",B1216)),FIND("F",B1216)+1,FIND("G",B1216)+1))
)),
VALUE(MID(B1216,FIND("E0",B1216)+2,FIND("T",B1216,FIND("E0",B1216))-(FIND("E0",B1216)+2)))
))),"")</f>
        <v>142</v>
      </c>
      <c r="G1216">
        <f>IFERROR(
IF(ISNUMBER(FIND("T2",B1216)),220,
IF(ISNUMBER(FIND("T4",B1216)),440,
IF(ISNUMBER(FIND("T5",B1216)),575,
IF(ISNUMBER(FIND("T6",B1216)),690,"")))),
"")</f>
        <v>440</v>
      </c>
    </row>
    <row r="1217" spans="1:7" x14ac:dyDescent="0.25">
      <c r="A1217">
        <v>15352478</v>
      </c>
      <c r="B1217" t="str">
        <f>VLOOKUP(A1217,Planilha2!B:C,2,0)</f>
        <v>INVERSOR MPW090060T3848G2H1Z</v>
      </c>
      <c r="C1217" t="s">
        <v>1</v>
      </c>
      <c r="D1217" t="str">
        <f>VLOOKUP(A1217,Planilha2!B:H,7,0)</f>
        <v>LINHA E1</v>
      </c>
      <c r="E1217" s="5">
        <v>23031</v>
      </c>
      <c r="F1217" t="str">
        <f>IFERROR(
IF(ISNUMBER(FIND("CFW110",B1217)),
VALUE(MID(B1217,FIND("CFW110",B1217)+6,FIND("T",B1217,FIND("CFW110",B1217))-(FIND("CFW110",B1217)+6))),
IF(ISNUMBER(FIND("D",B1217)),
VALUE(SUBSTITUTE(MID(B1217,FIND("D",B1217)+1,FIND("T",B1217,FIND("D",B1217))-(FIND("D",B1217)+1)),"P",",")),
IF(ISNUMBER(FIND("CFW5",B1217)),
VALUE(MID(B1217,
IF(ISNUMBER(FIND("F",B1217)),FIND("F",B1217)+1,FIND("G",B1217)+1),
FIND("T",B1217)-(IF(ISNUMBER(FIND("F",B1217)),FIND("F",B1217)+1,FIND("G",B1217)+1))
)),
VALUE(MID(B1217,FIND("E0",B1217)+2,FIND("T",B1217,FIND("E0",B1217))-(FIND("E0",B1217)+2)))
))),"")</f>
        <v/>
      </c>
      <c r="G1217" t="str">
        <f>IFERROR(
IF(ISNUMBER(FIND("T2",B1217)),220,
IF(ISNUMBER(FIND("T4",B1217)),440,
IF(ISNUMBER(FIND("T5",B1217)),575,
IF(ISNUMBER(FIND("T6",B1217)),690,"")))),
"")</f>
        <v/>
      </c>
    </row>
    <row r="1218" spans="1:7" x14ac:dyDescent="0.25">
      <c r="A1218">
        <v>15352601</v>
      </c>
      <c r="B1218" t="str">
        <f>VLOOKUP(A1218,Planilha2!B:C,2,0)</f>
        <v>INVERSOR MPW090086T3848G2H1Z</v>
      </c>
      <c r="C1218" t="s">
        <v>1</v>
      </c>
      <c r="D1218" t="str">
        <f>VLOOKUP(A1218,Planilha2!B:H,7,0)</f>
        <v>PROD. EM LPS/LP</v>
      </c>
      <c r="E1218" s="5">
        <v>42500</v>
      </c>
      <c r="F1218" t="str">
        <f>IFERROR(
IF(ISNUMBER(FIND("CFW110",B1218)),
VALUE(MID(B1218,FIND("CFW110",B1218)+6,FIND("T",B1218,FIND("CFW110",B1218))-(FIND("CFW110",B1218)+6))),
IF(ISNUMBER(FIND("D",B1218)),
VALUE(SUBSTITUTE(MID(B1218,FIND("D",B1218)+1,FIND("T",B1218,FIND("D",B1218))-(FIND("D",B1218)+1)),"P",",")),
IF(ISNUMBER(FIND("CFW5",B1218)),
VALUE(MID(B1218,
IF(ISNUMBER(FIND("F",B1218)),FIND("F",B1218)+1,FIND("G",B1218)+1),
FIND("T",B1218)-(IF(ISNUMBER(FIND("F",B1218)),FIND("F",B1218)+1,FIND("G",B1218)+1))
)),
VALUE(MID(B1218,FIND("E0",B1218)+2,FIND("T",B1218,FIND("E0",B1218))-(FIND("E0",B1218)+2)))
))),"")</f>
        <v/>
      </c>
      <c r="G1218" t="str">
        <f>IFERROR(
IF(ISNUMBER(FIND("T2",B1218)),220,
IF(ISNUMBER(FIND("T4",B1218)),440,
IF(ISNUMBER(FIND("T5",B1218)),575,
IF(ISNUMBER(FIND("T6",B1218)),690,"")))),
"")</f>
        <v/>
      </c>
    </row>
    <row r="1219" spans="1:7" x14ac:dyDescent="0.25">
      <c r="A1219">
        <v>15352603</v>
      </c>
      <c r="B1219" t="str">
        <f>VLOOKUP(A1219,Planilha2!B:C,2,0)</f>
        <v>INVERSOR MPW090045T3848G2H1Z</v>
      </c>
      <c r="C1219" t="s">
        <v>1</v>
      </c>
      <c r="D1219" t="str">
        <f>VLOOKUP(A1219,Planilha2!B:H,7,0)</f>
        <v>LINHA M1</v>
      </c>
      <c r="E1219" s="5">
        <v>18500</v>
      </c>
      <c r="F1219" t="str">
        <f>IFERROR(
IF(ISNUMBER(FIND("CFW110",B1219)),
VALUE(MID(B1219,FIND("CFW110",B1219)+6,FIND("T",B1219,FIND("CFW110",B1219))-(FIND("CFW110",B1219)+6))),
IF(ISNUMBER(FIND("D",B1219)),
VALUE(SUBSTITUTE(MID(B1219,FIND("D",B1219)+1,FIND("T",B1219,FIND("D",B1219))-(FIND("D",B1219)+1)),"P",",")),
IF(ISNUMBER(FIND("CFW5",B1219)),
VALUE(MID(B1219,
IF(ISNUMBER(FIND("F",B1219)),FIND("F",B1219)+1,FIND("G",B1219)+1),
FIND("T",B1219)-(IF(ISNUMBER(FIND("F",B1219)),FIND("F",B1219)+1,FIND("G",B1219)+1))
)),
VALUE(MID(B1219,FIND("E0",B1219)+2,FIND("T",B1219,FIND("E0",B1219))-(FIND("E0",B1219)+2)))
))),"")</f>
        <v/>
      </c>
      <c r="G1219" t="str">
        <f>IFERROR(
IF(ISNUMBER(FIND("T2",B1219)),220,
IF(ISNUMBER(FIND("T4",B1219)),440,
IF(ISNUMBER(FIND("T5",B1219)),575,
IF(ISNUMBER(FIND("T6",B1219)),690,"")))),
"")</f>
        <v/>
      </c>
    </row>
    <row r="1220" spans="1:7" x14ac:dyDescent="0.25">
      <c r="A1220">
        <v>15180563</v>
      </c>
      <c r="B1220" t="str">
        <f>VLOOKUP(A1220,Planilha2!B:C,2,0)</f>
        <v>INVERSOR CFW500G0211T4NB20C3H00G2</v>
      </c>
      <c r="C1220" t="s">
        <v>1</v>
      </c>
      <c r="D1220" t="str">
        <f>VLOOKUP(A1220,Planilha2!B:H,7,0)</f>
        <v>LINHA G1</v>
      </c>
      <c r="E1220" s="5">
        <v>45000</v>
      </c>
      <c r="F1220" t="str">
        <f>IFERROR(
IF(ISNUMBER(FIND("CFW110",B1220)),
VALUE(MID(B1220,FIND("CFW110",B1220)+6,FIND("T",B1220,FIND("CFW110",B1220))-(FIND("CFW110",B1220)+6))),
IF(ISNUMBER(FIND("D",B1220)),
VALUE(SUBSTITUTE(MID(B1220,FIND("D",B1220)+1,FIND("T",B1220,FIND("D",B1220))-(FIND("D",B1220)+1)),"P",",")),
IF(ISNUMBER(FIND("CFW5",B1220)),
VALUE(MID(B1220,
IF(ISNUMBER(FIND("F",B1220)),FIND("F",B1220)+1,FIND("G",B1220)+1),
FIND("T",B1220)-(IF(ISNUMBER(FIND("F",B1220)),FIND("F",B1220)+1,FIND("G",B1220)+1))
)),
VALUE(MID(B1220,FIND("E0",B1220)+2,FIND("T",B1220,FIND("E0",B1220))-(FIND("E0",B1220)+2)))
))),"")</f>
        <v/>
      </c>
      <c r="G1220">
        <f>IFERROR(
IF(ISNUMBER(FIND("T2",B1220)),220,
IF(ISNUMBER(FIND("T4",B1220)),440,
IF(ISNUMBER(FIND("T5",B1220)),575,
IF(ISNUMBER(FIND("T6",B1220)),690,"")))),
"")</f>
        <v>440</v>
      </c>
    </row>
    <row r="1221" spans="1:7" x14ac:dyDescent="0.25">
      <c r="A1221">
        <v>15180489</v>
      </c>
      <c r="B1221" t="str">
        <f>VLOOKUP(A1221,Planilha2!B:C,2,0)</f>
        <v>INVERSOR CFW500G0211T4NB20C3G2</v>
      </c>
      <c r="C1221" t="s">
        <v>1</v>
      </c>
      <c r="D1221" t="str">
        <f>VLOOKUP(A1221,Planilha2!B:H,7,0)</f>
        <v>LINHA G1</v>
      </c>
      <c r="E1221" s="5">
        <v>45000</v>
      </c>
      <c r="F1221" t="str">
        <f>IFERROR(
IF(ISNUMBER(FIND("CFW110",B1221)),
VALUE(MID(B1221,FIND("CFW110",B1221)+6,FIND("T",B1221,FIND("CFW110",B1221))-(FIND("CFW110",B1221)+6))),
IF(ISNUMBER(FIND("D",B1221)),
VALUE(SUBSTITUTE(MID(B1221,FIND("D",B1221)+1,FIND("T",B1221,FIND("D",B1221))-(FIND("D",B1221)+1)),"P",",")),
IF(ISNUMBER(FIND("CFW5",B1221)),
VALUE(MID(B1221,
IF(ISNUMBER(FIND("F",B1221)),FIND("F",B1221)+1,FIND("G",B1221)+1),
FIND("T",B1221)-(IF(ISNUMBER(FIND("F",B1221)),FIND("F",B1221)+1,FIND("G",B1221)+1))
)),
VALUE(MID(B1221,FIND("E0",B1221)+2,FIND("T",B1221,FIND("E0",B1221))-(FIND("E0",B1221)+2)))
))),"")</f>
        <v/>
      </c>
      <c r="G1221">
        <f>IFERROR(
IF(ISNUMBER(FIND("T2",B1221)),220,
IF(ISNUMBER(FIND("T4",B1221)),440,
IF(ISNUMBER(FIND("T5",B1221)),575,
IF(ISNUMBER(FIND("T6",B1221)),690,"")))),
"")</f>
        <v>440</v>
      </c>
    </row>
    <row r="1222" spans="1:7" x14ac:dyDescent="0.25">
      <c r="A1222">
        <v>15180490</v>
      </c>
      <c r="B1222" t="str">
        <f>VLOOKUP(A1222,Planilha2!B:C,2,0)</f>
        <v>INVERSOR CFW500G0142T4NB20C3H00G2</v>
      </c>
      <c r="C1222" t="s">
        <v>1</v>
      </c>
      <c r="D1222" t="str">
        <f>VLOOKUP(A1222,Planilha2!B:H,7,0)</f>
        <v>LINHA G1</v>
      </c>
      <c r="E1222" s="5">
        <v>45000</v>
      </c>
      <c r="F1222" t="str">
        <f>IFERROR(
IF(ISNUMBER(FIND("CFW110",B1222)),
VALUE(MID(B1222,FIND("CFW110",B1222)+6,FIND("T",B1222,FIND("CFW110",B1222))-(FIND("CFW110",B1222)+6))),
IF(ISNUMBER(FIND("D",B1222)),
VALUE(SUBSTITUTE(MID(B1222,FIND("D",B1222)+1,FIND("T",B1222,FIND("D",B1222))-(FIND("D",B1222)+1)),"P",",")),
IF(ISNUMBER(FIND("CFW5",B1222)),
VALUE(MID(B1222,
IF(ISNUMBER(FIND("F",B1222)),FIND("F",B1222)+1,FIND("G",B1222)+1),
FIND("T",B1222)-(IF(ISNUMBER(FIND("F",B1222)),FIND("F",B1222)+1,FIND("G",B1222)+1))
)),
VALUE(MID(B1222,FIND("E0",B1222)+2,FIND("T",B1222,FIND("E0",B1222))-(FIND("E0",B1222)+2)))
))),"")</f>
        <v/>
      </c>
      <c r="G1222">
        <f>IFERROR(
IF(ISNUMBER(FIND("T2",B1222)),220,
IF(ISNUMBER(FIND("T4",B1222)),440,
IF(ISNUMBER(FIND("T5",B1222)),575,
IF(ISNUMBER(FIND("T6",B1222)),690,"")))),
"")</f>
        <v>440</v>
      </c>
    </row>
    <row r="1223" spans="1:7" x14ac:dyDescent="0.25">
      <c r="A1223">
        <v>15180561</v>
      </c>
      <c r="B1223" t="str">
        <f>VLOOKUP(A1223,Planilha2!B:C,2,0)</f>
        <v>INVERSOR CFW500G0180T4NB20C3H00G2</v>
      </c>
      <c r="C1223" t="s">
        <v>1</v>
      </c>
      <c r="D1223" t="str">
        <f>VLOOKUP(A1223,Planilha2!B:H,7,0)</f>
        <v>LINHA G1</v>
      </c>
      <c r="E1223" s="5">
        <v>45000</v>
      </c>
      <c r="F1223" t="str">
        <f>IFERROR(
IF(ISNUMBER(FIND("CFW110",B1223)),
VALUE(MID(B1223,FIND("CFW110",B1223)+6,FIND("T",B1223,FIND("CFW110",B1223))-(FIND("CFW110",B1223)+6))),
IF(ISNUMBER(FIND("D",B1223)),
VALUE(SUBSTITUTE(MID(B1223,FIND("D",B1223)+1,FIND("T",B1223,FIND("D",B1223))-(FIND("D",B1223)+1)),"P",",")),
IF(ISNUMBER(FIND("CFW5",B1223)),
VALUE(MID(B1223,
IF(ISNUMBER(FIND("F",B1223)),FIND("F",B1223)+1,FIND("G",B1223)+1),
FIND("T",B1223)-(IF(ISNUMBER(FIND("F",B1223)),FIND("F",B1223)+1,FIND("G",B1223)+1))
)),
VALUE(MID(B1223,FIND("E0",B1223)+2,FIND("T",B1223,FIND("E0",B1223))-(FIND("E0",B1223)+2)))
))),"")</f>
        <v/>
      </c>
      <c r="G1223">
        <f>IFERROR(
IF(ISNUMBER(FIND("T2",B1223)),220,
IF(ISNUMBER(FIND("T4",B1223)),440,
IF(ISNUMBER(FIND("T5",B1223)),575,
IF(ISNUMBER(FIND("T6",B1223)),690,"")))),
"")</f>
        <v>440</v>
      </c>
    </row>
    <row r="1224" spans="1:7" x14ac:dyDescent="0.25">
      <c r="A1224">
        <v>15180488</v>
      </c>
      <c r="B1224" t="str">
        <f>VLOOKUP(A1224,Planilha2!B:C,2,0)</f>
        <v>INVERSOR CFW500G0180T4NB20C3G2</v>
      </c>
      <c r="C1224" t="s">
        <v>1</v>
      </c>
      <c r="D1224" t="str">
        <f>VLOOKUP(A1224,Planilha2!B:H,7,0)</f>
        <v>LINHA G1</v>
      </c>
      <c r="E1224" s="5">
        <v>45000</v>
      </c>
      <c r="F1224" t="str">
        <f>IFERROR(
IF(ISNUMBER(FIND("CFW110",B1224)),
VALUE(MID(B1224,FIND("CFW110",B1224)+6,FIND("T",B1224,FIND("CFW110",B1224))-(FIND("CFW110",B1224)+6))),
IF(ISNUMBER(FIND("D",B1224)),
VALUE(SUBSTITUTE(MID(B1224,FIND("D",B1224)+1,FIND("T",B1224,FIND("D",B1224))-(FIND("D",B1224)+1)),"P",",")),
IF(ISNUMBER(FIND("CFW5",B1224)),
VALUE(MID(B1224,
IF(ISNUMBER(FIND("F",B1224)),FIND("F",B1224)+1,FIND("G",B1224)+1),
FIND("T",B1224)-(IF(ISNUMBER(FIND("F",B1224)),FIND("F",B1224)+1,FIND("G",B1224)+1))
)),
VALUE(MID(B1224,FIND("E0",B1224)+2,FIND("T",B1224,FIND("E0",B1224))-(FIND("E0",B1224)+2)))
))),"")</f>
        <v/>
      </c>
      <c r="G1224">
        <f>IFERROR(
IF(ISNUMBER(FIND("T2",B1224)),220,
IF(ISNUMBER(FIND("T4",B1224)),440,
IF(ISNUMBER(FIND("T5",B1224)),575,
IF(ISNUMBER(FIND("T6",B1224)),690,"")))),
"")</f>
        <v>440</v>
      </c>
    </row>
    <row r="1225" spans="1:7" x14ac:dyDescent="0.25">
      <c r="A1225">
        <v>15180356</v>
      </c>
      <c r="B1225" t="str">
        <f>VLOOKUP(A1225,Planilha2!B:C,2,0)</f>
        <v>INVERSOR CFW500G0142T4NB20C3G2</v>
      </c>
      <c r="C1225" t="s">
        <v>1</v>
      </c>
      <c r="D1225" t="str">
        <f>VLOOKUP(A1225,Planilha2!B:H,7,0)</f>
        <v>LINHA G1</v>
      </c>
      <c r="E1225" s="5">
        <v>45000</v>
      </c>
      <c r="F1225" t="str">
        <f>IFERROR(
IF(ISNUMBER(FIND("CFW110",B1225)),
VALUE(MID(B1225,FIND("CFW110",B1225)+6,FIND("T",B1225,FIND("CFW110",B1225))-(FIND("CFW110",B1225)+6))),
IF(ISNUMBER(FIND("D",B1225)),
VALUE(SUBSTITUTE(MID(B1225,FIND("D",B1225)+1,FIND("T",B1225,FIND("D",B1225))-(FIND("D",B1225)+1)),"P",",")),
IF(ISNUMBER(FIND("CFW5",B1225)),
VALUE(MID(B1225,
IF(ISNUMBER(FIND("F",B1225)),FIND("F",B1225)+1,FIND("G",B1225)+1),
FIND("T",B1225)-(IF(ISNUMBER(FIND("F",B1225)),FIND("F",B1225)+1,FIND("G",B1225)+1))
)),
VALUE(MID(B1225,FIND("E0",B1225)+2,FIND("T",B1225,FIND("E0",B1225))-(FIND("E0",B1225)+2)))
))),"")</f>
        <v/>
      </c>
      <c r="G1225">
        <f>IFERROR(
IF(ISNUMBER(FIND("T2",B1225)),220,
IF(ISNUMBER(FIND("T4",B1225)),440,
IF(ISNUMBER(FIND("T5",B1225)),575,
IF(ISNUMBER(FIND("T6",B1225)),690,"")))),
"")</f>
        <v>440</v>
      </c>
    </row>
    <row r="1226" spans="1:7" x14ac:dyDescent="0.25">
      <c r="A1226">
        <v>15180354</v>
      </c>
      <c r="B1226" t="str">
        <f>VLOOKUP(A1226,Planilha2!B:C,2,0)</f>
        <v>INVERSOR CFW500G0211T4DB20C3H00G2</v>
      </c>
      <c r="C1226" t="s">
        <v>1</v>
      </c>
      <c r="D1226" t="str">
        <f>VLOOKUP(A1226,Planilha2!B:H,7,0)</f>
        <v>LINHA G1</v>
      </c>
      <c r="E1226" s="5">
        <v>45000</v>
      </c>
      <c r="F1226" t="str">
        <f>IFERROR(
IF(ISNUMBER(FIND("CFW110",B1226)),
VALUE(MID(B1226,FIND("CFW110",B1226)+6,FIND("T",B1226,FIND("CFW110",B1226))-(FIND("CFW110",B1226)+6))),
IF(ISNUMBER(FIND("D",B1226)),
VALUE(SUBSTITUTE(MID(B1226,FIND("D",B1226)+1,FIND("T",B1226,FIND("D",B1226))-(FIND("D",B1226)+1)),"P",",")),
IF(ISNUMBER(FIND("CFW5",B1226)),
VALUE(MID(B1226,
IF(ISNUMBER(FIND("F",B1226)),FIND("F",B1226)+1,FIND("G",B1226)+1),
FIND("T",B1226)-(IF(ISNUMBER(FIND("F",B1226)),FIND("F",B1226)+1,FIND("G",B1226)+1))
)),
VALUE(MID(B1226,FIND("E0",B1226)+2,FIND("T",B1226,FIND("E0",B1226))-(FIND("E0",B1226)+2)))
))),"")</f>
        <v/>
      </c>
      <c r="G1226">
        <f>IFERROR(
IF(ISNUMBER(FIND("T2",B1226)),220,
IF(ISNUMBER(FIND("T4",B1226)),440,
IF(ISNUMBER(FIND("T5",B1226)),575,
IF(ISNUMBER(FIND("T6",B1226)),690,"")))),
"")</f>
        <v>440</v>
      </c>
    </row>
    <row r="1227" spans="1:7" x14ac:dyDescent="0.25">
      <c r="A1227">
        <v>15180351</v>
      </c>
      <c r="B1227" t="str">
        <f>VLOOKUP(A1227,Planilha2!B:C,2,0)</f>
        <v>INVERSOR CFW500G0211T4DB20C3G2</v>
      </c>
      <c r="C1227" t="s">
        <v>1</v>
      </c>
      <c r="D1227" t="str">
        <f>VLOOKUP(A1227,Planilha2!B:H,7,0)</f>
        <v>LINHA G1</v>
      </c>
      <c r="E1227" s="5">
        <v>45000</v>
      </c>
      <c r="F1227" t="str">
        <f>IFERROR(
IF(ISNUMBER(FIND("CFW110",B1227)),
VALUE(MID(B1227,FIND("CFW110",B1227)+6,FIND("T",B1227,FIND("CFW110",B1227))-(FIND("CFW110",B1227)+6))),
IF(ISNUMBER(FIND("D",B1227)),
VALUE(SUBSTITUTE(MID(B1227,FIND("D",B1227)+1,FIND("T",B1227,FIND("D",B1227))-(FIND("D",B1227)+1)),"P",",")),
IF(ISNUMBER(FIND("CFW5",B1227)),
VALUE(MID(B1227,
IF(ISNUMBER(FIND("F",B1227)),FIND("F",B1227)+1,FIND("G",B1227)+1),
FIND("T",B1227)-(IF(ISNUMBER(FIND("F",B1227)),FIND("F",B1227)+1,FIND("G",B1227)+1))
)),
VALUE(MID(B1227,FIND("E0",B1227)+2,FIND("T",B1227,FIND("E0",B1227))-(FIND("E0",B1227)+2)))
))),"")</f>
        <v/>
      </c>
      <c r="G1227">
        <f>IFERROR(
IF(ISNUMBER(FIND("T2",B1227)),220,
IF(ISNUMBER(FIND("T4",B1227)),440,
IF(ISNUMBER(FIND("T5",B1227)),575,
IF(ISNUMBER(FIND("T6",B1227)),690,"")))),
"")</f>
        <v>440</v>
      </c>
    </row>
    <row r="1228" spans="1:7" x14ac:dyDescent="0.25">
      <c r="A1228">
        <v>15180353</v>
      </c>
      <c r="B1228" t="str">
        <f>VLOOKUP(A1228,Planilha2!B:C,2,0)</f>
        <v>INVERSOR CFW500G0180T4DB20C3H00G2</v>
      </c>
      <c r="C1228" t="s">
        <v>1</v>
      </c>
      <c r="D1228" t="str">
        <f>VLOOKUP(A1228,Planilha2!B:H,7,0)</f>
        <v>LINHA G1</v>
      </c>
      <c r="E1228" s="5">
        <v>45000</v>
      </c>
      <c r="F1228" t="str">
        <f>IFERROR(
IF(ISNUMBER(FIND("CFW110",B1228)),
VALUE(MID(B1228,FIND("CFW110",B1228)+6,FIND("T",B1228,FIND("CFW110",B1228))-(FIND("CFW110",B1228)+6))),
IF(ISNUMBER(FIND("D",B1228)),
VALUE(SUBSTITUTE(MID(B1228,FIND("D",B1228)+1,FIND("T",B1228,FIND("D",B1228))-(FIND("D",B1228)+1)),"P",",")),
IF(ISNUMBER(FIND("CFW5",B1228)),
VALUE(MID(B1228,
IF(ISNUMBER(FIND("F",B1228)),FIND("F",B1228)+1,FIND("G",B1228)+1),
FIND("T",B1228)-(IF(ISNUMBER(FIND("F",B1228)),FIND("F",B1228)+1,FIND("G",B1228)+1))
)),
VALUE(MID(B1228,FIND("E0",B1228)+2,FIND("T",B1228,FIND("E0",B1228))-(FIND("E0",B1228)+2)))
))),"")</f>
        <v/>
      </c>
      <c r="G1228">
        <f>IFERROR(
IF(ISNUMBER(FIND("T2",B1228)),220,
IF(ISNUMBER(FIND("T4",B1228)),440,
IF(ISNUMBER(FIND("T5",B1228)),575,
IF(ISNUMBER(FIND("T6",B1228)),690,"")))),
"")</f>
        <v>440</v>
      </c>
    </row>
    <row r="1229" spans="1:7" x14ac:dyDescent="0.25">
      <c r="A1229">
        <v>15180350</v>
      </c>
      <c r="B1229" t="str">
        <f>VLOOKUP(A1229,Planilha2!B:C,2,0)</f>
        <v>INVERSOR CFW500G0180T4DB20C3G2</v>
      </c>
      <c r="C1229" t="s">
        <v>1</v>
      </c>
      <c r="D1229" t="str">
        <f>VLOOKUP(A1229,Planilha2!B:H,7,0)</f>
        <v>LINHA G1</v>
      </c>
      <c r="E1229" s="5">
        <v>45000</v>
      </c>
      <c r="F1229" t="str">
        <f>IFERROR(
IF(ISNUMBER(FIND("CFW110",B1229)),
VALUE(MID(B1229,FIND("CFW110",B1229)+6,FIND("T",B1229,FIND("CFW110",B1229))-(FIND("CFW110",B1229)+6))),
IF(ISNUMBER(FIND("D",B1229)),
VALUE(SUBSTITUTE(MID(B1229,FIND("D",B1229)+1,FIND("T",B1229,FIND("D",B1229))-(FIND("D",B1229)+1)),"P",",")),
IF(ISNUMBER(FIND("CFW5",B1229)),
VALUE(MID(B1229,
IF(ISNUMBER(FIND("F",B1229)),FIND("F",B1229)+1,FIND("G",B1229)+1),
FIND("T",B1229)-(IF(ISNUMBER(FIND("F",B1229)),FIND("F",B1229)+1,FIND("G",B1229)+1))
)),
VALUE(MID(B1229,FIND("E0",B1229)+2,FIND("T",B1229,FIND("E0",B1229))-(FIND("E0",B1229)+2)))
))),"")</f>
        <v/>
      </c>
      <c r="G1229">
        <f>IFERROR(
IF(ISNUMBER(FIND("T2",B1229)),220,
IF(ISNUMBER(FIND("T4",B1229)),440,
IF(ISNUMBER(FIND("T5",B1229)),575,
IF(ISNUMBER(FIND("T6",B1229)),690,"")))),
"")</f>
        <v>440</v>
      </c>
    </row>
    <row r="1230" spans="1:7" x14ac:dyDescent="0.25">
      <c r="A1230">
        <v>15180352</v>
      </c>
      <c r="B1230" t="str">
        <f>VLOOKUP(A1230,Planilha2!B:C,2,0)</f>
        <v>INVERSOR CFW500G0142T4DB20C3H00G2</v>
      </c>
      <c r="C1230" t="s">
        <v>1</v>
      </c>
      <c r="D1230" t="str">
        <f>VLOOKUP(A1230,Planilha2!B:H,7,0)</f>
        <v>LINHA G1</v>
      </c>
      <c r="E1230" s="5">
        <v>45000</v>
      </c>
      <c r="F1230" t="str">
        <f>IFERROR(
IF(ISNUMBER(FIND("CFW110",B1230)),
VALUE(MID(B1230,FIND("CFW110",B1230)+6,FIND("T",B1230,FIND("CFW110",B1230))-(FIND("CFW110",B1230)+6))),
IF(ISNUMBER(FIND("D",B1230)),
VALUE(SUBSTITUTE(MID(B1230,FIND("D",B1230)+1,FIND("T",B1230,FIND("D",B1230))-(FIND("D",B1230)+1)),"P",",")),
IF(ISNUMBER(FIND("CFW5",B1230)),
VALUE(MID(B1230,
IF(ISNUMBER(FIND("F",B1230)),FIND("F",B1230)+1,FIND("G",B1230)+1),
FIND("T",B1230)-(IF(ISNUMBER(FIND("F",B1230)),FIND("F",B1230)+1,FIND("G",B1230)+1))
)),
VALUE(MID(B1230,FIND("E0",B1230)+2,FIND("T",B1230,FIND("E0",B1230))-(FIND("E0",B1230)+2)))
))),"")</f>
        <v/>
      </c>
      <c r="G1230">
        <f>IFERROR(
IF(ISNUMBER(FIND("T2",B1230)),220,
IF(ISNUMBER(FIND("T4",B1230)),440,
IF(ISNUMBER(FIND("T5",B1230)),575,
IF(ISNUMBER(FIND("T6",B1230)),690,"")))),
"")</f>
        <v>440</v>
      </c>
    </row>
    <row r="1231" spans="1:7" x14ac:dyDescent="0.25">
      <c r="A1231">
        <v>15180348</v>
      </c>
      <c r="B1231" t="str">
        <f>VLOOKUP(A1231,Planilha2!B:C,2,0)</f>
        <v>INVERSOR CFW500G0142T4DB20C3G2</v>
      </c>
      <c r="C1231" t="s">
        <v>1</v>
      </c>
      <c r="D1231" t="str">
        <f>VLOOKUP(A1231,Planilha2!B:H,7,0)</f>
        <v>LINHA G1</v>
      </c>
      <c r="E1231" s="5">
        <v>45000</v>
      </c>
      <c r="F1231" t="str">
        <f>IFERROR(
IF(ISNUMBER(FIND("CFW110",B1231)),
VALUE(MID(B1231,FIND("CFW110",B1231)+6,FIND("T",B1231,FIND("CFW110",B1231))-(FIND("CFW110",B1231)+6))),
IF(ISNUMBER(FIND("D",B1231)),
VALUE(SUBSTITUTE(MID(B1231,FIND("D",B1231)+1,FIND("T",B1231,FIND("D",B1231))-(FIND("D",B1231)+1)),"P",",")),
IF(ISNUMBER(FIND("CFW5",B1231)),
VALUE(MID(B1231,
IF(ISNUMBER(FIND("F",B1231)),FIND("F",B1231)+1,FIND("G",B1231)+1),
FIND("T",B1231)-(IF(ISNUMBER(FIND("F",B1231)),FIND("F",B1231)+1,FIND("G",B1231)+1))
)),
VALUE(MID(B1231,FIND("E0",B1231)+2,FIND("T",B1231,FIND("E0",B1231))-(FIND("E0",B1231)+2)))
))),"")</f>
        <v/>
      </c>
      <c r="G1231">
        <f>IFERROR(
IF(ISNUMBER(FIND("T2",B1231)),220,
IF(ISNUMBER(FIND("T4",B1231)),440,
IF(ISNUMBER(FIND("T5",B1231)),575,
IF(ISNUMBER(FIND("T6",B1231)),690,"")))),
"")</f>
        <v>440</v>
      </c>
    </row>
    <row r="1232" spans="1:7" x14ac:dyDescent="0.25">
      <c r="A1232">
        <v>15654761</v>
      </c>
      <c r="B1232" t="str">
        <f>VLOOKUP(A1232,Planilha2!B:C,2,0)</f>
        <v>INVERSOR CFW500G0145T2DB20C3G2</v>
      </c>
      <c r="C1232" t="s">
        <v>1</v>
      </c>
      <c r="D1232" t="str">
        <f>VLOOKUP(A1232,Planilha2!B:H,7,0)</f>
        <v>LINHA G1</v>
      </c>
      <c r="E1232" s="5">
        <v>45000</v>
      </c>
      <c r="F1232" t="str">
        <f>IFERROR(
IF(ISNUMBER(FIND("CFW110",B1232)),
VALUE(MID(B1232,FIND("CFW110",B1232)+6,FIND("T",B1232,FIND("CFW110",B1232))-(FIND("CFW110",B1232)+6))),
IF(ISNUMBER(FIND("D",B1232)),
VALUE(SUBSTITUTE(MID(B1232,FIND("D",B1232)+1,FIND("T",B1232,FIND("D",B1232))-(FIND("D",B1232)+1)),"P",",")),
IF(ISNUMBER(FIND("CFW5",B1232)),
VALUE(MID(B1232,
IF(ISNUMBER(FIND("F",B1232)),FIND("F",B1232)+1,FIND("G",B1232)+1),
FIND("T",B1232)-(IF(ISNUMBER(FIND("F",B1232)),FIND("F",B1232)+1,FIND("G",B1232)+1))
)),
VALUE(MID(B1232,FIND("E0",B1232)+2,FIND("T",B1232,FIND("E0",B1232))-(FIND("E0",B1232)+2)))
))),"")</f>
        <v/>
      </c>
      <c r="G1232">
        <f>IFERROR(
IF(ISNUMBER(FIND("T2",B1232)),220,
IF(ISNUMBER(FIND("T4",B1232)),440,
IF(ISNUMBER(FIND("T5",B1232)),575,
IF(ISNUMBER(FIND("T6",B1232)),690,"")))),
"")</f>
        <v>220</v>
      </c>
    </row>
    <row r="1233" spans="1:7" x14ac:dyDescent="0.25">
      <c r="A1233">
        <v>15654763</v>
      </c>
      <c r="B1233" t="str">
        <f>VLOOKUP(A1233,Planilha2!B:C,2,0)</f>
        <v>INVERSOR CFW500G0180T2DB20C3G2</v>
      </c>
      <c r="C1233" t="s">
        <v>1</v>
      </c>
      <c r="D1233" t="str">
        <f>VLOOKUP(A1233,Planilha2!B:H,7,0)</f>
        <v>LINHA G1</v>
      </c>
      <c r="E1233" s="5">
        <v>45000</v>
      </c>
      <c r="F1233" t="str">
        <f>IFERROR(
IF(ISNUMBER(FIND("CFW110",B1233)),
VALUE(MID(B1233,FIND("CFW110",B1233)+6,FIND("T",B1233,FIND("CFW110",B1233))-(FIND("CFW110",B1233)+6))),
IF(ISNUMBER(FIND("D",B1233)),
VALUE(SUBSTITUTE(MID(B1233,FIND("D",B1233)+1,FIND("T",B1233,FIND("D",B1233))-(FIND("D",B1233)+1)),"P",",")),
IF(ISNUMBER(FIND("CFW5",B1233)),
VALUE(MID(B1233,
IF(ISNUMBER(FIND("F",B1233)),FIND("F",B1233)+1,FIND("G",B1233)+1),
FIND("T",B1233)-(IF(ISNUMBER(FIND("F",B1233)),FIND("F",B1233)+1,FIND("G",B1233)+1))
)),
VALUE(MID(B1233,FIND("E0",B1233)+2,FIND("T",B1233,FIND("E0",B1233))-(FIND("E0",B1233)+2)))
))),"")</f>
        <v/>
      </c>
      <c r="G1233">
        <f>IFERROR(
IF(ISNUMBER(FIND("T2",B1233)),220,
IF(ISNUMBER(FIND("T4",B1233)),440,
IF(ISNUMBER(FIND("T5",B1233)),575,
IF(ISNUMBER(FIND("T6",B1233)),690,"")))),
"")</f>
        <v>220</v>
      </c>
    </row>
    <row r="1234" spans="1:7" x14ac:dyDescent="0.25">
      <c r="A1234">
        <v>15654764</v>
      </c>
      <c r="B1234" t="str">
        <f>VLOOKUP(A1234,Planilha2!B:C,2,0)</f>
        <v>INVERSOR CFW500G0211T2DB20C3G2</v>
      </c>
      <c r="C1234" t="s">
        <v>1</v>
      </c>
      <c r="D1234" t="str">
        <f>VLOOKUP(A1234,Planilha2!B:H,7,0)</f>
        <v>LINHA G1</v>
      </c>
      <c r="E1234" s="5">
        <v>45000</v>
      </c>
      <c r="F1234" t="str">
        <f>IFERROR(
IF(ISNUMBER(FIND("CFW110",B1234)),
VALUE(MID(B1234,FIND("CFW110",B1234)+6,FIND("T",B1234,FIND("CFW110",B1234))-(FIND("CFW110",B1234)+6))),
IF(ISNUMBER(FIND("D",B1234)),
VALUE(SUBSTITUTE(MID(B1234,FIND("D",B1234)+1,FIND("T",B1234,FIND("D",B1234))-(FIND("D",B1234)+1)),"P",",")),
IF(ISNUMBER(FIND("CFW5",B1234)),
VALUE(MID(B1234,
IF(ISNUMBER(FIND("F",B1234)),FIND("F",B1234)+1,FIND("G",B1234)+1),
FIND("T",B1234)-(IF(ISNUMBER(FIND("F",B1234)),FIND("F",B1234)+1,FIND("G",B1234)+1))
)),
VALUE(MID(B1234,FIND("E0",B1234)+2,FIND("T",B1234,FIND("E0",B1234))-(FIND("E0",B1234)+2)))
))),"")</f>
        <v/>
      </c>
      <c r="G1234">
        <f>IFERROR(
IF(ISNUMBER(FIND("T2",B1234)),220,
IF(ISNUMBER(FIND("T4",B1234)),440,
IF(ISNUMBER(FIND("T5",B1234)),575,
IF(ISNUMBER(FIND("T6",B1234)),690,"")))),
"")</f>
        <v>220</v>
      </c>
    </row>
    <row r="1235" spans="1:7" x14ac:dyDescent="0.25">
      <c r="A1235">
        <v>15654766</v>
      </c>
      <c r="B1235" t="str">
        <f>VLOOKUP(A1235,Planilha2!B:C,2,0)</f>
        <v>INVERSOR CFW500G0145T2DB20C3H00G2</v>
      </c>
      <c r="C1235" t="s">
        <v>1</v>
      </c>
      <c r="D1235" t="str">
        <f>VLOOKUP(A1235,Planilha2!B:H,7,0)</f>
        <v>LINHA G1</v>
      </c>
      <c r="E1235" s="5">
        <v>45000</v>
      </c>
      <c r="F1235" t="str">
        <f>IFERROR(
IF(ISNUMBER(FIND("CFW110",B1235)),
VALUE(MID(B1235,FIND("CFW110",B1235)+6,FIND("T",B1235,FIND("CFW110",B1235))-(FIND("CFW110",B1235)+6))),
IF(ISNUMBER(FIND("D",B1235)),
VALUE(SUBSTITUTE(MID(B1235,FIND("D",B1235)+1,FIND("T",B1235,FIND("D",B1235))-(FIND("D",B1235)+1)),"P",",")),
IF(ISNUMBER(FIND("CFW5",B1235)),
VALUE(MID(B1235,
IF(ISNUMBER(FIND("F",B1235)),FIND("F",B1235)+1,FIND("G",B1235)+1),
FIND("T",B1235)-(IF(ISNUMBER(FIND("F",B1235)),FIND("F",B1235)+1,FIND("G",B1235)+1))
)),
VALUE(MID(B1235,FIND("E0",B1235)+2,FIND("T",B1235,FIND("E0",B1235))-(FIND("E0",B1235)+2)))
))),"")</f>
        <v/>
      </c>
      <c r="G1235">
        <f>IFERROR(
IF(ISNUMBER(FIND("T2",B1235)),220,
IF(ISNUMBER(FIND("T4",B1235)),440,
IF(ISNUMBER(FIND("T5",B1235)),575,
IF(ISNUMBER(FIND("T6",B1235)),690,"")))),
"")</f>
        <v>220</v>
      </c>
    </row>
    <row r="1236" spans="1:7" x14ac:dyDescent="0.25">
      <c r="A1236">
        <v>15654798</v>
      </c>
      <c r="B1236" t="str">
        <f>VLOOKUP(A1236,Planilha2!B:C,2,0)</f>
        <v>INVERSOR CFW500G0180T2DB20C3H00G2</v>
      </c>
      <c r="C1236" t="s">
        <v>1</v>
      </c>
      <c r="D1236" t="str">
        <f>VLOOKUP(A1236,Planilha2!B:H,7,0)</f>
        <v>LINHA G1</v>
      </c>
      <c r="E1236" s="5">
        <v>45000</v>
      </c>
      <c r="F1236" t="str">
        <f>IFERROR(
IF(ISNUMBER(FIND("CFW110",B1236)),
VALUE(MID(B1236,FIND("CFW110",B1236)+6,FIND("T",B1236,FIND("CFW110",B1236))-(FIND("CFW110",B1236)+6))),
IF(ISNUMBER(FIND("D",B1236)),
VALUE(SUBSTITUTE(MID(B1236,FIND("D",B1236)+1,FIND("T",B1236,FIND("D",B1236))-(FIND("D",B1236)+1)),"P",",")),
IF(ISNUMBER(FIND("CFW5",B1236)),
VALUE(MID(B1236,
IF(ISNUMBER(FIND("F",B1236)),FIND("F",B1236)+1,FIND("G",B1236)+1),
FIND("T",B1236)-(IF(ISNUMBER(FIND("F",B1236)),FIND("F",B1236)+1,FIND("G",B1236)+1))
)),
VALUE(MID(B1236,FIND("E0",B1236)+2,FIND("T",B1236,FIND("E0",B1236))-(FIND("E0",B1236)+2)))
))),"")</f>
        <v/>
      </c>
      <c r="G1236">
        <f>IFERROR(
IF(ISNUMBER(FIND("T2",B1236)),220,
IF(ISNUMBER(FIND("T4",B1236)),440,
IF(ISNUMBER(FIND("T5",B1236)),575,
IF(ISNUMBER(FIND("T6",B1236)),690,"")))),
"")</f>
        <v>220</v>
      </c>
    </row>
    <row r="1237" spans="1:7" x14ac:dyDescent="0.25">
      <c r="A1237">
        <v>15654799</v>
      </c>
      <c r="B1237" t="str">
        <f>VLOOKUP(A1237,Planilha2!B:C,2,0)</f>
        <v>INVERSOR CFW500G0211T2DB20C3H00G2</v>
      </c>
      <c r="C1237" t="s">
        <v>1</v>
      </c>
      <c r="D1237" t="str">
        <f>VLOOKUP(A1237,Planilha2!B:H,7,0)</f>
        <v>LINHA G1</v>
      </c>
      <c r="E1237" s="5">
        <v>45000</v>
      </c>
      <c r="F1237" t="str">
        <f>IFERROR(
IF(ISNUMBER(FIND("CFW110",B1237)),
VALUE(MID(B1237,FIND("CFW110",B1237)+6,FIND("T",B1237,FIND("CFW110",B1237))-(FIND("CFW110",B1237)+6))),
IF(ISNUMBER(FIND("D",B1237)),
VALUE(SUBSTITUTE(MID(B1237,FIND("D",B1237)+1,FIND("T",B1237,FIND("D",B1237))-(FIND("D",B1237)+1)),"P",",")),
IF(ISNUMBER(FIND("CFW5",B1237)),
VALUE(MID(B1237,
IF(ISNUMBER(FIND("F",B1237)),FIND("F",B1237)+1,FIND("G",B1237)+1),
FIND("T",B1237)-(IF(ISNUMBER(FIND("F",B1237)),FIND("F",B1237)+1,FIND("G",B1237)+1))
)),
VALUE(MID(B1237,FIND("E0",B1237)+2,FIND("T",B1237,FIND("E0",B1237))-(FIND("E0",B1237)+2)))
))),"")</f>
        <v/>
      </c>
      <c r="G1237">
        <f>IFERROR(
IF(ISNUMBER(FIND("T2",B1237)),220,
IF(ISNUMBER(FIND("T4",B1237)),440,
IF(ISNUMBER(FIND("T5",B1237)),575,
IF(ISNUMBER(FIND("T6",B1237)),690,"")))),
"")</f>
        <v>220</v>
      </c>
    </row>
    <row r="1238" spans="1:7" x14ac:dyDescent="0.25">
      <c r="A1238">
        <v>15654800</v>
      </c>
      <c r="B1238" t="str">
        <f>VLOOKUP(A1238,Planilha2!B:C,2,0)</f>
        <v>INVERSOR CFW500G0145T2NB20C3G2</v>
      </c>
      <c r="C1238" t="s">
        <v>1</v>
      </c>
      <c r="D1238" t="str">
        <f>VLOOKUP(A1238,Planilha2!B:H,7,0)</f>
        <v>LINHA G1</v>
      </c>
      <c r="E1238" s="5">
        <v>45000</v>
      </c>
      <c r="F1238" t="str">
        <f>IFERROR(
IF(ISNUMBER(FIND("CFW110",B1238)),
VALUE(MID(B1238,FIND("CFW110",B1238)+6,FIND("T",B1238,FIND("CFW110",B1238))-(FIND("CFW110",B1238)+6))),
IF(ISNUMBER(FIND("D",B1238)),
VALUE(SUBSTITUTE(MID(B1238,FIND("D",B1238)+1,FIND("T",B1238,FIND("D",B1238))-(FIND("D",B1238)+1)),"P",",")),
IF(ISNUMBER(FIND("CFW5",B1238)),
VALUE(MID(B1238,
IF(ISNUMBER(FIND("F",B1238)),FIND("F",B1238)+1,FIND("G",B1238)+1),
FIND("T",B1238)-(IF(ISNUMBER(FIND("F",B1238)),FIND("F",B1238)+1,FIND("G",B1238)+1))
)),
VALUE(MID(B1238,FIND("E0",B1238)+2,FIND("T",B1238,FIND("E0",B1238))-(FIND("E0",B1238)+2)))
))),"")</f>
        <v/>
      </c>
      <c r="G1238">
        <f>IFERROR(
IF(ISNUMBER(FIND("T2",B1238)),220,
IF(ISNUMBER(FIND("T4",B1238)),440,
IF(ISNUMBER(FIND("T5",B1238)),575,
IF(ISNUMBER(FIND("T6",B1238)),690,"")))),
"")</f>
        <v>220</v>
      </c>
    </row>
    <row r="1239" spans="1:7" x14ac:dyDescent="0.25">
      <c r="A1239">
        <v>15654801</v>
      </c>
      <c r="B1239" t="str">
        <f>VLOOKUP(A1239,Planilha2!B:C,2,0)</f>
        <v>INVERSOR CFW500G0180T2NB20C3G2</v>
      </c>
      <c r="C1239" t="s">
        <v>1</v>
      </c>
      <c r="D1239" t="str">
        <f>VLOOKUP(A1239,Planilha2!B:H,7,0)</f>
        <v>LINHA G1</v>
      </c>
      <c r="E1239" s="5">
        <v>45000</v>
      </c>
      <c r="F1239" t="str">
        <f>IFERROR(
IF(ISNUMBER(FIND("CFW110",B1239)),
VALUE(MID(B1239,FIND("CFW110",B1239)+6,FIND("T",B1239,FIND("CFW110",B1239))-(FIND("CFW110",B1239)+6))),
IF(ISNUMBER(FIND("D",B1239)),
VALUE(SUBSTITUTE(MID(B1239,FIND("D",B1239)+1,FIND("T",B1239,FIND("D",B1239))-(FIND("D",B1239)+1)),"P",",")),
IF(ISNUMBER(FIND("CFW5",B1239)),
VALUE(MID(B1239,
IF(ISNUMBER(FIND("F",B1239)),FIND("F",B1239)+1,FIND("G",B1239)+1),
FIND("T",B1239)-(IF(ISNUMBER(FIND("F",B1239)),FIND("F",B1239)+1,FIND("G",B1239)+1))
)),
VALUE(MID(B1239,FIND("E0",B1239)+2,FIND("T",B1239,FIND("E0",B1239))-(FIND("E0",B1239)+2)))
))),"")</f>
        <v/>
      </c>
      <c r="G1239">
        <f>IFERROR(
IF(ISNUMBER(FIND("T2",B1239)),220,
IF(ISNUMBER(FIND("T4",B1239)),440,
IF(ISNUMBER(FIND("T5",B1239)),575,
IF(ISNUMBER(FIND("T6",B1239)),690,"")))),
"")</f>
        <v>220</v>
      </c>
    </row>
    <row r="1240" spans="1:7" x14ac:dyDescent="0.25">
      <c r="A1240">
        <v>15654802</v>
      </c>
      <c r="B1240" t="str">
        <f>VLOOKUP(A1240,Planilha2!B:C,2,0)</f>
        <v>INVERSOR CFW500G0211T2NB20C3G2</v>
      </c>
      <c r="C1240" t="s">
        <v>1</v>
      </c>
      <c r="D1240" t="str">
        <f>VLOOKUP(A1240,Planilha2!B:H,7,0)</f>
        <v>LINHA G1</v>
      </c>
      <c r="E1240" s="5">
        <v>45000</v>
      </c>
      <c r="F1240" t="str">
        <f>IFERROR(
IF(ISNUMBER(FIND("CFW110",B1240)),
VALUE(MID(B1240,FIND("CFW110",B1240)+6,FIND("T",B1240,FIND("CFW110",B1240))-(FIND("CFW110",B1240)+6))),
IF(ISNUMBER(FIND("D",B1240)),
VALUE(SUBSTITUTE(MID(B1240,FIND("D",B1240)+1,FIND("T",B1240,FIND("D",B1240))-(FIND("D",B1240)+1)),"P",",")),
IF(ISNUMBER(FIND("CFW5",B1240)),
VALUE(MID(B1240,
IF(ISNUMBER(FIND("F",B1240)),FIND("F",B1240)+1,FIND("G",B1240)+1),
FIND("T",B1240)-(IF(ISNUMBER(FIND("F",B1240)),FIND("F",B1240)+1,FIND("G",B1240)+1))
)),
VALUE(MID(B1240,FIND("E0",B1240)+2,FIND("T",B1240,FIND("E0",B1240))-(FIND("E0",B1240)+2)))
))),"")</f>
        <v/>
      </c>
      <c r="G1240">
        <f>IFERROR(
IF(ISNUMBER(FIND("T2",B1240)),220,
IF(ISNUMBER(FIND("T4",B1240)),440,
IF(ISNUMBER(FIND("T5",B1240)),575,
IF(ISNUMBER(FIND("T6",B1240)),690,"")))),
"")</f>
        <v>220</v>
      </c>
    </row>
    <row r="1241" spans="1:7" x14ac:dyDescent="0.25">
      <c r="A1241">
        <v>15654803</v>
      </c>
      <c r="B1241" t="str">
        <f>VLOOKUP(A1241,Planilha2!B:C,2,0)</f>
        <v>INVERSOR CFW500G0145T2NB20C3H00G2</v>
      </c>
      <c r="C1241" t="s">
        <v>1</v>
      </c>
      <c r="D1241" t="str">
        <f>VLOOKUP(A1241,Planilha2!B:H,7,0)</f>
        <v>LINHA G1</v>
      </c>
      <c r="E1241" s="5">
        <v>45000</v>
      </c>
      <c r="F1241" t="str">
        <f>IFERROR(
IF(ISNUMBER(FIND("CFW110",B1241)),
VALUE(MID(B1241,FIND("CFW110",B1241)+6,FIND("T",B1241,FIND("CFW110",B1241))-(FIND("CFW110",B1241)+6))),
IF(ISNUMBER(FIND("D",B1241)),
VALUE(SUBSTITUTE(MID(B1241,FIND("D",B1241)+1,FIND("T",B1241,FIND("D",B1241))-(FIND("D",B1241)+1)),"P",",")),
IF(ISNUMBER(FIND("CFW5",B1241)),
VALUE(MID(B1241,
IF(ISNUMBER(FIND("F",B1241)),FIND("F",B1241)+1,FIND("G",B1241)+1),
FIND("T",B1241)-(IF(ISNUMBER(FIND("F",B1241)),FIND("F",B1241)+1,FIND("G",B1241)+1))
)),
VALUE(MID(B1241,FIND("E0",B1241)+2,FIND("T",B1241,FIND("E0",B1241))-(FIND("E0",B1241)+2)))
))),"")</f>
        <v/>
      </c>
      <c r="G1241">
        <f>IFERROR(
IF(ISNUMBER(FIND("T2",B1241)),220,
IF(ISNUMBER(FIND("T4",B1241)),440,
IF(ISNUMBER(FIND("T5",B1241)),575,
IF(ISNUMBER(FIND("T6",B1241)),690,"")))),
"")</f>
        <v>220</v>
      </c>
    </row>
    <row r="1242" spans="1:7" x14ac:dyDescent="0.25">
      <c r="A1242">
        <v>15654804</v>
      </c>
      <c r="B1242" t="str">
        <f>VLOOKUP(A1242,Planilha2!B:C,2,0)</f>
        <v>INVERSOR CFW500G0180T2NB20C3H00G2</v>
      </c>
      <c r="C1242" t="s">
        <v>1</v>
      </c>
      <c r="D1242" t="str">
        <f>VLOOKUP(A1242,Planilha2!B:H,7,0)</f>
        <v>LINHA G1</v>
      </c>
      <c r="E1242" s="5">
        <v>45000</v>
      </c>
      <c r="F1242" t="str">
        <f>IFERROR(
IF(ISNUMBER(FIND("CFW110",B1242)),
VALUE(MID(B1242,FIND("CFW110",B1242)+6,FIND("T",B1242,FIND("CFW110",B1242))-(FIND("CFW110",B1242)+6))),
IF(ISNUMBER(FIND("D",B1242)),
VALUE(SUBSTITUTE(MID(B1242,FIND("D",B1242)+1,FIND("T",B1242,FIND("D",B1242))-(FIND("D",B1242)+1)),"P",",")),
IF(ISNUMBER(FIND("CFW5",B1242)),
VALUE(MID(B1242,
IF(ISNUMBER(FIND("F",B1242)),FIND("F",B1242)+1,FIND("G",B1242)+1),
FIND("T",B1242)-(IF(ISNUMBER(FIND("F",B1242)),FIND("F",B1242)+1,FIND("G",B1242)+1))
)),
VALUE(MID(B1242,FIND("E0",B1242)+2,FIND("T",B1242,FIND("E0",B1242))-(FIND("E0",B1242)+2)))
))),"")</f>
        <v/>
      </c>
      <c r="G1242">
        <f>IFERROR(
IF(ISNUMBER(FIND("T2",B1242)),220,
IF(ISNUMBER(FIND("T4",B1242)),440,
IF(ISNUMBER(FIND("T5",B1242)),575,
IF(ISNUMBER(FIND("T6",B1242)),690,"")))),
"")</f>
        <v>220</v>
      </c>
    </row>
    <row r="1243" spans="1:7" x14ac:dyDescent="0.25">
      <c r="A1243">
        <v>15654805</v>
      </c>
      <c r="B1243" t="str">
        <f>VLOOKUP(A1243,Planilha2!B:C,2,0)</f>
        <v>INVERSOR CFW500G0211T2NB20C3H00G2</v>
      </c>
      <c r="C1243" t="s">
        <v>1</v>
      </c>
      <c r="D1243" t="str">
        <f>VLOOKUP(A1243,Planilha2!B:H,7,0)</f>
        <v>LINHA G1</v>
      </c>
      <c r="E1243" s="5">
        <v>45000</v>
      </c>
      <c r="F1243" t="str">
        <f>IFERROR(
IF(ISNUMBER(FIND("CFW110",B1243)),
VALUE(MID(B1243,FIND("CFW110",B1243)+6,FIND("T",B1243,FIND("CFW110",B1243))-(FIND("CFW110",B1243)+6))),
IF(ISNUMBER(FIND("D",B1243)),
VALUE(SUBSTITUTE(MID(B1243,FIND("D",B1243)+1,FIND("T",B1243,FIND("D",B1243))-(FIND("D",B1243)+1)),"P",",")),
IF(ISNUMBER(FIND("CFW5",B1243)),
VALUE(MID(B1243,
IF(ISNUMBER(FIND("F",B1243)),FIND("F",B1243)+1,FIND("G",B1243)+1),
FIND("T",B1243)-(IF(ISNUMBER(FIND("F",B1243)),FIND("F",B1243)+1,FIND("G",B1243)+1))
)),
VALUE(MID(B1243,FIND("E0",B1243)+2,FIND("T",B1243,FIND("E0",B1243))-(FIND("E0",B1243)+2)))
))),"")</f>
        <v/>
      </c>
      <c r="G1243">
        <f>IFERROR(
IF(ISNUMBER(FIND("T2",B1243)),220,
IF(ISNUMBER(FIND("T4",B1243)),440,
IF(ISNUMBER(FIND("T5",B1243)),575,
IF(ISNUMBER(FIND("T6",B1243)),690,"")))),
"")</f>
        <v>220</v>
      </c>
    </row>
    <row r="1244" spans="1:7" x14ac:dyDescent="0.25">
      <c r="A1244">
        <v>15654806</v>
      </c>
      <c r="B1244" t="str">
        <f>VLOOKUP(A1244,Planilha2!B:C,2,0)</f>
        <v>INVERSOR CFW500G0145T2DB20G2</v>
      </c>
      <c r="C1244" t="s">
        <v>1</v>
      </c>
      <c r="D1244" t="str">
        <f>VLOOKUP(A1244,Planilha2!B:H,7,0)</f>
        <v>LINHA G1</v>
      </c>
      <c r="E1244" s="5">
        <v>45000</v>
      </c>
      <c r="F1244" t="str">
        <f>IFERROR(
IF(ISNUMBER(FIND("CFW110",B1244)),
VALUE(MID(B1244,FIND("CFW110",B1244)+6,FIND("T",B1244,FIND("CFW110",B1244))-(FIND("CFW110",B1244)+6))),
IF(ISNUMBER(FIND("D",B1244)),
VALUE(SUBSTITUTE(MID(B1244,FIND("D",B1244)+1,FIND("T",B1244,FIND("D",B1244))-(FIND("D",B1244)+1)),"P",",")),
IF(ISNUMBER(FIND("CFW5",B1244)),
VALUE(MID(B1244,
IF(ISNUMBER(FIND("F",B1244)),FIND("F",B1244)+1,FIND("G",B1244)+1),
FIND("T",B1244)-(IF(ISNUMBER(FIND("F",B1244)),FIND("F",B1244)+1,FIND("G",B1244)+1))
)),
VALUE(MID(B1244,FIND("E0",B1244)+2,FIND("T",B1244,FIND("E0",B1244))-(FIND("E0",B1244)+2)))
))),"")</f>
        <v/>
      </c>
      <c r="G1244">
        <f>IFERROR(
IF(ISNUMBER(FIND("T2",B1244)),220,
IF(ISNUMBER(FIND("T4",B1244)),440,
IF(ISNUMBER(FIND("T5",B1244)),575,
IF(ISNUMBER(FIND("T6",B1244)),690,"")))),
"")</f>
        <v>220</v>
      </c>
    </row>
    <row r="1245" spans="1:7" x14ac:dyDescent="0.25">
      <c r="A1245">
        <v>15654807</v>
      </c>
      <c r="B1245" t="str">
        <f>VLOOKUP(A1245,Planilha2!B:C,2,0)</f>
        <v>INVERSOR CFW500G0180T2DB20G2</v>
      </c>
      <c r="C1245" t="s">
        <v>1</v>
      </c>
      <c r="D1245" t="str">
        <f>VLOOKUP(A1245,Planilha2!B:H,7,0)</f>
        <v>LINHA G1</v>
      </c>
      <c r="E1245" s="5">
        <v>45000</v>
      </c>
      <c r="F1245" t="str">
        <f>IFERROR(
IF(ISNUMBER(FIND("CFW110",B1245)),
VALUE(MID(B1245,FIND("CFW110",B1245)+6,FIND("T",B1245,FIND("CFW110",B1245))-(FIND("CFW110",B1245)+6))),
IF(ISNUMBER(FIND("D",B1245)),
VALUE(SUBSTITUTE(MID(B1245,FIND("D",B1245)+1,FIND("T",B1245,FIND("D",B1245))-(FIND("D",B1245)+1)),"P",",")),
IF(ISNUMBER(FIND("CFW5",B1245)),
VALUE(MID(B1245,
IF(ISNUMBER(FIND("F",B1245)),FIND("F",B1245)+1,FIND("G",B1245)+1),
FIND("T",B1245)-(IF(ISNUMBER(FIND("F",B1245)),FIND("F",B1245)+1,FIND("G",B1245)+1))
)),
VALUE(MID(B1245,FIND("E0",B1245)+2,FIND("T",B1245,FIND("E0",B1245))-(FIND("E0",B1245)+2)))
))),"")</f>
        <v/>
      </c>
      <c r="G1245">
        <f>IFERROR(
IF(ISNUMBER(FIND("T2",B1245)),220,
IF(ISNUMBER(FIND("T4",B1245)),440,
IF(ISNUMBER(FIND("T5",B1245)),575,
IF(ISNUMBER(FIND("T6",B1245)),690,"")))),
"")</f>
        <v>220</v>
      </c>
    </row>
    <row r="1246" spans="1:7" x14ac:dyDescent="0.25">
      <c r="A1246">
        <v>15654828</v>
      </c>
      <c r="B1246" t="str">
        <f>VLOOKUP(A1246,Planilha2!B:C,2,0)</f>
        <v>INVERSOR CFW500G0211T2DB20G2</v>
      </c>
      <c r="C1246" t="s">
        <v>1</v>
      </c>
      <c r="D1246" t="str">
        <f>VLOOKUP(A1246,Planilha2!B:H,7,0)</f>
        <v>LINHA G1</v>
      </c>
      <c r="E1246" s="5">
        <v>45000</v>
      </c>
      <c r="F1246" t="str">
        <f>IFERROR(
IF(ISNUMBER(FIND("CFW110",B1246)),
VALUE(MID(B1246,FIND("CFW110",B1246)+6,FIND("T",B1246,FIND("CFW110",B1246))-(FIND("CFW110",B1246)+6))),
IF(ISNUMBER(FIND("D",B1246)),
VALUE(SUBSTITUTE(MID(B1246,FIND("D",B1246)+1,FIND("T",B1246,FIND("D",B1246))-(FIND("D",B1246)+1)),"P",",")),
IF(ISNUMBER(FIND("CFW5",B1246)),
VALUE(MID(B1246,
IF(ISNUMBER(FIND("F",B1246)),FIND("F",B1246)+1,FIND("G",B1246)+1),
FIND("T",B1246)-(IF(ISNUMBER(FIND("F",B1246)),FIND("F",B1246)+1,FIND("G",B1246)+1))
)),
VALUE(MID(B1246,FIND("E0",B1246)+2,FIND("T",B1246,FIND("E0",B1246))-(FIND("E0",B1246)+2)))
))),"")</f>
        <v/>
      </c>
      <c r="G1246">
        <f>IFERROR(
IF(ISNUMBER(FIND("T2",B1246)),220,
IF(ISNUMBER(FIND("T4",B1246)),440,
IF(ISNUMBER(FIND("T5",B1246)),575,
IF(ISNUMBER(FIND("T6",B1246)),690,"")))),
"")</f>
        <v>220</v>
      </c>
    </row>
    <row r="1247" spans="1:7" x14ac:dyDescent="0.25">
      <c r="A1247">
        <v>15654829</v>
      </c>
      <c r="B1247" t="str">
        <f>VLOOKUP(A1247,Planilha2!B:C,2,0)</f>
        <v>INVERSOR CFW500G0145T2DB20H00G2</v>
      </c>
      <c r="C1247" t="s">
        <v>1</v>
      </c>
      <c r="D1247" t="str">
        <f>VLOOKUP(A1247,Planilha2!B:H,7,0)</f>
        <v>LINHA G1</v>
      </c>
      <c r="E1247" s="5">
        <v>45000</v>
      </c>
      <c r="F1247" t="str">
        <f>IFERROR(
IF(ISNUMBER(FIND("CFW110",B1247)),
VALUE(MID(B1247,FIND("CFW110",B1247)+6,FIND("T",B1247,FIND("CFW110",B1247))-(FIND("CFW110",B1247)+6))),
IF(ISNUMBER(FIND("D",B1247)),
VALUE(SUBSTITUTE(MID(B1247,FIND("D",B1247)+1,FIND("T",B1247,FIND("D",B1247))-(FIND("D",B1247)+1)),"P",",")),
IF(ISNUMBER(FIND("CFW5",B1247)),
VALUE(MID(B1247,
IF(ISNUMBER(FIND("F",B1247)),FIND("F",B1247)+1,FIND("G",B1247)+1),
FIND("T",B1247)-(IF(ISNUMBER(FIND("F",B1247)),FIND("F",B1247)+1,FIND("G",B1247)+1))
)),
VALUE(MID(B1247,FIND("E0",B1247)+2,FIND("T",B1247,FIND("E0",B1247))-(FIND("E0",B1247)+2)))
))),"")</f>
        <v/>
      </c>
      <c r="G1247">
        <f>IFERROR(
IF(ISNUMBER(FIND("T2",B1247)),220,
IF(ISNUMBER(FIND("T4",B1247)),440,
IF(ISNUMBER(FIND("T5",B1247)),575,
IF(ISNUMBER(FIND("T6",B1247)),690,"")))),
"")</f>
        <v>220</v>
      </c>
    </row>
    <row r="1248" spans="1:7" x14ac:dyDescent="0.25">
      <c r="A1248">
        <v>15655341</v>
      </c>
      <c r="B1248" t="str">
        <f>VLOOKUP(A1248,Planilha2!B:C,2,0)</f>
        <v>INVERSOR CFW500G0180T2DB20H00G2</v>
      </c>
      <c r="C1248" t="s">
        <v>1</v>
      </c>
      <c r="D1248" t="str">
        <f>VLOOKUP(A1248,Planilha2!B:H,7,0)</f>
        <v>LINHA G1</v>
      </c>
      <c r="E1248" s="5">
        <v>45000</v>
      </c>
      <c r="F1248" t="str">
        <f>IFERROR(
IF(ISNUMBER(FIND("CFW110",B1248)),
VALUE(MID(B1248,FIND("CFW110",B1248)+6,FIND("T",B1248,FIND("CFW110",B1248))-(FIND("CFW110",B1248)+6))),
IF(ISNUMBER(FIND("D",B1248)),
VALUE(SUBSTITUTE(MID(B1248,FIND("D",B1248)+1,FIND("T",B1248,FIND("D",B1248))-(FIND("D",B1248)+1)),"P",",")),
IF(ISNUMBER(FIND("CFW5",B1248)),
VALUE(MID(B1248,
IF(ISNUMBER(FIND("F",B1248)),FIND("F",B1248)+1,FIND("G",B1248)+1),
FIND("T",B1248)-(IF(ISNUMBER(FIND("F",B1248)),FIND("F",B1248)+1,FIND("G",B1248)+1))
)),
VALUE(MID(B1248,FIND("E0",B1248)+2,FIND("T",B1248,FIND("E0",B1248))-(FIND("E0",B1248)+2)))
))),"")</f>
        <v/>
      </c>
      <c r="G1248">
        <f>IFERROR(
IF(ISNUMBER(FIND("T2",B1248)),220,
IF(ISNUMBER(FIND("T4",B1248)),440,
IF(ISNUMBER(FIND("T5",B1248)),575,
IF(ISNUMBER(FIND("T6",B1248)),690,"")))),
"")</f>
        <v>220</v>
      </c>
    </row>
    <row r="1249" spans="1:7" x14ac:dyDescent="0.25">
      <c r="A1249">
        <v>15655342</v>
      </c>
      <c r="B1249" t="str">
        <f>VLOOKUP(A1249,Planilha2!B:C,2,0)</f>
        <v>INVERSOR CFW500G0211T2DB20H00G2</v>
      </c>
      <c r="C1249" t="s">
        <v>1</v>
      </c>
      <c r="D1249" t="str">
        <f>VLOOKUP(A1249,Planilha2!B:H,7,0)</f>
        <v>LINHA G1</v>
      </c>
      <c r="E1249" s="5">
        <v>45000</v>
      </c>
      <c r="F1249" t="str">
        <f>IFERROR(
IF(ISNUMBER(FIND("CFW110",B1249)),
VALUE(MID(B1249,FIND("CFW110",B1249)+6,FIND("T",B1249,FIND("CFW110",B1249))-(FIND("CFW110",B1249)+6))),
IF(ISNUMBER(FIND("D",B1249)),
VALUE(SUBSTITUTE(MID(B1249,FIND("D",B1249)+1,FIND("T",B1249,FIND("D",B1249))-(FIND("D",B1249)+1)),"P",",")),
IF(ISNUMBER(FIND("CFW5",B1249)),
VALUE(MID(B1249,
IF(ISNUMBER(FIND("F",B1249)),FIND("F",B1249)+1,FIND("G",B1249)+1),
FIND("T",B1249)-(IF(ISNUMBER(FIND("F",B1249)),FIND("F",B1249)+1,FIND("G",B1249)+1))
)),
VALUE(MID(B1249,FIND("E0",B1249)+2,FIND("T",B1249,FIND("E0",B1249))-(FIND("E0",B1249)+2)))
))),"")</f>
        <v/>
      </c>
      <c r="G1249">
        <f>IFERROR(
IF(ISNUMBER(FIND("T2",B1249)),220,
IF(ISNUMBER(FIND("T4",B1249)),440,
IF(ISNUMBER(FIND("T5",B1249)),575,
IF(ISNUMBER(FIND("T6",B1249)),690,"")))),
"")</f>
        <v>220</v>
      </c>
    </row>
    <row r="1250" spans="1:7" x14ac:dyDescent="0.25">
      <c r="A1250">
        <v>15655460</v>
      </c>
      <c r="B1250" t="str">
        <f>VLOOKUP(A1250,Planilha2!B:C,2,0)</f>
        <v>INVERSOR CFW500G0145T2NB20G2</v>
      </c>
      <c r="C1250" t="s">
        <v>1</v>
      </c>
      <c r="D1250" t="str">
        <f>VLOOKUP(A1250,Planilha2!B:H,7,0)</f>
        <v>LINHA G1</v>
      </c>
      <c r="E1250" s="5">
        <v>45000</v>
      </c>
      <c r="F1250" t="str">
        <f>IFERROR(
IF(ISNUMBER(FIND("CFW110",B1250)),
VALUE(MID(B1250,FIND("CFW110",B1250)+6,FIND("T",B1250,FIND("CFW110",B1250))-(FIND("CFW110",B1250)+6))),
IF(ISNUMBER(FIND("D",B1250)),
VALUE(SUBSTITUTE(MID(B1250,FIND("D",B1250)+1,FIND("T",B1250,FIND("D",B1250))-(FIND("D",B1250)+1)),"P",",")),
IF(ISNUMBER(FIND("CFW5",B1250)),
VALUE(MID(B1250,
IF(ISNUMBER(FIND("F",B1250)),FIND("F",B1250)+1,FIND("G",B1250)+1),
FIND("T",B1250)-(IF(ISNUMBER(FIND("F",B1250)),FIND("F",B1250)+1,FIND("G",B1250)+1))
)),
VALUE(MID(B1250,FIND("E0",B1250)+2,FIND("T",B1250,FIND("E0",B1250))-(FIND("E0",B1250)+2)))
))),"")</f>
        <v/>
      </c>
      <c r="G1250">
        <f>IFERROR(
IF(ISNUMBER(FIND("T2",B1250)),220,
IF(ISNUMBER(FIND("T4",B1250)),440,
IF(ISNUMBER(FIND("T5",B1250)),575,
IF(ISNUMBER(FIND("T6",B1250)),690,"")))),
"")</f>
        <v>220</v>
      </c>
    </row>
    <row r="1251" spans="1:7" x14ac:dyDescent="0.25">
      <c r="A1251">
        <v>15655462</v>
      </c>
      <c r="B1251" t="str">
        <f>VLOOKUP(A1251,Planilha2!B:C,2,0)</f>
        <v>INVERSOR CFW500G0180T2NB20G2</v>
      </c>
      <c r="C1251" t="s">
        <v>1</v>
      </c>
      <c r="D1251" t="str">
        <f>VLOOKUP(A1251,Planilha2!B:H,7,0)</f>
        <v>LINHA G1</v>
      </c>
      <c r="E1251" s="5">
        <v>45000</v>
      </c>
      <c r="F1251" t="str">
        <f>IFERROR(
IF(ISNUMBER(FIND("CFW110",B1251)),
VALUE(MID(B1251,FIND("CFW110",B1251)+6,FIND("T",B1251,FIND("CFW110",B1251))-(FIND("CFW110",B1251)+6))),
IF(ISNUMBER(FIND("D",B1251)),
VALUE(SUBSTITUTE(MID(B1251,FIND("D",B1251)+1,FIND("T",B1251,FIND("D",B1251))-(FIND("D",B1251)+1)),"P",",")),
IF(ISNUMBER(FIND("CFW5",B1251)),
VALUE(MID(B1251,
IF(ISNUMBER(FIND("F",B1251)),FIND("F",B1251)+1,FIND("G",B1251)+1),
FIND("T",B1251)-(IF(ISNUMBER(FIND("F",B1251)),FIND("F",B1251)+1,FIND("G",B1251)+1))
)),
VALUE(MID(B1251,FIND("E0",B1251)+2,FIND("T",B1251,FIND("E0",B1251))-(FIND("E0",B1251)+2)))
))),"")</f>
        <v/>
      </c>
      <c r="G1251">
        <f>IFERROR(
IF(ISNUMBER(FIND("T2",B1251)),220,
IF(ISNUMBER(FIND("T4",B1251)),440,
IF(ISNUMBER(FIND("T5",B1251)),575,
IF(ISNUMBER(FIND("T6",B1251)),690,"")))),
"")</f>
        <v>220</v>
      </c>
    </row>
    <row r="1252" spans="1:7" x14ac:dyDescent="0.25">
      <c r="A1252">
        <v>15655589</v>
      </c>
      <c r="B1252" t="str">
        <f>VLOOKUP(A1252,Planilha2!B:C,2,0)</f>
        <v>INVERSOR CFW500G0211T2NB20G2</v>
      </c>
      <c r="C1252" t="s">
        <v>1</v>
      </c>
      <c r="D1252" t="str">
        <f>VLOOKUP(A1252,Planilha2!B:H,7,0)</f>
        <v>LINHA G1</v>
      </c>
      <c r="E1252" s="5">
        <v>45000</v>
      </c>
      <c r="F1252" t="str">
        <f>IFERROR(
IF(ISNUMBER(FIND("CFW110",B1252)),
VALUE(MID(B1252,FIND("CFW110",B1252)+6,FIND("T",B1252,FIND("CFW110",B1252))-(FIND("CFW110",B1252)+6))),
IF(ISNUMBER(FIND("D",B1252)),
VALUE(SUBSTITUTE(MID(B1252,FIND("D",B1252)+1,FIND("T",B1252,FIND("D",B1252))-(FIND("D",B1252)+1)),"P",",")),
IF(ISNUMBER(FIND("CFW5",B1252)),
VALUE(MID(B1252,
IF(ISNUMBER(FIND("F",B1252)),FIND("F",B1252)+1,FIND("G",B1252)+1),
FIND("T",B1252)-(IF(ISNUMBER(FIND("F",B1252)),FIND("F",B1252)+1,FIND("G",B1252)+1))
)),
VALUE(MID(B1252,FIND("E0",B1252)+2,FIND("T",B1252,FIND("E0",B1252))-(FIND("E0",B1252)+2)))
))),"")</f>
        <v/>
      </c>
      <c r="G1252">
        <f>IFERROR(
IF(ISNUMBER(FIND("T2",B1252)),220,
IF(ISNUMBER(FIND("T4",B1252)),440,
IF(ISNUMBER(FIND("T5",B1252)),575,
IF(ISNUMBER(FIND("T6",B1252)),690,"")))),
"")</f>
        <v>220</v>
      </c>
    </row>
    <row r="1253" spans="1:7" x14ac:dyDescent="0.25">
      <c r="A1253">
        <v>15655592</v>
      </c>
      <c r="B1253" t="str">
        <f>VLOOKUP(A1253,Planilha2!B:C,2,0)</f>
        <v>INVERSOR CFW500G0145T2NB20H00G2</v>
      </c>
      <c r="C1253" t="s">
        <v>1</v>
      </c>
      <c r="D1253" t="str">
        <f>VLOOKUP(A1253,Planilha2!B:H,7,0)</f>
        <v>LINHA G1</v>
      </c>
      <c r="E1253" s="5">
        <v>45000</v>
      </c>
      <c r="F1253" t="str">
        <f>IFERROR(
IF(ISNUMBER(FIND("CFW110",B1253)),
VALUE(MID(B1253,FIND("CFW110",B1253)+6,FIND("T",B1253,FIND("CFW110",B1253))-(FIND("CFW110",B1253)+6))),
IF(ISNUMBER(FIND("D",B1253)),
VALUE(SUBSTITUTE(MID(B1253,FIND("D",B1253)+1,FIND("T",B1253,FIND("D",B1253))-(FIND("D",B1253)+1)),"P",",")),
IF(ISNUMBER(FIND("CFW5",B1253)),
VALUE(MID(B1253,
IF(ISNUMBER(FIND("F",B1253)),FIND("F",B1253)+1,FIND("G",B1253)+1),
FIND("T",B1253)-(IF(ISNUMBER(FIND("F",B1253)),FIND("F",B1253)+1,FIND("G",B1253)+1))
)),
VALUE(MID(B1253,FIND("E0",B1253)+2,FIND("T",B1253,FIND("E0",B1253))-(FIND("E0",B1253)+2)))
))),"")</f>
        <v/>
      </c>
      <c r="G1253">
        <f>IFERROR(
IF(ISNUMBER(FIND("T2",B1253)),220,
IF(ISNUMBER(FIND("T4",B1253)),440,
IF(ISNUMBER(FIND("T5",B1253)),575,
IF(ISNUMBER(FIND("T6",B1253)),690,"")))),
"")</f>
        <v>220</v>
      </c>
    </row>
    <row r="1254" spans="1:7" x14ac:dyDescent="0.25">
      <c r="A1254">
        <v>15655659</v>
      </c>
      <c r="B1254" t="str">
        <f>VLOOKUP(A1254,Planilha2!B:C,2,0)</f>
        <v>INVERSOR CFW500G0180T2NB20H00G2</v>
      </c>
      <c r="C1254" t="s">
        <v>1</v>
      </c>
      <c r="D1254" t="str">
        <f>VLOOKUP(A1254,Planilha2!B:H,7,0)</f>
        <v>LINHA G1</v>
      </c>
      <c r="E1254" s="5">
        <v>45000</v>
      </c>
      <c r="F1254" t="str">
        <f>IFERROR(
IF(ISNUMBER(FIND("CFW110",B1254)),
VALUE(MID(B1254,FIND("CFW110",B1254)+6,FIND("T",B1254,FIND("CFW110",B1254))-(FIND("CFW110",B1254)+6))),
IF(ISNUMBER(FIND("D",B1254)),
VALUE(SUBSTITUTE(MID(B1254,FIND("D",B1254)+1,FIND("T",B1254,FIND("D",B1254))-(FIND("D",B1254)+1)),"P",",")),
IF(ISNUMBER(FIND("CFW5",B1254)),
VALUE(MID(B1254,
IF(ISNUMBER(FIND("F",B1254)),FIND("F",B1254)+1,FIND("G",B1254)+1),
FIND("T",B1254)-(IF(ISNUMBER(FIND("F",B1254)),FIND("F",B1254)+1,FIND("G",B1254)+1))
)),
VALUE(MID(B1254,FIND("E0",B1254)+2,FIND("T",B1254,FIND("E0",B1254))-(FIND("E0",B1254)+2)))
))),"")</f>
        <v/>
      </c>
      <c r="G1254">
        <f>IFERROR(
IF(ISNUMBER(FIND("T2",B1254)),220,
IF(ISNUMBER(FIND("T4",B1254)),440,
IF(ISNUMBER(FIND("T5",B1254)),575,
IF(ISNUMBER(FIND("T6",B1254)),690,"")))),
"")</f>
        <v>220</v>
      </c>
    </row>
    <row r="1255" spans="1:7" x14ac:dyDescent="0.25">
      <c r="A1255">
        <v>15655665</v>
      </c>
      <c r="B1255" t="str">
        <f>VLOOKUP(A1255,Planilha2!B:C,2,0)</f>
        <v>INVERSOR CFW500G0211T2NB20H00G2</v>
      </c>
      <c r="C1255" t="s">
        <v>1</v>
      </c>
      <c r="D1255" t="str">
        <f>VLOOKUP(A1255,Planilha2!B:H,7,0)</f>
        <v>LINHA G1</v>
      </c>
      <c r="E1255" s="5">
        <v>45000</v>
      </c>
      <c r="F1255" t="str">
        <f>IFERROR(
IF(ISNUMBER(FIND("CFW110",B1255)),
VALUE(MID(B1255,FIND("CFW110",B1255)+6,FIND("T",B1255,FIND("CFW110",B1255))-(FIND("CFW110",B1255)+6))),
IF(ISNUMBER(FIND("D",B1255)),
VALUE(SUBSTITUTE(MID(B1255,FIND("D",B1255)+1,FIND("T",B1255,FIND("D",B1255))-(FIND("D",B1255)+1)),"P",",")),
IF(ISNUMBER(FIND("CFW5",B1255)),
VALUE(MID(B1255,
IF(ISNUMBER(FIND("F",B1255)),FIND("F",B1255)+1,FIND("G",B1255)+1),
FIND("T",B1255)-(IF(ISNUMBER(FIND("F",B1255)),FIND("F",B1255)+1,FIND("G",B1255)+1))
)),
VALUE(MID(B1255,FIND("E0",B1255)+2,FIND("T",B1255,FIND("E0",B1255))-(FIND("E0",B1255)+2)))
))),"")</f>
        <v/>
      </c>
      <c r="G1255">
        <f>IFERROR(
IF(ISNUMBER(FIND("T2",B1255)),220,
IF(ISNUMBER(FIND("T4",B1255)),440,
IF(ISNUMBER(FIND("T5",B1255)),575,
IF(ISNUMBER(FIND("T6",B1255)),690,"")))),
"")</f>
        <v>220</v>
      </c>
    </row>
    <row r="1256" spans="1:7" x14ac:dyDescent="0.25">
      <c r="A1256">
        <v>15598501</v>
      </c>
      <c r="B1256" t="str">
        <f>VLOOKUP(A1256,Planilha2!B:C,2,0)</f>
        <v>INVERSOR CFW500G0142T4NB20H03SDG2</v>
      </c>
      <c r="C1256" t="s">
        <v>1</v>
      </c>
      <c r="D1256" t="str">
        <f>VLOOKUP(A1256,Planilha2!B:H,7,0)</f>
        <v>LINHA G1</v>
      </c>
      <c r="E1256" s="5">
        <v>30000</v>
      </c>
      <c r="F1256" t="str">
        <f>IFERROR(
IF(ISNUMBER(FIND("CFW110",B1256)),
VALUE(MID(B1256,FIND("CFW110",B1256)+6,FIND("T",B1256,FIND("CFW110",B1256))-(FIND("CFW110",B1256)+6))),
IF(ISNUMBER(FIND("D",B1256)),
VALUE(SUBSTITUTE(MID(B1256,FIND("D",B1256)+1,FIND("T",B1256,FIND("D",B1256))-(FIND("D",B1256)+1)),"P",",")),
IF(ISNUMBER(FIND("CFW5",B1256)),
VALUE(MID(B1256,
IF(ISNUMBER(FIND("F",B1256)),FIND("F",B1256)+1,FIND("G",B1256)+1),
FIND("T",B1256)-(IF(ISNUMBER(FIND("F",B1256)),FIND("F",B1256)+1,FIND("G",B1256)+1))
)),
VALUE(MID(B1256,FIND("E0",B1256)+2,FIND("T",B1256,FIND("E0",B1256))-(FIND("E0",B1256)+2)))
))),"")</f>
        <v/>
      </c>
      <c r="G1256">
        <f>IFERROR(
IF(ISNUMBER(FIND("T2",B1256)),220,
IF(ISNUMBER(FIND("T4",B1256)),440,
IF(ISNUMBER(FIND("T5",B1256)),575,
IF(ISNUMBER(FIND("T6",B1256)),690,"")))),
"")</f>
        <v>440</v>
      </c>
    </row>
    <row r="1257" spans="1:7" x14ac:dyDescent="0.25">
      <c r="A1257">
        <v>15598502</v>
      </c>
      <c r="B1257" t="str">
        <f>VLOOKUP(A1257,Planilha2!B:C,2,0)</f>
        <v>INVERSOR CFW500G0180T4NB20H03SDG2</v>
      </c>
      <c r="C1257" t="s">
        <v>1</v>
      </c>
      <c r="D1257" t="str">
        <f>VLOOKUP(A1257,Planilha2!B:H,7,0)</f>
        <v>LINHA G1</v>
      </c>
      <c r="E1257" s="5">
        <v>30000</v>
      </c>
      <c r="F1257" t="str">
        <f>IFERROR(
IF(ISNUMBER(FIND("CFW110",B1257)),
VALUE(MID(B1257,FIND("CFW110",B1257)+6,FIND("T",B1257,FIND("CFW110",B1257))-(FIND("CFW110",B1257)+6))),
IF(ISNUMBER(FIND("D",B1257)),
VALUE(SUBSTITUTE(MID(B1257,FIND("D",B1257)+1,FIND("T",B1257,FIND("D",B1257))-(FIND("D",B1257)+1)),"P",",")),
IF(ISNUMBER(FIND("CFW5",B1257)),
VALUE(MID(B1257,
IF(ISNUMBER(FIND("F",B1257)),FIND("F",B1257)+1,FIND("G",B1257)+1),
FIND("T",B1257)-(IF(ISNUMBER(FIND("F",B1257)),FIND("F",B1257)+1,FIND("G",B1257)+1))
)),
VALUE(MID(B1257,FIND("E0",B1257)+2,FIND("T",B1257,FIND("E0",B1257))-(FIND("E0",B1257)+2)))
))),"")</f>
        <v/>
      </c>
      <c r="G1257">
        <f>IFERROR(
IF(ISNUMBER(FIND("T2",B1257)),220,
IF(ISNUMBER(FIND("T4",B1257)),440,
IF(ISNUMBER(FIND("T5",B1257)),575,
IF(ISNUMBER(FIND("T6",B1257)),690,"")))),
"")</f>
        <v>440</v>
      </c>
    </row>
    <row r="1258" spans="1:7" x14ac:dyDescent="0.25">
      <c r="A1258">
        <v>15598504</v>
      </c>
      <c r="B1258" t="str">
        <f>VLOOKUP(A1258,Planilha2!B:C,2,0)</f>
        <v>INVERSOR CFW500G0211T4NB20H03SDG2</v>
      </c>
      <c r="C1258" t="s">
        <v>1</v>
      </c>
      <c r="D1258" t="str">
        <f>VLOOKUP(A1258,Planilha2!B:H,7,0)</f>
        <v>LINHA G1</v>
      </c>
      <c r="E1258" s="5">
        <v>30000</v>
      </c>
      <c r="F1258" t="str">
        <f>IFERROR(
IF(ISNUMBER(FIND("CFW110",B1258)),
VALUE(MID(B1258,FIND("CFW110",B1258)+6,FIND("T",B1258,FIND("CFW110",B1258))-(FIND("CFW110",B1258)+6))),
IF(ISNUMBER(FIND("D",B1258)),
VALUE(SUBSTITUTE(MID(B1258,FIND("D",B1258)+1,FIND("T",B1258,FIND("D",B1258))-(FIND("D",B1258)+1)),"P",",")),
IF(ISNUMBER(FIND("CFW5",B1258)),
VALUE(MID(B1258,
IF(ISNUMBER(FIND("F",B1258)),FIND("F",B1258)+1,FIND("G",B1258)+1),
FIND("T",B1258)-(IF(ISNUMBER(FIND("F",B1258)),FIND("F",B1258)+1,FIND("G",B1258)+1))
)),
VALUE(MID(B1258,FIND("E0",B1258)+2,FIND("T",B1258,FIND("E0",B1258))-(FIND("E0",B1258)+2)))
))),"")</f>
        <v/>
      </c>
      <c r="G1258">
        <f>IFERROR(
IF(ISNUMBER(FIND("T2",B1258)),220,
IF(ISNUMBER(FIND("T4",B1258)),440,
IF(ISNUMBER(FIND("T5",B1258)),575,
IF(ISNUMBER(FIND("T6",B1258)),690,"")))),
"")</f>
        <v>440</v>
      </c>
    </row>
    <row r="1259" spans="1:7" x14ac:dyDescent="0.25">
      <c r="A1259">
        <v>15448373</v>
      </c>
      <c r="B1259" t="str">
        <f>VLOOKUP(A1259,Planilha2!B:C,2,0)</f>
        <v>INVERSOR CFW500G0211T4DB20G2</v>
      </c>
      <c r="C1259" t="s">
        <v>1</v>
      </c>
      <c r="D1259" t="str">
        <f>VLOOKUP(A1259,Planilha2!B:H,7,0)</f>
        <v>LINHA G1</v>
      </c>
      <c r="E1259" s="5">
        <v>30000</v>
      </c>
      <c r="F1259" t="str">
        <f>IFERROR(
IF(ISNUMBER(FIND("CFW110",B1259)),
VALUE(MID(B1259,FIND("CFW110",B1259)+6,FIND("T",B1259,FIND("CFW110",B1259))-(FIND("CFW110",B1259)+6))),
IF(ISNUMBER(FIND("D",B1259)),
VALUE(SUBSTITUTE(MID(B1259,FIND("D",B1259)+1,FIND("T",B1259,FIND("D",B1259))-(FIND("D",B1259)+1)),"P",",")),
IF(ISNUMBER(FIND("CFW5",B1259)),
VALUE(MID(B1259,
IF(ISNUMBER(FIND("F",B1259)),FIND("F",B1259)+1,FIND("G",B1259)+1),
FIND("T",B1259)-(IF(ISNUMBER(FIND("F",B1259)),FIND("F",B1259)+1,FIND("G",B1259)+1))
)),
VALUE(MID(B1259,FIND("E0",B1259)+2,FIND("T",B1259,FIND("E0",B1259))-(FIND("E0",B1259)+2)))
))),"")</f>
        <v/>
      </c>
      <c r="G1259">
        <f>IFERROR(
IF(ISNUMBER(FIND("T2",B1259)),220,
IF(ISNUMBER(FIND("T4",B1259)),440,
IF(ISNUMBER(FIND("T5",B1259)),575,
IF(ISNUMBER(FIND("T6",B1259)),690,"")))),
"")</f>
        <v>440</v>
      </c>
    </row>
    <row r="1260" spans="1:7" x14ac:dyDescent="0.25">
      <c r="A1260">
        <v>15448375</v>
      </c>
      <c r="B1260" t="str">
        <f>VLOOKUP(A1260,Planilha2!B:C,2,0)</f>
        <v>INVERSOR CFW500G0142T4DB20H00G2</v>
      </c>
      <c r="C1260" t="s">
        <v>1</v>
      </c>
      <c r="D1260" t="str">
        <f>VLOOKUP(A1260,Planilha2!B:H,7,0)</f>
        <v>LINHA G1</v>
      </c>
      <c r="E1260" s="5">
        <v>30000</v>
      </c>
      <c r="F1260" t="str">
        <f>IFERROR(
IF(ISNUMBER(FIND("CFW110",B1260)),
VALUE(MID(B1260,FIND("CFW110",B1260)+6,FIND("T",B1260,FIND("CFW110",B1260))-(FIND("CFW110",B1260)+6))),
IF(ISNUMBER(FIND("D",B1260)),
VALUE(SUBSTITUTE(MID(B1260,FIND("D",B1260)+1,FIND("T",B1260,FIND("D",B1260))-(FIND("D",B1260)+1)),"P",",")),
IF(ISNUMBER(FIND("CFW5",B1260)),
VALUE(MID(B1260,
IF(ISNUMBER(FIND("F",B1260)),FIND("F",B1260)+1,FIND("G",B1260)+1),
FIND("T",B1260)-(IF(ISNUMBER(FIND("F",B1260)),FIND("F",B1260)+1,FIND("G",B1260)+1))
)),
VALUE(MID(B1260,FIND("E0",B1260)+2,FIND("T",B1260,FIND("E0",B1260))-(FIND("E0",B1260)+2)))
))),"")</f>
        <v/>
      </c>
      <c r="G1260">
        <f>IFERROR(
IF(ISNUMBER(FIND("T2",B1260)),220,
IF(ISNUMBER(FIND("T4",B1260)),440,
IF(ISNUMBER(FIND("T5",B1260)),575,
IF(ISNUMBER(FIND("T6",B1260)),690,"")))),
"")</f>
        <v>440</v>
      </c>
    </row>
    <row r="1261" spans="1:7" x14ac:dyDescent="0.25">
      <c r="A1261">
        <v>15448372</v>
      </c>
      <c r="B1261" t="str">
        <f>VLOOKUP(A1261,Planilha2!B:C,2,0)</f>
        <v>INVERSOR CFW500G0180T4DB20G2</v>
      </c>
      <c r="C1261" t="s">
        <v>1</v>
      </c>
      <c r="D1261" t="str">
        <f>VLOOKUP(A1261,Planilha2!B:H,7,0)</f>
        <v>LINHA G1</v>
      </c>
      <c r="E1261" s="5">
        <v>30000</v>
      </c>
      <c r="F1261" t="str">
        <f>IFERROR(
IF(ISNUMBER(FIND("CFW110",B1261)),
VALUE(MID(B1261,FIND("CFW110",B1261)+6,FIND("T",B1261,FIND("CFW110",B1261))-(FIND("CFW110",B1261)+6))),
IF(ISNUMBER(FIND("D",B1261)),
VALUE(SUBSTITUTE(MID(B1261,FIND("D",B1261)+1,FIND("T",B1261,FIND("D",B1261))-(FIND("D",B1261)+1)),"P",",")),
IF(ISNUMBER(FIND("CFW5",B1261)),
VALUE(MID(B1261,
IF(ISNUMBER(FIND("F",B1261)),FIND("F",B1261)+1,FIND("G",B1261)+1),
FIND("T",B1261)-(IF(ISNUMBER(FIND("F",B1261)),FIND("F",B1261)+1,FIND("G",B1261)+1))
)),
VALUE(MID(B1261,FIND("E0",B1261)+2,FIND("T",B1261,FIND("E0",B1261))-(FIND("E0",B1261)+2)))
))),"")</f>
        <v/>
      </c>
      <c r="G1261">
        <f>IFERROR(
IF(ISNUMBER(FIND("T2",B1261)),220,
IF(ISNUMBER(FIND("T4",B1261)),440,
IF(ISNUMBER(FIND("T5",B1261)),575,
IF(ISNUMBER(FIND("T6",B1261)),690,"")))),
"")</f>
        <v>440</v>
      </c>
    </row>
    <row r="1262" spans="1:7" x14ac:dyDescent="0.25">
      <c r="A1262">
        <v>15448490</v>
      </c>
      <c r="B1262" t="str">
        <f>VLOOKUP(A1262,Planilha2!B:C,2,0)</f>
        <v>INVERSOR CFW500G0211T4DB20H00G2</v>
      </c>
      <c r="C1262" t="s">
        <v>1</v>
      </c>
      <c r="D1262" t="str">
        <f>VLOOKUP(A1262,Planilha2!B:H,7,0)</f>
        <v>LINHA G1</v>
      </c>
      <c r="E1262" s="5">
        <v>30000</v>
      </c>
      <c r="F1262" t="str">
        <f>IFERROR(
IF(ISNUMBER(FIND("CFW110",B1262)),
VALUE(MID(B1262,FIND("CFW110",B1262)+6,FIND("T",B1262,FIND("CFW110",B1262))-(FIND("CFW110",B1262)+6))),
IF(ISNUMBER(FIND("D",B1262)),
VALUE(SUBSTITUTE(MID(B1262,FIND("D",B1262)+1,FIND("T",B1262,FIND("D",B1262))-(FIND("D",B1262)+1)),"P",",")),
IF(ISNUMBER(FIND("CFW5",B1262)),
VALUE(MID(B1262,
IF(ISNUMBER(FIND("F",B1262)),FIND("F",B1262)+1,FIND("G",B1262)+1),
FIND("T",B1262)-(IF(ISNUMBER(FIND("F",B1262)),FIND("F",B1262)+1,FIND("G",B1262)+1))
)),
VALUE(MID(B1262,FIND("E0",B1262)+2,FIND("T",B1262,FIND("E0",B1262))-(FIND("E0",B1262)+2)))
))),"")</f>
        <v/>
      </c>
      <c r="G1262">
        <f>IFERROR(
IF(ISNUMBER(FIND("T2",B1262)),220,
IF(ISNUMBER(FIND("T4",B1262)),440,
IF(ISNUMBER(FIND("T5",B1262)),575,
IF(ISNUMBER(FIND("T6",B1262)),690,"")))),
"")</f>
        <v>440</v>
      </c>
    </row>
    <row r="1263" spans="1:7" x14ac:dyDescent="0.25">
      <c r="A1263">
        <v>15448377</v>
      </c>
      <c r="B1263" t="str">
        <f>VLOOKUP(A1263,Planilha2!B:C,2,0)</f>
        <v>INVERSOR CFW500G0180T4DB20H00G2</v>
      </c>
      <c r="C1263" t="s">
        <v>1</v>
      </c>
      <c r="D1263" t="str">
        <f>VLOOKUP(A1263,Planilha2!B:H,7,0)</f>
        <v>LINHA G1</v>
      </c>
      <c r="E1263" s="5">
        <v>30000</v>
      </c>
      <c r="F1263" t="str">
        <f>IFERROR(
IF(ISNUMBER(FIND("CFW110",B1263)),
VALUE(MID(B1263,FIND("CFW110",B1263)+6,FIND("T",B1263,FIND("CFW110",B1263))-(FIND("CFW110",B1263)+6))),
IF(ISNUMBER(FIND("D",B1263)),
VALUE(SUBSTITUTE(MID(B1263,FIND("D",B1263)+1,FIND("T",B1263,FIND("D",B1263))-(FIND("D",B1263)+1)),"P",",")),
IF(ISNUMBER(FIND("CFW5",B1263)),
VALUE(MID(B1263,
IF(ISNUMBER(FIND("F",B1263)),FIND("F",B1263)+1,FIND("G",B1263)+1),
FIND("T",B1263)-(IF(ISNUMBER(FIND("F",B1263)),FIND("F",B1263)+1,FIND("G",B1263)+1))
)),
VALUE(MID(B1263,FIND("E0",B1263)+2,FIND("T",B1263,FIND("E0",B1263))-(FIND("E0",B1263)+2)))
))),"")</f>
        <v/>
      </c>
      <c r="G1263">
        <f>IFERROR(
IF(ISNUMBER(FIND("T2",B1263)),220,
IF(ISNUMBER(FIND("T4",B1263)),440,
IF(ISNUMBER(FIND("T5",B1263)),575,
IF(ISNUMBER(FIND("T6",B1263)),690,"")))),
"")</f>
        <v>440</v>
      </c>
    </row>
    <row r="1264" spans="1:7" x14ac:dyDescent="0.25">
      <c r="A1264">
        <v>15448493</v>
      </c>
      <c r="B1264" t="str">
        <f>VLOOKUP(A1264,Planilha2!B:C,2,0)</f>
        <v>INVERSOR CFW500G0180T4NB20G2</v>
      </c>
      <c r="C1264" t="s">
        <v>1</v>
      </c>
      <c r="D1264" t="str">
        <f>VLOOKUP(A1264,Planilha2!B:H,7,0)</f>
        <v>LINHA G1</v>
      </c>
      <c r="E1264" s="5">
        <v>30000</v>
      </c>
      <c r="F1264" t="str">
        <f>IFERROR(
IF(ISNUMBER(FIND("CFW110",B1264)),
VALUE(MID(B1264,FIND("CFW110",B1264)+6,FIND("T",B1264,FIND("CFW110",B1264))-(FIND("CFW110",B1264)+6))),
IF(ISNUMBER(FIND("D",B1264)),
VALUE(SUBSTITUTE(MID(B1264,FIND("D",B1264)+1,FIND("T",B1264,FIND("D",B1264))-(FIND("D",B1264)+1)),"P",",")),
IF(ISNUMBER(FIND("CFW5",B1264)),
VALUE(MID(B1264,
IF(ISNUMBER(FIND("F",B1264)),FIND("F",B1264)+1,FIND("G",B1264)+1),
FIND("T",B1264)-(IF(ISNUMBER(FIND("F",B1264)),FIND("F",B1264)+1,FIND("G",B1264)+1))
)),
VALUE(MID(B1264,FIND("E0",B1264)+2,FIND("T",B1264,FIND("E0",B1264))-(FIND("E0",B1264)+2)))
))),"")</f>
        <v/>
      </c>
      <c r="G1264">
        <f>IFERROR(
IF(ISNUMBER(FIND("T2",B1264)),220,
IF(ISNUMBER(FIND("T4",B1264)),440,
IF(ISNUMBER(FIND("T5",B1264)),575,
IF(ISNUMBER(FIND("T6",B1264)),690,"")))),
"")</f>
        <v>440</v>
      </c>
    </row>
    <row r="1265" spans="1:7" x14ac:dyDescent="0.25">
      <c r="A1265">
        <v>15448492</v>
      </c>
      <c r="B1265" t="str">
        <f>VLOOKUP(A1265,Planilha2!B:C,2,0)</f>
        <v>INVERSOR CFW500G0142T4NB20G2</v>
      </c>
      <c r="C1265" t="s">
        <v>1</v>
      </c>
      <c r="D1265" t="str">
        <f>VLOOKUP(A1265,Planilha2!B:H,7,0)</f>
        <v>LINHA G1</v>
      </c>
      <c r="E1265" s="5">
        <v>30000</v>
      </c>
      <c r="F1265" t="str">
        <f>IFERROR(
IF(ISNUMBER(FIND("CFW110",B1265)),
VALUE(MID(B1265,FIND("CFW110",B1265)+6,FIND("T",B1265,FIND("CFW110",B1265))-(FIND("CFW110",B1265)+6))),
IF(ISNUMBER(FIND("D",B1265)),
VALUE(SUBSTITUTE(MID(B1265,FIND("D",B1265)+1,FIND("T",B1265,FIND("D",B1265))-(FIND("D",B1265)+1)),"P",",")),
IF(ISNUMBER(FIND("CFW5",B1265)),
VALUE(MID(B1265,
IF(ISNUMBER(FIND("F",B1265)),FIND("F",B1265)+1,FIND("G",B1265)+1),
FIND("T",B1265)-(IF(ISNUMBER(FIND("F",B1265)),FIND("F",B1265)+1,FIND("G",B1265)+1))
)),
VALUE(MID(B1265,FIND("E0",B1265)+2,FIND("T",B1265,FIND("E0",B1265))-(FIND("E0",B1265)+2)))
))),"")</f>
        <v/>
      </c>
      <c r="G1265">
        <f>IFERROR(
IF(ISNUMBER(FIND("T2",B1265)),220,
IF(ISNUMBER(FIND("T4",B1265)),440,
IF(ISNUMBER(FIND("T5",B1265)),575,
IF(ISNUMBER(FIND("T6",B1265)),690,"")))),
"")</f>
        <v>440</v>
      </c>
    </row>
    <row r="1266" spans="1:7" x14ac:dyDescent="0.25">
      <c r="A1266">
        <v>15448538</v>
      </c>
      <c r="B1266" t="str">
        <f>VLOOKUP(A1266,Planilha2!B:C,2,0)</f>
        <v>INVERSOR CFW500G0211T4NB20H00G2</v>
      </c>
      <c r="C1266" t="s">
        <v>1</v>
      </c>
      <c r="D1266" t="str">
        <f>VLOOKUP(A1266,Planilha2!B:H,7,0)</f>
        <v>LINHA G1</v>
      </c>
      <c r="E1266" s="5">
        <v>63000</v>
      </c>
      <c r="F1266" t="str">
        <f>IFERROR(
IF(ISNUMBER(FIND("CFW110",B1266)),
VALUE(MID(B1266,FIND("CFW110",B1266)+6,FIND("T",B1266,FIND("CFW110",B1266))-(FIND("CFW110",B1266)+6))),
IF(ISNUMBER(FIND("D",B1266)),
VALUE(SUBSTITUTE(MID(B1266,FIND("D",B1266)+1,FIND("T",B1266,FIND("D",B1266))-(FIND("D",B1266)+1)),"P",",")),
IF(ISNUMBER(FIND("CFW5",B1266)),
VALUE(MID(B1266,
IF(ISNUMBER(FIND("F",B1266)),FIND("F",B1266)+1,FIND("G",B1266)+1),
FIND("T",B1266)-(IF(ISNUMBER(FIND("F",B1266)),FIND("F",B1266)+1,FIND("G",B1266)+1))
)),
VALUE(MID(B1266,FIND("E0",B1266)+2,FIND("T",B1266,FIND("E0",B1266))-(FIND("E0",B1266)+2)))
))),"")</f>
        <v/>
      </c>
      <c r="G1266">
        <f>IFERROR(
IF(ISNUMBER(FIND("T2",B1266)),220,
IF(ISNUMBER(FIND("T4",B1266)),440,
IF(ISNUMBER(FIND("T5",B1266)),575,
IF(ISNUMBER(FIND("T6",B1266)),690,"")))),
"")</f>
        <v>440</v>
      </c>
    </row>
    <row r="1267" spans="1:7" x14ac:dyDescent="0.25">
      <c r="A1267">
        <v>15448496</v>
      </c>
      <c r="B1267" t="str">
        <f>VLOOKUP(A1267,Planilha2!B:C,2,0)</f>
        <v>INVERSOR CFW500G0142T4NB20H00G2</v>
      </c>
      <c r="C1267" t="s">
        <v>1</v>
      </c>
      <c r="D1267" t="str">
        <f>VLOOKUP(A1267,Planilha2!B:H,7,0)</f>
        <v>LINHA G1</v>
      </c>
      <c r="E1267" s="5">
        <v>30000</v>
      </c>
      <c r="F1267" t="str">
        <f>IFERROR(
IF(ISNUMBER(FIND("CFW110",B1267)),
VALUE(MID(B1267,FIND("CFW110",B1267)+6,FIND("T",B1267,FIND("CFW110",B1267))-(FIND("CFW110",B1267)+6))),
IF(ISNUMBER(FIND("D",B1267)),
VALUE(SUBSTITUTE(MID(B1267,FIND("D",B1267)+1,FIND("T",B1267,FIND("D",B1267))-(FIND("D",B1267)+1)),"P",",")),
IF(ISNUMBER(FIND("CFW5",B1267)),
VALUE(MID(B1267,
IF(ISNUMBER(FIND("F",B1267)),FIND("F",B1267)+1,FIND("G",B1267)+1),
FIND("T",B1267)-(IF(ISNUMBER(FIND("F",B1267)),FIND("F",B1267)+1,FIND("G",B1267)+1))
)),
VALUE(MID(B1267,FIND("E0",B1267)+2,FIND("T",B1267,FIND("E0",B1267))-(FIND("E0",B1267)+2)))
))),"")</f>
        <v/>
      </c>
      <c r="G1267">
        <f>IFERROR(
IF(ISNUMBER(FIND("T2",B1267)),220,
IF(ISNUMBER(FIND("T4",B1267)),440,
IF(ISNUMBER(FIND("T5",B1267)),575,
IF(ISNUMBER(FIND("T6",B1267)),690,"")))),
"")</f>
        <v>440</v>
      </c>
    </row>
    <row r="1268" spans="1:7" x14ac:dyDescent="0.25">
      <c r="A1268">
        <v>15448497</v>
      </c>
      <c r="B1268" t="str">
        <f>VLOOKUP(A1268,Planilha2!B:C,2,0)</f>
        <v>INVERSOR CFW500G0180T4NB20H00G2</v>
      </c>
      <c r="C1268" t="s">
        <v>1</v>
      </c>
      <c r="D1268" t="str">
        <f>VLOOKUP(A1268,Planilha2!B:H,7,0)</f>
        <v>LINHA G1</v>
      </c>
      <c r="E1268" s="5">
        <v>30000</v>
      </c>
      <c r="F1268" t="str">
        <f>IFERROR(
IF(ISNUMBER(FIND("CFW110",B1268)),
VALUE(MID(B1268,FIND("CFW110",B1268)+6,FIND("T",B1268,FIND("CFW110",B1268))-(FIND("CFW110",B1268)+6))),
IF(ISNUMBER(FIND("D",B1268)),
VALUE(SUBSTITUTE(MID(B1268,FIND("D",B1268)+1,FIND("T",B1268,FIND("D",B1268))-(FIND("D",B1268)+1)),"P",",")),
IF(ISNUMBER(FIND("CFW5",B1268)),
VALUE(MID(B1268,
IF(ISNUMBER(FIND("F",B1268)),FIND("F",B1268)+1,FIND("G",B1268)+1),
FIND("T",B1268)-(IF(ISNUMBER(FIND("F",B1268)),FIND("F",B1268)+1,FIND("G",B1268)+1))
)),
VALUE(MID(B1268,FIND("E0",B1268)+2,FIND("T",B1268,FIND("E0",B1268))-(FIND("E0",B1268)+2)))
))),"")</f>
        <v/>
      </c>
      <c r="G1268">
        <f>IFERROR(
IF(ISNUMBER(FIND("T2",B1268)),220,
IF(ISNUMBER(FIND("T4",B1268)),440,
IF(ISNUMBER(FIND("T5",B1268)),575,
IF(ISNUMBER(FIND("T6",B1268)),690,"")))),
"")</f>
        <v>440</v>
      </c>
    </row>
    <row r="1269" spans="1:7" x14ac:dyDescent="0.25">
      <c r="A1269">
        <v>15448494</v>
      </c>
      <c r="B1269" t="str">
        <f>VLOOKUP(A1269,Planilha2!B:C,2,0)</f>
        <v>INVERSOR CFW500G0211T4NB20G2</v>
      </c>
      <c r="C1269" t="s">
        <v>1</v>
      </c>
      <c r="D1269" t="str">
        <f>VLOOKUP(A1269,Planilha2!B:H,7,0)</f>
        <v>LINHA G1</v>
      </c>
      <c r="E1269" s="5">
        <v>30000</v>
      </c>
      <c r="F1269" t="str">
        <f>IFERROR(
IF(ISNUMBER(FIND("CFW110",B1269)),
VALUE(MID(B1269,FIND("CFW110",B1269)+6,FIND("T",B1269,FIND("CFW110",B1269))-(FIND("CFW110",B1269)+6))),
IF(ISNUMBER(FIND("D",B1269)),
VALUE(SUBSTITUTE(MID(B1269,FIND("D",B1269)+1,FIND("T",B1269,FIND("D",B1269))-(FIND("D",B1269)+1)),"P",",")),
IF(ISNUMBER(FIND("CFW5",B1269)),
VALUE(MID(B1269,
IF(ISNUMBER(FIND("F",B1269)),FIND("F",B1269)+1,FIND("G",B1269)+1),
FIND("T",B1269)-(IF(ISNUMBER(FIND("F",B1269)),FIND("F",B1269)+1,FIND("G",B1269)+1))
)),
VALUE(MID(B1269,FIND("E0",B1269)+2,FIND("T",B1269,FIND("E0",B1269))-(FIND("E0",B1269)+2)))
))),"")</f>
        <v/>
      </c>
      <c r="G1269">
        <f>IFERROR(
IF(ISNUMBER(FIND("T2",B1269)),220,
IF(ISNUMBER(FIND("T4",B1269)),440,
IF(ISNUMBER(FIND("T5",B1269)),575,
IF(ISNUMBER(FIND("T6",B1269)),690,"")))),
"")</f>
        <v>440</v>
      </c>
    </row>
    <row r="1270" spans="1:7" x14ac:dyDescent="0.25">
      <c r="A1270">
        <v>15655778</v>
      </c>
      <c r="B1270" t="str">
        <f>VLOOKUP(A1270,Planilha2!B:C,2,0)</f>
        <v>INVERSOR CFW500G0211T2NB20H03SDG2</v>
      </c>
      <c r="C1270" t="s">
        <v>1</v>
      </c>
      <c r="D1270" t="str">
        <f>VLOOKUP(A1270,Planilha2!B:H,7,0)</f>
        <v>LINHA G1</v>
      </c>
      <c r="E1270" s="5">
        <v>30000</v>
      </c>
      <c r="F1270" t="str">
        <f>IFERROR(
IF(ISNUMBER(FIND("CFW110",B1270)),
VALUE(MID(B1270,FIND("CFW110",B1270)+6,FIND("T",B1270,FIND("CFW110",B1270))-(FIND("CFW110",B1270)+6))),
IF(ISNUMBER(FIND("D",B1270)),
VALUE(SUBSTITUTE(MID(B1270,FIND("D",B1270)+1,FIND("T",B1270,FIND("D",B1270))-(FIND("D",B1270)+1)),"P",",")),
IF(ISNUMBER(FIND("CFW5",B1270)),
VALUE(MID(B1270,
IF(ISNUMBER(FIND("F",B1270)),FIND("F",B1270)+1,FIND("G",B1270)+1),
FIND("T",B1270)-(IF(ISNUMBER(FIND("F",B1270)),FIND("F",B1270)+1,FIND("G",B1270)+1))
)),
VALUE(MID(B1270,FIND("E0",B1270)+2,FIND("T",B1270,FIND("E0",B1270))-(FIND("E0",B1270)+2)))
))),"")</f>
        <v/>
      </c>
      <c r="G1270">
        <f>IFERROR(
IF(ISNUMBER(FIND("T2",B1270)),220,
IF(ISNUMBER(FIND("T4",B1270)),440,
IF(ISNUMBER(FIND("T5",B1270)),575,
IF(ISNUMBER(FIND("T6",B1270)),690,"")))),
"")</f>
        <v>220</v>
      </c>
    </row>
    <row r="1271" spans="1:7" x14ac:dyDescent="0.25">
      <c r="A1271">
        <v>15655736</v>
      </c>
      <c r="B1271" t="str">
        <f>VLOOKUP(A1271,Planilha2!B:C,2,0)</f>
        <v>INVERSOR CFW500G0180T2NB20H03SDG2</v>
      </c>
      <c r="C1271" t="s">
        <v>1</v>
      </c>
      <c r="D1271" t="str">
        <f>VLOOKUP(A1271,Planilha2!B:H,7,0)</f>
        <v>LINHA G1</v>
      </c>
      <c r="E1271" s="5">
        <v>30000</v>
      </c>
      <c r="F1271" t="str">
        <f>IFERROR(
IF(ISNUMBER(FIND("CFW110",B1271)),
VALUE(MID(B1271,FIND("CFW110",B1271)+6,FIND("T",B1271,FIND("CFW110",B1271))-(FIND("CFW110",B1271)+6))),
IF(ISNUMBER(FIND("D",B1271)),
VALUE(SUBSTITUTE(MID(B1271,FIND("D",B1271)+1,FIND("T",B1271,FIND("D",B1271))-(FIND("D",B1271)+1)),"P",",")),
IF(ISNUMBER(FIND("CFW5",B1271)),
VALUE(MID(B1271,
IF(ISNUMBER(FIND("F",B1271)),FIND("F",B1271)+1,FIND("G",B1271)+1),
FIND("T",B1271)-(IF(ISNUMBER(FIND("F",B1271)),FIND("F",B1271)+1,FIND("G",B1271)+1))
)),
VALUE(MID(B1271,FIND("E0",B1271)+2,FIND("T",B1271,FIND("E0",B1271))-(FIND("E0",B1271)+2)))
))),"")</f>
        <v/>
      </c>
      <c r="G1271">
        <f>IFERROR(
IF(ISNUMBER(FIND("T2",B1271)),220,
IF(ISNUMBER(FIND("T4",B1271)),440,
IF(ISNUMBER(FIND("T5",B1271)),575,
IF(ISNUMBER(FIND("T6",B1271)),690,"")))),
"")</f>
        <v>220</v>
      </c>
    </row>
    <row r="1272" spans="1:7" x14ac:dyDescent="0.25">
      <c r="A1272">
        <v>15655735</v>
      </c>
      <c r="B1272" t="str">
        <f>VLOOKUP(A1272,Planilha2!B:C,2,0)</f>
        <v>INVERSOR CFW500G0145T2NB20H03SDG2</v>
      </c>
      <c r="C1272" t="s">
        <v>1</v>
      </c>
      <c r="D1272" t="str">
        <f>VLOOKUP(A1272,Planilha2!B:H,7,0)</f>
        <v>LINHA G1</v>
      </c>
      <c r="E1272" s="5">
        <v>30000</v>
      </c>
      <c r="F1272" t="str">
        <f>IFERROR(
IF(ISNUMBER(FIND("CFW110",B1272)),
VALUE(MID(B1272,FIND("CFW110",B1272)+6,FIND("T",B1272,FIND("CFW110",B1272))-(FIND("CFW110",B1272)+6))),
IF(ISNUMBER(FIND("D",B1272)),
VALUE(SUBSTITUTE(MID(B1272,FIND("D",B1272)+1,FIND("T",B1272,FIND("D",B1272))-(FIND("D",B1272)+1)),"P",",")),
IF(ISNUMBER(FIND("CFW5",B1272)),
VALUE(MID(B1272,
IF(ISNUMBER(FIND("F",B1272)),FIND("F",B1272)+1,FIND("G",B1272)+1),
FIND("T",B1272)-(IF(ISNUMBER(FIND("F",B1272)),FIND("F",B1272)+1,FIND("G",B1272)+1))
)),
VALUE(MID(B1272,FIND("E0",B1272)+2,FIND("T",B1272,FIND("E0",B1272))-(FIND("E0",B1272)+2)))
))),"")</f>
        <v/>
      </c>
      <c r="G1272">
        <f>IFERROR(
IF(ISNUMBER(FIND("T2",B1272)),220,
IF(ISNUMBER(FIND("T4",B1272)),440,
IF(ISNUMBER(FIND("T5",B1272)),575,
IF(ISNUMBER(FIND("T6",B1272)),690,"")))),
"")</f>
        <v>220</v>
      </c>
    </row>
    <row r="1273" spans="1:7" x14ac:dyDescent="0.25">
      <c r="A1273">
        <v>15414328</v>
      </c>
      <c r="B1273" t="str">
        <f>VLOOKUP(A1273,Planilha2!B:C,2,0)</f>
        <v>INVERSOR CFW900C56P0T2DB20Y2B</v>
      </c>
      <c r="C1273" t="s">
        <v>1</v>
      </c>
      <c r="D1273" t="str">
        <f>VLOOKUP(A1273,Planilha2!B:H,7,0)</f>
        <v>LINHA M1</v>
      </c>
      <c r="E1273" s="5">
        <v>20500</v>
      </c>
      <c r="F1273" t="str">
        <f>IFERROR(
IF(ISNUMBER(FIND("CFW110",B1273)),
VALUE(MID(B1273,FIND("CFW110",B1273)+6,FIND("T",B1273,FIND("CFW110",B1273))-(FIND("CFW110",B1273)+6))),
IF(ISNUMBER(FIND("D",B1273)),
VALUE(SUBSTITUTE(MID(B1273,FIND("D",B1273)+1,FIND("T",B1273,FIND("D",B1273))-(FIND("D",B1273)+1)),"P",",")),
IF(ISNUMBER(FIND("CFW5",B1273)),
VALUE(MID(B1273,
IF(ISNUMBER(FIND("F",B1273)),FIND("F",B1273)+1,FIND("G",B1273)+1),
FIND("T",B1273)-(IF(ISNUMBER(FIND("F",B1273)),FIND("F",B1273)+1,FIND("G",B1273)+1))
)),
VALUE(MID(B1273,FIND("E0",B1273)+2,FIND("T",B1273,FIND("E0",B1273))-(FIND("E0",B1273)+2)))
))),"")</f>
        <v/>
      </c>
      <c r="G1273">
        <f>IFERROR(
IF(ISNUMBER(FIND("T2",B1273)),220,
IF(ISNUMBER(FIND("T4",B1273)),440,
IF(ISNUMBER(FIND("T5",B1273)),575,
IF(ISNUMBER(FIND("T6",B1273)),690,"")))),
"")</f>
        <v>220</v>
      </c>
    </row>
    <row r="1274" spans="1:7" x14ac:dyDescent="0.25">
      <c r="A1274">
        <v>15414329</v>
      </c>
      <c r="B1274" t="str">
        <f>VLOOKUP(A1274,Planilha2!B:C,2,0)</f>
        <v>INVERSOR CFW900C70P0T2DB20Y2B</v>
      </c>
      <c r="C1274" t="s">
        <v>1</v>
      </c>
      <c r="D1274" t="str">
        <f>VLOOKUP(A1274,Planilha2!B:H,7,0)</f>
        <v>LINHA M1</v>
      </c>
      <c r="E1274" s="5">
        <v>20500</v>
      </c>
      <c r="F1274" t="str">
        <f>IFERROR(
IF(ISNUMBER(FIND("CFW110",B1274)),
VALUE(MID(B1274,FIND("CFW110",B1274)+6,FIND("T",B1274,FIND("CFW110",B1274))-(FIND("CFW110",B1274)+6))),
IF(ISNUMBER(FIND("D",B1274)),
VALUE(SUBSTITUTE(MID(B1274,FIND("D",B1274)+1,FIND("T",B1274,FIND("D",B1274))-(FIND("D",B1274)+1)),"P",",")),
IF(ISNUMBER(FIND("CFW5",B1274)),
VALUE(MID(B1274,
IF(ISNUMBER(FIND("F",B1274)),FIND("F",B1274)+1,FIND("G",B1274)+1),
FIND("T",B1274)-(IF(ISNUMBER(FIND("F",B1274)),FIND("F",B1274)+1,FIND("G",B1274)+1))
)),
VALUE(MID(B1274,FIND("E0",B1274)+2,FIND("T",B1274,FIND("E0",B1274))-(FIND("E0",B1274)+2)))
))),"")</f>
        <v/>
      </c>
      <c r="G1274">
        <f>IFERROR(
IF(ISNUMBER(FIND("T2",B1274)),220,
IF(ISNUMBER(FIND("T4",B1274)),440,
IF(ISNUMBER(FIND("T5",B1274)),575,
IF(ISNUMBER(FIND("T6",B1274)),690,"")))),
"")</f>
        <v>220</v>
      </c>
    </row>
    <row r="1275" spans="1:7" x14ac:dyDescent="0.25">
      <c r="A1275">
        <v>15414331</v>
      </c>
      <c r="B1275" t="str">
        <f>VLOOKUP(A1275,Planilha2!B:C,2,0)</f>
        <v>INVERSOR CFW900C80P0T2DB20Y2B</v>
      </c>
      <c r="C1275" t="s">
        <v>1</v>
      </c>
      <c r="D1275" t="str">
        <f>VLOOKUP(A1275,Planilha2!B:H,7,0)</f>
        <v>LINHA M1</v>
      </c>
      <c r="E1275" s="5">
        <v>20500</v>
      </c>
      <c r="F1275" t="str">
        <f>IFERROR(
IF(ISNUMBER(FIND("CFW110",B1275)),
VALUE(MID(B1275,FIND("CFW110",B1275)+6,FIND("T",B1275,FIND("CFW110",B1275))-(FIND("CFW110",B1275)+6))),
IF(ISNUMBER(FIND("D",B1275)),
VALUE(SUBSTITUTE(MID(B1275,FIND("D",B1275)+1,FIND("T",B1275,FIND("D",B1275))-(FIND("D",B1275)+1)),"P",",")),
IF(ISNUMBER(FIND("CFW5",B1275)),
VALUE(MID(B1275,
IF(ISNUMBER(FIND("F",B1275)),FIND("F",B1275)+1,FIND("G",B1275)+1),
FIND("T",B1275)-(IF(ISNUMBER(FIND("F",B1275)),FIND("F",B1275)+1,FIND("G",B1275)+1))
)),
VALUE(MID(B1275,FIND("E0",B1275)+2,FIND("T",B1275,FIND("E0",B1275))-(FIND("E0",B1275)+2)))
))),"")</f>
        <v/>
      </c>
      <c r="G1275">
        <f>IFERROR(
IF(ISNUMBER(FIND("T2",B1275)),220,
IF(ISNUMBER(FIND("T4",B1275)),440,
IF(ISNUMBER(FIND("T5",B1275)),575,
IF(ISNUMBER(FIND("T6",B1275)),690,"")))),
"")</f>
        <v>220</v>
      </c>
    </row>
    <row r="1276" spans="1:7" x14ac:dyDescent="0.25">
      <c r="A1276">
        <v>15414333</v>
      </c>
      <c r="B1276" t="str">
        <f>VLOOKUP(A1276,Planilha2!B:C,2,0)</f>
        <v>INVERSOR CFW900C50P0T4DB20Y2B</v>
      </c>
      <c r="C1276" t="s">
        <v>1</v>
      </c>
      <c r="D1276" t="str">
        <f>VLOOKUP(A1276,Planilha2!B:H,7,0)</f>
        <v>LINHA M1</v>
      </c>
      <c r="E1276" s="5">
        <v>20500</v>
      </c>
      <c r="F1276" t="str">
        <f>IFERROR(
IF(ISNUMBER(FIND("CFW110",B1276)),
VALUE(MID(B1276,FIND("CFW110",B1276)+6,FIND("T",B1276,FIND("CFW110",B1276))-(FIND("CFW110",B1276)+6))),
IF(ISNUMBER(FIND("D",B1276)),
VALUE(SUBSTITUTE(MID(B1276,FIND("D",B1276)+1,FIND("T",B1276,FIND("D",B1276))-(FIND("D",B1276)+1)),"P",",")),
IF(ISNUMBER(FIND("CFW5",B1276)),
VALUE(MID(B1276,
IF(ISNUMBER(FIND("F",B1276)),FIND("F",B1276)+1,FIND("G",B1276)+1),
FIND("T",B1276)-(IF(ISNUMBER(FIND("F",B1276)),FIND("F",B1276)+1,FIND("G",B1276)+1))
)),
VALUE(MID(B1276,FIND("E0",B1276)+2,FIND("T",B1276,FIND("E0",B1276))-(FIND("E0",B1276)+2)))
))),"")</f>
        <v/>
      </c>
      <c r="G1276">
        <f>IFERROR(
IF(ISNUMBER(FIND("T2",B1276)),220,
IF(ISNUMBER(FIND("T4",B1276)),440,
IF(ISNUMBER(FIND("T5",B1276)),575,
IF(ISNUMBER(FIND("T6",B1276)),690,"")))),
"")</f>
        <v>440</v>
      </c>
    </row>
    <row r="1277" spans="1:7" x14ac:dyDescent="0.25">
      <c r="A1277">
        <v>15414335</v>
      </c>
      <c r="B1277" t="str">
        <f>VLOOKUP(A1277,Planilha2!B:C,2,0)</f>
        <v>INVERSOR CFW900C62P0T4DB20Y2B</v>
      </c>
      <c r="C1277" t="s">
        <v>1</v>
      </c>
      <c r="D1277" t="str">
        <f>VLOOKUP(A1277,Planilha2!B:H,7,0)</f>
        <v>LINHA M1</v>
      </c>
      <c r="E1277" s="5">
        <v>18500</v>
      </c>
      <c r="F1277" t="str">
        <f>IFERROR(
IF(ISNUMBER(FIND("CFW110",B1277)),
VALUE(MID(B1277,FIND("CFW110",B1277)+6,FIND("T",B1277,FIND("CFW110",B1277))-(FIND("CFW110",B1277)+6))),
IF(ISNUMBER(FIND("D",B1277)),
VALUE(SUBSTITUTE(MID(B1277,FIND("D",B1277)+1,FIND("T",B1277,FIND("D",B1277))-(FIND("D",B1277)+1)),"P",",")),
IF(ISNUMBER(FIND("CFW5",B1277)),
VALUE(MID(B1277,
IF(ISNUMBER(FIND("F",B1277)),FIND("F",B1277)+1,FIND("G",B1277)+1),
FIND("T",B1277)-(IF(ISNUMBER(FIND("F",B1277)),FIND("F",B1277)+1,FIND("G",B1277)+1))
)),
VALUE(MID(B1277,FIND("E0",B1277)+2,FIND("T",B1277,FIND("E0",B1277))-(FIND("E0",B1277)+2)))
))),"")</f>
        <v/>
      </c>
      <c r="G1277">
        <f>IFERROR(
IF(ISNUMBER(FIND("T2",B1277)),220,
IF(ISNUMBER(FIND("T4",B1277)),440,
IF(ISNUMBER(FIND("T5",B1277)),575,
IF(ISNUMBER(FIND("T6",B1277)),690,"")))),
"")</f>
        <v>440</v>
      </c>
    </row>
    <row r="1278" spans="1:7" x14ac:dyDescent="0.25">
      <c r="A1278">
        <v>15414337</v>
      </c>
      <c r="B1278" t="str">
        <f>VLOOKUP(A1278,Planilha2!B:C,2,0)</f>
        <v>INVERSOR CFW900C74P0T4DB20Y2B</v>
      </c>
      <c r="C1278" t="s">
        <v>1</v>
      </c>
      <c r="D1278" t="str">
        <f>VLOOKUP(A1278,Planilha2!B:H,7,0)</f>
        <v>LINHA M1</v>
      </c>
      <c r="E1278" s="5">
        <v>20500</v>
      </c>
      <c r="F1278" t="str">
        <f>IFERROR(
IF(ISNUMBER(FIND("CFW110",B1278)),
VALUE(MID(B1278,FIND("CFW110",B1278)+6,FIND("T",B1278,FIND("CFW110",B1278))-(FIND("CFW110",B1278)+6))),
IF(ISNUMBER(FIND("D",B1278)),
VALUE(SUBSTITUTE(MID(B1278,FIND("D",B1278)+1,FIND("T",B1278,FIND("D",B1278))-(FIND("D",B1278)+1)),"P",",")),
IF(ISNUMBER(FIND("CFW5",B1278)),
VALUE(MID(B1278,
IF(ISNUMBER(FIND("F",B1278)),FIND("F",B1278)+1,FIND("G",B1278)+1),
FIND("T",B1278)-(IF(ISNUMBER(FIND("F",B1278)),FIND("F",B1278)+1,FIND("G",B1278)+1))
)),
VALUE(MID(B1278,FIND("E0",B1278)+2,FIND("T",B1278,FIND("E0",B1278))-(FIND("E0",B1278)+2)))
))),"")</f>
        <v/>
      </c>
      <c r="G1278">
        <f>IFERROR(
IF(ISNUMBER(FIND("T2",B1278)),220,
IF(ISNUMBER(FIND("T4",B1278)),440,
IF(ISNUMBER(FIND("T5",B1278)),575,
IF(ISNUMBER(FIND("T6",B1278)),690,"")))),
"")</f>
        <v>440</v>
      </c>
    </row>
    <row r="1279" spans="1:7" x14ac:dyDescent="0.25">
      <c r="A1279">
        <v>15737615</v>
      </c>
      <c r="B1279" t="str">
        <f>VLOOKUP(A1279,Planilha2!B:C,2,0)</f>
        <v>INVERSOR CFW900D0124T4NB20Y2</v>
      </c>
      <c r="C1279" t="s">
        <v>1</v>
      </c>
      <c r="D1279" t="str">
        <f>VLOOKUP(A1279,Planilha2!B:H,7,0)</f>
        <v>LINHA G1</v>
      </c>
      <c r="E1279" s="5">
        <v>33500</v>
      </c>
      <c r="F1279">
        <f>IFERROR(
IF(ISNUMBER(FIND("CFW110",B1279)),
VALUE(MID(B1279,FIND("CFW110",B1279)+6,FIND("T",B1279,FIND("CFW110",B1279))-(FIND("CFW110",B1279)+6))),
IF(ISNUMBER(FIND("D",B1279)),
VALUE(SUBSTITUTE(MID(B1279,FIND("D",B1279)+1,FIND("T",B1279,FIND("D",B1279))-(FIND("D",B1279)+1)),"P",",")),
IF(ISNUMBER(FIND("CFW5",B1279)),
VALUE(MID(B1279,
IF(ISNUMBER(FIND("F",B1279)),FIND("F",B1279)+1,FIND("G",B1279)+1),
FIND("T",B1279)-(IF(ISNUMBER(FIND("F",B1279)),FIND("F",B1279)+1,FIND("G",B1279)+1))
)),
VALUE(MID(B1279,FIND("E0",B1279)+2,FIND("T",B1279,FIND("E0",B1279))-(FIND("E0",B1279)+2)))
))),"")</f>
        <v>124</v>
      </c>
      <c r="G1279">
        <f>IFERROR(
IF(ISNUMBER(FIND("T2",B1279)),220,
IF(ISNUMBER(FIND("T4",B1279)),440,
IF(ISNUMBER(FIND("T5",B1279)),575,
IF(ISNUMBER(FIND("T6",B1279)),690,"")))),
"")</f>
        <v>440</v>
      </c>
    </row>
    <row r="1280" spans="1:7" x14ac:dyDescent="0.25">
      <c r="A1280">
        <v>15734724</v>
      </c>
      <c r="B1280" t="str">
        <f>VLOOKUP(A1280,Planilha2!B:C,2,0)</f>
        <v>INVERSOR CFW900C56P0T2DB20Y2</v>
      </c>
      <c r="C1280" t="s">
        <v>1</v>
      </c>
      <c r="D1280" t="str">
        <f>VLOOKUP(A1280,Planilha2!B:H,7,0)</f>
        <v>LINHA M1</v>
      </c>
      <c r="E1280" s="5">
        <v>20500</v>
      </c>
      <c r="F1280" t="str">
        <f>IFERROR(
IF(ISNUMBER(FIND("CFW110",B1280)),
VALUE(MID(B1280,FIND("CFW110",B1280)+6,FIND("T",B1280,FIND("CFW110",B1280))-(FIND("CFW110",B1280)+6))),
IF(ISNUMBER(FIND("D",B1280)),
VALUE(SUBSTITUTE(MID(B1280,FIND("D",B1280)+1,FIND("T",B1280,FIND("D",B1280))-(FIND("D",B1280)+1)),"P",",")),
IF(ISNUMBER(FIND("CFW5",B1280)),
VALUE(MID(B1280,
IF(ISNUMBER(FIND("F",B1280)),FIND("F",B1280)+1,FIND("G",B1280)+1),
FIND("T",B1280)-(IF(ISNUMBER(FIND("F",B1280)),FIND("F",B1280)+1,FIND("G",B1280)+1))
)),
VALUE(MID(B1280,FIND("E0",B1280)+2,FIND("T",B1280,FIND("E0",B1280))-(FIND("E0",B1280)+2)))
))),"")</f>
        <v/>
      </c>
      <c r="G1280">
        <f>IFERROR(
IF(ISNUMBER(FIND("T2",B1280)),220,
IF(ISNUMBER(FIND("T4",B1280)),440,
IF(ISNUMBER(FIND("T5",B1280)),575,
IF(ISNUMBER(FIND("T6",B1280)),690,"")))),
"")</f>
        <v>220</v>
      </c>
    </row>
    <row r="1281" spans="1:7" x14ac:dyDescent="0.25">
      <c r="A1281">
        <v>15735604</v>
      </c>
      <c r="B1281" t="str">
        <f>VLOOKUP(A1281,Planilha2!B:C,2,0)</f>
        <v>INVERSOR CFW900C50P0T4DB20Y2</v>
      </c>
      <c r="C1281" t="s">
        <v>1</v>
      </c>
      <c r="D1281" t="str">
        <f>VLOOKUP(A1281,Planilha2!B:H,7,0)</f>
        <v>LINHA M1</v>
      </c>
      <c r="E1281" s="5">
        <v>20500</v>
      </c>
      <c r="F1281" t="str">
        <f>IFERROR(
IF(ISNUMBER(FIND("CFW110",B1281)),
VALUE(MID(B1281,FIND("CFW110",B1281)+6,FIND("T",B1281,FIND("CFW110",B1281))-(FIND("CFW110",B1281)+6))),
IF(ISNUMBER(FIND("D",B1281)),
VALUE(SUBSTITUTE(MID(B1281,FIND("D",B1281)+1,FIND("T",B1281,FIND("D",B1281))-(FIND("D",B1281)+1)),"P",",")),
IF(ISNUMBER(FIND("CFW5",B1281)),
VALUE(MID(B1281,
IF(ISNUMBER(FIND("F",B1281)),FIND("F",B1281)+1,FIND("G",B1281)+1),
FIND("T",B1281)-(IF(ISNUMBER(FIND("F",B1281)),FIND("F",B1281)+1,FIND("G",B1281)+1))
)),
VALUE(MID(B1281,FIND("E0",B1281)+2,FIND("T",B1281,FIND("E0",B1281))-(FIND("E0",B1281)+2)))
))),"")</f>
        <v/>
      </c>
      <c r="G1281">
        <f>IFERROR(
IF(ISNUMBER(FIND("T2",B1281)),220,
IF(ISNUMBER(FIND("T4",B1281)),440,
IF(ISNUMBER(FIND("T5",B1281)),575,
IF(ISNUMBER(FIND("T6",B1281)),690,"")))),
"")</f>
        <v>440</v>
      </c>
    </row>
    <row r="1282" spans="1:7" x14ac:dyDescent="0.25">
      <c r="A1282">
        <v>15735599</v>
      </c>
      <c r="B1282" t="str">
        <f>VLOOKUP(A1282,Planilha2!B:C,2,0)</f>
        <v>INVERSOR CFW900C70P0T2DB20Y2</v>
      </c>
      <c r="C1282" t="s">
        <v>1</v>
      </c>
      <c r="D1282" t="str">
        <f>VLOOKUP(A1282,Planilha2!B:H,7,0)</f>
        <v>LINHA M1</v>
      </c>
      <c r="E1282" s="5">
        <v>20500</v>
      </c>
      <c r="F1282" t="str">
        <f>IFERROR(
IF(ISNUMBER(FIND("CFW110",B1282)),
VALUE(MID(B1282,FIND("CFW110",B1282)+6,FIND("T",B1282,FIND("CFW110",B1282))-(FIND("CFW110",B1282)+6))),
IF(ISNUMBER(FIND("D",B1282)),
VALUE(SUBSTITUTE(MID(B1282,FIND("D",B1282)+1,FIND("T",B1282,FIND("D",B1282))-(FIND("D",B1282)+1)),"P",",")),
IF(ISNUMBER(FIND("CFW5",B1282)),
VALUE(MID(B1282,
IF(ISNUMBER(FIND("F",B1282)),FIND("F",B1282)+1,FIND("G",B1282)+1),
FIND("T",B1282)-(IF(ISNUMBER(FIND("F",B1282)),FIND("F",B1282)+1,FIND("G",B1282)+1))
)),
VALUE(MID(B1282,FIND("E0",B1282)+2,FIND("T",B1282,FIND("E0",B1282))-(FIND("E0",B1282)+2)))
))),"")</f>
        <v/>
      </c>
      <c r="G1282">
        <f>IFERROR(
IF(ISNUMBER(FIND("T2",B1282)),220,
IF(ISNUMBER(FIND("T4",B1282)),440,
IF(ISNUMBER(FIND("T5",B1282)),575,
IF(ISNUMBER(FIND("T6",B1282)),690,"")))),
"")</f>
        <v>220</v>
      </c>
    </row>
    <row r="1283" spans="1:7" x14ac:dyDescent="0.25">
      <c r="A1283">
        <v>15735605</v>
      </c>
      <c r="B1283" t="str">
        <f>VLOOKUP(A1283,Planilha2!B:C,2,0)</f>
        <v>INVERSOR CFW900C62P0T4DB20Y2</v>
      </c>
      <c r="C1283" t="s">
        <v>1</v>
      </c>
      <c r="D1283" t="str">
        <f>VLOOKUP(A1283,Planilha2!B:H,7,0)</f>
        <v>LINHA M1</v>
      </c>
      <c r="E1283" s="5">
        <v>20500</v>
      </c>
      <c r="F1283" t="str">
        <f>IFERROR(
IF(ISNUMBER(FIND("CFW110",B1283)),
VALUE(MID(B1283,FIND("CFW110",B1283)+6,FIND("T",B1283,FIND("CFW110",B1283))-(FIND("CFW110",B1283)+6))),
IF(ISNUMBER(FIND("D",B1283)),
VALUE(SUBSTITUTE(MID(B1283,FIND("D",B1283)+1,FIND("T",B1283,FIND("D",B1283))-(FIND("D",B1283)+1)),"P",",")),
IF(ISNUMBER(FIND("CFW5",B1283)),
VALUE(MID(B1283,
IF(ISNUMBER(FIND("F",B1283)),FIND("F",B1283)+1,FIND("G",B1283)+1),
FIND("T",B1283)-(IF(ISNUMBER(FIND("F",B1283)),FIND("F",B1283)+1,FIND("G",B1283)+1))
)),
VALUE(MID(B1283,FIND("E0",B1283)+2,FIND("T",B1283,FIND("E0",B1283))-(FIND("E0",B1283)+2)))
))),"")</f>
        <v/>
      </c>
      <c r="G1283">
        <f>IFERROR(
IF(ISNUMBER(FIND("T2",B1283)),220,
IF(ISNUMBER(FIND("T4",B1283)),440,
IF(ISNUMBER(FIND("T5",B1283)),575,
IF(ISNUMBER(FIND("T6",B1283)),690,"")))),
"")</f>
        <v>440</v>
      </c>
    </row>
    <row r="1284" spans="1:7" x14ac:dyDescent="0.25">
      <c r="A1284">
        <v>15735607</v>
      </c>
      <c r="B1284" t="str">
        <f>VLOOKUP(A1284,Planilha2!B:C,2,0)</f>
        <v>INVERSOR CFW900C74P0T4DB20Y2</v>
      </c>
      <c r="C1284" t="s">
        <v>1</v>
      </c>
      <c r="D1284" t="str">
        <f>VLOOKUP(A1284,Planilha2!B:H,7,0)</f>
        <v>LINHA M1</v>
      </c>
      <c r="E1284" s="5">
        <v>20500</v>
      </c>
      <c r="F1284" t="str">
        <f>IFERROR(
IF(ISNUMBER(FIND("CFW110",B1284)),
VALUE(MID(B1284,FIND("CFW110",B1284)+6,FIND("T",B1284,FIND("CFW110",B1284))-(FIND("CFW110",B1284)+6))),
IF(ISNUMBER(FIND("D",B1284)),
VALUE(SUBSTITUTE(MID(B1284,FIND("D",B1284)+1,FIND("T",B1284,FIND("D",B1284))-(FIND("D",B1284)+1)),"P",",")),
IF(ISNUMBER(FIND("CFW5",B1284)),
VALUE(MID(B1284,
IF(ISNUMBER(FIND("F",B1284)),FIND("F",B1284)+1,FIND("G",B1284)+1),
FIND("T",B1284)-(IF(ISNUMBER(FIND("F",B1284)),FIND("F",B1284)+1,FIND("G",B1284)+1))
)),
VALUE(MID(B1284,FIND("E0",B1284)+2,FIND("T",B1284,FIND("E0",B1284))-(FIND("E0",B1284)+2)))
))),"")</f>
        <v/>
      </c>
      <c r="G1284">
        <f>IFERROR(
IF(ISNUMBER(FIND("T2",B1284)),220,
IF(ISNUMBER(FIND("T4",B1284)),440,
IF(ISNUMBER(FIND("T5",B1284)),575,
IF(ISNUMBER(FIND("T6",B1284)),690,"")))),
"")</f>
        <v>440</v>
      </c>
    </row>
    <row r="1285" spans="1:7" x14ac:dyDescent="0.25">
      <c r="A1285">
        <v>15735600</v>
      </c>
      <c r="B1285" t="str">
        <f>VLOOKUP(A1285,Planilha2!B:C,2,0)</f>
        <v>INVERSOR CFW900C80P0T2DB20Y2</v>
      </c>
      <c r="C1285" t="s">
        <v>1</v>
      </c>
      <c r="D1285" t="str">
        <f>VLOOKUP(A1285,Planilha2!B:H,7,0)</f>
        <v>LINHA M1</v>
      </c>
      <c r="E1285" s="5">
        <v>20500</v>
      </c>
      <c r="F1285" t="str">
        <f>IFERROR(
IF(ISNUMBER(FIND("CFW110",B1285)),
VALUE(MID(B1285,FIND("CFW110",B1285)+6,FIND("T",B1285,FIND("CFW110",B1285))-(FIND("CFW110",B1285)+6))),
IF(ISNUMBER(FIND("D",B1285)),
VALUE(SUBSTITUTE(MID(B1285,FIND("D",B1285)+1,FIND("T",B1285,FIND("D",B1285))-(FIND("D",B1285)+1)),"P",",")),
IF(ISNUMBER(FIND("CFW5",B1285)),
VALUE(MID(B1285,
IF(ISNUMBER(FIND("F",B1285)),FIND("F",B1285)+1,FIND("G",B1285)+1),
FIND("T",B1285)-(IF(ISNUMBER(FIND("F",B1285)),FIND("F",B1285)+1,FIND("G",B1285)+1))
)),
VALUE(MID(B1285,FIND("E0",B1285)+2,FIND("T",B1285,FIND("E0",B1285))-(FIND("E0",B1285)+2)))
))),"")</f>
        <v/>
      </c>
      <c r="G1285">
        <f>IFERROR(
IF(ISNUMBER(FIND("T2",B1285)),220,
IF(ISNUMBER(FIND("T4",B1285)),440,
IF(ISNUMBER(FIND("T5",B1285)),575,
IF(ISNUMBER(FIND("T6",B1285)),690,"")))),
"")</f>
        <v>220</v>
      </c>
    </row>
    <row r="1286" spans="1:7" x14ac:dyDescent="0.25">
      <c r="A1286">
        <v>15737501</v>
      </c>
      <c r="B1286" t="str">
        <f>VLOOKUP(A1286,Planilha2!B:C,2,0)</f>
        <v>INVERSOR CFW900D96P0T4DB20Y2</v>
      </c>
      <c r="C1286" t="s">
        <v>1</v>
      </c>
      <c r="D1286" t="str">
        <f>VLOOKUP(A1286,Planilha2!B:H,7,0)</f>
        <v>LINHA G1</v>
      </c>
      <c r="E1286" s="5">
        <v>33500</v>
      </c>
      <c r="F1286">
        <f>IFERROR(
IF(ISNUMBER(FIND("CFW110",B1286)),
VALUE(MID(B1286,FIND("CFW110",B1286)+6,FIND("T",B1286,FIND("CFW110",B1286))-(FIND("CFW110",B1286)+6))),
IF(ISNUMBER(FIND("D",B1286)),
VALUE(SUBSTITUTE(MID(B1286,FIND("D",B1286)+1,FIND("T",B1286,FIND("D",B1286))-(FIND("D",B1286)+1)),"P",",")),
IF(ISNUMBER(FIND("CFW5",B1286)),
VALUE(MID(B1286,
IF(ISNUMBER(FIND("F",B1286)),FIND("F",B1286)+1,FIND("G",B1286)+1),
FIND("T",B1286)-(IF(ISNUMBER(FIND("F",B1286)),FIND("F",B1286)+1,FIND("G",B1286)+1))
)),
VALUE(MID(B1286,FIND("E0",B1286)+2,FIND("T",B1286,FIND("E0",B1286))-(FIND("E0",B1286)+2)))
))),"")</f>
        <v>96</v>
      </c>
      <c r="G1286">
        <f>IFERROR(
IF(ISNUMBER(FIND("T2",B1286)),220,
IF(ISNUMBER(FIND("T4",B1286)),440,
IF(ISNUMBER(FIND("T5",B1286)),575,
IF(ISNUMBER(FIND("T6",B1286)),690,"")))),
"")</f>
        <v>440</v>
      </c>
    </row>
    <row r="1287" spans="1:7" x14ac:dyDescent="0.25">
      <c r="A1287">
        <v>15735654</v>
      </c>
      <c r="B1287" t="str">
        <f>VLOOKUP(A1287,Planilha2!B:C,2,0)</f>
        <v>INVERSOR CFW900D0150T2DB20Y2</v>
      </c>
      <c r="C1287" t="s">
        <v>1</v>
      </c>
      <c r="D1287" t="str">
        <f>VLOOKUP(A1287,Planilha2!B:H,7,0)</f>
        <v>LINHA G1</v>
      </c>
      <c r="E1287" s="5">
        <v>33500</v>
      </c>
      <c r="F1287">
        <f>IFERROR(
IF(ISNUMBER(FIND("CFW110",B1287)),
VALUE(MID(B1287,FIND("CFW110",B1287)+6,FIND("T",B1287,FIND("CFW110",B1287))-(FIND("CFW110",B1287)+6))),
IF(ISNUMBER(FIND("D",B1287)),
VALUE(SUBSTITUTE(MID(B1287,FIND("D",B1287)+1,FIND("T",B1287,FIND("D",B1287))-(FIND("D",B1287)+1)),"P",",")),
IF(ISNUMBER(FIND("CFW5",B1287)),
VALUE(MID(B1287,
IF(ISNUMBER(FIND("F",B1287)),FIND("F",B1287)+1,FIND("G",B1287)+1),
FIND("T",B1287)-(IF(ISNUMBER(FIND("F",B1287)),FIND("F",B1287)+1,FIND("G",B1287)+1))
)),
VALUE(MID(B1287,FIND("E0",B1287)+2,FIND("T",B1287,FIND("E0",B1287))-(FIND("E0",B1287)+2)))
))),"")</f>
        <v>150</v>
      </c>
      <c r="G1287">
        <f>IFERROR(
IF(ISNUMBER(FIND("T2",B1287)),220,
IF(ISNUMBER(FIND("T4",B1287)),440,
IF(ISNUMBER(FIND("T5",B1287)),575,
IF(ISNUMBER(FIND("T6",B1287)),690,"")))),
"")</f>
        <v>220</v>
      </c>
    </row>
    <row r="1288" spans="1:7" x14ac:dyDescent="0.25">
      <c r="A1288">
        <v>15737608</v>
      </c>
      <c r="B1288" t="str">
        <f>VLOOKUP(A1288,Planilha2!B:C,2,0)</f>
        <v>INVERSOR CFW900D0110T2NB20Y2</v>
      </c>
      <c r="C1288" t="s">
        <v>1</v>
      </c>
      <c r="D1288" t="str">
        <f>VLOOKUP(A1288,Planilha2!B:H,7,0)</f>
        <v>LINHA G1</v>
      </c>
      <c r="E1288" s="5">
        <v>33500</v>
      </c>
      <c r="F1288">
        <f>IFERROR(
IF(ISNUMBER(FIND("CFW110",B1288)),
VALUE(MID(B1288,FIND("CFW110",B1288)+6,FIND("T",B1288,FIND("CFW110",B1288))-(FIND("CFW110",B1288)+6))),
IF(ISNUMBER(FIND("D",B1288)),
VALUE(SUBSTITUTE(MID(B1288,FIND("D",B1288)+1,FIND("T",B1288,FIND("D",B1288))-(FIND("D",B1288)+1)),"P",",")),
IF(ISNUMBER(FIND("CFW5",B1288)),
VALUE(MID(B1288,
IF(ISNUMBER(FIND("F",B1288)),FIND("F",B1288)+1,FIND("G",B1288)+1),
FIND("T",B1288)-(IF(ISNUMBER(FIND("F",B1288)),FIND("F",B1288)+1,FIND("G",B1288)+1))
)),
VALUE(MID(B1288,FIND("E0",B1288)+2,FIND("T",B1288,FIND("E0",B1288))-(FIND("E0",B1288)+2)))
))),"")</f>
        <v>110</v>
      </c>
      <c r="G1288">
        <f>IFERROR(
IF(ISNUMBER(FIND("T2",B1288)),220,
IF(ISNUMBER(FIND("T4",B1288)),440,
IF(ISNUMBER(FIND("T5",B1288)),575,
IF(ISNUMBER(FIND("T6",B1288)),690,"")))),
"")</f>
        <v>220</v>
      </c>
    </row>
    <row r="1289" spans="1:7" x14ac:dyDescent="0.25">
      <c r="A1289">
        <v>15737611</v>
      </c>
      <c r="B1289" t="str">
        <f>VLOOKUP(A1289,Planilha2!B:C,2,0)</f>
        <v>INVERSOR CFW900D0150T2NB20Y2</v>
      </c>
      <c r="C1289" t="s">
        <v>1</v>
      </c>
      <c r="D1289" t="str">
        <f>VLOOKUP(A1289,Planilha2!B:H,7,0)</f>
        <v>LINHA G1</v>
      </c>
      <c r="E1289" s="5">
        <v>33500</v>
      </c>
      <c r="F1289">
        <f>IFERROR(
IF(ISNUMBER(FIND("CFW110",B1289)),
VALUE(MID(B1289,FIND("CFW110",B1289)+6,FIND("T",B1289,FIND("CFW110",B1289))-(FIND("CFW110",B1289)+6))),
IF(ISNUMBER(FIND("D",B1289)),
VALUE(SUBSTITUTE(MID(B1289,FIND("D",B1289)+1,FIND("T",B1289,FIND("D",B1289))-(FIND("D",B1289)+1)),"P",",")),
IF(ISNUMBER(FIND("CFW5",B1289)),
VALUE(MID(B1289,
IF(ISNUMBER(FIND("F",B1289)),FIND("F",B1289)+1,FIND("G",B1289)+1),
FIND("T",B1289)-(IF(ISNUMBER(FIND("F",B1289)),FIND("F",B1289)+1,FIND("G",B1289)+1))
)),
VALUE(MID(B1289,FIND("E0",B1289)+2,FIND("T",B1289,FIND("E0",B1289))-(FIND("E0",B1289)+2)))
))),"")</f>
        <v>150</v>
      </c>
      <c r="G1289">
        <f>IFERROR(
IF(ISNUMBER(FIND("T2",B1289)),220,
IF(ISNUMBER(FIND("T4",B1289)),440,
IF(ISNUMBER(FIND("T5",B1289)),575,
IF(ISNUMBER(FIND("T6",B1289)),690,"")))),
"")</f>
        <v>220</v>
      </c>
    </row>
    <row r="1290" spans="1:7" x14ac:dyDescent="0.25">
      <c r="A1290">
        <v>15735653</v>
      </c>
      <c r="B1290" t="str">
        <f>VLOOKUP(A1290,Planilha2!B:C,2,0)</f>
        <v>INVERSOR CFW900D0135T2DB20Y2</v>
      </c>
      <c r="C1290" t="s">
        <v>1</v>
      </c>
      <c r="D1290" t="str">
        <f>VLOOKUP(A1290,Planilha2!B:H,7,0)</f>
        <v>LINHA G1</v>
      </c>
      <c r="E1290" s="5">
        <v>33500</v>
      </c>
      <c r="F1290">
        <f>IFERROR(
IF(ISNUMBER(FIND("CFW110",B1290)),
VALUE(MID(B1290,FIND("CFW110",B1290)+6,FIND("T",B1290,FIND("CFW110",B1290))-(FIND("CFW110",B1290)+6))),
IF(ISNUMBER(FIND("D",B1290)),
VALUE(SUBSTITUTE(MID(B1290,FIND("D",B1290)+1,FIND("T",B1290,FIND("D",B1290))-(FIND("D",B1290)+1)),"P",",")),
IF(ISNUMBER(FIND("CFW5",B1290)),
VALUE(MID(B1290,
IF(ISNUMBER(FIND("F",B1290)),FIND("F",B1290)+1,FIND("G",B1290)+1),
FIND("T",B1290)-(IF(ISNUMBER(FIND("F",B1290)),FIND("F",B1290)+1,FIND("G",B1290)+1))
)),
VALUE(MID(B1290,FIND("E0",B1290)+2,FIND("T",B1290,FIND("E0",B1290))-(FIND("E0",B1290)+2)))
))),"")</f>
        <v>135</v>
      </c>
      <c r="G1290">
        <f>IFERROR(
IF(ISNUMBER(FIND("T2",B1290)),220,
IF(ISNUMBER(FIND("T4",B1290)),440,
IF(ISNUMBER(FIND("T5",B1290)),575,
IF(ISNUMBER(FIND("T6",B1290)),690,"")))),
"")</f>
        <v>220</v>
      </c>
    </row>
    <row r="1291" spans="1:7" x14ac:dyDescent="0.25">
      <c r="A1291">
        <v>15737679</v>
      </c>
      <c r="B1291" t="str">
        <f>VLOOKUP(A1291,Planilha2!B:C,2,0)</f>
        <v>INVERSOR CFW900D0146T4NB20Y2</v>
      </c>
      <c r="C1291" t="s">
        <v>1</v>
      </c>
      <c r="D1291" t="str">
        <f>VLOOKUP(A1291,Planilha2!B:H,7,0)</f>
        <v>LINHA G1</v>
      </c>
      <c r="E1291" s="5">
        <v>33500</v>
      </c>
      <c r="F1291">
        <f>IFERROR(
IF(ISNUMBER(FIND("CFW110",B1291)),
VALUE(MID(B1291,FIND("CFW110",B1291)+6,FIND("T",B1291,FIND("CFW110",B1291))-(FIND("CFW110",B1291)+6))),
IF(ISNUMBER(FIND("D",B1291)),
VALUE(SUBSTITUTE(MID(B1291,FIND("D",B1291)+1,FIND("T",B1291,FIND("D",B1291))-(FIND("D",B1291)+1)),"P",",")),
IF(ISNUMBER(FIND("CFW5",B1291)),
VALUE(MID(B1291,
IF(ISNUMBER(FIND("F",B1291)),FIND("F",B1291)+1,FIND("G",B1291)+1),
FIND("T",B1291)-(IF(ISNUMBER(FIND("F",B1291)),FIND("F",B1291)+1,FIND("G",B1291)+1))
)),
VALUE(MID(B1291,FIND("E0",B1291)+2,FIND("T",B1291,FIND("E0",B1291))-(FIND("E0",B1291)+2)))
))),"")</f>
        <v>146</v>
      </c>
      <c r="G1291">
        <f>IFERROR(
IF(ISNUMBER(FIND("T2",B1291)),220,
IF(ISNUMBER(FIND("T4",B1291)),440,
IF(ISNUMBER(FIND("T5",B1291)),575,
IF(ISNUMBER(FIND("T6",B1291)),690,"")))),
"")</f>
        <v>440</v>
      </c>
    </row>
    <row r="1292" spans="1:7" x14ac:dyDescent="0.25">
      <c r="A1292">
        <v>15737609</v>
      </c>
      <c r="B1292" t="str">
        <f>VLOOKUP(A1292,Planilha2!B:C,2,0)</f>
        <v>INVERSOR CFW900D0135T2NB20Y2</v>
      </c>
      <c r="C1292" t="s">
        <v>1</v>
      </c>
      <c r="D1292" t="str">
        <f>VLOOKUP(A1292,Planilha2!B:H,7,0)</f>
        <v>LINHA G1</v>
      </c>
      <c r="E1292" s="5">
        <v>33500</v>
      </c>
      <c r="F1292">
        <f>IFERROR(
IF(ISNUMBER(FIND("CFW110",B1292)),
VALUE(MID(B1292,FIND("CFW110",B1292)+6,FIND("T",B1292,FIND("CFW110",B1292))-(FIND("CFW110",B1292)+6))),
IF(ISNUMBER(FIND("D",B1292)),
VALUE(SUBSTITUTE(MID(B1292,FIND("D",B1292)+1,FIND("T",B1292,FIND("D",B1292))-(FIND("D",B1292)+1)),"P",",")),
IF(ISNUMBER(FIND("CFW5",B1292)),
VALUE(MID(B1292,
IF(ISNUMBER(FIND("F",B1292)),FIND("F",B1292)+1,FIND("G",B1292)+1),
FIND("T",B1292)-(IF(ISNUMBER(FIND("F",B1292)),FIND("F",B1292)+1,FIND("G",B1292)+1))
)),
VALUE(MID(B1292,FIND("E0",B1292)+2,FIND("T",B1292,FIND("E0",B1292))-(FIND("E0",B1292)+2)))
))),"")</f>
        <v>135</v>
      </c>
      <c r="G1292">
        <f>IFERROR(
IF(ISNUMBER(FIND("T2",B1292)),220,
IF(ISNUMBER(FIND("T4",B1292)),440,
IF(ISNUMBER(FIND("T5",B1292)),575,
IF(ISNUMBER(FIND("T6",B1292)),690,"")))),
"")</f>
        <v>220</v>
      </c>
    </row>
    <row r="1293" spans="1:7" x14ac:dyDescent="0.25">
      <c r="A1293">
        <v>15737504</v>
      </c>
      <c r="B1293" t="str">
        <f>VLOOKUP(A1293,Planilha2!B:C,2,0)</f>
        <v>INVERSOR CFW900D0124T4DB20Y2</v>
      </c>
      <c r="C1293" t="s">
        <v>1</v>
      </c>
      <c r="D1293" t="str">
        <f>VLOOKUP(A1293,Planilha2!B:H,7,0)</f>
        <v>LINHA G1</v>
      </c>
      <c r="E1293" s="5">
        <v>33500</v>
      </c>
      <c r="F1293">
        <f>IFERROR(
IF(ISNUMBER(FIND("CFW110",B1293)),
VALUE(MID(B1293,FIND("CFW110",B1293)+6,FIND("T",B1293,FIND("CFW110",B1293))-(FIND("CFW110",B1293)+6))),
IF(ISNUMBER(FIND("D",B1293)),
VALUE(SUBSTITUTE(MID(B1293,FIND("D",B1293)+1,FIND("T",B1293,FIND("D",B1293))-(FIND("D",B1293)+1)),"P",",")),
IF(ISNUMBER(FIND("CFW5",B1293)),
VALUE(MID(B1293,
IF(ISNUMBER(FIND("F",B1293)),FIND("F",B1293)+1,FIND("G",B1293)+1),
FIND("T",B1293)-(IF(ISNUMBER(FIND("F",B1293)),FIND("F",B1293)+1,FIND("G",B1293)+1))
)),
VALUE(MID(B1293,FIND("E0",B1293)+2,FIND("T",B1293,FIND("E0",B1293))-(FIND("E0",B1293)+2)))
))),"")</f>
        <v>124</v>
      </c>
      <c r="G1293">
        <f>IFERROR(
IF(ISNUMBER(FIND("T2",B1293)),220,
IF(ISNUMBER(FIND("T4",B1293)),440,
IF(ISNUMBER(FIND("T5",B1293)),575,
IF(ISNUMBER(FIND("T6",B1293)),690,"")))),
"")</f>
        <v>440</v>
      </c>
    </row>
    <row r="1294" spans="1:7" x14ac:dyDescent="0.25">
      <c r="A1294">
        <v>15737506</v>
      </c>
      <c r="B1294" t="str">
        <f>VLOOKUP(A1294,Planilha2!B:C,2,0)</f>
        <v>INVERSOR CFW900D0146T4DB20Y2</v>
      </c>
      <c r="C1294" t="s">
        <v>1</v>
      </c>
      <c r="D1294" t="str">
        <f>VLOOKUP(A1294,Planilha2!B:H,7,0)</f>
        <v>LINHA G1</v>
      </c>
      <c r="E1294" s="5">
        <v>33500</v>
      </c>
      <c r="F1294">
        <f>IFERROR(
IF(ISNUMBER(FIND("CFW110",B1294)),
VALUE(MID(B1294,FIND("CFW110",B1294)+6,FIND("T",B1294,FIND("CFW110",B1294))-(FIND("CFW110",B1294)+6))),
IF(ISNUMBER(FIND("D",B1294)),
VALUE(SUBSTITUTE(MID(B1294,FIND("D",B1294)+1,FIND("T",B1294,FIND("D",B1294))-(FIND("D",B1294)+1)),"P",",")),
IF(ISNUMBER(FIND("CFW5",B1294)),
VALUE(MID(B1294,
IF(ISNUMBER(FIND("F",B1294)),FIND("F",B1294)+1,FIND("G",B1294)+1),
FIND("T",B1294)-(IF(ISNUMBER(FIND("F",B1294)),FIND("F",B1294)+1,FIND("G",B1294)+1))
)),
VALUE(MID(B1294,FIND("E0",B1294)+2,FIND("T",B1294,FIND("E0",B1294))-(FIND("E0",B1294)+2)))
))),"")</f>
        <v>146</v>
      </c>
      <c r="G1294">
        <f>IFERROR(
IF(ISNUMBER(FIND("T2",B1294)),220,
IF(ISNUMBER(FIND("T4",B1294)),440,
IF(ISNUMBER(FIND("T5",B1294)),575,
IF(ISNUMBER(FIND("T6",B1294)),690,"")))),
"")</f>
        <v>440</v>
      </c>
    </row>
    <row r="1295" spans="1:7" x14ac:dyDescent="0.25">
      <c r="A1295">
        <v>15737612</v>
      </c>
      <c r="B1295" t="str">
        <f>VLOOKUP(A1295,Planilha2!B:C,2,0)</f>
        <v>INVERSOR CFW900D96P0T4NB20Y2</v>
      </c>
      <c r="C1295" t="s">
        <v>1</v>
      </c>
      <c r="D1295" t="str">
        <f>VLOOKUP(A1295,Planilha2!B:H,7,0)</f>
        <v>LINHA G1</v>
      </c>
      <c r="E1295" s="5">
        <v>33500</v>
      </c>
      <c r="F1295">
        <f>IFERROR(
IF(ISNUMBER(FIND("CFW110",B1295)),
VALUE(MID(B1295,FIND("CFW110",B1295)+6,FIND("T",B1295,FIND("CFW110",B1295))-(FIND("CFW110",B1295)+6))),
IF(ISNUMBER(FIND("D",B1295)),
VALUE(SUBSTITUTE(MID(B1295,FIND("D",B1295)+1,FIND("T",B1295,FIND("D",B1295))-(FIND("D",B1295)+1)),"P",",")),
IF(ISNUMBER(FIND("CFW5",B1295)),
VALUE(MID(B1295,
IF(ISNUMBER(FIND("F",B1295)),FIND("F",B1295)+1,FIND("G",B1295)+1),
FIND("T",B1295)-(IF(ISNUMBER(FIND("F",B1295)),FIND("F",B1295)+1,FIND("G",B1295)+1))
)),
VALUE(MID(B1295,FIND("E0",B1295)+2,FIND("T",B1295,FIND("E0",B1295))-(FIND("E0",B1295)+2)))
))),"")</f>
        <v>96</v>
      </c>
      <c r="G1295">
        <f>IFERROR(
IF(ISNUMBER(FIND("T2",B1295)),220,
IF(ISNUMBER(FIND("T4",B1295)),440,
IF(ISNUMBER(FIND("T5",B1295)),575,
IF(ISNUMBER(FIND("T6",B1295)),690,"")))),
"")</f>
        <v>440</v>
      </c>
    </row>
    <row r="1296" spans="1:7" x14ac:dyDescent="0.25">
      <c r="A1296">
        <v>15735652</v>
      </c>
      <c r="B1296" t="str">
        <f>VLOOKUP(A1296,Planilha2!B:C,2,0)</f>
        <v>INVERSOR CFW900D0110T2DB20Y2</v>
      </c>
      <c r="C1296" t="s">
        <v>1</v>
      </c>
      <c r="D1296" t="str">
        <f>VLOOKUP(A1296,Planilha2!B:H,7,0)</f>
        <v>LINHA G1</v>
      </c>
      <c r="E1296" s="5">
        <v>33500</v>
      </c>
      <c r="F1296">
        <f>IFERROR(
IF(ISNUMBER(FIND("CFW110",B1296)),
VALUE(MID(B1296,FIND("CFW110",B1296)+6,FIND("T",B1296,FIND("CFW110",B1296))-(FIND("CFW110",B1296)+6))),
IF(ISNUMBER(FIND("D",B1296)),
VALUE(SUBSTITUTE(MID(B1296,FIND("D",B1296)+1,FIND("T",B1296,FIND("D",B1296))-(FIND("D",B1296)+1)),"P",",")),
IF(ISNUMBER(FIND("CFW5",B1296)),
VALUE(MID(B1296,
IF(ISNUMBER(FIND("F",B1296)),FIND("F",B1296)+1,FIND("G",B1296)+1),
FIND("T",B1296)-(IF(ISNUMBER(FIND("F",B1296)),FIND("F",B1296)+1,FIND("G",B1296)+1))
)),
VALUE(MID(B1296,FIND("E0",B1296)+2,FIND("T",B1296,FIND("E0",B1296))-(FIND("E0",B1296)+2)))
))),"")</f>
        <v>110</v>
      </c>
      <c r="G1296">
        <f>IFERROR(
IF(ISNUMBER(FIND("T2",B1296)),220,
IF(ISNUMBER(FIND("T4",B1296)),440,
IF(ISNUMBER(FIND("T5",B1296)),575,
IF(ISNUMBER(FIND("T6",B1296)),690,"")))),
"")</f>
        <v>220</v>
      </c>
    </row>
    <row r="1297" spans="1:7" x14ac:dyDescent="0.25">
      <c r="A1297">
        <v>17329125</v>
      </c>
      <c r="B1297" t="str">
        <f>VLOOKUP(A1297,Planilha2!B:C,2,0)</f>
        <v>INVERSOR CFW900C54P0T5DB20Y2B</v>
      </c>
      <c r="C1297" t="s">
        <v>1</v>
      </c>
      <c r="D1297" t="str">
        <f>VLOOKUP(A1297,Planilha2!B:H,7,0)</f>
        <v>LINHA M1</v>
      </c>
      <c r="E1297" s="5">
        <v>18000</v>
      </c>
      <c r="F1297" t="str">
        <f>IFERROR(
IF(ISNUMBER(FIND("CFW110",B1297)),
VALUE(MID(B1297,FIND("CFW110",B1297)+6,FIND("T",B1297,FIND("CFW110",B1297))-(FIND("CFW110",B1297)+6))),
IF(ISNUMBER(FIND("D",B1297)),
VALUE(SUBSTITUTE(MID(B1297,FIND("D",B1297)+1,FIND("T",B1297,FIND("D",B1297))-(FIND("D",B1297)+1)),"P",",")),
IF(ISNUMBER(FIND("CFW5",B1297)),
VALUE(MID(B1297,
IF(ISNUMBER(FIND("F",B1297)),FIND("F",B1297)+1,FIND("G",B1297)+1),
FIND("T",B1297)-(IF(ISNUMBER(FIND("F",B1297)),FIND("F",B1297)+1,FIND("G",B1297)+1))
)),
VALUE(MID(B1297,FIND("E0",B1297)+2,FIND("T",B1297,FIND("E0",B1297))-(FIND("E0",B1297)+2)))
))),"")</f>
        <v/>
      </c>
      <c r="G1297">
        <f>IFERROR(
IF(ISNUMBER(FIND("T2",B1297)),220,
IF(ISNUMBER(FIND("T4",B1297)),440,
IF(ISNUMBER(FIND("T5",B1297)),575,
IF(ISNUMBER(FIND("T6",B1297)),690,"")))),
"")</f>
        <v>575</v>
      </c>
    </row>
    <row r="1298" spans="1:7" x14ac:dyDescent="0.25">
      <c r="A1298">
        <v>17329015</v>
      </c>
      <c r="B1298" t="str">
        <f>VLOOKUP(A1298,Planilha2!B:C,2,0)</f>
        <v>INVERSOR CFW900C44P0T5DB20Y2B</v>
      </c>
      <c r="C1298" t="s">
        <v>1</v>
      </c>
      <c r="D1298" t="str">
        <f>VLOOKUP(A1298,Planilha2!B:H,7,0)</f>
        <v>LINHA M1</v>
      </c>
      <c r="E1298" s="5">
        <v>18000</v>
      </c>
      <c r="F1298" t="str">
        <f>IFERROR(
IF(ISNUMBER(FIND("CFW110",B1298)),
VALUE(MID(B1298,FIND("CFW110",B1298)+6,FIND("T",B1298,FIND("CFW110",B1298))-(FIND("CFW110",B1298)+6))),
IF(ISNUMBER(FIND("D",B1298)),
VALUE(SUBSTITUTE(MID(B1298,FIND("D",B1298)+1,FIND("T",B1298,FIND("D",B1298))-(FIND("D",B1298)+1)),"P",",")),
IF(ISNUMBER(FIND("CFW5",B1298)),
VALUE(MID(B1298,
IF(ISNUMBER(FIND("F",B1298)),FIND("F",B1298)+1,FIND("G",B1298)+1),
FIND("T",B1298)-(IF(ISNUMBER(FIND("F",B1298)),FIND("F",B1298)+1,FIND("G",B1298)+1))
)),
VALUE(MID(B1298,FIND("E0",B1298)+2,FIND("T",B1298,FIND("E0",B1298))-(FIND("E0",B1298)+2)))
))),"")</f>
        <v/>
      </c>
      <c r="G1298">
        <f>IFERROR(
IF(ISNUMBER(FIND("T2",B1298)),220,
IF(ISNUMBER(FIND("T4",B1298)),440,
IF(ISNUMBER(FIND("T5",B1298)),575,
IF(ISNUMBER(FIND("T6",B1298)),690,"")))),
"")</f>
        <v>575</v>
      </c>
    </row>
    <row r="1299" spans="1:7" x14ac:dyDescent="0.25">
      <c r="A1299">
        <v>17329012</v>
      </c>
      <c r="B1299" t="str">
        <f>VLOOKUP(A1299,Planilha2!B:C,2,0)</f>
        <v>INVERSOR CFW900C32P0T5DB20Y2B</v>
      </c>
      <c r="C1299" t="s">
        <v>1</v>
      </c>
      <c r="D1299" t="str">
        <f>VLOOKUP(A1299,Planilha2!B:H,7,0)</f>
        <v>LINHA M1</v>
      </c>
      <c r="E1299" s="5">
        <v>18000</v>
      </c>
      <c r="F1299" t="str">
        <f>IFERROR(
IF(ISNUMBER(FIND("CFW110",B1299)),
VALUE(MID(B1299,FIND("CFW110",B1299)+6,FIND("T",B1299,FIND("CFW110",B1299))-(FIND("CFW110",B1299)+6))),
IF(ISNUMBER(FIND("D",B1299)),
VALUE(SUBSTITUTE(MID(B1299,FIND("D",B1299)+1,FIND("T",B1299,FIND("D",B1299))-(FIND("D",B1299)+1)),"P",",")),
IF(ISNUMBER(FIND("CFW5",B1299)),
VALUE(MID(B1299,
IF(ISNUMBER(FIND("F",B1299)),FIND("F",B1299)+1,FIND("G",B1299)+1),
FIND("T",B1299)-(IF(ISNUMBER(FIND("F",B1299)),FIND("F",B1299)+1,FIND("G",B1299)+1))
)),
VALUE(MID(B1299,FIND("E0",B1299)+2,FIND("T",B1299,FIND("E0",B1299))-(FIND("E0",B1299)+2)))
))),"")</f>
        <v/>
      </c>
      <c r="G1299">
        <f>IFERROR(
IF(ISNUMBER(FIND("T2",B1299)),220,
IF(ISNUMBER(FIND("T4",B1299)),440,
IF(ISNUMBER(FIND("T5",B1299)),575,
IF(ISNUMBER(FIND("T6",B1299)),690,"")))),
"")</f>
        <v>575</v>
      </c>
    </row>
    <row r="1300" spans="1:7" x14ac:dyDescent="0.25">
      <c r="A1300">
        <v>17327410</v>
      </c>
      <c r="B1300" t="str">
        <f>VLOOKUP(A1300,Planilha2!B:C,2,0)</f>
        <v>INVERSOR CFW900C32P0T5DB20Y2</v>
      </c>
      <c r="C1300" t="s">
        <v>1</v>
      </c>
      <c r="D1300" t="str">
        <f>VLOOKUP(A1300,Planilha2!B:H,7,0)</f>
        <v>LINHA M1</v>
      </c>
      <c r="E1300" s="5">
        <v>18000</v>
      </c>
      <c r="F1300" t="str">
        <f>IFERROR(
IF(ISNUMBER(FIND("CFW110",B1300)),
VALUE(MID(B1300,FIND("CFW110",B1300)+6,FIND("T",B1300,FIND("CFW110",B1300))-(FIND("CFW110",B1300)+6))),
IF(ISNUMBER(FIND("D",B1300)),
VALUE(SUBSTITUTE(MID(B1300,FIND("D",B1300)+1,FIND("T",B1300,FIND("D",B1300))-(FIND("D",B1300)+1)),"P",",")),
IF(ISNUMBER(FIND("CFW5",B1300)),
VALUE(MID(B1300,
IF(ISNUMBER(FIND("F",B1300)),FIND("F",B1300)+1,FIND("G",B1300)+1),
FIND("T",B1300)-(IF(ISNUMBER(FIND("F",B1300)),FIND("F",B1300)+1,FIND("G",B1300)+1))
)),
VALUE(MID(B1300,FIND("E0",B1300)+2,FIND("T",B1300,FIND("E0",B1300))-(FIND("E0",B1300)+2)))
))),"")</f>
        <v/>
      </c>
      <c r="G1300">
        <f>IFERROR(
IF(ISNUMBER(FIND("T2",B1300)),220,
IF(ISNUMBER(FIND("T4",B1300)),440,
IF(ISNUMBER(FIND("T5",B1300)),575,
IF(ISNUMBER(FIND("T6",B1300)),690,"")))),
"")</f>
        <v>575</v>
      </c>
    </row>
    <row r="1301" spans="1:7" x14ac:dyDescent="0.25">
      <c r="A1301">
        <v>17327413</v>
      </c>
      <c r="B1301" t="str">
        <f>VLOOKUP(A1301,Planilha2!B:C,2,0)</f>
        <v>INVERSOR CFW900C54P0T5DB20Y2</v>
      </c>
      <c r="C1301" t="s">
        <v>1</v>
      </c>
      <c r="D1301" t="str">
        <f>VLOOKUP(A1301,Planilha2!B:H,7,0)</f>
        <v>LINHA M1</v>
      </c>
      <c r="E1301" s="5">
        <v>18000</v>
      </c>
      <c r="F1301" t="str">
        <f>IFERROR(
IF(ISNUMBER(FIND("CFW110",B1301)),
VALUE(MID(B1301,FIND("CFW110",B1301)+6,FIND("T",B1301,FIND("CFW110",B1301))-(FIND("CFW110",B1301)+6))),
IF(ISNUMBER(FIND("D",B1301)),
VALUE(SUBSTITUTE(MID(B1301,FIND("D",B1301)+1,FIND("T",B1301,FIND("D",B1301))-(FIND("D",B1301)+1)),"P",",")),
IF(ISNUMBER(FIND("CFW5",B1301)),
VALUE(MID(B1301,
IF(ISNUMBER(FIND("F",B1301)),FIND("F",B1301)+1,FIND("G",B1301)+1),
FIND("T",B1301)-(IF(ISNUMBER(FIND("F",B1301)),FIND("F",B1301)+1,FIND("G",B1301)+1))
)),
VALUE(MID(B1301,FIND("E0",B1301)+2,FIND("T",B1301,FIND("E0",B1301))-(FIND("E0",B1301)+2)))
))),"")</f>
        <v/>
      </c>
      <c r="G1301">
        <f>IFERROR(
IF(ISNUMBER(FIND("T2",B1301)),220,
IF(ISNUMBER(FIND("T4",B1301)),440,
IF(ISNUMBER(FIND("T5",B1301)),575,
IF(ISNUMBER(FIND("T6",B1301)),690,"")))),
"")</f>
        <v>575</v>
      </c>
    </row>
    <row r="1302" spans="1:7" x14ac:dyDescent="0.25">
      <c r="A1302">
        <v>17327412</v>
      </c>
      <c r="B1302" t="str">
        <f>VLOOKUP(A1302,Planilha2!B:C,2,0)</f>
        <v>INVERSOR CFW900C44P0T5DB20Y2</v>
      </c>
      <c r="C1302" t="s">
        <v>1</v>
      </c>
      <c r="D1302" t="str">
        <f>VLOOKUP(A1302,Planilha2!B:H,7,0)</f>
        <v>LINHA M1</v>
      </c>
      <c r="E1302" s="5">
        <v>18000</v>
      </c>
      <c r="F1302" t="str">
        <f>IFERROR(
IF(ISNUMBER(FIND("CFW110",B1302)),
VALUE(MID(B1302,FIND("CFW110",B1302)+6,FIND("T",B1302,FIND("CFW110",B1302))-(FIND("CFW110",B1302)+6))),
IF(ISNUMBER(FIND("D",B1302)),
VALUE(SUBSTITUTE(MID(B1302,FIND("D",B1302)+1,FIND("T",B1302,FIND("D",B1302))-(FIND("D",B1302)+1)),"P",",")),
IF(ISNUMBER(FIND("CFW5",B1302)),
VALUE(MID(B1302,
IF(ISNUMBER(FIND("F",B1302)),FIND("F",B1302)+1,FIND("G",B1302)+1),
FIND("T",B1302)-(IF(ISNUMBER(FIND("F",B1302)),FIND("F",B1302)+1,FIND("G",B1302)+1))
)),
VALUE(MID(B1302,FIND("E0",B1302)+2,FIND("T",B1302,FIND("E0",B1302))-(FIND("E0",B1302)+2)))
))),"")</f>
        <v/>
      </c>
      <c r="G1302">
        <f>IFERROR(
IF(ISNUMBER(FIND("T2",B1302)),220,
IF(ISNUMBER(FIND("T4",B1302)),440,
IF(ISNUMBER(FIND("T5",B1302)),575,
IF(ISNUMBER(FIND("T6",B1302)),690,"")))),
"")</f>
        <v>575</v>
      </c>
    </row>
    <row r="1303" spans="1:7" x14ac:dyDescent="0.25">
      <c r="A1303">
        <v>14320279</v>
      </c>
      <c r="B1303" t="str">
        <f>VLOOKUP(A1303,Planilha2!B:C,2,0)</f>
        <v>INVERSOR NACFW110105T4O55DSZ</v>
      </c>
      <c r="C1303" t="s">
        <v>3170</v>
      </c>
      <c r="D1303" t="str">
        <f>VLOOKUP(A1303,Planilha2!B:H,7,0)</f>
        <v>LINHA E1</v>
      </c>
      <c r="E1303" s="5">
        <v>87400</v>
      </c>
      <c r="F1303">
        <f>IFERROR(
IF(ISNUMBER(FIND("CFW110",B1303)),
VALUE(MID(B1303,FIND("CFW110",B1303)+6,FIND("T",B1303,FIND("CFW110",B1303))-(FIND("CFW110",B1303)+6))),
IF(ISNUMBER(FIND("D",B1303)),
VALUE(SUBSTITUTE(MID(B1303,FIND("D",B1303)+1,FIND("T",B1303,FIND("D",B1303))-(FIND("D",B1303)+1)),"P",",")),
IF(ISNUMBER(FIND("CFW5",B1303)),
VALUE(MID(B1303,
IF(ISNUMBER(FIND("F",B1303)),FIND("F",B1303)+1,FIND("G",B1303)+1),
FIND("T",B1303)-(IF(ISNUMBER(FIND("F",B1303)),FIND("F",B1303)+1,FIND("G",B1303)+1))
)),
VALUE(MID(B1303,FIND("E0",B1303)+2,FIND("T",B1303,FIND("E0",B1303))-(FIND("E0",B1303)+2)))
))),"")</f>
        <v>105</v>
      </c>
      <c r="G1303">
        <f>IFERROR(
IF(ISNUMBER(FIND("T2",B1303)),220,
IF(ISNUMBER(FIND("T4",B1303)),440,
IF(ISNUMBER(FIND("T5",B1303)),575,
IF(ISNUMBER(FIND("T6",B1303)),690,"")))),
"")</f>
        <v>440</v>
      </c>
    </row>
    <row r="1304" spans="1:7" x14ac:dyDescent="0.25">
      <c r="A1304">
        <v>14320453</v>
      </c>
      <c r="B1304" t="str">
        <f>VLOOKUP(A1304,Planilha2!B:C,2,0)</f>
        <v>INVERSOR NACFW110142T4O55DSZ</v>
      </c>
      <c r="C1304" t="s">
        <v>3170</v>
      </c>
      <c r="D1304" t="str">
        <f>VLOOKUP(A1304,Planilha2!B:H,7,0)</f>
        <v>LINHA E1</v>
      </c>
      <c r="E1304" s="5">
        <v>90200</v>
      </c>
      <c r="F1304">
        <f>IFERROR(
IF(ISNUMBER(FIND("CFW110",B1304)),
VALUE(MID(B1304,FIND("CFW110",B1304)+6,FIND("T",B1304,FIND("CFW110",B1304))-(FIND("CFW110",B1304)+6))),
IF(ISNUMBER(FIND("D",B1304)),
VALUE(SUBSTITUTE(MID(B1304,FIND("D",B1304)+1,FIND("T",B1304,FIND("D",B1304))-(FIND("D",B1304)+1)),"P",",")),
IF(ISNUMBER(FIND("CFW5",B1304)),
VALUE(MID(B1304,
IF(ISNUMBER(FIND("F",B1304)),FIND("F",B1304)+1,FIND("G",B1304)+1),
FIND("T",B1304)-(IF(ISNUMBER(FIND("F",B1304)),FIND("F",B1304)+1,FIND("G",B1304)+1))
)),
VALUE(MID(B1304,FIND("E0",B1304)+2,FIND("T",B1304,FIND("E0",B1304))-(FIND("E0",B1304)+2)))
))),"")</f>
        <v>142</v>
      </c>
      <c r="G1304">
        <f>IFERROR(
IF(ISNUMBER(FIND("T2",B1304)),220,
IF(ISNUMBER(FIND("T4",B1304)),440,
IF(ISNUMBER(FIND("T5",B1304)),575,
IF(ISNUMBER(FIND("T6",B1304)),690,"")))),
"")</f>
        <v>440</v>
      </c>
    </row>
    <row r="1305" spans="1:7" x14ac:dyDescent="0.25">
      <c r="A1305">
        <v>14320456</v>
      </c>
      <c r="B1305" t="str">
        <f>VLOOKUP(A1305,Planilha2!B:C,2,0)</f>
        <v>INVERSOR NACFW110180T4O55DSZ</v>
      </c>
      <c r="C1305" t="s">
        <v>3170</v>
      </c>
      <c r="D1305" t="str">
        <f>VLOOKUP(A1305,Planilha2!B:H,7,0)</f>
        <v>LINHA E1</v>
      </c>
      <c r="E1305" s="5">
        <v>100300</v>
      </c>
      <c r="F1305">
        <f>IFERROR(
IF(ISNUMBER(FIND("CFW110",B1305)),
VALUE(MID(B1305,FIND("CFW110",B1305)+6,FIND("T",B1305,FIND("CFW110",B1305))-(FIND("CFW110",B1305)+6))),
IF(ISNUMBER(FIND("D",B1305)),
VALUE(SUBSTITUTE(MID(B1305,FIND("D",B1305)+1,FIND("T",B1305,FIND("D",B1305))-(FIND("D",B1305)+1)),"P",",")),
IF(ISNUMBER(FIND("CFW5",B1305)),
VALUE(MID(B1305,
IF(ISNUMBER(FIND("F",B1305)),FIND("F",B1305)+1,FIND("G",B1305)+1),
FIND("T",B1305)-(IF(ISNUMBER(FIND("F",B1305)),FIND("F",B1305)+1,FIND("G",B1305)+1))
)),
VALUE(MID(B1305,FIND("E0",B1305)+2,FIND("T",B1305,FIND("E0",B1305))-(FIND("E0",B1305)+2)))
))),"")</f>
        <v>180</v>
      </c>
      <c r="G1305">
        <f>IFERROR(
IF(ISNUMBER(FIND("T2",B1305)),220,
IF(ISNUMBER(FIND("T4",B1305)),440,
IF(ISNUMBER(FIND("T5",B1305)),575,
IF(ISNUMBER(FIND("T6",B1305)),690,"")))),
"")</f>
        <v>440</v>
      </c>
    </row>
    <row r="1306" spans="1:7" x14ac:dyDescent="0.25">
      <c r="A1306">
        <v>14320482</v>
      </c>
      <c r="B1306" t="str">
        <f>VLOOKUP(A1306,Planilha2!B:C,2,0)</f>
        <v>INVERSOR NACFW110211T4O55DSZ</v>
      </c>
      <c r="C1306" t="s">
        <v>3170</v>
      </c>
      <c r="D1306" t="str">
        <f>VLOOKUP(A1306,Planilha2!B:H,7,0)</f>
        <v>LINHA E1</v>
      </c>
      <c r="E1306" s="5">
        <v>100300</v>
      </c>
      <c r="F1306">
        <f>IFERROR(
IF(ISNUMBER(FIND("CFW110",B1306)),
VALUE(MID(B1306,FIND("CFW110",B1306)+6,FIND("T",B1306,FIND("CFW110",B1306))-(FIND("CFW110",B1306)+6))),
IF(ISNUMBER(FIND("D",B1306)),
VALUE(SUBSTITUTE(MID(B1306,FIND("D",B1306)+1,FIND("T",B1306,FIND("D",B1306))-(FIND("D",B1306)+1)),"P",",")),
IF(ISNUMBER(FIND("CFW5",B1306)),
VALUE(MID(B1306,
IF(ISNUMBER(FIND("F",B1306)),FIND("F",B1306)+1,FIND("G",B1306)+1),
FIND("T",B1306)-(IF(ISNUMBER(FIND("F",B1306)),FIND("F",B1306)+1,FIND("G",B1306)+1))
)),
VALUE(MID(B1306,FIND("E0",B1306)+2,FIND("T",B1306,FIND("E0",B1306))-(FIND("E0",B1306)+2)))
))),"")</f>
        <v>211</v>
      </c>
      <c r="G1306">
        <f>IFERROR(
IF(ISNUMBER(FIND("T2",B1306)),220,
IF(ISNUMBER(FIND("T4",B1306)),440,
IF(ISNUMBER(FIND("T5",B1306)),575,
IF(ISNUMBER(FIND("T6",B1306)),690,"")))),
"")</f>
        <v>440</v>
      </c>
    </row>
    <row r="1307" spans="1:7" x14ac:dyDescent="0.25">
      <c r="A1307">
        <v>14396988</v>
      </c>
      <c r="B1307" t="str">
        <f>VLOOKUP(A1307,Planilha2!B:C,2,0)</f>
        <v>INVERSOR NACFW110211T4ODBYWZ</v>
      </c>
      <c r="C1307" t="s">
        <v>3170</v>
      </c>
      <c r="D1307" t="str">
        <f>VLOOKUP(A1307,Planilha2!B:H,7,0)</f>
        <v>LINHA G1</v>
      </c>
      <c r="E1307" s="5">
        <v>59360</v>
      </c>
      <c r="F1307">
        <f>IFERROR(
IF(ISNUMBER(FIND("CFW110",B1307)),
VALUE(MID(B1307,FIND("CFW110",B1307)+6,FIND("T",B1307,FIND("CFW110",B1307))-(FIND("CFW110",B1307)+6))),
IF(ISNUMBER(FIND("D",B1307)),
VALUE(SUBSTITUTE(MID(B1307,FIND("D",B1307)+1,FIND("T",B1307,FIND("D",B1307))-(FIND("D",B1307)+1)),"P",",")),
IF(ISNUMBER(FIND("CFW5",B1307)),
VALUE(MID(B1307,
IF(ISNUMBER(FIND("F",B1307)),FIND("F",B1307)+1,FIND("G",B1307)+1),
FIND("T",B1307)-(IF(ISNUMBER(FIND("F",B1307)),FIND("F",B1307)+1,FIND("G",B1307)+1))
)),
VALUE(MID(B1307,FIND("E0",B1307)+2,FIND("T",B1307,FIND("E0",B1307))-(FIND("E0",B1307)+2)))
))),"")</f>
        <v>211</v>
      </c>
      <c r="G1307">
        <f>IFERROR(
IF(ISNUMBER(FIND("T2",B1307)),220,
IF(ISNUMBER(FIND("T4",B1307)),440,
IF(ISNUMBER(FIND("T5",B1307)),575,
IF(ISNUMBER(FIND("T6",B1307)),690,"")))),
"")</f>
        <v>440</v>
      </c>
    </row>
    <row r="1308" spans="1:7" x14ac:dyDescent="0.25">
      <c r="A1308">
        <v>14341413</v>
      </c>
      <c r="B1308" t="str">
        <f>VLOOKUP(A1308,Planilha2!B:C,2,0)</f>
        <v>INVERSOR BRCFW110877T4ORBZ-UI</v>
      </c>
      <c r="C1308" t="s">
        <v>3170</v>
      </c>
      <c r="D1308" t="str">
        <f>VLOOKUP(A1308,Planilha2!B:H,7,0)</f>
        <v>LINHA E5</v>
      </c>
      <c r="E1308" s="5">
        <v>213368</v>
      </c>
      <c r="F1308">
        <f>IFERROR(
IF(ISNUMBER(FIND("CFW110",B1308)),
VALUE(MID(B1308,FIND("CFW110",B1308)+6,FIND("T",B1308,FIND("CFW110",B1308))-(FIND("CFW110",B1308)+6))),
IF(ISNUMBER(FIND("D",B1308)),
VALUE(SUBSTITUTE(MID(B1308,FIND("D",B1308)+1,FIND("T",B1308,FIND("D",B1308))-(FIND("D",B1308)+1)),"P",",")),
IF(ISNUMBER(FIND("CFW5",B1308)),
VALUE(MID(B1308,
IF(ISNUMBER(FIND("F",B1308)),FIND("F",B1308)+1,FIND("G",B1308)+1),
FIND("T",B1308)-(IF(ISNUMBER(FIND("F",B1308)),FIND("F",B1308)+1,FIND("G",B1308)+1))
)),
VALUE(MID(B1308,FIND("E0",B1308)+2,FIND("T",B1308,FIND("E0",B1308))-(FIND("E0",B1308)+2)))
))),"")</f>
        <v>877</v>
      </c>
      <c r="G1308">
        <f>IFERROR(
IF(ISNUMBER(FIND("T2",B1308)),220,
IF(ISNUMBER(FIND("T4",B1308)),440,
IF(ISNUMBER(FIND("T5",B1308)),575,
IF(ISNUMBER(FIND("T6",B1308)),690,"")))),
"")</f>
        <v>440</v>
      </c>
    </row>
    <row r="1309" spans="1:7" x14ac:dyDescent="0.25">
      <c r="A1309">
        <v>14409727</v>
      </c>
      <c r="B1309" t="str">
        <f>VLOOKUP(A1309,Planilha2!B:C,2,0)</f>
        <v>INVERSOR BRCFW110105T4ORBZ-UI</v>
      </c>
      <c r="C1309" t="s">
        <v>3170</v>
      </c>
      <c r="D1309" t="str">
        <f>VLOOKUP(A1309,Planilha2!B:H,7,0)</f>
        <v>LINHA G1</v>
      </c>
      <c r="E1309" s="5">
        <v>50000</v>
      </c>
      <c r="F1309">
        <f>IFERROR(
IF(ISNUMBER(FIND("CFW110",B1309)),
VALUE(MID(B1309,FIND("CFW110",B1309)+6,FIND("T",B1309,FIND("CFW110",B1309))-(FIND("CFW110",B1309)+6))),
IF(ISNUMBER(FIND("D",B1309)),
VALUE(SUBSTITUTE(MID(B1309,FIND("D",B1309)+1,FIND("T",B1309,FIND("D",B1309))-(FIND("D",B1309)+1)),"P",",")),
IF(ISNUMBER(FIND("CFW5",B1309)),
VALUE(MID(B1309,
IF(ISNUMBER(FIND("F",B1309)),FIND("F",B1309)+1,FIND("G",B1309)+1),
FIND("T",B1309)-(IF(ISNUMBER(FIND("F",B1309)),FIND("F",B1309)+1,FIND("G",B1309)+1))
)),
VALUE(MID(B1309,FIND("E0",B1309)+2,FIND("T",B1309,FIND("E0",B1309))-(FIND("E0",B1309)+2)))
))),"")</f>
        <v>105</v>
      </c>
      <c r="G1309">
        <f>IFERROR(
IF(ISNUMBER(FIND("T2",B1309)),220,
IF(ISNUMBER(FIND("T4",B1309)),440,
IF(ISNUMBER(FIND("T5",B1309)),575,
IF(ISNUMBER(FIND("T6",B1309)),690,"")))),
"")</f>
        <v>440</v>
      </c>
    </row>
    <row r="1310" spans="1:7" x14ac:dyDescent="0.25">
      <c r="A1310">
        <v>14320398</v>
      </c>
      <c r="B1310" t="str">
        <f>VLOOKUP(A1310,Planilha2!B:C,2,0)</f>
        <v>INVERSOR NACFW110180T2O55DSZ</v>
      </c>
      <c r="C1310" t="s">
        <v>3170</v>
      </c>
      <c r="D1310" t="str">
        <f>VLOOKUP(A1310,Planilha2!B:H,7,0)</f>
        <v>LINHA E1</v>
      </c>
      <c r="E1310" s="5">
        <v>100300</v>
      </c>
      <c r="F1310">
        <f>IFERROR(
IF(ISNUMBER(FIND("CFW110",B1310)),
VALUE(MID(B1310,FIND("CFW110",B1310)+6,FIND("T",B1310,FIND("CFW110",B1310))-(FIND("CFW110",B1310)+6))),
IF(ISNUMBER(FIND("D",B1310)),
VALUE(SUBSTITUTE(MID(B1310,FIND("D",B1310)+1,FIND("T",B1310,FIND("D",B1310))-(FIND("D",B1310)+1)),"P",",")),
IF(ISNUMBER(FIND("CFW5",B1310)),
VALUE(MID(B1310,
IF(ISNUMBER(FIND("F",B1310)),FIND("F",B1310)+1,FIND("G",B1310)+1),
FIND("T",B1310)-(IF(ISNUMBER(FIND("F",B1310)),FIND("F",B1310)+1,FIND("G",B1310)+1))
)),
VALUE(MID(B1310,FIND("E0",B1310)+2,FIND("T",B1310,FIND("E0",B1310))-(FIND("E0",B1310)+2)))
))),"")</f>
        <v>180</v>
      </c>
      <c r="G1310">
        <f>IFERROR(
IF(ISNUMBER(FIND("T2",B1310)),220,
IF(ISNUMBER(FIND("T4",B1310)),440,
IF(ISNUMBER(FIND("T5",B1310)),575,
IF(ISNUMBER(FIND("T6",B1310)),690,"")))),
"")</f>
        <v>220</v>
      </c>
    </row>
    <row r="1311" spans="1:7" x14ac:dyDescent="0.25">
      <c r="A1311">
        <v>14688032</v>
      </c>
      <c r="B1311" t="str">
        <f>VLOOKUP(A1311,Planilha2!B:C,2,0)</f>
        <v>INVERSOR BRCFW110211T4OECZ</v>
      </c>
      <c r="C1311" t="s">
        <v>3170</v>
      </c>
      <c r="D1311" t="str">
        <f>VLOOKUP(A1311,Planilha2!B:H,7,0)</f>
        <v>LINHA G1</v>
      </c>
      <c r="E1311" s="5">
        <v>68288</v>
      </c>
      <c r="F1311">
        <f>IFERROR(
IF(ISNUMBER(FIND("CFW110",B1311)),
VALUE(MID(B1311,FIND("CFW110",B1311)+6,FIND("T",B1311,FIND("CFW110",B1311))-(FIND("CFW110",B1311)+6))),
IF(ISNUMBER(FIND("D",B1311)),
VALUE(SUBSTITUTE(MID(B1311,FIND("D",B1311)+1,FIND("T",B1311,FIND("D",B1311))-(FIND("D",B1311)+1)),"P",",")),
IF(ISNUMBER(FIND("CFW5",B1311)),
VALUE(MID(B1311,
IF(ISNUMBER(FIND("F",B1311)),FIND("F",B1311)+1,FIND("G",B1311)+1),
FIND("T",B1311)-(IF(ISNUMBER(FIND("F",B1311)),FIND("F",B1311)+1,FIND("G",B1311)+1))
)),
VALUE(MID(B1311,FIND("E0",B1311)+2,FIND("T",B1311,FIND("E0",B1311))-(FIND("E0",B1311)+2)))
))),"")</f>
        <v>211</v>
      </c>
      <c r="G1311">
        <f>IFERROR(
IF(ISNUMBER(FIND("T2",B1311)),220,
IF(ISNUMBER(FIND("T4",B1311)),440,
IF(ISNUMBER(FIND("T5",B1311)),575,
IF(ISNUMBER(FIND("T6",B1311)),690,"")))),
"")</f>
        <v>440</v>
      </c>
    </row>
    <row r="1312" spans="1:7" x14ac:dyDescent="0.25">
      <c r="A1312">
        <v>14586834</v>
      </c>
      <c r="B1312" t="str">
        <f>VLOOKUP(A1312,Planilha2!B:C,2,0)</f>
        <v>INVERSOR EUCFW110105T4OYZ-UI</v>
      </c>
      <c r="C1312" t="s">
        <v>3170</v>
      </c>
      <c r="D1312" t="str">
        <f>VLOOKUP(A1312,Planilha2!B:H,7,0)</f>
        <v>LINHA G1</v>
      </c>
      <c r="E1312" s="5">
        <v>78700</v>
      </c>
      <c r="F1312">
        <f>IFERROR(
IF(ISNUMBER(FIND("CFW110",B1312)),
VALUE(MID(B1312,FIND("CFW110",B1312)+6,FIND("T",B1312,FIND("CFW110",B1312))-(FIND("CFW110",B1312)+6))),
IF(ISNUMBER(FIND("D",B1312)),
VALUE(SUBSTITUTE(MID(B1312,FIND("D",B1312)+1,FIND("T",B1312,FIND("D",B1312))-(FIND("D",B1312)+1)),"P",",")),
IF(ISNUMBER(FIND("CFW5",B1312)),
VALUE(MID(B1312,
IF(ISNUMBER(FIND("F",B1312)),FIND("F",B1312)+1,FIND("G",B1312)+1),
FIND("T",B1312)-(IF(ISNUMBER(FIND("F",B1312)),FIND("F",B1312)+1,FIND("G",B1312)+1))
)),
VALUE(MID(B1312,FIND("E0",B1312)+2,FIND("T",B1312,FIND("E0",B1312))-(FIND("E0",B1312)+2)))
))),"")</f>
        <v>105</v>
      </c>
      <c r="G1312">
        <f>IFERROR(
IF(ISNUMBER(FIND("T2",B1312)),220,
IF(ISNUMBER(FIND("T4",B1312)),440,
IF(ISNUMBER(FIND("T5",B1312)),575,
IF(ISNUMBER(FIND("T6",B1312)),690,"")))),
"")</f>
        <v>440</v>
      </c>
    </row>
    <row r="1313" spans="1:7" x14ac:dyDescent="0.25">
      <c r="A1313">
        <v>14745109</v>
      </c>
      <c r="B1313" t="str">
        <f>VLOOKUP(A1313,Planilha2!B:C,2,0)</f>
        <v>INVERSOR BRCFW110211T4OYWSIZ-UI</v>
      </c>
      <c r="C1313" t="s">
        <v>3170</v>
      </c>
      <c r="D1313" t="str">
        <f>VLOOKUP(A1313,Planilha2!B:H,7,0)</f>
        <v>LINHA G1</v>
      </c>
      <c r="E1313" s="5">
        <v>68288</v>
      </c>
      <c r="F1313">
        <f>IFERROR(
IF(ISNUMBER(FIND("CFW110",B1313)),
VALUE(MID(B1313,FIND("CFW110",B1313)+6,FIND("T",B1313,FIND("CFW110",B1313))-(FIND("CFW110",B1313)+6))),
IF(ISNUMBER(FIND("D",B1313)),
VALUE(SUBSTITUTE(MID(B1313,FIND("D",B1313)+1,FIND("T",B1313,FIND("D",B1313))-(FIND("D",B1313)+1)),"P",",")),
IF(ISNUMBER(FIND("CFW5",B1313)),
VALUE(MID(B1313,
IF(ISNUMBER(FIND("F",B1313)),FIND("F",B1313)+1,FIND("G",B1313)+1),
FIND("T",B1313)-(IF(ISNUMBER(FIND("F",B1313)),FIND("F",B1313)+1,FIND("G",B1313)+1))
)),
VALUE(MID(B1313,FIND("E0",B1313)+2,FIND("T",B1313,FIND("E0",B1313))-(FIND("E0",B1313)+2)))
))),"")</f>
        <v>211</v>
      </c>
      <c r="G1313">
        <f>IFERROR(
IF(ISNUMBER(FIND("T2",B1313)),220,
IF(ISNUMBER(FIND("T4",B1313)),440,
IF(ISNUMBER(FIND("T5",B1313)),575,
IF(ISNUMBER(FIND("T6",B1313)),690,"")))),
"")</f>
        <v>440</v>
      </c>
    </row>
    <row r="1314" spans="1:7" x14ac:dyDescent="0.25">
      <c r="A1314">
        <v>14504853</v>
      </c>
      <c r="B1314" t="str">
        <f>VLOOKUP(A1314,Planilha2!B:C,2,0)</f>
        <v>INVERSOR CFW700E0150T5NB20C3Y1HASC</v>
      </c>
      <c r="C1314" t="s">
        <v>3170</v>
      </c>
      <c r="D1314" t="str">
        <f>VLOOKUP(A1314,Planilha2!B:H,7,0)</f>
        <v>OBSOLETOS DRIVES</v>
      </c>
      <c r="E1314" s="5">
        <v>60360</v>
      </c>
      <c r="F1314">
        <f>IFERROR(
IF(ISNUMBER(FIND("CFW110",B1314)),
VALUE(MID(B1314,FIND("CFW110",B1314)+6,FIND("T",B1314,FIND("CFW110",B1314))-(FIND("CFW110",B1314)+6))),
IF(ISNUMBER(FIND("D",B1314)),
VALUE(SUBSTITUTE(MID(B1314,FIND("D",B1314)+1,FIND("T",B1314,FIND("D",B1314))-(FIND("D",B1314)+1)),"P",",")),
IF(ISNUMBER(FIND("CFW5",B1314)),
VALUE(MID(B1314,
IF(ISNUMBER(FIND("F",B1314)),FIND("F",B1314)+1,FIND("G",B1314)+1),
FIND("T",B1314)-(IF(ISNUMBER(FIND("F",B1314)),FIND("F",B1314)+1,FIND("G",B1314)+1))
)),
VALUE(MID(B1314,FIND("E0",B1314)+2,FIND("T",B1314,FIND("E0",B1314))-(FIND("E0",B1314)+2)))
))),"")</f>
        <v>150</v>
      </c>
      <c r="G1314">
        <f>IFERROR(
IF(ISNUMBER(FIND("T2",B1314)),220,
IF(ISNUMBER(FIND("T4",B1314)),440,
IF(ISNUMBER(FIND("T5",B1314)),575,
IF(ISNUMBER(FIND("T6",B1314)),690,"")))),
"")</f>
        <v>575</v>
      </c>
    </row>
    <row r="1315" spans="1:7" x14ac:dyDescent="0.25">
      <c r="A1315">
        <v>14762703</v>
      </c>
      <c r="B1315" t="str">
        <f>VLOOKUP(A1315,Planilha2!B:C,2,0)</f>
        <v>INVERSOR BRCFW110211T4OWH2SDZ-UI</v>
      </c>
      <c r="C1315" t="s">
        <v>3170</v>
      </c>
      <c r="D1315" t="str">
        <f>VLOOKUP(A1315,Planilha2!B:H,7,0)</f>
        <v>LINHA G1</v>
      </c>
      <c r="E1315" s="5">
        <v>68288</v>
      </c>
      <c r="F1315">
        <f>IFERROR(
IF(ISNUMBER(FIND("CFW110",B1315)),
VALUE(MID(B1315,FIND("CFW110",B1315)+6,FIND("T",B1315,FIND("CFW110",B1315))-(FIND("CFW110",B1315)+6))),
IF(ISNUMBER(FIND("D",B1315)),
VALUE(SUBSTITUTE(MID(B1315,FIND("D",B1315)+1,FIND("T",B1315,FIND("D",B1315))-(FIND("D",B1315)+1)),"P",",")),
IF(ISNUMBER(FIND("CFW5",B1315)),
VALUE(MID(B1315,
IF(ISNUMBER(FIND("F",B1315)),FIND("F",B1315)+1,FIND("G",B1315)+1),
FIND("T",B1315)-(IF(ISNUMBER(FIND("F",B1315)),FIND("F",B1315)+1,FIND("G",B1315)+1))
)),
VALUE(MID(B1315,FIND("E0",B1315)+2,FIND("T",B1315,FIND("E0",B1315))-(FIND("E0",B1315)+2)))
))),"")</f>
        <v>211</v>
      </c>
      <c r="G1315">
        <f>IFERROR(
IF(ISNUMBER(FIND("T2",B1315)),220,
IF(ISNUMBER(FIND("T4",B1315)),440,
IF(ISNUMBER(FIND("T5",B1315)),575,
IF(ISNUMBER(FIND("T6",B1315)),690,"")))),
"")</f>
        <v>440</v>
      </c>
    </row>
    <row r="1316" spans="1:7" x14ac:dyDescent="0.25">
      <c r="A1316">
        <v>12999221</v>
      </c>
      <c r="B1316" t="str">
        <f>VLOOKUP(A1316,Planilha2!B:C,2,0)</f>
        <v>INVERSOR CFW700E0211T4DB20C3Y1</v>
      </c>
      <c r="C1316" t="s">
        <v>3170</v>
      </c>
      <c r="D1316" t="str">
        <f>VLOOKUP(A1316,Planilha2!B:H,7,0)</f>
        <v>OBSOLETOS DRIVES</v>
      </c>
      <c r="E1316" s="5">
        <v>69100</v>
      </c>
      <c r="F1316" t="str">
        <f>IFERROR(
IF(ISNUMBER(FIND("CFW110",B1316)),
VALUE(MID(B1316,FIND("CFW110",B1316)+6,FIND("T",B1316,FIND("CFW110",B1316))-(FIND("CFW110",B1316)+6))),
IF(ISNUMBER(FIND("D",B1316)),
VALUE(SUBSTITUTE(MID(B1316,FIND("D",B1316)+1,FIND("T",B1316,FIND("D",B1316))-(FIND("D",B1316)+1)),"P",",")),
IF(ISNUMBER(FIND("CFW5",B1316)),
VALUE(MID(B1316,
IF(ISNUMBER(FIND("F",B1316)),FIND("F",B1316)+1,FIND("G",B1316)+1),
FIND("T",B1316)-(IF(ISNUMBER(FIND("F",B1316)),FIND("F",B1316)+1,FIND("G",B1316)+1))
)),
VALUE(MID(B1316,FIND("E0",B1316)+2,FIND("T",B1316,FIND("E0",B1316))-(FIND("E0",B1316)+2)))
))),"")</f>
        <v/>
      </c>
      <c r="G1316">
        <f>IFERROR(
IF(ISNUMBER(FIND("T2",B1316)),220,
IF(ISNUMBER(FIND("T4",B1316)),440,
IF(ISNUMBER(FIND("T5",B1316)),575,
IF(ISNUMBER(FIND("T6",B1316)),690,"")))),
"")</f>
        <v>440</v>
      </c>
    </row>
    <row r="1317" spans="1:7" x14ac:dyDescent="0.25">
      <c r="A1317">
        <v>14216809</v>
      </c>
      <c r="B1317" t="str">
        <f>VLOOKUP(A1317,Planilha2!B:C,2,0)</f>
        <v>INVERSOR CFW700E0142T2NB20C3-UI</v>
      </c>
      <c r="C1317" t="s">
        <v>3170</v>
      </c>
      <c r="D1317" t="str">
        <f>VLOOKUP(A1317,Planilha2!B:H,7,0)</f>
        <v>LINHA G1</v>
      </c>
      <c r="E1317" s="5">
        <v>65000</v>
      </c>
      <c r="F1317">
        <f>IFERROR(
IF(ISNUMBER(FIND("CFW110",B1317)),
VALUE(MID(B1317,FIND("CFW110",B1317)+6,FIND("T",B1317,FIND("CFW110",B1317))-(FIND("CFW110",B1317)+6))),
IF(ISNUMBER(FIND("D",B1317)),
VALUE(SUBSTITUTE(MID(B1317,FIND("D",B1317)+1,FIND("T",B1317,FIND("D",B1317))-(FIND("D",B1317)+1)),"P",",")),
IF(ISNUMBER(FIND("CFW5",B1317)),
VALUE(MID(B1317,
IF(ISNUMBER(FIND("F",B1317)),FIND("F",B1317)+1,FIND("G",B1317)+1),
FIND("T",B1317)-(IF(ISNUMBER(FIND("F",B1317)),FIND("F",B1317)+1,FIND("G",B1317)+1))
)),
VALUE(MID(B1317,FIND("E0",B1317)+2,FIND("T",B1317,FIND("E0",B1317))-(FIND("E0",B1317)+2)))
))),"")</f>
        <v>142</v>
      </c>
      <c r="G1317">
        <f>IFERROR(
IF(ISNUMBER(FIND("T2",B1317)),220,
IF(ISNUMBER(FIND("T4",B1317)),440,
IF(ISNUMBER(FIND("T5",B1317)),575,
IF(ISNUMBER(FIND("T6",B1317)),690,"")))),
"")</f>
        <v>220</v>
      </c>
    </row>
    <row r="1318" spans="1:7" x14ac:dyDescent="0.25">
      <c r="A1318">
        <v>13392848</v>
      </c>
      <c r="B1318" t="str">
        <f>VLOOKUP(A1318,Planilha2!B:C,2,0)</f>
        <v>INVERSOR BCCFW110105T4OHESEZ-UI</v>
      </c>
      <c r="C1318" t="s">
        <v>3170</v>
      </c>
      <c r="D1318" t="str">
        <f>VLOOKUP(A1318,Planilha2!B:H,7,0)</f>
        <v>LINHA G1</v>
      </c>
      <c r="E1318" s="5">
        <v>69100</v>
      </c>
      <c r="F1318">
        <f>IFERROR(
IF(ISNUMBER(FIND("CFW110",B1318)),
VALUE(MID(B1318,FIND("CFW110",B1318)+6,FIND("T",B1318,FIND("CFW110",B1318))-(FIND("CFW110",B1318)+6))),
IF(ISNUMBER(FIND("D",B1318)),
VALUE(SUBSTITUTE(MID(B1318,FIND("D",B1318)+1,FIND("T",B1318,FIND("D",B1318))-(FIND("D",B1318)+1)),"P",",")),
IF(ISNUMBER(FIND("CFW5",B1318)),
VALUE(MID(B1318,
IF(ISNUMBER(FIND("F",B1318)),FIND("F",B1318)+1,FIND("G",B1318)+1),
FIND("T",B1318)-(IF(ISNUMBER(FIND("F",B1318)),FIND("F",B1318)+1,FIND("G",B1318)+1))
)),
VALUE(MID(B1318,FIND("E0",B1318)+2,FIND("T",B1318,FIND("E0",B1318))-(FIND("E0",B1318)+2)))
))),"")</f>
        <v>105</v>
      </c>
      <c r="G1318">
        <f>IFERROR(
IF(ISNUMBER(FIND("T2",B1318)),220,
IF(ISNUMBER(FIND("T4",B1318)),440,
IF(ISNUMBER(FIND("T5",B1318)),575,
IF(ISNUMBER(FIND("T6",B1318)),690,"")))),
"")</f>
        <v>440</v>
      </c>
    </row>
    <row r="1319" spans="1:7" x14ac:dyDescent="0.25">
      <c r="A1319">
        <v>13392068</v>
      </c>
      <c r="B1319" t="str">
        <f>VLOOKUP(A1319,Planilha2!B:C,2,0)</f>
        <v>INVERSOR BCCFW110180T4ODBHESEZ-UI</v>
      </c>
      <c r="C1319" t="s">
        <v>3170</v>
      </c>
      <c r="D1319" t="str">
        <f>VLOOKUP(A1319,Planilha2!B:H,7,0)</f>
        <v>LINHA G1</v>
      </c>
      <c r="E1319" s="5">
        <v>65000</v>
      </c>
      <c r="F1319">
        <f>IFERROR(
IF(ISNUMBER(FIND("CFW110",B1319)),
VALUE(MID(B1319,FIND("CFW110",B1319)+6,FIND("T",B1319,FIND("CFW110",B1319))-(FIND("CFW110",B1319)+6))),
IF(ISNUMBER(FIND("D",B1319)),
VALUE(SUBSTITUTE(MID(B1319,FIND("D",B1319)+1,FIND("T",B1319,FIND("D",B1319))-(FIND("D",B1319)+1)),"P",",")),
IF(ISNUMBER(FIND("CFW5",B1319)),
VALUE(MID(B1319,
IF(ISNUMBER(FIND("F",B1319)),FIND("F",B1319)+1,FIND("G",B1319)+1),
FIND("T",B1319)-(IF(ISNUMBER(FIND("F",B1319)),FIND("F",B1319)+1,FIND("G",B1319)+1))
)),
VALUE(MID(B1319,FIND("E0",B1319)+2,FIND("T",B1319,FIND("E0",B1319))-(FIND("E0",B1319)+2)))
))),"")</f>
        <v>180</v>
      </c>
      <c r="G1319">
        <f>IFERROR(
IF(ISNUMBER(FIND("T2",B1319)),220,
IF(ISNUMBER(FIND("T4",B1319)),440,
IF(ISNUMBER(FIND("T5",B1319)),575,
IF(ISNUMBER(FIND("T6",B1319)),690,"")))),
"")</f>
        <v>440</v>
      </c>
    </row>
    <row r="1320" spans="1:7" x14ac:dyDescent="0.25">
      <c r="A1320">
        <v>13364389</v>
      </c>
      <c r="B1320" t="str">
        <f>VLOOKUP(A1320,Planilha2!B:C,2,0)</f>
        <v>INVERSOR BRCFW110105T4SZ-UI</v>
      </c>
      <c r="C1320" t="s">
        <v>3170</v>
      </c>
      <c r="D1320" t="str">
        <f>VLOOKUP(A1320,Planilha2!B:H,7,0)</f>
        <v>LINHA G1</v>
      </c>
      <c r="E1320" s="5">
        <v>64213</v>
      </c>
      <c r="F1320">
        <f>IFERROR(
IF(ISNUMBER(FIND("CFW110",B1320)),
VALUE(MID(B1320,FIND("CFW110",B1320)+6,FIND("T",B1320,FIND("CFW110",B1320))-(FIND("CFW110",B1320)+6))),
IF(ISNUMBER(FIND("D",B1320)),
VALUE(SUBSTITUTE(MID(B1320,FIND("D",B1320)+1,FIND("T",B1320,FIND("D",B1320))-(FIND("D",B1320)+1)),"P",",")),
IF(ISNUMBER(FIND("CFW5",B1320)),
VALUE(MID(B1320,
IF(ISNUMBER(FIND("F",B1320)),FIND("F",B1320)+1,FIND("G",B1320)+1),
FIND("T",B1320)-(IF(ISNUMBER(FIND("F",B1320)),FIND("F",B1320)+1,FIND("G",B1320)+1))
)),
VALUE(MID(B1320,FIND("E0",B1320)+2,FIND("T",B1320,FIND("E0",B1320))-(FIND("E0",B1320)+2)))
))),"")</f>
        <v>105</v>
      </c>
      <c r="G1320">
        <f>IFERROR(
IF(ISNUMBER(FIND("T2",B1320)),220,
IF(ISNUMBER(FIND("T4",B1320)),440,
IF(ISNUMBER(FIND("T5",B1320)),575,
IF(ISNUMBER(FIND("T6",B1320)),690,"")))),
"")</f>
        <v>440</v>
      </c>
    </row>
    <row r="1321" spans="1:7" x14ac:dyDescent="0.25">
      <c r="A1321">
        <v>13364296</v>
      </c>
      <c r="B1321" t="str">
        <f>VLOOKUP(A1321,Planilha2!B:C,2,0)</f>
        <v>INVERSOR BRCFW110211T4OH1Z-UI</v>
      </c>
      <c r="C1321" t="s">
        <v>3170</v>
      </c>
      <c r="D1321" t="str">
        <f>VLOOKUP(A1321,Planilha2!B:H,7,0)</f>
        <v>LINHA G1</v>
      </c>
      <c r="E1321" s="5">
        <v>68200</v>
      </c>
      <c r="F1321">
        <f>IFERROR(
IF(ISNUMBER(FIND("CFW110",B1321)),
VALUE(MID(B1321,FIND("CFW110",B1321)+6,FIND("T",B1321,FIND("CFW110",B1321))-(FIND("CFW110",B1321)+6))),
IF(ISNUMBER(FIND("D",B1321)),
VALUE(SUBSTITUTE(MID(B1321,FIND("D",B1321)+1,FIND("T",B1321,FIND("D",B1321))-(FIND("D",B1321)+1)),"P",",")),
IF(ISNUMBER(FIND("CFW5",B1321)),
VALUE(MID(B1321,
IF(ISNUMBER(FIND("F",B1321)),FIND("F",B1321)+1,FIND("G",B1321)+1),
FIND("T",B1321)-(IF(ISNUMBER(FIND("F",B1321)),FIND("F",B1321)+1,FIND("G",B1321)+1))
)),
VALUE(MID(B1321,FIND("E0",B1321)+2,FIND("T",B1321,FIND("E0",B1321))-(FIND("E0",B1321)+2)))
))),"")</f>
        <v>211</v>
      </c>
      <c r="G1321">
        <f>IFERROR(
IF(ISNUMBER(FIND("T2",B1321)),220,
IF(ISNUMBER(FIND("T4",B1321)),440,
IF(ISNUMBER(FIND("T5",B1321)),575,
IF(ISNUMBER(FIND("T6",B1321)),690,"")))),
"")</f>
        <v>440</v>
      </c>
    </row>
    <row r="1322" spans="1:7" x14ac:dyDescent="0.25">
      <c r="A1322">
        <v>13393062</v>
      </c>
      <c r="B1322" t="str">
        <f>VLOOKUP(A1322,Planilha2!B:C,2,0)</f>
        <v>INVERSOR BRCFW110601T4ORBZ-UI</v>
      </c>
      <c r="C1322" t="s">
        <v>3170</v>
      </c>
      <c r="D1322" t="str">
        <f>VLOOKUP(A1322,Planilha2!B:H,7,0)</f>
        <v>LINHA G5</v>
      </c>
      <c r="E1322" s="5">
        <v>210368</v>
      </c>
      <c r="F1322">
        <f>IFERROR(
IF(ISNUMBER(FIND("CFW110",B1322)),
VALUE(MID(B1322,FIND("CFW110",B1322)+6,FIND("T",B1322,FIND("CFW110",B1322))-(FIND("CFW110",B1322)+6))),
IF(ISNUMBER(FIND("D",B1322)),
VALUE(SUBSTITUTE(MID(B1322,FIND("D",B1322)+1,FIND("T",B1322,FIND("D",B1322))-(FIND("D",B1322)+1)),"P",",")),
IF(ISNUMBER(FIND("CFW5",B1322)),
VALUE(MID(B1322,
IF(ISNUMBER(FIND("F",B1322)),FIND("F",B1322)+1,FIND("G",B1322)+1),
FIND("T",B1322)-(IF(ISNUMBER(FIND("F",B1322)),FIND("F",B1322)+1,FIND("G",B1322)+1))
)),
VALUE(MID(B1322,FIND("E0",B1322)+2,FIND("T",B1322,FIND("E0",B1322))-(FIND("E0",B1322)+2)))
))),"")</f>
        <v>601</v>
      </c>
      <c r="G1322">
        <f>IFERROR(
IF(ISNUMBER(FIND("T2",B1322)),220,
IF(ISNUMBER(FIND("T4",B1322)),440,
IF(ISNUMBER(FIND("T5",B1322)),575,
IF(ISNUMBER(FIND("T6",B1322)),690,"")))),
"")</f>
        <v>440</v>
      </c>
    </row>
    <row r="1323" spans="1:7" x14ac:dyDescent="0.25">
      <c r="A1323">
        <v>13456366</v>
      </c>
      <c r="B1323" t="str">
        <f>VLOOKUP(A1323,Planilha2!B:C,2,0)</f>
        <v>INVERSOR BRCFW110370T4ORBZ-UI</v>
      </c>
      <c r="C1323" t="s">
        <v>3170</v>
      </c>
      <c r="D1323" t="str">
        <f>VLOOKUP(A1323,Planilha2!B:H,7,0)</f>
        <v>LINHA G3</v>
      </c>
      <c r="E1323" s="5">
        <v>135796</v>
      </c>
      <c r="F1323">
        <f>IFERROR(
IF(ISNUMBER(FIND("CFW110",B1323)),
VALUE(MID(B1323,FIND("CFW110",B1323)+6,FIND("T",B1323,FIND("CFW110",B1323))-(FIND("CFW110",B1323)+6))),
IF(ISNUMBER(FIND("D",B1323)),
VALUE(SUBSTITUTE(MID(B1323,FIND("D",B1323)+1,FIND("T",B1323,FIND("D",B1323))-(FIND("D",B1323)+1)),"P",",")),
IF(ISNUMBER(FIND("CFW5",B1323)),
VALUE(MID(B1323,
IF(ISNUMBER(FIND("F",B1323)),FIND("F",B1323)+1,FIND("G",B1323)+1),
FIND("T",B1323)-(IF(ISNUMBER(FIND("F",B1323)),FIND("F",B1323)+1,FIND("G",B1323)+1))
)),
VALUE(MID(B1323,FIND("E0",B1323)+2,FIND("T",B1323,FIND("E0",B1323))-(FIND("E0",B1323)+2)))
))),"")</f>
        <v>370</v>
      </c>
      <c r="G1323">
        <f>IFERROR(
IF(ISNUMBER(FIND("T2",B1323)),220,
IF(ISNUMBER(FIND("T4",B1323)),440,
IF(ISNUMBER(FIND("T5",B1323)),575,
IF(ISNUMBER(FIND("T6",B1323)),690,"")))),
"")</f>
        <v>440</v>
      </c>
    </row>
    <row r="1324" spans="1:7" x14ac:dyDescent="0.25">
      <c r="A1324">
        <v>13474262</v>
      </c>
      <c r="B1324" t="str">
        <f>VLOOKUP(A1324,Planilha2!B:C,2,0)</f>
        <v>INVERSOR EUCFW110211T4ODBSWZ</v>
      </c>
      <c r="C1324" t="s">
        <v>3170</v>
      </c>
      <c r="D1324" t="str">
        <f>VLOOKUP(A1324,Planilha2!B:H,7,0)</f>
        <v>LINHA G1</v>
      </c>
      <c r="E1324" s="5">
        <v>69376</v>
      </c>
      <c r="F1324">
        <f>IFERROR(
IF(ISNUMBER(FIND("CFW110",B1324)),
VALUE(MID(B1324,FIND("CFW110",B1324)+6,FIND("T",B1324,FIND("CFW110",B1324))-(FIND("CFW110",B1324)+6))),
IF(ISNUMBER(FIND("D",B1324)),
VALUE(SUBSTITUTE(MID(B1324,FIND("D",B1324)+1,FIND("T",B1324,FIND("D",B1324))-(FIND("D",B1324)+1)),"P",",")),
IF(ISNUMBER(FIND("CFW5",B1324)),
VALUE(MID(B1324,
IF(ISNUMBER(FIND("F",B1324)),FIND("F",B1324)+1,FIND("G",B1324)+1),
FIND("T",B1324)-(IF(ISNUMBER(FIND("F",B1324)),FIND("F",B1324)+1,FIND("G",B1324)+1))
)),
VALUE(MID(B1324,FIND("E0",B1324)+2,FIND("T",B1324,FIND("E0",B1324))-(FIND("E0",B1324)+2)))
))),"")</f>
        <v>211</v>
      </c>
      <c r="G1324">
        <f>IFERROR(
IF(ISNUMBER(FIND("T2",B1324)),220,
IF(ISNUMBER(FIND("T4",B1324)),440,
IF(ISNUMBER(FIND("T5",B1324)),575,
IF(ISNUMBER(FIND("T6",B1324)),690,"")))),
"")</f>
        <v>440</v>
      </c>
    </row>
    <row r="1325" spans="1:7" x14ac:dyDescent="0.25">
      <c r="A1325">
        <v>13473817</v>
      </c>
      <c r="B1325" t="str">
        <f>VLOOKUP(A1325,Planilha2!B:C,2,0)</f>
        <v>INVERSOR BRCFW110142T4ODBSWZ</v>
      </c>
      <c r="C1325" t="s">
        <v>3170</v>
      </c>
      <c r="D1325" t="str">
        <f>VLOOKUP(A1325,Planilha2!B:H,7,0)</f>
        <v>LINHA G1</v>
      </c>
      <c r="E1325" s="5">
        <v>65648</v>
      </c>
      <c r="F1325">
        <f>IFERROR(
IF(ISNUMBER(FIND("CFW110",B1325)),
VALUE(MID(B1325,FIND("CFW110",B1325)+6,FIND("T",B1325,FIND("CFW110",B1325))-(FIND("CFW110",B1325)+6))),
IF(ISNUMBER(FIND("D",B1325)),
VALUE(SUBSTITUTE(MID(B1325,FIND("D",B1325)+1,FIND("T",B1325,FIND("D",B1325))-(FIND("D",B1325)+1)),"P",",")),
IF(ISNUMBER(FIND("CFW5",B1325)),
VALUE(MID(B1325,
IF(ISNUMBER(FIND("F",B1325)),FIND("F",B1325)+1,FIND("G",B1325)+1),
FIND("T",B1325)-(IF(ISNUMBER(FIND("F",B1325)),FIND("F",B1325)+1,FIND("G",B1325)+1))
)),
VALUE(MID(B1325,FIND("E0",B1325)+2,FIND("T",B1325,FIND("E0",B1325))-(FIND("E0",B1325)+2)))
))),"")</f>
        <v>142</v>
      </c>
      <c r="G1325">
        <f>IFERROR(
IF(ISNUMBER(FIND("T2",B1325)),220,
IF(ISNUMBER(FIND("T4",B1325)),440,
IF(ISNUMBER(FIND("T5",B1325)),575,
IF(ISNUMBER(FIND("T6",B1325)),690,"")))),
"")</f>
        <v>440</v>
      </c>
    </row>
    <row r="1326" spans="1:7" x14ac:dyDescent="0.25">
      <c r="A1326">
        <v>13477066</v>
      </c>
      <c r="B1326" t="str">
        <f>VLOOKUP(A1326,Planilha2!B:C,2,0)</f>
        <v>INVERSOR CFW700E0105T4DBN1C3Y1W1-UI</v>
      </c>
      <c r="C1326" t="s">
        <v>3170</v>
      </c>
      <c r="D1326" t="str">
        <f>VLOOKUP(A1326,Planilha2!B:H,7,0)</f>
        <v>LINHA G1</v>
      </c>
      <c r="E1326" s="5">
        <v>64019</v>
      </c>
      <c r="F1326" t="str">
        <f>IFERROR(
IF(ISNUMBER(FIND("CFW110",B1326)),
VALUE(MID(B1326,FIND("CFW110",B1326)+6,FIND("T",B1326,FIND("CFW110",B1326))-(FIND("CFW110",B1326)+6))),
IF(ISNUMBER(FIND("D",B1326)),
VALUE(SUBSTITUTE(MID(B1326,FIND("D",B1326)+1,FIND("T",B1326,FIND("D",B1326))-(FIND("D",B1326)+1)),"P",",")),
IF(ISNUMBER(FIND("CFW5",B1326)),
VALUE(MID(B1326,
IF(ISNUMBER(FIND("F",B1326)),FIND("F",B1326)+1,FIND("G",B1326)+1),
FIND("T",B1326)-(IF(ISNUMBER(FIND("F",B1326)),FIND("F",B1326)+1,FIND("G",B1326)+1))
)),
VALUE(MID(B1326,FIND("E0",B1326)+2,FIND("T",B1326,FIND("E0",B1326))-(FIND("E0",B1326)+2)))
))),"")</f>
        <v/>
      </c>
      <c r="G1326">
        <f>IFERROR(
IF(ISNUMBER(FIND("T2",B1326)),220,
IF(ISNUMBER(FIND("T4",B1326)),440,
IF(ISNUMBER(FIND("T5",B1326)),575,
IF(ISNUMBER(FIND("T6",B1326)),690,"")))),
"")</f>
        <v>440</v>
      </c>
    </row>
    <row r="1327" spans="1:7" x14ac:dyDescent="0.25">
      <c r="A1327">
        <v>13475955</v>
      </c>
      <c r="B1327" t="str">
        <f>VLOOKUP(A1327,Planilha2!B:C,2,0)</f>
        <v>INVERSOR BRCFW110142T4OYS4Z-UI</v>
      </c>
      <c r="C1327" t="s">
        <v>3170</v>
      </c>
      <c r="D1327" t="str">
        <f>VLOOKUP(A1327,Planilha2!B:H,7,0)</f>
        <v>LINHA G1</v>
      </c>
      <c r="E1327" s="5">
        <v>64478</v>
      </c>
      <c r="F1327">
        <f>IFERROR(
IF(ISNUMBER(FIND("CFW110",B1327)),
VALUE(MID(B1327,FIND("CFW110",B1327)+6,FIND("T",B1327,FIND("CFW110",B1327))-(FIND("CFW110",B1327)+6))),
IF(ISNUMBER(FIND("D",B1327)),
VALUE(SUBSTITUTE(MID(B1327,FIND("D",B1327)+1,FIND("T",B1327,FIND("D",B1327))-(FIND("D",B1327)+1)),"P",",")),
IF(ISNUMBER(FIND("CFW5",B1327)),
VALUE(MID(B1327,
IF(ISNUMBER(FIND("F",B1327)),FIND("F",B1327)+1,FIND("G",B1327)+1),
FIND("T",B1327)-(IF(ISNUMBER(FIND("F",B1327)),FIND("F",B1327)+1,FIND("G",B1327)+1))
)),
VALUE(MID(B1327,FIND("E0",B1327)+2,FIND("T",B1327,FIND("E0",B1327))-(FIND("E0",B1327)+2)))
))),"")</f>
        <v>142</v>
      </c>
      <c r="G1327">
        <f>IFERROR(
IF(ISNUMBER(FIND("T2",B1327)),220,
IF(ISNUMBER(FIND("T4",B1327)),440,
IF(ISNUMBER(FIND("T5",B1327)),575,
IF(ISNUMBER(FIND("T6",B1327)),690,"")))),
"")</f>
        <v>440</v>
      </c>
    </row>
    <row r="1328" spans="1:7" x14ac:dyDescent="0.25">
      <c r="A1328">
        <v>13509386</v>
      </c>
      <c r="B1328" t="str">
        <f>VLOOKUP(A1328,Planilha2!B:C,2,0)</f>
        <v>INVERSOR CFW700E0180T4NB20C3-UI</v>
      </c>
      <c r="C1328" t="s">
        <v>3170</v>
      </c>
      <c r="D1328" t="str">
        <f>VLOOKUP(A1328,Planilha2!B:H,7,0)</f>
        <v>LINHA G1</v>
      </c>
      <c r="E1328" s="5">
        <v>65201</v>
      </c>
      <c r="F1328">
        <f>IFERROR(
IF(ISNUMBER(FIND("CFW110",B1328)),
VALUE(MID(B1328,FIND("CFW110",B1328)+6,FIND("T",B1328,FIND("CFW110",B1328))-(FIND("CFW110",B1328)+6))),
IF(ISNUMBER(FIND("D",B1328)),
VALUE(SUBSTITUTE(MID(B1328,FIND("D",B1328)+1,FIND("T",B1328,FIND("D",B1328))-(FIND("D",B1328)+1)),"P",",")),
IF(ISNUMBER(FIND("CFW5",B1328)),
VALUE(MID(B1328,
IF(ISNUMBER(FIND("F",B1328)),FIND("F",B1328)+1,FIND("G",B1328)+1),
FIND("T",B1328)-(IF(ISNUMBER(FIND("F",B1328)),FIND("F",B1328)+1,FIND("G",B1328)+1))
)),
VALUE(MID(B1328,FIND("E0",B1328)+2,FIND("T",B1328,FIND("E0",B1328))-(FIND("E0",B1328)+2)))
))),"")</f>
        <v>180</v>
      </c>
      <c r="G1328">
        <f>IFERROR(
IF(ISNUMBER(FIND("T2",B1328)),220,
IF(ISNUMBER(FIND("T4",B1328)),440,
IF(ISNUMBER(FIND("T5",B1328)),575,
IF(ISNUMBER(FIND("T6",B1328)),690,"")))),
"")</f>
        <v>440</v>
      </c>
    </row>
    <row r="1329" spans="1:7" x14ac:dyDescent="0.25">
      <c r="A1329">
        <v>13509387</v>
      </c>
      <c r="B1329" t="str">
        <f>VLOOKUP(A1329,Planilha2!B:C,2,0)</f>
        <v>INVERSOR BRCFW110720T4ORBZ-UI</v>
      </c>
      <c r="C1329" t="s">
        <v>3170</v>
      </c>
      <c r="D1329" t="str">
        <f>VLOOKUP(A1329,Planilha2!B:H,7,0)</f>
        <v>LINHA G5</v>
      </c>
      <c r="E1329" s="5">
        <v>215446</v>
      </c>
      <c r="F1329">
        <f>IFERROR(
IF(ISNUMBER(FIND("CFW110",B1329)),
VALUE(MID(B1329,FIND("CFW110",B1329)+6,FIND("T",B1329,FIND("CFW110",B1329))-(FIND("CFW110",B1329)+6))),
IF(ISNUMBER(FIND("D",B1329)),
VALUE(SUBSTITUTE(MID(B1329,FIND("D",B1329)+1,FIND("T",B1329,FIND("D",B1329))-(FIND("D",B1329)+1)),"P",",")),
IF(ISNUMBER(FIND("CFW5",B1329)),
VALUE(MID(B1329,
IF(ISNUMBER(FIND("F",B1329)),FIND("F",B1329)+1,FIND("G",B1329)+1),
FIND("T",B1329)-(IF(ISNUMBER(FIND("F",B1329)),FIND("F",B1329)+1,FIND("G",B1329)+1))
)),
VALUE(MID(B1329,FIND("E0",B1329)+2,FIND("T",B1329,FIND("E0",B1329))-(FIND("E0",B1329)+2)))
))),"")</f>
        <v>720</v>
      </c>
      <c r="G1329">
        <f>IFERROR(
IF(ISNUMBER(FIND("T2",B1329)),220,
IF(ISNUMBER(FIND("T4",B1329)),440,
IF(ISNUMBER(FIND("T5",B1329)),575,
IF(ISNUMBER(FIND("T6",B1329)),690,"")))),
"")</f>
        <v>440</v>
      </c>
    </row>
    <row r="1330" spans="1:7" x14ac:dyDescent="0.25">
      <c r="A1330">
        <v>13509574</v>
      </c>
      <c r="B1330" t="str">
        <f>VLOOKUP(A1330,Planilha2!B:C,2,0)</f>
        <v>INVERSOR BRCFW110105T4OYS4Z</v>
      </c>
      <c r="C1330" t="s">
        <v>3170</v>
      </c>
      <c r="D1330" t="str">
        <f>VLOOKUP(A1330,Planilha2!B:H,7,0)</f>
        <v>LINHA G1</v>
      </c>
      <c r="E1330" s="5">
        <v>78700</v>
      </c>
      <c r="F1330">
        <f>IFERROR(
IF(ISNUMBER(FIND("CFW110",B1330)),
VALUE(MID(B1330,FIND("CFW110",B1330)+6,FIND("T",B1330,FIND("CFW110",B1330))-(FIND("CFW110",B1330)+6))),
IF(ISNUMBER(FIND("D",B1330)),
VALUE(SUBSTITUTE(MID(B1330,FIND("D",B1330)+1,FIND("T",B1330,FIND("D",B1330))-(FIND("D",B1330)+1)),"P",",")),
IF(ISNUMBER(FIND("CFW5",B1330)),
VALUE(MID(B1330,
IF(ISNUMBER(FIND("F",B1330)),FIND("F",B1330)+1,FIND("G",B1330)+1),
FIND("T",B1330)-(IF(ISNUMBER(FIND("F",B1330)),FIND("F",B1330)+1,FIND("G",B1330)+1))
)),
VALUE(MID(B1330,FIND("E0",B1330)+2,FIND("T",B1330,FIND("E0",B1330))-(FIND("E0",B1330)+2)))
))),"")</f>
        <v>105</v>
      </c>
      <c r="G1330">
        <f>IFERROR(
IF(ISNUMBER(FIND("T2",B1330)),220,
IF(ISNUMBER(FIND("T4",B1330)),440,
IF(ISNUMBER(FIND("T5",B1330)),575,
IF(ISNUMBER(FIND("T6",B1330)),690,"")))),
"")</f>
        <v>440</v>
      </c>
    </row>
    <row r="1331" spans="1:7" x14ac:dyDescent="0.25">
      <c r="A1331">
        <v>13509696</v>
      </c>
      <c r="B1331" t="str">
        <f>VLOOKUP(A1331,Planilha2!B:C,2,0)</f>
        <v>INVERSOR BRCFW110142T4OWS7Z</v>
      </c>
      <c r="C1331" t="s">
        <v>3170</v>
      </c>
      <c r="D1331" t="str">
        <f>VLOOKUP(A1331,Planilha2!B:H,7,0)</f>
        <v>LINHA G1</v>
      </c>
      <c r="E1331" s="5">
        <v>59360</v>
      </c>
      <c r="F1331">
        <f>IFERROR(
IF(ISNUMBER(FIND("CFW110",B1331)),
VALUE(MID(B1331,FIND("CFW110",B1331)+6,FIND("T",B1331,FIND("CFW110",B1331))-(FIND("CFW110",B1331)+6))),
IF(ISNUMBER(FIND("D",B1331)),
VALUE(SUBSTITUTE(MID(B1331,FIND("D",B1331)+1,FIND("T",B1331,FIND("D",B1331))-(FIND("D",B1331)+1)),"P",",")),
IF(ISNUMBER(FIND("CFW5",B1331)),
VALUE(MID(B1331,
IF(ISNUMBER(FIND("F",B1331)),FIND("F",B1331)+1,FIND("G",B1331)+1),
FIND("T",B1331)-(IF(ISNUMBER(FIND("F",B1331)),FIND("F",B1331)+1,FIND("G",B1331)+1))
)),
VALUE(MID(B1331,FIND("E0",B1331)+2,FIND("T",B1331,FIND("E0",B1331))-(FIND("E0",B1331)+2)))
))),"")</f>
        <v>142</v>
      </c>
      <c r="G1331">
        <f>IFERROR(
IF(ISNUMBER(FIND("T2",B1331)),220,
IF(ISNUMBER(FIND("T4",B1331)),440,
IF(ISNUMBER(FIND("T5",B1331)),575,
IF(ISNUMBER(FIND("T6",B1331)),690,"")))),
"")</f>
        <v>440</v>
      </c>
    </row>
    <row r="1332" spans="1:7" x14ac:dyDescent="0.25">
      <c r="A1332">
        <v>13509883</v>
      </c>
      <c r="B1332" t="str">
        <f>VLOOKUP(A1332,Planilha2!B:C,2,0)</f>
        <v>INVERSOR BRCFW110105T4OYS4Z-UI</v>
      </c>
      <c r="C1332" t="s">
        <v>3170</v>
      </c>
      <c r="D1332" t="str">
        <f>VLOOKUP(A1332,Planilha2!B:H,7,0)</f>
        <v>LINHA G1</v>
      </c>
      <c r="E1332" s="5">
        <v>78700</v>
      </c>
      <c r="F1332">
        <f>IFERROR(
IF(ISNUMBER(FIND("CFW110",B1332)),
VALUE(MID(B1332,FIND("CFW110",B1332)+6,FIND("T",B1332,FIND("CFW110",B1332))-(FIND("CFW110",B1332)+6))),
IF(ISNUMBER(FIND("D",B1332)),
VALUE(SUBSTITUTE(MID(B1332,FIND("D",B1332)+1,FIND("T",B1332,FIND("D",B1332))-(FIND("D",B1332)+1)),"P",",")),
IF(ISNUMBER(FIND("CFW5",B1332)),
VALUE(MID(B1332,
IF(ISNUMBER(FIND("F",B1332)),FIND("F",B1332)+1,FIND("G",B1332)+1),
FIND("T",B1332)-(IF(ISNUMBER(FIND("F",B1332)),FIND("F",B1332)+1,FIND("G",B1332)+1))
)),
VALUE(MID(B1332,FIND("E0",B1332)+2,FIND("T",B1332,FIND("E0",B1332))-(FIND("E0",B1332)+2)))
))),"")</f>
        <v>105</v>
      </c>
      <c r="G1332">
        <f>IFERROR(
IF(ISNUMBER(FIND("T2",B1332)),220,
IF(ISNUMBER(FIND("T4",B1332)),440,
IF(ISNUMBER(FIND("T5",B1332)),575,
IF(ISNUMBER(FIND("T6",B1332)),690,"")))),
"")</f>
        <v>440</v>
      </c>
    </row>
    <row r="1333" spans="1:7" x14ac:dyDescent="0.25">
      <c r="A1333">
        <v>13509878</v>
      </c>
      <c r="B1333" t="str">
        <f>VLOOKUP(A1333,Planilha2!B:C,2,0)</f>
        <v>INVERSOR BRCFW110142T4OWS7Z-UI</v>
      </c>
      <c r="C1333" t="s">
        <v>3170</v>
      </c>
      <c r="D1333" t="str">
        <f>VLOOKUP(A1333,Planilha2!B:H,7,0)</f>
        <v>LINHA G1</v>
      </c>
      <c r="E1333" s="5">
        <v>59360</v>
      </c>
      <c r="F1333">
        <f>IFERROR(
IF(ISNUMBER(FIND("CFW110",B1333)),
VALUE(MID(B1333,FIND("CFW110",B1333)+6,FIND("T",B1333,FIND("CFW110",B1333))-(FIND("CFW110",B1333)+6))),
IF(ISNUMBER(FIND("D",B1333)),
VALUE(SUBSTITUTE(MID(B1333,FIND("D",B1333)+1,FIND("T",B1333,FIND("D",B1333))-(FIND("D",B1333)+1)),"P",",")),
IF(ISNUMBER(FIND("CFW5",B1333)),
VALUE(MID(B1333,
IF(ISNUMBER(FIND("F",B1333)),FIND("F",B1333)+1,FIND("G",B1333)+1),
FIND("T",B1333)-(IF(ISNUMBER(FIND("F",B1333)),FIND("F",B1333)+1,FIND("G",B1333)+1))
)),
VALUE(MID(B1333,FIND("E0",B1333)+2,FIND("T",B1333,FIND("E0",B1333))-(FIND("E0",B1333)+2)))
))),"")</f>
        <v>142</v>
      </c>
      <c r="G1333">
        <f>IFERROR(
IF(ISNUMBER(FIND("T2",B1333)),220,
IF(ISNUMBER(FIND("T4",B1333)),440,
IF(ISNUMBER(FIND("T5",B1333)),575,
IF(ISNUMBER(FIND("T6",B1333)),690,"")))),
"")</f>
        <v>440</v>
      </c>
    </row>
    <row r="1334" spans="1:7" x14ac:dyDescent="0.25">
      <c r="A1334">
        <v>13498391</v>
      </c>
      <c r="B1334" t="str">
        <f>VLOOKUP(A1334,Planilha2!B:C,2,0)</f>
        <v>INVERSOR EUCFW110211T4OYZ-UI</v>
      </c>
      <c r="C1334" t="s">
        <v>3170</v>
      </c>
      <c r="D1334" t="str">
        <f>VLOOKUP(A1334,Planilha2!B:H,7,0)</f>
        <v>LINHA G1</v>
      </c>
      <c r="E1334" s="5">
        <v>68000</v>
      </c>
      <c r="F1334">
        <f>IFERROR(
IF(ISNUMBER(FIND("CFW110",B1334)),
VALUE(MID(B1334,FIND("CFW110",B1334)+6,FIND("T",B1334,FIND("CFW110",B1334))-(FIND("CFW110",B1334)+6))),
IF(ISNUMBER(FIND("D",B1334)),
VALUE(SUBSTITUTE(MID(B1334,FIND("D",B1334)+1,FIND("T",B1334,FIND("D",B1334))-(FIND("D",B1334)+1)),"P",",")),
IF(ISNUMBER(FIND("CFW5",B1334)),
VALUE(MID(B1334,
IF(ISNUMBER(FIND("F",B1334)),FIND("F",B1334)+1,FIND("G",B1334)+1),
FIND("T",B1334)-(IF(ISNUMBER(FIND("F",B1334)),FIND("F",B1334)+1,FIND("G",B1334)+1))
)),
VALUE(MID(B1334,FIND("E0",B1334)+2,FIND("T",B1334,FIND("E0",B1334))-(FIND("E0",B1334)+2)))
))),"")</f>
        <v>211</v>
      </c>
      <c r="G1334">
        <f>IFERROR(
IF(ISNUMBER(FIND("T2",B1334)),220,
IF(ISNUMBER(FIND("T4",B1334)),440,
IF(ISNUMBER(FIND("T5",B1334)),575,
IF(ISNUMBER(FIND("T6",B1334)),690,"")))),
"")</f>
        <v>440</v>
      </c>
    </row>
    <row r="1335" spans="1:7" x14ac:dyDescent="0.25">
      <c r="A1335">
        <v>13518104</v>
      </c>
      <c r="B1335" t="str">
        <f>VLOOKUP(A1335,Planilha2!B:C,2,0)</f>
        <v>INVERSOR BRCFW110312T4ORBZ-UI</v>
      </c>
      <c r="C1335" t="s">
        <v>3170</v>
      </c>
      <c r="D1335" t="str">
        <f>VLOOKUP(A1335,Planilha2!B:H,7,0)</f>
        <v>LINHA G3</v>
      </c>
      <c r="E1335" s="5">
        <v>89500</v>
      </c>
      <c r="F1335">
        <f>IFERROR(
IF(ISNUMBER(FIND("CFW110",B1335)),
VALUE(MID(B1335,FIND("CFW110",B1335)+6,FIND("T",B1335,FIND("CFW110",B1335))-(FIND("CFW110",B1335)+6))),
IF(ISNUMBER(FIND("D",B1335)),
VALUE(SUBSTITUTE(MID(B1335,FIND("D",B1335)+1,FIND("T",B1335,FIND("D",B1335))-(FIND("D",B1335)+1)),"P",",")),
IF(ISNUMBER(FIND("CFW5",B1335)),
VALUE(MID(B1335,
IF(ISNUMBER(FIND("F",B1335)),FIND("F",B1335)+1,FIND("G",B1335)+1),
FIND("T",B1335)-(IF(ISNUMBER(FIND("F",B1335)),FIND("F",B1335)+1,FIND("G",B1335)+1))
)),
VALUE(MID(B1335,FIND("E0",B1335)+2,FIND("T",B1335,FIND("E0",B1335))-(FIND("E0",B1335)+2)))
))),"")</f>
        <v>312</v>
      </c>
      <c r="G1335">
        <f>IFERROR(
IF(ISNUMBER(FIND("T2",B1335)),220,
IF(ISNUMBER(FIND("T4",B1335)),440,
IF(ISNUMBER(FIND("T5",B1335)),575,
IF(ISNUMBER(FIND("T6",B1335)),690,"")))),
"")</f>
        <v>440</v>
      </c>
    </row>
    <row r="1336" spans="1:7" x14ac:dyDescent="0.25">
      <c r="A1336">
        <v>13525902</v>
      </c>
      <c r="B1336" t="str">
        <f>VLOOKUP(A1336,Planilha2!B:C,2,0)</f>
        <v>INVERSOR EUCFW110180T4OYWZ-UI</v>
      </c>
      <c r="C1336" t="s">
        <v>3170</v>
      </c>
      <c r="D1336" t="str">
        <f>VLOOKUP(A1336,Planilha2!B:H,7,0)</f>
        <v>LINHA G1</v>
      </c>
      <c r="E1336" s="5">
        <v>65272</v>
      </c>
      <c r="F1336">
        <f>IFERROR(
IF(ISNUMBER(FIND("CFW110",B1336)),
VALUE(MID(B1336,FIND("CFW110",B1336)+6,FIND("T",B1336,FIND("CFW110",B1336))-(FIND("CFW110",B1336)+6))),
IF(ISNUMBER(FIND("D",B1336)),
VALUE(SUBSTITUTE(MID(B1336,FIND("D",B1336)+1,FIND("T",B1336,FIND("D",B1336))-(FIND("D",B1336)+1)),"P",",")),
IF(ISNUMBER(FIND("CFW5",B1336)),
VALUE(MID(B1336,
IF(ISNUMBER(FIND("F",B1336)),FIND("F",B1336)+1,FIND("G",B1336)+1),
FIND("T",B1336)-(IF(ISNUMBER(FIND("F",B1336)),FIND("F",B1336)+1,FIND("G",B1336)+1))
)),
VALUE(MID(B1336,FIND("E0",B1336)+2,FIND("T",B1336,FIND("E0",B1336))-(FIND("E0",B1336)+2)))
))),"")</f>
        <v>180</v>
      </c>
      <c r="G1336">
        <f>IFERROR(
IF(ISNUMBER(FIND("T2",B1336)),220,
IF(ISNUMBER(FIND("T4",B1336)),440,
IF(ISNUMBER(FIND("T5",B1336)),575,
IF(ISNUMBER(FIND("T6",B1336)),690,"")))),
"")</f>
        <v>440</v>
      </c>
    </row>
    <row r="1337" spans="1:7" x14ac:dyDescent="0.25">
      <c r="A1337">
        <v>13525900</v>
      </c>
      <c r="B1337" t="str">
        <f>VLOOKUP(A1337,Planilha2!B:C,2,0)</f>
        <v>INVERSOR BRCFW110477T4ORBZ-UI</v>
      </c>
      <c r="C1337" t="s">
        <v>3170</v>
      </c>
      <c r="D1337" t="str">
        <f>VLOOKUP(A1337,Planilha2!B:H,7,0)</f>
        <v>LINHA G3</v>
      </c>
      <c r="E1337" s="5">
        <v>140598</v>
      </c>
      <c r="F1337">
        <f>IFERROR(
IF(ISNUMBER(FIND("CFW110",B1337)),
VALUE(MID(B1337,FIND("CFW110",B1337)+6,FIND("T",B1337,FIND("CFW110",B1337))-(FIND("CFW110",B1337)+6))),
IF(ISNUMBER(FIND("D",B1337)),
VALUE(SUBSTITUTE(MID(B1337,FIND("D",B1337)+1,FIND("T",B1337,FIND("D",B1337))-(FIND("D",B1337)+1)),"P",",")),
IF(ISNUMBER(FIND("CFW5",B1337)),
VALUE(MID(B1337,
IF(ISNUMBER(FIND("F",B1337)),FIND("F",B1337)+1,FIND("G",B1337)+1),
FIND("T",B1337)-(IF(ISNUMBER(FIND("F",B1337)),FIND("F",B1337)+1,FIND("G",B1337)+1))
)),
VALUE(MID(B1337,FIND("E0",B1337)+2,FIND("T",B1337,FIND("E0",B1337))-(FIND("E0",B1337)+2)))
))),"")</f>
        <v>477</v>
      </c>
      <c r="G1337">
        <f>IFERROR(
IF(ISNUMBER(FIND("T2",B1337)),220,
IF(ISNUMBER(FIND("T4",B1337)),440,
IF(ISNUMBER(FIND("T5",B1337)),575,
IF(ISNUMBER(FIND("T6",B1337)),690,"")))),
"")</f>
        <v>440</v>
      </c>
    </row>
    <row r="1338" spans="1:7" x14ac:dyDescent="0.25">
      <c r="A1338">
        <v>13542601</v>
      </c>
      <c r="B1338" t="str">
        <f>VLOOKUP(A1338,Planilha2!B:C,2,0)</f>
        <v>INVERSOR BRCFW110142T4OS7Z-UI</v>
      </c>
      <c r="C1338" t="s">
        <v>3170</v>
      </c>
      <c r="D1338" t="str">
        <f>VLOOKUP(A1338,Planilha2!B:H,7,0)</f>
        <v>LINHA G1</v>
      </c>
      <c r="E1338" s="5">
        <v>64598</v>
      </c>
      <c r="F1338">
        <f>IFERROR(
IF(ISNUMBER(FIND("CFW110",B1338)),
VALUE(MID(B1338,FIND("CFW110",B1338)+6,FIND("T",B1338,FIND("CFW110",B1338))-(FIND("CFW110",B1338)+6))),
IF(ISNUMBER(FIND("D",B1338)),
VALUE(SUBSTITUTE(MID(B1338,FIND("D",B1338)+1,FIND("T",B1338,FIND("D",B1338))-(FIND("D",B1338)+1)),"P",",")),
IF(ISNUMBER(FIND("CFW5",B1338)),
VALUE(MID(B1338,
IF(ISNUMBER(FIND("F",B1338)),FIND("F",B1338)+1,FIND("G",B1338)+1),
FIND("T",B1338)-(IF(ISNUMBER(FIND("F",B1338)),FIND("F",B1338)+1,FIND("G",B1338)+1))
)),
VALUE(MID(B1338,FIND("E0",B1338)+2,FIND("T",B1338,FIND("E0",B1338))-(FIND("E0",B1338)+2)))
))),"")</f>
        <v>142</v>
      </c>
      <c r="G1338">
        <f>IFERROR(
IF(ISNUMBER(FIND("T2",B1338)),220,
IF(ISNUMBER(FIND("T4",B1338)),440,
IF(ISNUMBER(FIND("T5",B1338)),575,
IF(ISNUMBER(FIND("T6",B1338)),690,"")))),
"")</f>
        <v>440</v>
      </c>
    </row>
    <row r="1339" spans="1:7" x14ac:dyDescent="0.25">
      <c r="A1339">
        <v>13542804</v>
      </c>
      <c r="B1339" t="str">
        <f>VLOOKUP(A1339,Planilha2!B:C,2,0)</f>
        <v>INVERSOR BRCFW110211T4OH2S7Z-UI</v>
      </c>
      <c r="C1339" t="s">
        <v>3170</v>
      </c>
      <c r="D1339" t="str">
        <f>VLOOKUP(A1339,Planilha2!B:H,7,0)</f>
        <v>LINHA G1</v>
      </c>
      <c r="E1339" s="5">
        <v>68288</v>
      </c>
      <c r="F1339">
        <f>IFERROR(
IF(ISNUMBER(FIND("CFW110",B1339)),
VALUE(MID(B1339,FIND("CFW110",B1339)+6,FIND("T",B1339,FIND("CFW110",B1339))-(FIND("CFW110",B1339)+6))),
IF(ISNUMBER(FIND("D",B1339)),
VALUE(SUBSTITUTE(MID(B1339,FIND("D",B1339)+1,FIND("T",B1339,FIND("D",B1339))-(FIND("D",B1339)+1)),"P",",")),
IF(ISNUMBER(FIND("CFW5",B1339)),
VALUE(MID(B1339,
IF(ISNUMBER(FIND("F",B1339)),FIND("F",B1339)+1,FIND("G",B1339)+1),
FIND("T",B1339)-(IF(ISNUMBER(FIND("F",B1339)),FIND("F",B1339)+1,FIND("G",B1339)+1))
)),
VALUE(MID(B1339,FIND("E0",B1339)+2,FIND("T",B1339,FIND("E0",B1339))-(FIND("E0",B1339)+2)))
))),"")</f>
        <v>211</v>
      </c>
      <c r="G1339">
        <f>IFERROR(
IF(ISNUMBER(FIND("T2",B1339)),220,
IF(ISNUMBER(FIND("T4",B1339)),440,
IF(ISNUMBER(FIND("T5",B1339)),575,
IF(ISNUMBER(FIND("T6",B1339)),690,"")))),
"")</f>
        <v>440</v>
      </c>
    </row>
    <row r="1340" spans="1:7" x14ac:dyDescent="0.25">
      <c r="A1340">
        <v>13364392</v>
      </c>
      <c r="B1340" t="str">
        <f>VLOOKUP(A1340,Planilha2!B:C,2,0)</f>
        <v>INVERSOR BRCFW110180T4OWH2S7Z-UI</v>
      </c>
      <c r="C1340" t="s">
        <v>3170</v>
      </c>
      <c r="D1340" t="str">
        <f>VLOOKUP(A1340,Planilha2!B:H,7,0)</f>
        <v>LINHA G1</v>
      </c>
      <c r="E1340" s="5">
        <v>65258</v>
      </c>
      <c r="F1340">
        <f>IFERROR(
IF(ISNUMBER(FIND("CFW110",B1340)),
VALUE(MID(B1340,FIND("CFW110",B1340)+6,FIND("T",B1340,FIND("CFW110",B1340))-(FIND("CFW110",B1340)+6))),
IF(ISNUMBER(FIND("D",B1340)),
VALUE(SUBSTITUTE(MID(B1340,FIND("D",B1340)+1,FIND("T",B1340,FIND("D",B1340))-(FIND("D",B1340)+1)),"P",",")),
IF(ISNUMBER(FIND("CFW5",B1340)),
VALUE(MID(B1340,
IF(ISNUMBER(FIND("F",B1340)),FIND("F",B1340)+1,FIND("G",B1340)+1),
FIND("T",B1340)-(IF(ISNUMBER(FIND("F",B1340)),FIND("F",B1340)+1,FIND("G",B1340)+1))
)),
VALUE(MID(B1340,FIND("E0",B1340)+2,FIND("T",B1340,FIND("E0",B1340))-(FIND("E0",B1340)+2)))
))),"")</f>
        <v>180</v>
      </c>
      <c r="G1340">
        <f>IFERROR(
IF(ISNUMBER(FIND("T2",B1340)),220,
IF(ISNUMBER(FIND("T4",B1340)),440,
IF(ISNUMBER(FIND("T5",B1340)),575,
IF(ISNUMBER(FIND("T6",B1340)),690,"")))),
"")</f>
        <v>440</v>
      </c>
    </row>
    <row r="1341" spans="1:7" x14ac:dyDescent="0.25">
      <c r="A1341">
        <v>13392141</v>
      </c>
      <c r="B1341" t="str">
        <f>VLOOKUP(A1341,Planilha2!B:C,2,0)</f>
        <v>INVERSOR BRCFW110211T4OWH2S7Z-UI</v>
      </c>
      <c r="C1341" t="s">
        <v>3170</v>
      </c>
      <c r="D1341" t="str">
        <f>VLOOKUP(A1341,Planilha2!B:H,7,0)</f>
        <v>LINHA G1</v>
      </c>
      <c r="E1341" s="5">
        <v>68168</v>
      </c>
      <c r="F1341">
        <f>IFERROR(
IF(ISNUMBER(FIND("CFW110",B1341)),
VALUE(MID(B1341,FIND("CFW110",B1341)+6,FIND("T",B1341,FIND("CFW110",B1341))-(FIND("CFW110",B1341)+6))),
IF(ISNUMBER(FIND("D",B1341)),
VALUE(SUBSTITUTE(MID(B1341,FIND("D",B1341)+1,FIND("T",B1341,FIND("D",B1341))-(FIND("D",B1341)+1)),"P",",")),
IF(ISNUMBER(FIND("CFW5",B1341)),
VALUE(MID(B1341,
IF(ISNUMBER(FIND("F",B1341)),FIND("F",B1341)+1,FIND("G",B1341)+1),
FIND("T",B1341)-(IF(ISNUMBER(FIND("F",B1341)),FIND("F",B1341)+1,FIND("G",B1341)+1))
)),
VALUE(MID(B1341,FIND("E0",B1341)+2,FIND("T",B1341,FIND("E0",B1341))-(FIND("E0",B1341)+2)))
))),"")</f>
        <v>211</v>
      </c>
      <c r="G1341">
        <f>IFERROR(
IF(ISNUMBER(FIND("T2",B1341)),220,
IF(ISNUMBER(FIND("T4",B1341)),440,
IF(ISNUMBER(FIND("T5",B1341)),575,
IF(ISNUMBER(FIND("T6",B1341)),690,"")))),
"")</f>
        <v>440</v>
      </c>
    </row>
    <row r="1342" spans="1:7" x14ac:dyDescent="0.25">
      <c r="A1342">
        <v>13358818</v>
      </c>
      <c r="B1342" t="str">
        <f>VLOOKUP(A1342,Planilha2!B:C,2,0)</f>
        <v>INVERSOR BRCFW110180T2ODBHUSOZ</v>
      </c>
      <c r="C1342" t="s">
        <v>3170</v>
      </c>
      <c r="D1342" t="str">
        <f>VLOOKUP(A1342,Planilha2!B:H,7,0)</f>
        <v>LINHA G1</v>
      </c>
      <c r="E1342" s="5">
        <v>50000</v>
      </c>
      <c r="F1342">
        <f>IFERROR(
IF(ISNUMBER(FIND("CFW110",B1342)),
VALUE(MID(B1342,FIND("CFW110",B1342)+6,FIND("T",B1342,FIND("CFW110",B1342))-(FIND("CFW110",B1342)+6))),
IF(ISNUMBER(FIND("D",B1342)),
VALUE(SUBSTITUTE(MID(B1342,FIND("D",B1342)+1,FIND("T",B1342,FIND("D",B1342))-(FIND("D",B1342)+1)),"P",",")),
IF(ISNUMBER(FIND("CFW5",B1342)),
VALUE(MID(B1342,
IF(ISNUMBER(FIND("F",B1342)),FIND("F",B1342)+1,FIND("G",B1342)+1),
FIND("T",B1342)-(IF(ISNUMBER(FIND("F",B1342)),FIND("F",B1342)+1,FIND("G",B1342)+1))
)),
VALUE(MID(B1342,FIND("E0",B1342)+2,FIND("T",B1342,FIND("E0",B1342))-(FIND("E0",B1342)+2)))
))),"")</f>
        <v>180</v>
      </c>
      <c r="G1342">
        <f>IFERROR(
IF(ISNUMBER(FIND("T2",B1342)),220,
IF(ISNUMBER(FIND("T4",B1342)),440,
IF(ISNUMBER(FIND("T5",B1342)),575,
IF(ISNUMBER(FIND("T6",B1342)),690,"")))),
"")</f>
        <v>220</v>
      </c>
    </row>
    <row r="1343" spans="1:7" x14ac:dyDescent="0.25">
      <c r="A1343">
        <v>13358891</v>
      </c>
      <c r="B1343" t="str">
        <f>VLOOKUP(A1343,Planilha2!B:C,2,0)</f>
        <v>INVERSOR BRCFW110142T4ODBHUSOZ</v>
      </c>
      <c r="C1343" t="s">
        <v>3170</v>
      </c>
      <c r="D1343" t="str">
        <f>VLOOKUP(A1343,Planilha2!B:H,7,0)</f>
        <v>LINHA G1</v>
      </c>
      <c r="E1343" s="5">
        <v>48000</v>
      </c>
      <c r="F1343">
        <f>IFERROR(
IF(ISNUMBER(FIND("CFW110",B1343)),
VALUE(MID(B1343,FIND("CFW110",B1343)+6,FIND("T",B1343,FIND("CFW110",B1343))-(FIND("CFW110",B1343)+6))),
IF(ISNUMBER(FIND("D",B1343)),
VALUE(SUBSTITUTE(MID(B1343,FIND("D",B1343)+1,FIND("T",B1343,FIND("D",B1343))-(FIND("D",B1343)+1)),"P",",")),
IF(ISNUMBER(FIND("CFW5",B1343)),
VALUE(MID(B1343,
IF(ISNUMBER(FIND("F",B1343)),FIND("F",B1343)+1,FIND("G",B1343)+1),
FIND("T",B1343)-(IF(ISNUMBER(FIND("F",B1343)),FIND("F",B1343)+1,FIND("G",B1343)+1))
)),
VALUE(MID(B1343,FIND("E0",B1343)+2,FIND("T",B1343,FIND("E0",B1343))-(FIND("E0",B1343)+2)))
))),"")</f>
        <v>142</v>
      </c>
      <c r="G1343">
        <f>IFERROR(
IF(ISNUMBER(FIND("T2",B1343)),220,
IF(ISNUMBER(FIND("T4",B1343)),440,
IF(ISNUMBER(FIND("T5",B1343)),575,
IF(ISNUMBER(FIND("T6",B1343)),690,"")))),
"")</f>
        <v>440</v>
      </c>
    </row>
    <row r="1344" spans="1:7" x14ac:dyDescent="0.25">
      <c r="A1344">
        <v>13358888</v>
      </c>
      <c r="B1344" t="str">
        <f>VLOOKUP(A1344,Planilha2!B:C,2,0)</f>
        <v>INVERSOR BRCFW110105T4ODBHUSOZ</v>
      </c>
      <c r="C1344" t="s">
        <v>3170</v>
      </c>
      <c r="D1344" t="str">
        <f>VLOOKUP(A1344,Planilha2!B:H,7,0)</f>
        <v>LINHA G1</v>
      </c>
      <c r="E1344" s="5">
        <v>50000</v>
      </c>
      <c r="F1344">
        <f>IFERROR(
IF(ISNUMBER(FIND("CFW110",B1344)),
VALUE(MID(B1344,FIND("CFW110",B1344)+6,FIND("T",B1344,FIND("CFW110",B1344))-(FIND("CFW110",B1344)+6))),
IF(ISNUMBER(FIND("D",B1344)),
VALUE(SUBSTITUTE(MID(B1344,FIND("D",B1344)+1,FIND("T",B1344,FIND("D",B1344))-(FIND("D",B1344)+1)),"P",",")),
IF(ISNUMBER(FIND("CFW5",B1344)),
VALUE(MID(B1344,
IF(ISNUMBER(FIND("F",B1344)),FIND("F",B1344)+1,FIND("G",B1344)+1),
FIND("T",B1344)-(IF(ISNUMBER(FIND("F",B1344)),FIND("F",B1344)+1,FIND("G",B1344)+1))
)),
VALUE(MID(B1344,FIND("E0",B1344)+2,FIND("T",B1344,FIND("E0",B1344))-(FIND("E0",B1344)+2)))
))),"")</f>
        <v>105</v>
      </c>
      <c r="G1344">
        <f>IFERROR(
IF(ISNUMBER(FIND("T2",B1344)),220,
IF(ISNUMBER(FIND("T4",B1344)),440,
IF(ISNUMBER(FIND("T5",B1344)),575,
IF(ISNUMBER(FIND("T6",B1344)),690,"")))),
"")</f>
        <v>440</v>
      </c>
    </row>
    <row r="1345" spans="1:7" x14ac:dyDescent="0.25">
      <c r="A1345">
        <v>13557392</v>
      </c>
      <c r="B1345" t="str">
        <f>VLOOKUP(A1345,Planilha2!B:C,2,0)</f>
        <v>INVERSOR MSCFW110105T4ODBYZ-UI</v>
      </c>
      <c r="C1345" t="s">
        <v>3170</v>
      </c>
      <c r="D1345" t="str">
        <f>VLOOKUP(A1345,Planilha2!B:H,7,0)</f>
        <v>LINHA G1</v>
      </c>
      <c r="E1345" s="5">
        <v>64598</v>
      </c>
      <c r="F1345">
        <f>IFERROR(
IF(ISNUMBER(FIND("CFW110",B1345)),
VALUE(MID(B1345,FIND("CFW110",B1345)+6,FIND("T",B1345,FIND("CFW110",B1345))-(FIND("CFW110",B1345)+6))),
IF(ISNUMBER(FIND("D",B1345)),
VALUE(SUBSTITUTE(MID(B1345,FIND("D",B1345)+1,FIND("T",B1345,FIND("D",B1345))-(FIND("D",B1345)+1)),"P",",")),
IF(ISNUMBER(FIND("CFW5",B1345)),
VALUE(MID(B1345,
IF(ISNUMBER(FIND("F",B1345)),FIND("F",B1345)+1,FIND("G",B1345)+1),
FIND("T",B1345)-(IF(ISNUMBER(FIND("F",B1345)),FIND("F",B1345)+1,FIND("G",B1345)+1))
)),
VALUE(MID(B1345,FIND("E0",B1345)+2,FIND("T",B1345,FIND("E0",B1345))-(FIND("E0",B1345)+2)))
))),"")</f>
        <v>105</v>
      </c>
      <c r="G1345">
        <f>IFERROR(
IF(ISNUMBER(FIND("T2",B1345)),220,
IF(ISNUMBER(FIND("T4",B1345)),440,
IF(ISNUMBER(FIND("T5",B1345)),575,
IF(ISNUMBER(FIND("T6",B1345)),690,"")))),
"")</f>
        <v>440</v>
      </c>
    </row>
    <row r="1346" spans="1:7" x14ac:dyDescent="0.25">
      <c r="A1346">
        <v>13560178</v>
      </c>
      <c r="B1346" t="str">
        <f>VLOOKUP(A1346,Planilha2!B:C,2,0)</f>
        <v>INVERSOR CFW700E0211T2NB20C3-UI</v>
      </c>
      <c r="C1346" t="s">
        <v>3170</v>
      </c>
      <c r="D1346" t="str">
        <f>VLOOKUP(A1346,Planilha2!B:H,7,0)</f>
        <v>LINHA G1</v>
      </c>
      <c r="E1346" s="5">
        <v>65318</v>
      </c>
      <c r="F1346">
        <f>IFERROR(
IF(ISNUMBER(FIND("CFW110",B1346)),
VALUE(MID(B1346,FIND("CFW110",B1346)+6,FIND("T",B1346,FIND("CFW110",B1346))-(FIND("CFW110",B1346)+6))),
IF(ISNUMBER(FIND("D",B1346)),
VALUE(SUBSTITUTE(MID(B1346,FIND("D",B1346)+1,FIND("T",B1346,FIND("D",B1346))-(FIND("D",B1346)+1)),"P",",")),
IF(ISNUMBER(FIND("CFW5",B1346)),
VALUE(MID(B1346,
IF(ISNUMBER(FIND("F",B1346)),FIND("F",B1346)+1,FIND("G",B1346)+1),
FIND("T",B1346)-(IF(ISNUMBER(FIND("F",B1346)),FIND("F",B1346)+1,FIND("G",B1346)+1))
)),
VALUE(MID(B1346,FIND("E0",B1346)+2,FIND("T",B1346,FIND("E0",B1346))-(FIND("E0",B1346)+2)))
))),"")</f>
        <v>211</v>
      </c>
      <c r="G1346">
        <f>IFERROR(
IF(ISNUMBER(FIND("T2",B1346)),220,
IF(ISNUMBER(FIND("T4",B1346)),440,
IF(ISNUMBER(FIND("T5",B1346)),575,
IF(ISNUMBER(FIND("T6",B1346)),690,"")))),
"")</f>
        <v>220</v>
      </c>
    </row>
    <row r="1347" spans="1:7" x14ac:dyDescent="0.25">
      <c r="A1347">
        <v>13582331</v>
      </c>
      <c r="B1347" t="str">
        <f>VLOOKUP(A1347,Planilha2!B:C,2,0)</f>
        <v>INVERSOR BRCFW110211T4ODBWZ</v>
      </c>
      <c r="C1347" t="s">
        <v>3170</v>
      </c>
      <c r="D1347" t="str">
        <f>VLOOKUP(A1347,Planilha2!B:H,7,0)</f>
        <v>LINHA G1</v>
      </c>
      <c r="E1347" s="5">
        <v>69497</v>
      </c>
      <c r="F1347">
        <f>IFERROR(
IF(ISNUMBER(FIND("CFW110",B1347)),
VALUE(MID(B1347,FIND("CFW110",B1347)+6,FIND("T",B1347,FIND("CFW110",B1347))-(FIND("CFW110",B1347)+6))),
IF(ISNUMBER(FIND("D",B1347)),
VALUE(SUBSTITUTE(MID(B1347,FIND("D",B1347)+1,FIND("T",B1347,FIND("D",B1347))-(FIND("D",B1347)+1)),"P",",")),
IF(ISNUMBER(FIND("CFW5",B1347)),
VALUE(MID(B1347,
IF(ISNUMBER(FIND("F",B1347)),FIND("F",B1347)+1,FIND("G",B1347)+1),
FIND("T",B1347)-(IF(ISNUMBER(FIND("F",B1347)),FIND("F",B1347)+1,FIND("G",B1347)+1))
)),
VALUE(MID(B1347,FIND("E0",B1347)+2,FIND("T",B1347,FIND("E0",B1347))-(FIND("E0",B1347)+2)))
))),"")</f>
        <v>211</v>
      </c>
      <c r="G1347">
        <f>IFERROR(
IF(ISNUMBER(FIND("T2",B1347)),220,
IF(ISNUMBER(FIND("T4",B1347)),440,
IF(ISNUMBER(FIND("T5",B1347)),575,
IF(ISNUMBER(FIND("T6",B1347)),690,"")))),
"")</f>
        <v>440</v>
      </c>
    </row>
    <row r="1348" spans="1:7" x14ac:dyDescent="0.25">
      <c r="A1348">
        <v>13584067</v>
      </c>
      <c r="B1348" t="str">
        <f>VLOOKUP(A1348,Planilha2!B:C,2,0)</f>
        <v>INVERSOR SACFW110105T4SZ-UI</v>
      </c>
      <c r="C1348" t="s">
        <v>3170</v>
      </c>
      <c r="D1348" t="str">
        <f>VLOOKUP(A1348,Planilha2!B:H,7,0)</f>
        <v>LINHA G1</v>
      </c>
      <c r="E1348" s="5">
        <v>64602</v>
      </c>
      <c r="F1348">
        <f>IFERROR(
IF(ISNUMBER(FIND("CFW110",B1348)),
VALUE(MID(B1348,FIND("CFW110",B1348)+6,FIND("T",B1348,FIND("CFW110",B1348))-(FIND("CFW110",B1348)+6))),
IF(ISNUMBER(FIND("D",B1348)),
VALUE(SUBSTITUTE(MID(B1348,FIND("D",B1348)+1,FIND("T",B1348,FIND("D",B1348))-(FIND("D",B1348)+1)),"P",",")),
IF(ISNUMBER(FIND("CFW5",B1348)),
VALUE(MID(B1348,
IF(ISNUMBER(FIND("F",B1348)),FIND("F",B1348)+1,FIND("G",B1348)+1),
FIND("T",B1348)-(IF(ISNUMBER(FIND("F",B1348)),FIND("F",B1348)+1,FIND("G",B1348)+1))
)),
VALUE(MID(B1348,FIND("E0",B1348)+2,FIND("T",B1348,FIND("E0",B1348))-(FIND("E0",B1348)+2)))
))),"")</f>
        <v>105</v>
      </c>
      <c r="G1348">
        <f>IFERROR(
IF(ISNUMBER(FIND("T2",B1348)),220,
IF(ISNUMBER(FIND("T4",B1348)),440,
IF(ISNUMBER(FIND("T5",B1348)),575,
IF(ISNUMBER(FIND("T6",B1348)),690,"")))),
"")</f>
        <v>440</v>
      </c>
    </row>
    <row r="1349" spans="1:7" x14ac:dyDescent="0.25">
      <c r="A1349">
        <v>13539860</v>
      </c>
      <c r="B1349" t="str">
        <f>VLOOKUP(A1349,Planilha2!B:C,2,0)</f>
        <v>INVERSOR BRCFW110211T4OH2S7Z</v>
      </c>
      <c r="C1349" t="s">
        <v>3170</v>
      </c>
      <c r="D1349" t="str">
        <f>VLOOKUP(A1349,Planilha2!B:H,7,0)</f>
        <v>LINHA G1</v>
      </c>
      <c r="E1349" s="5">
        <v>68288</v>
      </c>
      <c r="F1349">
        <f>IFERROR(
IF(ISNUMBER(FIND("CFW110",B1349)),
VALUE(MID(B1349,FIND("CFW110",B1349)+6,FIND("T",B1349,FIND("CFW110",B1349))-(FIND("CFW110",B1349)+6))),
IF(ISNUMBER(FIND("D",B1349)),
VALUE(SUBSTITUTE(MID(B1349,FIND("D",B1349)+1,FIND("T",B1349,FIND("D",B1349))-(FIND("D",B1349)+1)),"P",",")),
IF(ISNUMBER(FIND("CFW5",B1349)),
VALUE(MID(B1349,
IF(ISNUMBER(FIND("F",B1349)),FIND("F",B1349)+1,FIND("G",B1349)+1),
FIND("T",B1349)-(IF(ISNUMBER(FIND("F",B1349)),FIND("F",B1349)+1,FIND("G",B1349)+1))
)),
VALUE(MID(B1349,FIND("E0",B1349)+2,FIND("T",B1349,FIND("E0",B1349))-(FIND("E0",B1349)+2)))
))),"")</f>
        <v>211</v>
      </c>
      <c r="G1349">
        <f>IFERROR(
IF(ISNUMBER(FIND("T2",B1349)),220,
IF(ISNUMBER(FIND("T4",B1349)),440,
IF(ISNUMBER(FIND("T5",B1349)),575,
IF(ISNUMBER(FIND("T6",B1349)),690,"")))),
"")</f>
        <v>440</v>
      </c>
    </row>
    <row r="1350" spans="1:7" x14ac:dyDescent="0.25">
      <c r="A1350">
        <v>13505108</v>
      </c>
      <c r="B1350" t="str">
        <f>VLOOKUP(A1350,Planilha2!B:C,2,0)</f>
        <v>INVERSOR BRCFW110211T2ODBSVZ</v>
      </c>
      <c r="C1350" t="s">
        <v>3170</v>
      </c>
      <c r="D1350" t="str">
        <f>VLOOKUP(A1350,Planilha2!B:H,7,0)</f>
        <v>LINHA G1</v>
      </c>
      <c r="E1350" s="5">
        <v>59360</v>
      </c>
      <c r="F1350">
        <f>IFERROR(
IF(ISNUMBER(FIND("CFW110",B1350)),
VALUE(MID(B1350,FIND("CFW110",B1350)+6,FIND("T",B1350,FIND("CFW110",B1350))-(FIND("CFW110",B1350)+6))),
IF(ISNUMBER(FIND("D",B1350)),
VALUE(SUBSTITUTE(MID(B1350,FIND("D",B1350)+1,FIND("T",B1350,FIND("D",B1350))-(FIND("D",B1350)+1)),"P",",")),
IF(ISNUMBER(FIND("CFW5",B1350)),
VALUE(MID(B1350,
IF(ISNUMBER(FIND("F",B1350)),FIND("F",B1350)+1,FIND("G",B1350)+1),
FIND("T",B1350)-(IF(ISNUMBER(FIND("F",B1350)),FIND("F",B1350)+1,FIND("G",B1350)+1))
)),
VALUE(MID(B1350,FIND("E0",B1350)+2,FIND("T",B1350,FIND("E0",B1350))-(FIND("E0",B1350)+2)))
))),"")</f>
        <v>211</v>
      </c>
      <c r="G1350">
        <f>IFERROR(
IF(ISNUMBER(FIND("T2",B1350)),220,
IF(ISNUMBER(FIND("T4",B1350)),440,
IF(ISNUMBER(FIND("T5",B1350)),575,
IF(ISNUMBER(FIND("T6",B1350)),690,"")))),
"")</f>
        <v>220</v>
      </c>
    </row>
    <row r="1351" spans="1:7" x14ac:dyDescent="0.25">
      <c r="A1351">
        <v>13598563</v>
      </c>
      <c r="B1351" t="str">
        <f>VLOOKUP(A1351,Planilha2!B:C,2,0)</f>
        <v>INVERSOR CFW700E0226T4NB20C3Y1S1</v>
      </c>
      <c r="C1351" t="s">
        <v>3170</v>
      </c>
      <c r="D1351" t="str">
        <f>VLOOKUP(A1351,Planilha2!B:H,7,0)</f>
        <v>OBSOLETOS DRIVES</v>
      </c>
      <c r="E1351" s="5">
        <v>65608</v>
      </c>
      <c r="F1351">
        <f>IFERROR(
IF(ISNUMBER(FIND("CFW110",B1351)),
VALUE(MID(B1351,FIND("CFW110",B1351)+6,FIND("T",B1351,FIND("CFW110",B1351))-(FIND("CFW110",B1351)+6))),
IF(ISNUMBER(FIND("D",B1351)),
VALUE(SUBSTITUTE(MID(B1351,FIND("D",B1351)+1,FIND("T",B1351,FIND("D",B1351))-(FIND("D",B1351)+1)),"P",",")),
IF(ISNUMBER(FIND("CFW5",B1351)),
VALUE(MID(B1351,
IF(ISNUMBER(FIND("F",B1351)),FIND("F",B1351)+1,FIND("G",B1351)+1),
FIND("T",B1351)-(IF(ISNUMBER(FIND("F",B1351)),FIND("F",B1351)+1,FIND("G",B1351)+1))
)),
VALUE(MID(B1351,FIND("E0",B1351)+2,FIND("T",B1351,FIND("E0",B1351))-(FIND("E0",B1351)+2)))
))),"")</f>
        <v>226</v>
      </c>
      <c r="G1351">
        <f>IFERROR(
IF(ISNUMBER(FIND("T2",B1351)),220,
IF(ISNUMBER(FIND("T4",B1351)),440,
IF(ISNUMBER(FIND("T5",B1351)),575,
IF(ISNUMBER(FIND("T6",B1351)),690,"")))),
"")</f>
        <v>440</v>
      </c>
    </row>
    <row r="1352" spans="1:7" x14ac:dyDescent="0.25">
      <c r="A1352">
        <v>13608349</v>
      </c>
      <c r="B1352" t="str">
        <f>VLOOKUP(A1352,Planilha2!B:C,2,0)</f>
        <v>INVERSOR CFW700E0226T4NB20C3Y1HACS1-UI</v>
      </c>
      <c r="C1352" t="s">
        <v>3170</v>
      </c>
      <c r="D1352" t="str">
        <f>VLOOKUP(A1352,Planilha2!B:H,7,0)</f>
        <v>LINHA G1</v>
      </c>
      <c r="E1352" s="5">
        <v>65000</v>
      </c>
      <c r="F1352">
        <f>IFERROR(
IF(ISNUMBER(FIND("CFW110",B1352)),
VALUE(MID(B1352,FIND("CFW110",B1352)+6,FIND("T",B1352,FIND("CFW110",B1352))-(FIND("CFW110",B1352)+6))),
IF(ISNUMBER(FIND("D",B1352)),
VALUE(SUBSTITUTE(MID(B1352,FIND("D",B1352)+1,FIND("T",B1352,FIND("D",B1352))-(FIND("D",B1352)+1)),"P",",")),
IF(ISNUMBER(FIND("CFW5",B1352)),
VALUE(MID(B1352,
IF(ISNUMBER(FIND("F",B1352)),FIND("F",B1352)+1,FIND("G",B1352)+1),
FIND("T",B1352)-(IF(ISNUMBER(FIND("F",B1352)),FIND("F",B1352)+1,FIND("G",B1352)+1))
)),
VALUE(MID(B1352,FIND("E0",B1352)+2,FIND("T",B1352,FIND("E0",B1352))-(FIND("E0",B1352)+2)))
))),"")</f>
        <v>226</v>
      </c>
      <c r="G1352">
        <f>IFERROR(
IF(ISNUMBER(FIND("T2",B1352)),220,
IF(ISNUMBER(FIND("T4",B1352)),440,
IF(ISNUMBER(FIND("T5",B1352)),575,
IF(ISNUMBER(FIND("T6",B1352)),690,"")))),
"")</f>
        <v>440</v>
      </c>
    </row>
    <row r="1353" spans="1:7" x14ac:dyDescent="0.25">
      <c r="A1353">
        <v>13611569</v>
      </c>
      <c r="B1353" t="str">
        <f>VLOOKUP(A1353,Planilha2!B:C,2,0)</f>
        <v>INVERSOR CFW700E0105T4NB20C3Y1-UI</v>
      </c>
      <c r="C1353" t="s">
        <v>3170</v>
      </c>
      <c r="D1353" t="str">
        <f>VLOOKUP(A1353,Planilha2!B:H,7,0)</f>
        <v>LINHA G1</v>
      </c>
      <c r="E1353" s="5">
        <v>61909</v>
      </c>
      <c r="F1353">
        <f>IFERROR(
IF(ISNUMBER(FIND("CFW110",B1353)),
VALUE(MID(B1353,FIND("CFW110",B1353)+6,FIND("T",B1353,FIND("CFW110",B1353))-(FIND("CFW110",B1353)+6))),
IF(ISNUMBER(FIND("D",B1353)),
VALUE(SUBSTITUTE(MID(B1353,FIND("D",B1353)+1,FIND("T",B1353,FIND("D",B1353))-(FIND("D",B1353)+1)),"P",",")),
IF(ISNUMBER(FIND("CFW5",B1353)),
VALUE(MID(B1353,
IF(ISNUMBER(FIND("F",B1353)),FIND("F",B1353)+1,FIND("G",B1353)+1),
FIND("T",B1353)-(IF(ISNUMBER(FIND("F",B1353)),FIND("F",B1353)+1,FIND("G",B1353)+1))
)),
VALUE(MID(B1353,FIND("E0",B1353)+2,FIND("T",B1353,FIND("E0",B1353))-(FIND("E0",B1353)+2)))
))),"")</f>
        <v>105</v>
      </c>
      <c r="G1353">
        <f>IFERROR(
IF(ISNUMBER(FIND("T2",B1353)),220,
IF(ISNUMBER(FIND("T4",B1353)),440,
IF(ISNUMBER(FIND("T5",B1353)),575,
IF(ISNUMBER(FIND("T6",B1353)),690,"")))),
"")</f>
        <v>440</v>
      </c>
    </row>
    <row r="1354" spans="1:7" x14ac:dyDescent="0.25">
      <c r="A1354">
        <v>13611869</v>
      </c>
      <c r="B1354" t="str">
        <f>VLOOKUP(A1354,Planilha2!B:C,2,0)</f>
        <v>INVERSOR CFW700E0211T2NB20C3Y1-UI</v>
      </c>
      <c r="C1354" t="s">
        <v>3170</v>
      </c>
      <c r="D1354" t="str">
        <f>VLOOKUP(A1354,Planilha2!B:H,7,0)</f>
        <v>LINHA G1</v>
      </c>
      <c r="E1354" s="5">
        <v>65411</v>
      </c>
      <c r="F1354">
        <f>IFERROR(
IF(ISNUMBER(FIND("CFW110",B1354)),
VALUE(MID(B1354,FIND("CFW110",B1354)+6,FIND("T",B1354,FIND("CFW110",B1354))-(FIND("CFW110",B1354)+6))),
IF(ISNUMBER(FIND("D",B1354)),
VALUE(SUBSTITUTE(MID(B1354,FIND("D",B1354)+1,FIND("T",B1354,FIND("D",B1354))-(FIND("D",B1354)+1)),"P",",")),
IF(ISNUMBER(FIND("CFW5",B1354)),
VALUE(MID(B1354,
IF(ISNUMBER(FIND("F",B1354)),FIND("F",B1354)+1,FIND("G",B1354)+1),
FIND("T",B1354)-(IF(ISNUMBER(FIND("F",B1354)),FIND("F",B1354)+1,FIND("G",B1354)+1))
)),
VALUE(MID(B1354,FIND("E0",B1354)+2,FIND("T",B1354,FIND("E0",B1354))-(FIND("E0",B1354)+2)))
))),"")</f>
        <v>211</v>
      </c>
      <c r="G1354">
        <f>IFERROR(
IF(ISNUMBER(FIND("T2",B1354)),220,
IF(ISNUMBER(FIND("T4",B1354)),440,
IF(ISNUMBER(FIND("T5",B1354)),575,
IF(ISNUMBER(FIND("T6",B1354)),690,"")))),
"")</f>
        <v>220</v>
      </c>
    </row>
    <row r="1355" spans="1:7" x14ac:dyDescent="0.25">
      <c r="A1355">
        <v>13611613</v>
      </c>
      <c r="B1355" t="str">
        <f>VLOOKUP(A1355,Planilha2!B:C,2,0)</f>
        <v>INVERSOR CFW700E0105T4DB20C3Y1-UI</v>
      </c>
      <c r="C1355" t="s">
        <v>3170</v>
      </c>
      <c r="D1355" t="str">
        <f>VLOOKUP(A1355,Planilha2!B:H,7,0)</f>
        <v>LINHA G1</v>
      </c>
      <c r="E1355" s="5">
        <v>62910</v>
      </c>
      <c r="F1355" t="str">
        <f>IFERROR(
IF(ISNUMBER(FIND("CFW110",B1355)),
VALUE(MID(B1355,FIND("CFW110",B1355)+6,FIND("T",B1355,FIND("CFW110",B1355))-(FIND("CFW110",B1355)+6))),
IF(ISNUMBER(FIND("D",B1355)),
VALUE(SUBSTITUTE(MID(B1355,FIND("D",B1355)+1,FIND("T",B1355,FIND("D",B1355))-(FIND("D",B1355)+1)),"P",",")),
IF(ISNUMBER(FIND("CFW5",B1355)),
VALUE(MID(B1355,
IF(ISNUMBER(FIND("F",B1355)),FIND("F",B1355)+1,FIND("G",B1355)+1),
FIND("T",B1355)-(IF(ISNUMBER(FIND("F",B1355)),FIND("F",B1355)+1,FIND("G",B1355)+1))
)),
VALUE(MID(B1355,FIND("E0",B1355)+2,FIND("T",B1355,FIND("E0",B1355))-(FIND("E0",B1355)+2)))
))),"")</f>
        <v/>
      </c>
      <c r="G1355">
        <f>IFERROR(
IF(ISNUMBER(FIND("T2",B1355)),220,
IF(ISNUMBER(FIND("T4",B1355)),440,
IF(ISNUMBER(FIND("T5",B1355)),575,
IF(ISNUMBER(FIND("T6",B1355)),690,"")))),
"")</f>
        <v>440</v>
      </c>
    </row>
    <row r="1356" spans="1:7" x14ac:dyDescent="0.25">
      <c r="A1356">
        <v>13611609</v>
      </c>
      <c r="B1356" t="str">
        <f>VLOOKUP(A1356,Planilha2!B:C,2,0)</f>
        <v>INVERSOR CFW700E0180T4NB20C3Y1-UI</v>
      </c>
      <c r="C1356" t="s">
        <v>3170</v>
      </c>
      <c r="D1356" t="str">
        <f>VLOOKUP(A1356,Planilha2!B:H,7,0)</f>
        <v>LINHA G1</v>
      </c>
      <c r="E1356" s="5">
        <v>65410</v>
      </c>
      <c r="F1356">
        <f>IFERROR(
IF(ISNUMBER(FIND("CFW110",B1356)),
VALUE(MID(B1356,FIND("CFW110",B1356)+6,FIND("T",B1356,FIND("CFW110",B1356))-(FIND("CFW110",B1356)+6))),
IF(ISNUMBER(FIND("D",B1356)),
VALUE(SUBSTITUTE(MID(B1356,FIND("D",B1356)+1,FIND("T",B1356,FIND("D",B1356))-(FIND("D",B1356)+1)),"P",",")),
IF(ISNUMBER(FIND("CFW5",B1356)),
VALUE(MID(B1356,
IF(ISNUMBER(FIND("F",B1356)),FIND("F",B1356)+1,FIND("G",B1356)+1),
FIND("T",B1356)-(IF(ISNUMBER(FIND("F",B1356)),FIND("F",B1356)+1,FIND("G",B1356)+1))
)),
VALUE(MID(B1356,FIND("E0",B1356)+2,FIND("T",B1356,FIND("E0",B1356))-(FIND("E0",B1356)+2)))
))),"")</f>
        <v>180</v>
      </c>
      <c r="G1356">
        <f>IFERROR(
IF(ISNUMBER(FIND("T2",B1356)),220,
IF(ISNUMBER(FIND("T4",B1356)),440,
IF(ISNUMBER(FIND("T5",B1356)),575,
IF(ISNUMBER(FIND("T6",B1356)),690,"")))),
"")</f>
        <v>440</v>
      </c>
    </row>
    <row r="1357" spans="1:7" x14ac:dyDescent="0.25">
      <c r="A1357">
        <v>13505087</v>
      </c>
      <c r="B1357" t="str">
        <f>VLOOKUP(A1357,Planilha2!B:C,2,0)</f>
        <v>INVERSOR BRCFW110180T2ODBSVZ</v>
      </c>
      <c r="C1357" t="s">
        <v>3170</v>
      </c>
      <c r="D1357" t="str">
        <f>VLOOKUP(A1357,Planilha2!B:H,7,0)</f>
        <v>LINHA G1</v>
      </c>
      <c r="E1357" s="5">
        <v>59360</v>
      </c>
      <c r="F1357">
        <f>IFERROR(
IF(ISNUMBER(FIND("CFW110",B1357)),
VALUE(MID(B1357,FIND("CFW110",B1357)+6,FIND("T",B1357,FIND("CFW110",B1357))-(FIND("CFW110",B1357)+6))),
IF(ISNUMBER(FIND("D",B1357)),
VALUE(SUBSTITUTE(MID(B1357,FIND("D",B1357)+1,FIND("T",B1357,FIND("D",B1357))-(FIND("D",B1357)+1)),"P",",")),
IF(ISNUMBER(FIND("CFW5",B1357)),
VALUE(MID(B1357,
IF(ISNUMBER(FIND("F",B1357)),FIND("F",B1357)+1,FIND("G",B1357)+1),
FIND("T",B1357)-(IF(ISNUMBER(FIND("F",B1357)),FIND("F",B1357)+1,FIND("G",B1357)+1))
)),
VALUE(MID(B1357,FIND("E0",B1357)+2,FIND("T",B1357,FIND("E0",B1357))-(FIND("E0",B1357)+2)))
))),"")</f>
        <v>180</v>
      </c>
      <c r="G1357">
        <f>IFERROR(
IF(ISNUMBER(FIND("T2",B1357)),220,
IF(ISNUMBER(FIND("T4",B1357)),440,
IF(ISNUMBER(FIND("T5",B1357)),575,
IF(ISNUMBER(FIND("T6",B1357)),690,"")))),
"")</f>
        <v>220</v>
      </c>
    </row>
    <row r="1358" spans="1:7" x14ac:dyDescent="0.25">
      <c r="A1358">
        <v>13505411</v>
      </c>
      <c r="B1358" t="str">
        <f>VLOOKUP(A1358,Planilha2!B:C,2,0)</f>
        <v>INVERSOR BRCFW110105T4ODBSVZ</v>
      </c>
      <c r="C1358" t="s">
        <v>3170</v>
      </c>
      <c r="D1358" t="str">
        <f>VLOOKUP(A1358,Planilha2!B:H,7,0)</f>
        <v>LINHA G1</v>
      </c>
      <c r="E1358" s="5">
        <v>31100</v>
      </c>
      <c r="F1358">
        <f>IFERROR(
IF(ISNUMBER(FIND("CFW110",B1358)),
VALUE(MID(B1358,FIND("CFW110",B1358)+6,FIND("T",B1358,FIND("CFW110",B1358))-(FIND("CFW110",B1358)+6))),
IF(ISNUMBER(FIND("D",B1358)),
VALUE(SUBSTITUTE(MID(B1358,FIND("D",B1358)+1,FIND("T",B1358,FIND("D",B1358))-(FIND("D",B1358)+1)),"P",",")),
IF(ISNUMBER(FIND("CFW5",B1358)),
VALUE(MID(B1358,
IF(ISNUMBER(FIND("F",B1358)),FIND("F",B1358)+1,FIND("G",B1358)+1),
FIND("T",B1358)-(IF(ISNUMBER(FIND("F",B1358)),FIND("F",B1358)+1,FIND("G",B1358)+1))
)),
VALUE(MID(B1358,FIND("E0",B1358)+2,FIND("T",B1358,FIND("E0",B1358))-(FIND("E0",B1358)+2)))
))),"")</f>
        <v>105</v>
      </c>
      <c r="G1358">
        <f>IFERROR(
IF(ISNUMBER(FIND("T2",B1358)),220,
IF(ISNUMBER(FIND("T4",B1358)),440,
IF(ISNUMBER(FIND("T5",B1358)),575,
IF(ISNUMBER(FIND("T6",B1358)),690,"")))),
"")</f>
        <v>440</v>
      </c>
    </row>
    <row r="1359" spans="1:7" x14ac:dyDescent="0.25">
      <c r="A1359">
        <v>13505416</v>
      </c>
      <c r="B1359" t="str">
        <f>VLOOKUP(A1359,Planilha2!B:C,2,0)</f>
        <v>INVERSOR BRCFW110180T4ODBSVZ</v>
      </c>
      <c r="C1359" t="s">
        <v>3170</v>
      </c>
      <c r="D1359" t="str">
        <f>VLOOKUP(A1359,Planilha2!B:H,7,0)</f>
        <v>LINHA G1</v>
      </c>
      <c r="E1359" s="5">
        <v>68100</v>
      </c>
      <c r="F1359">
        <f>IFERROR(
IF(ISNUMBER(FIND("CFW110",B1359)),
VALUE(MID(B1359,FIND("CFW110",B1359)+6,FIND("T",B1359,FIND("CFW110",B1359))-(FIND("CFW110",B1359)+6))),
IF(ISNUMBER(FIND("D",B1359)),
VALUE(SUBSTITUTE(MID(B1359,FIND("D",B1359)+1,FIND("T",B1359,FIND("D",B1359))-(FIND("D",B1359)+1)),"P",",")),
IF(ISNUMBER(FIND("CFW5",B1359)),
VALUE(MID(B1359,
IF(ISNUMBER(FIND("F",B1359)),FIND("F",B1359)+1,FIND("G",B1359)+1),
FIND("T",B1359)-(IF(ISNUMBER(FIND("F",B1359)),FIND("F",B1359)+1,FIND("G",B1359)+1))
)),
VALUE(MID(B1359,FIND("E0",B1359)+2,FIND("T",B1359,FIND("E0",B1359))-(FIND("E0",B1359)+2)))
))),"")</f>
        <v>180</v>
      </c>
      <c r="G1359">
        <f>IFERROR(
IF(ISNUMBER(FIND("T2",B1359)),220,
IF(ISNUMBER(FIND("T4",B1359)),440,
IF(ISNUMBER(FIND("T5",B1359)),575,
IF(ISNUMBER(FIND("T6",B1359)),690,"")))),
"")</f>
        <v>440</v>
      </c>
    </row>
    <row r="1360" spans="1:7" x14ac:dyDescent="0.25">
      <c r="A1360">
        <v>13505417</v>
      </c>
      <c r="B1360" t="str">
        <f>VLOOKUP(A1360,Planilha2!B:C,2,0)</f>
        <v>INVERSOR BRCFW110211T4ODBSVZ</v>
      </c>
      <c r="C1360" t="s">
        <v>3170</v>
      </c>
      <c r="D1360" t="str">
        <f>VLOOKUP(A1360,Planilha2!B:H,7,0)</f>
        <v>LINHA G1</v>
      </c>
      <c r="E1360" s="5">
        <v>59360</v>
      </c>
      <c r="F1360">
        <f>IFERROR(
IF(ISNUMBER(FIND("CFW110",B1360)),
VALUE(MID(B1360,FIND("CFW110",B1360)+6,FIND("T",B1360,FIND("CFW110",B1360))-(FIND("CFW110",B1360)+6))),
IF(ISNUMBER(FIND("D",B1360)),
VALUE(SUBSTITUTE(MID(B1360,FIND("D",B1360)+1,FIND("T",B1360,FIND("D",B1360))-(FIND("D",B1360)+1)),"P",",")),
IF(ISNUMBER(FIND("CFW5",B1360)),
VALUE(MID(B1360,
IF(ISNUMBER(FIND("F",B1360)),FIND("F",B1360)+1,FIND("G",B1360)+1),
FIND("T",B1360)-(IF(ISNUMBER(FIND("F",B1360)),FIND("F",B1360)+1,FIND("G",B1360)+1))
)),
VALUE(MID(B1360,FIND("E0",B1360)+2,FIND("T",B1360,FIND("E0",B1360))-(FIND("E0",B1360)+2)))
))),"")</f>
        <v>211</v>
      </c>
      <c r="G1360">
        <f>IFERROR(
IF(ISNUMBER(FIND("T2",B1360)),220,
IF(ISNUMBER(FIND("T4",B1360)),440,
IF(ISNUMBER(FIND("T5",B1360)),575,
IF(ISNUMBER(FIND("T6",B1360)),690,"")))),
"")</f>
        <v>440</v>
      </c>
    </row>
    <row r="1361" spans="1:7" x14ac:dyDescent="0.25">
      <c r="A1361">
        <v>13616008</v>
      </c>
      <c r="B1361" t="str">
        <f>VLOOKUP(A1361,Planilha2!B:C,2,0)</f>
        <v>INVERSOR CFW700E0211T4DB20C3-UI</v>
      </c>
      <c r="C1361" t="s">
        <v>3170</v>
      </c>
      <c r="D1361" t="str">
        <f>VLOOKUP(A1361,Planilha2!B:H,7,0)</f>
        <v>LINHA G1</v>
      </c>
      <c r="E1361" s="5">
        <v>69100</v>
      </c>
      <c r="F1361" t="str">
        <f>IFERROR(
IF(ISNUMBER(FIND("CFW110",B1361)),
VALUE(MID(B1361,FIND("CFW110",B1361)+6,FIND("T",B1361,FIND("CFW110",B1361))-(FIND("CFW110",B1361)+6))),
IF(ISNUMBER(FIND("D",B1361)),
VALUE(SUBSTITUTE(MID(B1361,FIND("D",B1361)+1,FIND("T",B1361,FIND("D",B1361))-(FIND("D",B1361)+1)),"P",",")),
IF(ISNUMBER(FIND("CFW5",B1361)),
VALUE(MID(B1361,
IF(ISNUMBER(FIND("F",B1361)),FIND("F",B1361)+1,FIND("G",B1361)+1),
FIND("T",B1361)-(IF(ISNUMBER(FIND("F",B1361)),FIND("F",B1361)+1,FIND("G",B1361)+1))
)),
VALUE(MID(B1361,FIND("E0",B1361)+2,FIND("T",B1361,FIND("E0",B1361))-(FIND("E0",B1361)+2)))
))),"")</f>
        <v/>
      </c>
      <c r="G1361">
        <f>IFERROR(
IF(ISNUMBER(FIND("T2",B1361)),220,
IF(ISNUMBER(FIND("T4",B1361)),440,
IF(ISNUMBER(FIND("T5",B1361)),575,
IF(ISNUMBER(FIND("T6",B1361)),690,"")))),
"")</f>
        <v>440</v>
      </c>
    </row>
    <row r="1362" spans="1:7" x14ac:dyDescent="0.25">
      <c r="A1362">
        <v>13615963</v>
      </c>
      <c r="B1362" t="str">
        <f>VLOOKUP(A1362,Planilha2!B:C,2,0)</f>
        <v>INVERSOR CFW700E0211T2DB20C3-UI</v>
      </c>
      <c r="C1362" t="s">
        <v>3170</v>
      </c>
      <c r="D1362" t="str">
        <f>VLOOKUP(A1362,Planilha2!B:H,7,0)</f>
        <v>LINHA G1</v>
      </c>
      <c r="E1362" s="5">
        <v>69100</v>
      </c>
      <c r="F1362" t="str">
        <f>IFERROR(
IF(ISNUMBER(FIND("CFW110",B1362)),
VALUE(MID(B1362,FIND("CFW110",B1362)+6,FIND("T",B1362,FIND("CFW110",B1362))-(FIND("CFW110",B1362)+6))),
IF(ISNUMBER(FIND("D",B1362)),
VALUE(SUBSTITUTE(MID(B1362,FIND("D",B1362)+1,FIND("T",B1362,FIND("D",B1362))-(FIND("D",B1362)+1)),"P",",")),
IF(ISNUMBER(FIND("CFW5",B1362)),
VALUE(MID(B1362,
IF(ISNUMBER(FIND("F",B1362)),FIND("F",B1362)+1,FIND("G",B1362)+1),
FIND("T",B1362)-(IF(ISNUMBER(FIND("F",B1362)),FIND("F",B1362)+1,FIND("G",B1362)+1))
)),
VALUE(MID(B1362,FIND("E0",B1362)+2,FIND("T",B1362,FIND("E0",B1362))-(FIND("E0",B1362)+2)))
))),"")</f>
        <v/>
      </c>
      <c r="G1362">
        <f>IFERROR(
IF(ISNUMBER(FIND("T2",B1362)),220,
IF(ISNUMBER(FIND("T4",B1362)),440,
IF(ISNUMBER(FIND("T5",B1362)),575,
IF(ISNUMBER(FIND("T6",B1362)),690,"")))),
"")</f>
        <v>220</v>
      </c>
    </row>
    <row r="1363" spans="1:7" x14ac:dyDescent="0.25">
      <c r="A1363">
        <v>13615961</v>
      </c>
      <c r="B1363" t="str">
        <f>VLOOKUP(A1363,Planilha2!B:C,2,0)</f>
        <v>INVERSOR CFW700E0180T4DB20C3-UI</v>
      </c>
      <c r="C1363" t="s">
        <v>3170</v>
      </c>
      <c r="D1363" t="str">
        <f>VLOOKUP(A1363,Planilha2!B:H,7,0)</f>
        <v>LINHA G1</v>
      </c>
      <c r="E1363" s="5">
        <v>69100</v>
      </c>
      <c r="F1363" t="str">
        <f>IFERROR(
IF(ISNUMBER(FIND("CFW110",B1363)),
VALUE(MID(B1363,FIND("CFW110",B1363)+6,FIND("T",B1363,FIND("CFW110",B1363))-(FIND("CFW110",B1363)+6))),
IF(ISNUMBER(FIND("D",B1363)),
VALUE(SUBSTITUTE(MID(B1363,FIND("D",B1363)+1,FIND("T",B1363,FIND("D",B1363))-(FIND("D",B1363)+1)),"P",",")),
IF(ISNUMBER(FIND("CFW5",B1363)),
VALUE(MID(B1363,
IF(ISNUMBER(FIND("F",B1363)),FIND("F",B1363)+1,FIND("G",B1363)+1),
FIND("T",B1363)-(IF(ISNUMBER(FIND("F",B1363)),FIND("F",B1363)+1,FIND("G",B1363)+1))
)),
VALUE(MID(B1363,FIND("E0",B1363)+2,FIND("T",B1363,FIND("E0",B1363))-(FIND("E0",B1363)+2)))
))),"")</f>
        <v/>
      </c>
      <c r="G1363">
        <f>IFERROR(
IF(ISNUMBER(FIND("T2",B1363)),220,
IF(ISNUMBER(FIND("T4",B1363)),440,
IF(ISNUMBER(FIND("T5",B1363)),575,
IF(ISNUMBER(FIND("T6",B1363)),690,"")))),
"")</f>
        <v>440</v>
      </c>
    </row>
    <row r="1364" spans="1:7" x14ac:dyDescent="0.25">
      <c r="A1364">
        <v>13615877</v>
      </c>
      <c r="B1364" t="str">
        <f>VLOOKUP(A1364,Planilha2!B:C,2,0)</f>
        <v>INVERSOR CFW700E0142T2DB20C3-UI</v>
      </c>
      <c r="C1364" t="s">
        <v>3170</v>
      </c>
      <c r="D1364" t="str">
        <f>VLOOKUP(A1364,Planilha2!B:H,7,0)</f>
        <v>LINHA G1</v>
      </c>
      <c r="E1364" s="5">
        <v>69100</v>
      </c>
      <c r="F1364" t="str">
        <f>IFERROR(
IF(ISNUMBER(FIND("CFW110",B1364)),
VALUE(MID(B1364,FIND("CFW110",B1364)+6,FIND("T",B1364,FIND("CFW110",B1364))-(FIND("CFW110",B1364)+6))),
IF(ISNUMBER(FIND("D",B1364)),
VALUE(SUBSTITUTE(MID(B1364,FIND("D",B1364)+1,FIND("T",B1364,FIND("D",B1364))-(FIND("D",B1364)+1)),"P",",")),
IF(ISNUMBER(FIND("CFW5",B1364)),
VALUE(MID(B1364,
IF(ISNUMBER(FIND("F",B1364)),FIND("F",B1364)+1,FIND("G",B1364)+1),
FIND("T",B1364)-(IF(ISNUMBER(FIND("F",B1364)),FIND("F",B1364)+1,FIND("G",B1364)+1))
)),
VALUE(MID(B1364,FIND("E0",B1364)+2,FIND("T",B1364,FIND("E0",B1364))-(FIND("E0",B1364)+2)))
))),"")</f>
        <v/>
      </c>
      <c r="G1364">
        <f>IFERROR(
IF(ISNUMBER(FIND("T2",B1364)),220,
IF(ISNUMBER(FIND("T4",B1364)),440,
IF(ISNUMBER(FIND("T5",B1364)),575,
IF(ISNUMBER(FIND("T6",B1364)),690,"")))),
"")</f>
        <v>220</v>
      </c>
    </row>
    <row r="1365" spans="1:7" x14ac:dyDescent="0.25">
      <c r="A1365">
        <v>13615960</v>
      </c>
      <c r="B1365" t="str">
        <f>VLOOKUP(A1365,Planilha2!B:C,2,0)</f>
        <v>INVERSOR CFW700E0142T4DB20C3-UI</v>
      </c>
      <c r="C1365" t="s">
        <v>3170</v>
      </c>
      <c r="D1365" t="str">
        <f>VLOOKUP(A1365,Planilha2!B:H,7,0)</f>
        <v>LINHA G1</v>
      </c>
      <c r="E1365" s="5">
        <v>69100</v>
      </c>
      <c r="F1365" t="str">
        <f>IFERROR(
IF(ISNUMBER(FIND("CFW110",B1365)),
VALUE(MID(B1365,FIND("CFW110",B1365)+6,FIND("T",B1365,FIND("CFW110",B1365))-(FIND("CFW110",B1365)+6))),
IF(ISNUMBER(FIND("D",B1365)),
VALUE(SUBSTITUTE(MID(B1365,FIND("D",B1365)+1,FIND("T",B1365,FIND("D",B1365))-(FIND("D",B1365)+1)),"P",",")),
IF(ISNUMBER(FIND("CFW5",B1365)),
VALUE(MID(B1365,
IF(ISNUMBER(FIND("F",B1365)),FIND("F",B1365)+1,FIND("G",B1365)+1),
FIND("T",B1365)-(IF(ISNUMBER(FIND("F",B1365)),FIND("F",B1365)+1,FIND("G",B1365)+1))
)),
VALUE(MID(B1365,FIND("E0",B1365)+2,FIND("T",B1365,FIND("E0",B1365))-(FIND("E0",B1365)+2)))
))),"")</f>
        <v/>
      </c>
      <c r="G1365">
        <f>IFERROR(
IF(ISNUMBER(FIND("T2",B1365)),220,
IF(ISNUMBER(FIND("T4",B1365)),440,
IF(ISNUMBER(FIND("T5",B1365)),575,
IF(ISNUMBER(FIND("T6",B1365)),690,"")))),
"")</f>
        <v>440</v>
      </c>
    </row>
    <row r="1366" spans="1:7" x14ac:dyDescent="0.25">
      <c r="A1366">
        <v>13616017</v>
      </c>
      <c r="B1366" t="str">
        <f>VLOOKUP(A1366,Planilha2!B:C,2,0)</f>
        <v>INVERSOR CFW700E0142T4NB20C3W1-UI</v>
      </c>
      <c r="C1366" t="s">
        <v>3170</v>
      </c>
      <c r="D1366" t="str">
        <f>VLOOKUP(A1366,Planilha2!B:H,7,0)</f>
        <v>LINHA G1</v>
      </c>
      <c r="E1366" s="5">
        <v>62500</v>
      </c>
      <c r="F1366">
        <f>IFERROR(
IF(ISNUMBER(FIND("CFW110",B1366)),
VALUE(MID(B1366,FIND("CFW110",B1366)+6,FIND("T",B1366,FIND("CFW110",B1366))-(FIND("CFW110",B1366)+6))),
IF(ISNUMBER(FIND("D",B1366)),
VALUE(SUBSTITUTE(MID(B1366,FIND("D",B1366)+1,FIND("T",B1366,FIND("D",B1366))-(FIND("D",B1366)+1)),"P",",")),
IF(ISNUMBER(FIND("CFW5",B1366)),
VALUE(MID(B1366,
IF(ISNUMBER(FIND("F",B1366)),FIND("F",B1366)+1,FIND("G",B1366)+1),
FIND("T",B1366)-(IF(ISNUMBER(FIND("F",B1366)),FIND("F",B1366)+1,FIND("G",B1366)+1))
)),
VALUE(MID(B1366,FIND("E0",B1366)+2,FIND("T",B1366,FIND("E0",B1366))-(FIND("E0",B1366)+2)))
))),"")</f>
        <v>142</v>
      </c>
      <c r="G1366">
        <f>IFERROR(
IF(ISNUMBER(FIND("T2",B1366)),220,
IF(ISNUMBER(FIND("T4",B1366)),440,
IF(ISNUMBER(FIND("T5",B1366)),575,
IF(ISNUMBER(FIND("T6",B1366)),690,"")))),
"")</f>
        <v>440</v>
      </c>
    </row>
    <row r="1367" spans="1:7" x14ac:dyDescent="0.25">
      <c r="A1367">
        <v>13616112</v>
      </c>
      <c r="B1367" t="str">
        <f>VLOOKUP(A1367,Planilha2!B:C,2,0)</f>
        <v>INVERSOR CFW700E0142T2DBN1C3-UI</v>
      </c>
      <c r="C1367" t="s">
        <v>3170</v>
      </c>
      <c r="D1367" t="str">
        <f>VLOOKUP(A1367,Planilha2!B:H,7,0)</f>
        <v>LINHA G1</v>
      </c>
      <c r="E1367" s="5">
        <v>69100</v>
      </c>
      <c r="F1367" t="str">
        <f>IFERROR(
IF(ISNUMBER(FIND("CFW110",B1367)),
VALUE(MID(B1367,FIND("CFW110",B1367)+6,FIND("T",B1367,FIND("CFW110",B1367))-(FIND("CFW110",B1367)+6))),
IF(ISNUMBER(FIND("D",B1367)),
VALUE(SUBSTITUTE(MID(B1367,FIND("D",B1367)+1,FIND("T",B1367,FIND("D",B1367))-(FIND("D",B1367)+1)),"P",",")),
IF(ISNUMBER(FIND("CFW5",B1367)),
VALUE(MID(B1367,
IF(ISNUMBER(FIND("F",B1367)),FIND("F",B1367)+1,FIND("G",B1367)+1),
FIND("T",B1367)-(IF(ISNUMBER(FIND("F",B1367)),FIND("F",B1367)+1,FIND("G",B1367)+1))
)),
VALUE(MID(B1367,FIND("E0",B1367)+2,FIND("T",B1367,FIND("E0",B1367))-(FIND("E0",B1367)+2)))
))),"")</f>
        <v/>
      </c>
      <c r="G1367">
        <f>IFERROR(
IF(ISNUMBER(FIND("T2",B1367)),220,
IF(ISNUMBER(FIND("T4",B1367)),440,
IF(ISNUMBER(FIND("T5",B1367)),575,
IF(ISNUMBER(FIND("T6",B1367)),690,"")))),
"")</f>
        <v>220</v>
      </c>
    </row>
    <row r="1368" spans="1:7" x14ac:dyDescent="0.25">
      <c r="A1368">
        <v>13616015</v>
      </c>
      <c r="B1368" t="str">
        <f>VLOOKUP(A1368,Planilha2!B:C,2,0)</f>
        <v>INVERSOR CFW701E0211T4DB20C3-UI</v>
      </c>
      <c r="C1368" t="s">
        <v>3170</v>
      </c>
      <c r="D1368" t="str">
        <f>VLOOKUP(A1368,Planilha2!B:H,7,0)</f>
        <v>LINHA G1</v>
      </c>
      <c r="E1368" s="5">
        <v>69100</v>
      </c>
      <c r="F1368" t="str">
        <f>IFERROR(
IF(ISNUMBER(FIND("CFW110",B1368)),
VALUE(MID(B1368,FIND("CFW110",B1368)+6,FIND("T",B1368,FIND("CFW110",B1368))-(FIND("CFW110",B1368)+6))),
IF(ISNUMBER(FIND("D",B1368)),
VALUE(SUBSTITUTE(MID(B1368,FIND("D",B1368)+1,FIND("T",B1368,FIND("D",B1368))-(FIND("D",B1368)+1)),"P",",")),
IF(ISNUMBER(FIND("CFW5",B1368)),
VALUE(MID(B1368,
IF(ISNUMBER(FIND("F",B1368)),FIND("F",B1368)+1,FIND("G",B1368)+1),
FIND("T",B1368)-(IF(ISNUMBER(FIND("F",B1368)),FIND("F",B1368)+1,FIND("G",B1368)+1))
)),
VALUE(MID(B1368,FIND("E0",B1368)+2,FIND("T",B1368,FIND("E0",B1368))-(FIND("E0",B1368)+2)))
))),"")</f>
        <v/>
      </c>
      <c r="G1368">
        <f>IFERROR(
IF(ISNUMBER(FIND("T2",B1368)),220,
IF(ISNUMBER(FIND("T4",B1368)),440,
IF(ISNUMBER(FIND("T5",B1368)),575,
IF(ISNUMBER(FIND("T6",B1368)),690,"")))),
"")</f>
        <v>440</v>
      </c>
    </row>
    <row r="1369" spans="1:7" x14ac:dyDescent="0.25">
      <c r="A1369">
        <v>13616010</v>
      </c>
      <c r="B1369" t="str">
        <f>VLOOKUP(A1369,Planilha2!B:C,2,0)</f>
        <v>INVERSOR CFW700E0211T4DBN1C3-UI</v>
      </c>
      <c r="C1369" t="s">
        <v>3170</v>
      </c>
      <c r="D1369" t="str">
        <f>VLOOKUP(A1369,Planilha2!B:H,7,0)</f>
        <v>LINHA G1</v>
      </c>
      <c r="E1369" s="5">
        <v>69100</v>
      </c>
      <c r="F1369" t="str">
        <f>IFERROR(
IF(ISNUMBER(FIND("CFW110",B1369)),
VALUE(MID(B1369,FIND("CFW110",B1369)+6,FIND("T",B1369,FIND("CFW110",B1369))-(FIND("CFW110",B1369)+6))),
IF(ISNUMBER(FIND("D",B1369)),
VALUE(SUBSTITUTE(MID(B1369,FIND("D",B1369)+1,FIND("T",B1369,FIND("D",B1369))-(FIND("D",B1369)+1)),"P",",")),
IF(ISNUMBER(FIND("CFW5",B1369)),
VALUE(MID(B1369,
IF(ISNUMBER(FIND("F",B1369)),FIND("F",B1369)+1,FIND("G",B1369)+1),
FIND("T",B1369)-(IF(ISNUMBER(FIND("F",B1369)),FIND("F",B1369)+1,FIND("G",B1369)+1))
)),
VALUE(MID(B1369,FIND("E0",B1369)+2,FIND("T",B1369,FIND("E0",B1369))-(FIND("E0",B1369)+2)))
))),"")</f>
        <v/>
      </c>
      <c r="G1369">
        <f>IFERROR(
IF(ISNUMBER(FIND("T2",B1369)),220,
IF(ISNUMBER(FIND("T4",B1369)),440,
IF(ISNUMBER(FIND("T5",B1369)),575,
IF(ISNUMBER(FIND("T6",B1369)),690,"")))),
"")</f>
        <v>440</v>
      </c>
    </row>
    <row r="1370" spans="1:7" x14ac:dyDescent="0.25">
      <c r="A1370">
        <v>13616382</v>
      </c>
      <c r="B1370" t="str">
        <f>VLOOKUP(A1370,Planilha2!B:C,2,0)</f>
        <v>INVERSOR CFW700E0105T4DB20C3-UI</v>
      </c>
      <c r="C1370" t="s">
        <v>3170</v>
      </c>
      <c r="D1370" t="str">
        <f>VLOOKUP(A1370,Planilha2!B:H,7,0)</f>
        <v>LINHA G1</v>
      </c>
      <c r="E1370" s="5">
        <v>69100</v>
      </c>
      <c r="F1370" t="str">
        <f>IFERROR(
IF(ISNUMBER(FIND("CFW110",B1370)),
VALUE(MID(B1370,FIND("CFW110",B1370)+6,FIND("T",B1370,FIND("CFW110",B1370))-(FIND("CFW110",B1370)+6))),
IF(ISNUMBER(FIND("D",B1370)),
VALUE(SUBSTITUTE(MID(B1370,FIND("D",B1370)+1,FIND("T",B1370,FIND("D",B1370))-(FIND("D",B1370)+1)),"P",",")),
IF(ISNUMBER(FIND("CFW5",B1370)),
VALUE(MID(B1370,
IF(ISNUMBER(FIND("F",B1370)),FIND("F",B1370)+1,FIND("G",B1370)+1),
FIND("T",B1370)-(IF(ISNUMBER(FIND("F",B1370)),FIND("F",B1370)+1,FIND("G",B1370)+1))
)),
VALUE(MID(B1370,FIND("E0",B1370)+2,FIND("T",B1370,FIND("E0",B1370))-(FIND("E0",B1370)+2)))
))),"")</f>
        <v/>
      </c>
      <c r="G1370">
        <f>IFERROR(
IF(ISNUMBER(FIND("T2",B1370)),220,
IF(ISNUMBER(FIND("T4",B1370)),440,
IF(ISNUMBER(FIND("T5",B1370)),575,
IF(ISNUMBER(FIND("T6",B1370)),690,"")))),
"")</f>
        <v>440</v>
      </c>
    </row>
    <row r="1371" spans="1:7" x14ac:dyDescent="0.25">
      <c r="A1371">
        <v>13616431</v>
      </c>
      <c r="B1371" t="str">
        <f>VLOOKUP(A1371,Planilha2!B:C,2,0)</f>
        <v>INVERSOR CFW700E0105T4NB20C3W1-UI</v>
      </c>
      <c r="C1371" t="s">
        <v>3170</v>
      </c>
      <c r="D1371" t="str">
        <f>VLOOKUP(A1371,Planilha2!B:H,7,0)</f>
        <v>LINHA G1</v>
      </c>
      <c r="E1371" s="5">
        <v>69100</v>
      </c>
      <c r="F1371">
        <f>IFERROR(
IF(ISNUMBER(FIND("CFW110",B1371)),
VALUE(MID(B1371,FIND("CFW110",B1371)+6,FIND("T",B1371,FIND("CFW110",B1371))-(FIND("CFW110",B1371)+6))),
IF(ISNUMBER(FIND("D",B1371)),
VALUE(SUBSTITUTE(MID(B1371,FIND("D",B1371)+1,FIND("T",B1371,FIND("D",B1371))-(FIND("D",B1371)+1)),"P",",")),
IF(ISNUMBER(FIND("CFW5",B1371)),
VALUE(MID(B1371,
IF(ISNUMBER(FIND("F",B1371)),FIND("F",B1371)+1,FIND("G",B1371)+1),
FIND("T",B1371)-(IF(ISNUMBER(FIND("F",B1371)),FIND("F",B1371)+1,FIND("G",B1371)+1))
)),
VALUE(MID(B1371,FIND("E0",B1371)+2,FIND("T",B1371,FIND("E0",B1371))-(FIND("E0",B1371)+2)))
))),"")</f>
        <v>105</v>
      </c>
      <c r="G1371">
        <f>IFERROR(
IF(ISNUMBER(FIND("T2",B1371)),220,
IF(ISNUMBER(FIND("T4",B1371)),440,
IF(ISNUMBER(FIND("T5",B1371)),575,
IF(ISNUMBER(FIND("T6",B1371)),690,"")))),
"")</f>
        <v>440</v>
      </c>
    </row>
    <row r="1372" spans="1:7" x14ac:dyDescent="0.25">
      <c r="A1372">
        <v>13615066</v>
      </c>
      <c r="B1372" t="str">
        <f>VLOOKUP(A1372,Planilha2!B:C,2,0)</f>
        <v>INVERSOR CFW701E0142T4NBN1C3-UI</v>
      </c>
      <c r="C1372" t="s">
        <v>3170</v>
      </c>
      <c r="D1372" t="str">
        <f>VLOOKUP(A1372,Planilha2!B:H,7,0)</f>
        <v>LINHA G1</v>
      </c>
      <c r="E1372" s="5">
        <v>61360</v>
      </c>
      <c r="F1372">
        <f>IFERROR(
IF(ISNUMBER(FIND("CFW110",B1372)),
VALUE(MID(B1372,FIND("CFW110",B1372)+6,FIND("T",B1372,FIND("CFW110",B1372))-(FIND("CFW110",B1372)+6))),
IF(ISNUMBER(FIND("D",B1372)),
VALUE(SUBSTITUTE(MID(B1372,FIND("D",B1372)+1,FIND("T",B1372,FIND("D",B1372))-(FIND("D",B1372)+1)),"P",",")),
IF(ISNUMBER(FIND("CFW5",B1372)),
VALUE(MID(B1372,
IF(ISNUMBER(FIND("F",B1372)),FIND("F",B1372)+1,FIND("G",B1372)+1),
FIND("T",B1372)-(IF(ISNUMBER(FIND("F",B1372)),FIND("F",B1372)+1,FIND("G",B1372)+1))
)),
VALUE(MID(B1372,FIND("E0",B1372)+2,FIND("T",B1372,FIND("E0",B1372))-(FIND("E0",B1372)+2)))
))),"")</f>
        <v>142</v>
      </c>
      <c r="G1372">
        <f>IFERROR(
IF(ISNUMBER(FIND("T2",B1372)),220,
IF(ISNUMBER(FIND("T4",B1372)),440,
IF(ISNUMBER(FIND("T5",B1372)),575,
IF(ISNUMBER(FIND("T6",B1372)),690,"")))),
"")</f>
        <v>440</v>
      </c>
    </row>
    <row r="1373" spans="1:7" x14ac:dyDescent="0.25">
      <c r="A1373">
        <v>13615153</v>
      </c>
      <c r="B1373" t="str">
        <f>VLOOKUP(A1373,Planilha2!B:C,2,0)</f>
        <v>INVERSOR CFW701E0105T4NBN1C3-UI</v>
      </c>
      <c r="C1373" t="s">
        <v>3170</v>
      </c>
      <c r="D1373" t="str">
        <f>VLOOKUP(A1373,Planilha2!B:H,7,0)</f>
        <v>LINHA G1</v>
      </c>
      <c r="E1373" s="5">
        <v>66430</v>
      </c>
      <c r="F1373">
        <f>IFERROR(
IF(ISNUMBER(FIND("CFW110",B1373)),
VALUE(MID(B1373,FIND("CFW110",B1373)+6,FIND("T",B1373,FIND("CFW110",B1373))-(FIND("CFW110",B1373)+6))),
IF(ISNUMBER(FIND("D",B1373)),
VALUE(SUBSTITUTE(MID(B1373,FIND("D",B1373)+1,FIND("T",B1373,FIND("D",B1373))-(FIND("D",B1373)+1)),"P",",")),
IF(ISNUMBER(FIND("CFW5",B1373)),
VALUE(MID(B1373,
IF(ISNUMBER(FIND("F",B1373)),FIND("F",B1373)+1,FIND("G",B1373)+1),
FIND("T",B1373)-(IF(ISNUMBER(FIND("F",B1373)),FIND("F",B1373)+1,FIND("G",B1373)+1))
)),
VALUE(MID(B1373,FIND("E0",B1373)+2,FIND("T",B1373,FIND("E0",B1373))-(FIND("E0",B1373)+2)))
))),"")</f>
        <v>105</v>
      </c>
      <c r="G1373">
        <f>IFERROR(
IF(ISNUMBER(FIND("T2",B1373)),220,
IF(ISNUMBER(FIND("T4",B1373)),440,
IF(ISNUMBER(FIND("T5",B1373)),575,
IF(ISNUMBER(FIND("T6",B1373)),690,"")))),
"")</f>
        <v>440</v>
      </c>
    </row>
    <row r="1374" spans="1:7" x14ac:dyDescent="0.25">
      <c r="A1374">
        <v>13615875</v>
      </c>
      <c r="B1374" t="str">
        <f>VLOOKUP(A1374,Planilha2!B:C,2,0)</f>
        <v>INVERSOR CFW700E0180T2NB20C3-UI</v>
      </c>
      <c r="C1374" t="s">
        <v>3170</v>
      </c>
      <c r="D1374" t="str">
        <f>VLOOKUP(A1374,Planilha2!B:H,7,0)</f>
        <v>LINHA G1</v>
      </c>
      <c r="E1374" s="5">
        <v>69100</v>
      </c>
      <c r="F1374">
        <f>IFERROR(
IF(ISNUMBER(FIND("CFW110",B1374)),
VALUE(MID(B1374,FIND("CFW110",B1374)+6,FIND("T",B1374,FIND("CFW110",B1374))-(FIND("CFW110",B1374)+6))),
IF(ISNUMBER(FIND("D",B1374)),
VALUE(SUBSTITUTE(MID(B1374,FIND("D",B1374)+1,FIND("T",B1374,FIND("D",B1374))-(FIND("D",B1374)+1)),"P",",")),
IF(ISNUMBER(FIND("CFW5",B1374)),
VALUE(MID(B1374,
IF(ISNUMBER(FIND("F",B1374)),FIND("F",B1374)+1,FIND("G",B1374)+1),
FIND("T",B1374)-(IF(ISNUMBER(FIND("F",B1374)),FIND("F",B1374)+1,FIND("G",B1374)+1))
)),
VALUE(MID(B1374,FIND("E0",B1374)+2,FIND("T",B1374,FIND("E0",B1374))-(FIND("E0",B1374)+2)))
))),"")</f>
        <v>180</v>
      </c>
      <c r="G1374">
        <f>IFERROR(
IF(ISNUMBER(FIND("T2",B1374)),220,
IF(ISNUMBER(FIND("T4",B1374)),440,
IF(ISNUMBER(FIND("T5",B1374)),575,
IF(ISNUMBER(FIND("T6",B1374)),690,"")))),
"")</f>
        <v>220</v>
      </c>
    </row>
    <row r="1375" spans="1:7" x14ac:dyDescent="0.25">
      <c r="A1375">
        <v>13618722</v>
      </c>
      <c r="B1375" t="str">
        <f>VLOOKUP(A1375,Planilha2!B:C,2,0)</f>
        <v>INVERSOR NACFW110601T4ORBZ</v>
      </c>
      <c r="C1375" t="s">
        <v>3170</v>
      </c>
      <c r="D1375" t="str">
        <f>VLOOKUP(A1375,Planilha2!B:H,7,0)</f>
        <v>LINHA G5</v>
      </c>
      <c r="E1375" t="s">
        <v>3172</v>
      </c>
      <c r="F1375">
        <f>IFERROR(
IF(ISNUMBER(FIND("CFW110",B1375)),
VALUE(MID(B1375,FIND("CFW110",B1375)+6,FIND("T",B1375,FIND("CFW110",B1375))-(FIND("CFW110",B1375)+6))),
IF(ISNUMBER(FIND("D",B1375)),
VALUE(SUBSTITUTE(MID(B1375,FIND("D",B1375)+1,FIND("T",B1375,FIND("D",B1375))-(FIND("D",B1375)+1)),"P",",")),
IF(ISNUMBER(FIND("CFW5",B1375)),
VALUE(MID(B1375,
IF(ISNUMBER(FIND("F",B1375)),FIND("F",B1375)+1,FIND("G",B1375)+1),
FIND("T",B1375)-(IF(ISNUMBER(FIND("F",B1375)),FIND("F",B1375)+1,FIND("G",B1375)+1))
)),
VALUE(MID(B1375,FIND("E0",B1375)+2,FIND("T",B1375,FIND("E0",B1375))-(FIND("E0",B1375)+2)))
))),"")</f>
        <v>601</v>
      </c>
      <c r="G1375">
        <f>IFERROR(
IF(ISNUMBER(FIND("T2",B1375)),220,
IF(ISNUMBER(FIND("T4",B1375)),440,
IF(ISNUMBER(FIND("T5",B1375)),575,
IF(ISNUMBER(FIND("T6",B1375)),690,"")))),
"")</f>
        <v>440</v>
      </c>
    </row>
    <row r="1376" spans="1:7" x14ac:dyDescent="0.25">
      <c r="A1376">
        <v>13617559</v>
      </c>
      <c r="B1376" t="str">
        <f>VLOOKUP(A1376,Planilha2!B:C,2,0)</f>
        <v>INVERSOR BRCFW110105T4ODBYZ-UI</v>
      </c>
      <c r="C1376" t="s">
        <v>3170</v>
      </c>
      <c r="D1376" t="str">
        <f>VLOOKUP(A1376,Planilha2!B:H,7,0)</f>
        <v>LINHA G1</v>
      </c>
      <c r="E1376" s="5">
        <v>60360</v>
      </c>
      <c r="F1376">
        <f>IFERROR(
IF(ISNUMBER(FIND("CFW110",B1376)),
VALUE(MID(B1376,FIND("CFW110",B1376)+6,FIND("T",B1376,FIND("CFW110",B1376))-(FIND("CFW110",B1376)+6))),
IF(ISNUMBER(FIND("D",B1376)),
VALUE(SUBSTITUTE(MID(B1376,FIND("D",B1376)+1,FIND("T",B1376,FIND("D",B1376))-(FIND("D",B1376)+1)),"P",",")),
IF(ISNUMBER(FIND("CFW5",B1376)),
VALUE(MID(B1376,
IF(ISNUMBER(FIND("F",B1376)),FIND("F",B1376)+1,FIND("G",B1376)+1),
FIND("T",B1376)-(IF(ISNUMBER(FIND("F",B1376)),FIND("F",B1376)+1,FIND("G",B1376)+1))
)),
VALUE(MID(B1376,FIND("E0",B1376)+2,FIND("T",B1376,FIND("E0",B1376))-(FIND("E0",B1376)+2)))
))),"")</f>
        <v>105</v>
      </c>
      <c r="G1376">
        <f>IFERROR(
IF(ISNUMBER(FIND("T2",B1376)),220,
IF(ISNUMBER(FIND("T4",B1376)),440,
IF(ISNUMBER(FIND("T5",B1376)),575,
IF(ISNUMBER(FIND("T6",B1376)),690,"")))),
"")</f>
        <v>440</v>
      </c>
    </row>
    <row r="1377" spans="1:7" x14ac:dyDescent="0.25">
      <c r="A1377">
        <v>13617562</v>
      </c>
      <c r="B1377" t="str">
        <f>VLOOKUP(A1377,Planilha2!B:C,2,0)</f>
        <v>INVERSOR BRCFW110142T4ODBZ-UI</v>
      </c>
      <c r="C1377" t="s">
        <v>3170</v>
      </c>
      <c r="D1377" t="str">
        <f>VLOOKUP(A1377,Planilha2!B:H,7,0)</f>
        <v>LINHA G1</v>
      </c>
      <c r="E1377" s="5">
        <v>69100</v>
      </c>
      <c r="F1377">
        <f>IFERROR(
IF(ISNUMBER(FIND("CFW110",B1377)),
VALUE(MID(B1377,FIND("CFW110",B1377)+6,FIND("T",B1377,FIND("CFW110",B1377))-(FIND("CFW110",B1377)+6))),
IF(ISNUMBER(FIND("D",B1377)),
VALUE(SUBSTITUTE(MID(B1377,FIND("D",B1377)+1,FIND("T",B1377,FIND("D",B1377))-(FIND("D",B1377)+1)),"P",",")),
IF(ISNUMBER(FIND("CFW5",B1377)),
VALUE(MID(B1377,
IF(ISNUMBER(FIND("F",B1377)),FIND("F",B1377)+1,FIND("G",B1377)+1),
FIND("T",B1377)-(IF(ISNUMBER(FIND("F",B1377)),FIND("F",B1377)+1,FIND("G",B1377)+1))
)),
VALUE(MID(B1377,FIND("E0",B1377)+2,FIND("T",B1377,FIND("E0",B1377))-(FIND("E0",B1377)+2)))
))),"")</f>
        <v>142</v>
      </c>
      <c r="G1377">
        <f>IFERROR(
IF(ISNUMBER(FIND("T2",B1377)),220,
IF(ISNUMBER(FIND("T4",B1377)),440,
IF(ISNUMBER(FIND("T5",B1377)),575,
IF(ISNUMBER(FIND("T6",B1377)),690,"")))),
"")</f>
        <v>440</v>
      </c>
    </row>
    <row r="1378" spans="1:7" x14ac:dyDescent="0.25">
      <c r="A1378">
        <v>13614318</v>
      </c>
      <c r="B1378" t="str">
        <f>VLOOKUP(A1378,Planilha2!B:C,2,0)</f>
        <v>INVERSOR BCCFW110142T4ODBHESEZ-UI</v>
      </c>
      <c r="C1378" t="s">
        <v>3170</v>
      </c>
      <c r="D1378" t="str">
        <f>VLOOKUP(A1378,Planilha2!B:H,7,0)</f>
        <v>LINHA G1</v>
      </c>
      <c r="E1378" s="5">
        <v>65380</v>
      </c>
      <c r="F1378">
        <f>IFERROR(
IF(ISNUMBER(FIND("CFW110",B1378)),
VALUE(MID(B1378,FIND("CFW110",B1378)+6,FIND("T",B1378,FIND("CFW110",B1378))-(FIND("CFW110",B1378)+6))),
IF(ISNUMBER(FIND("D",B1378)),
VALUE(SUBSTITUTE(MID(B1378,FIND("D",B1378)+1,FIND("T",B1378,FIND("D",B1378))-(FIND("D",B1378)+1)),"P",",")),
IF(ISNUMBER(FIND("CFW5",B1378)),
VALUE(MID(B1378,
IF(ISNUMBER(FIND("F",B1378)),FIND("F",B1378)+1,FIND("G",B1378)+1),
FIND("T",B1378)-(IF(ISNUMBER(FIND("F",B1378)),FIND("F",B1378)+1,FIND("G",B1378)+1))
)),
VALUE(MID(B1378,FIND("E0",B1378)+2,FIND("T",B1378,FIND("E0",B1378))-(FIND("E0",B1378)+2)))
))),"")</f>
        <v>142</v>
      </c>
      <c r="G1378">
        <f>IFERROR(
IF(ISNUMBER(FIND("T2",B1378)),220,
IF(ISNUMBER(FIND("T4",B1378)),440,
IF(ISNUMBER(FIND("T5",B1378)),575,
IF(ISNUMBER(FIND("T6",B1378)),690,"")))),
"")</f>
        <v>440</v>
      </c>
    </row>
    <row r="1379" spans="1:7" x14ac:dyDescent="0.25">
      <c r="A1379">
        <v>13619706</v>
      </c>
      <c r="B1379" t="str">
        <f>VLOOKUP(A1379,Planilha2!B:C,2,0)</f>
        <v>INVERSOR NACFW110601T4ORBZ-UI</v>
      </c>
      <c r="C1379" t="s">
        <v>3170</v>
      </c>
      <c r="D1379" t="str">
        <f>VLOOKUP(A1379,Planilha2!B:H,7,0)</f>
        <v>LINHA G5</v>
      </c>
      <c r="E1379" s="5">
        <v>210368</v>
      </c>
      <c r="F1379">
        <f>IFERROR(
IF(ISNUMBER(FIND("CFW110",B1379)),
VALUE(MID(B1379,FIND("CFW110",B1379)+6,FIND("T",B1379,FIND("CFW110",B1379))-(FIND("CFW110",B1379)+6))),
IF(ISNUMBER(FIND("D",B1379)),
VALUE(SUBSTITUTE(MID(B1379,FIND("D",B1379)+1,FIND("T",B1379,FIND("D",B1379))-(FIND("D",B1379)+1)),"P",",")),
IF(ISNUMBER(FIND("CFW5",B1379)),
VALUE(MID(B1379,
IF(ISNUMBER(FIND("F",B1379)),FIND("F",B1379)+1,FIND("G",B1379)+1),
FIND("T",B1379)-(IF(ISNUMBER(FIND("F",B1379)),FIND("F",B1379)+1,FIND("G",B1379)+1))
)),
VALUE(MID(B1379,FIND("E0",B1379)+2,FIND("T",B1379,FIND("E0",B1379))-(FIND("E0",B1379)+2)))
))),"")</f>
        <v>601</v>
      </c>
      <c r="G1379">
        <f>IFERROR(
IF(ISNUMBER(FIND("T2",B1379)),220,
IF(ISNUMBER(FIND("T4",B1379)),440,
IF(ISNUMBER(FIND("T5",B1379)),575,
IF(ISNUMBER(FIND("T6",B1379)),690,"")))),
"")</f>
        <v>440</v>
      </c>
    </row>
    <row r="1380" spans="1:7" x14ac:dyDescent="0.25">
      <c r="A1380">
        <v>13615311</v>
      </c>
      <c r="B1380" t="str">
        <f>VLOOKUP(A1380,Planilha2!B:C,2,0)</f>
        <v>INVERSOR BCCFW110180T4OHEZ-UI</v>
      </c>
      <c r="C1380" t="s">
        <v>3170</v>
      </c>
      <c r="D1380" t="str">
        <f>VLOOKUP(A1380,Planilha2!B:H,7,0)</f>
        <v>LINHA G1</v>
      </c>
      <c r="E1380" s="5">
        <v>69100</v>
      </c>
      <c r="F1380">
        <f>IFERROR(
IF(ISNUMBER(FIND("CFW110",B1380)),
VALUE(MID(B1380,FIND("CFW110",B1380)+6,FIND("T",B1380,FIND("CFW110",B1380))-(FIND("CFW110",B1380)+6))),
IF(ISNUMBER(FIND("D",B1380)),
VALUE(SUBSTITUTE(MID(B1380,FIND("D",B1380)+1,FIND("T",B1380,FIND("D",B1380))-(FIND("D",B1380)+1)),"P",",")),
IF(ISNUMBER(FIND("CFW5",B1380)),
VALUE(MID(B1380,
IF(ISNUMBER(FIND("F",B1380)),FIND("F",B1380)+1,FIND("G",B1380)+1),
FIND("T",B1380)-(IF(ISNUMBER(FIND("F",B1380)),FIND("F",B1380)+1,FIND("G",B1380)+1))
)),
VALUE(MID(B1380,FIND("E0",B1380)+2,FIND("T",B1380,FIND("E0",B1380))-(FIND("E0",B1380)+2)))
))),"")</f>
        <v>180</v>
      </c>
      <c r="G1380">
        <f>IFERROR(
IF(ISNUMBER(FIND("T2",B1380)),220,
IF(ISNUMBER(FIND("T4",B1380)),440,
IF(ISNUMBER(FIND("T5",B1380)),575,
IF(ISNUMBER(FIND("T6",B1380)),690,"")))),
"")</f>
        <v>440</v>
      </c>
    </row>
    <row r="1381" spans="1:7" x14ac:dyDescent="0.25">
      <c r="A1381">
        <v>11994583</v>
      </c>
      <c r="B1381" t="str">
        <f>VLOOKUP(A1381,Planilha2!B:C,2,0)</f>
        <v>INVERSOR NACFW110150T6ON1YZ</v>
      </c>
      <c r="C1381" t="s">
        <v>3170</v>
      </c>
      <c r="D1381" t="str">
        <f>VLOOKUP(A1381,Planilha2!B:H,7,0)</f>
        <v>LINHA G1</v>
      </c>
      <c r="E1381" s="5">
        <v>60360</v>
      </c>
      <c r="F1381">
        <f>IFERROR(
IF(ISNUMBER(FIND("CFW110",B1381)),
VALUE(MID(B1381,FIND("CFW110",B1381)+6,FIND("T",B1381,FIND("CFW110",B1381))-(FIND("CFW110",B1381)+6))),
IF(ISNUMBER(FIND("D",B1381)),
VALUE(SUBSTITUTE(MID(B1381,FIND("D",B1381)+1,FIND("T",B1381,FIND("D",B1381))-(FIND("D",B1381)+1)),"P",",")),
IF(ISNUMBER(FIND("CFW5",B1381)),
VALUE(MID(B1381,
IF(ISNUMBER(FIND("F",B1381)),FIND("F",B1381)+1,FIND("G",B1381)+1),
FIND("T",B1381)-(IF(ISNUMBER(FIND("F",B1381)),FIND("F",B1381)+1,FIND("G",B1381)+1))
)),
VALUE(MID(B1381,FIND("E0",B1381)+2,FIND("T",B1381,FIND("E0",B1381))-(FIND("E0",B1381)+2)))
))),"")</f>
        <v>150</v>
      </c>
      <c r="G1381">
        <f>IFERROR(
IF(ISNUMBER(FIND("T2",B1381)),220,
IF(ISNUMBER(FIND("T4",B1381)),440,
IF(ISNUMBER(FIND("T5",B1381)),575,
IF(ISNUMBER(FIND("T6",B1381)),690,"")))),
"")</f>
        <v>690</v>
      </c>
    </row>
    <row r="1382" spans="1:7" x14ac:dyDescent="0.25">
      <c r="A1382">
        <v>13637845</v>
      </c>
      <c r="B1382" t="str">
        <f>VLOOKUP(A1382,Planilha2!B:C,2,0)</f>
        <v>INVERSOR MSCFW110125T6ONBSWZ</v>
      </c>
      <c r="C1382" t="s">
        <v>3170</v>
      </c>
      <c r="D1382" t="str">
        <f>VLOOKUP(A1382,Planilha2!B:H,7,0)</f>
        <v>LINHA G1</v>
      </c>
      <c r="E1382" t="s">
        <v>3172</v>
      </c>
      <c r="F1382">
        <f>IFERROR(
IF(ISNUMBER(FIND("CFW110",B1382)),
VALUE(MID(B1382,FIND("CFW110",B1382)+6,FIND("T",B1382,FIND("CFW110",B1382))-(FIND("CFW110",B1382)+6))),
IF(ISNUMBER(FIND("D",B1382)),
VALUE(SUBSTITUTE(MID(B1382,FIND("D",B1382)+1,FIND("T",B1382,FIND("D",B1382))-(FIND("D",B1382)+1)),"P",",")),
IF(ISNUMBER(FIND("CFW5",B1382)),
VALUE(MID(B1382,
IF(ISNUMBER(FIND("F",B1382)),FIND("F",B1382)+1,FIND("G",B1382)+1),
FIND("T",B1382)-(IF(ISNUMBER(FIND("F",B1382)),FIND("F",B1382)+1,FIND("G",B1382)+1))
)),
VALUE(MID(B1382,FIND("E0",B1382)+2,FIND("T",B1382,FIND("E0",B1382))-(FIND("E0",B1382)+2)))
))),"")</f>
        <v>125</v>
      </c>
      <c r="G1382">
        <f>IFERROR(
IF(ISNUMBER(FIND("T2",B1382)),220,
IF(ISNUMBER(FIND("T4",B1382)),440,
IF(ISNUMBER(FIND("T5",B1382)),575,
IF(ISNUMBER(FIND("T6",B1382)),690,"")))),
"")</f>
        <v>690</v>
      </c>
    </row>
    <row r="1383" spans="1:7" x14ac:dyDescent="0.25">
      <c r="A1383">
        <v>13622293</v>
      </c>
      <c r="B1383" t="str">
        <f>VLOOKUP(A1383,Planilha2!B:C,2,0)</f>
        <v>INVERSOR EUCFW110180T4SZ-UI</v>
      </c>
      <c r="C1383" t="s">
        <v>3170</v>
      </c>
      <c r="D1383" t="str">
        <f>VLOOKUP(A1383,Planilha2!B:H,7,0)</f>
        <v>LINHA G1</v>
      </c>
      <c r="E1383" s="5">
        <v>65389</v>
      </c>
      <c r="F1383">
        <f>IFERROR(
IF(ISNUMBER(FIND("CFW110",B1383)),
VALUE(MID(B1383,FIND("CFW110",B1383)+6,FIND("T",B1383,FIND("CFW110",B1383))-(FIND("CFW110",B1383)+6))),
IF(ISNUMBER(FIND("D",B1383)),
VALUE(SUBSTITUTE(MID(B1383,FIND("D",B1383)+1,FIND("T",B1383,FIND("D",B1383))-(FIND("D",B1383)+1)),"P",",")),
IF(ISNUMBER(FIND("CFW5",B1383)),
VALUE(MID(B1383,
IF(ISNUMBER(FIND("F",B1383)),FIND("F",B1383)+1,FIND("G",B1383)+1),
FIND("T",B1383)-(IF(ISNUMBER(FIND("F",B1383)),FIND("F",B1383)+1,FIND("G",B1383)+1))
)),
VALUE(MID(B1383,FIND("E0",B1383)+2,FIND("T",B1383,FIND("E0",B1383))-(FIND("E0",B1383)+2)))
))),"")</f>
        <v>180</v>
      </c>
      <c r="G1383">
        <f>IFERROR(
IF(ISNUMBER(FIND("T2",B1383)),220,
IF(ISNUMBER(FIND("T4",B1383)),440,
IF(ISNUMBER(FIND("T5",B1383)),575,
IF(ISNUMBER(FIND("T6",B1383)),690,"")))),
"")</f>
        <v>440</v>
      </c>
    </row>
    <row r="1384" spans="1:7" x14ac:dyDescent="0.25">
      <c r="A1384">
        <v>13622290</v>
      </c>
      <c r="B1384" t="str">
        <f>VLOOKUP(A1384,Planilha2!B:C,2,0)</f>
        <v>INVERSOR EUCFW110142T4SZ-UI</v>
      </c>
      <c r="C1384" t="s">
        <v>3170</v>
      </c>
      <c r="D1384" t="str">
        <f>VLOOKUP(A1384,Planilha2!B:H,7,0)</f>
        <v>LINHA G1</v>
      </c>
      <c r="E1384" s="5">
        <v>64599</v>
      </c>
      <c r="F1384">
        <f>IFERROR(
IF(ISNUMBER(FIND("CFW110",B1384)),
VALUE(MID(B1384,FIND("CFW110",B1384)+6,FIND("T",B1384,FIND("CFW110",B1384))-(FIND("CFW110",B1384)+6))),
IF(ISNUMBER(FIND("D",B1384)),
VALUE(SUBSTITUTE(MID(B1384,FIND("D",B1384)+1,FIND("T",B1384,FIND("D",B1384))-(FIND("D",B1384)+1)),"P",",")),
IF(ISNUMBER(FIND("CFW5",B1384)),
VALUE(MID(B1384,
IF(ISNUMBER(FIND("F",B1384)),FIND("F",B1384)+1,FIND("G",B1384)+1),
FIND("T",B1384)-(IF(ISNUMBER(FIND("F",B1384)),FIND("F",B1384)+1,FIND("G",B1384)+1))
)),
VALUE(MID(B1384,FIND("E0",B1384)+2,FIND("T",B1384,FIND("E0",B1384))-(FIND("E0",B1384)+2)))
))),"")</f>
        <v>142</v>
      </c>
      <c r="G1384">
        <f>IFERROR(
IF(ISNUMBER(FIND("T2",B1384)),220,
IF(ISNUMBER(FIND("T4",B1384)),440,
IF(ISNUMBER(FIND("T5",B1384)),575,
IF(ISNUMBER(FIND("T6",B1384)),690,"")))),
"")</f>
        <v>440</v>
      </c>
    </row>
    <row r="1385" spans="1:7" x14ac:dyDescent="0.25">
      <c r="A1385">
        <v>13654944</v>
      </c>
      <c r="B1385" t="str">
        <f>VLOOKUP(A1385,Planilha2!B:C,2,0)</f>
        <v>INVERSOR BRCFW110242T4ORBH1Z-UI</v>
      </c>
      <c r="C1385" t="s">
        <v>3170</v>
      </c>
      <c r="D1385" t="str">
        <f>VLOOKUP(A1385,Planilha2!B:H,7,0)</f>
        <v>LINHA G3</v>
      </c>
      <c r="E1385" s="5">
        <v>97000</v>
      </c>
      <c r="F1385">
        <f>IFERROR(
IF(ISNUMBER(FIND("CFW110",B1385)),
VALUE(MID(B1385,FIND("CFW110",B1385)+6,FIND("T",B1385,FIND("CFW110",B1385))-(FIND("CFW110",B1385)+6))),
IF(ISNUMBER(FIND("D",B1385)),
VALUE(SUBSTITUTE(MID(B1385,FIND("D",B1385)+1,FIND("T",B1385,FIND("D",B1385))-(FIND("D",B1385)+1)),"P",",")),
IF(ISNUMBER(FIND("CFW5",B1385)),
VALUE(MID(B1385,
IF(ISNUMBER(FIND("F",B1385)),FIND("F",B1385)+1,FIND("G",B1385)+1),
FIND("T",B1385)-(IF(ISNUMBER(FIND("F",B1385)),FIND("F",B1385)+1,FIND("G",B1385)+1))
)),
VALUE(MID(B1385,FIND("E0",B1385)+2,FIND("T",B1385,FIND("E0",B1385))-(FIND("E0",B1385)+2)))
))),"")</f>
        <v>242</v>
      </c>
      <c r="G1385">
        <f>IFERROR(
IF(ISNUMBER(FIND("T2",B1385)),220,
IF(ISNUMBER(FIND("T4",B1385)),440,
IF(ISNUMBER(FIND("T5",B1385)),575,
IF(ISNUMBER(FIND("T6",B1385)),690,"")))),
"")</f>
        <v>440</v>
      </c>
    </row>
    <row r="1386" spans="1:7" x14ac:dyDescent="0.25">
      <c r="A1386">
        <v>13812465</v>
      </c>
      <c r="B1386" t="str">
        <f>VLOOKUP(A1386,Planilha2!B:C,2,0)</f>
        <v>INVERSOR BRCFW110211T4ODBZ-UI</v>
      </c>
      <c r="C1386" t="s">
        <v>3170</v>
      </c>
      <c r="D1386" t="str">
        <f>VLOOKUP(A1386,Planilha2!B:H,7,0)</f>
        <v>LINHA G1</v>
      </c>
      <c r="E1386" s="5">
        <v>69496</v>
      </c>
      <c r="F1386">
        <f>IFERROR(
IF(ISNUMBER(FIND("CFW110",B1386)),
VALUE(MID(B1386,FIND("CFW110",B1386)+6,FIND("T",B1386,FIND("CFW110",B1386))-(FIND("CFW110",B1386)+6))),
IF(ISNUMBER(FIND("D",B1386)),
VALUE(SUBSTITUTE(MID(B1386,FIND("D",B1386)+1,FIND("T",B1386,FIND("D",B1386))-(FIND("D",B1386)+1)),"P",",")),
IF(ISNUMBER(FIND("CFW5",B1386)),
VALUE(MID(B1386,
IF(ISNUMBER(FIND("F",B1386)),FIND("F",B1386)+1,FIND("G",B1386)+1),
FIND("T",B1386)-(IF(ISNUMBER(FIND("F",B1386)),FIND("F",B1386)+1,FIND("G",B1386)+1))
)),
VALUE(MID(B1386,FIND("E0",B1386)+2,FIND("T",B1386,FIND("E0",B1386))-(FIND("E0",B1386)+2)))
))),"")</f>
        <v>211</v>
      </c>
      <c r="G1386">
        <f>IFERROR(
IF(ISNUMBER(FIND("T2",B1386)),220,
IF(ISNUMBER(FIND("T4",B1386)),440,
IF(ISNUMBER(FIND("T5",B1386)),575,
IF(ISNUMBER(FIND("T6",B1386)),690,"")))),
"")</f>
        <v>440</v>
      </c>
    </row>
    <row r="1387" spans="1:7" x14ac:dyDescent="0.25">
      <c r="A1387">
        <v>13624141</v>
      </c>
      <c r="B1387" t="str">
        <f>VLOOKUP(A1387,Planilha2!B:C,2,0)</f>
        <v>INVERSOR NACFW110211T4SZ-UI</v>
      </c>
      <c r="C1387" t="s">
        <v>3170</v>
      </c>
      <c r="D1387" t="str">
        <f>VLOOKUP(A1387,Planilha2!B:H,7,0)</f>
        <v>LINHA G1</v>
      </c>
      <c r="E1387" s="5">
        <v>68289</v>
      </c>
      <c r="F1387">
        <f>IFERROR(
IF(ISNUMBER(FIND("CFW110",B1387)),
VALUE(MID(B1387,FIND("CFW110",B1387)+6,FIND("T",B1387,FIND("CFW110",B1387))-(FIND("CFW110",B1387)+6))),
IF(ISNUMBER(FIND("D",B1387)),
VALUE(SUBSTITUTE(MID(B1387,FIND("D",B1387)+1,FIND("T",B1387,FIND("D",B1387))-(FIND("D",B1387)+1)),"P",",")),
IF(ISNUMBER(FIND("CFW5",B1387)),
VALUE(MID(B1387,
IF(ISNUMBER(FIND("F",B1387)),FIND("F",B1387)+1,FIND("G",B1387)+1),
FIND("T",B1387)-(IF(ISNUMBER(FIND("F",B1387)),FIND("F",B1387)+1,FIND("G",B1387)+1))
)),
VALUE(MID(B1387,FIND("E0",B1387)+2,FIND("T",B1387,FIND("E0",B1387))-(FIND("E0",B1387)+2)))
))),"")</f>
        <v>211</v>
      </c>
      <c r="G1387">
        <f>IFERROR(
IF(ISNUMBER(FIND("T2",B1387)),220,
IF(ISNUMBER(FIND("T4",B1387)),440,
IF(ISNUMBER(FIND("T5",B1387)),575,
IF(ISNUMBER(FIND("T6",B1387)),690,"")))),
"")</f>
        <v>440</v>
      </c>
    </row>
    <row r="1388" spans="1:7" x14ac:dyDescent="0.25">
      <c r="A1388">
        <v>13652945</v>
      </c>
      <c r="B1388" t="str">
        <f>VLOOKUP(A1388,Planilha2!B:C,2,0)</f>
        <v>INVERSOR BRCFW110180T4OYWZ-UI</v>
      </c>
      <c r="C1388" t="s">
        <v>3170</v>
      </c>
      <c r="D1388" t="str">
        <f>VLOOKUP(A1388,Planilha2!B:H,7,0)</f>
        <v>LINHA G1</v>
      </c>
      <c r="E1388" s="5">
        <v>68952</v>
      </c>
      <c r="F1388">
        <f>IFERROR(
IF(ISNUMBER(FIND("CFW110",B1388)),
VALUE(MID(B1388,FIND("CFW110",B1388)+6,FIND("T",B1388,FIND("CFW110",B1388))-(FIND("CFW110",B1388)+6))),
IF(ISNUMBER(FIND("D",B1388)),
VALUE(SUBSTITUTE(MID(B1388,FIND("D",B1388)+1,FIND("T",B1388,FIND("D",B1388))-(FIND("D",B1388)+1)),"P",",")),
IF(ISNUMBER(FIND("CFW5",B1388)),
VALUE(MID(B1388,
IF(ISNUMBER(FIND("F",B1388)),FIND("F",B1388)+1,FIND("G",B1388)+1),
FIND("T",B1388)-(IF(ISNUMBER(FIND("F",B1388)),FIND("F",B1388)+1,FIND("G",B1388)+1))
)),
VALUE(MID(B1388,FIND("E0",B1388)+2,FIND("T",B1388,FIND("E0",B1388))-(FIND("E0",B1388)+2)))
))),"")</f>
        <v>180</v>
      </c>
      <c r="G1388">
        <f>IFERROR(
IF(ISNUMBER(FIND("T2",B1388)),220,
IF(ISNUMBER(FIND("T4",B1388)),440,
IF(ISNUMBER(FIND("T5",B1388)),575,
IF(ISNUMBER(FIND("T6",B1388)),690,"")))),
"")</f>
        <v>440</v>
      </c>
    </row>
    <row r="1389" spans="1:7" x14ac:dyDescent="0.25">
      <c r="A1389">
        <v>13622397</v>
      </c>
      <c r="B1389" t="str">
        <f>VLOOKUP(A1389,Planilha2!B:C,2,0)</f>
        <v>INVERSOR MSCFW110142T4SZ-UI</v>
      </c>
      <c r="C1389" t="s">
        <v>3170</v>
      </c>
      <c r="D1389" t="str">
        <f>VLOOKUP(A1389,Planilha2!B:H,7,0)</f>
        <v>LINHA G1</v>
      </c>
      <c r="E1389" s="5">
        <v>64599</v>
      </c>
      <c r="F1389">
        <f>IFERROR(
IF(ISNUMBER(FIND("CFW110",B1389)),
VALUE(MID(B1389,FIND("CFW110",B1389)+6,FIND("T",B1389,FIND("CFW110",B1389))-(FIND("CFW110",B1389)+6))),
IF(ISNUMBER(FIND("D",B1389)),
VALUE(SUBSTITUTE(MID(B1389,FIND("D",B1389)+1,FIND("T",B1389,FIND("D",B1389))-(FIND("D",B1389)+1)),"P",",")),
IF(ISNUMBER(FIND("CFW5",B1389)),
VALUE(MID(B1389,
IF(ISNUMBER(FIND("F",B1389)),FIND("F",B1389)+1,FIND("G",B1389)+1),
FIND("T",B1389)-(IF(ISNUMBER(FIND("F",B1389)),FIND("F",B1389)+1,FIND("G",B1389)+1))
)),
VALUE(MID(B1389,FIND("E0",B1389)+2,FIND("T",B1389,FIND("E0",B1389))-(FIND("E0",B1389)+2)))
))),"")</f>
        <v>142</v>
      </c>
      <c r="G1389">
        <f>IFERROR(
IF(ISNUMBER(FIND("T2",B1389)),220,
IF(ISNUMBER(FIND("T4",B1389)),440,
IF(ISNUMBER(FIND("T5",B1389)),575,
IF(ISNUMBER(FIND("T6",B1389)),690,"")))),
"")</f>
        <v>440</v>
      </c>
    </row>
    <row r="1390" spans="1:7" x14ac:dyDescent="0.25">
      <c r="A1390">
        <v>13622451</v>
      </c>
      <c r="B1390" t="str">
        <f>VLOOKUP(A1390,Planilha2!B:C,2,0)</f>
        <v>INVERSOR MSCFW110211T4SZ-UI</v>
      </c>
      <c r="C1390" t="s">
        <v>3170</v>
      </c>
      <c r="D1390" t="str">
        <f>VLOOKUP(A1390,Planilha2!B:H,7,0)</f>
        <v>LINHA G1</v>
      </c>
      <c r="E1390" s="5">
        <v>68289</v>
      </c>
      <c r="F1390">
        <f>IFERROR(
IF(ISNUMBER(FIND("CFW110",B1390)),
VALUE(MID(B1390,FIND("CFW110",B1390)+6,FIND("T",B1390,FIND("CFW110",B1390))-(FIND("CFW110",B1390)+6))),
IF(ISNUMBER(FIND("D",B1390)),
VALUE(SUBSTITUTE(MID(B1390,FIND("D",B1390)+1,FIND("T",B1390,FIND("D",B1390))-(FIND("D",B1390)+1)),"P",",")),
IF(ISNUMBER(FIND("CFW5",B1390)),
VALUE(MID(B1390,
IF(ISNUMBER(FIND("F",B1390)),FIND("F",B1390)+1,FIND("G",B1390)+1),
FIND("T",B1390)-(IF(ISNUMBER(FIND("F",B1390)),FIND("F",B1390)+1,FIND("G",B1390)+1))
)),
VALUE(MID(B1390,FIND("E0",B1390)+2,FIND("T",B1390,FIND("E0",B1390))-(FIND("E0",B1390)+2)))
))),"")</f>
        <v>211</v>
      </c>
      <c r="G1390">
        <f>IFERROR(
IF(ISNUMBER(FIND("T2",B1390)),220,
IF(ISNUMBER(FIND("T4",B1390)),440,
IF(ISNUMBER(FIND("T5",B1390)),575,
IF(ISNUMBER(FIND("T6",B1390)),690,"")))),
"")</f>
        <v>440</v>
      </c>
    </row>
    <row r="1391" spans="1:7" x14ac:dyDescent="0.25">
      <c r="A1391">
        <v>13622450</v>
      </c>
      <c r="B1391" t="str">
        <f>VLOOKUP(A1391,Planilha2!B:C,2,0)</f>
        <v>INVERSOR MSCFW110180T4SZ-UI</v>
      </c>
      <c r="C1391" t="s">
        <v>3170</v>
      </c>
      <c r="D1391" t="str">
        <f>VLOOKUP(A1391,Planilha2!B:H,7,0)</f>
        <v>LINHA G1</v>
      </c>
      <c r="E1391" s="5">
        <v>65389</v>
      </c>
      <c r="F1391">
        <f>IFERROR(
IF(ISNUMBER(FIND("CFW110",B1391)),
VALUE(MID(B1391,FIND("CFW110",B1391)+6,FIND("T",B1391,FIND("CFW110",B1391))-(FIND("CFW110",B1391)+6))),
IF(ISNUMBER(FIND("D",B1391)),
VALUE(SUBSTITUTE(MID(B1391,FIND("D",B1391)+1,FIND("T",B1391,FIND("D",B1391))-(FIND("D",B1391)+1)),"P",",")),
IF(ISNUMBER(FIND("CFW5",B1391)),
VALUE(MID(B1391,
IF(ISNUMBER(FIND("F",B1391)),FIND("F",B1391)+1,FIND("G",B1391)+1),
FIND("T",B1391)-(IF(ISNUMBER(FIND("F",B1391)),FIND("F",B1391)+1,FIND("G",B1391)+1))
)),
VALUE(MID(B1391,FIND("E0",B1391)+2,FIND("T",B1391,FIND("E0",B1391))-(FIND("E0",B1391)+2)))
))),"")</f>
        <v>180</v>
      </c>
      <c r="G1391">
        <f>IFERROR(
IF(ISNUMBER(FIND("T2",B1391)),220,
IF(ISNUMBER(FIND("T4",B1391)),440,
IF(ISNUMBER(FIND("T5",B1391)),575,
IF(ISNUMBER(FIND("T6",B1391)),690,"")))),
"")</f>
        <v>440</v>
      </c>
    </row>
    <row r="1392" spans="1:7" x14ac:dyDescent="0.25">
      <c r="A1392">
        <v>13623416</v>
      </c>
      <c r="B1392" t="str">
        <f>VLOOKUP(A1392,Planilha2!B:C,2,0)</f>
        <v>INVERSOR SACFW110180T4SZ-UI</v>
      </c>
      <c r="C1392" t="s">
        <v>3170</v>
      </c>
      <c r="D1392" t="str">
        <f>VLOOKUP(A1392,Planilha2!B:H,7,0)</f>
        <v>LINHA G1</v>
      </c>
      <c r="E1392" s="5">
        <v>65389</v>
      </c>
      <c r="F1392">
        <f>IFERROR(
IF(ISNUMBER(FIND("CFW110",B1392)),
VALUE(MID(B1392,FIND("CFW110",B1392)+6,FIND("T",B1392,FIND("CFW110",B1392))-(FIND("CFW110",B1392)+6))),
IF(ISNUMBER(FIND("D",B1392)),
VALUE(SUBSTITUTE(MID(B1392,FIND("D",B1392)+1,FIND("T",B1392,FIND("D",B1392))-(FIND("D",B1392)+1)),"P",",")),
IF(ISNUMBER(FIND("CFW5",B1392)),
VALUE(MID(B1392,
IF(ISNUMBER(FIND("F",B1392)),FIND("F",B1392)+1,FIND("G",B1392)+1),
FIND("T",B1392)-(IF(ISNUMBER(FIND("F",B1392)),FIND("F",B1392)+1,FIND("G",B1392)+1))
)),
VALUE(MID(B1392,FIND("E0",B1392)+2,FIND("T",B1392,FIND("E0",B1392))-(FIND("E0",B1392)+2)))
))),"")</f>
        <v>180</v>
      </c>
      <c r="G1392">
        <f>IFERROR(
IF(ISNUMBER(FIND("T2",B1392)),220,
IF(ISNUMBER(FIND("T4",B1392)),440,
IF(ISNUMBER(FIND("T5",B1392)),575,
IF(ISNUMBER(FIND("T6",B1392)),690,"")))),
"")</f>
        <v>440</v>
      </c>
    </row>
    <row r="1393" spans="1:7" x14ac:dyDescent="0.25">
      <c r="A1393">
        <v>13678607</v>
      </c>
      <c r="B1393" t="str">
        <f>VLOOKUP(A1393,Planilha2!B:C,2,0)</f>
        <v>INVERSOR BRCFW110477T4ORBH1Z-UI</v>
      </c>
      <c r="C1393" t="s">
        <v>3170</v>
      </c>
      <c r="D1393" t="str">
        <f>VLOOKUP(A1393,Planilha2!B:H,7,0)</f>
        <v>LINHA G3</v>
      </c>
      <c r="E1393" s="5">
        <v>140598</v>
      </c>
      <c r="F1393">
        <f>IFERROR(
IF(ISNUMBER(FIND("CFW110",B1393)),
VALUE(MID(B1393,FIND("CFW110",B1393)+6,FIND("T",B1393,FIND("CFW110",B1393))-(FIND("CFW110",B1393)+6))),
IF(ISNUMBER(FIND("D",B1393)),
VALUE(SUBSTITUTE(MID(B1393,FIND("D",B1393)+1,FIND("T",B1393,FIND("D",B1393))-(FIND("D",B1393)+1)),"P",",")),
IF(ISNUMBER(FIND("CFW5",B1393)),
VALUE(MID(B1393,
IF(ISNUMBER(FIND("F",B1393)),FIND("F",B1393)+1,FIND("G",B1393)+1),
FIND("T",B1393)-(IF(ISNUMBER(FIND("F",B1393)),FIND("F",B1393)+1,FIND("G",B1393)+1))
)),
VALUE(MID(B1393,FIND("E0",B1393)+2,FIND("T",B1393,FIND("E0",B1393))-(FIND("E0",B1393)+2)))
))),"")</f>
        <v>477</v>
      </c>
      <c r="G1393">
        <f>IFERROR(
IF(ISNUMBER(FIND("T2",B1393)),220,
IF(ISNUMBER(FIND("T4",B1393)),440,
IF(ISNUMBER(FIND("T5",B1393)),575,
IF(ISNUMBER(FIND("T6",B1393)),690,"")))),
"")</f>
        <v>440</v>
      </c>
    </row>
    <row r="1394" spans="1:7" x14ac:dyDescent="0.25">
      <c r="A1394">
        <v>13678297</v>
      </c>
      <c r="B1394" t="str">
        <f>VLOOKUP(A1394,Planilha2!B:C,2,0)</f>
        <v>INVERSOR BRCFW110477T4ORBH1Z</v>
      </c>
      <c r="C1394" t="s">
        <v>3170</v>
      </c>
      <c r="D1394" t="str">
        <f>VLOOKUP(A1394,Planilha2!B:H,7,0)</f>
        <v>LINHA G3</v>
      </c>
      <c r="E1394" s="5">
        <v>140000</v>
      </c>
      <c r="F1394">
        <f>IFERROR(
IF(ISNUMBER(FIND("CFW110",B1394)),
VALUE(MID(B1394,FIND("CFW110",B1394)+6,FIND("T",B1394,FIND("CFW110",B1394))-(FIND("CFW110",B1394)+6))),
IF(ISNUMBER(FIND("D",B1394)),
VALUE(SUBSTITUTE(MID(B1394,FIND("D",B1394)+1,FIND("T",B1394,FIND("D",B1394))-(FIND("D",B1394)+1)),"P",",")),
IF(ISNUMBER(FIND("CFW5",B1394)),
VALUE(MID(B1394,
IF(ISNUMBER(FIND("F",B1394)),FIND("F",B1394)+1,FIND("G",B1394)+1),
FIND("T",B1394)-(IF(ISNUMBER(FIND("F",B1394)),FIND("F",B1394)+1,FIND("G",B1394)+1))
)),
VALUE(MID(B1394,FIND("E0",B1394)+2,FIND("T",B1394,FIND("E0",B1394))-(FIND("E0",B1394)+2)))
))),"")</f>
        <v>477</v>
      </c>
      <c r="G1394">
        <f>IFERROR(
IF(ISNUMBER(FIND("T2",B1394)),220,
IF(ISNUMBER(FIND("T4",B1394)),440,
IF(ISNUMBER(FIND("T5",B1394)),575,
IF(ISNUMBER(FIND("T6",B1394)),690,"")))),
"")</f>
        <v>440</v>
      </c>
    </row>
    <row r="1395" spans="1:7" x14ac:dyDescent="0.25">
      <c r="A1395">
        <v>13659065</v>
      </c>
      <c r="B1395" t="str">
        <f>VLOOKUP(A1395,Planilha2!B:C,2,0)</f>
        <v>INVERSOR MSCFW110515T4ORBZ-UI</v>
      </c>
      <c r="C1395" t="s">
        <v>3170</v>
      </c>
      <c r="D1395" t="str">
        <f>VLOOKUP(A1395,Planilha2!B:H,7,0)</f>
        <v>LINHA G5</v>
      </c>
      <c r="E1395" s="5">
        <v>210444</v>
      </c>
      <c r="F1395">
        <f>IFERROR(
IF(ISNUMBER(FIND("CFW110",B1395)),
VALUE(MID(B1395,FIND("CFW110",B1395)+6,FIND("T",B1395,FIND("CFW110",B1395))-(FIND("CFW110",B1395)+6))),
IF(ISNUMBER(FIND("D",B1395)),
VALUE(SUBSTITUTE(MID(B1395,FIND("D",B1395)+1,FIND("T",B1395,FIND("D",B1395))-(FIND("D",B1395)+1)),"P",",")),
IF(ISNUMBER(FIND("CFW5",B1395)),
VALUE(MID(B1395,
IF(ISNUMBER(FIND("F",B1395)),FIND("F",B1395)+1,FIND("G",B1395)+1),
FIND("T",B1395)-(IF(ISNUMBER(FIND("F",B1395)),FIND("F",B1395)+1,FIND("G",B1395)+1))
)),
VALUE(MID(B1395,FIND("E0",B1395)+2,FIND("T",B1395,FIND("E0",B1395))-(FIND("E0",B1395)+2)))
))),"")</f>
        <v>515</v>
      </c>
      <c r="G1395">
        <f>IFERROR(
IF(ISNUMBER(FIND("T2",B1395)),220,
IF(ISNUMBER(FIND("T4",B1395)),440,
IF(ISNUMBER(FIND("T5",B1395)),575,
IF(ISNUMBER(FIND("T6",B1395)),690,"")))),
"")</f>
        <v>440</v>
      </c>
    </row>
    <row r="1396" spans="1:7" x14ac:dyDescent="0.25">
      <c r="A1396">
        <v>13580239</v>
      </c>
      <c r="B1396" t="str">
        <f>VLOOKUP(A1396,Planilha2!B:C,2,0)</f>
        <v>INVERSOR BRCFW110601T4ORBH1Z-UI</v>
      </c>
      <c r="C1396" t="s">
        <v>3170</v>
      </c>
      <c r="D1396" t="str">
        <f>VLOOKUP(A1396,Planilha2!B:H,7,0)</f>
        <v>LINHA G5</v>
      </c>
      <c r="E1396" s="5">
        <v>210368</v>
      </c>
      <c r="F1396">
        <f>IFERROR(
IF(ISNUMBER(FIND("CFW110",B1396)),
VALUE(MID(B1396,FIND("CFW110",B1396)+6,FIND("T",B1396,FIND("CFW110",B1396))-(FIND("CFW110",B1396)+6))),
IF(ISNUMBER(FIND("D",B1396)),
VALUE(SUBSTITUTE(MID(B1396,FIND("D",B1396)+1,FIND("T",B1396,FIND("D",B1396))-(FIND("D",B1396)+1)),"P",",")),
IF(ISNUMBER(FIND("CFW5",B1396)),
VALUE(MID(B1396,
IF(ISNUMBER(FIND("F",B1396)),FIND("F",B1396)+1,FIND("G",B1396)+1),
FIND("T",B1396)-(IF(ISNUMBER(FIND("F",B1396)),FIND("F",B1396)+1,FIND("G",B1396)+1))
)),
VALUE(MID(B1396,FIND("E0",B1396)+2,FIND("T",B1396,FIND("E0",B1396))-(FIND("E0",B1396)+2)))
))),"")</f>
        <v>601</v>
      </c>
      <c r="G1396">
        <f>IFERROR(
IF(ISNUMBER(FIND("T2",B1396)),220,
IF(ISNUMBER(FIND("T4",B1396)),440,
IF(ISNUMBER(FIND("T5",B1396)),575,
IF(ISNUMBER(FIND("T6",B1396)),690,"")))),
"")</f>
        <v>440</v>
      </c>
    </row>
    <row r="1397" spans="1:7" x14ac:dyDescent="0.25">
      <c r="A1397">
        <v>13580103</v>
      </c>
      <c r="B1397" t="str">
        <f>VLOOKUP(A1397,Planilha2!B:C,2,0)</f>
        <v>INVERSOR BRCFW110601T4ORBH1Z</v>
      </c>
      <c r="C1397" t="s">
        <v>3170</v>
      </c>
      <c r="D1397" t="str">
        <f>VLOOKUP(A1397,Planilha2!B:H,7,0)</f>
        <v>LINHA G5</v>
      </c>
      <c r="E1397" s="5">
        <v>210368</v>
      </c>
      <c r="F1397">
        <f>IFERROR(
IF(ISNUMBER(FIND("CFW110",B1397)),
VALUE(MID(B1397,FIND("CFW110",B1397)+6,FIND("T",B1397,FIND("CFW110",B1397))-(FIND("CFW110",B1397)+6))),
IF(ISNUMBER(FIND("D",B1397)),
VALUE(SUBSTITUTE(MID(B1397,FIND("D",B1397)+1,FIND("T",B1397,FIND("D",B1397))-(FIND("D",B1397)+1)),"P",",")),
IF(ISNUMBER(FIND("CFW5",B1397)),
VALUE(MID(B1397,
IF(ISNUMBER(FIND("F",B1397)),FIND("F",B1397)+1,FIND("G",B1397)+1),
FIND("T",B1397)-(IF(ISNUMBER(FIND("F",B1397)),FIND("F",B1397)+1,FIND("G",B1397)+1))
)),
VALUE(MID(B1397,FIND("E0",B1397)+2,FIND("T",B1397,FIND("E0",B1397))-(FIND("E0",B1397)+2)))
))),"")</f>
        <v>601</v>
      </c>
      <c r="G1397">
        <f>IFERROR(
IF(ISNUMBER(FIND("T2",B1397)),220,
IF(ISNUMBER(FIND("T4",B1397)),440,
IF(ISNUMBER(FIND("T5",B1397)),575,
IF(ISNUMBER(FIND("T6",B1397)),690,"")))),
"")</f>
        <v>440</v>
      </c>
    </row>
    <row r="1398" spans="1:7" x14ac:dyDescent="0.25">
      <c r="A1398">
        <v>13611656</v>
      </c>
      <c r="B1398" t="str">
        <f>VLOOKUP(A1398,Planilha2!B:C,2,0)</f>
        <v>INVERSOR BRCFW110211T4OYZ-UI</v>
      </c>
      <c r="C1398" t="s">
        <v>3170</v>
      </c>
      <c r="D1398" t="str">
        <f>VLOOKUP(A1398,Planilha2!B:H,7,0)</f>
        <v>LINHA G1</v>
      </c>
      <c r="E1398" s="5">
        <v>59360</v>
      </c>
      <c r="F1398">
        <f>IFERROR(
IF(ISNUMBER(FIND("CFW110",B1398)),
VALUE(MID(B1398,FIND("CFW110",B1398)+6,FIND("T",B1398,FIND("CFW110",B1398))-(FIND("CFW110",B1398)+6))),
IF(ISNUMBER(FIND("D",B1398)),
VALUE(SUBSTITUTE(MID(B1398,FIND("D",B1398)+1,FIND("T",B1398,FIND("D",B1398))-(FIND("D",B1398)+1)),"P",",")),
IF(ISNUMBER(FIND("CFW5",B1398)),
VALUE(MID(B1398,
IF(ISNUMBER(FIND("F",B1398)),FIND("F",B1398)+1,FIND("G",B1398)+1),
FIND("T",B1398)-(IF(ISNUMBER(FIND("F",B1398)),FIND("F",B1398)+1,FIND("G",B1398)+1))
)),
VALUE(MID(B1398,FIND("E0",B1398)+2,FIND("T",B1398,FIND("E0",B1398))-(FIND("E0",B1398)+2)))
))),"")</f>
        <v>211</v>
      </c>
      <c r="G1398">
        <f>IFERROR(
IF(ISNUMBER(FIND("T2",B1398)),220,
IF(ISNUMBER(FIND("T4",B1398)),440,
IF(ISNUMBER(FIND("T5",B1398)),575,
IF(ISNUMBER(FIND("T6",B1398)),690,"")))),
"")</f>
        <v>440</v>
      </c>
    </row>
    <row r="1399" spans="1:7" x14ac:dyDescent="0.25">
      <c r="A1399">
        <v>13623439</v>
      </c>
      <c r="B1399" t="str">
        <f>VLOOKUP(A1399,Planilha2!B:C,2,0)</f>
        <v>INVERSOR SACFW110211T4SZ-UI</v>
      </c>
      <c r="C1399" t="s">
        <v>3170</v>
      </c>
      <c r="D1399" t="str">
        <f>VLOOKUP(A1399,Planilha2!B:H,7,0)</f>
        <v>LINHA G1</v>
      </c>
      <c r="E1399" s="5">
        <v>68289</v>
      </c>
      <c r="F1399">
        <f>IFERROR(
IF(ISNUMBER(FIND("CFW110",B1399)),
VALUE(MID(B1399,FIND("CFW110",B1399)+6,FIND("T",B1399,FIND("CFW110",B1399))-(FIND("CFW110",B1399)+6))),
IF(ISNUMBER(FIND("D",B1399)),
VALUE(SUBSTITUTE(MID(B1399,FIND("D",B1399)+1,FIND("T",B1399,FIND("D",B1399))-(FIND("D",B1399)+1)),"P",",")),
IF(ISNUMBER(FIND("CFW5",B1399)),
VALUE(MID(B1399,
IF(ISNUMBER(FIND("F",B1399)),FIND("F",B1399)+1,FIND("G",B1399)+1),
FIND("T",B1399)-(IF(ISNUMBER(FIND("F",B1399)),FIND("F",B1399)+1,FIND("G",B1399)+1))
)),
VALUE(MID(B1399,FIND("E0",B1399)+2,FIND("T",B1399,FIND("E0",B1399))-(FIND("E0",B1399)+2)))
))),"")</f>
        <v>211</v>
      </c>
      <c r="G1399">
        <f>IFERROR(
IF(ISNUMBER(FIND("T2",B1399)),220,
IF(ISNUMBER(FIND("T4",B1399)),440,
IF(ISNUMBER(FIND("T5",B1399)),575,
IF(ISNUMBER(FIND("T6",B1399)),690,"")))),
"")</f>
        <v>440</v>
      </c>
    </row>
    <row r="1400" spans="1:7" x14ac:dyDescent="0.25">
      <c r="A1400">
        <v>13624138</v>
      </c>
      <c r="B1400" t="str">
        <f>VLOOKUP(A1400,Planilha2!B:C,2,0)</f>
        <v>INVERSOR NACFW110180T4SZ-UI</v>
      </c>
      <c r="C1400" t="s">
        <v>3170</v>
      </c>
      <c r="D1400" t="str">
        <f>VLOOKUP(A1400,Planilha2!B:H,7,0)</f>
        <v>LINHA G1</v>
      </c>
      <c r="E1400" s="5">
        <v>65389</v>
      </c>
      <c r="F1400">
        <f>IFERROR(
IF(ISNUMBER(FIND("CFW110",B1400)),
VALUE(MID(B1400,FIND("CFW110",B1400)+6,FIND("T",B1400,FIND("CFW110",B1400))-(FIND("CFW110",B1400)+6))),
IF(ISNUMBER(FIND("D",B1400)),
VALUE(SUBSTITUTE(MID(B1400,FIND("D",B1400)+1,FIND("T",B1400,FIND("D",B1400))-(FIND("D",B1400)+1)),"P",",")),
IF(ISNUMBER(FIND("CFW5",B1400)),
VALUE(MID(B1400,
IF(ISNUMBER(FIND("F",B1400)),FIND("F",B1400)+1,FIND("G",B1400)+1),
FIND("T",B1400)-(IF(ISNUMBER(FIND("F",B1400)),FIND("F",B1400)+1,FIND("G",B1400)+1))
)),
VALUE(MID(B1400,FIND("E0",B1400)+2,FIND("T",B1400,FIND("E0",B1400))-(FIND("E0",B1400)+2)))
))),"")</f>
        <v>180</v>
      </c>
      <c r="G1400">
        <f>IFERROR(
IF(ISNUMBER(FIND("T2",B1400)),220,
IF(ISNUMBER(FIND("T4",B1400)),440,
IF(ISNUMBER(FIND("T5",B1400)),575,
IF(ISNUMBER(FIND("T6",B1400)),690,"")))),
"")</f>
        <v>440</v>
      </c>
    </row>
    <row r="1401" spans="1:7" x14ac:dyDescent="0.25">
      <c r="A1401">
        <v>13732335</v>
      </c>
      <c r="B1401" t="str">
        <f>VLOOKUP(A1401,Planilha2!B:C,2,0)</f>
        <v>INVERSOR BRCFW110142T4OYECZ</v>
      </c>
      <c r="C1401" t="s">
        <v>3170</v>
      </c>
      <c r="D1401" t="str">
        <f>VLOOKUP(A1401,Planilha2!B:H,7,0)</f>
        <v>LINHA G1</v>
      </c>
      <c r="E1401" s="5">
        <v>64210</v>
      </c>
      <c r="F1401">
        <f>IFERROR(
IF(ISNUMBER(FIND("CFW110",B1401)),
VALUE(MID(B1401,FIND("CFW110",B1401)+6,FIND("T",B1401,FIND("CFW110",B1401))-(FIND("CFW110",B1401)+6))),
IF(ISNUMBER(FIND("D",B1401)),
VALUE(SUBSTITUTE(MID(B1401,FIND("D",B1401)+1,FIND("T",B1401,FIND("D",B1401))-(FIND("D",B1401)+1)),"P",",")),
IF(ISNUMBER(FIND("CFW5",B1401)),
VALUE(MID(B1401,
IF(ISNUMBER(FIND("F",B1401)),FIND("F",B1401)+1,FIND("G",B1401)+1),
FIND("T",B1401)-(IF(ISNUMBER(FIND("F",B1401)),FIND("F",B1401)+1,FIND("G",B1401)+1))
)),
VALUE(MID(B1401,FIND("E0",B1401)+2,FIND("T",B1401,FIND("E0",B1401))-(FIND("E0",B1401)+2)))
))),"")</f>
        <v>142</v>
      </c>
      <c r="G1401">
        <f>IFERROR(
IF(ISNUMBER(FIND("T2",B1401)),220,
IF(ISNUMBER(FIND("T4",B1401)),440,
IF(ISNUMBER(FIND("T5",B1401)),575,
IF(ISNUMBER(FIND("T6",B1401)),690,"")))),
"")</f>
        <v>440</v>
      </c>
    </row>
    <row r="1402" spans="1:7" x14ac:dyDescent="0.25">
      <c r="A1402">
        <v>11989356</v>
      </c>
      <c r="B1402" t="str">
        <f>VLOOKUP(A1402,Planilha2!B:C,2,0)</f>
        <v>INVERSOR EUCFW110125T6OYZ</v>
      </c>
      <c r="C1402" t="s">
        <v>3170</v>
      </c>
      <c r="D1402" t="str">
        <f>VLOOKUP(A1402,Planilha2!B:H,7,0)</f>
        <v>LINHA G1</v>
      </c>
      <c r="E1402" s="5">
        <v>60360</v>
      </c>
      <c r="F1402">
        <f>IFERROR(
IF(ISNUMBER(FIND("CFW110",B1402)),
VALUE(MID(B1402,FIND("CFW110",B1402)+6,FIND("T",B1402,FIND("CFW110",B1402))-(FIND("CFW110",B1402)+6))),
IF(ISNUMBER(FIND("D",B1402)),
VALUE(SUBSTITUTE(MID(B1402,FIND("D",B1402)+1,FIND("T",B1402,FIND("D",B1402))-(FIND("D",B1402)+1)),"P",",")),
IF(ISNUMBER(FIND("CFW5",B1402)),
VALUE(MID(B1402,
IF(ISNUMBER(FIND("F",B1402)),FIND("F",B1402)+1,FIND("G",B1402)+1),
FIND("T",B1402)-(IF(ISNUMBER(FIND("F",B1402)),FIND("F",B1402)+1,FIND("G",B1402)+1))
)),
VALUE(MID(B1402,FIND("E0",B1402)+2,FIND("T",B1402,FIND("E0",B1402))-(FIND("E0",B1402)+2)))
))),"")</f>
        <v>125</v>
      </c>
      <c r="G1402">
        <f>IFERROR(
IF(ISNUMBER(FIND("T2",B1402)),220,
IF(ISNUMBER(FIND("T4",B1402)),440,
IF(ISNUMBER(FIND("T5",B1402)),575,
IF(ISNUMBER(FIND("T6",B1402)),690,"")))),
"")</f>
        <v>690</v>
      </c>
    </row>
    <row r="1403" spans="1:7" x14ac:dyDescent="0.25">
      <c r="A1403">
        <v>13751062</v>
      </c>
      <c r="B1403" t="str">
        <f>VLOOKUP(A1403,Planilha2!B:C,2,0)</f>
        <v>INVERSOR BRCFW110211T4ODBYZ-UI</v>
      </c>
      <c r="C1403" t="s">
        <v>3170</v>
      </c>
      <c r="D1403" t="str">
        <f>VLOOKUP(A1403,Planilha2!B:H,7,0)</f>
        <v>LINHA G1</v>
      </c>
      <c r="E1403" s="5">
        <v>69388</v>
      </c>
      <c r="F1403">
        <f>IFERROR(
IF(ISNUMBER(FIND("CFW110",B1403)),
VALUE(MID(B1403,FIND("CFW110",B1403)+6,FIND("T",B1403,FIND("CFW110",B1403))-(FIND("CFW110",B1403)+6))),
IF(ISNUMBER(FIND("D",B1403)),
VALUE(SUBSTITUTE(MID(B1403,FIND("D",B1403)+1,FIND("T",B1403,FIND("D",B1403))-(FIND("D",B1403)+1)),"P",",")),
IF(ISNUMBER(FIND("CFW5",B1403)),
VALUE(MID(B1403,
IF(ISNUMBER(FIND("F",B1403)),FIND("F",B1403)+1,FIND("G",B1403)+1),
FIND("T",B1403)-(IF(ISNUMBER(FIND("F",B1403)),FIND("F",B1403)+1,FIND("G",B1403)+1))
)),
VALUE(MID(B1403,FIND("E0",B1403)+2,FIND("T",B1403,FIND("E0",B1403))-(FIND("E0",B1403)+2)))
))),"")</f>
        <v>211</v>
      </c>
      <c r="G1403">
        <f>IFERROR(
IF(ISNUMBER(FIND("T2",B1403)),220,
IF(ISNUMBER(FIND("T4",B1403)),440,
IF(ISNUMBER(FIND("T5",B1403)),575,
IF(ISNUMBER(FIND("T6",B1403)),690,"")))),
"")</f>
        <v>440</v>
      </c>
    </row>
    <row r="1404" spans="1:7" x14ac:dyDescent="0.25">
      <c r="A1404">
        <v>13773736</v>
      </c>
      <c r="B1404" t="str">
        <f>VLOOKUP(A1404,Planilha2!B:C,2,0)</f>
        <v>INVERSOR EUCFW110125T6ONBYHASCZ</v>
      </c>
      <c r="C1404" t="s">
        <v>3170</v>
      </c>
      <c r="D1404" t="str">
        <f>VLOOKUP(A1404,Planilha2!B:H,7,0)</f>
        <v>LINHA G1</v>
      </c>
      <c r="E1404" s="5">
        <v>65288</v>
      </c>
      <c r="F1404">
        <f>IFERROR(
IF(ISNUMBER(FIND("CFW110",B1404)),
VALUE(MID(B1404,FIND("CFW110",B1404)+6,FIND("T",B1404,FIND("CFW110",B1404))-(FIND("CFW110",B1404)+6))),
IF(ISNUMBER(FIND("D",B1404)),
VALUE(SUBSTITUTE(MID(B1404,FIND("D",B1404)+1,FIND("T",B1404,FIND("D",B1404))-(FIND("D",B1404)+1)),"P",",")),
IF(ISNUMBER(FIND("CFW5",B1404)),
VALUE(MID(B1404,
IF(ISNUMBER(FIND("F",B1404)),FIND("F",B1404)+1,FIND("G",B1404)+1),
FIND("T",B1404)-(IF(ISNUMBER(FIND("F",B1404)),FIND("F",B1404)+1,FIND("G",B1404)+1))
)),
VALUE(MID(B1404,FIND("E0",B1404)+2,FIND("T",B1404,FIND("E0",B1404))-(FIND("E0",B1404)+2)))
))),"")</f>
        <v>125</v>
      </c>
      <c r="G1404">
        <f>IFERROR(
IF(ISNUMBER(FIND("T2",B1404)),220,
IF(ISNUMBER(FIND("T4",B1404)),440,
IF(ISNUMBER(FIND("T5",B1404)),575,
IF(ISNUMBER(FIND("T6",B1404)),690,"")))),
"")</f>
        <v>690</v>
      </c>
    </row>
    <row r="1405" spans="1:7" x14ac:dyDescent="0.25">
      <c r="A1405">
        <v>13774876</v>
      </c>
      <c r="B1405" t="str">
        <f>VLOOKUP(A1405,Planilha2!B:C,2,0)</f>
        <v>INVERSOR BRCFW110105T4OYZ-UI</v>
      </c>
      <c r="C1405" t="s">
        <v>3170</v>
      </c>
      <c r="D1405" t="str">
        <f>VLOOKUP(A1405,Planilha2!B:H,7,0)</f>
        <v>LINHA G1</v>
      </c>
      <c r="E1405" s="5">
        <v>78700</v>
      </c>
      <c r="F1405">
        <f>IFERROR(
IF(ISNUMBER(FIND("CFW110",B1405)),
VALUE(MID(B1405,FIND("CFW110",B1405)+6,FIND("T",B1405,FIND("CFW110",B1405))-(FIND("CFW110",B1405)+6))),
IF(ISNUMBER(FIND("D",B1405)),
VALUE(SUBSTITUTE(MID(B1405,FIND("D",B1405)+1,FIND("T",B1405,FIND("D",B1405))-(FIND("D",B1405)+1)),"P",",")),
IF(ISNUMBER(FIND("CFW5",B1405)),
VALUE(MID(B1405,
IF(ISNUMBER(FIND("F",B1405)),FIND("F",B1405)+1,FIND("G",B1405)+1),
FIND("T",B1405)-(IF(ISNUMBER(FIND("F",B1405)),FIND("F",B1405)+1,FIND("G",B1405)+1))
)),
VALUE(MID(B1405,FIND("E0",B1405)+2,FIND("T",B1405,FIND("E0",B1405))-(FIND("E0",B1405)+2)))
))),"")</f>
        <v>105</v>
      </c>
      <c r="G1405">
        <f>IFERROR(
IF(ISNUMBER(FIND("T2",B1405)),220,
IF(ISNUMBER(FIND("T4",B1405)),440,
IF(ISNUMBER(FIND("T5",B1405)),575,
IF(ISNUMBER(FIND("T6",B1405)),690,"")))),
"")</f>
        <v>440</v>
      </c>
    </row>
    <row r="1406" spans="1:7" x14ac:dyDescent="0.25">
      <c r="A1406">
        <v>13799132</v>
      </c>
      <c r="B1406" t="str">
        <f>VLOOKUP(A1406,Planilha2!B:C,2,0)</f>
        <v>INVERSOR SACFW110142T4ODCZ</v>
      </c>
      <c r="C1406" t="s">
        <v>3170</v>
      </c>
      <c r="D1406" t="str">
        <f>VLOOKUP(A1406,Planilha2!B:H,7,0)</f>
        <v>LINHA G1</v>
      </c>
      <c r="E1406" t="s">
        <v>3172</v>
      </c>
      <c r="F1406">
        <f>IFERROR(
IF(ISNUMBER(FIND("CFW110",B1406)),
VALUE(MID(B1406,FIND("CFW110",B1406)+6,FIND("T",B1406,FIND("CFW110",B1406))-(FIND("CFW110",B1406)+6))),
IF(ISNUMBER(FIND("D",B1406)),
VALUE(SUBSTITUTE(MID(B1406,FIND("D",B1406)+1,FIND("T",B1406,FIND("D",B1406))-(FIND("D",B1406)+1)),"P",",")),
IF(ISNUMBER(FIND("CFW5",B1406)),
VALUE(MID(B1406,
IF(ISNUMBER(FIND("F",B1406)),FIND("F",B1406)+1,FIND("G",B1406)+1),
FIND("T",B1406)-(IF(ISNUMBER(FIND("F",B1406)),FIND("F",B1406)+1,FIND("G",B1406)+1))
)),
VALUE(MID(B1406,FIND("E0",B1406)+2,FIND("T",B1406,FIND("E0",B1406))-(FIND("E0",B1406)+2)))
))),"")</f>
        <v>142</v>
      </c>
      <c r="G1406">
        <f>IFERROR(
IF(ISNUMBER(FIND("T2",B1406)),220,
IF(ISNUMBER(FIND("T4",B1406)),440,
IF(ISNUMBER(FIND("T5",B1406)),575,
IF(ISNUMBER(FIND("T6",B1406)),690,"")))),
"")</f>
        <v>440</v>
      </c>
    </row>
    <row r="1407" spans="1:7" x14ac:dyDescent="0.25">
      <c r="A1407">
        <v>13802677</v>
      </c>
      <c r="B1407" t="str">
        <f>VLOOKUP(A1407,Planilha2!B:C,2,0)</f>
        <v>INVERSOR BRCFW110142T4OYZ-UI</v>
      </c>
      <c r="C1407" t="s">
        <v>3170</v>
      </c>
      <c r="D1407" t="str">
        <f>VLOOKUP(A1407,Planilha2!B:H,7,0)</f>
        <v>LINHA G1</v>
      </c>
      <c r="E1407" s="5">
        <v>59360</v>
      </c>
      <c r="F1407">
        <f>IFERROR(
IF(ISNUMBER(FIND("CFW110",B1407)),
VALUE(MID(B1407,FIND("CFW110",B1407)+6,FIND("T",B1407,FIND("CFW110",B1407))-(FIND("CFW110",B1407)+6))),
IF(ISNUMBER(FIND("D",B1407)),
VALUE(SUBSTITUTE(MID(B1407,FIND("D",B1407)+1,FIND("T",B1407,FIND("D",B1407))-(FIND("D",B1407)+1)),"P",",")),
IF(ISNUMBER(FIND("CFW5",B1407)),
VALUE(MID(B1407,
IF(ISNUMBER(FIND("F",B1407)),FIND("F",B1407)+1,FIND("G",B1407)+1),
FIND("T",B1407)-(IF(ISNUMBER(FIND("F",B1407)),FIND("F",B1407)+1,FIND("G",B1407)+1))
)),
VALUE(MID(B1407,FIND("E0",B1407)+2,FIND("T",B1407,FIND("E0",B1407))-(FIND("E0",B1407)+2)))
))),"")</f>
        <v>142</v>
      </c>
      <c r="G1407">
        <f>IFERROR(
IF(ISNUMBER(FIND("T2",B1407)),220,
IF(ISNUMBER(FIND("T4",B1407)),440,
IF(ISNUMBER(FIND("T5",B1407)),575,
IF(ISNUMBER(FIND("T6",B1407)),690,"")))),
"")</f>
        <v>440</v>
      </c>
    </row>
    <row r="1408" spans="1:7" x14ac:dyDescent="0.25">
      <c r="A1408">
        <v>13797557</v>
      </c>
      <c r="B1408" t="str">
        <f>VLOOKUP(A1408,Planilha2!B:C,2,0)</f>
        <v>INVERSOR BRCFW110515T4ORBH1Z-UI</v>
      </c>
      <c r="C1408" t="s">
        <v>3170</v>
      </c>
      <c r="D1408" t="str">
        <f>VLOOKUP(A1408,Planilha2!B:H,7,0)</f>
        <v>LINHA G5</v>
      </c>
      <c r="E1408" s="5">
        <v>210444</v>
      </c>
      <c r="F1408">
        <f>IFERROR(
IF(ISNUMBER(FIND("CFW110",B1408)),
VALUE(MID(B1408,FIND("CFW110",B1408)+6,FIND("T",B1408,FIND("CFW110",B1408))-(FIND("CFW110",B1408)+6))),
IF(ISNUMBER(FIND("D",B1408)),
VALUE(SUBSTITUTE(MID(B1408,FIND("D",B1408)+1,FIND("T",B1408,FIND("D",B1408))-(FIND("D",B1408)+1)),"P",",")),
IF(ISNUMBER(FIND("CFW5",B1408)),
VALUE(MID(B1408,
IF(ISNUMBER(FIND("F",B1408)),FIND("F",B1408)+1,FIND("G",B1408)+1),
FIND("T",B1408)-(IF(ISNUMBER(FIND("F",B1408)),FIND("F",B1408)+1,FIND("G",B1408)+1))
)),
VALUE(MID(B1408,FIND("E0",B1408)+2,FIND("T",B1408,FIND("E0",B1408))-(FIND("E0",B1408)+2)))
))),"")</f>
        <v>515</v>
      </c>
      <c r="G1408">
        <f>IFERROR(
IF(ISNUMBER(FIND("T2",B1408)),220,
IF(ISNUMBER(FIND("T4",B1408)),440,
IF(ISNUMBER(FIND("T5",B1408)),575,
IF(ISNUMBER(FIND("T6",B1408)),690,"")))),
"")</f>
        <v>440</v>
      </c>
    </row>
    <row r="1409" spans="1:7" x14ac:dyDescent="0.25">
      <c r="A1409">
        <v>13810877</v>
      </c>
      <c r="B1409" t="str">
        <f>VLOOKUP(A1409,Planilha2!B:C,2,0)</f>
        <v>INVERSOR CFW700E80P0T5NB20C3Y1HASC</v>
      </c>
      <c r="C1409" t="s">
        <v>3170</v>
      </c>
      <c r="D1409" t="str">
        <f>VLOOKUP(A1409,Planilha2!B:H,7,0)</f>
        <v>OBSOLETOS DRIVES</v>
      </c>
      <c r="E1409" s="5">
        <v>65308</v>
      </c>
      <c r="F1409" t="str">
        <f>IFERROR(
IF(ISNUMBER(FIND("CFW110",B1409)),
VALUE(MID(B1409,FIND("CFW110",B1409)+6,FIND("T",B1409,FIND("CFW110",B1409))-(FIND("CFW110",B1409)+6))),
IF(ISNUMBER(FIND("D",B1409)),
VALUE(SUBSTITUTE(MID(B1409,FIND("D",B1409)+1,FIND("T",B1409,FIND("D",B1409))-(FIND("D",B1409)+1)),"P",",")),
IF(ISNUMBER(FIND("CFW5",B1409)),
VALUE(MID(B1409,
IF(ISNUMBER(FIND("F",B1409)),FIND("F",B1409)+1,FIND("G",B1409)+1),
FIND("T",B1409)-(IF(ISNUMBER(FIND("F",B1409)),FIND("F",B1409)+1,FIND("G",B1409)+1))
)),
VALUE(MID(B1409,FIND("E0",B1409)+2,FIND("T",B1409,FIND("E0",B1409))-(FIND("E0",B1409)+2)))
))),"")</f>
        <v/>
      </c>
      <c r="G1409">
        <f>IFERROR(
IF(ISNUMBER(FIND("T2",B1409)),220,
IF(ISNUMBER(FIND("T4",B1409)),440,
IF(ISNUMBER(FIND("T5",B1409)),575,
IF(ISNUMBER(FIND("T6",B1409)),690,"")))),
"")</f>
        <v>575</v>
      </c>
    </row>
    <row r="1410" spans="1:7" x14ac:dyDescent="0.25">
      <c r="A1410">
        <v>13797690</v>
      </c>
      <c r="B1410" t="str">
        <f>VLOOKUP(A1410,Planilha2!B:C,2,0)</f>
        <v>INVERSOR BRCFW110180T4OYZ-UI</v>
      </c>
      <c r="C1410" t="s">
        <v>3170</v>
      </c>
      <c r="D1410" t="str">
        <f>VLOOKUP(A1410,Planilha2!B:H,7,0)</f>
        <v>LINHA G1</v>
      </c>
      <c r="E1410" s="5">
        <v>59360</v>
      </c>
      <c r="F1410">
        <f>IFERROR(
IF(ISNUMBER(FIND("CFW110",B1410)),
VALUE(MID(B1410,FIND("CFW110",B1410)+6,FIND("T",B1410,FIND("CFW110",B1410))-(FIND("CFW110",B1410)+6))),
IF(ISNUMBER(FIND("D",B1410)),
VALUE(SUBSTITUTE(MID(B1410,FIND("D",B1410)+1,FIND("T",B1410,FIND("D",B1410))-(FIND("D",B1410)+1)),"P",",")),
IF(ISNUMBER(FIND("CFW5",B1410)),
VALUE(MID(B1410,
IF(ISNUMBER(FIND("F",B1410)),FIND("F",B1410)+1,FIND("G",B1410)+1),
FIND("T",B1410)-(IF(ISNUMBER(FIND("F",B1410)),FIND("F",B1410)+1,FIND("G",B1410)+1))
)),
VALUE(MID(B1410,FIND("E0",B1410)+2,FIND("T",B1410,FIND("E0",B1410))-(FIND("E0",B1410)+2)))
))),"")</f>
        <v>180</v>
      </c>
      <c r="G1410">
        <f>IFERROR(
IF(ISNUMBER(FIND("T2",B1410)),220,
IF(ISNUMBER(FIND("T4",B1410)),440,
IF(ISNUMBER(FIND("T5",B1410)),575,
IF(ISNUMBER(FIND("T6",B1410)),690,"")))),
"")</f>
        <v>440</v>
      </c>
    </row>
    <row r="1411" spans="1:7" x14ac:dyDescent="0.25">
      <c r="A1411">
        <v>13792593</v>
      </c>
      <c r="B1411" t="str">
        <f>VLOOKUP(A1411,Planilha2!B:C,2,0)</f>
        <v>INVERSOR BRCFW110515T4ORBH1Z</v>
      </c>
      <c r="C1411" t="s">
        <v>3170</v>
      </c>
      <c r="D1411" t="str">
        <f>VLOOKUP(A1411,Planilha2!B:H,7,0)</f>
        <v>LINHA G5</v>
      </c>
      <c r="E1411" s="5">
        <v>210444</v>
      </c>
      <c r="F1411">
        <f>IFERROR(
IF(ISNUMBER(FIND("CFW110",B1411)),
VALUE(MID(B1411,FIND("CFW110",B1411)+6,FIND("T",B1411,FIND("CFW110",B1411))-(FIND("CFW110",B1411)+6))),
IF(ISNUMBER(FIND("D",B1411)),
VALUE(SUBSTITUTE(MID(B1411,FIND("D",B1411)+1,FIND("T",B1411,FIND("D",B1411))-(FIND("D",B1411)+1)),"P",",")),
IF(ISNUMBER(FIND("CFW5",B1411)),
VALUE(MID(B1411,
IF(ISNUMBER(FIND("F",B1411)),FIND("F",B1411)+1,FIND("G",B1411)+1),
FIND("T",B1411)-(IF(ISNUMBER(FIND("F",B1411)),FIND("F",B1411)+1,FIND("G",B1411)+1))
)),
VALUE(MID(B1411,FIND("E0",B1411)+2,FIND("T",B1411,FIND("E0",B1411))-(FIND("E0",B1411)+2)))
))),"")</f>
        <v>515</v>
      </c>
      <c r="G1411">
        <f>IFERROR(
IF(ISNUMBER(FIND("T2",B1411)),220,
IF(ISNUMBER(FIND("T4",B1411)),440,
IF(ISNUMBER(FIND("T5",B1411)),575,
IF(ISNUMBER(FIND("T6",B1411)),690,"")))),
"")</f>
        <v>440</v>
      </c>
    </row>
    <row r="1412" spans="1:7" x14ac:dyDescent="0.25">
      <c r="A1412">
        <v>13765090</v>
      </c>
      <c r="B1412" t="str">
        <f>VLOOKUP(A1412,Planilha2!B:C,2,0)</f>
        <v>INVERSOR BRCFW110142T4OH4Z</v>
      </c>
      <c r="C1412" t="s">
        <v>3170</v>
      </c>
      <c r="D1412" t="str">
        <f>VLOOKUP(A1412,Planilha2!B:H,7,0)</f>
        <v>LINHA G1</v>
      </c>
      <c r="E1412" s="5">
        <v>64598</v>
      </c>
      <c r="F1412">
        <f>IFERROR(
IF(ISNUMBER(FIND("CFW110",B1412)),
VALUE(MID(B1412,FIND("CFW110",B1412)+6,FIND("T",B1412,FIND("CFW110",B1412))-(FIND("CFW110",B1412)+6))),
IF(ISNUMBER(FIND("D",B1412)),
VALUE(SUBSTITUTE(MID(B1412,FIND("D",B1412)+1,FIND("T",B1412,FIND("D",B1412))-(FIND("D",B1412)+1)),"P",",")),
IF(ISNUMBER(FIND("CFW5",B1412)),
VALUE(MID(B1412,
IF(ISNUMBER(FIND("F",B1412)),FIND("F",B1412)+1,FIND("G",B1412)+1),
FIND("T",B1412)-(IF(ISNUMBER(FIND("F",B1412)),FIND("F",B1412)+1,FIND("G",B1412)+1))
)),
VALUE(MID(B1412,FIND("E0",B1412)+2,FIND("T",B1412,FIND("E0",B1412))-(FIND("E0",B1412)+2)))
))),"")</f>
        <v>142</v>
      </c>
      <c r="G1412">
        <f>IFERROR(
IF(ISNUMBER(FIND("T2",B1412)),220,
IF(ISNUMBER(FIND("T4",B1412)),440,
IF(ISNUMBER(FIND("T5",B1412)),575,
IF(ISNUMBER(FIND("T6",B1412)),690,"")))),
"")</f>
        <v>440</v>
      </c>
    </row>
    <row r="1413" spans="1:7" x14ac:dyDescent="0.25">
      <c r="A1413">
        <v>13765092</v>
      </c>
      <c r="B1413" t="str">
        <f>VLOOKUP(A1413,Planilha2!B:C,2,0)</f>
        <v>INVERSOR BRCFW110180T4OH4Z</v>
      </c>
      <c r="C1413" t="s">
        <v>3170</v>
      </c>
      <c r="D1413" t="str">
        <f>VLOOKUP(A1413,Planilha2!B:H,7,0)</f>
        <v>LINHA G1</v>
      </c>
      <c r="E1413" s="5">
        <v>65388</v>
      </c>
      <c r="F1413">
        <f>IFERROR(
IF(ISNUMBER(FIND("CFW110",B1413)),
VALUE(MID(B1413,FIND("CFW110",B1413)+6,FIND("T",B1413,FIND("CFW110",B1413))-(FIND("CFW110",B1413)+6))),
IF(ISNUMBER(FIND("D",B1413)),
VALUE(SUBSTITUTE(MID(B1413,FIND("D",B1413)+1,FIND("T",B1413,FIND("D",B1413))-(FIND("D",B1413)+1)),"P",",")),
IF(ISNUMBER(FIND("CFW5",B1413)),
VALUE(MID(B1413,
IF(ISNUMBER(FIND("F",B1413)),FIND("F",B1413)+1,FIND("G",B1413)+1),
FIND("T",B1413)-(IF(ISNUMBER(FIND("F",B1413)),FIND("F",B1413)+1,FIND("G",B1413)+1))
)),
VALUE(MID(B1413,FIND("E0",B1413)+2,FIND("T",B1413,FIND("E0",B1413))-(FIND("E0",B1413)+2)))
))),"")</f>
        <v>180</v>
      </c>
      <c r="G1413">
        <f>IFERROR(
IF(ISNUMBER(FIND("T2",B1413)),220,
IF(ISNUMBER(FIND("T4",B1413)),440,
IF(ISNUMBER(FIND("T5",B1413)),575,
IF(ISNUMBER(FIND("T6",B1413)),690,"")))),
"")</f>
        <v>440</v>
      </c>
    </row>
    <row r="1414" spans="1:7" x14ac:dyDescent="0.25">
      <c r="A1414">
        <v>13765093</v>
      </c>
      <c r="B1414" t="str">
        <f>VLOOKUP(A1414,Planilha2!B:C,2,0)</f>
        <v>INVERSOR BRCFW110211T4OH4Z</v>
      </c>
      <c r="C1414" t="s">
        <v>3170</v>
      </c>
      <c r="D1414" t="str">
        <f>VLOOKUP(A1414,Planilha2!B:H,7,0)</f>
        <v>LINHA G1</v>
      </c>
      <c r="E1414" s="5">
        <v>68288</v>
      </c>
      <c r="F1414">
        <f>IFERROR(
IF(ISNUMBER(FIND("CFW110",B1414)),
VALUE(MID(B1414,FIND("CFW110",B1414)+6,FIND("T",B1414,FIND("CFW110",B1414))-(FIND("CFW110",B1414)+6))),
IF(ISNUMBER(FIND("D",B1414)),
VALUE(SUBSTITUTE(MID(B1414,FIND("D",B1414)+1,FIND("T",B1414,FIND("D",B1414))-(FIND("D",B1414)+1)),"P",",")),
IF(ISNUMBER(FIND("CFW5",B1414)),
VALUE(MID(B1414,
IF(ISNUMBER(FIND("F",B1414)),FIND("F",B1414)+1,FIND("G",B1414)+1),
FIND("T",B1414)-(IF(ISNUMBER(FIND("F",B1414)),FIND("F",B1414)+1,FIND("G",B1414)+1))
)),
VALUE(MID(B1414,FIND("E0",B1414)+2,FIND("T",B1414,FIND("E0",B1414))-(FIND("E0",B1414)+2)))
))),"")</f>
        <v>211</v>
      </c>
      <c r="G1414">
        <f>IFERROR(
IF(ISNUMBER(FIND("T2",B1414)),220,
IF(ISNUMBER(FIND("T4",B1414)),440,
IF(ISNUMBER(FIND("T5",B1414)),575,
IF(ISNUMBER(FIND("T6",B1414)),690,"")))),
"")</f>
        <v>440</v>
      </c>
    </row>
    <row r="1415" spans="1:7" x14ac:dyDescent="0.25">
      <c r="A1415">
        <v>13823929</v>
      </c>
      <c r="B1415" t="str">
        <f>VLOOKUP(A1415,Planilha2!B:C,2,0)</f>
        <v>INVERSOR EUCFW110180T4OYH1Z</v>
      </c>
      <c r="C1415" t="s">
        <v>3170</v>
      </c>
      <c r="D1415" t="str">
        <f>VLOOKUP(A1415,Planilha2!B:H,7,0)</f>
        <v>LINHA G1</v>
      </c>
      <c r="E1415" s="5">
        <v>62270</v>
      </c>
      <c r="F1415">
        <f>IFERROR(
IF(ISNUMBER(FIND("CFW110",B1415)),
VALUE(MID(B1415,FIND("CFW110",B1415)+6,FIND("T",B1415,FIND("CFW110",B1415))-(FIND("CFW110",B1415)+6))),
IF(ISNUMBER(FIND("D",B1415)),
VALUE(SUBSTITUTE(MID(B1415,FIND("D",B1415)+1,FIND("T",B1415,FIND("D",B1415))-(FIND("D",B1415)+1)),"P",",")),
IF(ISNUMBER(FIND("CFW5",B1415)),
VALUE(MID(B1415,
IF(ISNUMBER(FIND("F",B1415)),FIND("F",B1415)+1,FIND("G",B1415)+1),
FIND("T",B1415)-(IF(ISNUMBER(FIND("F",B1415)),FIND("F",B1415)+1,FIND("G",B1415)+1))
)),
VALUE(MID(B1415,FIND("E0",B1415)+2,FIND("T",B1415,FIND("E0",B1415))-(FIND("E0",B1415)+2)))
))),"")</f>
        <v>180</v>
      </c>
      <c r="G1415">
        <f>IFERROR(
IF(ISNUMBER(FIND("T2",B1415)),220,
IF(ISNUMBER(FIND("T4",B1415)),440,
IF(ISNUMBER(FIND("T5",B1415)),575,
IF(ISNUMBER(FIND("T6",B1415)),690,"")))),
"")</f>
        <v>440</v>
      </c>
    </row>
    <row r="1416" spans="1:7" x14ac:dyDescent="0.25">
      <c r="A1416">
        <v>13824060</v>
      </c>
      <c r="B1416" t="str">
        <f>VLOOKUP(A1416,Planilha2!B:C,2,0)</f>
        <v>INVERSOR EUCFW110211T4OYH1Z</v>
      </c>
      <c r="C1416" t="s">
        <v>3170</v>
      </c>
      <c r="D1416" t="str">
        <f>VLOOKUP(A1416,Planilha2!B:H,7,0)</f>
        <v>LINHA G1</v>
      </c>
      <c r="E1416" s="5">
        <v>62270</v>
      </c>
      <c r="F1416">
        <f>IFERROR(
IF(ISNUMBER(FIND("CFW110",B1416)),
VALUE(MID(B1416,FIND("CFW110",B1416)+6,FIND("T",B1416,FIND("CFW110",B1416))-(FIND("CFW110",B1416)+6))),
IF(ISNUMBER(FIND("D",B1416)),
VALUE(SUBSTITUTE(MID(B1416,FIND("D",B1416)+1,FIND("T",B1416,FIND("D",B1416))-(FIND("D",B1416)+1)),"P",",")),
IF(ISNUMBER(FIND("CFW5",B1416)),
VALUE(MID(B1416,
IF(ISNUMBER(FIND("F",B1416)),FIND("F",B1416)+1,FIND("G",B1416)+1),
FIND("T",B1416)-(IF(ISNUMBER(FIND("F",B1416)),FIND("F",B1416)+1,FIND("G",B1416)+1))
)),
VALUE(MID(B1416,FIND("E0",B1416)+2,FIND("T",B1416,FIND("E0",B1416))-(FIND("E0",B1416)+2)))
))),"")</f>
        <v>211</v>
      </c>
      <c r="G1416">
        <f>IFERROR(
IF(ISNUMBER(FIND("T2",B1416)),220,
IF(ISNUMBER(FIND("T4",B1416)),440,
IF(ISNUMBER(FIND("T5",B1416)),575,
IF(ISNUMBER(FIND("T6",B1416)),690,"")))),
"")</f>
        <v>440</v>
      </c>
    </row>
    <row r="1417" spans="1:7" x14ac:dyDescent="0.25">
      <c r="A1417">
        <v>13849999</v>
      </c>
      <c r="B1417" t="str">
        <f>VLOOKUP(A1417,Planilha2!B:C,2,0)</f>
        <v>INVERSOR BRCFW110211T2OYZ-UI</v>
      </c>
      <c r="C1417" t="s">
        <v>3170</v>
      </c>
      <c r="D1417" t="str">
        <f>VLOOKUP(A1417,Planilha2!B:H,7,0)</f>
        <v>LINHA G1</v>
      </c>
      <c r="E1417" s="5">
        <v>67389</v>
      </c>
      <c r="F1417">
        <f>IFERROR(
IF(ISNUMBER(FIND("CFW110",B1417)),
VALUE(MID(B1417,FIND("CFW110",B1417)+6,FIND("T",B1417,FIND("CFW110",B1417))-(FIND("CFW110",B1417)+6))),
IF(ISNUMBER(FIND("D",B1417)),
VALUE(SUBSTITUTE(MID(B1417,FIND("D",B1417)+1,FIND("T",B1417,FIND("D",B1417))-(FIND("D",B1417)+1)),"P",",")),
IF(ISNUMBER(FIND("CFW5",B1417)),
VALUE(MID(B1417,
IF(ISNUMBER(FIND("F",B1417)),FIND("F",B1417)+1,FIND("G",B1417)+1),
FIND("T",B1417)-(IF(ISNUMBER(FIND("F",B1417)),FIND("F",B1417)+1,FIND("G",B1417)+1))
)),
VALUE(MID(B1417,FIND("E0",B1417)+2,FIND("T",B1417,FIND("E0",B1417))-(FIND("E0",B1417)+2)))
))),"")</f>
        <v>211</v>
      </c>
      <c r="G1417">
        <f>IFERROR(
IF(ISNUMBER(FIND("T2",B1417)),220,
IF(ISNUMBER(FIND("T4",B1417)),440,
IF(ISNUMBER(FIND("T5",B1417)),575,
IF(ISNUMBER(FIND("T6",B1417)),690,"")))),
"")</f>
        <v>220</v>
      </c>
    </row>
    <row r="1418" spans="1:7" x14ac:dyDescent="0.25">
      <c r="A1418">
        <v>13850746</v>
      </c>
      <c r="B1418" t="str">
        <f>VLOOKUP(A1418,Planilha2!B:C,2,0)</f>
        <v>INVERSOR BRCFW110080T6OYZ-UI</v>
      </c>
      <c r="C1418" t="s">
        <v>3170</v>
      </c>
      <c r="D1418" t="str">
        <f>VLOOKUP(A1418,Planilha2!B:H,7,0)</f>
        <v>LINHA G1</v>
      </c>
      <c r="E1418" s="5">
        <v>61089</v>
      </c>
      <c r="F1418">
        <f>IFERROR(
IF(ISNUMBER(FIND("CFW110",B1418)),
VALUE(MID(B1418,FIND("CFW110",B1418)+6,FIND("T",B1418,FIND("CFW110",B1418))-(FIND("CFW110",B1418)+6))),
IF(ISNUMBER(FIND("D",B1418)),
VALUE(SUBSTITUTE(MID(B1418,FIND("D",B1418)+1,FIND("T",B1418,FIND("D",B1418))-(FIND("D",B1418)+1)),"P",",")),
IF(ISNUMBER(FIND("CFW5",B1418)),
VALUE(MID(B1418,
IF(ISNUMBER(FIND("F",B1418)),FIND("F",B1418)+1,FIND("G",B1418)+1),
FIND("T",B1418)-(IF(ISNUMBER(FIND("F",B1418)),FIND("F",B1418)+1,FIND("G",B1418)+1))
)),
VALUE(MID(B1418,FIND("E0",B1418)+2,FIND("T",B1418,FIND("E0",B1418))-(FIND("E0",B1418)+2)))
))),"")</f>
        <v>80</v>
      </c>
      <c r="G1418">
        <f>IFERROR(
IF(ISNUMBER(FIND("T2",B1418)),220,
IF(ISNUMBER(FIND("T4",B1418)),440,
IF(ISNUMBER(FIND("T5",B1418)),575,
IF(ISNUMBER(FIND("T6",B1418)),690,"")))),
"")</f>
        <v>690</v>
      </c>
    </row>
    <row r="1419" spans="1:7" x14ac:dyDescent="0.25">
      <c r="A1419">
        <v>13857712</v>
      </c>
      <c r="B1419" t="str">
        <f>VLOOKUP(A1419,Planilha2!B:C,2,0)</f>
        <v>INVERSOR EUCFW110105T4OYSWZ</v>
      </c>
      <c r="C1419" t="s">
        <v>3170</v>
      </c>
      <c r="D1419" t="str">
        <f>VLOOKUP(A1419,Planilha2!B:H,7,0)</f>
        <v>LINHA G1</v>
      </c>
      <c r="E1419" s="5">
        <v>78700</v>
      </c>
      <c r="F1419">
        <f>IFERROR(
IF(ISNUMBER(FIND("CFW110",B1419)),
VALUE(MID(B1419,FIND("CFW110",B1419)+6,FIND("T",B1419,FIND("CFW110",B1419))-(FIND("CFW110",B1419)+6))),
IF(ISNUMBER(FIND("D",B1419)),
VALUE(SUBSTITUTE(MID(B1419,FIND("D",B1419)+1,FIND("T",B1419,FIND("D",B1419))-(FIND("D",B1419)+1)),"P",",")),
IF(ISNUMBER(FIND("CFW5",B1419)),
VALUE(MID(B1419,
IF(ISNUMBER(FIND("F",B1419)),FIND("F",B1419)+1,FIND("G",B1419)+1),
FIND("T",B1419)-(IF(ISNUMBER(FIND("F",B1419)),FIND("F",B1419)+1,FIND("G",B1419)+1))
)),
VALUE(MID(B1419,FIND("E0",B1419)+2,FIND("T",B1419,FIND("E0",B1419))-(FIND("E0",B1419)+2)))
))),"")</f>
        <v>105</v>
      </c>
      <c r="G1419">
        <f>IFERROR(
IF(ISNUMBER(FIND("T2",B1419)),220,
IF(ISNUMBER(FIND("T4",B1419)),440,
IF(ISNUMBER(FIND("T5",B1419)),575,
IF(ISNUMBER(FIND("T6",B1419)),690,"")))),
"")</f>
        <v>440</v>
      </c>
    </row>
    <row r="1420" spans="1:7" x14ac:dyDescent="0.25">
      <c r="A1420">
        <v>13885339</v>
      </c>
      <c r="B1420" t="str">
        <f>VLOOKUP(A1420,Planilha2!B:C,2,0)</f>
        <v>INVERSOR BRCFW110312T4ORBH1Z-UI</v>
      </c>
      <c r="C1420" t="s">
        <v>3170</v>
      </c>
      <c r="D1420" t="str">
        <f>VLOOKUP(A1420,Planilha2!B:H,7,0)</f>
        <v>LINHA G3</v>
      </c>
      <c r="E1420" s="5">
        <v>132686</v>
      </c>
      <c r="F1420">
        <f>IFERROR(
IF(ISNUMBER(FIND("CFW110",B1420)),
VALUE(MID(B1420,FIND("CFW110",B1420)+6,FIND("T",B1420,FIND("CFW110",B1420))-(FIND("CFW110",B1420)+6))),
IF(ISNUMBER(FIND("D",B1420)),
VALUE(SUBSTITUTE(MID(B1420,FIND("D",B1420)+1,FIND("T",B1420,FIND("D",B1420))-(FIND("D",B1420)+1)),"P",",")),
IF(ISNUMBER(FIND("CFW5",B1420)),
VALUE(MID(B1420,
IF(ISNUMBER(FIND("F",B1420)),FIND("F",B1420)+1,FIND("G",B1420)+1),
FIND("T",B1420)-(IF(ISNUMBER(FIND("F",B1420)),FIND("F",B1420)+1,FIND("G",B1420)+1))
)),
VALUE(MID(B1420,FIND("E0",B1420)+2,FIND("T",B1420,FIND("E0",B1420))-(FIND("E0",B1420)+2)))
))),"")</f>
        <v>312</v>
      </c>
      <c r="G1420">
        <f>IFERROR(
IF(ISNUMBER(FIND("T2",B1420)),220,
IF(ISNUMBER(FIND("T4",B1420)),440,
IF(ISNUMBER(FIND("T5",B1420)),575,
IF(ISNUMBER(FIND("T6",B1420)),690,"")))),
"")</f>
        <v>440</v>
      </c>
    </row>
    <row r="1421" spans="1:7" x14ac:dyDescent="0.25">
      <c r="A1421">
        <v>13877261</v>
      </c>
      <c r="B1421" t="str">
        <f>VLOOKUP(A1421,Planilha2!B:C,2,0)</f>
        <v>INVERSOR BRCFW110312T4ORBH1Z</v>
      </c>
      <c r="C1421" t="s">
        <v>3170</v>
      </c>
      <c r="D1421" t="str">
        <f>VLOOKUP(A1421,Planilha2!B:H,7,0)</f>
        <v>LINHA G3</v>
      </c>
      <c r="E1421" s="5">
        <v>132000</v>
      </c>
      <c r="F1421">
        <f>IFERROR(
IF(ISNUMBER(FIND("CFW110",B1421)),
VALUE(MID(B1421,FIND("CFW110",B1421)+6,FIND("T",B1421,FIND("CFW110",B1421))-(FIND("CFW110",B1421)+6))),
IF(ISNUMBER(FIND("D",B1421)),
VALUE(SUBSTITUTE(MID(B1421,FIND("D",B1421)+1,FIND("T",B1421,FIND("D",B1421))-(FIND("D",B1421)+1)),"P",",")),
IF(ISNUMBER(FIND("CFW5",B1421)),
VALUE(MID(B1421,
IF(ISNUMBER(FIND("F",B1421)),FIND("F",B1421)+1,FIND("G",B1421)+1),
FIND("T",B1421)-(IF(ISNUMBER(FIND("F",B1421)),FIND("F",B1421)+1,FIND("G",B1421)+1))
)),
VALUE(MID(B1421,FIND("E0",B1421)+2,FIND("T",B1421,FIND("E0",B1421))-(FIND("E0",B1421)+2)))
))),"")</f>
        <v>312</v>
      </c>
      <c r="G1421">
        <f>IFERROR(
IF(ISNUMBER(FIND("T2",B1421)),220,
IF(ISNUMBER(FIND("T4",B1421)),440,
IF(ISNUMBER(FIND("T5",B1421)),575,
IF(ISNUMBER(FIND("T6",B1421)),690,"")))),
"")</f>
        <v>440</v>
      </c>
    </row>
    <row r="1422" spans="1:7" x14ac:dyDescent="0.25">
      <c r="A1422">
        <v>13881631</v>
      </c>
      <c r="B1422" t="str">
        <f>VLOOKUP(A1422,Planilha2!B:C,2,0)</f>
        <v>INVERSOR EUCFW110142T4OYWZ-UI</v>
      </c>
      <c r="C1422" t="s">
        <v>3170</v>
      </c>
      <c r="D1422" t="str">
        <f>VLOOKUP(A1422,Planilha2!B:H,7,0)</f>
        <v>LINHA G1</v>
      </c>
      <c r="E1422" s="5">
        <v>64598</v>
      </c>
      <c r="F1422">
        <f>IFERROR(
IF(ISNUMBER(FIND("CFW110",B1422)),
VALUE(MID(B1422,FIND("CFW110",B1422)+6,FIND("T",B1422,FIND("CFW110",B1422))-(FIND("CFW110",B1422)+6))),
IF(ISNUMBER(FIND("D",B1422)),
VALUE(SUBSTITUTE(MID(B1422,FIND("D",B1422)+1,FIND("T",B1422,FIND("D",B1422))-(FIND("D",B1422)+1)),"P",",")),
IF(ISNUMBER(FIND("CFW5",B1422)),
VALUE(MID(B1422,
IF(ISNUMBER(FIND("F",B1422)),FIND("F",B1422)+1,FIND("G",B1422)+1),
FIND("T",B1422)-(IF(ISNUMBER(FIND("F",B1422)),FIND("F",B1422)+1,FIND("G",B1422)+1))
)),
VALUE(MID(B1422,FIND("E0",B1422)+2,FIND("T",B1422,FIND("E0",B1422))-(FIND("E0",B1422)+2)))
))),"")</f>
        <v>142</v>
      </c>
      <c r="G1422">
        <f>IFERROR(
IF(ISNUMBER(FIND("T2",B1422)),220,
IF(ISNUMBER(FIND("T4",B1422)),440,
IF(ISNUMBER(FIND("T5",B1422)),575,
IF(ISNUMBER(FIND("T6",B1422)),690,"")))),
"")</f>
        <v>440</v>
      </c>
    </row>
    <row r="1423" spans="1:7" x14ac:dyDescent="0.25">
      <c r="A1423">
        <v>13913535</v>
      </c>
      <c r="B1423" t="str">
        <f>VLOOKUP(A1423,Planilha2!B:C,2,0)</f>
        <v>INVERSOR EUCFW110105T4O55DSYZ</v>
      </c>
      <c r="C1423" t="s">
        <v>3170</v>
      </c>
      <c r="D1423" t="str">
        <f>VLOOKUP(A1423,Planilha2!B:H,7,0)</f>
        <v>LINHA E1</v>
      </c>
      <c r="E1423" s="5">
        <v>85688</v>
      </c>
      <c r="F1423">
        <f>IFERROR(
IF(ISNUMBER(FIND("CFW110",B1423)),
VALUE(MID(B1423,FIND("CFW110",B1423)+6,FIND("T",B1423,FIND("CFW110",B1423))-(FIND("CFW110",B1423)+6))),
IF(ISNUMBER(FIND("D",B1423)),
VALUE(SUBSTITUTE(MID(B1423,FIND("D",B1423)+1,FIND("T",B1423,FIND("D",B1423))-(FIND("D",B1423)+1)),"P",",")),
IF(ISNUMBER(FIND("CFW5",B1423)),
VALUE(MID(B1423,
IF(ISNUMBER(FIND("F",B1423)),FIND("F",B1423)+1,FIND("G",B1423)+1),
FIND("T",B1423)-(IF(ISNUMBER(FIND("F",B1423)),FIND("F",B1423)+1,FIND("G",B1423)+1))
)),
VALUE(MID(B1423,FIND("E0",B1423)+2,FIND("T",B1423,FIND("E0",B1423))-(FIND("E0",B1423)+2)))
))),"")</f>
        <v>105</v>
      </c>
      <c r="G1423">
        <f>IFERROR(
IF(ISNUMBER(FIND("T2",B1423)),220,
IF(ISNUMBER(FIND("T4",B1423)),440,
IF(ISNUMBER(FIND("T5",B1423)),575,
IF(ISNUMBER(FIND("T6",B1423)),690,"")))),
"")</f>
        <v>440</v>
      </c>
    </row>
    <row r="1424" spans="1:7" x14ac:dyDescent="0.25">
      <c r="A1424">
        <v>13913742</v>
      </c>
      <c r="B1424" t="str">
        <f>VLOOKUP(A1424,Planilha2!B:C,2,0)</f>
        <v>INVERSOR EUCFW110180T4O55DSYZ</v>
      </c>
      <c r="C1424" t="s">
        <v>3170</v>
      </c>
      <c r="D1424" t="str">
        <f>VLOOKUP(A1424,Planilha2!B:H,7,0)</f>
        <v>LINHA E1</v>
      </c>
      <c r="E1424" s="5">
        <v>98588</v>
      </c>
      <c r="F1424">
        <f>IFERROR(
IF(ISNUMBER(FIND("CFW110",B1424)),
VALUE(MID(B1424,FIND("CFW110",B1424)+6,FIND("T",B1424,FIND("CFW110",B1424))-(FIND("CFW110",B1424)+6))),
IF(ISNUMBER(FIND("D",B1424)),
VALUE(SUBSTITUTE(MID(B1424,FIND("D",B1424)+1,FIND("T",B1424,FIND("D",B1424))-(FIND("D",B1424)+1)),"P",",")),
IF(ISNUMBER(FIND("CFW5",B1424)),
VALUE(MID(B1424,
IF(ISNUMBER(FIND("F",B1424)),FIND("F",B1424)+1,FIND("G",B1424)+1),
FIND("T",B1424)-(IF(ISNUMBER(FIND("F",B1424)),FIND("F",B1424)+1,FIND("G",B1424)+1))
)),
VALUE(MID(B1424,FIND("E0",B1424)+2,FIND("T",B1424,FIND("E0",B1424))-(FIND("E0",B1424)+2)))
))),"")</f>
        <v>180</v>
      </c>
      <c r="G1424">
        <f>IFERROR(
IF(ISNUMBER(FIND("T2",B1424)),220,
IF(ISNUMBER(FIND("T4",B1424)),440,
IF(ISNUMBER(FIND("T5",B1424)),575,
IF(ISNUMBER(FIND("T6",B1424)),690,"")))),
"")</f>
        <v>440</v>
      </c>
    </row>
    <row r="1425" spans="1:7" x14ac:dyDescent="0.25">
      <c r="A1425">
        <v>13913588</v>
      </c>
      <c r="B1425" t="str">
        <f>VLOOKUP(A1425,Planilha2!B:C,2,0)</f>
        <v>INVERSOR EUCFW110211T4O55DSYZ</v>
      </c>
      <c r="C1425" t="s">
        <v>3170</v>
      </c>
      <c r="D1425" t="str">
        <f>VLOOKUP(A1425,Planilha2!B:H,7,0)</f>
        <v>LINHA E1</v>
      </c>
      <c r="E1425" s="5">
        <v>98588</v>
      </c>
      <c r="F1425">
        <f>IFERROR(
IF(ISNUMBER(FIND("CFW110",B1425)),
VALUE(MID(B1425,FIND("CFW110",B1425)+6,FIND("T",B1425,FIND("CFW110",B1425))-(FIND("CFW110",B1425)+6))),
IF(ISNUMBER(FIND("D",B1425)),
VALUE(SUBSTITUTE(MID(B1425,FIND("D",B1425)+1,FIND("T",B1425,FIND("D",B1425))-(FIND("D",B1425)+1)),"P",",")),
IF(ISNUMBER(FIND("CFW5",B1425)),
VALUE(MID(B1425,
IF(ISNUMBER(FIND("F",B1425)),FIND("F",B1425)+1,FIND("G",B1425)+1),
FIND("T",B1425)-(IF(ISNUMBER(FIND("F",B1425)),FIND("F",B1425)+1,FIND("G",B1425)+1))
)),
VALUE(MID(B1425,FIND("E0",B1425)+2,FIND("T",B1425,FIND("E0",B1425))-(FIND("E0",B1425)+2)))
))),"")</f>
        <v>211</v>
      </c>
      <c r="G1425">
        <f>IFERROR(
IF(ISNUMBER(FIND("T2",B1425)),220,
IF(ISNUMBER(FIND("T4",B1425)),440,
IF(ISNUMBER(FIND("T5",B1425)),575,
IF(ISNUMBER(FIND("T6",B1425)),690,"")))),
"")</f>
        <v>440</v>
      </c>
    </row>
    <row r="1426" spans="1:7" x14ac:dyDescent="0.25">
      <c r="A1426">
        <v>13885659</v>
      </c>
      <c r="B1426" t="str">
        <f>VLOOKUP(A1426,Planilha2!B:C,2,0)</f>
        <v>INVERSOR BRCFW110180T2ODBYZ</v>
      </c>
      <c r="C1426" t="s">
        <v>3170</v>
      </c>
      <c r="D1426" t="str">
        <f>VLOOKUP(A1426,Planilha2!B:H,7,0)</f>
        <v>LINHA G1</v>
      </c>
      <c r="E1426" s="5">
        <v>67094</v>
      </c>
      <c r="F1426">
        <f>IFERROR(
IF(ISNUMBER(FIND("CFW110",B1426)),
VALUE(MID(B1426,FIND("CFW110",B1426)+6,FIND("T",B1426,FIND("CFW110",B1426))-(FIND("CFW110",B1426)+6))),
IF(ISNUMBER(FIND("D",B1426)),
VALUE(SUBSTITUTE(MID(B1426,FIND("D",B1426)+1,FIND("T",B1426,FIND("D",B1426))-(FIND("D",B1426)+1)),"P",",")),
IF(ISNUMBER(FIND("CFW5",B1426)),
VALUE(MID(B1426,
IF(ISNUMBER(FIND("F",B1426)),FIND("F",B1426)+1,FIND("G",B1426)+1),
FIND("T",B1426)-(IF(ISNUMBER(FIND("F",B1426)),FIND("F",B1426)+1,FIND("G",B1426)+1))
)),
VALUE(MID(B1426,FIND("E0",B1426)+2,FIND("T",B1426,FIND("E0",B1426))-(FIND("E0",B1426)+2)))
))),"")</f>
        <v>180</v>
      </c>
      <c r="G1426">
        <f>IFERROR(
IF(ISNUMBER(FIND("T2",B1426)),220,
IF(ISNUMBER(FIND("T4",B1426)),440,
IF(ISNUMBER(FIND("T5",B1426)),575,
IF(ISNUMBER(FIND("T6",B1426)),690,"")))),
"")</f>
        <v>220</v>
      </c>
    </row>
    <row r="1427" spans="1:7" x14ac:dyDescent="0.25">
      <c r="A1427">
        <v>13922998</v>
      </c>
      <c r="B1427" t="str">
        <f>VLOOKUP(A1427,Planilha2!B:C,2,0)</f>
        <v>INVERSOR EUCFW110080T6OYWZ</v>
      </c>
      <c r="C1427" t="s">
        <v>3170</v>
      </c>
      <c r="D1427" t="str">
        <f>VLOOKUP(A1427,Planilha2!B:H,7,0)</f>
        <v>LINHA G1</v>
      </c>
      <c r="E1427" s="5">
        <v>61888</v>
      </c>
      <c r="F1427">
        <f>IFERROR(
IF(ISNUMBER(FIND("CFW110",B1427)),
VALUE(MID(B1427,FIND("CFW110",B1427)+6,FIND("T",B1427,FIND("CFW110",B1427))-(FIND("CFW110",B1427)+6))),
IF(ISNUMBER(FIND("D",B1427)),
VALUE(SUBSTITUTE(MID(B1427,FIND("D",B1427)+1,FIND("T",B1427,FIND("D",B1427))-(FIND("D",B1427)+1)),"P",",")),
IF(ISNUMBER(FIND("CFW5",B1427)),
VALUE(MID(B1427,
IF(ISNUMBER(FIND("F",B1427)),FIND("F",B1427)+1,FIND("G",B1427)+1),
FIND("T",B1427)-(IF(ISNUMBER(FIND("F",B1427)),FIND("F",B1427)+1,FIND("G",B1427)+1))
)),
VALUE(MID(B1427,FIND("E0",B1427)+2,FIND("T",B1427,FIND("E0",B1427))-(FIND("E0",B1427)+2)))
))),"")</f>
        <v>80</v>
      </c>
      <c r="G1427">
        <f>IFERROR(
IF(ISNUMBER(FIND("T2",B1427)),220,
IF(ISNUMBER(FIND("T4",B1427)),440,
IF(ISNUMBER(FIND("T5",B1427)),575,
IF(ISNUMBER(FIND("T6",B1427)),690,"")))),
"")</f>
        <v>690</v>
      </c>
    </row>
    <row r="1428" spans="1:7" x14ac:dyDescent="0.25">
      <c r="A1428">
        <v>12105105</v>
      </c>
      <c r="B1428" t="str">
        <f>VLOOKUP(A1428,Planilha2!B:C,2,0)</f>
        <v>INVERSOR NACFW110180T4ON1YZ</v>
      </c>
      <c r="C1428" t="s">
        <v>3170</v>
      </c>
      <c r="D1428" t="str">
        <f>VLOOKUP(A1428,Planilha2!B:H,7,0)</f>
        <v>LINHA G1</v>
      </c>
      <c r="E1428" s="5">
        <v>65000</v>
      </c>
      <c r="F1428">
        <f>IFERROR(
IF(ISNUMBER(FIND("CFW110",B1428)),
VALUE(MID(B1428,FIND("CFW110",B1428)+6,FIND("T",B1428,FIND("CFW110",B1428))-(FIND("CFW110",B1428)+6))),
IF(ISNUMBER(FIND("D",B1428)),
VALUE(SUBSTITUTE(MID(B1428,FIND("D",B1428)+1,FIND("T",B1428,FIND("D",B1428))-(FIND("D",B1428)+1)),"P",",")),
IF(ISNUMBER(FIND("CFW5",B1428)),
VALUE(MID(B1428,
IF(ISNUMBER(FIND("F",B1428)),FIND("F",B1428)+1,FIND("G",B1428)+1),
FIND("T",B1428)-(IF(ISNUMBER(FIND("F",B1428)),FIND("F",B1428)+1,FIND("G",B1428)+1))
)),
VALUE(MID(B1428,FIND("E0",B1428)+2,FIND("T",B1428,FIND("E0",B1428))-(FIND("E0",B1428)+2)))
))),"")</f>
        <v>180</v>
      </c>
      <c r="G1428">
        <f>IFERROR(
IF(ISNUMBER(FIND("T2",B1428)),220,
IF(ISNUMBER(FIND("T4",B1428)),440,
IF(ISNUMBER(FIND("T5",B1428)),575,
IF(ISNUMBER(FIND("T6",B1428)),690,"")))),
"")</f>
        <v>440</v>
      </c>
    </row>
    <row r="1429" spans="1:7" x14ac:dyDescent="0.25">
      <c r="A1429">
        <v>13953078</v>
      </c>
      <c r="B1429" t="str">
        <f>VLOOKUP(A1429,Planilha2!B:C,2,0)</f>
        <v>INVERSOR SACFW110601T4ORBZ-UI</v>
      </c>
      <c r="C1429" t="s">
        <v>3170</v>
      </c>
      <c r="D1429" t="str">
        <f>VLOOKUP(A1429,Planilha2!B:H,7,0)</f>
        <v>LINHA G5</v>
      </c>
      <c r="E1429" s="5">
        <v>210368</v>
      </c>
      <c r="F1429">
        <f>IFERROR(
IF(ISNUMBER(FIND("CFW110",B1429)),
VALUE(MID(B1429,FIND("CFW110",B1429)+6,FIND("T",B1429,FIND("CFW110",B1429))-(FIND("CFW110",B1429)+6))),
IF(ISNUMBER(FIND("D",B1429)),
VALUE(SUBSTITUTE(MID(B1429,FIND("D",B1429)+1,FIND("T",B1429,FIND("D",B1429))-(FIND("D",B1429)+1)),"P",",")),
IF(ISNUMBER(FIND("CFW5",B1429)),
VALUE(MID(B1429,
IF(ISNUMBER(FIND("F",B1429)),FIND("F",B1429)+1,FIND("G",B1429)+1),
FIND("T",B1429)-(IF(ISNUMBER(FIND("F",B1429)),FIND("F",B1429)+1,FIND("G",B1429)+1))
)),
VALUE(MID(B1429,FIND("E0",B1429)+2,FIND("T",B1429,FIND("E0",B1429))-(FIND("E0",B1429)+2)))
))),"")</f>
        <v>601</v>
      </c>
      <c r="G1429">
        <f>IFERROR(
IF(ISNUMBER(FIND("T2",B1429)),220,
IF(ISNUMBER(FIND("T4",B1429)),440,
IF(ISNUMBER(FIND("T5",B1429)),575,
IF(ISNUMBER(FIND("T6",B1429)),690,"")))),
"")</f>
        <v>440</v>
      </c>
    </row>
    <row r="1430" spans="1:7" x14ac:dyDescent="0.25">
      <c r="A1430">
        <v>13953080</v>
      </c>
      <c r="B1430" t="str">
        <f>VLOOKUP(A1430,Planilha2!B:C,2,0)</f>
        <v>INVERSOR SACFW110142T4ODCZ-UI</v>
      </c>
      <c r="C1430" t="s">
        <v>3170</v>
      </c>
      <c r="D1430" t="str">
        <f>VLOOKUP(A1430,Planilha2!B:H,7,0)</f>
        <v>LINHA G1</v>
      </c>
      <c r="E1430" s="5">
        <v>64210</v>
      </c>
      <c r="F1430">
        <f>IFERROR(
IF(ISNUMBER(FIND("CFW110",B1430)),
VALUE(MID(B1430,FIND("CFW110",B1430)+6,FIND("T",B1430,FIND("CFW110",B1430))-(FIND("CFW110",B1430)+6))),
IF(ISNUMBER(FIND("D",B1430)),
VALUE(SUBSTITUTE(MID(B1430,FIND("D",B1430)+1,FIND("T",B1430,FIND("D",B1430))-(FIND("D",B1430)+1)),"P",",")),
IF(ISNUMBER(FIND("CFW5",B1430)),
VALUE(MID(B1430,
IF(ISNUMBER(FIND("F",B1430)),FIND("F",B1430)+1,FIND("G",B1430)+1),
FIND("T",B1430)-(IF(ISNUMBER(FIND("F",B1430)),FIND("F",B1430)+1,FIND("G",B1430)+1))
)),
VALUE(MID(B1430,FIND("E0",B1430)+2,FIND("T",B1430,FIND("E0",B1430))-(FIND("E0",B1430)+2)))
))),"")</f>
        <v>142</v>
      </c>
      <c r="G1430">
        <f>IFERROR(
IF(ISNUMBER(FIND("T2",B1430)),220,
IF(ISNUMBER(FIND("T4",B1430)),440,
IF(ISNUMBER(FIND("T5",B1430)),575,
IF(ISNUMBER(FIND("T6",B1430)),690,"")))),
"")</f>
        <v>440</v>
      </c>
    </row>
    <row r="1431" spans="1:7" x14ac:dyDescent="0.25">
      <c r="A1431">
        <v>13952595</v>
      </c>
      <c r="B1431" t="str">
        <f>VLOOKUP(A1431,Planilha2!B:C,2,0)</f>
        <v>INVERSOR BRCFW110180T4ODBZ-UI</v>
      </c>
      <c r="C1431" t="s">
        <v>3170</v>
      </c>
      <c r="D1431" t="str">
        <f>VLOOKUP(A1431,Planilha2!B:H,7,0)</f>
        <v>LINHA G1</v>
      </c>
      <c r="E1431" s="5">
        <v>68100</v>
      </c>
      <c r="F1431">
        <f>IFERROR(
IF(ISNUMBER(FIND("CFW110",B1431)),
VALUE(MID(B1431,FIND("CFW110",B1431)+6,FIND("T",B1431,FIND("CFW110",B1431))-(FIND("CFW110",B1431)+6))),
IF(ISNUMBER(FIND("D",B1431)),
VALUE(SUBSTITUTE(MID(B1431,FIND("D",B1431)+1,FIND("T",B1431,FIND("D",B1431))-(FIND("D",B1431)+1)),"P",",")),
IF(ISNUMBER(FIND("CFW5",B1431)),
VALUE(MID(B1431,
IF(ISNUMBER(FIND("F",B1431)),FIND("F",B1431)+1,FIND("G",B1431)+1),
FIND("T",B1431)-(IF(ISNUMBER(FIND("F",B1431)),FIND("F",B1431)+1,FIND("G",B1431)+1))
)),
VALUE(MID(B1431,FIND("E0",B1431)+2,FIND("T",B1431,FIND("E0",B1431))-(FIND("E0",B1431)+2)))
))),"")</f>
        <v>180</v>
      </c>
      <c r="G1431">
        <f>IFERROR(
IF(ISNUMBER(FIND("T2",B1431)),220,
IF(ISNUMBER(FIND("T4",B1431)),440,
IF(ISNUMBER(FIND("T5",B1431)),575,
IF(ISNUMBER(FIND("T6",B1431)),690,"")))),
"")</f>
        <v>440</v>
      </c>
    </row>
    <row r="1432" spans="1:7" x14ac:dyDescent="0.25">
      <c r="A1432">
        <v>13956638</v>
      </c>
      <c r="B1432" t="str">
        <f>VLOOKUP(A1432,Planilha2!B:C,2,0)</f>
        <v>INVERSOR SACFW110211T4ODCZ</v>
      </c>
      <c r="C1432" t="s">
        <v>3170</v>
      </c>
      <c r="D1432" t="str">
        <f>VLOOKUP(A1432,Planilha2!B:H,7,0)</f>
        <v>LINHA G1</v>
      </c>
      <c r="E1432" s="5">
        <v>67900</v>
      </c>
      <c r="F1432">
        <f>IFERROR(
IF(ISNUMBER(FIND("CFW110",B1432)),
VALUE(MID(B1432,FIND("CFW110",B1432)+6,FIND("T",B1432,FIND("CFW110",B1432))-(FIND("CFW110",B1432)+6))),
IF(ISNUMBER(FIND("D",B1432)),
VALUE(SUBSTITUTE(MID(B1432,FIND("D",B1432)+1,FIND("T",B1432,FIND("D",B1432))-(FIND("D",B1432)+1)),"P",",")),
IF(ISNUMBER(FIND("CFW5",B1432)),
VALUE(MID(B1432,
IF(ISNUMBER(FIND("F",B1432)),FIND("F",B1432)+1,FIND("G",B1432)+1),
FIND("T",B1432)-(IF(ISNUMBER(FIND("F",B1432)),FIND("F",B1432)+1,FIND("G",B1432)+1))
)),
VALUE(MID(B1432,FIND("E0",B1432)+2,FIND("T",B1432,FIND("E0",B1432))-(FIND("E0",B1432)+2)))
))),"")</f>
        <v>211</v>
      </c>
      <c r="G1432">
        <f>IFERROR(
IF(ISNUMBER(FIND("T2",B1432)),220,
IF(ISNUMBER(FIND("T4",B1432)),440,
IF(ISNUMBER(FIND("T5",B1432)),575,
IF(ISNUMBER(FIND("T6",B1432)),690,"")))),
"")</f>
        <v>440</v>
      </c>
    </row>
    <row r="1433" spans="1:7" x14ac:dyDescent="0.25">
      <c r="A1433">
        <v>14007846</v>
      </c>
      <c r="B1433" t="str">
        <f>VLOOKUP(A1433,Planilha2!B:C,2,0)</f>
        <v>INVERSOR BRCFW110370T4ORBH1Z-UI</v>
      </c>
      <c r="C1433" t="s">
        <v>3170</v>
      </c>
      <c r="D1433" t="str">
        <f>VLOOKUP(A1433,Planilha2!B:H,7,0)</f>
        <v>LINHA G3</v>
      </c>
      <c r="E1433" s="5">
        <v>97000</v>
      </c>
      <c r="F1433">
        <f>IFERROR(
IF(ISNUMBER(FIND("CFW110",B1433)),
VALUE(MID(B1433,FIND("CFW110",B1433)+6,FIND("T",B1433,FIND("CFW110",B1433))-(FIND("CFW110",B1433)+6))),
IF(ISNUMBER(FIND("D",B1433)),
VALUE(SUBSTITUTE(MID(B1433,FIND("D",B1433)+1,FIND("T",B1433,FIND("D",B1433))-(FIND("D",B1433)+1)),"P",",")),
IF(ISNUMBER(FIND("CFW5",B1433)),
VALUE(MID(B1433,
IF(ISNUMBER(FIND("F",B1433)),FIND("F",B1433)+1,FIND("G",B1433)+1),
FIND("T",B1433)-(IF(ISNUMBER(FIND("F",B1433)),FIND("F",B1433)+1,FIND("G",B1433)+1))
)),
VALUE(MID(B1433,FIND("E0",B1433)+2,FIND("T",B1433,FIND("E0",B1433))-(FIND("E0",B1433)+2)))
))),"")</f>
        <v>370</v>
      </c>
      <c r="G1433">
        <f>IFERROR(
IF(ISNUMBER(FIND("T2",B1433)),220,
IF(ISNUMBER(FIND("T4",B1433)),440,
IF(ISNUMBER(FIND("T5",B1433)),575,
IF(ISNUMBER(FIND("T6",B1433)),690,"")))),
"")</f>
        <v>440</v>
      </c>
    </row>
    <row r="1434" spans="1:7" x14ac:dyDescent="0.25">
      <c r="A1434">
        <v>13991327</v>
      </c>
      <c r="B1434" t="str">
        <f>VLOOKUP(A1434,Planilha2!B:C,2,0)</f>
        <v>INVERSOR BRCFW110180T4OWZ-UI</v>
      </c>
      <c r="C1434" t="s">
        <v>3170</v>
      </c>
      <c r="D1434" t="str">
        <f>VLOOKUP(A1434,Planilha2!B:H,7,0)</f>
        <v>LINHA G1</v>
      </c>
      <c r="E1434" s="5">
        <v>65608</v>
      </c>
      <c r="F1434">
        <f>IFERROR(
IF(ISNUMBER(FIND("CFW110",B1434)),
VALUE(MID(B1434,FIND("CFW110",B1434)+6,FIND("T",B1434,FIND("CFW110",B1434))-(FIND("CFW110",B1434)+6))),
IF(ISNUMBER(FIND("D",B1434)),
VALUE(SUBSTITUTE(MID(B1434,FIND("D",B1434)+1,FIND("T",B1434,FIND("D",B1434))-(FIND("D",B1434)+1)),"P",",")),
IF(ISNUMBER(FIND("CFW5",B1434)),
VALUE(MID(B1434,
IF(ISNUMBER(FIND("F",B1434)),FIND("F",B1434)+1,FIND("G",B1434)+1),
FIND("T",B1434)-(IF(ISNUMBER(FIND("F",B1434)),FIND("F",B1434)+1,FIND("G",B1434)+1))
)),
VALUE(MID(B1434,FIND("E0",B1434)+2,FIND("T",B1434,FIND("E0",B1434))-(FIND("E0",B1434)+2)))
))),"")</f>
        <v>180</v>
      </c>
      <c r="G1434">
        <f>IFERROR(
IF(ISNUMBER(FIND("T2",B1434)),220,
IF(ISNUMBER(FIND("T4",B1434)),440,
IF(ISNUMBER(FIND("T5",B1434)),575,
IF(ISNUMBER(FIND("T6",B1434)),690,"")))),
"")</f>
        <v>440</v>
      </c>
    </row>
    <row r="1435" spans="1:7" x14ac:dyDescent="0.25">
      <c r="A1435">
        <v>13991368</v>
      </c>
      <c r="B1435" t="str">
        <f>VLOOKUP(A1435,Planilha2!B:C,2,0)</f>
        <v>INVERSOR BRCFW110142T4OWZ-UI</v>
      </c>
      <c r="C1435" t="s">
        <v>3170</v>
      </c>
      <c r="D1435" t="str">
        <f>VLOOKUP(A1435,Planilha2!B:H,7,0)</f>
        <v>LINHA G1</v>
      </c>
      <c r="E1435" s="5">
        <v>59360</v>
      </c>
      <c r="F1435">
        <f>IFERROR(
IF(ISNUMBER(FIND("CFW110",B1435)),
VALUE(MID(B1435,FIND("CFW110",B1435)+6,FIND("T",B1435,FIND("CFW110",B1435))-(FIND("CFW110",B1435)+6))),
IF(ISNUMBER(FIND("D",B1435)),
VALUE(SUBSTITUTE(MID(B1435,FIND("D",B1435)+1,FIND("T",B1435,FIND("D",B1435))-(FIND("D",B1435)+1)),"P",",")),
IF(ISNUMBER(FIND("CFW5",B1435)),
VALUE(MID(B1435,
IF(ISNUMBER(FIND("F",B1435)),FIND("F",B1435)+1,FIND("G",B1435)+1),
FIND("T",B1435)-(IF(ISNUMBER(FIND("F",B1435)),FIND("F",B1435)+1,FIND("G",B1435)+1))
)),
VALUE(MID(B1435,FIND("E0",B1435)+2,FIND("T",B1435,FIND("E0",B1435))-(FIND("E0",B1435)+2)))
))),"")</f>
        <v>142</v>
      </c>
      <c r="G1435">
        <f>IFERROR(
IF(ISNUMBER(FIND("T2",B1435)),220,
IF(ISNUMBER(FIND("T4",B1435)),440,
IF(ISNUMBER(FIND("T5",B1435)),575,
IF(ISNUMBER(FIND("T6",B1435)),690,"")))),
"")</f>
        <v>440</v>
      </c>
    </row>
    <row r="1436" spans="1:7" x14ac:dyDescent="0.25">
      <c r="A1436">
        <v>14017529</v>
      </c>
      <c r="B1436" t="str">
        <f>VLOOKUP(A1436,Planilha2!B:C,2,0)</f>
        <v>INVERSOR EUCFW110242T4ORBZ-UI</v>
      </c>
      <c r="C1436" t="s">
        <v>3170</v>
      </c>
      <c r="D1436" t="str">
        <f>VLOOKUP(A1436,Planilha2!B:H,7,0)</f>
        <v>LINHA G3</v>
      </c>
      <c r="E1436" s="5">
        <v>130500</v>
      </c>
      <c r="F1436">
        <f>IFERROR(
IF(ISNUMBER(FIND("CFW110",B1436)),
VALUE(MID(B1436,FIND("CFW110",B1436)+6,FIND("T",B1436,FIND("CFW110",B1436))-(FIND("CFW110",B1436)+6))),
IF(ISNUMBER(FIND("D",B1436)),
VALUE(SUBSTITUTE(MID(B1436,FIND("D",B1436)+1,FIND("T",B1436,FIND("D",B1436))-(FIND("D",B1436)+1)),"P",",")),
IF(ISNUMBER(FIND("CFW5",B1436)),
VALUE(MID(B1436,
IF(ISNUMBER(FIND("F",B1436)),FIND("F",B1436)+1,FIND("G",B1436)+1),
FIND("T",B1436)-(IF(ISNUMBER(FIND("F",B1436)),FIND("F",B1436)+1,FIND("G",B1436)+1))
)),
VALUE(MID(B1436,FIND("E0",B1436)+2,FIND("T",B1436,FIND("E0",B1436))-(FIND("E0",B1436)+2)))
))),"")</f>
        <v>242</v>
      </c>
      <c r="G1436">
        <f>IFERROR(
IF(ISNUMBER(FIND("T2",B1436)),220,
IF(ISNUMBER(FIND("T4",B1436)),440,
IF(ISNUMBER(FIND("T5",B1436)),575,
IF(ISNUMBER(FIND("T6",B1436)),690,"")))),
"")</f>
        <v>440</v>
      </c>
    </row>
    <row r="1437" spans="1:7" x14ac:dyDescent="0.25">
      <c r="A1437">
        <v>13887666</v>
      </c>
      <c r="B1437" t="str">
        <f>VLOOKUP(A1437,Planilha2!B:C,2,0)</f>
        <v>INVERSOR CFW110142T4ODBHALS9Z</v>
      </c>
      <c r="C1437" t="s">
        <v>3170</v>
      </c>
      <c r="D1437" t="str">
        <f>VLOOKUP(A1437,Planilha2!B:H,7,0)</f>
        <v>LINHA G1</v>
      </c>
      <c r="E1437" s="5">
        <v>65555</v>
      </c>
      <c r="F1437">
        <f>IFERROR(
IF(ISNUMBER(FIND("CFW110",B1437)),
VALUE(MID(B1437,FIND("CFW110",B1437)+6,FIND("T",B1437,FIND("CFW110",B1437))-(FIND("CFW110",B1437)+6))),
IF(ISNUMBER(FIND("D",B1437)),
VALUE(SUBSTITUTE(MID(B1437,FIND("D",B1437)+1,FIND("T",B1437,FIND("D",B1437))-(FIND("D",B1437)+1)),"P",",")),
IF(ISNUMBER(FIND("CFW5",B1437)),
VALUE(MID(B1437,
IF(ISNUMBER(FIND("F",B1437)),FIND("F",B1437)+1,FIND("G",B1437)+1),
FIND("T",B1437)-(IF(ISNUMBER(FIND("F",B1437)),FIND("F",B1437)+1,FIND("G",B1437)+1))
)),
VALUE(MID(B1437,FIND("E0",B1437)+2,FIND("T",B1437,FIND("E0",B1437))-(FIND("E0",B1437)+2)))
))),"")</f>
        <v>142</v>
      </c>
      <c r="G1437">
        <f>IFERROR(
IF(ISNUMBER(FIND("T2",B1437)),220,
IF(ISNUMBER(FIND("T4",B1437)),440,
IF(ISNUMBER(FIND("T5",B1437)),575,
IF(ISNUMBER(FIND("T6",B1437)),690,"")))),
"")</f>
        <v>440</v>
      </c>
    </row>
    <row r="1438" spans="1:7" x14ac:dyDescent="0.25">
      <c r="A1438">
        <v>14034624</v>
      </c>
      <c r="B1438" t="str">
        <f>VLOOKUP(A1438,Planilha2!B:C,2,0)</f>
        <v>INVERSOR BRCFW110180T4ODBYWZ-UI</v>
      </c>
      <c r="C1438" t="s">
        <v>3170</v>
      </c>
      <c r="D1438" t="str">
        <f>VLOOKUP(A1438,Planilha2!B:H,7,0)</f>
        <v>LINHA G1</v>
      </c>
      <c r="E1438" s="5">
        <v>59360</v>
      </c>
      <c r="F1438">
        <f>IFERROR(
IF(ISNUMBER(FIND("CFW110",B1438)),
VALUE(MID(B1438,FIND("CFW110",B1438)+6,FIND("T",B1438,FIND("CFW110",B1438))-(FIND("CFW110",B1438)+6))),
IF(ISNUMBER(FIND("D",B1438)),
VALUE(SUBSTITUTE(MID(B1438,FIND("D",B1438)+1,FIND("T",B1438,FIND("D",B1438))-(FIND("D",B1438)+1)),"P",",")),
IF(ISNUMBER(FIND("CFW5",B1438)),
VALUE(MID(B1438,
IF(ISNUMBER(FIND("F",B1438)),FIND("F",B1438)+1,FIND("G",B1438)+1),
FIND("T",B1438)-(IF(ISNUMBER(FIND("F",B1438)),FIND("F",B1438)+1,FIND("G",B1438)+1))
)),
VALUE(MID(B1438,FIND("E0",B1438)+2,FIND("T",B1438,FIND("E0",B1438))-(FIND("E0",B1438)+2)))
))),"")</f>
        <v>180</v>
      </c>
      <c r="G1438">
        <f>IFERROR(
IF(ISNUMBER(FIND("T2",B1438)),220,
IF(ISNUMBER(FIND("T4",B1438)),440,
IF(ISNUMBER(FIND("T5",B1438)),575,
IF(ISNUMBER(FIND("T6",B1438)),690,"")))),
"")</f>
        <v>440</v>
      </c>
    </row>
    <row r="1439" spans="1:7" x14ac:dyDescent="0.25">
      <c r="A1439">
        <v>14038921</v>
      </c>
      <c r="B1439" t="str">
        <f>VLOOKUP(A1439,Planilha2!B:C,2,0)</f>
        <v>INVERSOR BRCFW110080T6ON1YZ</v>
      </c>
      <c r="C1439" t="s">
        <v>3170</v>
      </c>
      <c r="D1439" t="str">
        <f>VLOOKUP(A1439,Planilha2!B:H,7,0)</f>
        <v>LINHA G1</v>
      </c>
      <c r="E1439" t="s">
        <v>3172</v>
      </c>
      <c r="F1439">
        <f>IFERROR(
IF(ISNUMBER(FIND("CFW110",B1439)),
VALUE(MID(B1439,FIND("CFW110",B1439)+6,FIND("T",B1439,FIND("CFW110",B1439))-(FIND("CFW110",B1439)+6))),
IF(ISNUMBER(FIND("D",B1439)),
VALUE(SUBSTITUTE(MID(B1439,FIND("D",B1439)+1,FIND("T",B1439,FIND("D",B1439))-(FIND("D",B1439)+1)),"P",",")),
IF(ISNUMBER(FIND("CFW5",B1439)),
VALUE(MID(B1439,
IF(ISNUMBER(FIND("F",B1439)),FIND("F",B1439)+1,FIND("G",B1439)+1),
FIND("T",B1439)-(IF(ISNUMBER(FIND("F",B1439)),FIND("F",B1439)+1,FIND("G",B1439)+1))
)),
VALUE(MID(B1439,FIND("E0",B1439)+2,FIND("T",B1439,FIND("E0",B1439))-(FIND("E0",B1439)+2)))
))),"")</f>
        <v>80</v>
      </c>
      <c r="G1439">
        <f>IFERROR(
IF(ISNUMBER(FIND("T2",B1439)),220,
IF(ISNUMBER(FIND("T4",B1439)),440,
IF(ISNUMBER(FIND("T5",B1439)),575,
IF(ISNUMBER(FIND("T6",B1439)),690,"")))),
"")</f>
        <v>690</v>
      </c>
    </row>
    <row r="1440" spans="1:7" x14ac:dyDescent="0.25">
      <c r="A1440">
        <v>13921003</v>
      </c>
      <c r="B1440" t="str">
        <f>VLOOKUP(A1440,Planilha2!B:C,2,0)</f>
        <v>INVERSOR CFW700E0211T4NB55C3DS</v>
      </c>
      <c r="C1440" t="s">
        <v>3170</v>
      </c>
      <c r="D1440" t="str">
        <f>VLOOKUP(A1440,Planilha2!B:H,7,0)</f>
        <v>OBSOLETOS DRIVES</v>
      </c>
      <c r="E1440" s="5">
        <v>100300</v>
      </c>
      <c r="F1440" t="str">
        <f>IFERROR(
IF(ISNUMBER(FIND("CFW110",B1440)),
VALUE(MID(B1440,FIND("CFW110",B1440)+6,FIND("T",B1440,FIND("CFW110",B1440))-(FIND("CFW110",B1440)+6))),
IF(ISNUMBER(FIND("D",B1440)),
VALUE(SUBSTITUTE(MID(B1440,FIND("D",B1440)+1,FIND("T",B1440,FIND("D",B1440))-(FIND("D",B1440)+1)),"P",",")),
IF(ISNUMBER(FIND("CFW5",B1440)),
VALUE(MID(B1440,
IF(ISNUMBER(FIND("F",B1440)),FIND("F",B1440)+1,FIND("G",B1440)+1),
FIND("T",B1440)-(IF(ISNUMBER(FIND("F",B1440)),FIND("F",B1440)+1,FIND("G",B1440)+1))
)),
VALUE(MID(B1440,FIND("E0",B1440)+2,FIND("T",B1440,FIND("E0",B1440))-(FIND("E0",B1440)+2)))
))),"")</f>
        <v/>
      </c>
      <c r="G1440">
        <f>IFERROR(
IF(ISNUMBER(FIND("T2",B1440)),220,
IF(ISNUMBER(FIND("T4",B1440)),440,
IF(ISNUMBER(FIND("T5",B1440)),575,
IF(ISNUMBER(FIND("T6",B1440)),690,"")))),
"")</f>
        <v>440</v>
      </c>
    </row>
    <row r="1441" spans="1:7" x14ac:dyDescent="0.25">
      <c r="A1441">
        <v>14049767</v>
      </c>
      <c r="B1441" t="str">
        <f>VLOOKUP(A1441,Planilha2!B:C,2,0)</f>
        <v>INVERSOR BRCFW110211T4OWZ-UI</v>
      </c>
      <c r="C1441" t="s">
        <v>3170</v>
      </c>
      <c r="D1441" t="str">
        <f>VLOOKUP(A1441,Planilha2!B:H,7,0)</f>
        <v>LINHA G1</v>
      </c>
      <c r="E1441" s="5">
        <v>59360</v>
      </c>
      <c r="F1441">
        <f>IFERROR(
IF(ISNUMBER(FIND("CFW110",B1441)),
VALUE(MID(B1441,FIND("CFW110",B1441)+6,FIND("T",B1441,FIND("CFW110",B1441))-(FIND("CFW110",B1441)+6))),
IF(ISNUMBER(FIND("D",B1441)),
VALUE(SUBSTITUTE(MID(B1441,FIND("D",B1441)+1,FIND("T",B1441,FIND("D",B1441))-(FIND("D",B1441)+1)),"P",",")),
IF(ISNUMBER(FIND("CFW5",B1441)),
VALUE(MID(B1441,
IF(ISNUMBER(FIND("F",B1441)),FIND("F",B1441)+1,FIND("G",B1441)+1),
FIND("T",B1441)-(IF(ISNUMBER(FIND("F",B1441)),FIND("F",B1441)+1,FIND("G",B1441)+1))
)),
VALUE(MID(B1441,FIND("E0",B1441)+2,FIND("T",B1441,FIND("E0",B1441))-(FIND("E0",B1441)+2)))
))),"")</f>
        <v>211</v>
      </c>
      <c r="G1441">
        <f>IFERROR(
IF(ISNUMBER(FIND("T2",B1441)),220,
IF(ISNUMBER(FIND("T4",B1441)),440,
IF(ISNUMBER(FIND("T5",B1441)),575,
IF(ISNUMBER(FIND("T6",B1441)),690,"")))),
"")</f>
        <v>440</v>
      </c>
    </row>
    <row r="1442" spans="1:7" x14ac:dyDescent="0.25">
      <c r="A1442">
        <v>14040706</v>
      </c>
      <c r="B1442" t="str">
        <f>VLOOKUP(A1442,Planilha2!B:C,2,0)</f>
        <v>INVERSOR CFW700E0180T4NB20C3Y1W1-UI</v>
      </c>
      <c r="C1442" t="s">
        <v>3170</v>
      </c>
      <c r="D1442" t="str">
        <f>VLOOKUP(A1442,Planilha2!B:H,7,0)</f>
        <v>LINHA G1</v>
      </c>
      <c r="E1442" s="5">
        <v>65301</v>
      </c>
      <c r="F1442">
        <f>IFERROR(
IF(ISNUMBER(FIND("CFW110",B1442)),
VALUE(MID(B1442,FIND("CFW110",B1442)+6,FIND("T",B1442,FIND("CFW110",B1442))-(FIND("CFW110",B1442)+6))),
IF(ISNUMBER(FIND("D",B1442)),
VALUE(SUBSTITUTE(MID(B1442,FIND("D",B1442)+1,FIND("T",B1442,FIND("D",B1442))-(FIND("D",B1442)+1)),"P",",")),
IF(ISNUMBER(FIND("CFW5",B1442)),
VALUE(MID(B1442,
IF(ISNUMBER(FIND("F",B1442)),FIND("F",B1442)+1,FIND("G",B1442)+1),
FIND("T",B1442)-(IF(ISNUMBER(FIND("F",B1442)),FIND("F",B1442)+1,FIND("G",B1442)+1))
)),
VALUE(MID(B1442,FIND("E0",B1442)+2,FIND("T",B1442,FIND("E0",B1442))-(FIND("E0",B1442)+2)))
))),"")</f>
        <v>180</v>
      </c>
      <c r="G1442">
        <f>IFERROR(
IF(ISNUMBER(FIND("T2",B1442)),220,
IF(ISNUMBER(FIND("T4",B1442)),440,
IF(ISNUMBER(FIND("T5",B1442)),575,
IF(ISNUMBER(FIND("T6",B1442)),690,"")))),
"")</f>
        <v>440</v>
      </c>
    </row>
    <row r="1443" spans="1:7" x14ac:dyDescent="0.25">
      <c r="A1443">
        <v>13921002</v>
      </c>
      <c r="B1443" t="str">
        <f>VLOOKUP(A1443,Planilha2!B:C,2,0)</f>
        <v>INVERSOR CFW700E0180T4NB55C3DS</v>
      </c>
      <c r="C1443" t="s">
        <v>3170</v>
      </c>
      <c r="D1443" t="str">
        <f>VLOOKUP(A1443,Planilha2!B:H,7,0)</f>
        <v>OBSOLETOS DRIVES</v>
      </c>
      <c r="E1443" s="5">
        <v>100300</v>
      </c>
      <c r="F1443" t="str">
        <f>IFERROR(
IF(ISNUMBER(FIND("CFW110",B1443)),
VALUE(MID(B1443,FIND("CFW110",B1443)+6,FIND("T",B1443,FIND("CFW110",B1443))-(FIND("CFW110",B1443)+6))),
IF(ISNUMBER(FIND("D",B1443)),
VALUE(SUBSTITUTE(MID(B1443,FIND("D",B1443)+1,FIND("T",B1443,FIND("D",B1443))-(FIND("D",B1443)+1)),"P",",")),
IF(ISNUMBER(FIND("CFW5",B1443)),
VALUE(MID(B1443,
IF(ISNUMBER(FIND("F",B1443)),FIND("F",B1443)+1,FIND("G",B1443)+1),
FIND("T",B1443)-(IF(ISNUMBER(FIND("F",B1443)),FIND("F",B1443)+1,FIND("G",B1443)+1))
)),
VALUE(MID(B1443,FIND("E0",B1443)+2,FIND("T",B1443,FIND("E0",B1443))-(FIND("E0",B1443)+2)))
))),"")</f>
        <v/>
      </c>
      <c r="G1443">
        <f>IFERROR(
IF(ISNUMBER(FIND("T2",B1443)),220,
IF(ISNUMBER(FIND("T4",B1443)),440,
IF(ISNUMBER(FIND("T5",B1443)),575,
IF(ISNUMBER(FIND("T6",B1443)),690,"")))),
"")</f>
        <v>440</v>
      </c>
    </row>
    <row r="1444" spans="1:7" x14ac:dyDescent="0.25">
      <c r="A1444">
        <v>13921001</v>
      </c>
      <c r="B1444" t="str">
        <f>VLOOKUP(A1444,Planilha2!B:C,2,0)</f>
        <v>INVERSOR CFW700E0142T4NB55C3DS</v>
      </c>
      <c r="C1444" t="s">
        <v>3170</v>
      </c>
      <c r="D1444" t="str">
        <f>VLOOKUP(A1444,Planilha2!B:H,7,0)</f>
        <v>OBSOLETOS DRIVES</v>
      </c>
      <c r="E1444" s="5">
        <v>90200</v>
      </c>
      <c r="F1444" t="str">
        <f>IFERROR(
IF(ISNUMBER(FIND("CFW110",B1444)),
VALUE(MID(B1444,FIND("CFW110",B1444)+6,FIND("T",B1444,FIND("CFW110",B1444))-(FIND("CFW110",B1444)+6))),
IF(ISNUMBER(FIND("D",B1444)),
VALUE(SUBSTITUTE(MID(B1444,FIND("D",B1444)+1,FIND("T",B1444,FIND("D",B1444))-(FIND("D",B1444)+1)),"P",",")),
IF(ISNUMBER(FIND("CFW5",B1444)),
VALUE(MID(B1444,
IF(ISNUMBER(FIND("F",B1444)),FIND("F",B1444)+1,FIND("G",B1444)+1),
FIND("T",B1444)-(IF(ISNUMBER(FIND("F",B1444)),FIND("F",B1444)+1,FIND("G",B1444)+1))
)),
VALUE(MID(B1444,FIND("E0",B1444)+2,FIND("T",B1444,FIND("E0",B1444))-(FIND("E0",B1444)+2)))
))),"")</f>
        <v/>
      </c>
      <c r="G1444">
        <f>IFERROR(
IF(ISNUMBER(FIND("T2",B1444)),220,
IF(ISNUMBER(FIND("T4",B1444)),440,
IF(ISNUMBER(FIND("T5",B1444)),575,
IF(ISNUMBER(FIND("T6",B1444)),690,"")))),
"")</f>
        <v>440</v>
      </c>
    </row>
    <row r="1445" spans="1:7" x14ac:dyDescent="0.25">
      <c r="A1445">
        <v>13920722</v>
      </c>
      <c r="B1445" t="str">
        <f>VLOOKUP(A1445,Planilha2!B:C,2,0)</f>
        <v>INVERSOR CFW700E0211T4NB55C3</v>
      </c>
      <c r="C1445" t="s">
        <v>3170</v>
      </c>
      <c r="D1445" t="str">
        <f>VLOOKUP(A1445,Planilha2!B:H,7,0)</f>
        <v>OBSOLETOS DRIVES</v>
      </c>
      <c r="E1445" s="5">
        <v>98200</v>
      </c>
      <c r="F1445">
        <f>IFERROR(
IF(ISNUMBER(FIND("CFW110",B1445)),
VALUE(MID(B1445,FIND("CFW110",B1445)+6,FIND("T",B1445,FIND("CFW110",B1445))-(FIND("CFW110",B1445)+6))),
IF(ISNUMBER(FIND("D",B1445)),
VALUE(SUBSTITUTE(MID(B1445,FIND("D",B1445)+1,FIND("T",B1445,FIND("D",B1445))-(FIND("D",B1445)+1)),"P",",")),
IF(ISNUMBER(FIND("CFW5",B1445)),
VALUE(MID(B1445,
IF(ISNUMBER(FIND("F",B1445)),FIND("F",B1445)+1,FIND("G",B1445)+1),
FIND("T",B1445)-(IF(ISNUMBER(FIND("F",B1445)),FIND("F",B1445)+1,FIND("G",B1445)+1))
)),
VALUE(MID(B1445,FIND("E0",B1445)+2,FIND("T",B1445,FIND("E0",B1445))-(FIND("E0",B1445)+2)))
))),"")</f>
        <v>211</v>
      </c>
      <c r="G1445">
        <f>IFERROR(
IF(ISNUMBER(FIND("T2",B1445)),220,
IF(ISNUMBER(FIND("T4",B1445)),440,
IF(ISNUMBER(FIND("T5",B1445)),575,
IF(ISNUMBER(FIND("T6",B1445)),690,"")))),
"")</f>
        <v>440</v>
      </c>
    </row>
    <row r="1446" spans="1:7" x14ac:dyDescent="0.25">
      <c r="A1446">
        <v>13921000</v>
      </c>
      <c r="B1446" t="str">
        <f>VLOOKUP(A1446,Planilha2!B:C,2,0)</f>
        <v>INVERSOR CFW700E0105T4NB55C3DS</v>
      </c>
      <c r="C1446" t="s">
        <v>3170</v>
      </c>
      <c r="D1446" t="str">
        <f>VLOOKUP(A1446,Planilha2!B:H,7,0)</f>
        <v>OBSOLETOS DRIVES</v>
      </c>
      <c r="E1446" s="5">
        <v>87400</v>
      </c>
      <c r="F1446" t="str">
        <f>IFERROR(
IF(ISNUMBER(FIND("CFW110",B1446)),
VALUE(MID(B1446,FIND("CFW110",B1446)+6,FIND("T",B1446,FIND("CFW110",B1446))-(FIND("CFW110",B1446)+6))),
IF(ISNUMBER(FIND("D",B1446)),
VALUE(SUBSTITUTE(MID(B1446,FIND("D",B1446)+1,FIND("T",B1446,FIND("D",B1446))-(FIND("D",B1446)+1)),"P",",")),
IF(ISNUMBER(FIND("CFW5",B1446)),
VALUE(MID(B1446,
IF(ISNUMBER(FIND("F",B1446)),FIND("F",B1446)+1,FIND("G",B1446)+1),
FIND("T",B1446)-(IF(ISNUMBER(FIND("F",B1446)),FIND("F",B1446)+1,FIND("G",B1446)+1))
)),
VALUE(MID(B1446,FIND("E0",B1446)+2,FIND("T",B1446,FIND("E0",B1446))-(FIND("E0",B1446)+2)))
))),"")</f>
        <v/>
      </c>
      <c r="G1446">
        <f>IFERROR(
IF(ISNUMBER(FIND("T2",B1446)),220,
IF(ISNUMBER(FIND("T4",B1446)),440,
IF(ISNUMBER(FIND("T5",B1446)),575,
IF(ISNUMBER(FIND("T6",B1446)),690,"")))),
"")</f>
        <v>440</v>
      </c>
    </row>
    <row r="1447" spans="1:7" x14ac:dyDescent="0.25">
      <c r="A1447">
        <v>13920720</v>
      </c>
      <c r="B1447" t="str">
        <f>VLOOKUP(A1447,Planilha2!B:C,2,0)</f>
        <v>INVERSOR CFW700E0180T4NB55C3</v>
      </c>
      <c r="C1447" t="s">
        <v>3170</v>
      </c>
      <c r="D1447" t="str">
        <f>VLOOKUP(A1447,Planilha2!B:H,7,0)</f>
        <v>OBSOLETOS DRIVES</v>
      </c>
      <c r="E1447" s="5">
        <v>98200</v>
      </c>
      <c r="F1447">
        <f>IFERROR(
IF(ISNUMBER(FIND("CFW110",B1447)),
VALUE(MID(B1447,FIND("CFW110",B1447)+6,FIND("T",B1447,FIND("CFW110",B1447))-(FIND("CFW110",B1447)+6))),
IF(ISNUMBER(FIND("D",B1447)),
VALUE(SUBSTITUTE(MID(B1447,FIND("D",B1447)+1,FIND("T",B1447,FIND("D",B1447))-(FIND("D",B1447)+1)),"P",",")),
IF(ISNUMBER(FIND("CFW5",B1447)),
VALUE(MID(B1447,
IF(ISNUMBER(FIND("F",B1447)),FIND("F",B1447)+1,FIND("G",B1447)+1),
FIND("T",B1447)-(IF(ISNUMBER(FIND("F",B1447)),FIND("F",B1447)+1,FIND("G",B1447)+1))
)),
VALUE(MID(B1447,FIND("E0",B1447)+2,FIND("T",B1447,FIND("E0",B1447))-(FIND("E0",B1447)+2)))
))),"")</f>
        <v>180</v>
      </c>
      <c r="G1447">
        <f>IFERROR(
IF(ISNUMBER(FIND("T2",B1447)),220,
IF(ISNUMBER(FIND("T4",B1447)),440,
IF(ISNUMBER(FIND("T5",B1447)),575,
IF(ISNUMBER(FIND("T6",B1447)),690,"")))),
"")</f>
        <v>440</v>
      </c>
    </row>
    <row r="1448" spans="1:7" x14ac:dyDescent="0.25">
      <c r="A1448">
        <v>13920719</v>
      </c>
      <c r="B1448" t="str">
        <f>VLOOKUP(A1448,Planilha2!B:C,2,0)</f>
        <v>INVERSOR CFW700E0142T4NB55C3</v>
      </c>
      <c r="C1448" t="s">
        <v>3170</v>
      </c>
      <c r="D1448" t="str">
        <f>VLOOKUP(A1448,Planilha2!B:H,7,0)</f>
        <v>OBSOLETOS DRIVES</v>
      </c>
      <c r="E1448" s="5">
        <v>88100</v>
      </c>
      <c r="F1448">
        <f>IFERROR(
IF(ISNUMBER(FIND("CFW110",B1448)),
VALUE(MID(B1448,FIND("CFW110",B1448)+6,FIND("T",B1448,FIND("CFW110",B1448))-(FIND("CFW110",B1448)+6))),
IF(ISNUMBER(FIND("D",B1448)),
VALUE(SUBSTITUTE(MID(B1448,FIND("D",B1448)+1,FIND("T",B1448,FIND("D",B1448))-(FIND("D",B1448)+1)),"P",",")),
IF(ISNUMBER(FIND("CFW5",B1448)),
VALUE(MID(B1448,
IF(ISNUMBER(FIND("F",B1448)),FIND("F",B1448)+1,FIND("G",B1448)+1),
FIND("T",B1448)-(IF(ISNUMBER(FIND("F",B1448)),FIND("F",B1448)+1,FIND("G",B1448)+1))
)),
VALUE(MID(B1448,FIND("E0",B1448)+2,FIND("T",B1448,FIND("E0",B1448))-(FIND("E0",B1448)+2)))
))),"")</f>
        <v>142</v>
      </c>
      <c r="G1448">
        <f>IFERROR(
IF(ISNUMBER(FIND("T2",B1448)),220,
IF(ISNUMBER(FIND("T4",B1448)),440,
IF(ISNUMBER(FIND("T5",B1448)),575,
IF(ISNUMBER(FIND("T6",B1448)),690,"")))),
"")</f>
        <v>440</v>
      </c>
    </row>
    <row r="1449" spans="1:7" x14ac:dyDescent="0.25">
      <c r="A1449">
        <v>14077911</v>
      </c>
      <c r="B1449" t="str">
        <f>VLOOKUP(A1449,Planilha2!B:C,2,0)</f>
        <v>INVERSOR CFW700E0107T5NB20C3Y1HASC</v>
      </c>
      <c r="C1449" t="s">
        <v>3170</v>
      </c>
      <c r="D1449" t="str">
        <f>VLOOKUP(A1449,Planilha2!B:H,7,0)</f>
        <v>OBSOLETOS DRIVES</v>
      </c>
      <c r="E1449" s="5">
        <v>65308</v>
      </c>
      <c r="F1449">
        <f>IFERROR(
IF(ISNUMBER(FIND("CFW110",B1449)),
VALUE(MID(B1449,FIND("CFW110",B1449)+6,FIND("T",B1449,FIND("CFW110",B1449))-(FIND("CFW110",B1449)+6))),
IF(ISNUMBER(FIND("D",B1449)),
VALUE(SUBSTITUTE(MID(B1449,FIND("D",B1449)+1,FIND("T",B1449,FIND("D",B1449))-(FIND("D",B1449)+1)),"P",",")),
IF(ISNUMBER(FIND("CFW5",B1449)),
VALUE(MID(B1449,
IF(ISNUMBER(FIND("F",B1449)),FIND("F",B1449)+1,FIND("G",B1449)+1),
FIND("T",B1449)-(IF(ISNUMBER(FIND("F",B1449)),FIND("F",B1449)+1,FIND("G",B1449)+1))
)),
VALUE(MID(B1449,FIND("E0",B1449)+2,FIND("T",B1449,FIND("E0",B1449))-(FIND("E0",B1449)+2)))
))),"")</f>
        <v>107</v>
      </c>
      <c r="G1449">
        <f>IFERROR(
IF(ISNUMBER(FIND("T2",B1449)),220,
IF(ISNUMBER(FIND("T4",B1449)),440,
IF(ISNUMBER(FIND("T5",B1449)),575,
IF(ISNUMBER(FIND("T6",B1449)),690,"")))),
"")</f>
        <v>575</v>
      </c>
    </row>
    <row r="1450" spans="1:7" x14ac:dyDescent="0.25">
      <c r="A1450">
        <v>14149109</v>
      </c>
      <c r="B1450" t="str">
        <f>VLOOKUP(A1450,Planilha2!B:C,2,0)</f>
        <v>INVERSOR BRCFW110477T4ORBWZ-UI</v>
      </c>
      <c r="C1450" t="s">
        <v>3170</v>
      </c>
      <c r="D1450" t="str">
        <f>VLOOKUP(A1450,Planilha2!B:H,7,0)</f>
        <v>LINHA G3</v>
      </c>
      <c r="E1450" s="5">
        <v>140598</v>
      </c>
      <c r="F1450">
        <f>IFERROR(
IF(ISNUMBER(FIND("CFW110",B1450)),
VALUE(MID(B1450,FIND("CFW110",B1450)+6,FIND("T",B1450,FIND("CFW110",B1450))-(FIND("CFW110",B1450)+6))),
IF(ISNUMBER(FIND("D",B1450)),
VALUE(SUBSTITUTE(MID(B1450,FIND("D",B1450)+1,FIND("T",B1450,FIND("D",B1450))-(FIND("D",B1450)+1)),"P",",")),
IF(ISNUMBER(FIND("CFW5",B1450)),
VALUE(MID(B1450,
IF(ISNUMBER(FIND("F",B1450)),FIND("F",B1450)+1,FIND("G",B1450)+1),
FIND("T",B1450)-(IF(ISNUMBER(FIND("F",B1450)),FIND("F",B1450)+1,FIND("G",B1450)+1))
)),
VALUE(MID(B1450,FIND("E0",B1450)+2,FIND("T",B1450,FIND("E0",B1450))-(FIND("E0",B1450)+2)))
))),"")</f>
        <v>477</v>
      </c>
      <c r="G1450">
        <f>IFERROR(
IF(ISNUMBER(FIND("T2",B1450)),220,
IF(ISNUMBER(FIND("T4",B1450)),440,
IF(ISNUMBER(FIND("T5",B1450)),575,
IF(ISNUMBER(FIND("T6",B1450)),690,"")))),
"")</f>
        <v>440</v>
      </c>
    </row>
    <row r="1451" spans="1:7" x14ac:dyDescent="0.25">
      <c r="A1451">
        <v>13893194</v>
      </c>
      <c r="B1451" t="str">
        <f>VLOOKUP(A1451,Planilha2!B:C,2,0)</f>
        <v>INVERSOR CFW110211T4OHALS9Z</v>
      </c>
      <c r="C1451" t="s">
        <v>3170</v>
      </c>
      <c r="D1451" t="str">
        <f>VLOOKUP(A1451,Planilha2!B:H,7,0)</f>
        <v>LINHA G1</v>
      </c>
      <c r="E1451" s="5">
        <v>68075</v>
      </c>
      <c r="F1451">
        <f>IFERROR(
IF(ISNUMBER(FIND("CFW110",B1451)),
VALUE(MID(B1451,FIND("CFW110",B1451)+6,FIND("T",B1451,FIND("CFW110",B1451))-(FIND("CFW110",B1451)+6))),
IF(ISNUMBER(FIND("D",B1451)),
VALUE(SUBSTITUTE(MID(B1451,FIND("D",B1451)+1,FIND("T",B1451,FIND("D",B1451))-(FIND("D",B1451)+1)),"P",",")),
IF(ISNUMBER(FIND("CFW5",B1451)),
VALUE(MID(B1451,
IF(ISNUMBER(FIND("F",B1451)),FIND("F",B1451)+1,FIND("G",B1451)+1),
FIND("T",B1451)-(IF(ISNUMBER(FIND("F",B1451)),FIND("F",B1451)+1,FIND("G",B1451)+1))
)),
VALUE(MID(B1451,FIND("E0",B1451)+2,FIND("T",B1451,FIND("E0",B1451))-(FIND("E0",B1451)+2)))
))),"")</f>
        <v>211</v>
      </c>
      <c r="G1451">
        <f>IFERROR(
IF(ISNUMBER(FIND("T2",B1451)),220,
IF(ISNUMBER(FIND("T4",B1451)),440,
IF(ISNUMBER(FIND("T5",B1451)),575,
IF(ISNUMBER(FIND("T6",B1451)),690,"")))),
"")</f>
        <v>440</v>
      </c>
    </row>
    <row r="1452" spans="1:7" x14ac:dyDescent="0.25">
      <c r="A1452">
        <v>13893192</v>
      </c>
      <c r="B1452" t="str">
        <f>VLOOKUP(A1452,Planilha2!B:C,2,0)</f>
        <v>INVERSOR BRCFW110180T4OHALS9Z</v>
      </c>
      <c r="C1452" t="s">
        <v>3170</v>
      </c>
      <c r="D1452" t="str">
        <f>VLOOKUP(A1452,Planilha2!B:H,7,0)</f>
        <v>LINHA G1</v>
      </c>
      <c r="E1452" s="5">
        <v>65175</v>
      </c>
      <c r="F1452">
        <f>IFERROR(
IF(ISNUMBER(FIND("CFW110",B1452)),
VALUE(MID(B1452,FIND("CFW110",B1452)+6,FIND("T",B1452,FIND("CFW110",B1452))-(FIND("CFW110",B1452)+6))),
IF(ISNUMBER(FIND("D",B1452)),
VALUE(SUBSTITUTE(MID(B1452,FIND("D",B1452)+1,FIND("T",B1452,FIND("D",B1452))-(FIND("D",B1452)+1)),"P",",")),
IF(ISNUMBER(FIND("CFW5",B1452)),
VALUE(MID(B1452,
IF(ISNUMBER(FIND("F",B1452)),FIND("F",B1452)+1,FIND("G",B1452)+1),
FIND("T",B1452)-(IF(ISNUMBER(FIND("F",B1452)),FIND("F",B1452)+1,FIND("G",B1452)+1))
)),
VALUE(MID(B1452,FIND("E0",B1452)+2,FIND("T",B1452,FIND("E0",B1452))-(FIND("E0",B1452)+2)))
))),"")</f>
        <v>180</v>
      </c>
      <c r="G1452">
        <f>IFERROR(
IF(ISNUMBER(FIND("T2",B1452)),220,
IF(ISNUMBER(FIND("T4",B1452)),440,
IF(ISNUMBER(FIND("T5",B1452)),575,
IF(ISNUMBER(FIND("T6",B1452)),690,"")))),
"")</f>
        <v>440</v>
      </c>
    </row>
    <row r="1453" spans="1:7" x14ac:dyDescent="0.25">
      <c r="A1453">
        <v>13893191</v>
      </c>
      <c r="B1453" t="str">
        <f>VLOOKUP(A1453,Planilha2!B:C,2,0)</f>
        <v>INVERSOR CFW110142T4OHALS9Z</v>
      </c>
      <c r="C1453" t="s">
        <v>3170</v>
      </c>
      <c r="D1453" t="str">
        <f>VLOOKUP(A1453,Planilha2!B:H,7,0)</f>
        <v>LINHA G1</v>
      </c>
      <c r="E1453" s="5">
        <v>64385</v>
      </c>
      <c r="F1453">
        <f>IFERROR(
IF(ISNUMBER(FIND("CFW110",B1453)),
VALUE(MID(B1453,FIND("CFW110",B1453)+6,FIND("T",B1453,FIND("CFW110",B1453))-(FIND("CFW110",B1453)+6))),
IF(ISNUMBER(FIND("D",B1453)),
VALUE(SUBSTITUTE(MID(B1453,FIND("D",B1453)+1,FIND("T",B1453,FIND("D",B1453))-(FIND("D",B1453)+1)),"P",",")),
IF(ISNUMBER(FIND("CFW5",B1453)),
VALUE(MID(B1453,
IF(ISNUMBER(FIND("F",B1453)),FIND("F",B1453)+1,FIND("G",B1453)+1),
FIND("T",B1453)-(IF(ISNUMBER(FIND("F",B1453)),FIND("F",B1453)+1,FIND("G",B1453)+1))
)),
VALUE(MID(B1453,FIND("E0",B1453)+2,FIND("T",B1453,FIND("E0",B1453))-(FIND("E0",B1453)+2)))
))),"")</f>
        <v>142</v>
      </c>
      <c r="G1453">
        <f>IFERROR(
IF(ISNUMBER(FIND("T2",B1453)),220,
IF(ISNUMBER(FIND("T4",B1453)),440,
IF(ISNUMBER(FIND("T5",B1453)),575,
IF(ISNUMBER(FIND("T6",B1453)),690,"")))),
"")</f>
        <v>440</v>
      </c>
    </row>
    <row r="1454" spans="1:7" x14ac:dyDescent="0.25">
      <c r="A1454">
        <v>13893189</v>
      </c>
      <c r="B1454" t="str">
        <f>VLOOKUP(A1454,Planilha2!B:C,2,0)</f>
        <v>INVERSOR BRCFW110105T4OHALS9Z</v>
      </c>
      <c r="C1454" t="s">
        <v>3170</v>
      </c>
      <c r="D1454" t="str">
        <f>VLOOKUP(A1454,Planilha2!B:H,7,0)</f>
        <v>LINHA G1</v>
      </c>
      <c r="E1454" s="5">
        <v>64388</v>
      </c>
      <c r="F1454">
        <f>IFERROR(
IF(ISNUMBER(FIND("CFW110",B1454)),
VALUE(MID(B1454,FIND("CFW110",B1454)+6,FIND("T",B1454,FIND("CFW110",B1454))-(FIND("CFW110",B1454)+6))),
IF(ISNUMBER(FIND("D",B1454)),
VALUE(SUBSTITUTE(MID(B1454,FIND("D",B1454)+1,FIND("T",B1454,FIND("D",B1454))-(FIND("D",B1454)+1)),"P",",")),
IF(ISNUMBER(FIND("CFW5",B1454)),
VALUE(MID(B1454,
IF(ISNUMBER(FIND("F",B1454)),FIND("F",B1454)+1,FIND("G",B1454)+1),
FIND("T",B1454)-(IF(ISNUMBER(FIND("F",B1454)),FIND("F",B1454)+1,FIND("G",B1454)+1))
)),
VALUE(MID(B1454,FIND("E0",B1454)+2,FIND("T",B1454,FIND("E0",B1454))-(FIND("E0",B1454)+2)))
))),"")</f>
        <v>105</v>
      </c>
      <c r="G1454">
        <f>IFERROR(
IF(ISNUMBER(FIND("T2",B1454)),220,
IF(ISNUMBER(FIND("T4",B1454)),440,
IF(ISNUMBER(FIND("T5",B1454)),575,
IF(ISNUMBER(FIND("T6",B1454)),690,"")))),
"")</f>
        <v>440</v>
      </c>
    </row>
    <row r="1455" spans="1:7" x14ac:dyDescent="0.25">
      <c r="A1455">
        <v>13887722</v>
      </c>
      <c r="B1455" t="str">
        <f>VLOOKUP(A1455,Planilha2!B:C,2,0)</f>
        <v>INVERSOR CFW110211T4ODBHALS9Z</v>
      </c>
      <c r="C1455" t="s">
        <v>3170</v>
      </c>
      <c r="D1455" t="str">
        <f>VLOOKUP(A1455,Planilha2!B:H,7,0)</f>
        <v>LINHA G1</v>
      </c>
      <c r="E1455" s="5">
        <v>69283</v>
      </c>
      <c r="F1455">
        <f>IFERROR(
IF(ISNUMBER(FIND("CFW110",B1455)),
VALUE(MID(B1455,FIND("CFW110",B1455)+6,FIND("T",B1455,FIND("CFW110",B1455))-(FIND("CFW110",B1455)+6))),
IF(ISNUMBER(FIND("D",B1455)),
VALUE(SUBSTITUTE(MID(B1455,FIND("D",B1455)+1,FIND("T",B1455,FIND("D",B1455))-(FIND("D",B1455)+1)),"P",",")),
IF(ISNUMBER(FIND("CFW5",B1455)),
VALUE(MID(B1455,
IF(ISNUMBER(FIND("F",B1455)),FIND("F",B1455)+1,FIND("G",B1455)+1),
FIND("T",B1455)-(IF(ISNUMBER(FIND("F",B1455)),FIND("F",B1455)+1,FIND("G",B1455)+1))
)),
VALUE(MID(B1455,FIND("E0",B1455)+2,FIND("T",B1455,FIND("E0",B1455))-(FIND("E0",B1455)+2)))
))),"")</f>
        <v>211</v>
      </c>
      <c r="G1455">
        <f>IFERROR(
IF(ISNUMBER(FIND("T2",B1455)),220,
IF(ISNUMBER(FIND("T4",B1455)),440,
IF(ISNUMBER(FIND("T5",B1455)),575,
IF(ISNUMBER(FIND("T6",B1455)),690,"")))),
"")</f>
        <v>440</v>
      </c>
    </row>
    <row r="1456" spans="1:7" x14ac:dyDescent="0.25">
      <c r="A1456">
        <v>13887664</v>
      </c>
      <c r="B1456" t="str">
        <f>VLOOKUP(A1456,Planilha2!B:C,2,0)</f>
        <v>INVERSOR BRCFW110105T4ODBHALS9Z</v>
      </c>
      <c r="C1456" t="s">
        <v>3170</v>
      </c>
      <c r="D1456" t="str">
        <f>VLOOKUP(A1456,Planilha2!B:H,7,0)</f>
        <v>LINHA G1</v>
      </c>
      <c r="E1456" s="5">
        <v>64385</v>
      </c>
      <c r="F1456">
        <f>IFERROR(
IF(ISNUMBER(FIND("CFW110",B1456)),
VALUE(MID(B1456,FIND("CFW110",B1456)+6,FIND("T",B1456,FIND("CFW110",B1456))-(FIND("CFW110",B1456)+6))),
IF(ISNUMBER(FIND("D",B1456)),
VALUE(SUBSTITUTE(MID(B1456,FIND("D",B1456)+1,FIND("T",B1456,FIND("D",B1456))-(FIND("D",B1456)+1)),"P",",")),
IF(ISNUMBER(FIND("CFW5",B1456)),
VALUE(MID(B1456,
IF(ISNUMBER(FIND("F",B1456)),FIND("F",B1456)+1,FIND("G",B1456)+1),
FIND("T",B1456)-(IF(ISNUMBER(FIND("F",B1456)),FIND("F",B1456)+1,FIND("G",B1456)+1))
)),
VALUE(MID(B1456,FIND("E0",B1456)+2,FIND("T",B1456,FIND("E0",B1456))-(FIND("E0",B1456)+2)))
))),"")</f>
        <v>105</v>
      </c>
      <c r="G1456">
        <f>IFERROR(
IF(ISNUMBER(FIND("T2",B1456)),220,
IF(ISNUMBER(FIND("T4",B1456)),440,
IF(ISNUMBER(FIND("T5",B1456)),575,
IF(ISNUMBER(FIND("T6",B1456)),690,"")))),
"")</f>
        <v>440</v>
      </c>
    </row>
    <row r="1457" spans="1:7" x14ac:dyDescent="0.25">
      <c r="A1457">
        <v>14207429</v>
      </c>
      <c r="B1457" t="str">
        <f>VLOOKUP(A1457,Planilha2!B:C,2,0)</f>
        <v>INVERSOR BRCFW110105T4OSSZ</v>
      </c>
      <c r="C1457" t="s">
        <v>3170</v>
      </c>
      <c r="D1457" t="str">
        <f>VLOOKUP(A1457,Planilha2!B:H,7,0)</f>
        <v>LINHA G1</v>
      </c>
      <c r="E1457" s="5">
        <v>64213</v>
      </c>
      <c r="F1457">
        <f>IFERROR(
IF(ISNUMBER(FIND("CFW110",B1457)),
VALUE(MID(B1457,FIND("CFW110",B1457)+6,FIND("T",B1457,FIND("CFW110",B1457))-(FIND("CFW110",B1457)+6))),
IF(ISNUMBER(FIND("D",B1457)),
VALUE(SUBSTITUTE(MID(B1457,FIND("D",B1457)+1,FIND("T",B1457,FIND("D",B1457))-(FIND("D",B1457)+1)),"P",",")),
IF(ISNUMBER(FIND("CFW5",B1457)),
VALUE(MID(B1457,
IF(ISNUMBER(FIND("F",B1457)),FIND("F",B1457)+1,FIND("G",B1457)+1),
FIND("T",B1457)-(IF(ISNUMBER(FIND("F",B1457)),FIND("F",B1457)+1,FIND("G",B1457)+1))
)),
VALUE(MID(B1457,FIND("E0",B1457)+2,FIND("T",B1457,FIND("E0",B1457))-(FIND("E0",B1457)+2)))
))),"")</f>
        <v>105</v>
      </c>
      <c r="G1457">
        <f>IFERROR(
IF(ISNUMBER(FIND("T2",B1457)),220,
IF(ISNUMBER(FIND("T4",B1457)),440,
IF(ISNUMBER(FIND("T5",B1457)),575,
IF(ISNUMBER(FIND("T6",B1457)),690,"")))),
"")</f>
        <v>440</v>
      </c>
    </row>
    <row r="1458" spans="1:7" x14ac:dyDescent="0.25">
      <c r="A1458">
        <v>14192784</v>
      </c>
      <c r="B1458" t="str">
        <f>VLOOKUP(A1458,Planilha2!B:C,2,0)</f>
        <v>INVERSOR BRCFW110142T4OSFZ</v>
      </c>
      <c r="C1458" t="s">
        <v>3170</v>
      </c>
      <c r="D1458" t="str">
        <f>VLOOKUP(A1458,Planilha2!B:H,7,0)</f>
        <v>LINHA G1</v>
      </c>
      <c r="E1458" s="5">
        <v>64210</v>
      </c>
      <c r="F1458">
        <f>IFERROR(
IF(ISNUMBER(FIND("CFW110",B1458)),
VALUE(MID(B1458,FIND("CFW110",B1458)+6,FIND("T",B1458,FIND("CFW110",B1458))-(FIND("CFW110",B1458)+6))),
IF(ISNUMBER(FIND("D",B1458)),
VALUE(SUBSTITUTE(MID(B1458,FIND("D",B1458)+1,FIND("T",B1458,FIND("D",B1458))-(FIND("D",B1458)+1)),"P",",")),
IF(ISNUMBER(FIND("CFW5",B1458)),
VALUE(MID(B1458,
IF(ISNUMBER(FIND("F",B1458)),FIND("F",B1458)+1,FIND("G",B1458)+1),
FIND("T",B1458)-(IF(ISNUMBER(FIND("F",B1458)),FIND("F",B1458)+1,FIND("G",B1458)+1))
)),
VALUE(MID(B1458,FIND("E0",B1458)+2,FIND("T",B1458,FIND("E0",B1458))-(FIND("E0",B1458)+2)))
))),"")</f>
        <v>142</v>
      </c>
      <c r="G1458">
        <f>IFERROR(
IF(ISNUMBER(FIND("T2",B1458)),220,
IF(ISNUMBER(FIND("T4",B1458)),440,
IF(ISNUMBER(FIND("T5",B1458)),575,
IF(ISNUMBER(FIND("T6",B1458)),690,"")))),
"")</f>
        <v>440</v>
      </c>
    </row>
    <row r="1459" spans="1:7" x14ac:dyDescent="0.25">
      <c r="A1459">
        <v>14124979</v>
      </c>
      <c r="B1459" t="str">
        <f>VLOOKUP(A1459,Planilha2!B:C,2,0)</f>
        <v>INVERSOR BRCFW110211T4OYSGZ</v>
      </c>
      <c r="C1459" t="s">
        <v>3170</v>
      </c>
      <c r="D1459" t="str">
        <f>VLOOKUP(A1459,Planilha2!B:H,7,0)</f>
        <v>LINHA G1</v>
      </c>
      <c r="E1459" s="5">
        <v>59360</v>
      </c>
      <c r="F1459">
        <f>IFERROR(
IF(ISNUMBER(FIND("CFW110",B1459)),
VALUE(MID(B1459,FIND("CFW110",B1459)+6,FIND("T",B1459,FIND("CFW110",B1459))-(FIND("CFW110",B1459)+6))),
IF(ISNUMBER(FIND("D",B1459)),
VALUE(SUBSTITUTE(MID(B1459,FIND("D",B1459)+1,FIND("T",B1459,FIND("D",B1459))-(FIND("D",B1459)+1)),"P",",")),
IF(ISNUMBER(FIND("CFW5",B1459)),
VALUE(MID(B1459,
IF(ISNUMBER(FIND("F",B1459)),FIND("F",B1459)+1,FIND("G",B1459)+1),
FIND("T",B1459)-(IF(ISNUMBER(FIND("F",B1459)),FIND("F",B1459)+1,FIND("G",B1459)+1))
)),
VALUE(MID(B1459,FIND("E0",B1459)+2,FIND("T",B1459,FIND("E0",B1459))-(FIND("E0",B1459)+2)))
))),"")</f>
        <v>211</v>
      </c>
      <c r="G1459">
        <f>IFERROR(
IF(ISNUMBER(FIND("T2",B1459)),220,
IF(ISNUMBER(FIND("T4",B1459)),440,
IF(ISNUMBER(FIND("T5",B1459)),575,
IF(ISNUMBER(FIND("T6",B1459)),690,"")))),
"")</f>
        <v>440</v>
      </c>
    </row>
    <row r="1460" spans="1:7" x14ac:dyDescent="0.25">
      <c r="A1460">
        <v>14124978</v>
      </c>
      <c r="B1460" t="str">
        <f>VLOOKUP(A1460,Planilha2!B:C,2,0)</f>
        <v>INVERSOR BRCFW110180T4OYSGZ</v>
      </c>
      <c r="C1460" t="s">
        <v>3170</v>
      </c>
      <c r="D1460" t="str">
        <f>VLOOKUP(A1460,Planilha2!B:H,7,0)</f>
        <v>LINHA G1</v>
      </c>
      <c r="E1460" s="5">
        <v>59360</v>
      </c>
      <c r="F1460">
        <f>IFERROR(
IF(ISNUMBER(FIND("CFW110",B1460)),
VALUE(MID(B1460,FIND("CFW110",B1460)+6,FIND("T",B1460,FIND("CFW110",B1460))-(FIND("CFW110",B1460)+6))),
IF(ISNUMBER(FIND("D",B1460)),
VALUE(SUBSTITUTE(MID(B1460,FIND("D",B1460)+1,FIND("T",B1460,FIND("D",B1460))-(FIND("D",B1460)+1)),"P",",")),
IF(ISNUMBER(FIND("CFW5",B1460)),
VALUE(MID(B1460,
IF(ISNUMBER(FIND("F",B1460)),FIND("F",B1460)+1,FIND("G",B1460)+1),
FIND("T",B1460)-(IF(ISNUMBER(FIND("F",B1460)),FIND("F",B1460)+1,FIND("G",B1460)+1))
)),
VALUE(MID(B1460,FIND("E0",B1460)+2,FIND("T",B1460,FIND("E0",B1460))-(FIND("E0",B1460)+2)))
))),"")</f>
        <v>180</v>
      </c>
      <c r="G1460">
        <f>IFERROR(
IF(ISNUMBER(FIND("T2",B1460)),220,
IF(ISNUMBER(FIND("T4",B1460)),440,
IF(ISNUMBER(FIND("T5",B1460)),575,
IF(ISNUMBER(FIND("T6",B1460)),690,"")))),
"")</f>
        <v>440</v>
      </c>
    </row>
    <row r="1461" spans="1:7" x14ac:dyDescent="0.25">
      <c r="A1461">
        <v>13887719</v>
      </c>
      <c r="B1461" t="str">
        <f>VLOOKUP(A1461,Planilha2!B:C,2,0)</f>
        <v>INVERSOR CFW110180T4ODBHALS9Z</v>
      </c>
      <c r="C1461" t="s">
        <v>3170</v>
      </c>
      <c r="D1461" t="str">
        <f>VLOOKUP(A1461,Planilha2!B:H,7,0)</f>
        <v>LINHA G1</v>
      </c>
      <c r="E1461" s="5">
        <v>68275</v>
      </c>
      <c r="F1461">
        <f>IFERROR(
IF(ISNUMBER(FIND("CFW110",B1461)),
VALUE(MID(B1461,FIND("CFW110",B1461)+6,FIND("T",B1461,FIND("CFW110",B1461))-(FIND("CFW110",B1461)+6))),
IF(ISNUMBER(FIND("D",B1461)),
VALUE(SUBSTITUTE(MID(B1461,FIND("D",B1461)+1,FIND("T",B1461,FIND("D",B1461))-(FIND("D",B1461)+1)),"P",",")),
IF(ISNUMBER(FIND("CFW5",B1461)),
VALUE(MID(B1461,
IF(ISNUMBER(FIND("F",B1461)),FIND("F",B1461)+1,FIND("G",B1461)+1),
FIND("T",B1461)-(IF(ISNUMBER(FIND("F",B1461)),FIND("F",B1461)+1,FIND("G",B1461)+1))
)),
VALUE(MID(B1461,FIND("E0",B1461)+2,FIND("T",B1461,FIND("E0",B1461))-(FIND("E0",B1461)+2)))
))),"")</f>
        <v>180</v>
      </c>
      <c r="G1461">
        <f>IFERROR(
IF(ISNUMBER(FIND("T2",B1461)),220,
IF(ISNUMBER(FIND("T4",B1461)),440,
IF(ISNUMBER(FIND("T5",B1461)),575,
IF(ISNUMBER(FIND("T6",B1461)),690,"")))),
"")</f>
        <v>440</v>
      </c>
    </row>
    <row r="1462" spans="1:7" x14ac:dyDescent="0.25">
      <c r="A1462">
        <v>14080463</v>
      </c>
      <c r="B1462" t="str">
        <f>VLOOKUP(A1462,Planilha2!B:C,2,0)</f>
        <v>INVERSOR CFW700E0211T2DB20C3HIR</v>
      </c>
      <c r="C1462" t="s">
        <v>3170</v>
      </c>
      <c r="D1462" t="str">
        <f>VLOOKUP(A1462,Planilha2!B:H,7,0)</f>
        <v>OBSOLETOS DRIVES</v>
      </c>
      <c r="E1462" s="5">
        <v>65308</v>
      </c>
      <c r="F1462" t="str">
        <f>IFERROR(
IF(ISNUMBER(FIND("CFW110",B1462)),
VALUE(MID(B1462,FIND("CFW110",B1462)+6,FIND("T",B1462,FIND("CFW110",B1462))-(FIND("CFW110",B1462)+6))),
IF(ISNUMBER(FIND("D",B1462)),
VALUE(SUBSTITUTE(MID(B1462,FIND("D",B1462)+1,FIND("T",B1462,FIND("D",B1462))-(FIND("D",B1462)+1)),"P",",")),
IF(ISNUMBER(FIND("CFW5",B1462)),
VALUE(MID(B1462,
IF(ISNUMBER(FIND("F",B1462)),FIND("F",B1462)+1,FIND("G",B1462)+1),
FIND("T",B1462)-(IF(ISNUMBER(FIND("F",B1462)),FIND("F",B1462)+1,FIND("G",B1462)+1))
)),
VALUE(MID(B1462,FIND("E0",B1462)+2,FIND("T",B1462,FIND("E0",B1462))-(FIND("E0",B1462)+2)))
))),"")</f>
        <v/>
      </c>
      <c r="G1462">
        <f>IFERROR(
IF(ISNUMBER(FIND("T2",B1462)),220,
IF(ISNUMBER(FIND("T4",B1462)),440,
IF(ISNUMBER(FIND("T5",B1462)),575,
IF(ISNUMBER(FIND("T6",B1462)),690,"")))),
"")</f>
        <v>220</v>
      </c>
    </row>
    <row r="1463" spans="1:7" x14ac:dyDescent="0.25">
      <c r="A1463">
        <v>14237640</v>
      </c>
      <c r="B1463" t="str">
        <f>VLOOKUP(A1463,Planilha2!B:C,2,0)</f>
        <v>INVERSOR BRCFW110105T4OSFZ-UI</v>
      </c>
      <c r="C1463" t="s">
        <v>3170</v>
      </c>
      <c r="D1463" t="str">
        <f>VLOOKUP(A1463,Planilha2!B:H,7,0)</f>
        <v>LINHA G1</v>
      </c>
      <c r="E1463" s="5">
        <v>64213</v>
      </c>
      <c r="F1463">
        <f>IFERROR(
IF(ISNUMBER(FIND("CFW110",B1463)),
VALUE(MID(B1463,FIND("CFW110",B1463)+6,FIND("T",B1463,FIND("CFW110",B1463))-(FIND("CFW110",B1463)+6))),
IF(ISNUMBER(FIND("D",B1463)),
VALUE(SUBSTITUTE(MID(B1463,FIND("D",B1463)+1,FIND("T",B1463,FIND("D",B1463))-(FIND("D",B1463)+1)),"P",",")),
IF(ISNUMBER(FIND("CFW5",B1463)),
VALUE(MID(B1463,
IF(ISNUMBER(FIND("F",B1463)),FIND("F",B1463)+1,FIND("G",B1463)+1),
FIND("T",B1463)-(IF(ISNUMBER(FIND("F",B1463)),FIND("F",B1463)+1,FIND("G",B1463)+1))
)),
VALUE(MID(B1463,FIND("E0",B1463)+2,FIND("T",B1463,FIND("E0",B1463))-(FIND("E0",B1463)+2)))
))),"")</f>
        <v>105</v>
      </c>
      <c r="G1463">
        <f>IFERROR(
IF(ISNUMBER(FIND("T2",B1463)),220,
IF(ISNUMBER(FIND("T4",B1463)),440,
IF(ISNUMBER(FIND("T5",B1463)),575,
IF(ISNUMBER(FIND("T6",B1463)),690,"")))),
"")</f>
        <v>440</v>
      </c>
    </row>
    <row r="1464" spans="1:7" x14ac:dyDescent="0.25">
      <c r="A1464">
        <v>14192783</v>
      </c>
      <c r="B1464" t="str">
        <f>VLOOKUP(A1464,Planilha2!B:C,2,0)</f>
        <v>INVERSOR BRCFW110105T4OSFZ</v>
      </c>
      <c r="C1464" t="s">
        <v>3170</v>
      </c>
      <c r="D1464" t="str">
        <f>VLOOKUP(A1464,Planilha2!B:H,7,0)</f>
        <v>LINHA G1</v>
      </c>
      <c r="E1464" s="5">
        <v>60360</v>
      </c>
      <c r="F1464">
        <f>IFERROR(
IF(ISNUMBER(FIND("CFW110",B1464)),
VALUE(MID(B1464,FIND("CFW110",B1464)+6,FIND("T",B1464,FIND("CFW110",B1464))-(FIND("CFW110",B1464)+6))),
IF(ISNUMBER(FIND("D",B1464)),
VALUE(SUBSTITUTE(MID(B1464,FIND("D",B1464)+1,FIND("T",B1464,FIND("D",B1464))-(FIND("D",B1464)+1)),"P",",")),
IF(ISNUMBER(FIND("CFW5",B1464)),
VALUE(MID(B1464,
IF(ISNUMBER(FIND("F",B1464)),FIND("F",B1464)+1,FIND("G",B1464)+1),
FIND("T",B1464)-(IF(ISNUMBER(FIND("F",B1464)),FIND("F",B1464)+1,FIND("G",B1464)+1))
)),
VALUE(MID(B1464,FIND("E0",B1464)+2,FIND("T",B1464,FIND("E0",B1464))-(FIND("E0",B1464)+2)))
))),"")</f>
        <v>105</v>
      </c>
      <c r="G1464">
        <f>IFERROR(
IF(ISNUMBER(FIND("T2",B1464)),220,
IF(ISNUMBER(FIND("T4",B1464)),440,
IF(ISNUMBER(FIND("T5",B1464)),575,
IF(ISNUMBER(FIND("T6",B1464)),690,"")))),
"")</f>
        <v>440</v>
      </c>
    </row>
    <row r="1465" spans="1:7" x14ac:dyDescent="0.25">
      <c r="A1465">
        <v>12873256</v>
      </c>
      <c r="B1465" t="str">
        <f>VLOOKUP(A1465,Planilha2!B:C,2,0)</f>
        <v>INVERSOR BCCFW110142T4ODBHESEZ</v>
      </c>
      <c r="C1465" t="s">
        <v>3170</v>
      </c>
      <c r="D1465" t="str">
        <f>VLOOKUP(A1465,Planilha2!B:H,7,0)</f>
        <v>LINHA G1</v>
      </c>
      <c r="E1465" s="5">
        <v>65380</v>
      </c>
      <c r="F1465">
        <f>IFERROR(
IF(ISNUMBER(FIND("CFW110",B1465)),
VALUE(MID(B1465,FIND("CFW110",B1465)+6,FIND("T",B1465,FIND("CFW110",B1465))-(FIND("CFW110",B1465)+6))),
IF(ISNUMBER(FIND("D",B1465)),
VALUE(SUBSTITUTE(MID(B1465,FIND("D",B1465)+1,FIND("T",B1465,FIND("D",B1465))-(FIND("D",B1465)+1)),"P",",")),
IF(ISNUMBER(FIND("CFW5",B1465)),
VALUE(MID(B1465,
IF(ISNUMBER(FIND("F",B1465)),FIND("F",B1465)+1,FIND("G",B1465)+1),
FIND("T",B1465)-(IF(ISNUMBER(FIND("F",B1465)),FIND("F",B1465)+1,FIND("G",B1465)+1))
)),
VALUE(MID(B1465,FIND("E0",B1465)+2,FIND("T",B1465,FIND("E0",B1465))-(FIND("E0",B1465)+2)))
))),"")</f>
        <v>142</v>
      </c>
      <c r="G1465">
        <f>IFERROR(
IF(ISNUMBER(FIND("T2",B1465)),220,
IF(ISNUMBER(FIND("T4",B1465)),440,
IF(ISNUMBER(FIND("T5",B1465)),575,
IF(ISNUMBER(FIND("T6",B1465)),690,"")))),
"")</f>
        <v>440</v>
      </c>
    </row>
    <row r="1466" spans="1:7" x14ac:dyDescent="0.25">
      <c r="A1466">
        <v>11988627</v>
      </c>
      <c r="B1466" t="str">
        <f>VLOOKUP(A1466,Planilha2!B:C,2,0)</f>
        <v>INVERSOR SACFW110063T6OYZ</v>
      </c>
      <c r="C1466" t="s">
        <v>3170</v>
      </c>
      <c r="D1466" t="str">
        <f>VLOOKUP(A1466,Planilha2!B:H,7,0)</f>
        <v>LINHA G1</v>
      </c>
      <c r="E1466" s="5">
        <v>60360</v>
      </c>
      <c r="F1466">
        <f>IFERROR(
IF(ISNUMBER(FIND("CFW110",B1466)),
VALUE(MID(B1466,FIND("CFW110",B1466)+6,FIND("T",B1466,FIND("CFW110",B1466))-(FIND("CFW110",B1466)+6))),
IF(ISNUMBER(FIND("D",B1466)),
VALUE(SUBSTITUTE(MID(B1466,FIND("D",B1466)+1,FIND("T",B1466,FIND("D",B1466))-(FIND("D",B1466)+1)),"P",",")),
IF(ISNUMBER(FIND("CFW5",B1466)),
VALUE(MID(B1466,
IF(ISNUMBER(FIND("F",B1466)),FIND("F",B1466)+1,FIND("G",B1466)+1),
FIND("T",B1466)-(IF(ISNUMBER(FIND("F",B1466)),FIND("F",B1466)+1,FIND("G",B1466)+1))
)),
VALUE(MID(B1466,FIND("E0",B1466)+2,FIND("T",B1466,FIND("E0",B1466))-(FIND("E0",B1466)+2)))
))),"")</f>
        <v>63</v>
      </c>
      <c r="G1466">
        <f>IFERROR(
IF(ISNUMBER(FIND("T2",B1466)),220,
IF(ISNUMBER(FIND("T4",B1466)),440,
IF(ISNUMBER(FIND("T5",B1466)),575,
IF(ISNUMBER(FIND("T6",B1466)),690,"")))),
"")</f>
        <v>690</v>
      </c>
    </row>
    <row r="1467" spans="1:7" x14ac:dyDescent="0.25">
      <c r="A1467">
        <v>12897240</v>
      </c>
      <c r="B1467" t="str">
        <f>VLOOKUP(A1467,Planilha2!B:C,2,0)</f>
        <v>INVERSOR EUCFW110105T4ODBYWZ</v>
      </c>
      <c r="C1467" t="s">
        <v>3170</v>
      </c>
      <c r="D1467" t="str">
        <f>VLOOKUP(A1467,Planilha2!B:H,7,0)</f>
        <v>LINHA G1</v>
      </c>
      <c r="E1467" s="5">
        <v>78700</v>
      </c>
      <c r="F1467">
        <f>IFERROR(
IF(ISNUMBER(FIND("CFW110",B1467)),
VALUE(MID(B1467,FIND("CFW110",B1467)+6,FIND("T",B1467,FIND("CFW110",B1467))-(FIND("CFW110",B1467)+6))),
IF(ISNUMBER(FIND("D",B1467)),
VALUE(SUBSTITUTE(MID(B1467,FIND("D",B1467)+1,FIND("T",B1467,FIND("D",B1467))-(FIND("D",B1467)+1)),"P",",")),
IF(ISNUMBER(FIND("CFW5",B1467)),
VALUE(MID(B1467,
IF(ISNUMBER(FIND("F",B1467)),FIND("F",B1467)+1,FIND("G",B1467)+1),
FIND("T",B1467)-(IF(ISNUMBER(FIND("F",B1467)),FIND("F",B1467)+1,FIND("G",B1467)+1))
)),
VALUE(MID(B1467,FIND("E0",B1467)+2,FIND("T",B1467,FIND("E0",B1467))-(FIND("E0",B1467)+2)))
))),"")</f>
        <v>105</v>
      </c>
      <c r="G1467">
        <f>IFERROR(
IF(ISNUMBER(FIND("T2",B1467)),220,
IF(ISNUMBER(FIND("T4",B1467)),440,
IF(ISNUMBER(FIND("T5",B1467)),575,
IF(ISNUMBER(FIND("T6",B1467)),690,"")))),
"")</f>
        <v>440</v>
      </c>
    </row>
    <row r="1468" spans="1:7" x14ac:dyDescent="0.25">
      <c r="A1468">
        <v>12897242</v>
      </c>
      <c r="B1468" t="str">
        <f>VLOOKUP(A1468,Planilha2!B:C,2,0)</f>
        <v>INVERSOR EUCFW110142T4ODBYWZ</v>
      </c>
      <c r="C1468" t="s">
        <v>3170</v>
      </c>
      <c r="D1468" t="str">
        <f>VLOOKUP(A1468,Planilha2!B:H,7,0)</f>
        <v>LINHA G1</v>
      </c>
      <c r="E1468" s="5">
        <v>69100</v>
      </c>
      <c r="F1468">
        <f>IFERROR(
IF(ISNUMBER(FIND("CFW110",B1468)),
VALUE(MID(B1468,FIND("CFW110",B1468)+6,FIND("T",B1468,FIND("CFW110",B1468))-(FIND("CFW110",B1468)+6))),
IF(ISNUMBER(FIND("D",B1468)),
VALUE(SUBSTITUTE(MID(B1468,FIND("D",B1468)+1,FIND("T",B1468,FIND("D",B1468))-(FIND("D",B1468)+1)),"P",",")),
IF(ISNUMBER(FIND("CFW5",B1468)),
VALUE(MID(B1468,
IF(ISNUMBER(FIND("F",B1468)),FIND("F",B1468)+1,FIND("G",B1468)+1),
FIND("T",B1468)-(IF(ISNUMBER(FIND("F",B1468)),FIND("F",B1468)+1,FIND("G",B1468)+1))
)),
VALUE(MID(B1468,FIND("E0",B1468)+2,FIND("T",B1468,FIND("E0",B1468))-(FIND("E0",B1468)+2)))
))),"")</f>
        <v>142</v>
      </c>
      <c r="G1468">
        <f>IFERROR(
IF(ISNUMBER(FIND("T2",B1468)),220,
IF(ISNUMBER(FIND("T4",B1468)),440,
IF(ISNUMBER(FIND("T5",B1468)),575,
IF(ISNUMBER(FIND("T6",B1468)),690,"")))),
"")</f>
        <v>440</v>
      </c>
    </row>
    <row r="1469" spans="1:7" x14ac:dyDescent="0.25">
      <c r="A1469">
        <v>11989355</v>
      </c>
      <c r="B1469" t="str">
        <f>VLOOKUP(A1469,Planilha2!B:C,2,0)</f>
        <v>INVERSOR EUCFW110107T6OYZ</v>
      </c>
      <c r="C1469" t="s">
        <v>3170</v>
      </c>
      <c r="D1469" t="str">
        <f>VLOOKUP(A1469,Planilha2!B:H,7,0)</f>
        <v>LINHA G1</v>
      </c>
      <c r="E1469" s="5">
        <v>60360</v>
      </c>
      <c r="F1469">
        <f>IFERROR(
IF(ISNUMBER(FIND("CFW110",B1469)),
VALUE(MID(B1469,FIND("CFW110",B1469)+6,FIND("T",B1469,FIND("CFW110",B1469))-(FIND("CFW110",B1469)+6))),
IF(ISNUMBER(FIND("D",B1469)),
VALUE(SUBSTITUTE(MID(B1469,FIND("D",B1469)+1,FIND("T",B1469,FIND("D",B1469))-(FIND("D",B1469)+1)),"P",",")),
IF(ISNUMBER(FIND("CFW5",B1469)),
VALUE(MID(B1469,
IF(ISNUMBER(FIND("F",B1469)),FIND("F",B1469)+1,FIND("G",B1469)+1),
FIND("T",B1469)-(IF(ISNUMBER(FIND("F",B1469)),FIND("F",B1469)+1,FIND("G",B1469)+1))
)),
VALUE(MID(B1469,FIND("E0",B1469)+2,FIND("T",B1469,FIND("E0",B1469))-(FIND("E0",B1469)+2)))
))),"")</f>
        <v>107</v>
      </c>
      <c r="G1469">
        <f>IFERROR(
IF(ISNUMBER(FIND("T2",B1469)),220,
IF(ISNUMBER(FIND("T4",B1469)),440,
IF(ISNUMBER(FIND("T5",B1469)),575,
IF(ISNUMBER(FIND("T6",B1469)),690,"")))),
"")</f>
        <v>690</v>
      </c>
    </row>
    <row r="1470" spans="1:7" x14ac:dyDescent="0.25">
      <c r="A1470">
        <v>12547422</v>
      </c>
      <c r="B1470" t="str">
        <f>VLOOKUP(A1470,Planilha2!B:C,2,0)</f>
        <v>INVERSOR BRCFW110180T4ODBWZ</v>
      </c>
      <c r="C1470" t="s">
        <v>3170</v>
      </c>
      <c r="D1470" t="str">
        <f>VLOOKUP(A1470,Planilha2!B:H,7,0)</f>
        <v>LINHA G1</v>
      </c>
      <c r="E1470" s="5">
        <v>68200</v>
      </c>
      <c r="F1470">
        <f>IFERROR(
IF(ISNUMBER(FIND("CFW110",B1470)),
VALUE(MID(B1470,FIND("CFW110",B1470)+6,FIND("T",B1470,FIND("CFW110",B1470))-(FIND("CFW110",B1470)+6))),
IF(ISNUMBER(FIND("D",B1470)),
VALUE(SUBSTITUTE(MID(B1470,FIND("D",B1470)+1,FIND("T",B1470,FIND("D",B1470))-(FIND("D",B1470)+1)),"P",",")),
IF(ISNUMBER(FIND("CFW5",B1470)),
VALUE(MID(B1470,
IF(ISNUMBER(FIND("F",B1470)),FIND("F",B1470)+1,FIND("G",B1470)+1),
FIND("T",B1470)-(IF(ISNUMBER(FIND("F",B1470)),FIND("F",B1470)+1,FIND("G",B1470)+1))
)),
VALUE(MID(B1470,FIND("E0",B1470)+2,FIND("T",B1470,FIND("E0",B1470))-(FIND("E0",B1470)+2)))
))),"")</f>
        <v>180</v>
      </c>
      <c r="G1470">
        <f>IFERROR(
IF(ISNUMBER(FIND("T2",B1470)),220,
IF(ISNUMBER(FIND("T4",B1470)),440,
IF(ISNUMBER(FIND("T5",B1470)),575,
IF(ISNUMBER(FIND("T6",B1470)),690,"")))),
"")</f>
        <v>440</v>
      </c>
    </row>
    <row r="1471" spans="1:7" x14ac:dyDescent="0.25">
      <c r="A1471">
        <v>11988679</v>
      </c>
      <c r="B1471" t="str">
        <f>VLOOKUP(A1471,Planilha2!B:C,2,0)</f>
        <v>INVERSOR SACFW110150T6OYZ</v>
      </c>
      <c r="C1471" t="s">
        <v>3170</v>
      </c>
      <c r="D1471" t="str">
        <f>VLOOKUP(A1471,Planilha2!B:H,7,0)</f>
        <v>LINHA G1</v>
      </c>
      <c r="E1471" s="5">
        <v>60360</v>
      </c>
      <c r="F1471">
        <f>IFERROR(
IF(ISNUMBER(FIND("CFW110",B1471)),
VALUE(MID(B1471,FIND("CFW110",B1471)+6,FIND("T",B1471,FIND("CFW110",B1471))-(FIND("CFW110",B1471)+6))),
IF(ISNUMBER(FIND("D",B1471)),
VALUE(SUBSTITUTE(MID(B1471,FIND("D",B1471)+1,FIND("T",B1471,FIND("D",B1471))-(FIND("D",B1471)+1)),"P",",")),
IF(ISNUMBER(FIND("CFW5",B1471)),
VALUE(MID(B1471,
IF(ISNUMBER(FIND("F",B1471)),FIND("F",B1471)+1,FIND("G",B1471)+1),
FIND("T",B1471)-(IF(ISNUMBER(FIND("F",B1471)),FIND("F",B1471)+1,FIND("G",B1471)+1))
)),
VALUE(MID(B1471,FIND("E0",B1471)+2,FIND("T",B1471,FIND("E0",B1471))-(FIND("E0",B1471)+2)))
))),"")</f>
        <v>150</v>
      </c>
      <c r="G1471">
        <f>IFERROR(
IF(ISNUMBER(FIND("T2",B1471)),220,
IF(ISNUMBER(FIND("T4",B1471)),440,
IF(ISNUMBER(FIND("T5",B1471)),575,
IF(ISNUMBER(FIND("T6",B1471)),690,"")))),
"")</f>
        <v>690</v>
      </c>
    </row>
    <row r="1472" spans="1:7" x14ac:dyDescent="0.25">
      <c r="A1472">
        <v>12913315</v>
      </c>
      <c r="B1472" t="str">
        <f>VLOOKUP(A1472,Planilha2!B:C,2,0)</f>
        <v>INVERSOR CFW700E0142T4NB20C3Y1HASC</v>
      </c>
      <c r="C1472" t="s">
        <v>3170</v>
      </c>
      <c r="D1472" t="str">
        <f>VLOOKUP(A1472,Planilha2!B:H,7,0)</f>
        <v>OBSOLETOS DRIVES</v>
      </c>
      <c r="E1472" s="5">
        <v>75000</v>
      </c>
      <c r="F1472">
        <f>IFERROR(
IF(ISNUMBER(FIND("CFW110",B1472)),
VALUE(MID(B1472,FIND("CFW110",B1472)+6,FIND("T",B1472,FIND("CFW110",B1472))-(FIND("CFW110",B1472)+6))),
IF(ISNUMBER(FIND("D",B1472)),
VALUE(SUBSTITUTE(MID(B1472,FIND("D",B1472)+1,FIND("T",B1472,FIND("D",B1472))-(FIND("D",B1472)+1)),"P",",")),
IF(ISNUMBER(FIND("CFW5",B1472)),
VALUE(MID(B1472,
IF(ISNUMBER(FIND("F",B1472)),FIND("F",B1472)+1,FIND("G",B1472)+1),
FIND("T",B1472)-(IF(ISNUMBER(FIND("F",B1472)),FIND("F",B1472)+1,FIND("G",B1472)+1))
)),
VALUE(MID(B1472,FIND("E0",B1472)+2,FIND("T",B1472,FIND("E0",B1472))-(FIND("E0",B1472)+2)))
))),"")</f>
        <v>142</v>
      </c>
      <c r="G1472">
        <f>IFERROR(
IF(ISNUMBER(FIND("T2",B1472)),220,
IF(ISNUMBER(FIND("T4",B1472)),440,
IF(ISNUMBER(FIND("T5",B1472)),575,
IF(ISNUMBER(FIND("T6",B1472)),690,"")))),
"")</f>
        <v>440</v>
      </c>
    </row>
    <row r="1473" spans="1:7" x14ac:dyDescent="0.25">
      <c r="A1473">
        <v>12914568</v>
      </c>
      <c r="B1473" t="str">
        <f>VLOOKUP(A1473,Planilha2!B:C,2,0)</f>
        <v>INVERSOR CFW700E0105T4NB20C3Y1HASC</v>
      </c>
      <c r="C1473" t="s">
        <v>3170</v>
      </c>
      <c r="D1473" t="str">
        <f>VLOOKUP(A1473,Planilha2!B:H,7,0)</f>
        <v>OBSOLETOS DRIVES</v>
      </c>
      <c r="E1473" s="5">
        <v>55270</v>
      </c>
      <c r="F1473">
        <f>IFERROR(
IF(ISNUMBER(FIND("CFW110",B1473)),
VALUE(MID(B1473,FIND("CFW110",B1473)+6,FIND("T",B1473,FIND("CFW110",B1473))-(FIND("CFW110",B1473)+6))),
IF(ISNUMBER(FIND("D",B1473)),
VALUE(SUBSTITUTE(MID(B1473,FIND("D",B1473)+1,FIND("T",B1473,FIND("D",B1473))-(FIND("D",B1473)+1)),"P",",")),
IF(ISNUMBER(FIND("CFW5",B1473)),
VALUE(MID(B1473,
IF(ISNUMBER(FIND("F",B1473)),FIND("F",B1473)+1,FIND("G",B1473)+1),
FIND("T",B1473)-(IF(ISNUMBER(FIND("F",B1473)),FIND("F",B1473)+1,FIND("G",B1473)+1))
)),
VALUE(MID(B1473,FIND("E0",B1473)+2,FIND("T",B1473,FIND("E0",B1473))-(FIND("E0",B1473)+2)))
))),"")</f>
        <v>105</v>
      </c>
      <c r="G1473">
        <f>IFERROR(
IF(ISNUMBER(FIND("T2",B1473)),220,
IF(ISNUMBER(FIND("T4",B1473)),440,
IF(ISNUMBER(FIND("T5",B1473)),575,
IF(ISNUMBER(FIND("T6",B1473)),690,"")))),
"")</f>
        <v>440</v>
      </c>
    </row>
    <row r="1474" spans="1:7" x14ac:dyDescent="0.25">
      <c r="A1474">
        <v>12913267</v>
      </c>
      <c r="B1474" t="str">
        <f>VLOOKUP(A1474,Planilha2!B:C,2,0)</f>
        <v>INVERSOR CFW700E0180T4NB20C3Y1HASC</v>
      </c>
      <c r="C1474" t="s">
        <v>3170</v>
      </c>
      <c r="D1474" t="str">
        <f>VLOOKUP(A1474,Planilha2!B:H,7,0)</f>
        <v>OBSOLETOS DRIVES</v>
      </c>
      <c r="E1474" s="5">
        <v>32600</v>
      </c>
      <c r="F1474">
        <f>IFERROR(
IF(ISNUMBER(FIND("CFW110",B1474)),
VALUE(MID(B1474,FIND("CFW110",B1474)+6,FIND("T",B1474,FIND("CFW110",B1474))-(FIND("CFW110",B1474)+6))),
IF(ISNUMBER(FIND("D",B1474)),
VALUE(SUBSTITUTE(MID(B1474,FIND("D",B1474)+1,FIND("T",B1474,FIND("D",B1474))-(FIND("D",B1474)+1)),"P",",")),
IF(ISNUMBER(FIND("CFW5",B1474)),
VALUE(MID(B1474,
IF(ISNUMBER(FIND("F",B1474)),FIND("F",B1474)+1,FIND("G",B1474)+1),
FIND("T",B1474)-(IF(ISNUMBER(FIND("F",B1474)),FIND("F",B1474)+1,FIND("G",B1474)+1))
)),
VALUE(MID(B1474,FIND("E0",B1474)+2,FIND("T",B1474,FIND("E0",B1474))-(FIND("E0",B1474)+2)))
))),"")</f>
        <v>180</v>
      </c>
      <c r="G1474">
        <f>IFERROR(
IF(ISNUMBER(FIND("T2",B1474)),220,
IF(ISNUMBER(FIND("T4",B1474)),440,
IF(ISNUMBER(FIND("T5",B1474)),575,
IF(ISNUMBER(FIND("T6",B1474)),690,"")))),
"")</f>
        <v>440</v>
      </c>
    </row>
    <row r="1475" spans="1:7" x14ac:dyDescent="0.25">
      <c r="A1475">
        <v>12944177</v>
      </c>
      <c r="B1475" t="str">
        <f>VLOOKUP(A1475,Planilha2!B:C,2,0)</f>
        <v>INVERSOR BRCFW110180T4ODBS7Z</v>
      </c>
      <c r="C1475" t="s">
        <v>3170</v>
      </c>
      <c r="D1475" t="str">
        <f>VLOOKUP(A1475,Planilha2!B:H,7,0)</f>
        <v>LINHA G1</v>
      </c>
      <c r="E1475" s="5">
        <v>60360</v>
      </c>
      <c r="F1475">
        <f>IFERROR(
IF(ISNUMBER(FIND("CFW110",B1475)),
VALUE(MID(B1475,FIND("CFW110",B1475)+6,FIND("T",B1475,FIND("CFW110",B1475))-(FIND("CFW110",B1475)+6))),
IF(ISNUMBER(FIND("D",B1475)),
VALUE(SUBSTITUTE(MID(B1475,FIND("D",B1475)+1,FIND("T",B1475,FIND("D",B1475))-(FIND("D",B1475)+1)),"P",",")),
IF(ISNUMBER(FIND("CFW5",B1475)),
VALUE(MID(B1475,
IF(ISNUMBER(FIND("F",B1475)),FIND("F",B1475)+1,FIND("G",B1475)+1),
FIND("T",B1475)-(IF(ISNUMBER(FIND("F",B1475)),FIND("F",B1475)+1,FIND("G",B1475)+1))
)),
VALUE(MID(B1475,FIND("E0",B1475)+2,FIND("T",B1475,FIND("E0",B1475))-(FIND("E0",B1475)+2)))
))),"")</f>
        <v>180</v>
      </c>
      <c r="G1475">
        <f>IFERROR(
IF(ISNUMBER(FIND("T2",B1475)),220,
IF(ISNUMBER(FIND("T4",B1475)),440,
IF(ISNUMBER(FIND("T5",B1475)),575,
IF(ISNUMBER(FIND("T6",B1475)),690,"")))),
"")</f>
        <v>440</v>
      </c>
    </row>
    <row r="1476" spans="1:7" x14ac:dyDescent="0.25">
      <c r="A1476">
        <v>12983170</v>
      </c>
      <c r="B1476" t="str">
        <f>VLOOKUP(A1476,Planilha2!B:C,2,0)</f>
        <v>INVERSOR CFW700E0105T4DB20C3Y1</v>
      </c>
      <c r="C1476" t="s">
        <v>3170</v>
      </c>
      <c r="D1476" t="str">
        <f>VLOOKUP(A1476,Planilha2!B:H,7,0)</f>
        <v>OBSOLETOS DRIVES</v>
      </c>
      <c r="E1476" s="5">
        <v>69100</v>
      </c>
      <c r="F1476" t="str">
        <f>IFERROR(
IF(ISNUMBER(FIND("CFW110",B1476)),
VALUE(MID(B1476,FIND("CFW110",B1476)+6,FIND("T",B1476,FIND("CFW110",B1476))-(FIND("CFW110",B1476)+6))),
IF(ISNUMBER(FIND("D",B1476)),
VALUE(SUBSTITUTE(MID(B1476,FIND("D",B1476)+1,FIND("T",B1476,FIND("D",B1476))-(FIND("D",B1476)+1)),"P",",")),
IF(ISNUMBER(FIND("CFW5",B1476)),
VALUE(MID(B1476,
IF(ISNUMBER(FIND("F",B1476)),FIND("F",B1476)+1,FIND("G",B1476)+1),
FIND("T",B1476)-(IF(ISNUMBER(FIND("F",B1476)),FIND("F",B1476)+1,FIND("G",B1476)+1))
)),
VALUE(MID(B1476,FIND("E0",B1476)+2,FIND("T",B1476,FIND("E0",B1476))-(FIND("E0",B1476)+2)))
))),"")</f>
        <v/>
      </c>
      <c r="G1476">
        <f>IFERROR(
IF(ISNUMBER(FIND("T2",B1476)),220,
IF(ISNUMBER(FIND("T4",B1476)),440,
IF(ISNUMBER(FIND("T5",B1476)),575,
IF(ISNUMBER(FIND("T6",B1476)),690,"")))),
"")</f>
        <v>440</v>
      </c>
    </row>
    <row r="1477" spans="1:7" x14ac:dyDescent="0.25">
      <c r="A1477">
        <v>12832719</v>
      </c>
      <c r="B1477" t="str">
        <f>VLOOKUP(A1477,Planilha2!B:C,2,0)</f>
        <v>INVERSOR CVW9000450D4O66WZ</v>
      </c>
      <c r="C1477" t="s">
        <v>3170</v>
      </c>
      <c r="D1477" t="str">
        <f>VLOOKUP(A1477,Planilha2!B:H,7,0)</f>
        <v>LINHA E5</v>
      </c>
      <c r="E1477" s="5">
        <v>60000</v>
      </c>
      <c r="F1477" t="str">
        <f>IFERROR(
IF(ISNUMBER(FIND("CFW110",B1477)),
VALUE(MID(B1477,FIND("CFW110",B1477)+6,FIND("T",B1477,FIND("CFW110",B1477))-(FIND("CFW110",B1477)+6))),
IF(ISNUMBER(FIND("D",B1477)),
VALUE(SUBSTITUTE(MID(B1477,FIND("D",B1477)+1,FIND("T",B1477,FIND("D",B1477))-(FIND("D",B1477)+1)),"P",",")),
IF(ISNUMBER(FIND("CFW5",B1477)),
VALUE(MID(B1477,
IF(ISNUMBER(FIND("F",B1477)),FIND("F",B1477)+1,FIND("G",B1477)+1),
FIND("T",B1477)-(IF(ISNUMBER(FIND("F",B1477)),FIND("F",B1477)+1,FIND("G",B1477)+1))
)),
VALUE(MID(B1477,FIND("E0",B1477)+2,FIND("T",B1477,FIND("E0",B1477))-(FIND("E0",B1477)+2)))
))),"")</f>
        <v/>
      </c>
      <c r="G1477" t="str">
        <f>IFERROR(
IF(ISNUMBER(FIND("T2",B1477)),220,
IF(ISNUMBER(FIND("T4",B1477)),440,
IF(ISNUMBER(FIND("T5",B1477)),575,
IF(ISNUMBER(FIND("T6",B1477)),690,"")))),
"")</f>
        <v/>
      </c>
    </row>
    <row r="1478" spans="1:7" x14ac:dyDescent="0.25">
      <c r="A1478">
        <v>12832718</v>
      </c>
      <c r="B1478" t="str">
        <f>VLOOKUP(A1478,Planilha2!B:C,2,0)</f>
        <v>INVERSOR CVW9000450D4O66Z</v>
      </c>
      <c r="C1478" t="s">
        <v>3170</v>
      </c>
      <c r="D1478" t="str">
        <f>VLOOKUP(A1478,Planilha2!B:H,7,0)</f>
        <v>LINHA E5</v>
      </c>
      <c r="E1478" s="5">
        <v>60000</v>
      </c>
      <c r="F1478" t="str">
        <f>IFERROR(
IF(ISNUMBER(FIND("CFW110",B1478)),
VALUE(MID(B1478,FIND("CFW110",B1478)+6,FIND("T",B1478,FIND("CFW110",B1478))-(FIND("CFW110",B1478)+6))),
IF(ISNUMBER(FIND("D",B1478)),
VALUE(SUBSTITUTE(MID(B1478,FIND("D",B1478)+1,FIND("T",B1478,FIND("D",B1478))-(FIND("D",B1478)+1)),"P",",")),
IF(ISNUMBER(FIND("CFW5",B1478)),
VALUE(MID(B1478,
IF(ISNUMBER(FIND("F",B1478)),FIND("F",B1478)+1,FIND("G",B1478)+1),
FIND("T",B1478)-(IF(ISNUMBER(FIND("F",B1478)),FIND("F",B1478)+1,FIND("G",B1478)+1))
)),
VALUE(MID(B1478,FIND("E0",B1478)+2,FIND("T",B1478,FIND("E0",B1478))-(FIND("E0",B1478)+2)))
))),"")</f>
        <v/>
      </c>
      <c r="G1478" t="str">
        <f>IFERROR(
IF(ISNUMBER(FIND("T2",B1478)),220,
IF(ISNUMBER(FIND("T4",B1478)),440,
IF(ISNUMBER(FIND("T5",B1478)),575,
IF(ISNUMBER(FIND("T6",B1478)),690,"")))),
"")</f>
        <v/>
      </c>
    </row>
    <row r="1479" spans="1:7" x14ac:dyDescent="0.25">
      <c r="A1479">
        <v>13008183</v>
      </c>
      <c r="B1479" t="str">
        <f>VLOOKUP(A1479,Planilha2!B:C,2,0)</f>
        <v>INVERSOR EUCFW110142T4ODBSWZ</v>
      </c>
      <c r="C1479" t="s">
        <v>3170</v>
      </c>
      <c r="D1479" t="str">
        <f>VLOOKUP(A1479,Planilha2!B:H,7,0)</f>
        <v>LINHA G1</v>
      </c>
      <c r="E1479" s="5">
        <v>69100</v>
      </c>
      <c r="F1479">
        <f>IFERROR(
IF(ISNUMBER(FIND("CFW110",B1479)),
VALUE(MID(B1479,FIND("CFW110",B1479)+6,FIND("T",B1479,FIND("CFW110",B1479))-(FIND("CFW110",B1479)+6))),
IF(ISNUMBER(FIND("D",B1479)),
VALUE(SUBSTITUTE(MID(B1479,FIND("D",B1479)+1,FIND("T",B1479,FIND("D",B1479))-(FIND("D",B1479)+1)),"P",",")),
IF(ISNUMBER(FIND("CFW5",B1479)),
VALUE(MID(B1479,
IF(ISNUMBER(FIND("F",B1479)),FIND("F",B1479)+1,FIND("G",B1479)+1),
FIND("T",B1479)-(IF(ISNUMBER(FIND("F",B1479)),FIND("F",B1479)+1,FIND("G",B1479)+1))
)),
VALUE(MID(B1479,FIND("E0",B1479)+2,FIND("T",B1479,FIND("E0",B1479))-(FIND("E0",B1479)+2)))
))),"")</f>
        <v>142</v>
      </c>
      <c r="G1479">
        <f>IFERROR(
IF(ISNUMBER(FIND("T2",B1479)),220,
IF(ISNUMBER(FIND("T4",B1479)),440,
IF(ISNUMBER(FIND("T5",B1479)),575,
IF(ISNUMBER(FIND("T6",B1479)),690,"")))),
"")</f>
        <v>440</v>
      </c>
    </row>
    <row r="1480" spans="1:7" x14ac:dyDescent="0.25">
      <c r="A1480">
        <v>12884636</v>
      </c>
      <c r="B1480" t="str">
        <f>VLOOKUP(A1480,Planilha2!B:C,2,0)</f>
        <v>INVERSOR BRCFW110211T4OSWZ</v>
      </c>
      <c r="C1480" t="s">
        <v>3170</v>
      </c>
      <c r="D1480" t="str">
        <f>VLOOKUP(A1480,Planilha2!B:H,7,0)</f>
        <v>LINHA G1</v>
      </c>
      <c r="E1480" s="5">
        <v>68200</v>
      </c>
      <c r="F1480">
        <f>IFERROR(
IF(ISNUMBER(FIND("CFW110",B1480)),
VALUE(MID(B1480,FIND("CFW110",B1480)+6,FIND("T",B1480,FIND("CFW110",B1480))-(FIND("CFW110",B1480)+6))),
IF(ISNUMBER(FIND("D",B1480)),
VALUE(SUBSTITUTE(MID(B1480,FIND("D",B1480)+1,FIND("T",B1480,FIND("D",B1480))-(FIND("D",B1480)+1)),"P",",")),
IF(ISNUMBER(FIND("CFW5",B1480)),
VALUE(MID(B1480,
IF(ISNUMBER(FIND("F",B1480)),FIND("F",B1480)+1,FIND("G",B1480)+1),
FIND("T",B1480)-(IF(ISNUMBER(FIND("F",B1480)),FIND("F",B1480)+1,FIND("G",B1480)+1))
)),
VALUE(MID(B1480,FIND("E0",B1480)+2,FIND("T",B1480,FIND("E0",B1480))-(FIND("E0",B1480)+2)))
))),"")</f>
        <v>211</v>
      </c>
      <c r="G1480">
        <f>IFERROR(
IF(ISNUMBER(FIND("T2",B1480)),220,
IF(ISNUMBER(FIND("T4",B1480)),440,
IF(ISNUMBER(FIND("T5",B1480)),575,
IF(ISNUMBER(FIND("T6",B1480)),690,"")))),
"")</f>
        <v>440</v>
      </c>
    </row>
    <row r="1481" spans="1:7" x14ac:dyDescent="0.25">
      <c r="A1481">
        <v>12884635</v>
      </c>
      <c r="B1481" t="str">
        <f>VLOOKUP(A1481,Planilha2!B:C,2,0)</f>
        <v>INVERSOR BRCFW110180T4OSWZ</v>
      </c>
      <c r="C1481" t="s">
        <v>3170</v>
      </c>
      <c r="D1481" t="str">
        <f>VLOOKUP(A1481,Planilha2!B:H,7,0)</f>
        <v>LINHA G1</v>
      </c>
      <c r="E1481" s="5">
        <v>65000</v>
      </c>
      <c r="F1481">
        <f>IFERROR(
IF(ISNUMBER(FIND("CFW110",B1481)),
VALUE(MID(B1481,FIND("CFW110",B1481)+6,FIND("T",B1481,FIND("CFW110",B1481))-(FIND("CFW110",B1481)+6))),
IF(ISNUMBER(FIND("D",B1481)),
VALUE(SUBSTITUTE(MID(B1481,FIND("D",B1481)+1,FIND("T",B1481,FIND("D",B1481))-(FIND("D",B1481)+1)),"P",",")),
IF(ISNUMBER(FIND("CFW5",B1481)),
VALUE(MID(B1481,
IF(ISNUMBER(FIND("F",B1481)),FIND("F",B1481)+1,FIND("G",B1481)+1),
FIND("T",B1481)-(IF(ISNUMBER(FIND("F",B1481)),FIND("F",B1481)+1,FIND("G",B1481)+1))
)),
VALUE(MID(B1481,FIND("E0",B1481)+2,FIND("T",B1481,FIND("E0",B1481))-(FIND("E0",B1481)+2)))
))),"")</f>
        <v>180</v>
      </c>
      <c r="G1481">
        <f>IFERROR(
IF(ISNUMBER(FIND("T2",B1481)),220,
IF(ISNUMBER(FIND("T4",B1481)),440,
IF(ISNUMBER(FIND("T5",B1481)),575,
IF(ISNUMBER(FIND("T6",B1481)),690,"")))),
"")</f>
        <v>440</v>
      </c>
    </row>
    <row r="1482" spans="1:7" x14ac:dyDescent="0.25">
      <c r="A1482">
        <v>12884634</v>
      </c>
      <c r="B1482" t="str">
        <f>VLOOKUP(A1482,Planilha2!B:C,2,0)</f>
        <v>INVERSOR BRCFW110142T4OSWZ</v>
      </c>
      <c r="C1482" t="s">
        <v>3170</v>
      </c>
      <c r="D1482" t="str">
        <f>VLOOKUP(A1482,Planilha2!B:H,7,0)</f>
        <v>LINHA G1</v>
      </c>
      <c r="E1482" s="5">
        <v>64210</v>
      </c>
      <c r="F1482">
        <f>IFERROR(
IF(ISNUMBER(FIND("CFW110",B1482)),
VALUE(MID(B1482,FIND("CFW110",B1482)+6,FIND("T",B1482,FIND("CFW110",B1482))-(FIND("CFW110",B1482)+6))),
IF(ISNUMBER(FIND("D",B1482)),
VALUE(SUBSTITUTE(MID(B1482,FIND("D",B1482)+1,FIND("T",B1482,FIND("D",B1482))-(FIND("D",B1482)+1)),"P",",")),
IF(ISNUMBER(FIND("CFW5",B1482)),
VALUE(MID(B1482,
IF(ISNUMBER(FIND("F",B1482)),FIND("F",B1482)+1,FIND("G",B1482)+1),
FIND("T",B1482)-(IF(ISNUMBER(FIND("F",B1482)),FIND("F",B1482)+1,FIND("G",B1482)+1))
)),
VALUE(MID(B1482,FIND("E0",B1482)+2,FIND("T",B1482,FIND("E0",B1482))-(FIND("E0",B1482)+2)))
))),"")</f>
        <v>142</v>
      </c>
      <c r="G1482">
        <f>IFERROR(
IF(ISNUMBER(FIND("T2",B1482)),220,
IF(ISNUMBER(FIND("T4",B1482)),440,
IF(ISNUMBER(FIND("T5",B1482)),575,
IF(ISNUMBER(FIND("T6",B1482)),690,"")))),
"")</f>
        <v>440</v>
      </c>
    </row>
    <row r="1483" spans="1:7" x14ac:dyDescent="0.25">
      <c r="A1483">
        <v>12884632</v>
      </c>
      <c r="B1483" t="str">
        <f>VLOOKUP(A1483,Planilha2!B:C,2,0)</f>
        <v>INVERSOR BRCFW110105T4OSWZ</v>
      </c>
      <c r="C1483" t="s">
        <v>3170</v>
      </c>
      <c r="D1483" t="str">
        <f>VLOOKUP(A1483,Planilha2!B:H,7,0)</f>
        <v>LINHA G1</v>
      </c>
      <c r="E1483" s="5">
        <v>64213</v>
      </c>
      <c r="F1483">
        <f>IFERROR(
IF(ISNUMBER(FIND("CFW110",B1483)),
VALUE(MID(B1483,FIND("CFW110",B1483)+6,FIND("T",B1483,FIND("CFW110",B1483))-(FIND("CFW110",B1483)+6))),
IF(ISNUMBER(FIND("D",B1483)),
VALUE(SUBSTITUTE(MID(B1483,FIND("D",B1483)+1,FIND("T",B1483,FIND("D",B1483))-(FIND("D",B1483)+1)),"P",",")),
IF(ISNUMBER(FIND("CFW5",B1483)),
VALUE(MID(B1483,
IF(ISNUMBER(FIND("F",B1483)),FIND("F",B1483)+1,FIND("G",B1483)+1),
FIND("T",B1483)-(IF(ISNUMBER(FIND("F",B1483)),FIND("F",B1483)+1,FIND("G",B1483)+1))
)),
VALUE(MID(B1483,FIND("E0",B1483)+2,FIND("T",B1483,FIND("E0",B1483))-(FIND("E0",B1483)+2)))
))),"")</f>
        <v>105</v>
      </c>
      <c r="G1483">
        <f>IFERROR(
IF(ISNUMBER(FIND("T2",B1483)),220,
IF(ISNUMBER(FIND("T4",B1483)),440,
IF(ISNUMBER(FIND("T5",B1483)),575,
IF(ISNUMBER(FIND("T6",B1483)),690,"")))),
"")</f>
        <v>440</v>
      </c>
    </row>
    <row r="1484" spans="1:7" x14ac:dyDescent="0.25">
      <c r="A1484">
        <v>12954279</v>
      </c>
      <c r="B1484" t="str">
        <f>VLOOKUP(A1484,Planilha2!B:C,2,0)</f>
        <v>INVERSOR CFW701E0105T4NB55C3</v>
      </c>
      <c r="C1484" t="s">
        <v>3170</v>
      </c>
      <c r="D1484" t="str">
        <f>VLOOKUP(A1484,Planilha2!B:H,7,0)</f>
        <v>OBSOLETOS DRIVES</v>
      </c>
      <c r="E1484" s="5">
        <v>85300</v>
      </c>
      <c r="F1484">
        <f>IFERROR(
IF(ISNUMBER(FIND("CFW110",B1484)),
VALUE(MID(B1484,FIND("CFW110",B1484)+6,FIND("T",B1484,FIND("CFW110",B1484))-(FIND("CFW110",B1484)+6))),
IF(ISNUMBER(FIND("D",B1484)),
VALUE(SUBSTITUTE(MID(B1484,FIND("D",B1484)+1,FIND("T",B1484,FIND("D",B1484))-(FIND("D",B1484)+1)),"P",",")),
IF(ISNUMBER(FIND("CFW5",B1484)),
VALUE(MID(B1484,
IF(ISNUMBER(FIND("F",B1484)),FIND("F",B1484)+1,FIND("G",B1484)+1),
FIND("T",B1484)-(IF(ISNUMBER(FIND("F",B1484)),FIND("F",B1484)+1,FIND("G",B1484)+1))
)),
VALUE(MID(B1484,FIND("E0",B1484)+2,FIND("T",B1484,FIND("E0",B1484))-(FIND("E0",B1484)+2)))
))),"")</f>
        <v>105</v>
      </c>
      <c r="G1484">
        <f>IFERROR(
IF(ISNUMBER(FIND("T2",B1484)),220,
IF(ISNUMBER(FIND("T4",B1484)),440,
IF(ISNUMBER(FIND("T5",B1484)),575,
IF(ISNUMBER(FIND("T6",B1484)),690,"")))),
"")</f>
        <v>440</v>
      </c>
    </row>
    <row r="1485" spans="1:7" x14ac:dyDescent="0.25">
      <c r="A1485">
        <v>12954280</v>
      </c>
      <c r="B1485" t="str">
        <f>VLOOKUP(A1485,Planilha2!B:C,2,0)</f>
        <v>INVERSOR CFW701E0142T4NB55C3</v>
      </c>
      <c r="C1485" t="s">
        <v>3170</v>
      </c>
      <c r="D1485" t="str">
        <f>VLOOKUP(A1485,Planilha2!B:H,7,0)</f>
        <v>OBSOLETOS DRIVES</v>
      </c>
      <c r="E1485" s="5">
        <v>88100</v>
      </c>
      <c r="F1485">
        <f>IFERROR(
IF(ISNUMBER(FIND("CFW110",B1485)),
VALUE(MID(B1485,FIND("CFW110",B1485)+6,FIND("T",B1485,FIND("CFW110",B1485))-(FIND("CFW110",B1485)+6))),
IF(ISNUMBER(FIND("D",B1485)),
VALUE(SUBSTITUTE(MID(B1485,FIND("D",B1485)+1,FIND("T",B1485,FIND("D",B1485))-(FIND("D",B1485)+1)),"P",",")),
IF(ISNUMBER(FIND("CFW5",B1485)),
VALUE(MID(B1485,
IF(ISNUMBER(FIND("F",B1485)),FIND("F",B1485)+1,FIND("G",B1485)+1),
FIND("T",B1485)-(IF(ISNUMBER(FIND("F",B1485)),FIND("F",B1485)+1,FIND("G",B1485)+1))
)),
VALUE(MID(B1485,FIND("E0",B1485)+2,FIND("T",B1485,FIND("E0",B1485))-(FIND("E0",B1485)+2)))
))),"")</f>
        <v>142</v>
      </c>
      <c r="G1485">
        <f>IFERROR(
IF(ISNUMBER(FIND("T2",B1485)),220,
IF(ISNUMBER(FIND("T4",B1485)),440,
IF(ISNUMBER(FIND("T5",B1485)),575,
IF(ISNUMBER(FIND("T6",B1485)),690,"")))),
"")</f>
        <v>440</v>
      </c>
    </row>
    <row r="1486" spans="1:7" x14ac:dyDescent="0.25">
      <c r="A1486">
        <v>12954284</v>
      </c>
      <c r="B1486" t="str">
        <f>VLOOKUP(A1486,Planilha2!B:C,2,0)</f>
        <v>INVERSOR CFW701E0180T4NB55C3DS</v>
      </c>
      <c r="C1486" t="s">
        <v>3170</v>
      </c>
      <c r="D1486" t="str">
        <f>VLOOKUP(A1486,Planilha2!B:H,7,0)</f>
        <v>OBSOLETOS DRIVES</v>
      </c>
      <c r="E1486" s="5">
        <v>100300</v>
      </c>
      <c r="F1486" t="str">
        <f>IFERROR(
IF(ISNUMBER(FIND("CFW110",B1486)),
VALUE(MID(B1486,FIND("CFW110",B1486)+6,FIND("T",B1486,FIND("CFW110",B1486))-(FIND("CFW110",B1486)+6))),
IF(ISNUMBER(FIND("D",B1486)),
VALUE(SUBSTITUTE(MID(B1486,FIND("D",B1486)+1,FIND("T",B1486,FIND("D",B1486))-(FIND("D",B1486)+1)),"P",",")),
IF(ISNUMBER(FIND("CFW5",B1486)),
VALUE(MID(B1486,
IF(ISNUMBER(FIND("F",B1486)),FIND("F",B1486)+1,FIND("G",B1486)+1),
FIND("T",B1486)-(IF(ISNUMBER(FIND("F",B1486)),FIND("F",B1486)+1,FIND("G",B1486)+1))
)),
VALUE(MID(B1486,FIND("E0",B1486)+2,FIND("T",B1486,FIND("E0",B1486))-(FIND("E0",B1486)+2)))
))),"")</f>
        <v/>
      </c>
      <c r="G1486">
        <f>IFERROR(
IF(ISNUMBER(FIND("T2",B1486)),220,
IF(ISNUMBER(FIND("T4",B1486)),440,
IF(ISNUMBER(FIND("T5",B1486)),575,
IF(ISNUMBER(FIND("T6",B1486)),690,"")))),
"")</f>
        <v>440</v>
      </c>
    </row>
    <row r="1487" spans="1:7" x14ac:dyDescent="0.25">
      <c r="A1487">
        <v>12954283</v>
      </c>
      <c r="B1487" t="str">
        <f>VLOOKUP(A1487,Planilha2!B:C,2,0)</f>
        <v>INVERSOR CFW701E0211T4NB55C3DS</v>
      </c>
      <c r="C1487" t="s">
        <v>3170</v>
      </c>
      <c r="D1487" t="str">
        <f>VLOOKUP(A1487,Planilha2!B:H,7,0)</f>
        <v>OBSOLETOS DRIVES</v>
      </c>
      <c r="E1487" s="5">
        <v>139993</v>
      </c>
      <c r="F1487" t="str">
        <f>IFERROR(
IF(ISNUMBER(FIND("CFW110",B1487)),
VALUE(MID(B1487,FIND("CFW110",B1487)+6,FIND("T",B1487,FIND("CFW110",B1487))-(FIND("CFW110",B1487)+6))),
IF(ISNUMBER(FIND("D",B1487)),
VALUE(SUBSTITUTE(MID(B1487,FIND("D",B1487)+1,FIND("T",B1487,FIND("D",B1487))-(FIND("D",B1487)+1)),"P",",")),
IF(ISNUMBER(FIND("CFW5",B1487)),
VALUE(MID(B1487,
IF(ISNUMBER(FIND("F",B1487)),FIND("F",B1487)+1,FIND("G",B1487)+1),
FIND("T",B1487)-(IF(ISNUMBER(FIND("F",B1487)),FIND("F",B1487)+1,FIND("G",B1487)+1))
)),
VALUE(MID(B1487,FIND("E0",B1487)+2,FIND("T",B1487,FIND("E0",B1487))-(FIND("E0",B1487)+2)))
))),"")</f>
        <v/>
      </c>
      <c r="G1487">
        <f>IFERROR(
IF(ISNUMBER(FIND("T2",B1487)),220,
IF(ISNUMBER(FIND("T4",B1487)),440,
IF(ISNUMBER(FIND("T5",B1487)),575,
IF(ISNUMBER(FIND("T6",B1487)),690,"")))),
"")</f>
        <v>440</v>
      </c>
    </row>
    <row r="1488" spans="1:7" x14ac:dyDescent="0.25">
      <c r="A1488">
        <v>12954282</v>
      </c>
      <c r="B1488" t="str">
        <f>VLOOKUP(A1488,Planilha2!B:C,2,0)</f>
        <v>INVERSOR CFW701E0211T4NB55C3</v>
      </c>
      <c r="C1488" t="s">
        <v>3170</v>
      </c>
      <c r="D1488" t="str">
        <f>VLOOKUP(A1488,Planilha2!B:H,7,0)</f>
        <v>OBSOLETOS DRIVES</v>
      </c>
      <c r="E1488" s="5">
        <v>98200</v>
      </c>
      <c r="F1488">
        <f>IFERROR(
IF(ISNUMBER(FIND("CFW110",B1488)),
VALUE(MID(B1488,FIND("CFW110",B1488)+6,FIND("T",B1488,FIND("CFW110",B1488))-(FIND("CFW110",B1488)+6))),
IF(ISNUMBER(FIND("D",B1488)),
VALUE(SUBSTITUTE(MID(B1488,FIND("D",B1488)+1,FIND("T",B1488,FIND("D",B1488))-(FIND("D",B1488)+1)),"P",",")),
IF(ISNUMBER(FIND("CFW5",B1488)),
VALUE(MID(B1488,
IF(ISNUMBER(FIND("F",B1488)),FIND("F",B1488)+1,FIND("G",B1488)+1),
FIND("T",B1488)-(IF(ISNUMBER(FIND("F",B1488)),FIND("F",B1488)+1,FIND("G",B1488)+1))
)),
VALUE(MID(B1488,FIND("E0",B1488)+2,FIND("T",B1488,FIND("E0",B1488))-(FIND("E0",B1488)+2)))
))),"")</f>
        <v>211</v>
      </c>
      <c r="G1488">
        <f>IFERROR(
IF(ISNUMBER(FIND("T2",B1488)),220,
IF(ISNUMBER(FIND("T4",B1488)),440,
IF(ISNUMBER(FIND("T5",B1488)),575,
IF(ISNUMBER(FIND("T6",B1488)),690,"")))),
"")</f>
        <v>440</v>
      </c>
    </row>
    <row r="1489" spans="1:7" x14ac:dyDescent="0.25">
      <c r="A1489">
        <v>12954287</v>
      </c>
      <c r="B1489" t="str">
        <f>VLOOKUP(A1489,Planilha2!B:C,2,0)</f>
        <v>INVERSOR CFW701E0105T4NB55C3DS</v>
      </c>
      <c r="C1489" t="s">
        <v>3170</v>
      </c>
      <c r="D1489" t="str">
        <f>VLOOKUP(A1489,Planilha2!B:H,7,0)</f>
        <v>OBSOLETOS DRIVES</v>
      </c>
      <c r="E1489" s="5">
        <v>87400</v>
      </c>
      <c r="F1489" t="str">
        <f>IFERROR(
IF(ISNUMBER(FIND("CFW110",B1489)),
VALUE(MID(B1489,FIND("CFW110",B1489)+6,FIND("T",B1489,FIND("CFW110",B1489))-(FIND("CFW110",B1489)+6))),
IF(ISNUMBER(FIND("D",B1489)),
VALUE(SUBSTITUTE(MID(B1489,FIND("D",B1489)+1,FIND("T",B1489,FIND("D",B1489))-(FIND("D",B1489)+1)),"P",",")),
IF(ISNUMBER(FIND("CFW5",B1489)),
VALUE(MID(B1489,
IF(ISNUMBER(FIND("F",B1489)),FIND("F",B1489)+1,FIND("G",B1489)+1),
FIND("T",B1489)-(IF(ISNUMBER(FIND("F",B1489)),FIND("F",B1489)+1,FIND("G",B1489)+1))
)),
VALUE(MID(B1489,FIND("E0",B1489)+2,FIND("T",B1489,FIND("E0",B1489))-(FIND("E0",B1489)+2)))
))),"")</f>
        <v/>
      </c>
      <c r="G1489">
        <f>IFERROR(
IF(ISNUMBER(FIND("T2",B1489)),220,
IF(ISNUMBER(FIND("T4",B1489)),440,
IF(ISNUMBER(FIND("T5",B1489)),575,
IF(ISNUMBER(FIND("T6",B1489)),690,"")))),
"")</f>
        <v>440</v>
      </c>
    </row>
    <row r="1490" spans="1:7" x14ac:dyDescent="0.25">
      <c r="A1490">
        <v>12954286</v>
      </c>
      <c r="B1490" t="str">
        <f>VLOOKUP(A1490,Planilha2!B:C,2,0)</f>
        <v>INVERSOR CFW701E0142T4NB55C3DS</v>
      </c>
      <c r="C1490" t="s">
        <v>3170</v>
      </c>
      <c r="D1490" t="str">
        <f>VLOOKUP(A1490,Planilha2!B:H,7,0)</f>
        <v>OBSOLETOS DRIVES</v>
      </c>
      <c r="E1490" s="5">
        <v>90200</v>
      </c>
      <c r="F1490" t="str">
        <f>IFERROR(
IF(ISNUMBER(FIND("CFW110",B1490)),
VALUE(MID(B1490,FIND("CFW110",B1490)+6,FIND("T",B1490,FIND("CFW110",B1490))-(FIND("CFW110",B1490)+6))),
IF(ISNUMBER(FIND("D",B1490)),
VALUE(SUBSTITUTE(MID(B1490,FIND("D",B1490)+1,FIND("T",B1490,FIND("D",B1490))-(FIND("D",B1490)+1)),"P",",")),
IF(ISNUMBER(FIND("CFW5",B1490)),
VALUE(MID(B1490,
IF(ISNUMBER(FIND("F",B1490)),FIND("F",B1490)+1,FIND("G",B1490)+1),
FIND("T",B1490)-(IF(ISNUMBER(FIND("F",B1490)),FIND("F",B1490)+1,FIND("G",B1490)+1))
)),
VALUE(MID(B1490,FIND("E0",B1490)+2,FIND("T",B1490,FIND("E0",B1490))-(FIND("E0",B1490)+2)))
))),"")</f>
        <v/>
      </c>
      <c r="G1490">
        <f>IFERROR(
IF(ISNUMBER(FIND("T2",B1490)),220,
IF(ISNUMBER(FIND("T4",B1490)),440,
IF(ISNUMBER(FIND("T5",B1490)),575,
IF(ISNUMBER(FIND("T6",B1490)),690,"")))),
"")</f>
        <v>440</v>
      </c>
    </row>
    <row r="1491" spans="1:7" x14ac:dyDescent="0.25">
      <c r="A1491">
        <v>12954281</v>
      </c>
      <c r="B1491" t="str">
        <f>VLOOKUP(A1491,Planilha2!B:C,2,0)</f>
        <v>INVERSOR CFW701E0180T4NB55C3</v>
      </c>
      <c r="C1491" t="s">
        <v>3170</v>
      </c>
      <c r="D1491" t="str">
        <f>VLOOKUP(A1491,Planilha2!B:H,7,0)</f>
        <v>OBSOLETOS DRIVES</v>
      </c>
      <c r="E1491" s="5">
        <v>98200</v>
      </c>
      <c r="F1491">
        <f>IFERROR(
IF(ISNUMBER(FIND("CFW110",B1491)),
VALUE(MID(B1491,FIND("CFW110",B1491)+6,FIND("T",B1491,FIND("CFW110",B1491))-(FIND("CFW110",B1491)+6))),
IF(ISNUMBER(FIND("D",B1491)),
VALUE(SUBSTITUTE(MID(B1491,FIND("D",B1491)+1,FIND("T",B1491,FIND("D",B1491))-(FIND("D",B1491)+1)),"P",",")),
IF(ISNUMBER(FIND("CFW5",B1491)),
VALUE(MID(B1491,
IF(ISNUMBER(FIND("F",B1491)),FIND("F",B1491)+1,FIND("G",B1491)+1),
FIND("T",B1491)-(IF(ISNUMBER(FIND("F",B1491)),FIND("F",B1491)+1,FIND("G",B1491)+1))
)),
VALUE(MID(B1491,FIND("E0",B1491)+2,FIND("T",B1491,FIND("E0",B1491))-(FIND("E0",B1491)+2)))
))),"")</f>
        <v>180</v>
      </c>
      <c r="G1491">
        <f>IFERROR(
IF(ISNUMBER(FIND("T2",B1491)),220,
IF(ISNUMBER(FIND("T4",B1491)),440,
IF(ISNUMBER(FIND("T5",B1491)),575,
IF(ISNUMBER(FIND("T6",B1491)),690,"")))),
"")</f>
        <v>440</v>
      </c>
    </row>
    <row r="1492" spans="1:7" x14ac:dyDescent="0.25">
      <c r="A1492">
        <v>12954185</v>
      </c>
      <c r="B1492" t="str">
        <f>VLOOKUP(A1492,Planilha2!B:C,2,0)</f>
        <v>INVERSOR CFW701E0180T2NB55C3</v>
      </c>
      <c r="C1492" t="s">
        <v>3170</v>
      </c>
      <c r="D1492" t="str">
        <f>VLOOKUP(A1492,Planilha2!B:H,7,0)</f>
        <v>OBSOLETOS DRIVES</v>
      </c>
      <c r="E1492" s="5">
        <v>98200</v>
      </c>
      <c r="F1492">
        <f>IFERROR(
IF(ISNUMBER(FIND("CFW110",B1492)),
VALUE(MID(B1492,FIND("CFW110",B1492)+6,FIND("T",B1492,FIND("CFW110",B1492))-(FIND("CFW110",B1492)+6))),
IF(ISNUMBER(FIND("D",B1492)),
VALUE(SUBSTITUTE(MID(B1492,FIND("D",B1492)+1,FIND("T",B1492,FIND("D",B1492))-(FIND("D",B1492)+1)),"P",",")),
IF(ISNUMBER(FIND("CFW5",B1492)),
VALUE(MID(B1492,
IF(ISNUMBER(FIND("F",B1492)),FIND("F",B1492)+1,FIND("G",B1492)+1),
FIND("T",B1492)-(IF(ISNUMBER(FIND("F",B1492)),FIND("F",B1492)+1,FIND("G",B1492)+1))
)),
VALUE(MID(B1492,FIND("E0",B1492)+2,FIND("T",B1492,FIND("E0",B1492))-(FIND("E0",B1492)+2)))
))),"")</f>
        <v>180</v>
      </c>
      <c r="G1492">
        <f>IFERROR(
IF(ISNUMBER(FIND("T2",B1492)),220,
IF(ISNUMBER(FIND("T4",B1492)),440,
IF(ISNUMBER(FIND("T5",B1492)),575,
IF(ISNUMBER(FIND("T6",B1492)),690,"")))),
"")</f>
        <v>220</v>
      </c>
    </row>
    <row r="1493" spans="1:7" x14ac:dyDescent="0.25">
      <c r="A1493">
        <v>12954320</v>
      </c>
      <c r="B1493" t="str">
        <f>VLOOKUP(A1493,Planilha2!B:C,2,0)</f>
        <v>INVERSOR CFW701E0180T2NB55C3DS</v>
      </c>
      <c r="C1493" t="s">
        <v>3170</v>
      </c>
      <c r="D1493" t="str">
        <f>VLOOKUP(A1493,Planilha2!B:H,7,0)</f>
        <v>OBSOLETOS DRIVES</v>
      </c>
      <c r="E1493" s="5">
        <v>100300</v>
      </c>
      <c r="F1493" t="str">
        <f>IFERROR(
IF(ISNUMBER(FIND("CFW110",B1493)),
VALUE(MID(B1493,FIND("CFW110",B1493)+6,FIND("T",B1493,FIND("CFW110",B1493))-(FIND("CFW110",B1493)+6))),
IF(ISNUMBER(FIND("D",B1493)),
VALUE(SUBSTITUTE(MID(B1493,FIND("D",B1493)+1,FIND("T",B1493,FIND("D",B1493))-(FIND("D",B1493)+1)),"P",",")),
IF(ISNUMBER(FIND("CFW5",B1493)),
VALUE(MID(B1493,
IF(ISNUMBER(FIND("F",B1493)),FIND("F",B1493)+1,FIND("G",B1493)+1),
FIND("T",B1493)-(IF(ISNUMBER(FIND("F",B1493)),FIND("F",B1493)+1,FIND("G",B1493)+1))
)),
VALUE(MID(B1493,FIND("E0",B1493)+2,FIND("T",B1493,FIND("E0",B1493))-(FIND("E0",B1493)+2)))
))),"")</f>
        <v/>
      </c>
      <c r="G1493">
        <f>IFERROR(
IF(ISNUMBER(FIND("T2",B1493)),220,
IF(ISNUMBER(FIND("T4",B1493)),440,
IF(ISNUMBER(FIND("T5",B1493)),575,
IF(ISNUMBER(FIND("T6",B1493)),690,"")))),
"")</f>
        <v>220</v>
      </c>
    </row>
    <row r="1494" spans="1:7" x14ac:dyDescent="0.25">
      <c r="A1494">
        <v>12954186</v>
      </c>
      <c r="B1494" t="str">
        <f>VLOOKUP(A1494,Planilha2!B:C,2,0)</f>
        <v>INVERSOR CFW701E0211T2NB55C3</v>
      </c>
      <c r="C1494" t="s">
        <v>3170</v>
      </c>
      <c r="D1494" t="str">
        <f>VLOOKUP(A1494,Planilha2!B:H,7,0)</f>
        <v>OBSOLETOS DRIVES</v>
      </c>
      <c r="E1494" s="5">
        <v>98200</v>
      </c>
      <c r="F1494">
        <f>IFERROR(
IF(ISNUMBER(FIND("CFW110",B1494)),
VALUE(MID(B1494,FIND("CFW110",B1494)+6,FIND("T",B1494,FIND("CFW110",B1494))-(FIND("CFW110",B1494)+6))),
IF(ISNUMBER(FIND("D",B1494)),
VALUE(SUBSTITUTE(MID(B1494,FIND("D",B1494)+1,FIND("T",B1494,FIND("D",B1494))-(FIND("D",B1494)+1)),"P",",")),
IF(ISNUMBER(FIND("CFW5",B1494)),
VALUE(MID(B1494,
IF(ISNUMBER(FIND("F",B1494)),FIND("F",B1494)+1,FIND("G",B1494)+1),
FIND("T",B1494)-(IF(ISNUMBER(FIND("F",B1494)),FIND("F",B1494)+1,FIND("G",B1494)+1))
)),
VALUE(MID(B1494,FIND("E0",B1494)+2,FIND("T",B1494,FIND("E0",B1494))-(FIND("E0",B1494)+2)))
))),"")</f>
        <v>211</v>
      </c>
      <c r="G1494">
        <f>IFERROR(
IF(ISNUMBER(FIND("T2",B1494)),220,
IF(ISNUMBER(FIND("T4",B1494)),440,
IF(ISNUMBER(FIND("T5",B1494)),575,
IF(ISNUMBER(FIND("T6",B1494)),690,"")))),
"")</f>
        <v>220</v>
      </c>
    </row>
    <row r="1495" spans="1:7" x14ac:dyDescent="0.25">
      <c r="A1495">
        <v>12954322</v>
      </c>
      <c r="B1495" t="str">
        <f>VLOOKUP(A1495,Planilha2!B:C,2,0)</f>
        <v>INVERSOR CFW701E0211T2NB55C3DS</v>
      </c>
      <c r="C1495" t="s">
        <v>3170</v>
      </c>
      <c r="D1495" t="str">
        <f>VLOOKUP(A1495,Planilha2!B:H,7,0)</f>
        <v>OBSOLETOS DRIVES</v>
      </c>
      <c r="E1495" s="5">
        <v>100300</v>
      </c>
      <c r="F1495" t="str">
        <f>IFERROR(
IF(ISNUMBER(FIND("CFW110",B1495)),
VALUE(MID(B1495,FIND("CFW110",B1495)+6,FIND("T",B1495,FIND("CFW110",B1495))-(FIND("CFW110",B1495)+6))),
IF(ISNUMBER(FIND("D",B1495)),
VALUE(SUBSTITUTE(MID(B1495,FIND("D",B1495)+1,FIND("T",B1495,FIND("D",B1495))-(FIND("D",B1495)+1)),"P",",")),
IF(ISNUMBER(FIND("CFW5",B1495)),
VALUE(MID(B1495,
IF(ISNUMBER(FIND("F",B1495)),FIND("F",B1495)+1,FIND("G",B1495)+1),
FIND("T",B1495)-(IF(ISNUMBER(FIND("F",B1495)),FIND("F",B1495)+1,FIND("G",B1495)+1))
)),
VALUE(MID(B1495,FIND("E0",B1495)+2,FIND("T",B1495,FIND("E0",B1495))-(FIND("E0",B1495)+2)))
))),"")</f>
        <v/>
      </c>
      <c r="G1495">
        <f>IFERROR(
IF(ISNUMBER(FIND("T2",B1495)),220,
IF(ISNUMBER(FIND("T4",B1495)),440,
IF(ISNUMBER(FIND("T5",B1495)),575,
IF(ISNUMBER(FIND("T6",B1495)),690,"")))),
"")</f>
        <v>220</v>
      </c>
    </row>
    <row r="1496" spans="1:7" x14ac:dyDescent="0.25">
      <c r="A1496">
        <v>13079775</v>
      </c>
      <c r="B1496" t="str">
        <f>VLOOKUP(A1496,Planilha2!B:C,2,0)</f>
        <v>INVERSOR BCCFW110180T4ODBHESEZ</v>
      </c>
      <c r="C1496" t="s">
        <v>3170</v>
      </c>
      <c r="D1496" t="str">
        <f>VLOOKUP(A1496,Planilha2!B:H,7,0)</f>
        <v>LINHA G1</v>
      </c>
      <c r="E1496" s="5">
        <v>68100</v>
      </c>
      <c r="F1496">
        <f>IFERROR(
IF(ISNUMBER(FIND("CFW110",B1496)),
VALUE(MID(B1496,FIND("CFW110",B1496)+6,FIND("T",B1496,FIND("CFW110",B1496))-(FIND("CFW110",B1496)+6))),
IF(ISNUMBER(FIND("D",B1496)),
VALUE(SUBSTITUTE(MID(B1496,FIND("D",B1496)+1,FIND("T",B1496,FIND("D",B1496))-(FIND("D",B1496)+1)),"P",",")),
IF(ISNUMBER(FIND("CFW5",B1496)),
VALUE(MID(B1496,
IF(ISNUMBER(FIND("F",B1496)),FIND("F",B1496)+1,FIND("G",B1496)+1),
FIND("T",B1496)-(IF(ISNUMBER(FIND("F",B1496)),FIND("F",B1496)+1,FIND("G",B1496)+1))
)),
VALUE(MID(B1496,FIND("E0",B1496)+2,FIND("T",B1496,FIND("E0",B1496))-(FIND("E0",B1496)+2)))
))),"")</f>
        <v>180</v>
      </c>
      <c r="G1496">
        <f>IFERROR(
IF(ISNUMBER(FIND("T2",B1496)),220,
IF(ISNUMBER(FIND("T4",B1496)),440,
IF(ISNUMBER(FIND("T5",B1496)),575,
IF(ISNUMBER(FIND("T6",B1496)),690,"")))),
"")</f>
        <v>440</v>
      </c>
    </row>
    <row r="1497" spans="1:7" x14ac:dyDescent="0.25">
      <c r="A1497">
        <v>13070952</v>
      </c>
      <c r="B1497" t="str">
        <f>VLOOKUP(A1497,Planilha2!B:C,2,0)</f>
        <v>INVERSOR BRCFW110180T4ODBSWZ</v>
      </c>
      <c r="C1497" t="s">
        <v>3170</v>
      </c>
      <c r="D1497" t="str">
        <f>VLOOKUP(A1497,Planilha2!B:H,7,0)</f>
        <v>LINHA G1</v>
      </c>
      <c r="E1497" s="5">
        <v>60360</v>
      </c>
      <c r="F1497">
        <f>IFERROR(
IF(ISNUMBER(FIND("CFW110",B1497)),
VALUE(MID(B1497,FIND("CFW110",B1497)+6,FIND("T",B1497,FIND("CFW110",B1497))-(FIND("CFW110",B1497)+6))),
IF(ISNUMBER(FIND("D",B1497)),
VALUE(SUBSTITUTE(MID(B1497,FIND("D",B1497)+1,FIND("T",B1497,FIND("D",B1497))-(FIND("D",B1497)+1)),"P",",")),
IF(ISNUMBER(FIND("CFW5",B1497)),
VALUE(MID(B1497,
IF(ISNUMBER(FIND("F",B1497)),FIND("F",B1497)+1,FIND("G",B1497)+1),
FIND("T",B1497)-(IF(ISNUMBER(FIND("F",B1497)),FIND("F",B1497)+1,FIND("G",B1497)+1))
)),
VALUE(MID(B1497,FIND("E0",B1497)+2,FIND("T",B1497,FIND("E0",B1497))-(FIND("E0",B1497)+2)))
))),"")</f>
        <v>180</v>
      </c>
      <c r="G1497">
        <f>IFERROR(
IF(ISNUMBER(FIND("T2",B1497)),220,
IF(ISNUMBER(FIND("T4",B1497)),440,
IF(ISNUMBER(FIND("T5",B1497)),575,
IF(ISNUMBER(FIND("T6",B1497)),690,"")))),
"")</f>
        <v>440</v>
      </c>
    </row>
    <row r="1498" spans="1:7" x14ac:dyDescent="0.25">
      <c r="A1498">
        <v>12884872</v>
      </c>
      <c r="B1498" t="str">
        <f>VLOOKUP(A1498,Planilha2!B:C,2,0)</f>
        <v>INVERSOR EUCFW110105T4OSWZ</v>
      </c>
      <c r="C1498" t="s">
        <v>3170</v>
      </c>
      <c r="D1498" t="str">
        <f>VLOOKUP(A1498,Planilha2!B:H,7,0)</f>
        <v>LINHA G1</v>
      </c>
      <c r="E1498" s="5">
        <v>64213</v>
      </c>
      <c r="F1498">
        <f>IFERROR(
IF(ISNUMBER(FIND("CFW110",B1498)),
VALUE(MID(B1498,FIND("CFW110",B1498)+6,FIND("T",B1498,FIND("CFW110",B1498))-(FIND("CFW110",B1498)+6))),
IF(ISNUMBER(FIND("D",B1498)),
VALUE(SUBSTITUTE(MID(B1498,FIND("D",B1498)+1,FIND("T",B1498,FIND("D",B1498))-(FIND("D",B1498)+1)),"P",",")),
IF(ISNUMBER(FIND("CFW5",B1498)),
VALUE(MID(B1498,
IF(ISNUMBER(FIND("F",B1498)),FIND("F",B1498)+1,FIND("G",B1498)+1),
FIND("T",B1498)-(IF(ISNUMBER(FIND("F",B1498)),FIND("F",B1498)+1,FIND("G",B1498)+1))
)),
VALUE(MID(B1498,FIND("E0",B1498)+2,FIND("T",B1498,FIND("E0",B1498))-(FIND("E0",B1498)+2)))
))),"")</f>
        <v>105</v>
      </c>
      <c r="G1498">
        <f>IFERROR(
IF(ISNUMBER(FIND("T2",B1498)),220,
IF(ISNUMBER(FIND("T4",B1498)),440,
IF(ISNUMBER(FIND("T5",B1498)),575,
IF(ISNUMBER(FIND("T6",B1498)),690,"")))),
"")</f>
        <v>440</v>
      </c>
    </row>
    <row r="1499" spans="1:7" x14ac:dyDescent="0.25">
      <c r="A1499">
        <v>12884900</v>
      </c>
      <c r="B1499" t="str">
        <f>VLOOKUP(A1499,Planilha2!B:C,2,0)</f>
        <v>INVERSOR EUCFW110142T4OSWZ</v>
      </c>
      <c r="C1499" t="s">
        <v>3170</v>
      </c>
      <c r="D1499" t="str">
        <f>VLOOKUP(A1499,Planilha2!B:H,7,0)</f>
        <v>LINHA G1</v>
      </c>
      <c r="E1499" s="5">
        <v>64213</v>
      </c>
      <c r="F1499">
        <f>IFERROR(
IF(ISNUMBER(FIND("CFW110",B1499)),
VALUE(MID(B1499,FIND("CFW110",B1499)+6,FIND("T",B1499,FIND("CFW110",B1499))-(FIND("CFW110",B1499)+6))),
IF(ISNUMBER(FIND("D",B1499)),
VALUE(SUBSTITUTE(MID(B1499,FIND("D",B1499)+1,FIND("T",B1499,FIND("D",B1499))-(FIND("D",B1499)+1)),"P",",")),
IF(ISNUMBER(FIND("CFW5",B1499)),
VALUE(MID(B1499,
IF(ISNUMBER(FIND("F",B1499)),FIND("F",B1499)+1,FIND("G",B1499)+1),
FIND("T",B1499)-(IF(ISNUMBER(FIND("F",B1499)),FIND("F",B1499)+1,FIND("G",B1499)+1))
)),
VALUE(MID(B1499,FIND("E0",B1499)+2,FIND("T",B1499,FIND("E0",B1499))-(FIND("E0",B1499)+2)))
))),"")</f>
        <v>142</v>
      </c>
      <c r="G1499">
        <f>IFERROR(
IF(ISNUMBER(FIND("T2",B1499)),220,
IF(ISNUMBER(FIND("T4",B1499)),440,
IF(ISNUMBER(FIND("T5",B1499)),575,
IF(ISNUMBER(FIND("T6",B1499)),690,"")))),
"")</f>
        <v>440</v>
      </c>
    </row>
    <row r="1500" spans="1:7" x14ac:dyDescent="0.25">
      <c r="A1500">
        <v>12884902</v>
      </c>
      <c r="B1500" t="str">
        <f>VLOOKUP(A1500,Planilha2!B:C,2,0)</f>
        <v>INVERSOR EUCFW110180T4OSWZ</v>
      </c>
      <c r="C1500" t="s">
        <v>3170</v>
      </c>
      <c r="D1500" t="str">
        <f>VLOOKUP(A1500,Planilha2!B:H,7,0)</f>
        <v>LINHA G1</v>
      </c>
      <c r="E1500" s="5">
        <v>64213</v>
      </c>
      <c r="F1500">
        <f>IFERROR(
IF(ISNUMBER(FIND("CFW110",B1500)),
VALUE(MID(B1500,FIND("CFW110",B1500)+6,FIND("T",B1500,FIND("CFW110",B1500))-(FIND("CFW110",B1500)+6))),
IF(ISNUMBER(FIND("D",B1500)),
VALUE(SUBSTITUTE(MID(B1500,FIND("D",B1500)+1,FIND("T",B1500,FIND("D",B1500))-(FIND("D",B1500)+1)),"P",",")),
IF(ISNUMBER(FIND("CFW5",B1500)),
VALUE(MID(B1500,
IF(ISNUMBER(FIND("F",B1500)),FIND("F",B1500)+1,FIND("G",B1500)+1),
FIND("T",B1500)-(IF(ISNUMBER(FIND("F",B1500)),FIND("F",B1500)+1,FIND("G",B1500)+1))
)),
VALUE(MID(B1500,FIND("E0",B1500)+2,FIND("T",B1500,FIND("E0",B1500))-(FIND("E0",B1500)+2)))
))),"")</f>
        <v>180</v>
      </c>
      <c r="G1500">
        <f>IFERROR(
IF(ISNUMBER(FIND("T2",B1500)),220,
IF(ISNUMBER(FIND("T4",B1500)),440,
IF(ISNUMBER(FIND("T5",B1500)),575,
IF(ISNUMBER(FIND("T6",B1500)),690,"")))),
"")</f>
        <v>440</v>
      </c>
    </row>
    <row r="1501" spans="1:7" x14ac:dyDescent="0.25">
      <c r="A1501">
        <v>12884903</v>
      </c>
      <c r="B1501" t="str">
        <f>VLOOKUP(A1501,Planilha2!B:C,2,0)</f>
        <v>INVERSOR EUCFW110211T4OSWZ</v>
      </c>
      <c r="C1501" t="s">
        <v>3170</v>
      </c>
      <c r="D1501" t="str">
        <f>VLOOKUP(A1501,Planilha2!B:H,7,0)</f>
        <v>LINHA G1</v>
      </c>
      <c r="E1501" s="5">
        <v>64213</v>
      </c>
      <c r="F1501">
        <f>IFERROR(
IF(ISNUMBER(FIND("CFW110",B1501)),
VALUE(MID(B1501,FIND("CFW110",B1501)+6,FIND("T",B1501,FIND("CFW110",B1501))-(FIND("CFW110",B1501)+6))),
IF(ISNUMBER(FIND("D",B1501)),
VALUE(SUBSTITUTE(MID(B1501,FIND("D",B1501)+1,FIND("T",B1501,FIND("D",B1501))-(FIND("D",B1501)+1)),"P",",")),
IF(ISNUMBER(FIND("CFW5",B1501)),
VALUE(MID(B1501,
IF(ISNUMBER(FIND("F",B1501)),FIND("F",B1501)+1,FIND("G",B1501)+1),
FIND("T",B1501)-(IF(ISNUMBER(FIND("F",B1501)),FIND("F",B1501)+1,FIND("G",B1501)+1))
)),
VALUE(MID(B1501,FIND("E0",B1501)+2,FIND("T",B1501,FIND("E0",B1501))-(FIND("E0",B1501)+2)))
))),"")</f>
        <v>211</v>
      </c>
      <c r="G1501">
        <f>IFERROR(
IF(ISNUMBER(FIND("T2",B1501)),220,
IF(ISNUMBER(FIND("T4",B1501)),440,
IF(ISNUMBER(FIND("T5",B1501)),575,
IF(ISNUMBER(FIND("T6",B1501)),690,"")))),
"")</f>
        <v>440</v>
      </c>
    </row>
    <row r="1502" spans="1:7" x14ac:dyDescent="0.25">
      <c r="A1502">
        <v>13159365</v>
      </c>
      <c r="B1502" t="str">
        <f>VLOOKUP(A1502,Planilha2!B:C,2,0)</f>
        <v>INVERSOR BRCFW110107T6OWZ</v>
      </c>
      <c r="C1502" t="s">
        <v>3170</v>
      </c>
      <c r="D1502" t="str">
        <f>VLOOKUP(A1502,Planilha2!B:H,7,0)</f>
        <v>LINHA G1</v>
      </c>
      <c r="E1502" s="5">
        <v>65000</v>
      </c>
      <c r="F1502">
        <f>IFERROR(
IF(ISNUMBER(FIND("CFW110",B1502)),
VALUE(MID(B1502,FIND("CFW110",B1502)+6,FIND("T",B1502,FIND("CFW110",B1502))-(FIND("CFW110",B1502)+6))),
IF(ISNUMBER(FIND("D",B1502)),
VALUE(SUBSTITUTE(MID(B1502,FIND("D",B1502)+1,FIND("T",B1502,FIND("D",B1502))-(FIND("D",B1502)+1)),"P",",")),
IF(ISNUMBER(FIND("CFW5",B1502)),
VALUE(MID(B1502,
IF(ISNUMBER(FIND("F",B1502)),FIND("F",B1502)+1,FIND("G",B1502)+1),
FIND("T",B1502)-(IF(ISNUMBER(FIND("F",B1502)),FIND("F",B1502)+1,FIND("G",B1502)+1))
)),
VALUE(MID(B1502,FIND("E0",B1502)+2,FIND("T",B1502,FIND("E0",B1502))-(FIND("E0",B1502)+2)))
))),"")</f>
        <v>107</v>
      </c>
      <c r="G1502">
        <f>IFERROR(
IF(ISNUMBER(FIND("T2",B1502)),220,
IF(ISNUMBER(FIND("T4",B1502)),440,
IF(ISNUMBER(FIND("T5",B1502)),575,
IF(ISNUMBER(FIND("T6",B1502)),690,"")))),
"")</f>
        <v>690</v>
      </c>
    </row>
    <row r="1503" spans="1:7" x14ac:dyDescent="0.25">
      <c r="A1503">
        <v>13130070</v>
      </c>
      <c r="B1503" t="str">
        <f>VLOOKUP(A1503,Planilha2!B:C,2,0)</f>
        <v>INVERSOR BCCFW110105T4ODBHESEZ</v>
      </c>
      <c r="C1503" t="s">
        <v>3170</v>
      </c>
      <c r="D1503" t="str">
        <f>VLOOKUP(A1503,Planilha2!B:H,7,0)</f>
        <v>LINHA G1</v>
      </c>
      <c r="E1503" s="5">
        <v>31100</v>
      </c>
      <c r="F1503">
        <f>IFERROR(
IF(ISNUMBER(FIND("CFW110",B1503)),
VALUE(MID(B1503,FIND("CFW110",B1503)+6,FIND("T",B1503,FIND("CFW110",B1503))-(FIND("CFW110",B1503)+6))),
IF(ISNUMBER(FIND("D",B1503)),
VALUE(SUBSTITUTE(MID(B1503,FIND("D",B1503)+1,FIND("T",B1503,FIND("D",B1503))-(FIND("D",B1503)+1)),"P",",")),
IF(ISNUMBER(FIND("CFW5",B1503)),
VALUE(MID(B1503,
IF(ISNUMBER(FIND("F",B1503)),FIND("F",B1503)+1,FIND("G",B1503)+1),
FIND("T",B1503)-(IF(ISNUMBER(FIND("F",B1503)),FIND("F",B1503)+1,FIND("G",B1503)+1))
)),
VALUE(MID(B1503,FIND("E0",B1503)+2,FIND("T",B1503,FIND("E0",B1503))-(FIND("E0",B1503)+2)))
))),"")</f>
        <v>105</v>
      </c>
      <c r="G1503">
        <f>IFERROR(
IF(ISNUMBER(FIND("T2",B1503)),220,
IF(ISNUMBER(FIND("T4",B1503)),440,
IF(ISNUMBER(FIND("T5",B1503)),575,
IF(ISNUMBER(FIND("T6",B1503)),690,"")))),
"")</f>
        <v>440</v>
      </c>
    </row>
    <row r="1504" spans="1:7" x14ac:dyDescent="0.25">
      <c r="A1504">
        <v>13202101</v>
      </c>
      <c r="B1504" t="str">
        <f>VLOOKUP(A1504,Planilha2!B:C,2,0)</f>
        <v>INVERSOR BRCFW110211T4OYS8Z</v>
      </c>
      <c r="C1504" t="s">
        <v>3170</v>
      </c>
      <c r="D1504" t="str">
        <f>VLOOKUP(A1504,Planilha2!B:H,7,0)</f>
        <v>LINHA G1</v>
      </c>
      <c r="E1504" t="s">
        <v>3172</v>
      </c>
      <c r="F1504">
        <f>IFERROR(
IF(ISNUMBER(FIND("CFW110",B1504)),
VALUE(MID(B1504,FIND("CFW110",B1504)+6,FIND("T",B1504,FIND("CFW110",B1504))-(FIND("CFW110",B1504)+6))),
IF(ISNUMBER(FIND("D",B1504)),
VALUE(SUBSTITUTE(MID(B1504,FIND("D",B1504)+1,FIND("T",B1504,FIND("D",B1504))-(FIND("D",B1504)+1)),"P",",")),
IF(ISNUMBER(FIND("CFW5",B1504)),
VALUE(MID(B1504,
IF(ISNUMBER(FIND("F",B1504)),FIND("F",B1504)+1,FIND("G",B1504)+1),
FIND("T",B1504)-(IF(ISNUMBER(FIND("F",B1504)),FIND("F",B1504)+1,FIND("G",B1504)+1))
)),
VALUE(MID(B1504,FIND("E0",B1504)+2,FIND("T",B1504,FIND("E0",B1504))-(FIND("E0",B1504)+2)))
))),"")</f>
        <v>211</v>
      </c>
      <c r="G1504">
        <f>IFERROR(
IF(ISNUMBER(FIND("T2",B1504)),220,
IF(ISNUMBER(FIND("T4",B1504)),440,
IF(ISNUMBER(FIND("T5",B1504)),575,
IF(ISNUMBER(FIND("T6",B1504)),690,"")))),
"")</f>
        <v>440</v>
      </c>
    </row>
    <row r="1505" spans="1:7" x14ac:dyDescent="0.25">
      <c r="A1505">
        <v>13240158</v>
      </c>
      <c r="B1505" t="str">
        <f>VLOOKUP(A1505,Planilha2!B:C,2,0)</f>
        <v>INVERSOR EUCFW110180T4ODBSWZ</v>
      </c>
      <c r="C1505" t="s">
        <v>3170</v>
      </c>
      <c r="D1505" t="str">
        <f>VLOOKUP(A1505,Planilha2!B:H,7,0)</f>
        <v>LINHA G1</v>
      </c>
      <c r="E1505" s="5">
        <v>68000</v>
      </c>
      <c r="F1505">
        <f>IFERROR(
IF(ISNUMBER(FIND("CFW110",B1505)),
VALUE(MID(B1505,FIND("CFW110",B1505)+6,FIND("T",B1505,FIND("CFW110",B1505))-(FIND("CFW110",B1505)+6))),
IF(ISNUMBER(FIND("D",B1505)),
VALUE(SUBSTITUTE(MID(B1505,FIND("D",B1505)+1,FIND("T",B1505,FIND("D",B1505))-(FIND("D",B1505)+1)),"P",",")),
IF(ISNUMBER(FIND("CFW5",B1505)),
VALUE(MID(B1505,
IF(ISNUMBER(FIND("F",B1505)),FIND("F",B1505)+1,FIND("G",B1505)+1),
FIND("T",B1505)-(IF(ISNUMBER(FIND("F",B1505)),FIND("F",B1505)+1,FIND("G",B1505)+1))
)),
VALUE(MID(B1505,FIND("E0",B1505)+2,FIND("T",B1505,FIND("E0",B1505))-(FIND("E0",B1505)+2)))
))),"")</f>
        <v>180</v>
      </c>
      <c r="G1505">
        <f>IFERROR(
IF(ISNUMBER(FIND("T2",B1505)),220,
IF(ISNUMBER(FIND("T4",B1505)),440,
IF(ISNUMBER(FIND("T5",B1505)),575,
IF(ISNUMBER(FIND("T6",B1505)),690,"")))),
"")</f>
        <v>440</v>
      </c>
    </row>
    <row r="1506" spans="1:7" x14ac:dyDescent="0.25">
      <c r="A1506">
        <v>13253870</v>
      </c>
      <c r="B1506" t="str">
        <f>VLOOKUP(A1506,Planilha2!B:C,2,0)</f>
        <v>INVERSOR BRCFW110105T4OSHZ</v>
      </c>
      <c r="C1506" t="s">
        <v>3170</v>
      </c>
      <c r="D1506" t="str">
        <f>VLOOKUP(A1506,Planilha2!B:H,7,0)</f>
        <v>LINHA G1</v>
      </c>
      <c r="E1506" s="5">
        <v>64381</v>
      </c>
      <c r="F1506">
        <f>IFERROR(
IF(ISNUMBER(FIND("CFW110",B1506)),
VALUE(MID(B1506,FIND("CFW110",B1506)+6,FIND("T",B1506,FIND("CFW110",B1506))-(FIND("CFW110",B1506)+6))),
IF(ISNUMBER(FIND("D",B1506)),
VALUE(SUBSTITUTE(MID(B1506,FIND("D",B1506)+1,FIND("T",B1506,FIND("D",B1506))-(FIND("D",B1506)+1)),"P",",")),
IF(ISNUMBER(FIND("CFW5",B1506)),
VALUE(MID(B1506,
IF(ISNUMBER(FIND("F",B1506)),FIND("F",B1506)+1,FIND("G",B1506)+1),
FIND("T",B1506)-(IF(ISNUMBER(FIND("F",B1506)),FIND("F",B1506)+1,FIND("G",B1506)+1))
)),
VALUE(MID(B1506,FIND("E0",B1506)+2,FIND("T",B1506,FIND("E0",B1506))-(FIND("E0",B1506)+2)))
))),"")</f>
        <v>105</v>
      </c>
      <c r="G1506">
        <f>IFERROR(
IF(ISNUMBER(FIND("T2",B1506)),220,
IF(ISNUMBER(FIND("T4",B1506)),440,
IF(ISNUMBER(FIND("T5",B1506)),575,
IF(ISNUMBER(FIND("T6",B1506)),690,"")))),
"")</f>
        <v>440</v>
      </c>
    </row>
    <row r="1507" spans="1:7" x14ac:dyDescent="0.25">
      <c r="A1507">
        <v>13253871</v>
      </c>
      <c r="B1507" t="str">
        <f>VLOOKUP(A1507,Planilha2!B:C,2,0)</f>
        <v>INVERSOR BRCFW110142T4OSHZ</v>
      </c>
      <c r="C1507" t="s">
        <v>3170</v>
      </c>
      <c r="D1507" t="str">
        <f>VLOOKUP(A1507,Planilha2!B:H,7,0)</f>
        <v>LINHA G1</v>
      </c>
      <c r="E1507" s="5">
        <v>64381</v>
      </c>
      <c r="F1507">
        <f>IFERROR(
IF(ISNUMBER(FIND("CFW110",B1507)),
VALUE(MID(B1507,FIND("CFW110",B1507)+6,FIND("T",B1507,FIND("CFW110",B1507))-(FIND("CFW110",B1507)+6))),
IF(ISNUMBER(FIND("D",B1507)),
VALUE(SUBSTITUTE(MID(B1507,FIND("D",B1507)+1,FIND("T",B1507,FIND("D",B1507))-(FIND("D",B1507)+1)),"P",",")),
IF(ISNUMBER(FIND("CFW5",B1507)),
VALUE(MID(B1507,
IF(ISNUMBER(FIND("F",B1507)),FIND("F",B1507)+1,FIND("G",B1507)+1),
FIND("T",B1507)-(IF(ISNUMBER(FIND("F",B1507)),FIND("F",B1507)+1,FIND("G",B1507)+1))
)),
VALUE(MID(B1507,FIND("E0",B1507)+2,FIND("T",B1507,FIND("E0",B1507))-(FIND("E0",B1507)+2)))
))),"")</f>
        <v>142</v>
      </c>
      <c r="G1507">
        <f>IFERROR(
IF(ISNUMBER(FIND("T2",B1507)),220,
IF(ISNUMBER(FIND("T4",B1507)),440,
IF(ISNUMBER(FIND("T5",B1507)),575,
IF(ISNUMBER(FIND("T6",B1507)),690,"")))),
"")</f>
        <v>440</v>
      </c>
    </row>
    <row r="1508" spans="1:7" x14ac:dyDescent="0.25">
      <c r="A1508">
        <v>13253872</v>
      </c>
      <c r="B1508" t="str">
        <f>VLOOKUP(A1508,Planilha2!B:C,2,0)</f>
        <v>INVERSOR BRCFW110211T4OSHZ</v>
      </c>
      <c r="C1508" t="s">
        <v>3170</v>
      </c>
      <c r="D1508" t="str">
        <f>VLOOKUP(A1508,Planilha2!B:H,7,0)</f>
        <v>LINHA G1</v>
      </c>
      <c r="E1508" s="5">
        <v>68068</v>
      </c>
      <c r="F1508">
        <f>IFERROR(
IF(ISNUMBER(FIND("CFW110",B1508)),
VALUE(MID(B1508,FIND("CFW110",B1508)+6,FIND("T",B1508,FIND("CFW110",B1508))-(FIND("CFW110",B1508)+6))),
IF(ISNUMBER(FIND("D",B1508)),
VALUE(SUBSTITUTE(MID(B1508,FIND("D",B1508)+1,FIND("T",B1508,FIND("D",B1508))-(FIND("D",B1508)+1)),"P",",")),
IF(ISNUMBER(FIND("CFW5",B1508)),
VALUE(MID(B1508,
IF(ISNUMBER(FIND("F",B1508)),FIND("F",B1508)+1,FIND("G",B1508)+1),
FIND("T",B1508)-(IF(ISNUMBER(FIND("F",B1508)),FIND("F",B1508)+1,FIND("G",B1508)+1))
)),
VALUE(MID(B1508,FIND("E0",B1508)+2,FIND("T",B1508,FIND("E0",B1508))-(FIND("E0",B1508)+2)))
))),"")</f>
        <v>211</v>
      </c>
      <c r="G1508">
        <f>IFERROR(
IF(ISNUMBER(FIND("T2",B1508)),220,
IF(ISNUMBER(FIND("T4",B1508)),440,
IF(ISNUMBER(FIND("T5",B1508)),575,
IF(ISNUMBER(FIND("T6",B1508)),690,"")))),
"")</f>
        <v>440</v>
      </c>
    </row>
    <row r="1509" spans="1:7" x14ac:dyDescent="0.25">
      <c r="A1509">
        <v>13287536</v>
      </c>
      <c r="B1509" t="str">
        <f>VLOOKUP(A1509,Planilha2!B:C,2,0)</f>
        <v>INVERSOR EUCFW110180T4OYHASCZ</v>
      </c>
      <c r="C1509" t="s">
        <v>3170</v>
      </c>
      <c r="D1509" t="str">
        <f>VLOOKUP(A1509,Planilha2!B:H,7,0)</f>
        <v>LINHA G1</v>
      </c>
      <c r="E1509" s="5">
        <v>65000</v>
      </c>
      <c r="F1509">
        <f>IFERROR(
IF(ISNUMBER(FIND("CFW110",B1509)),
VALUE(MID(B1509,FIND("CFW110",B1509)+6,FIND("T",B1509,FIND("CFW110",B1509))-(FIND("CFW110",B1509)+6))),
IF(ISNUMBER(FIND("D",B1509)),
VALUE(SUBSTITUTE(MID(B1509,FIND("D",B1509)+1,FIND("T",B1509,FIND("D",B1509))-(FIND("D",B1509)+1)),"P",",")),
IF(ISNUMBER(FIND("CFW5",B1509)),
VALUE(MID(B1509,
IF(ISNUMBER(FIND("F",B1509)),FIND("F",B1509)+1,FIND("G",B1509)+1),
FIND("T",B1509)-(IF(ISNUMBER(FIND("F",B1509)),FIND("F",B1509)+1,FIND("G",B1509)+1))
)),
VALUE(MID(B1509,FIND("E0",B1509)+2,FIND("T",B1509,FIND("E0",B1509))-(FIND("E0",B1509)+2)))
))),"")</f>
        <v>180</v>
      </c>
      <c r="G1509">
        <f>IFERROR(
IF(ISNUMBER(FIND("T2",B1509)),220,
IF(ISNUMBER(FIND("T4",B1509)),440,
IF(ISNUMBER(FIND("T5",B1509)),575,
IF(ISNUMBER(FIND("T6",B1509)),690,"")))),
"")</f>
        <v>440</v>
      </c>
    </row>
    <row r="1510" spans="1:7" x14ac:dyDescent="0.25">
      <c r="A1510">
        <v>13288111</v>
      </c>
      <c r="B1510" t="str">
        <f>VLOOKUP(A1510,Planilha2!B:C,2,0)</f>
        <v>INVERSOR BRCFW110142T4ODBWS7Z</v>
      </c>
      <c r="C1510" t="s">
        <v>3170</v>
      </c>
      <c r="D1510" t="str">
        <f>VLOOKUP(A1510,Planilha2!B:H,7,0)</f>
        <v>LINHA G1</v>
      </c>
      <c r="E1510" s="5">
        <v>65380</v>
      </c>
      <c r="F1510">
        <f>IFERROR(
IF(ISNUMBER(FIND("CFW110",B1510)),
VALUE(MID(B1510,FIND("CFW110",B1510)+6,FIND("T",B1510,FIND("CFW110",B1510))-(FIND("CFW110",B1510)+6))),
IF(ISNUMBER(FIND("D",B1510)),
VALUE(SUBSTITUTE(MID(B1510,FIND("D",B1510)+1,FIND("T",B1510,FIND("D",B1510))-(FIND("D",B1510)+1)),"P",",")),
IF(ISNUMBER(FIND("CFW5",B1510)),
VALUE(MID(B1510,
IF(ISNUMBER(FIND("F",B1510)),FIND("F",B1510)+1,FIND("G",B1510)+1),
FIND("T",B1510)-(IF(ISNUMBER(FIND("F",B1510)),FIND("F",B1510)+1,FIND("G",B1510)+1))
)),
VALUE(MID(B1510,FIND("E0",B1510)+2,FIND("T",B1510,FIND("E0",B1510))-(FIND("E0",B1510)+2)))
))),"")</f>
        <v>142</v>
      </c>
      <c r="G1510">
        <f>IFERROR(
IF(ISNUMBER(FIND("T2",B1510)),220,
IF(ISNUMBER(FIND("T4",B1510)),440,
IF(ISNUMBER(FIND("T5",B1510)),575,
IF(ISNUMBER(FIND("T6",B1510)),690,"")))),
"")</f>
        <v>440</v>
      </c>
    </row>
    <row r="1511" spans="1:7" x14ac:dyDescent="0.25">
      <c r="A1511">
        <v>13287534</v>
      </c>
      <c r="B1511" t="str">
        <f>VLOOKUP(A1511,Planilha2!B:C,2,0)</f>
        <v>INVERSOR EUCFW110142T4OYHASCZ</v>
      </c>
      <c r="C1511" t="s">
        <v>3170</v>
      </c>
      <c r="D1511" t="str">
        <f>VLOOKUP(A1511,Planilha2!B:H,7,0)</f>
        <v>LINHA G1</v>
      </c>
      <c r="E1511" s="5">
        <v>64210</v>
      </c>
      <c r="F1511">
        <f>IFERROR(
IF(ISNUMBER(FIND("CFW110",B1511)),
VALUE(MID(B1511,FIND("CFW110",B1511)+6,FIND("T",B1511,FIND("CFW110",B1511))-(FIND("CFW110",B1511)+6))),
IF(ISNUMBER(FIND("D",B1511)),
VALUE(SUBSTITUTE(MID(B1511,FIND("D",B1511)+1,FIND("T",B1511,FIND("D",B1511))-(FIND("D",B1511)+1)),"P",",")),
IF(ISNUMBER(FIND("CFW5",B1511)),
VALUE(MID(B1511,
IF(ISNUMBER(FIND("F",B1511)),FIND("F",B1511)+1,FIND("G",B1511)+1),
FIND("T",B1511)-(IF(ISNUMBER(FIND("F",B1511)),FIND("F",B1511)+1,FIND("G",B1511)+1))
)),
VALUE(MID(B1511,FIND("E0",B1511)+2,FIND("T",B1511,FIND("E0",B1511))-(FIND("E0",B1511)+2)))
))),"")</f>
        <v>142</v>
      </c>
      <c r="G1511">
        <f>IFERROR(
IF(ISNUMBER(FIND("T2",B1511)),220,
IF(ISNUMBER(FIND("T4",B1511)),440,
IF(ISNUMBER(FIND("T5",B1511)),575,
IF(ISNUMBER(FIND("T6",B1511)),690,"")))),
"")</f>
        <v>440</v>
      </c>
    </row>
    <row r="1512" spans="1:7" x14ac:dyDescent="0.25">
      <c r="A1512">
        <v>13326767</v>
      </c>
      <c r="B1512" t="str">
        <f>VLOOKUP(A1512,Planilha2!B:C,2,0)</f>
        <v>INVERSOR BRCFW110142T4SZ-UI</v>
      </c>
      <c r="C1512" t="s">
        <v>3170</v>
      </c>
      <c r="D1512" t="str">
        <f>VLOOKUP(A1512,Planilha2!B:H,7,0)</f>
        <v>LINHA G1</v>
      </c>
      <c r="E1512" s="5">
        <v>64210</v>
      </c>
      <c r="F1512">
        <f>IFERROR(
IF(ISNUMBER(FIND("CFW110",B1512)),
VALUE(MID(B1512,FIND("CFW110",B1512)+6,FIND("T",B1512,FIND("CFW110",B1512))-(FIND("CFW110",B1512)+6))),
IF(ISNUMBER(FIND("D",B1512)),
VALUE(SUBSTITUTE(MID(B1512,FIND("D",B1512)+1,FIND("T",B1512,FIND("D",B1512))-(FIND("D",B1512)+1)),"P",",")),
IF(ISNUMBER(FIND("CFW5",B1512)),
VALUE(MID(B1512,
IF(ISNUMBER(FIND("F",B1512)),FIND("F",B1512)+1,FIND("G",B1512)+1),
FIND("T",B1512)-(IF(ISNUMBER(FIND("F",B1512)),FIND("F",B1512)+1,FIND("G",B1512)+1))
)),
VALUE(MID(B1512,FIND("E0",B1512)+2,FIND("T",B1512,FIND("E0",B1512))-(FIND("E0",B1512)+2)))
))),"")</f>
        <v>142</v>
      </c>
      <c r="G1512">
        <f>IFERROR(
IF(ISNUMBER(FIND("T2",B1512)),220,
IF(ISNUMBER(FIND("T4",B1512)),440,
IF(ISNUMBER(FIND("T5",B1512)),575,
IF(ISNUMBER(FIND("T6",B1512)),690,"")))),
"")</f>
        <v>440</v>
      </c>
    </row>
    <row r="1513" spans="1:7" x14ac:dyDescent="0.25">
      <c r="A1513">
        <v>13326890</v>
      </c>
      <c r="B1513" t="str">
        <f>VLOOKUP(A1513,Planilha2!B:C,2,0)</f>
        <v>INVERSOR BRCFW110211T4SZ-UI</v>
      </c>
      <c r="C1513" t="s">
        <v>3170</v>
      </c>
      <c r="D1513" t="str">
        <f>VLOOKUP(A1513,Planilha2!B:H,7,0)</f>
        <v>LINHA G1</v>
      </c>
      <c r="E1513" s="5">
        <v>68200</v>
      </c>
      <c r="F1513">
        <f>IFERROR(
IF(ISNUMBER(FIND("CFW110",B1513)),
VALUE(MID(B1513,FIND("CFW110",B1513)+6,FIND("T",B1513,FIND("CFW110",B1513))-(FIND("CFW110",B1513)+6))),
IF(ISNUMBER(FIND("D",B1513)),
VALUE(SUBSTITUTE(MID(B1513,FIND("D",B1513)+1,FIND("T",B1513,FIND("D",B1513))-(FIND("D",B1513)+1)),"P",",")),
IF(ISNUMBER(FIND("CFW5",B1513)),
VALUE(MID(B1513,
IF(ISNUMBER(FIND("F",B1513)),FIND("F",B1513)+1,FIND("G",B1513)+1),
FIND("T",B1513)-(IF(ISNUMBER(FIND("F",B1513)),FIND("F",B1513)+1,FIND("G",B1513)+1))
)),
VALUE(MID(B1513,FIND("E0",B1513)+2,FIND("T",B1513,FIND("E0",B1513))-(FIND("E0",B1513)+2)))
))),"")</f>
        <v>211</v>
      </c>
      <c r="G1513">
        <f>IFERROR(
IF(ISNUMBER(FIND("T2",B1513)),220,
IF(ISNUMBER(FIND("T4",B1513)),440,
IF(ISNUMBER(FIND("T5",B1513)),575,
IF(ISNUMBER(FIND("T6",B1513)),690,"")))),
"")</f>
        <v>440</v>
      </c>
    </row>
    <row r="1514" spans="1:7" x14ac:dyDescent="0.25">
      <c r="A1514">
        <v>13326891</v>
      </c>
      <c r="B1514" t="str">
        <f>VLOOKUP(A1514,Planilha2!B:C,2,0)</f>
        <v>INVERSOR EUCFW110211T4SZ-UI</v>
      </c>
      <c r="C1514" t="s">
        <v>3170</v>
      </c>
      <c r="D1514" t="str">
        <f>VLOOKUP(A1514,Planilha2!B:H,7,0)</f>
        <v>LINHA G1</v>
      </c>
      <c r="E1514" s="5">
        <v>65000</v>
      </c>
      <c r="F1514">
        <f>IFERROR(
IF(ISNUMBER(FIND("CFW110",B1514)),
VALUE(MID(B1514,FIND("CFW110",B1514)+6,FIND("T",B1514,FIND("CFW110",B1514))-(FIND("CFW110",B1514)+6))),
IF(ISNUMBER(FIND("D",B1514)),
VALUE(SUBSTITUTE(MID(B1514,FIND("D",B1514)+1,FIND("T",B1514,FIND("D",B1514))-(FIND("D",B1514)+1)),"P",",")),
IF(ISNUMBER(FIND("CFW5",B1514)),
VALUE(MID(B1514,
IF(ISNUMBER(FIND("F",B1514)),FIND("F",B1514)+1,FIND("G",B1514)+1),
FIND("T",B1514)-(IF(ISNUMBER(FIND("F",B1514)),FIND("F",B1514)+1,FIND("G",B1514)+1))
)),
VALUE(MID(B1514,FIND("E0",B1514)+2,FIND("T",B1514,FIND("E0",B1514))-(FIND("E0",B1514)+2)))
))),"")</f>
        <v>211</v>
      </c>
      <c r="G1514">
        <f>IFERROR(
IF(ISNUMBER(FIND("T2",B1514)),220,
IF(ISNUMBER(FIND("T4",B1514)),440,
IF(ISNUMBER(FIND("T5",B1514)),575,
IF(ISNUMBER(FIND("T6",B1514)),690,"")))),
"")</f>
        <v>440</v>
      </c>
    </row>
    <row r="1515" spans="1:7" x14ac:dyDescent="0.25">
      <c r="A1515">
        <v>13326892</v>
      </c>
      <c r="B1515" t="str">
        <f>VLOOKUP(A1515,Planilha2!B:C,2,0)</f>
        <v>INVERSOR BRCFW110180T4SZ-UI</v>
      </c>
      <c r="C1515" t="s">
        <v>3170</v>
      </c>
      <c r="D1515" t="str">
        <f>VLOOKUP(A1515,Planilha2!B:H,7,0)</f>
        <v>LINHA G1</v>
      </c>
      <c r="E1515" s="5">
        <v>65000</v>
      </c>
      <c r="F1515">
        <f>IFERROR(
IF(ISNUMBER(FIND("CFW110",B1515)),
VALUE(MID(B1515,FIND("CFW110",B1515)+6,FIND("T",B1515,FIND("CFW110",B1515))-(FIND("CFW110",B1515)+6))),
IF(ISNUMBER(FIND("D",B1515)),
VALUE(SUBSTITUTE(MID(B1515,FIND("D",B1515)+1,FIND("T",B1515,FIND("D",B1515))-(FIND("D",B1515)+1)),"P",",")),
IF(ISNUMBER(FIND("CFW5",B1515)),
VALUE(MID(B1515,
IF(ISNUMBER(FIND("F",B1515)),FIND("F",B1515)+1,FIND("G",B1515)+1),
FIND("T",B1515)-(IF(ISNUMBER(FIND("F",B1515)),FIND("F",B1515)+1,FIND("G",B1515)+1))
)),
VALUE(MID(B1515,FIND("E0",B1515)+2,FIND("T",B1515,FIND("E0",B1515))-(FIND("E0",B1515)+2)))
))),"")</f>
        <v>180</v>
      </c>
      <c r="G1515">
        <f>IFERROR(
IF(ISNUMBER(FIND("T2",B1515)),220,
IF(ISNUMBER(FIND("T4",B1515)),440,
IF(ISNUMBER(FIND("T5",B1515)),575,
IF(ISNUMBER(FIND("T6",B1515)),690,"")))),
"")</f>
        <v>440</v>
      </c>
    </row>
    <row r="1516" spans="1:7" x14ac:dyDescent="0.25">
      <c r="A1516">
        <v>13326895</v>
      </c>
      <c r="B1516" t="str">
        <f>VLOOKUP(A1516,Planilha2!B:C,2,0)</f>
        <v>INVERSOR BRCFW110180T2SZ-UI</v>
      </c>
      <c r="C1516" t="s">
        <v>3170</v>
      </c>
      <c r="D1516" t="str">
        <f>VLOOKUP(A1516,Planilha2!B:H,7,0)</f>
        <v>LINHA G1</v>
      </c>
      <c r="E1516" s="5">
        <v>69100</v>
      </c>
      <c r="F1516">
        <f>IFERROR(
IF(ISNUMBER(FIND("CFW110",B1516)),
VALUE(MID(B1516,FIND("CFW110",B1516)+6,FIND("T",B1516,FIND("CFW110",B1516))-(FIND("CFW110",B1516)+6))),
IF(ISNUMBER(FIND("D",B1516)),
VALUE(SUBSTITUTE(MID(B1516,FIND("D",B1516)+1,FIND("T",B1516,FIND("D",B1516))-(FIND("D",B1516)+1)),"P",",")),
IF(ISNUMBER(FIND("CFW5",B1516)),
VALUE(MID(B1516,
IF(ISNUMBER(FIND("F",B1516)),FIND("F",B1516)+1,FIND("G",B1516)+1),
FIND("T",B1516)-(IF(ISNUMBER(FIND("F",B1516)),FIND("F",B1516)+1,FIND("G",B1516)+1))
)),
VALUE(MID(B1516,FIND("E0",B1516)+2,FIND("T",B1516,FIND("E0",B1516))-(FIND("E0",B1516)+2)))
))),"")</f>
        <v>180</v>
      </c>
      <c r="G1516">
        <f>IFERROR(
IF(ISNUMBER(FIND("T2",B1516)),220,
IF(ISNUMBER(FIND("T4",B1516)),440,
IF(ISNUMBER(FIND("T5",B1516)),575,
IF(ISNUMBER(FIND("T6",B1516)),690,"")))),
"")</f>
        <v>220</v>
      </c>
    </row>
    <row r="1517" spans="1:7" x14ac:dyDescent="0.25">
      <c r="A1517">
        <v>13326897</v>
      </c>
      <c r="B1517" t="str">
        <f>VLOOKUP(A1517,Planilha2!B:C,2,0)</f>
        <v>INVERSOR CFW700E0142T4NB20C3Y1-UI</v>
      </c>
      <c r="C1517" t="s">
        <v>3170</v>
      </c>
      <c r="D1517" t="str">
        <f>VLOOKUP(A1517,Planilha2!B:H,7,0)</f>
        <v>LINHA G1</v>
      </c>
      <c r="E1517" s="5">
        <v>62500</v>
      </c>
      <c r="F1517">
        <f>IFERROR(
IF(ISNUMBER(FIND("CFW110",B1517)),
VALUE(MID(B1517,FIND("CFW110",B1517)+6,FIND("T",B1517,FIND("CFW110",B1517))-(FIND("CFW110",B1517)+6))),
IF(ISNUMBER(FIND("D",B1517)),
VALUE(SUBSTITUTE(MID(B1517,FIND("D",B1517)+1,FIND("T",B1517,FIND("D",B1517))-(FIND("D",B1517)+1)),"P",",")),
IF(ISNUMBER(FIND("CFW5",B1517)),
VALUE(MID(B1517,
IF(ISNUMBER(FIND("F",B1517)),FIND("F",B1517)+1,FIND("G",B1517)+1),
FIND("T",B1517)-(IF(ISNUMBER(FIND("F",B1517)),FIND("F",B1517)+1,FIND("G",B1517)+1))
)),
VALUE(MID(B1517,FIND("E0",B1517)+2,FIND("T",B1517,FIND("E0",B1517))-(FIND("E0",B1517)+2)))
))),"")</f>
        <v>142</v>
      </c>
      <c r="G1517">
        <f>IFERROR(
IF(ISNUMBER(FIND("T2",B1517)),220,
IF(ISNUMBER(FIND("T4",B1517)),440,
IF(ISNUMBER(FIND("T5",B1517)),575,
IF(ISNUMBER(FIND("T6",B1517)),690,"")))),
"")</f>
        <v>440</v>
      </c>
    </row>
    <row r="1518" spans="1:7" x14ac:dyDescent="0.25">
      <c r="A1518">
        <v>13327008</v>
      </c>
      <c r="B1518" t="str">
        <f>VLOOKUP(A1518,Planilha2!B:C,2,0)</f>
        <v>INVERSOR CFW700E0211T4NB20C3Y1-UI</v>
      </c>
      <c r="C1518" t="s">
        <v>3170</v>
      </c>
      <c r="D1518" t="str">
        <f>VLOOKUP(A1518,Planilha2!B:H,7,0)</f>
        <v>LINHA G1</v>
      </c>
      <c r="E1518" s="5">
        <v>65000</v>
      </c>
      <c r="F1518">
        <f>IFERROR(
IF(ISNUMBER(FIND("CFW110",B1518)),
VALUE(MID(B1518,FIND("CFW110",B1518)+6,FIND("T",B1518,FIND("CFW110",B1518))-(FIND("CFW110",B1518)+6))),
IF(ISNUMBER(FIND("D",B1518)),
VALUE(SUBSTITUTE(MID(B1518,FIND("D",B1518)+1,FIND("T",B1518,FIND("D",B1518))-(FIND("D",B1518)+1)),"P",",")),
IF(ISNUMBER(FIND("CFW5",B1518)),
VALUE(MID(B1518,
IF(ISNUMBER(FIND("F",B1518)),FIND("F",B1518)+1,FIND("G",B1518)+1),
FIND("T",B1518)-(IF(ISNUMBER(FIND("F",B1518)),FIND("F",B1518)+1,FIND("G",B1518)+1))
)),
VALUE(MID(B1518,FIND("E0",B1518)+2,FIND("T",B1518,FIND("E0",B1518))-(FIND("E0",B1518)+2)))
))),"")</f>
        <v>211</v>
      </c>
      <c r="G1518">
        <f>IFERROR(
IF(ISNUMBER(FIND("T2",B1518)),220,
IF(ISNUMBER(FIND("T4",B1518)),440,
IF(ISNUMBER(FIND("T5",B1518)),575,
IF(ISNUMBER(FIND("T6",B1518)),690,"")))),
"")</f>
        <v>440</v>
      </c>
    </row>
    <row r="1519" spans="1:7" x14ac:dyDescent="0.25">
      <c r="A1519">
        <v>13327009</v>
      </c>
      <c r="B1519" t="str">
        <f>VLOOKUP(A1519,Planilha2!B:C,2,0)</f>
        <v>INVERSOR CFW700E0142T4NB20C3-UI</v>
      </c>
      <c r="C1519" t="s">
        <v>3170</v>
      </c>
      <c r="D1519" t="str">
        <f>VLOOKUP(A1519,Planilha2!B:H,7,0)</f>
        <v>LINHA G1</v>
      </c>
      <c r="E1519" s="5">
        <v>62500</v>
      </c>
      <c r="F1519">
        <f>IFERROR(
IF(ISNUMBER(FIND("CFW110",B1519)),
VALUE(MID(B1519,FIND("CFW110",B1519)+6,FIND("T",B1519,FIND("CFW110",B1519))-(FIND("CFW110",B1519)+6))),
IF(ISNUMBER(FIND("D",B1519)),
VALUE(SUBSTITUTE(MID(B1519,FIND("D",B1519)+1,FIND("T",B1519,FIND("D",B1519))-(FIND("D",B1519)+1)),"P",",")),
IF(ISNUMBER(FIND("CFW5",B1519)),
VALUE(MID(B1519,
IF(ISNUMBER(FIND("F",B1519)),FIND("F",B1519)+1,FIND("G",B1519)+1),
FIND("T",B1519)-(IF(ISNUMBER(FIND("F",B1519)),FIND("F",B1519)+1,FIND("G",B1519)+1))
)),
VALUE(MID(B1519,FIND("E0",B1519)+2,FIND("T",B1519,FIND("E0",B1519))-(FIND("E0",B1519)+2)))
))),"")</f>
        <v>142</v>
      </c>
      <c r="G1519">
        <f>IFERROR(
IF(ISNUMBER(FIND("T2",B1519)),220,
IF(ISNUMBER(FIND("T4",B1519)),440,
IF(ISNUMBER(FIND("T5",B1519)),575,
IF(ISNUMBER(FIND("T6",B1519)),690,"")))),
"")</f>
        <v>440</v>
      </c>
    </row>
    <row r="1520" spans="1:7" x14ac:dyDescent="0.25">
      <c r="A1520">
        <v>13327013</v>
      </c>
      <c r="B1520" t="str">
        <f>VLOOKUP(A1520,Planilha2!B:C,2,0)</f>
        <v>INVERSOR CFW700E0211T4NB20C3-UI</v>
      </c>
      <c r="C1520" t="s">
        <v>3170</v>
      </c>
      <c r="D1520" t="str">
        <f>VLOOKUP(A1520,Planilha2!B:H,7,0)</f>
        <v>LINHA G1</v>
      </c>
      <c r="E1520" s="5">
        <v>69100</v>
      </c>
      <c r="F1520">
        <f>IFERROR(
IF(ISNUMBER(FIND("CFW110",B1520)),
VALUE(MID(B1520,FIND("CFW110",B1520)+6,FIND("T",B1520,FIND("CFW110",B1520))-(FIND("CFW110",B1520)+6))),
IF(ISNUMBER(FIND("D",B1520)),
VALUE(SUBSTITUTE(MID(B1520,FIND("D",B1520)+1,FIND("T",B1520,FIND("D",B1520))-(FIND("D",B1520)+1)),"P",",")),
IF(ISNUMBER(FIND("CFW5",B1520)),
VALUE(MID(B1520,
IF(ISNUMBER(FIND("F",B1520)),FIND("F",B1520)+1,FIND("G",B1520)+1),
FIND("T",B1520)-(IF(ISNUMBER(FIND("F",B1520)),FIND("F",B1520)+1,FIND("G",B1520)+1))
)),
VALUE(MID(B1520,FIND("E0",B1520)+2,FIND("T",B1520,FIND("E0",B1520))-(FIND("E0",B1520)+2)))
))),"")</f>
        <v>211</v>
      </c>
      <c r="G1520">
        <f>IFERROR(
IF(ISNUMBER(FIND("T2",B1520)),220,
IF(ISNUMBER(FIND("T4",B1520)),440,
IF(ISNUMBER(FIND("T5",B1520)),575,
IF(ISNUMBER(FIND("T6",B1520)),690,"")))),
"")</f>
        <v>440</v>
      </c>
    </row>
    <row r="1521" spans="1:7" x14ac:dyDescent="0.25">
      <c r="A1521">
        <v>13327015</v>
      </c>
      <c r="B1521" t="str">
        <f>VLOOKUP(A1521,Planilha2!B:C,2,0)</f>
        <v>INVERSOR CFW700E0105T4NB20C3-UI</v>
      </c>
      <c r="C1521" t="s">
        <v>3170</v>
      </c>
      <c r="D1521" t="str">
        <f>VLOOKUP(A1521,Planilha2!B:H,7,0)</f>
        <v>LINHA G1</v>
      </c>
      <c r="E1521" s="5">
        <v>69100</v>
      </c>
      <c r="F1521">
        <f>IFERROR(
IF(ISNUMBER(FIND("CFW110",B1521)),
VALUE(MID(B1521,FIND("CFW110",B1521)+6,FIND("T",B1521,FIND("CFW110",B1521))-(FIND("CFW110",B1521)+6))),
IF(ISNUMBER(FIND("D",B1521)),
VALUE(SUBSTITUTE(MID(B1521,FIND("D",B1521)+1,FIND("T",B1521,FIND("D",B1521))-(FIND("D",B1521)+1)),"P",",")),
IF(ISNUMBER(FIND("CFW5",B1521)),
VALUE(MID(B1521,
IF(ISNUMBER(FIND("F",B1521)),FIND("F",B1521)+1,FIND("G",B1521)+1),
FIND("T",B1521)-(IF(ISNUMBER(FIND("F",B1521)),FIND("F",B1521)+1,FIND("G",B1521)+1))
)),
VALUE(MID(B1521,FIND("E0",B1521)+2,FIND("T",B1521,FIND("E0",B1521))-(FIND("E0",B1521)+2)))
))),"")</f>
        <v>105</v>
      </c>
      <c r="G1521">
        <f>IFERROR(
IF(ISNUMBER(FIND("T2",B1521)),220,
IF(ISNUMBER(FIND("T4",B1521)),440,
IF(ISNUMBER(FIND("T5",B1521)),575,
IF(ISNUMBER(FIND("T6",B1521)),690,"")))),
"")</f>
        <v>440</v>
      </c>
    </row>
    <row r="1522" spans="1:7" x14ac:dyDescent="0.25">
      <c r="A1522">
        <v>13303978</v>
      </c>
      <c r="B1522" t="str">
        <f>VLOOKUP(A1522,Planilha2!B:C,2,0)</f>
        <v>INVERSOR NACFW110180T4OSWZ</v>
      </c>
      <c r="C1522" t="s">
        <v>3170</v>
      </c>
      <c r="D1522" t="str">
        <f>VLOOKUP(A1522,Planilha2!B:H,7,0)</f>
        <v>LINHA G1</v>
      </c>
      <c r="E1522" s="5">
        <v>65000</v>
      </c>
      <c r="F1522">
        <f>IFERROR(
IF(ISNUMBER(FIND("CFW110",B1522)),
VALUE(MID(B1522,FIND("CFW110",B1522)+6,FIND("T",B1522,FIND("CFW110",B1522))-(FIND("CFW110",B1522)+6))),
IF(ISNUMBER(FIND("D",B1522)),
VALUE(SUBSTITUTE(MID(B1522,FIND("D",B1522)+1,FIND("T",B1522,FIND("D",B1522))-(FIND("D",B1522)+1)),"P",",")),
IF(ISNUMBER(FIND("CFW5",B1522)),
VALUE(MID(B1522,
IF(ISNUMBER(FIND("F",B1522)),FIND("F",B1522)+1,FIND("G",B1522)+1),
FIND("T",B1522)-(IF(ISNUMBER(FIND("F",B1522)),FIND("F",B1522)+1,FIND("G",B1522)+1))
)),
VALUE(MID(B1522,FIND("E0",B1522)+2,FIND("T",B1522,FIND("E0",B1522))-(FIND("E0",B1522)+2)))
))),"")</f>
        <v>180</v>
      </c>
      <c r="G1522">
        <f>IFERROR(
IF(ISNUMBER(FIND("T2",B1522)),220,
IF(ISNUMBER(FIND("T4",B1522)),440,
IF(ISNUMBER(FIND("T5",B1522)),575,
IF(ISNUMBER(FIND("T6",B1522)),690,"")))),
"")</f>
        <v>440</v>
      </c>
    </row>
    <row r="1523" spans="1:7" x14ac:dyDescent="0.25">
      <c r="A1523">
        <v>13303985</v>
      </c>
      <c r="B1523" t="str">
        <f>VLOOKUP(A1523,Planilha2!B:C,2,0)</f>
        <v>INVERSOR NACFW110180T4ODBSWZ</v>
      </c>
      <c r="C1523" t="s">
        <v>3170</v>
      </c>
      <c r="D1523" t="str">
        <f>VLOOKUP(A1523,Planilha2!B:H,7,0)</f>
        <v>LINHA G1</v>
      </c>
      <c r="E1523" s="5">
        <v>68100</v>
      </c>
      <c r="F1523">
        <f>IFERROR(
IF(ISNUMBER(FIND("CFW110",B1523)),
VALUE(MID(B1523,FIND("CFW110",B1523)+6,FIND("T",B1523,FIND("CFW110",B1523))-(FIND("CFW110",B1523)+6))),
IF(ISNUMBER(FIND("D",B1523)),
VALUE(SUBSTITUTE(MID(B1523,FIND("D",B1523)+1,FIND("T",B1523,FIND("D",B1523))-(FIND("D",B1523)+1)),"P",",")),
IF(ISNUMBER(FIND("CFW5",B1523)),
VALUE(MID(B1523,
IF(ISNUMBER(FIND("F",B1523)),FIND("F",B1523)+1,FIND("G",B1523)+1),
FIND("T",B1523)-(IF(ISNUMBER(FIND("F",B1523)),FIND("F",B1523)+1,FIND("G",B1523)+1))
)),
VALUE(MID(B1523,FIND("E0",B1523)+2,FIND("T",B1523,FIND("E0",B1523))-(FIND("E0",B1523)+2)))
))),"")</f>
        <v>180</v>
      </c>
      <c r="G1523">
        <f>IFERROR(
IF(ISNUMBER(FIND("T2",B1523)),220,
IF(ISNUMBER(FIND("T4",B1523)),440,
IF(ISNUMBER(FIND("T5",B1523)),575,
IF(ISNUMBER(FIND("T6",B1523)),690,"")))),
"")</f>
        <v>440</v>
      </c>
    </row>
    <row r="1524" spans="1:7" x14ac:dyDescent="0.25">
      <c r="A1524">
        <v>13339009</v>
      </c>
      <c r="B1524" t="str">
        <f>VLOOKUP(A1524,Planilha2!B:C,2,0)</f>
        <v>INVERSOR CFW700E0211T4NB20C3Y1HASC</v>
      </c>
      <c r="C1524" t="s">
        <v>3170</v>
      </c>
      <c r="D1524" t="str">
        <f>VLOOKUP(A1524,Planilha2!B:H,7,0)</f>
        <v>OBSOLETOS DRIVES</v>
      </c>
      <c r="E1524" s="5">
        <v>65000</v>
      </c>
      <c r="F1524">
        <f>IFERROR(
IF(ISNUMBER(FIND("CFW110",B1524)),
VALUE(MID(B1524,FIND("CFW110",B1524)+6,FIND("T",B1524,FIND("CFW110",B1524))-(FIND("CFW110",B1524)+6))),
IF(ISNUMBER(FIND("D",B1524)),
VALUE(SUBSTITUTE(MID(B1524,FIND("D",B1524)+1,FIND("T",B1524,FIND("D",B1524))-(FIND("D",B1524)+1)),"P",",")),
IF(ISNUMBER(FIND("CFW5",B1524)),
VALUE(MID(B1524,
IF(ISNUMBER(FIND("F",B1524)),FIND("F",B1524)+1,FIND("G",B1524)+1),
FIND("T",B1524)-(IF(ISNUMBER(FIND("F",B1524)),FIND("F",B1524)+1,FIND("G",B1524)+1))
)),
VALUE(MID(B1524,FIND("E0",B1524)+2,FIND("T",B1524,FIND("E0",B1524))-(FIND("E0",B1524)+2)))
))),"")</f>
        <v>211</v>
      </c>
      <c r="G1524">
        <f>IFERROR(
IF(ISNUMBER(FIND("T2",B1524)),220,
IF(ISNUMBER(FIND("T4",B1524)),440,
IF(ISNUMBER(FIND("T5",B1524)),575,
IF(ISNUMBER(FIND("T6",B1524)),690,"")))),
"")</f>
        <v>440</v>
      </c>
    </row>
    <row r="1525" spans="1:7" x14ac:dyDescent="0.25">
      <c r="A1525">
        <v>11988654</v>
      </c>
      <c r="B1525" t="str">
        <f>VLOOKUP(A1525,Planilha2!B:C,2,0)</f>
        <v>INVERSOR SACFW110107T6OYZ</v>
      </c>
      <c r="C1525" t="s">
        <v>3170</v>
      </c>
      <c r="D1525" t="str">
        <f>VLOOKUP(A1525,Planilha2!B:H,7,0)</f>
        <v>LINHA G1</v>
      </c>
      <c r="E1525" s="5">
        <v>60360</v>
      </c>
      <c r="F1525">
        <f>IFERROR(
IF(ISNUMBER(FIND("CFW110",B1525)),
VALUE(MID(B1525,FIND("CFW110",B1525)+6,FIND("T",B1525,FIND("CFW110",B1525))-(FIND("CFW110",B1525)+6))),
IF(ISNUMBER(FIND("D",B1525)),
VALUE(SUBSTITUTE(MID(B1525,FIND("D",B1525)+1,FIND("T",B1525,FIND("D",B1525))-(FIND("D",B1525)+1)),"P",",")),
IF(ISNUMBER(FIND("CFW5",B1525)),
VALUE(MID(B1525,
IF(ISNUMBER(FIND("F",B1525)),FIND("F",B1525)+1,FIND("G",B1525)+1),
FIND("T",B1525)-(IF(ISNUMBER(FIND("F",B1525)),FIND("F",B1525)+1,FIND("G",B1525)+1))
)),
VALUE(MID(B1525,FIND("E0",B1525)+2,FIND("T",B1525,FIND("E0",B1525))-(FIND("E0",B1525)+2)))
))),"")</f>
        <v>107</v>
      </c>
      <c r="G1525">
        <f>IFERROR(
IF(ISNUMBER(FIND("T2",B1525)),220,
IF(ISNUMBER(FIND("T4",B1525)),440,
IF(ISNUMBER(FIND("T5",B1525)),575,
IF(ISNUMBER(FIND("T6",B1525)),690,"")))),
"")</f>
        <v>690</v>
      </c>
    </row>
    <row r="1526" spans="1:7" x14ac:dyDescent="0.25">
      <c r="A1526">
        <v>13545197</v>
      </c>
      <c r="B1526" t="str">
        <f>VLOOKUP(A1526,Planilha2!B:C,2,0)</f>
        <v>INVERSOR EUCFW110211T4O55DSZ</v>
      </c>
      <c r="C1526" t="s">
        <v>3170</v>
      </c>
      <c r="D1526" t="str">
        <f>VLOOKUP(A1526,Planilha2!B:H,7,0)</f>
        <v>LINHA E1</v>
      </c>
      <c r="E1526" s="5">
        <v>100300</v>
      </c>
      <c r="F1526">
        <f>IFERROR(
IF(ISNUMBER(FIND("CFW110",B1526)),
VALUE(MID(B1526,FIND("CFW110",B1526)+6,FIND("T",B1526,FIND("CFW110",B1526))-(FIND("CFW110",B1526)+6))),
IF(ISNUMBER(FIND("D",B1526)),
VALUE(SUBSTITUTE(MID(B1526,FIND("D",B1526)+1,FIND("T",B1526,FIND("D",B1526))-(FIND("D",B1526)+1)),"P",",")),
IF(ISNUMBER(FIND("CFW5",B1526)),
VALUE(MID(B1526,
IF(ISNUMBER(FIND("F",B1526)),FIND("F",B1526)+1,FIND("G",B1526)+1),
FIND("T",B1526)-(IF(ISNUMBER(FIND("F",B1526)),FIND("F",B1526)+1,FIND("G",B1526)+1))
)),
VALUE(MID(B1526,FIND("E0",B1526)+2,FIND("T",B1526,FIND("E0",B1526))-(FIND("E0",B1526)+2)))
))),"")</f>
        <v>211</v>
      </c>
      <c r="G1526">
        <f>IFERROR(
IF(ISNUMBER(FIND("T2",B1526)),220,
IF(ISNUMBER(FIND("T4",B1526)),440,
IF(ISNUMBER(FIND("T5",B1526)),575,
IF(ISNUMBER(FIND("T6",B1526)),690,"")))),
"")</f>
        <v>440</v>
      </c>
    </row>
    <row r="1527" spans="1:7" x14ac:dyDescent="0.25">
      <c r="A1527">
        <v>13625482</v>
      </c>
      <c r="B1527" t="str">
        <f>VLOOKUP(A1527,Planilha2!B:C,2,0)</f>
        <v>INVERSOR BRCFW110142T4ORBZ-UI</v>
      </c>
      <c r="C1527" t="s">
        <v>3170</v>
      </c>
      <c r="D1527" t="str">
        <f>VLOOKUP(A1527,Planilha2!B:H,7,0)</f>
        <v>LINHA G1</v>
      </c>
      <c r="E1527" s="5">
        <v>64210</v>
      </c>
      <c r="F1527">
        <f>IFERROR(
IF(ISNUMBER(FIND("CFW110",B1527)),
VALUE(MID(B1527,FIND("CFW110",B1527)+6,FIND("T",B1527,FIND("CFW110",B1527))-(FIND("CFW110",B1527)+6))),
IF(ISNUMBER(FIND("D",B1527)),
VALUE(SUBSTITUTE(MID(B1527,FIND("D",B1527)+1,FIND("T",B1527,FIND("D",B1527))-(FIND("D",B1527)+1)),"P",",")),
IF(ISNUMBER(FIND("CFW5",B1527)),
VALUE(MID(B1527,
IF(ISNUMBER(FIND("F",B1527)),FIND("F",B1527)+1,FIND("G",B1527)+1),
FIND("T",B1527)-(IF(ISNUMBER(FIND("F",B1527)),FIND("F",B1527)+1,FIND("G",B1527)+1))
)),
VALUE(MID(B1527,FIND("E0",B1527)+2,FIND("T",B1527,FIND("E0",B1527))-(FIND("E0",B1527)+2)))
))),"")</f>
        <v>142</v>
      </c>
      <c r="G1527">
        <f>IFERROR(
IF(ISNUMBER(FIND("T2",B1527)),220,
IF(ISNUMBER(FIND("T4",B1527)),440,
IF(ISNUMBER(FIND("T5",B1527)),575,
IF(ISNUMBER(FIND("T6",B1527)),690,"")))),
"")</f>
        <v>440</v>
      </c>
    </row>
    <row r="1528" spans="1:7" x14ac:dyDescent="0.25">
      <c r="A1528">
        <v>13625572</v>
      </c>
      <c r="B1528" t="str">
        <f>VLOOKUP(A1528,Planilha2!B:C,2,0)</f>
        <v>INVERSOR BRCFW110180T4ORBZ-UI</v>
      </c>
      <c r="C1528" t="s">
        <v>3170</v>
      </c>
      <c r="D1528" t="str">
        <f>VLOOKUP(A1528,Planilha2!B:H,7,0)</f>
        <v>LINHA G1</v>
      </c>
      <c r="E1528" s="5">
        <v>65000</v>
      </c>
      <c r="F1528">
        <f>IFERROR(
IF(ISNUMBER(FIND("CFW110",B1528)),
VALUE(MID(B1528,FIND("CFW110",B1528)+6,FIND("T",B1528,FIND("CFW110",B1528))-(FIND("CFW110",B1528)+6))),
IF(ISNUMBER(FIND("D",B1528)),
VALUE(SUBSTITUTE(MID(B1528,FIND("D",B1528)+1,FIND("T",B1528,FIND("D",B1528))-(FIND("D",B1528)+1)),"P",",")),
IF(ISNUMBER(FIND("CFW5",B1528)),
VALUE(MID(B1528,
IF(ISNUMBER(FIND("F",B1528)),FIND("F",B1528)+1,FIND("G",B1528)+1),
FIND("T",B1528)-(IF(ISNUMBER(FIND("F",B1528)),FIND("F",B1528)+1,FIND("G",B1528)+1))
)),
VALUE(MID(B1528,FIND("E0",B1528)+2,FIND("T",B1528,FIND("E0",B1528))-(FIND("E0",B1528)+2)))
))),"")</f>
        <v>180</v>
      </c>
      <c r="G1528">
        <f>IFERROR(
IF(ISNUMBER(FIND("T2",B1528)),220,
IF(ISNUMBER(FIND("T4",B1528)),440,
IF(ISNUMBER(FIND("T5",B1528)),575,
IF(ISNUMBER(FIND("T6",B1528)),690,"")))),
"")</f>
        <v>440</v>
      </c>
    </row>
    <row r="1529" spans="1:7" x14ac:dyDescent="0.25">
      <c r="A1529">
        <v>13625573</v>
      </c>
      <c r="B1529" t="str">
        <f>VLOOKUP(A1529,Planilha2!B:C,2,0)</f>
        <v>INVERSOR BRCFW110180T4ODCZ-UI</v>
      </c>
      <c r="C1529" t="s">
        <v>3170</v>
      </c>
      <c r="D1529" t="str">
        <f>VLOOKUP(A1529,Planilha2!B:H,7,0)</f>
        <v>LINHA G1</v>
      </c>
      <c r="E1529" s="5">
        <v>65000</v>
      </c>
      <c r="F1529">
        <f>IFERROR(
IF(ISNUMBER(FIND("CFW110",B1529)),
VALUE(MID(B1529,FIND("CFW110",B1529)+6,FIND("T",B1529,FIND("CFW110",B1529))-(FIND("CFW110",B1529)+6))),
IF(ISNUMBER(FIND("D",B1529)),
VALUE(SUBSTITUTE(MID(B1529,FIND("D",B1529)+1,FIND("T",B1529,FIND("D",B1529))-(FIND("D",B1529)+1)),"P",",")),
IF(ISNUMBER(FIND("CFW5",B1529)),
VALUE(MID(B1529,
IF(ISNUMBER(FIND("F",B1529)),FIND("F",B1529)+1,FIND("G",B1529)+1),
FIND("T",B1529)-(IF(ISNUMBER(FIND("F",B1529)),FIND("F",B1529)+1,FIND("G",B1529)+1))
)),
VALUE(MID(B1529,FIND("E0",B1529)+2,FIND("T",B1529,FIND("E0",B1529))-(FIND("E0",B1529)+2)))
))),"")</f>
        <v>180</v>
      </c>
      <c r="G1529">
        <f>IFERROR(
IF(ISNUMBER(FIND("T2",B1529)),220,
IF(ISNUMBER(FIND("T4",B1529)),440,
IF(ISNUMBER(FIND("T5",B1529)),575,
IF(ISNUMBER(FIND("T6",B1529)),690,"")))),
"")</f>
        <v>440</v>
      </c>
    </row>
    <row r="1530" spans="1:7" x14ac:dyDescent="0.25">
      <c r="A1530">
        <v>13625574</v>
      </c>
      <c r="B1530" t="str">
        <f>VLOOKUP(A1530,Planilha2!B:C,2,0)</f>
        <v>INVERSOR BRCFW110142T4ODCZ-UI</v>
      </c>
      <c r="C1530" t="s">
        <v>3170</v>
      </c>
      <c r="D1530" t="str">
        <f>VLOOKUP(A1530,Planilha2!B:H,7,0)</f>
        <v>LINHA G1</v>
      </c>
      <c r="E1530" s="5">
        <v>64210</v>
      </c>
      <c r="F1530">
        <f>IFERROR(
IF(ISNUMBER(FIND("CFW110",B1530)),
VALUE(MID(B1530,FIND("CFW110",B1530)+6,FIND("T",B1530,FIND("CFW110",B1530))-(FIND("CFW110",B1530)+6))),
IF(ISNUMBER(FIND("D",B1530)),
VALUE(SUBSTITUTE(MID(B1530,FIND("D",B1530)+1,FIND("T",B1530,FIND("D",B1530))-(FIND("D",B1530)+1)),"P",",")),
IF(ISNUMBER(FIND("CFW5",B1530)),
VALUE(MID(B1530,
IF(ISNUMBER(FIND("F",B1530)),FIND("F",B1530)+1,FIND("G",B1530)+1),
FIND("T",B1530)-(IF(ISNUMBER(FIND("F",B1530)),FIND("F",B1530)+1,FIND("G",B1530)+1))
)),
VALUE(MID(B1530,FIND("E0",B1530)+2,FIND("T",B1530,FIND("E0",B1530))-(FIND("E0",B1530)+2)))
))),"")</f>
        <v>142</v>
      </c>
      <c r="G1530">
        <f>IFERROR(
IF(ISNUMBER(FIND("T2",B1530)),220,
IF(ISNUMBER(FIND("T4",B1530)),440,
IF(ISNUMBER(FIND("T5",B1530)),575,
IF(ISNUMBER(FIND("T6",B1530)),690,"")))),
"")</f>
        <v>440</v>
      </c>
    </row>
    <row r="1531" spans="1:7" x14ac:dyDescent="0.25">
      <c r="A1531">
        <v>13541582</v>
      </c>
      <c r="B1531" t="str">
        <f>VLOOKUP(A1531,Planilha2!B:C,2,0)</f>
        <v>INVERSOR BRCFW110105T4O55Z</v>
      </c>
      <c r="C1531" t="s">
        <v>3170</v>
      </c>
      <c r="D1531" t="str">
        <f>VLOOKUP(A1531,Planilha2!B:H,7,0)</f>
        <v>LINHA E1</v>
      </c>
      <c r="E1531" s="5">
        <v>85300</v>
      </c>
      <c r="F1531">
        <f>IFERROR(
IF(ISNUMBER(FIND("CFW110",B1531)),
VALUE(MID(B1531,FIND("CFW110",B1531)+6,FIND("T",B1531,FIND("CFW110",B1531))-(FIND("CFW110",B1531)+6))),
IF(ISNUMBER(FIND("D",B1531)),
VALUE(SUBSTITUTE(MID(B1531,FIND("D",B1531)+1,FIND("T",B1531,FIND("D",B1531))-(FIND("D",B1531)+1)),"P",",")),
IF(ISNUMBER(FIND("CFW5",B1531)),
VALUE(MID(B1531,
IF(ISNUMBER(FIND("F",B1531)),FIND("F",B1531)+1,FIND("G",B1531)+1),
FIND("T",B1531)-(IF(ISNUMBER(FIND("F",B1531)),FIND("F",B1531)+1,FIND("G",B1531)+1))
)),
VALUE(MID(B1531,FIND("E0",B1531)+2,FIND("T",B1531,FIND("E0",B1531))-(FIND("E0",B1531)+2)))
))),"")</f>
        <v>105</v>
      </c>
      <c r="G1531">
        <f>IFERROR(
IF(ISNUMBER(FIND("T2",B1531)),220,
IF(ISNUMBER(FIND("T4",B1531)),440,
IF(ISNUMBER(FIND("T5",B1531)),575,
IF(ISNUMBER(FIND("T6",B1531)),690,"")))),
"")</f>
        <v>440</v>
      </c>
    </row>
    <row r="1532" spans="1:7" x14ac:dyDescent="0.25">
      <c r="A1532">
        <v>13544435</v>
      </c>
      <c r="B1532" t="str">
        <f>VLOOKUP(A1532,Planilha2!B:C,2,0)</f>
        <v>INVERSOR BRCFW110105T4O55DSZ</v>
      </c>
      <c r="C1532" t="s">
        <v>3170</v>
      </c>
      <c r="D1532" t="str">
        <f>VLOOKUP(A1532,Planilha2!B:H,7,0)</f>
        <v>LINHA E1</v>
      </c>
      <c r="E1532" s="5">
        <v>87400</v>
      </c>
      <c r="F1532">
        <f>IFERROR(
IF(ISNUMBER(FIND("CFW110",B1532)),
VALUE(MID(B1532,FIND("CFW110",B1532)+6,FIND("T",B1532,FIND("CFW110",B1532))-(FIND("CFW110",B1532)+6))),
IF(ISNUMBER(FIND("D",B1532)),
VALUE(SUBSTITUTE(MID(B1532,FIND("D",B1532)+1,FIND("T",B1532,FIND("D",B1532))-(FIND("D",B1532)+1)),"P",",")),
IF(ISNUMBER(FIND("CFW5",B1532)),
VALUE(MID(B1532,
IF(ISNUMBER(FIND("F",B1532)),FIND("F",B1532)+1,FIND("G",B1532)+1),
FIND("T",B1532)-(IF(ISNUMBER(FIND("F",B1532)),FIND("F",B1532)+1,FIND("G",B1532)+1))
)),
VALUE(MID(B1532,FIND("E0",B1532)+2,FIND("T",B1532,FIND("E0",B1532))-(FIND("E0",B1532)+2)))
))),"")</f>
        <v>105</v>
      </c>
      <c r="G1532">
        <f>IFERROR(
IF(ISNUMBER(FIND("T2",B1532)),220,
IF(ISNUMBER(FIND("T4",B1532)),440,
IF(ISNUMBER(FIND("T5",B1532)),575,
IF(ISNUMBER(FIND("T6",B1532)),690,"")))),
"")</f>
        <v>440</v>
      </c>
    </row>
    <row r="1533" spans="1:7" x14ac:dyDescent="0.25">
      <c r="A1533">
        <v>13538100</v>
      </c>
      <c r="B1533" t="str">
        <f>VLOOKUP(A1533,Planilha2!B:C,2,0)</f>
        <v>INVERSOR EUCFW110105T4O55Z</v>
      </c>
      <c r="C1533" t="s">
        <v>3170</v>
      </c>
      <c r="D1533" t="str">
        <f>VLOOKUP(A1533,Planilha2!B:H,7,0)</f>
        <v>LINHA E1</v>
      </c>
      <c r="E1533" s="5">
        <v>85300</v>
      </c>
      <c r="F1533">
        <f>IFERROR(
IF(ISNUMBER(FIND("CFW110",B1533)),
VALUE(MID(B1533,FIND("CFW110",B1533)+6,FIND("T",B1533,FIND("CFW110",B1533))-(FIND("CFW110",B1533)+6))),
IF(ISNUMBER(FIND("D",B1533)),
VALUE(SUBSTITUTE(MID(B1533,FIND("D",B1533)+1,FIND("T",B1533,FIND("D",B1533))-(FIND("D",B1533)+1)),"P",",")),
IF(ISNUMBER(FIND("CFW5",B1533)),
VALUE(MID(B1533,
IF(ISNUMBER(FIND("F",B1533)),FIND("F",B1533)+1,FIND("G",B1533)+1),
FIND("T",B1533)-(IF(ISNUMBER(FIND("F",B1533)),FIND("F",B1533)+1,FIND("G",B1533)+1))
)),
VALUE(MID(B1533,FIND("E0",B1533)+2,FIND("T",B1533,FIND("E0",B1533))-(FIND("E0",B1533)+2)))
))),"")</f>
        <v>105</v>
      </c>
      <c r="G1533">
        <f>IFERROR(
IF(ISNUMBER(FIND("T2",B1533)),220,
IF(ISNUMBER(FIND("T4",B1533)),440,
IF(ISNUMBER(FIND("T5",B1533)),575,
IF(ISNUMBER(FIND("T6",B1533)),690,"")))),
"")</f>
        <v>440</v>
      </c>
    </row>
    <row r="1534" spans="1:7" x14ac:dyDescent="0.25">
      <c r="A1534">
        <v>13540820</v>
      </c>
      <c r="B1534" t="str">
        <f>VLOOKUP(A1534,Planilha2!B:C,2,0)</f>
        <v>INVERSOR EUCFW110105T4O55DSZ</v>
      </c>
      <c r="C1534" t="s">
        <v>3170</v>
      </c>
      <c r="D1534" t="str">
        <f>VLOOKUP(A1534,Planilha2!B:H,7,0)</f>
        <v>LINHA E1</v>
      </c>
      <c r="E1534" s="5">
        <v>87400</v>
      </c>
      <c r="F1534">
        <f>IFERROR(
IF(ISNUMBER(FIND("CFW110",B1534)),
VALUE(MID(B1534,FIND("CFW110",B1534)+6,FIND("T",B1534,FIND("CFW110",B1534))-(FIND("CFW110",B1534)+6))),
IF(ISNUMBER(FIND("D",B1534)),
VALUE(SUBSTITUTE(MID(B1534,FIND("D",B1534)+1,FIND("T",B1534,FIND("D",B1534))-(FIND("D",B1534)+1)),"P",",")),
IF(ISNUMBER(FIND("CFW5",B1534)),
VALUE(MID(B1534,
IF(ISNUMBER(FIND("F",B1534)),FIND("F",B1534)+1,FIND("G",B1534)+1),
FIND("T",B1534)-(IF(ISNUMBER(FIND("F",B1534)),FIND("F",B1534)+1,FIND("G",B1534)+1))
)),
VALUE(MID(B1534,FIND("E0",B1534)+2,FIND("T",B1534,FIND("E0",B1534))-(FIND("E0",B1534)+2)))
))),"")</f>
        <v>105</v>
      </c>
      <c r="G1534">
        <f>IFERROR(
IF(ISNUMBER(FIND("T2",B1534)),220,
IF(ISNUMBER(FIND("T4",B1534)),440,
IF(ISNUMBER(FIND("T5",B1534)),575,
IF(ISNUMBER(FIND("T6",B1534)),690,"")))),
"")</f>
        <v>440</v>
      </c>
    </row>
    <row r="1535" spans="1:7" x14ac:dyDescent="0.25">
      <c r="A1535">
        <v>13594261</v>
      </c>
      <c r="B1535" t="str">
        <f>VLOOKUP(A1535,Planilha2!B:C,2,0)</f>
        <v>INVERSOR SACFW110105T4ORBZ</v>
      </c>
      <c r="C1535" t="s">
        <v>3170</v>
      </c>
      <c r="D1535" t="str">
        <f>VLOOKUP(A1535,Planilha2!B:H,7,0)</f>
        <v>LINHA G1</v>
      </c>
      <c r="E1535" s="5">
        <v>50288</v>
      </c>
      <c r="F1535">
        <f>IFERROR(
IF(ISNUMBER(FIND("CFW110",B1535)),
VALUE(MID(B1535,FIND("CFW110",B1535)+6,FIND("T",B1535,FIND("CFW110",B1535))-(FIND("CFW110",B1535)+6))),
IF(ISNUMBER(FIND("D",B1535)),
VALUE(SUBSTITUTE(MID(B1535,FIND("D",B1535)+1,FIND("T",B1535,FIND("D",B1535))-(FIND("D",B1535)+1)),"P",",")),
IF(ISNUMBER(FIND("CFW5",B1535)),
VALUE(MID(B1535,
IF(ISNUMBER(FIND("F",B1535)),FIND("F",B1535)+1,FIND("G",B1535)+1),
FIND("T",B1535)-(IF(ISNUMBER(FIND("F",B1535)),FIND("F",B1535)+1,FIND("G",B1535)+1))
)),
VALUE(MID(B1535,FIND("E0",B1535)+2,FIND("T",B1535,FIND("E0",B1535))-(FIND("E0",B1535)+2)))
))),"")</f>
        <v>105</v>
      </c>
      <c r="G1535">
        <f>IFERROR(
IF(ISNUMBER(FIND("T2",B1535)),220,
IF(ISNUMBER(FIND("T4",B1535)),440,
IF(ISNUMBER(FIND("T5",B1535)),575,
IF(ISNUMBER(FIND("T6",B1535)),690,"")))),
"")</f>
        <v>440</v>
      </c>
    </row>
    <row r="1536" spans="1:7" x14ac:dyDescent="0.25">
      <c r="A1536">
        <v>13597113</v>
      </c>
      <c r="B1536" t="str">
        <f>VLOOKUP(A1536,Planilha2!B:C,2,0)</f>
        <v>INVERSOR SACFW110105T4ORBZ-UI</v>
      </c>
      <c r="C1536" t="s">
        <v>3170</v>
      </c>
      <c r="D1536" t="str">
        <f>VLOOKUP(A1536,Planilha2!B:H,7,0)</f>
        <v>LINHA G1</v>
      </c>
      <c r="E1536" s="5">
        <v>50000</v>
      </c>
      <c r="F1536">
        <f>IFERROR(
IF(ISNUMBER(FIND("CFW110",B1536)),
VALUE(MID(B1536,FIND("CFW110",B1536)+6,FIND("T",B1536,FIND("CFW110",B1536))-(FIND("CFW110",B1536)+6))),
IF(ISNUMBER(FIND("D",B1536)),
VALUE(SUBSTITUTE(MID(B1536,FIND("D",B1536)+1,FIND("T",B1536,FIND("D",B1536))-(FIND("D",B1536)+1)),"P",",")),
IF(ISNUMBER(FIND("CFW5",B1536)),
VALUE(MID(B1536,
IF(ISNUMBER(FIND("F",B1536)),FIND("F",B1536)+1,FIND("G",B1536)+1),
FIND("T",B1536)-(IF(ISNUMBER(FIND("F",B1536)),FIND("F",B1536)+1,FIND("G",B1536)+1))
)),
VALUE(MID(B1536,FIND("E0",B1536)+2,FIND("T",B1536,FIND("E0",B1536))-(FIND("E0",B1536)+2)))
))),"")</f>
        <v>105</v>
      </c>
      <c r="G1536">
        <f>IFERROR(
IF(ISNUMBER(FIND("T2",B1536)),220,
IF(ISNUMBER(FIND("T4",B1536)),440,
IF(ISNUMBER(FIND("T5",B1536)),575,
IF(ISNUMBER(FIND("T6",B1536)),690,"")))),
"")</f>
        <v>440</v>
      </c>
    </row>
    <row r="1537" spans="1:7" x14ac:dyDescent="0.25">
      <c r="A1537">
        <v>13624463</v>
      </c>
      <c r="B1537" t="str">
        <f>VLOOKUP(A1537,Planilha2!B:C,2,0)</f>
        <v>INVERSOR BRCFW110180T4OH2S7Z-UI</v>
      </c>
      <c r="C1537" t="s">
        <v>3170</v>
      </c>
      <c r="D1537" t="str">
        <f>VLOOKUP(A1537,Planilha2!B:H,7,0)</f>
        <v>LINHA G1</v>
      </c>
      <c r="E1537" s="5">
        <v>65389</v>
      </c>
      <c r="F1537">
        <f>IFERROR(
IF(ISNUMBER(FIND("CFW110",B1537)),
VALUE(MID(B1537,FIND("CFW110",B1537)+6,FIND("T",B1537,FIND("CFW110",B1537))-(FIND("CFW110",B1537)+6))),
IF(ISNUMBER(FIND("D",B1537)),
VALUE(SUBSTITUTE(MID(B1537,FIND("D",B1537)+1,FIND("T",B1537,FIND("D",B1537))-(FIND("D",B1537)+1)),"P",",")),
IF(ISNUMBER(FIND("CFW5",B1537)),
VALUE(MID(B1537,
IF(ISNUMBER(FIND("F",B1537)),FIND("F",B1537)+1,FIND("G",B1537)+1),
FIND("T",B1537)-(IF(ISNUMBER(FIND("F",B1537)),FIND("F",B1537)+1,FIND("G",B1537)+1))
)),
VALUE(MID(B1537,FIND("E0",B1537)+2,FIND("T",B1537,FIND("E0",B1537))-(FIND("E0",B1537)+2)))
))),"")</f>
        <v>180</v>
      </c>
      <c r="G1537">
        <f>IFERROR(
IF(ISNUMBER(FIND("T2",B1537)),220,
IF(ISNUMBER(FIND("T4",B1537)),440,
IF(ISNUMBER(FIND("T5",B1537)),575,
IF(ISNUMBER(FIND("T6",B1537)),690,"")))),
"")</f>
        <v>440</v>
      </c>
    </row>
    <row r="1538" spans="1:7" x14ac:dyDescent="0.25">
      <c r="A1538">
        <v>13540822</v>
      </c>
      <c r="B1538" t="str">
        <f>VLOOKUP(A1538,Planilha2!B:C,2,0)</f>
        <v>INVERSOR BRCFW110142T4O55Z</v>
      </c>
      <c r="C1538" t="s">
        <v>3170</v>
      </c>
      <c r="D1538" t="str">
        <f>VLOOKUP(A1538,Planilha2!B:H,7,0)</f>
        <v>LINHA E1</v>
      </c>
      <c r="E1538" s="5">
        <v>88100</v>
      </c>
      <c r="F1538">
        <f>IFERROR(
IF(ISNUMBER(FIND("CFW110",B1538)),
VALUE(MID(B1538,FIND("CFW110",B1538)+6,FIND("T",B1538,FIND("CFW110",B1538))-(FIND("CFW110",B1538)+6))),
IF(ISNUMBER(FIND("D",B1538)),
VALUE(SUBSTITUTE(MID(B1538,FIND("D",B1538)+1,FIND("T",B1538,FIND("D",B1538))-(FIND("D",B1538)+1)),"P",",")),
IF(ISNUMBER(FIND("CFW5",B1538)),
VALUE(MID(B1538,
IF(ISNUMBER(FIND("F",B1538)),FIND("F",B1538)+1,FIND("G",B1538)+1),
FIND("T",B1538)-(IF(ISNUMBER(FIND("F",B1538)),FIND("F",B1538)+1,FIND("G",B1538)+1))
)),
VALUE(MID(B1538,FIND("E0",B1538)+2,FIND("T",B1538,FIND("E0",B1538))-(FIND("E0",B1538)+2)))
))),"")</f>
        <v>142</v>
      </c>
      <c r="G1538">
        <f>IFERROR(
IF(ISNUMBER(FIND("T2",B1538)),220,
IF(ISNUMBER(FIND("T4",B1538)),440,
IF(ISNUMBER(FIND("T5",B1538)),575,
IF(ISNUMBER(FIND("T6",B1538)),690,"")))),
"")</f>
        <v>440</v>
      </c>
    </row>
    <row r="1539" spans="1:7" x14ac:dyDescent="0.25">
      <c r="A1539">
        <v>11988656</v>
      </c>
      <c r="B1539" t="str">
        <f>VLOOKUP(A1539,Planilha2!B:C,2,0)</f>
        <v>INVERSOR SACFW110125T6OYZ</v>
      </c>
      <c r="C1539" t="s">
        <v>3170</v>
      </c>
      <c r="D1539" t="str">
        <f>VLOOKUP(A1539,Planilha2!B:H,7,0)</f>
        <v>LINHA G1</v>
      </c>
      <c r="E1539" s="5">
        <v>65388</v>
      </c>
      <c r="F1539">
        <f>IFERROR(
IF(ISNUMBER(FIND("CFW110",B1539)),
VALUE(MID(B1539,FIND("CFW110",B1539)+6,FIND("T",B1539,FIND("CFW110",B1539))-(FIND("CFW110",B1539)+6))),
IF(ISNUMBER(FIND("D",B1539)),
VALUE(SUBSTITUTE(MID(B1539,FIND("D",B1539)+1,FIND("T",B1539,FIND("D",B1539))-(FIND("D",B1539)+1)),"P",",")),
IF(ISNUMBER(FIND("CFW5",B1539)),
VALUE(MID(B1539,
IF(ISNUMBER(FIND("F",B1539)),FIND("F",B1539)+1,FIND("G",B1539)+1),
FIND("T",B1539)-(IF(ISNUMBER(FIND("F",B1539)),FIND("F",B1539)+1,FIND("G",B1539)+1))
)),
VALUE(MID(B1539,FIND("E0",B1539)+2,FIND("T",B1539,FIND("E0",B1539))-(FIND("E0",B1539)+2)))
))),"")</f>
        <v>125</v>
      </c>
      <c r="G1539">
        <f>IFERROR(
IF(ISNUMBER(FIND("T2",B1539)),220,
IF(ISNUMBER(FIND("T4",B1539)),440,
IF(ISNUMBER(FIND("T5",B1539)),575,
IF(ISNUMBER(FIND("T6",B1539)),690,"")))),
"")</f>
        <v>690</v>
      </c>
    </row>
    <row r="1540" spans="1:7" x14ac:dyDescent="0.25">
      <c r="A1540">
        <v>13621735</v>
      </c>
      <c r="B1540" t="str">
        <f>VLOOKUP(A1540,Planilha2!B:C,2,0)</f>
        <v>INVERSOR EUCFW110105T4SZ-UI</v>
      </c>
      <c r="C1540" t="s">
        <v>3170</v>
      </c>
      <c r="D1540" t="str">
        <f>VLOOKUP(A1540,Planilha2!B:H,7,0)</f>
        <v>LINHA G1</v>
      </c>
      <c r="E1540" s="5">
        <v>64597</v>
      </c>
      <c r="F1540">
        <f>IFERROR(
IF(ISNUMBER(FIND("CFW110",B1540)),
VALUE(MID(B1540,FIND("CFW110",B1540)+6,FIND("T",B1540,FIND("CFW110",B1540))-(FIND("CFW110",B1540)+6))),
IF(ISNUMBER(FIND("D",B1540)),
VALUE(SUBSTITUTE(MID(B1540,FIND("D",B1540)+1,FIND("T",B1540,FIND("D",B1540))-(FIND("D",B1540)+1)),"P",",")),
IF(ISNUMBER(FIND("CFW5",B1540)),
VALUE(MID(B1540,
IF(ISNUMBER(FIND("F",B1540)),FIND("F",B1540)+1,FIND("G",B1540)+1),
FIND("T",B1540)-(IF(ISNUMBER(FIND("F",B1540)),FIND("F",B1540)+1,FIND("G",B1540)+1))
)),
VALUE(MID(B1540,FIND("E0",B1540)+2,FIND("T",B1540,FIND("E0",B1540))-(FIND("E0",B1540)+2)))
))),"")</f>
        <v>105</v>
      </c>
      <c r="G1540">
        <f>IFERROR(
IF(ISNUMBER(FIND("T2",B1540)),220,
IF(ISNUMBER(FIND("T4",B1540)),440,
IF(ISNUMBER(FIND("T5",B1540)),575,
IF(ISNUMBER(FIND("T6",B1540)),690,"")))),
"")</f>
        <v>440</v>
      </c>
    </row>
    <row r="1541" spans="1:7" x14ac:dyDescent="0.25">
      <c r="A1541">
        <v>13622396</v>
      </c>
      <c r="B1541" t="str">
        <f>VLOOKUP(A1541,Planilha2!B:C,2,0)</f>
        <v>INVERSOR MSCFW110105T4SZ-UI</v>
      </c>
      <c r="C1541" t="s">
        <v>3170</v>
      </c>
      <c r="D1541" t="str">
        <f>VLOOKUP(A1541,Planilha2!B:H,7,0)</f>
        <v>LINHA G1</v>
      </c>
      <c r="E1541" s="5">
        <v>64599</v>
      </c>
      <c r="F1541">
        <f>IFERROR(
IF(ISNUMBER(FIND("CFW110",B1541)),
VALUE(MID(B1541,FIND("CFW110",B1541)+6,FIND("T",B1541,FIND("CFW110",B1541))-(FIND("CFW110",B1541)+6))),
IF(ISNUMBER(FIND("D",B1541)),
VALUE(SUBSTITUTE(MID(B1541,FIND("D",B1541)+1,FIND("T",B1541,FIND("D",B1541))-(FIND("D",B1541)+1)),"P",",")),
IF(ISNUMBER(FIND("CFW5",B1541)),
VALUE(MID(B1541,
IF(ISNUMBER(FIND("F",B1541)),FIND("F",B1541)+1,FIND("G",B1541)+1),
FIND("T",B1541)-(IF(ISNUMBER(FIND("F",B1541)),FIND("F",B1541)+1,FIND("G",B1541)+1))
)),
VALUE(MID(B1541,FIND("E0",B1541)+2,FIND("T",B1541,FIND("E0",B1541))-(FIND("E0",B1541)+2)))
))),"")</f>
        <v>105</v>
      </c>
      <c r="G1541">
        <f>IFERROR(
IF(ISNUMBER(FIND("T2",B1541)),220,
IF(ISNUMBER(FIND("T4",B1541)),440,
IF(ISNUMBER(FIND("T5",B1541)),575,
IF(ISNUMBER(FIND("T6",B1541)),690,"")))),
"")</f>
        <v>440</v>
      </c>
    </row>
    <row r="1542" spans="1:7" x14ac:dyDescent="0.25">
      <c r="A1542">
        <v>13624091</v>
      </c>
      <c r="B1542" t="str">
        <f>VLOOKUP(A1542,Planilha2!B:C,2,0)</f>
        <v>INVERSOR NACFW110105T4SZ-UI</v>
      </c>
      <c r="C1542" t="s">
        <v>3170</v>
      </c>
      <c r="D1542" t="str">
        <f>VLOOKUP(A1542,Planilha2!B:H,7,0)</f>
        <v>LINHA G1</v>
      </c>
      <c r="E1542" s="5">
        <v>64597</v>
      </c>
      <c r="F1542">
        <f>IFERROR(
IF(ISNUMBER(FIND("CFW110",B1542)),
VALUE(MID(B1542,FIND("CFW110",B1542)+6,FIND("T",B1542,FIND("CFW110",B1542))-(FIND("CFW110",B1542)+6))),
IF(ISNUMBER(FIND("D",B1542)),
VALUE(SUBSTITUTE(MID(B1542,FIND("D",B1542)+1,FIND("T",B1542,FIND("D",B1542))-(FIND("D",B1542)+1)),"P",",")),
IF(ISNUMBER(FIND("CFW5",B1542)),
VALUE(MID(B1542,
IF(ISNUMBER(FIND("F",B1542)),FIND("F",B1542)+1,FIND("G",B1542)+1),
FIND("T",B1542)-(IF(ISNUMBER(FIND("F",B1542)),FIND("F",B1542)+1,FIND("G",B1542)+1))
)),
VALUE(MID(B1542,FIND("E0",B1542)+2,FIND("T",B1542,FIND("E0",B1542))-(FIND("E0",B1542)+2)))
))),"")</f>
        <v>105</v>
      </c>
      <c r="G1542">
        <f>IFERROR(
IF(ISNUMBER(FIND("T2",B1542)),220,
IF(ISNUMBER(FIND("T4",B1542)),440,
IF(ISNUMBER(FIND("T5",B1542)),575,
IF(ISNUMBER(FIND("T6",B1542)),690,"")))),
"")</f>
        <v>440</v>
      </c>
    </row>
    <row r="1543" spans="1:7" x14ac:dyDescent="0.25">
      <c r="A1543">
        <v>13708988</v>
      </c>
      <c r="B1543" t="str">
        <f>VLOOKUP(A1543,Planilha2!B:C,2,0)</f>
        <v>INVERSOR EUCFW110477T4ORBZ-UI</v>
      </c>
      <c r="C1543" t="s">
        <v>3170</v>
      </c>
      <c r="D1543" t="str">
        <f>VLOOKUP(A1543,Planilha2!B:H,7,0)</f>
        <v>LINHA G3</v>
      </c>
      <c r="E1543" s="5">
        <v>97000</v>
      </c>
      <c r="F1543">
        <f>IFERROR(
IF(ISNUMBER(FIND("CFW110",B1543)),
VALUE(MID(B1543,FIND("CFW110",B1543)+6,FIND("T",B1543,FIND("CFW110",B1543))-(FIND("CFW110",B1543)+6))),
IF(ISNUMBER(FIND("D",B1543)),
VALUE(SUBSTITUTE(MID(B1543,FIND("D",B1543)+1,FIND("T",B1543,FIND("D",B1543))-(FIND("D",B1543)+1)),"P",",")),
IF(ISNUMBER(FIND("CFW5",B1543)),
VALUE(MID(B1543,
IF(ISNUMBER(FIND("F",B1543)),FIND("F",B1543)+1,FIND("G",B1543)+1),
FIND("T",B1543)-(IF(ISNUMBER(FIND("F",B1543)),FIND("F",B1543)+1,FIND("G",B1543)+1))
)),
VALUE(MID(B1543,FIND("E0",B1543)+2,FIND("T",B1543,FIND("E0",B1543))-(FIND("E0",B1543)+2)))
))),"")</f>
        <v>477</v>
      </c>
      <c r="G1543">
        <f>IFERROR(
IF(ISNUMBER(FIND("T2",B1543)),220,
IF(ISNUMBER(FIND("T4",B1543)),440,
IF(ISNUMBER(FIND("T5",B1543)),575,
IF(ISNUMBER(FIND("T6",B1543)),690,"")))),
"")</f>
        <v>440</v>
      </c>
    </row>
    <row r="1544" spans="1:7" x14ac:dyDescent="0.25">
      <c r="A1544">
        <v>13708835</v>
      </c>
      <c r="B1544" t="str">
        <f>VLOOKUP(A1544,Planilha2!B:C,2,0)</f>
        <v>INVERSOR EUCFW110477T4ORBZ</v>
      </c>
      <c r="C1544" t="s">
        <v>3170</v>
      </c>
      <c r="D1544" t="str">
        <f>VLOOKUP(A1544,Planilha2!B:H,7,0)</f>
        <v>LINHA G3</v>
      </c>
      <c r="E1544" s="5">
        <v>135300</v>
      </c>
      <c r="F1544">
        <f>IFERROR(
IF(ISNUMBER(FIND("CFW110",B1544)),
VALUE(MID(B1544,FIND("CFW110",B1544)+6,FIND("T",B1544,FIND("CFW110",B1544))-(FIND("CFW110",B1544)+6))),
IF(ISNUMBER(FIND("D",B1544)),
VALUE(SUBSTITUTE(MID(B1544,FIND("D",B1544)+1,FIND("T",B1544,FIND("D",B1544))-(FIND("D",B1544)+1)),"P",",")),
IF(ISNUMBER(FIND("CFW5",B1544)),
VALUE(MID(B1544,
IF(ISNUMBER(FIND("F",B1544)),FIND("F",B1544)+1,FIND("G",B1544)+1),
FIND("T",B1544)-(IF(ISNUMBER(FIND("F",B1544)),FIND("F",B1544)+1,FIND("G",B1544)+1))
)),
VALUE(MID(B1544,FIND("E0",B1544)+2,FIND("T",B1544,FIND("E0",B1544))-(FIND("E0",B1544)+2)))
))),"")</f>
        <v>477</v>
      </c>
      <c r="G1544">
        <f>IFERROR(
IF(ISNUMBER(FIND("T2",B1544)),220,
IF(ISNUMBER(FIND("T4",B1544)),440,
IF(ISNUMBER(FIND("T5",B1544)),575,
IF(ISNUMBER(FIND("T6",B1544)),690,"")))),
"")</f>
        <v>440</v>
      </c>
    </row>
    <row r="1545" spans="1:7" x14ac:dyDescent="0.25">
      <c r="A1545">
        <v>13724448</v>
      </c>
      <c r="B1545" t="str">
        <f>VLOOKUP(A1545,Planilha2!B:C,2,0)</f>
        <v>INVERSOR BRCFW110180T4OYDCZ-UI</v>
      </c>
      <c r="C1545" t="s">
        <v>3170</v>
      </c>
      <c r="D1545" t="str">
        <f>VLOOKUP(A1545,Planilha2!B:H,7,0)</f>
        <v>LINHA G1</v>
      </c>
      <c r="E1545" s="5">
        <v>59360</v>
      </c>
      <c r="F1545">
        <f>IFERROR(
IF(ISNUMBER(FIND("CFW110",B1545)),
VALUE(MID(B1545,FIND("CFW110",B1545)+6,FIND("T",B1545,FIND("CFW110",B1545))-(FIND("CFW110",B1545)+6))),
IF(ISNUMBER(FIND("D",B1545)),
VALUE(SUBSTITUTE(MID(B1545,FIND("D",B1545)+1,FIND("T",B1545,FIND("D",B1545))-(FIND("D",B1545)+1)),"P",",")),
IF(ISNUMBER(FIND("CFW5",B1545)),
VALUE(MID(B1545,
IF(ISNUMBER(FIND("F",B1545)),FIND("F",B1545)+1,FIND("G",B1545)+1),
FIND("T",B1545)-(IF(ISNUMBER(FIND("F",B1545)),FIND("F",B1545)+1,FIND("G",B1545)+1))
)),
VALUE(MID(B1545,FIND("E0",B1545)+2,FIND("T",B1545,FIND("E0",B1545))-(FIND("E0",B1545)+2)))
))),"")</f>
        <v>180</v>
      </c>
      <c r="G1545">
        <f>IFERROR(
IF(ISNUMBER(FIND("T2",B1545)),220,
IF(ISNUMBER(FIND("T4",B1545)),440,
IF(ISNUMBER(FIND("T5",B1545)),575,
IF(ISNUMBER(FIND("T6",B1545)),690,"")))),
"")</f>
        <v>440</v>
      </c>
    </row>
    <row r="1546" spans="1:7" x14ac:dyDescent="0.25">
      <c r="A1546">
        <v>13724212</v>
      </c>
      <c r="B1546" t="str">
        <f>VLOOKUP(A1546,Planilha2!B:C,2,0)</f>
        <v>INVERSOR BRCFW110211T4OYS4Z-UI</v>
      </c>
      <c r="C1546" t="s">
        <v>3170</v>
      </c>
      <c r="D1546" t="str">
        <f>VLOOKUP(A1546,Planilha2!B:H,7,0)</f>
        <v>LINHA G1</v>
      </c>
      <c r="E1546" s="5">
        <v>67900</v>
      </c>
      <c r="F1546">
        <f>IFERROR(
IF(ISNUMBER(FIND("CFW110",B1546)),
VALUE(MID(B1546,FIND("CFW110",B1546)+6,FIND("T",B1546,FIND("CFW110",B1546))-(FIND("CFW110",B1546)+6))),
IF(ISNUMBER(FIND("D",B1546)),
VALUE(SUBSTITUTE(MID(B1546,FIND("D",B1546)+1,FIND("T",B1546,FIND("D",B1546))-(FIND("D",B1546)+1)),"P",",")),
IF(ISNUMBER(FIND("CFW5",B1546)),
VALUE(MID(B1546,
IF(ISNUMBER(FIND("F",B1546)),FIND("F",B1546)+1,FIND("G",B1546)+1),
FIND("T",B1546)-(IF(ISNUMBER(FIND("F",B1546)),FIND("F",B1546)+1,FIND("G",B1546)+1))
)),
VALUE(MID(B1546,FIND("E0",B1546)+2,FIND("T",B1546,FIND("E0",B1546))-(FIND("E0",B1546)+2)))
))),"")</f>
        <v>211</v>
      </c>
      <c r="G1546">
        <f>IFERROR(
IF(ISNUMBER(FIND("T2",B1546)),220,
IF(ISNUMBER(FIND("T4",B1546)),440,
IF(ISNUMBER(FIND("T5",B1546)),575,
IF(ISNUMBER(FIND("T6",B1546)),690,"")))),
"")</f>
        <v>440</v>
      </c>
    </row>
    <row r="1547" spans="1:7" x14ac:dyDescent="0.25">
      <c r="A1547">
        <v>13765088</v>
      </c>
      <c r="B1547" t="str">
        <f>VLOOKUP(A1547,Planilha2!B:C,2,0)</f>
        <v>INVERSOR BRCFW110105T4OH4Z</v>
      </c>
      <c r="C1547" t="s">
        <v>3170</v>
      </c>
      <c r="D1547" t="str">
        <f>VLOOKUP(A1547,Planilha2!B:H,7,0)</f>
        <v>LINHA G1</v>
      </c>
      <c r="E1547" s="5">
        <v>64601</v>
      </c>
      <c r="F1547">
        <f>IFERROR(
IF(ISNUMBER(FIND("CFW110",B1547)),
VALUE(MID(B1547,FIND("CFW110",B1547)+6,FIND("T",B1547,FIND("CFW110",B1547))-(FIND("CFW110",B1547)+6))),
IF(ISNUMBER(FIND("D",B1547)),
VALUE(SUBSTITUTE(MID(B1547,FIND("D",B1547)+1,FIND("T",B1547,FIND("D",B1547))-(FIND("D",B1547)+1)),"P",",")),
IF(ISNUMBER(FIND("CFW5",B1547)),
VALUE(MID(B1547,
IF(ISNUMBER(FIND("F",B1547)),FIND("F",B1547)+1,FIND("G",B1547)+1),
FIND("T",B1547)-(IF(ISNUMBER(FIND("F",B1547)),FIND("F",B1547)+1,FIND("G",B1547)+1))
)),
VALUE(MID(B1547,FIND("E0",B1547)+2,FIND("T",B1547,FIND("E0",B1547))-(FIND("E0",B1547)+2)))
))),"")</f>
        <v>105</v>
      </c>
      <c r="G1547">
        <f>IFERROR(
IF(ISNUMBER(FIND("T2",B1547)),220,
IF(ISNUMBER(FIND("T4",B1547)),440,
IF(ISNUMBER(FIND("T5",B1547)),575,
IF(ISNUMBER(FIND("T6",B1547)),690,"")))),
"")</f>
        <v>440</v>
      </c>
    </row>
    <row r="1548" spans="1:7" x14ac:dyDescent="0.25">
      <c r="A1548">
        <v>13921540</v>
      </c>
      <c r="B1548" t="str">
        <f>VLOOKUP(A1548,Planilha2!B:C,2,0)</f>
        <v>INVERSOR BRCFW110180T4ODBYZ-UI</v>
      </c>
      <c r="C1548" t="s">
        <v>3170</v>
      </c>
      <c r="D1548" t="str">
        <f>VLOOKUP(A1548,Planilha2!B:H,7,0)</f>
        <v>LINHA G1</v>
      </c>
      <c r="E1548" s="5">
        <v>68488</v>
      </c>
      <c r="F1548">
        <f>IFERROR(
IF(ISNUMBER(FIND("CFW110",B1548)),
VALUE(MID(B1548,FIND("CFW110",B1548)+6,FIND("T",B1548,FIND("CFW110",B1548))-(FIND("CFW110",B1548)+6))),
IF(ISNUMBER(FIND("D",B1548)),
VALUE(SUBSTITUTE(MID(B1548,FIND("D",B1548)+1,FIND("T",B1548,FIND("D",B1548))-(FIND("D",B1548)+1)),"P",",")),
IF(ISNUMBER(FIND("CFW5",B1548)),
VALUE(MID(B1548,
IF(ISNUMBER(FIND("F",B1548)),FIND("F",B1548)+1,FIND("G",B1548)+1),
FIND("T",B1548)-(IF(ISNUMBER(FIND("F",B1548)),FIND("F",B1548)+1,FIND("G",B1548)+1))
)),
VALUE(MID(B1548,FIND("E0",B1548)+2,FIND("T",B1548,FIND("E0",B1548))-(FIND("E0",B1548)+2)))
))),"")</f>
        <v>180</v>
      </c>
      <c r="G1548">
        <f>IFERROR(
IF(ISNUMBER(FIND("T2",B1548)),220,
IF(ISNUMBER(FIND("T4",B1548)),440,
IF(ISNUMBER(FIND("T5",B1548)),575,
IF(ISNUMBER(FIND("T6",B1548)),690,"")))),
"")</f>
        <v>440</v>
      </c>
    </row>
    <row r="1549" spans="1:7" x14ac:dyDescent="0.25">
      <c r="A1549">
        <v>11990300</v>
      </c>
      <c r="B1549" t="str">
        <f>VLOOKUP(A1549,Planilha2!B:C,2,0)</f>
        <v>INVERSOR NACFW110053T6ON1YZ</v>
      </c>
      <c r="C1549" t="s">
        <v>3170</v>
      </c>
      <c r="D1549" t="str">
        <f>VLOOKUP(A1549,Planilha2!B:H,7,0)</f>
        <v>LINHA G1</v>
      </c>
      <c r="E1549" s="5">
        <v>66618</v>
      </c>
      <c r="F1549">
        <f>IFERROR(
IF(ISNUMBER(FIND("CFW110",B1549)),
VALUE(MID(B1549,FIND("CFW110",B1549)+6,FIND("T",B1549,FIND("CFW110",B1549))-(FIND("CFW110",B1549)+6))),
IF(ISNUMBER(FIND("D",B1549)),
VALUE(SUBSTITUTE(MID(B1549,FIND("D",B1549)+1,FIND("T",B1549,FIND("D",B1549))-(FIND("D",B1549)+1)),"P",",")),
IF(ISNUMBER(FIND("CFW5",B1549)),
VALUE(MID(B1549,
IF(ISNUMBER(FIND("F",B1549)),FIND("F",B1549)+1,FIND("G",B1549)+1),
FIND("T",B1549)-(IF(ISNUMBER(FIND("F",B1549)),FIND("F",B1549)+1,FIND("G",B1549)+1))
)),
VALUE(MID(B1549,FIND("E0",B1549)+2,FIND("T",B1549,FIND("E0",B1549))-(FIND("E0",B1549)+2)))
))),"")</f>
        <v>53</v>
      </c>
      <c r="G1549">
        <f>IFERROR(
IF(ISNUMBER(FIND("T2",B1549)),220,
IF(ISNUMBER(FIND("T4",B1549)),440,
IF(ISNUMBER(FIND("T5",B1549)),575,
IF(ISNUMBER(FIND("T6",B1549)),690,"")))),
"")</f>
        <v>690</v>
      </c>
    </row>
    <row r="1550" spans="1:7" x14ac:dyDescent="0.25">
      <c r="A1550">
        <v>14837157</v>
      </c>
      <c r="B1550" t="str">
        <f>VLOOKUP(A1550,Planilha2!B:C,2,0)</f>
        <v>INVERSOR BRCFW110180T2OECZ</v>
      </c>
      <c r="C1550" t="s">
        <v>3170</v>
      </c>
      <c r="D1550" t="str">
        <f>VLOOKUP(A1550,Planilha2!B:H,7,0)</f>
        <v>LINHA G1</v>
      </c>
      <c r="E1550" s="5">
        <v>67128</v>
      </c>
      <c r="F1550">
        <f>IFERROR(
IF(ISNUMBER(FIND("CFW110",B1550)),
VALUE(MID(B1550,FIND("CFW110",B1550)+6,FIND("T",B1550,FIND("CFW110",B1550))-(FIND("CFW110",B1550)+6))),
IF(ISNUMBER(FIND("D",B1550)),
VALUE(SUBSTITUTE(MID(B1550,FIND("D",B1550)+1,FIND("T",B1550,FIND("D",B1550))-(FIND("D",B1550)+1)),"P",",")),
IF(ISNUMBER(FIND("CFW5",B1550)),
VALUE(MID(B1550,
IF(ISNUMBER(FIND("F",B1550)),FIND("F",B1550)+1,FIND("G",B1550)+1),
FIND("T",B1550)-(IF(ISNUMBER(FIND("F",B1550)),FIND("F",B1550)+1,FIND("G",B1550)+1))
)),
VALUE(MID(B1550,FIND("E0",B1550)+2,FIND("T",B1550,FIND("E0",B1550))-(FIND("E0",B1550)+2)))
))),"")</f>
        <v>180</v>
      </c>
      <c r="G1550">
        <f>IFERROR(
IF(ISNUMBER(FIND("T2",B1550)),220,
IF(ISNUMBER(FIND("T4",B1550)),440,
IF(ISNUMBER(FIND("T5",B1550)),575,
IF(ISNUMBER(FIND("T6",B1550)),690,"")))),
"")</f>
        <v>220</v>
      </c>
    </row>
    <row r="1551" spans="1:7" x14ac:dyDescent="0.25">
      <c r="A1551">
        <v>14837179</v>
      </c>
      <c r="B1551" t="str">
        <f>VLOOKUP(A1551,Planilha2!B:C,2,0)</f>
        <v>INVERSOR BRCFW110142T4OECZ</v>
      </c>
      <c r="C1551" t="s">
        <v>3170</v>
      </c>
      <c r="D1551" t="str">
        <f>VLOOKUP(A1551,Planilha2!B:H,7,0)</f>
        <v>LINHA G1</v>
      </c>
      <c r="E1551" s="5">
        <v>64598</v>
      </c>
      <c r="F1551">
        <f>IFERROR(
IF(ISNUMBER(FIND("CFW110",B1551)),
VALUE(MID(B1551,FIND("CFW110",B1551)+6,FIND("T",B1551,FIND("CFW110",B1551))-(FIND("CFW110",B1551)+6))),
IF(ISNUMBER(FIND("D",B1551)),
VALUE(SUBSTITUTE(MID(B1551,FIND("D",B1551)+1,FIND("T",B1551,FIND("D",B1551))-(FIND("D",B1551)+1)),"P",",")),
IF(ISNUMBER(FIND("CFW5",B1551)),
VALUE(MID(B1551,
IF(ISNUMBER(FIND("F",B1551)),FIND("F",B1551)+1,FIND("G",B1551)+1),
FIND("T",B1551)-(IF(ISNUMBER(FIND("F",B1551)),FIND("F",B1551)+1,FIND("G",B1551)+1))
)),
VALUE(MID(B1551,FIND("E0",B1551)+2,FIND("T",B1551,FIND("E0",B1551))-(FIND("E0",B1551)+2)))
))),"")</f>
        <v>142</v>
      </c>
      <c r="G1551">
        <f>IFERROR(
IF(ISNUMBER(FIND("T2",B1551)),220,
IF(ISNUMBER(FIND("T4",B1551)),440,
IF(ISNUMBER(FIND("T5",B1551)),575,
IF(ISNUMBER(FIND("T6",B1551)),690,"")))),
"")</f>
        <v>440</v>
      </c>
    </row>
    <row r="1552" spans="1:7" x14ac:dyDescent="0.25">
      <c r="A1552">
        <v>14837241</v>
      </c>
      <c r="B1552" t="str">
        <f>VLOOKUP(A1552,Planilha2!B:C,2,0)</f>
        <v>INVERSOR BRCFW110180T4ODBECZ</v>
      </c>
      <c r="C1552" t="s">
        <v>3170</v>
      </c>
      <c r="D1552" t="str">
        <f>VLOOKUP(A1552,Planilha2!B:H,7,0)</f>
        <v>LINHA G1</v>
      </c>
      <c r="E1552" s="5">
        <v>68488</v>
      </c>
      <c r="F1552">
        <f>IFERROR(
IF(ISNUMBER(FIND("CFW110",B1552)),
VALUE(MID(B1552,FIND("CFW110",B1552)+6,FIND("T",B1552,FIND("CFW110",B1552))-(FIND("CFW110",B1552)+6))),
IF(ISNUMBER(FIND("D",B1552)),
VALUE(SUBSTITUTE(MID(B1552,FIND("D",B1552)+1,FIND("T",B1552,FIND("D",B1552))-(FIND("D",B1552)+1)),"P",",")),
IF(ISNUMBER(FIND("CFW5",B1552)),
VALUE(MID(B1552,
IF(ISNUMBER(FIND("F",B1552)),FIND("F",B1552)+1,FIND("G",B1552)+1),
FIND("T",B1552)-(IF(ISNUMBER(FIND("F",B1552)),FIND("F",B1552)+1,FIND("G",B1552)+1))
)),
VALUE(MID(B1552,FIND("E0",B1552)+2,FIND("T",B1552,FIND("E0",B1552))-(FIND("E0",B1552)+2)))
))),"")</f>
        <v>180</v>
      </c>
      <c r="G1552">
        <f>IFERROR(
IF(ISNUMBER(FIND("T2",B1552)),220,
IF(ISNUMBER(FIND("T4",B1552)),440,
IF(ISNUMBER(FIND("T5",B1552)),575,
IF(ISNUMBER(FIND("T6",B1552)),690,"")))),
"")</f>
        <v>440</v>
      </c>
    </row>
    <row r="1553" spans="1:7" x14ac:dyDescent="0.25">
      <c r="A1553">
        <v>14815487</v>
      </c>
      <c r="B1553" t="str">
        <f>VLOOKUP(A1553,Planilha2!B:C,2,0)</f>
        <v>INVERSOR SACFW110080T6ONBYDCZ</v>
      </c>
      <c r="C1553" t="s">
        <v>3170</v>
      </c>
      <c r="D1553" t="str">
        <f>VLOOKUP(A1553,Planilha2!B:H,7,0)</f>
        <v>LINHA G1</v>
      </c>
      <c r="E1553" s="5">
        <v>61500</v>
      </c>
      <c r="F1553">
        <f>IFERROR(
IF(ISNUMBER(FIND("CFW110",B1553)),
VALUE(MID(B1553,FIND("CFW110",B1553)+6,FIND("T",B1553,FIND("CFW110",B1553))-(FIND("CFW110",B1553)+6))),
IF(ISNUMBER(FIND("D",B1553)),
VALUE(SUBSTITUTE(MID(B1553,FIND("D",B1553)+1,FIND("T",B1553,FIND("D",B1553))-(FIND("D",B1553)+1)),"P",",")),
IF(ISNUMBER(FIND("CFW5",B1553)),
VALUE(MID(B1553,
IF(ISNUMBER(FIND("F",B1553)),FIND("F",B1553)+1,FIND("G",B1553)+1),
FIND("T",B1553)-(IF(ISNUMBER(FIND("F",B1553)),FIND("F",B1553)+1,FIND("G",B1553)+1))
)),
VALUE(MID(B1553,FIND("E0",B1553)+2,FIND("T",B1553,FIND("E0",B1553))-(FIND("E0",B1553)+2)))
))),"")</f>
        <v>80</v>
      </c>
      <c r="G1553">
        <f>IFERROR(
IF(ISNUMBER(FIND("T2",B1553)),220,
IF(ISNUMBER(FIND("T4",B1553)),440,
IF(ISNUMBER(FIND("T5",B1553)),575,
IF(ISNUMBER(FIND("T6",B1553)),690,"")))),
"")</f>
        <v>690</v>
      </c>
    </row>
    <row r="1554" spans="1:7" x14ac:dyDescent="0.25">
      <c r="A1554">
        <v>14815394</v>
      </c>
      <c r="B1554" t="str">
        <f>VLOOKUP(A1554,Planilha2!B:C,2,0)</f>
        <v>INVERSOR SACFW110080T6ORBYZ</v>
      </c>
      <c r="C1554" t="s">
        <v>3170</v>
      </c>
      <c r="D1554" t="str">
        <f>VLOOKUP(A1554,Planilha2!B:H,7,0)</f>
        <v>LINHA G1</v>
      </c>
      <c r="E1554" s="5">
        <v>61500</v>
      </c>
      <c r="F1554">
        <f>IFERROR(
IF(ISNUMBER(FIND("CFW110",B1554)),
VALUE(MID(B1554,FIND("CFW110",B1554)+6,FIND("T",B1554,FIND("CFW110",B1554))-(FIND("CFW110",B1554)+6))),
IF(ISNUMBER(FIND("D",B1554)),
VALUE(SUBSTITUTE(MID(B1554,FIND("D",B1554)+1,FIND("T",B1554,FIND("D",B1554))-(FIND("D",B1554)+1)),"P",",")),
IF(ISNUMBER(FIND("CFW5",B1554)),
VALUE(MID(B1554,
IF(ISNUMBER(FIND("F",B1554)),FIND("F",B1554)+1,FIND("G",B1554)+1),
FIND("T",B1554)-(IF(ISNUMBER(FIND("F",B1554)),FIND("F",B1554)+1,FIND("G",B1554)+1))
)),
VALUE(MID(B1554,FIND("E0",B1554)+2,FIND("T",B1554,FIND("E0",B1554))-(FIND("E0",B1554)+2)))
))),"")</f>
        <v>80</v>
      </c>
      <c r="G1554">
        <f>IFERROR(
IF(ISNUMBER(FIND("T2",B1554)),220,
IF(ISNUMBER(FIND("T4",B1554)),440,
IF(ISNUMBER(FIND("T5",B1554)),575,
IF(ISNUMBER(FIND("T6",B1554)),690,"")))),
"")</f>
        <v>690</v>
      </c>
    </row>
    <row r="1555" spans="1:7" x14ac:dyDescent="0.25">
      <c r="A1555">
        <v>14852081</v>
      </c>
      <c r="B1555" t="str">
        <f>VLOOKUP(A1555,Planilha2!B:C,2,0)</f>
        <v>INVERSOR CFW700E0142T4DB20H1ACS1</v>
      </c>
      <c r="C1555" t="s">
        <v>3170</v>
      </c>
      <c r="D1555" t="str">
        <f>VLOOKUP(A1555,Planilha2!B:H,7,0)</f>
        <v>OBSOLETOS DRIVES</v>
      </c>
      <c r="E1555" s="5">
        <v>65608</v>
      </c>
      <c r="F1555" t="str">
        <f>IFERROR(
IF(ISNUMBER(FIND("CFW110",B1555)),
VALUE(MID(B1555,FIND("CFW110",B1555)+6,FIND("T",B1555,FIND("CFW110",B1555))-(FIND("CFW110",B1555)+6))),
IF(ISNUMBER(FIND("D",B1555)),
VALUE(SUBSTITUTE(MID(B1555,FIND("D",B1555)+1,FIND("T",B1555,FIND("D",B1555))-(FIND("D",B1555)+1)),"P",",")),
IF(ISNUMBER(FIND("CFW5",B1555)),
VALUE(MID(B1555,
IF(ISNUMBER(FIND("F",B1555)),FIND("F",B1555)+1,FIND("G",B1555)+1),
FIND("T",B1555)-(IF(ISNUMBER(FIND("F",B1555)),FIND("F",B1555)+1,FIND("G",B1555)+1))
)),
VALUE(MID(B1555,FIND("E0",B1555)+2,FIND("T",B1555,FIND("E0",B1555))-(FIND("E0",B1555)+2)))
))),"")</f>
        <v/>
      </c>
      <c r="G1555">
        <f>IFERROR(
IF(ISNUMBER(FIND("T2",B1555)),220,
IF(ISNUMBER(FIND("T4",B1555)),440,
IF(ISNUMBER(FIND("T5",B1555)),575,
IF(ISNUMBER(FIND("T6",B1555)),690,"")))),
"")</f>
        <v>440</v>
      </c>
    </row>
    <row r="1556" spans="1:7" x14ac:dyDescent="0.25">
      <c r="A1556">
        <v>14819595</v>
      </c>
      <c r="B1556" t="str">
        <f>VLOOKUP(A1556,Planilha2!B:C,2,0)</f>
        <v>INVERSOR CFW110211T4ODBH1ALS9Z</v>
      </c>
      <c r="C1556" t="s">
        <v>3170</v>
      </c>
      <c r="D1556" t="str">
        <f>VLOOKUP(A1556,Planilha2!B:H,7,0)</f>
        <v>LINHA G1</v>
      </c>
      <c r="E1556" t="s">
        <v>3172</v>
      </c>
      <c r="F1556">
        <f>IFERROR(
IF(ISNUMBER(FIND("CFW110",B1556)),
VALUE(MID(B1556,FIND("CFW110",B1556)+6,FIND("T",B1556,FIND("CFW110",B1556))-(FIND("CFW110",B1556)+6))),
IF(ISNUMBER(FIND("D",B1556)),
VALUE(SUBSTITUTE(MID(B1556,FIND("D",B1556)+1,FIND("T",B1556,FIND("D",B1556))-(FIND("D",B1556)+1)),"P",",")),
IF(ISNUMBER(FIND("CFW5",B1556)),
VALUE(MID(B1556,
IF(ISNUMBER(FIND("F",B1556)),FIND("F",B1556)+1,FIND("G",B1556)+1),
FIND("T",B1556)-(IF(ISNUMBER(FIND("F",B1556)),FIND("F",B1556)+1,FIND("G",B1556)+1))
)),
VALUE(MID(B1556,FIND("E0",B1556)+2,FIND("T",B1556,FIND("E0",B1556))-(FIND("E0",B1556)+2)))
))),"")</f>
        <v>211</v>
      </c>
      <c r="G1556">
        <f>IFERROR(
IF(ISNUMBER(FIND("T2",B1556)),220,
IF(ISNUMBER(FIND("T4",B1556)),440,
IF(ISNUMBER(FIND("T5",B1556)),575,
IF(ISNUMBER(FIND("T6",B1556)),690,"")))),
"")</f>
        <v>440</v>
      </c>
    </row>
    <row r="1557" spans="1:7" x14ac:dyDescent="0.25">
      <c r="A1557">
        <v>14805413</v>
      </c>
      <c r="B1557" t="str">
        <f>VLOOKUP(A1557,Planilha2!B:C,2,0)</f>
        <v>INVERSOR EUCFW110053T6OYWZ-UI</v>
      </c>
      <c r="C1557" t="s">
        <v>3170</v>
      </c>
      <c r="D1557" t="str">
        <f>VLOOKUP(A1557,Planilha2!B:H,7,0)</f>
        <v>LINHA G1</v>
      </c>
      <c r="E1557" s="5">
        <v>65000</v>
      </c>
      <c r="F1557">
        <f>IFERROR(
IF(ISNUMBER(FIND("CFW110",B1557)),
VALUE(MID(B1557,FIND("CFW110",B1557)+6,FIND("T",B1557,FIND("CFW110",B1557))-(FIND("CFW110",B1557)+6))),
IF(ISNUMBER(FIND("D",B1557)),
VALUE(SUBSTITUTE(MID(B1557,FIND("D",B1557)+1,FIND("T",B1557,FIND("D",B1557))-(FIND("D",B1557)+1)),"P",",")),
IF(ISNUMBER(FIND("CFW5",B1557)),
VALUE(MID(B1557,
IF(ISNUMBER(FIND("F",B1557)),FIND("F",B1557)+1,FIND("G",B1557)+1),
FIND("T",B1557)-(IF(ISNUMBER(FIND("F",B1557)),FIND("F",B1557)+1,FIND("G",B1557)+1))
)),
VALUE(MID(B1557,FIND("E0",B1557)+2,FIND("T",B1557,FIND("E0",B1557))-(FIND("E0",B1557)+2)))
))),"")</f>
        <v>53</v>
      </c>
      <c r="G1557">
        <f>IFERROR(
IF(ISNUMBER(FIND("T2",B1557)),220,
IF(ISNUMBER(FIND("T4",B1557)),440,
IF(ISNUMBER(FIND("T5",B1557)),575,
IF(ISNUMBER(FIND("T6",B1557)),690,"")))),
"")</f>
        <v>690</v>
      </c>
    </row>
    <row r="1558" spans="1:7" x14ac:dyDescent="0.25">
      <c r="A1558">
        <v>14320406</v>
      </c>
      <c r="B1558" t="str">
        <f>VLOOKUP(A1558,Planilha2!B:C,2,0)</f>
        <v>INVERSOR NACFW110211T2O55DSZ</v>
      </c>
      <c r="C1558" t="s">
        <v>3170</v>
      </c>
      <c r="D1558" t="str">
        <f>VLOOKUP(A1558,Planilha2!B:H,7,0)</f>
        <v>LINHA E1</v>
      </c>
      <c r="E1558" s="5">
        <v>56700</v>
      </c>
      <c r="F1558">
        <f>IFERROR(
IF(ISNUMBER(FIND("CFW110",B1558)),
VALUE(MID(B1558,FIND("CFW110",B1558)+6,FIND("T",B1558,FIND("CFW110",B1558))-(FIND("CFW110",B1558)+6))),
IF(ISNUMBER(FIND("D",B1558)),
VALUE(SUBSTITUTE(MID(B1558,FIND("D",B1558)+1,FIND("T",B1558,FIND("D",B1558))-(FIND("D",B1558)+1)),"P",",")),
IF(ISNUMBER(FIND("CFW5",B1558)),
VALUE(MID(B1558,
IF(ISNUMBER(FIND("F",B1558)),FIND("F",B1558)+1,FIND("G",B1558)+1),
FIND("T",B1558)-(IF(ISNUMBER(FIND("F",B1558)),FIND("F",B1558)+1,FIND("G",B1558)+1))
)),
VALUE(MID(B1558,FIND("E0",B1558)+2,FIND("T",B1558,FIND("E0",B1558))-(FIND("E0",B1558)+2)))
))),"")</f>
        <v>211</v>
      </c>
      <c r="G1558">
        <f>IFERROR(
IF(ISNUMBER(FIND("T2",B1558)),220,
IF(ISNUMBER(FIND("T4",B1558)),440,
IF(ISNUMBER(FIND("T5",B1558)),575,
IF(ISNUMBER(FIND("T6",B1558)),690,"")))),
"")</f>
        <v>220</v>
      </c>
    </row>
    <row r="1559" spans="1:7" x14ac:dyDescent="0.25">
      <c r="A1559">
        <v>14763819</v>
      </c>
      <c r="B1559" t="str">
        <f>VLOOKUP(A1559,Planilha2!B:C,2,0)</f>
        <v>INVERSOR EUCFW110107T6OYZ-UI</v>
      </c>
      <c r="C1559" t="s">
        <v>3170</v>
      </c>
      <c r="D1559" t="str">
        <f>VLOOKUP(A1559,Planilha2!B:H,7,0)</f>
        <v>LINHA G1</v>
      </c>
      <c r="E1559" t="s">
        <v>3174</v>
      </c>
      <c r="F1559">
        <f>IFERROR(
IF(ISNUMBER(FIND("CFW110",B1559)),
VALUE(MID(B1559,FIND("CFW110",B1559)+6,FIND("T",B1559,FIND("CFW110",B1559))-(FIND("CFW110",B1559)+6))),
IF(ISNUMBER(FIND("D",B1559)),
VALUE(SUBSTITUTE(MID(B1559,FIND("D",B1559)+1,FIND("T",B1559,FIND("D",B1559))-(FIND("D",B1559)+1)),"P",",")),
IF(ISNUMBER(FIND("CFW5",B1559)),
VALUE(MID(B1559,
IF(ISNUMBER(FIND("F",B1559)),FIND("F",B1559)+1,FIND("G",B1559)+1),
FIND("T",B1559)-(IF(ISNUMBER(FIND("F",B1559)),FIND("F",B1559)+1,FIND("G",B1559)+1))
)),
VALUE(MID(B1559,FIND("E0",B1559)+2,FIND("T",B1559,FIND("E0",B1559))-(FIND("E0",B1559)+2)))
))),"")</f>
        <v>107</v>
      </c>
      <c r="G1559">
        <f>IFERROR(
IF(ISNUMBER(FIND("T2",B1559)),220,
IF(ISNUMBER(FIND("T4",B1559)),440,
IF(ISNUMBER(FIND("T5",B1559)),575,
IF(ISNUMBER(FIND("T6",B1559)),690,"")))),
"")</f>
        <v>690</v>
      </c>
    </row>
    <row r="1560" spans="1:7" x14ac:dyDescent="0.25">
      <c r="A1560">
        <v>14922311</v>
      </c>
      <c r="B1560" t="str">
        <f>VLOOKUP(A1560,Planilha2!B:C,2,0)</f>
        <v>INVERSOR EUCFW110105T4OYWZ-UI</v>
      </c>
      <c r="C1560" t="s">
        <v>3170</v>
      </c>
      <c r="D1560" t="str">
        <f>VLOOKUP(A1560,Planilha2!B:H,7,0)</f>
        <v>LINHA G1</v>
      </c>
      <c r="E1560" s="5">
        <v>64601</v>
      </c>
      <c r="F1560">
        <f>IFERROR(
IF(ISNUMBER(FIND("CFW110",B1560)),
VALUE(MID(B1560,FIND("CFW110",B1560)+6,FIND("T",B1560,FIND("CFW110",B1560))-(FIND("CFW110",B1560)+6))),
IF(ISNUMBER(FIND("D",B1560)),
VALUE(SUBSTITUTE(MID(B1560,FIND("D",B1560)+1,FIND("T",B1560,FIND("D",B1560))-(FIND("D",B1560)+1)),"P",",")),
IF(ISNUMBER(FIND("CFW5",B1560)),
VALUE(MID(B1560,
IF(ISNUMBER(FIND("F",B1560)),FIND("F",B1560)+1,FIND("G",B1560)+1),
FIND("T",B1560)-(IF(ISNUMBER(FIND("F",B1560)),FIND("F",B1560)+1,FIND("G",B1560)+1))
)),
VALUE(MID(B1560,FIND("E0",B1560)+2,FIND("T",B1560,FIND("E0",B1560))-(FIND("E0",B1560)+2)))
))),"")</f>
        <v>105</v>
      </c>
      <c r="G1560">
        <f>IFERROR(
IF(ISNUMBER(FIND("T2",B1560)),220,
IF(ISNUMBER(FIND("T4",B1560)),440,
IF(ISNUMBER(FIND("T5",B1560)),575,
IF(ISNUMBER(FIND("T6",B1560)),690,"")))),
"")</f>
        <v>440</v>
      </c>
    </row>
    <row r="1561" spans="1:7" x14ac:dyDescent="0.25">
      <c r="A1561">
        <v>14914273</v>
      </c>
      <c r="B1561" t="str">
        <f>VLOOKUP(A1561,Planilha2!B:C,2,0)</f>
        <v>INVERSOR MSCFW110370T4ORBWSQZ</v>
      </c>
      <c r="C1561" t="s">
        <v>3170</v>
      </c>
      <c r="D1561" t="str">
        <f>VLOOKUP(A1561,Planilha2!B:H,7,0)</f>
        <v>LINHA G3</v>
      </c>
      <c r="E1561" s="5">
        <v>135596</v>
      </c>
      <c r="F1561">
        <f>IFERROR(
IF(ISNUMBER(FIND("CFW110",B1561)),
VALUE(MID(B1561,FIND("CFW110",B1561)+6,FIND("T",B1561,FIND("CFW110",B1561))-(FIND("CFW110",B1561)+6))),
IF(ISNUMBER(FIND("D",B1561)),
VALUE(SUBSTITUTE(MID(B1561,FIND("D",B1561)+1,FIND("T",B1561,FIND("D",B1561))-(FIND("D",B1561)+1)),"P",",")),
IF(ISNUMBER(FIND("CFW5",B1561)),
VALUE(MID(B1561,
IF(ISNUMBER(FIND("F",B1561)),FIND("F",B1561)+1,FIND("G",B1561)+1),
FIND("T",B1561)-(IF(ISNUMBER(FIND("F",B1561)),FIND("F",B1561)+1,FIND("G",B1561)+1))
)),
VALUE(MID(B1561,FIND("E0",B1561)+2,FIND("T",B1561,FIND("E0",B1561))-(FIND("E0",B1561)+2)))
))),"")</f>
        <v>370</v>
      </c>
      <c r="G1561">
        <f>IFERROR(
IF(ISNUMBER(FIND("T2",B1561)),220,
IF(ISNUMBER(FIND("T4",B1561)),440,
IF(ISNUMBER(FIND("T5",B1561)),575,
IF(ISNUMBER(FIND("T6",B1561)),690,"")))),
"")</f>
        <v>440</v>
      </c>
    </row>
    <row r="1562" spans="1:7" x14ac:dyDescent="0.25">
      <c r="A1562">
        <v>14914236</v>
      </c>
      <c r="B1562" t="str">
        <f>VLOOKUP(A1562,Planilha2!B:C,2,0)</f>
        <v>INVERSOR MSCFW110211T4ORBWSQZ</v>
      </c>
      <c r="C1562" t="s">
        <v>3170</v>
      </c>
      <c r="D1562" t="str">
        <f>VLOOKUP(A1562,Planilha2!B:H,7,0)</f>
        <v>LINHA G1</v>
      </c>
      <c r="E1562" s="5">
        <v>1000</v>
      </c>
      <c r="F1562">
        <f>IFERROR(
IF(ISNUMBER(FIND("CFW110",B1562)),
VALUE(MID(B1562,FIND("CFW110",B1562)+6,FIND("T",B1562,FIND("CFW110",B1562))-(FIND("CFW110",B1562)+6))),
IF(ISNUMBER(FIND("D",B1562)),
VALUE(SUBSTITUTE(MID(B1562,FIND("D",B1562)+1,FIND("T",B1562,FIND("D",B1562))-(FIND("D",B1562)+1)),"P",",")),
IF(ISNUMBER(FIND("CFW5",B1562)),
VALUE(MID(B1562,
IF(ISNUMBER(FIND("F",B1562)),FIND("F",B1562)+1,FIND("G",B1562)+1),
FIND("T",B1562)-(IF(ISNUMBER(FIND("F",B1562)),FIND("F",B1562)+1,FIND("G",B1562)+1))
)),
VALUE(MID(B1562,FIND("E0",B1562)+2,FIND("T",B1562,FIND("E0",B1562))-(FIND("E0",B1562)+2)))
))),"")</f>
        <v>211</v>
      </c>
      <c r="G1562">
        <f>IFERROR(
IF(ISNUMBER(FIND("T2",B1562)),220,
IF(ISNUMBER(FIND("T4",B1562)),440,
IF(ISNUMBER(FIND("T5",B1562)),575,
IF(ISNUMBER(FIND("T6",B1562)),690,"")))),
"")</f>
        <v>440</v>
      </c>
    </row>
    <row r="1563" spans="1:7" x14ac:dyDescent="0.25">
      <c r="A1563">
        <v>14941830</v>
      </c>
      <c r="B1563" t="str">
        <f>VLOOKUP(A1563,Planilha2!B:C,2,0)</f>
        <v>INVERSOR EUCFW110107T6OYWZ-UI</v>
      </c>
      <c r="C1563" t="s">
        <v>3170</v>
      </c>
      <c r="D1563" t="str">
        <f>VLOOKUP(A1563,Planilha2!B:H,7,0)</f>
        <v>LINHA G1</v>
      </c>
      <c r="E1563" s="5">
        <v>64410</v>
      </c>
      <c r="F1563">
        <f>IFERROR(
IF(ISNUMBER(FIND("CFW110",B1563)),
VALUE(MID(B1563,FIND("CFW110",B1563)+6,FIND("T",B1563,FIND("CFW110",B1563))-(FIND("CFW110",B1563)+6))),
IF(ISNUMBER(FIND("D",B1563)),
VALUE(SUBSTITUTE(MID(B1563,FIND("D",B1563)+1,FIND("T",B1563,FIND("D",B1563))-(FIND("D",B1563)+1)),"P",",")),
IF(ISNUMBER(FIND("CFW5",B1563)),
VALUE(MID(B1563,
IF(ISNUMBER(FIND("F",B1563)),FIND("F",B1563)+1,FIND("G",B1563)+1),
FIND("T",B1563)-(IF(ISNUMBER(FIND("F",B1563)),FIND("F",B1563)+1,FIND("G",B1563)+1))
)),
VALUE(MID(B1563,FIND("E0",B1563)+2,FIND("T",B1563,FIND("E0",B1563))-(FIND("E0",B1563)+2)))
))),"")</f>
        <v>107</v>
      </c>
      <c r="G1563">
        <f>IFERROR(
IF(ISNUMBER(FIND("T2",B1563)),220,
IF(ISNUMBER(FIND("T4",B1563)),440,
IF(ISNUMBER(FIND("T5",B1563)),575,
IF(ISNUMBER(FIND("T6",B1563)),690,"")))),
"")</f>
        <v>690</v>
      </c>
    </row>
    <row r="1564" spans="1:7" x14ac:dyDescent="0.25">
      <c r="A1564">
        <v>14953012</v>
      </c>
      <c r="B1564" t="str">
        <f>VLOOKUP(A1564,Planilha2!B:C,2,0)</f>
        <v>INVERSOR MSCFW110211T4OWH2DCZ-UI</v>
      </c>
      <c r="C1564" t="s">
        <v>3170</v>
      </c>
      <c r="D1564" t="str">
        <f>VLOOKUP(A1564,Planilha2!B:H,7,0)</f>
        <v>LINHA G1</v>
      </c>
      <c r="E1564" s="5">
        <v>67900</v>
      </c>
      <c r="F1564">
        <f>IFERROR(
IF(ISNUMBER(FIND("CFW110",B1564)),
VALUE(MID(B1564,FIND("CFW110",B1564)+6,FIND("T",B1564,FIND("CFW110",B1564))-(FIND("CFW110",B1564)+6))),
IF(ISNUMBER(FIND("D",B1564)),
VALUE(SUBSTITUTE(MID(B1564,FIND("D",B1564)+1,FIND("T",B1564,FIND("D",B1564))-(FIND("D",B1564)+1)),"P",",")),
IF(ISNUMBER(FIND("CFW5",B1564)),
VALUE(MID(B1564,
IF(ISNUMBER(FIND("F",B1564)),FIND("F",B1564)+1,FIND("G",B1564)+1),
FIND("T",B1564)-(IF(ISNUMBER(FIND("F",B1564)),FIND("F",B1564)+1,FIND("G",B1564)+1))
)),
VALUE(MID(B1564,FIND("E0",B1564)+2,FIND("T",B1564,FIND("E0",B1564))-(FIND("E0",B1564)+2)))
))),"")</f>
        <v>211</v>
      </c>
      <c r="G1564">
        <f>IFERROR(
IF(ISNUMBER(FIND("T2",B1564)),220,
IF(ISNUMBER(FIND("T4",B1564)),440,
IF(ISNUMBER(FIND("T5",B1564)),575,
IF(ISNUMBER(FIND("T6",B1564)),690,"")))),
"")</f>
        <v>440</v>
      </c>
    </row>
    <row r="1565" spans="1:7" x14ac:dyDescent="0.25">
      <c r="A1565">
        <v>14969086</v>
      </c>
      <c r="B1565" t="str">
        <f>VLOOKUP(A1565,Planilha2!B:C,2,0)</f>
        <v>INVERSOR CFW700E0180T4DB55C3DS</v>
      </c>
      <c r="C1565" t="s">
        <v>3170</v>
      </c>
      <c r="D1565" t="str">
        <f>VLOOKUP(A1565,Planilha2!B:H,7,0)</f>
        <v>OBSOLETOS DRIVES</v>
      </c>
      <c r="E1565" s="5">
        <v>100300</v>
      </c>
      <c r="F1565" t="str">
        <f>IFERROR(
IF(ISNUMBER(FIND("CFW110",B1565)),
VALUE(MID(B1565,FIND("CFW110",B1565)+6,FIND("T",B1565,FIND("CFW110",B1565))-(FIND("CFW110",B1565)+6))),
IF(ISNUMBER(FIND("D",B1565)),
VALUE(SUBSTITUTE(MID(B1565,FIND("D",B1565)+1,FIND("T",B1565,FIND("D",B1565))-(FIND("D",B1565)+1)),"P",",")),
IF(ISNUMBER(FIND("CFW5",B1565)),
VALUE(MID(B1565,
IF(ISNUMBER(FIND("F",B1565)),FIND("F",B1565)+1,FIND("G",B1565)+1),
FIND("T",B1565)-(IF(ISNUMBER(FIND("F",B1565)),FIND("F",B1565)+1,FIND("G",B1565)+1))
)),
VALUE(MID(B1565,FIND("E0",B1565)+2,FIND("T",B1565,FIND("E0",B1565))-(FIND("E0",B1565)+2)))
))),"")</f>
        <v/>
      </c>
      <c r="G1565">
        <f>IFERROR(
IF(ISNUMBER(FIND("T2",B1565)),220,
IF(ISNUMBER(FIND("T4",B1565)),440,
IF(ISNUMBER(FIND("T5",B1565)),575,
IF(ISNUMBER(FIND("T6",B1565)),690,"")))),
"")</f>
        <v>440</v>
      </c>
    </row>
    <row r="1566" spans="1:7" x14ac:dyDescent="0.25">
      <c r="A1566">
        <v>15006944</v>
      </c>
      <c r="B1566" t="str">
        <f>VLOOKUP(A1566,Planilha2!B:C,2,0)</f>
        <v>INVERSOR CFW700E0142T4DB55C3DS</v>
      </c>
      <c r="C1566" t="s">
        <v>3170</v>
      </c>
      <c r="D1566" t="str">
        <f>VLOOKUP(A1566,Planilha2!B:H,7,0)</f>
        <v>OBSOLETOS DRIVES</v>
      </c>
      <c r="E1566" s="5">
        <v>80337</v>
      </c>
      <c r="F1566" t="str">
        <f>IFERROR(
IF(ISNUMBER(FIND("CFW110",B1566)),
VALUE(MID(B1566,FIND("CFW110",B1566)+6,FIND("T",B1566,FIND("CFW110",B1566))-(FIND("CFW110",B1566)+6))),
IF(ISNUMBER(FIND("D",B1566)),
VALUE(SUBSTITUTE(MID(B1566,FIND("D",B1566)+1,FIND("T",B1566,FIND("D",B1566))-(FIND("D",B1566)+1)),"P",",")),
IF(ISNUMBER(FIND("CFW5",B1566)),
VALUE(MID(B1566,
IF(ISNUMBER(FIND("F",B1566)),FIND("F",B1566)+1,FIND("G",B1566)+1),
FIND("T",B1566)-(IF(ISNUMBER(FIND("F",B1566)),FIND("F",B1566)+1,FIND("G",B1566)+1))
)),
VALUE(MID(B1566,FIND("E0",B1566)+2,FIND("T",B1566,FIND("E0",B1566))-(FIND("E0",B1566)+2)))
))),"")</f>
        <v/>
      </c>
      <c r="G1566">
        <f>IFERROR(
IF(ISNUMBER(FIND("T2",B1566)),220,
IF(ISNUMBER(FIND("T4",B1566)),440,
IF(ISNUMBER(FIND("T5",B1566)),575,
IF(ISNUMBER(FIND("T6",B1566)),690,"")))),
"")</f>
        <v>440</v>
      </c>
    </row>
    <row r="1567" spans="1:7" x14ac:dyDescent="0.25">
      <c r="A1567">
        <v>15015020</v>
      </c>
      <c r="B1567" t="str">
        <f>VLOOKUP(A1567,Planilha2!B:C,2,0)</f>
        <v>INVERSOR CFW700E0211T4DB55C3DS</v>
      </c>
      <c r="C1567" t="s">
        <v>3170</v>
      </c>
      <c r="D1567" t="str">
        <f>VLOOKUP(A1567,Planilha2!B:H,7,0)</f>
        <v>OBSOLETOS DRIVES</v>
      </c>
      <c r="E1567" s="5">
        <v>100300</v>
      </c>
      <c r="F1567" t="str">
        <f>IFERROR(
IF(ISNUMBER(FIND("CFW110",B1567)),
VALUE(MID(B1567,FIND("CFW110",B1567)+6,FIND("T",B1567,FIND("CFW110",B1567))-(FIND("CFW110",B1567)+6))),
IF(ISNUMBER(FIND("D",B1567)),
VALUE(SUBSTITUTE(MID(B1567,FIND("D",B1567)+1,FIND("T",B1567,FIND("D",B1567))-(FIND("D",B1567)+1)),"P",",")),
IF(ISNUMBER(FIND("CFW5",B1567)),
VALUE(MID(B1567,
IF(ISNUMBER(FIND("F",B1567)),FIND("F",B1567)+1,FIND("G",B1567)+1),
FIND("T",B1567)-(IF(ISNUMBER(FIND("F",B1567)),FIND("F",B1567)+1,FIND("G",B1567)+1))
)),
VALUE(MID(B1567,FIND("E0",B1567)+2,FIND("T",B1567,FIND("E0",B1567))-(FIND("E0",B1567)+2)))
))),"")</f>
        <v/>
      </c>
      <c r="G1567">
        <f>IFERROR(
IF(ISNUMBER(FIND("T2",B1567)),220,
IF(ISNUMBER(FIND("T4",B1567)),440,
IF(ISNUMBER(FIND("T5",B1567)),575,
IF(ISNUMBER(FIND("T6",B1567)),690,"")))),
"")</f>
        <v>440</v>
      </c>
    </row>
    <row r="1568" spans="1:7" x14ac:dyDescent="0.25">
      <c r="A1568">
        <v>14975384</v>
      </c>
      <c r="B1568" t="str">
        <f>VLOOKUP(A1568,Planilha2!B:C,2,0)</f>
        <v>INVERSOR CFW700E0105T4DB55C3DS</v>
      </c>
      <c r="C1568" t="s">
        <v>3170</v>
      </c>
      <c r="D1568" t="str">
        <f>VLOOKUP(A1568,Planilha2!B:H,7,0)</f>
        <v>OBSOLETOS DRIVES</v>
      </c>
      <c r="E1568" s="5">
        <v>87400</v>
      </c>
      <c r="F1568" t="str">
        <f>IFERROR(
IF(ISNUMBER(FIND("CFW110",B1568)),
VALUE(MID(B1568,FIND("CFW110",B1568)+6,FIND("T",B1568,FIND("CFW110",B1568))-(FIND("CFW110",B1568)+6))),
IF(ISNUMBER(FIND("D",B1568)),
VALUE(SUBSTITUTE(MID(B1568,FIND("D",B1568)+1,FIND("T",B1568,FIND("D",B1568))-(FIND("D",B1568)+1)),"P",",")),
IF(ISNUMBER(FIND("CFW5",B1568)),
VALUE(MID(B1568,
IF(ISNUMBER(FIND("F",B1568)),FIND("F",B1568)+1,FIND("G",B1568)+1),
FIND("T",B1568)-(IF(ISNUMBER(FIND("F",B1568)),FIND("F",B1568)+1,FIND("G",B1568)+1))
)),
VALUE(MID(B1568,FIND("E0",B1568)+2,FIND("T",B1568,FIND("E0",B1568))-(FIND("E0",B1568)+2)))
))),"")</f>
        <v/>
      </c>
      <c r="G1568">
        <f>IFERROR(
IF(ISNUMBER(FIND("T2",B1568)),220,
IF(ISNUMBER(FIND("T4",B1568)),440,
IF(ISNUMBER(FIND("T5",B1568)),575,
IF(ISNUMBER(FIND("T6",B1568)),690,"")))),
"")</f>
        <v>440</v>
      </c>
    </row>
    <row r="1569" spans="1:7" x14ac:dyDescent="0.25">
      <c r="A1569">
        <v>14504937</v>
      </c>
      <c r="B1569" t="str">
        <f>VLOOKUP(A1569,Planilha2!B:C,2,0)</f>
        <v>INVERSOR EUCFW110150T6OYHASCZ</v>
      </c>
      <c r="C1569" t="s">
        <v>3170</v>
      </c>
      <c r="D1569" t="str">
        <f>VLOOKUP(A1569,Planilha2!B:H,7,0)</f>
        <v>LINHA G1</v>
      </c>
      <c r="E1569" s="5">
        <v>65000</v>
      </c>
      <c r="F1569">
        <f>IFERROR(
IF(ISNUMBER(FIND("CFW110",B1569)),
VALUE(MID(B1569,FIND("CFW110",B1569)+6,FIND("T",B1569,FIND("CFW110",B1569))-(FIND("CFW110",B1569)+6))),
IF(ISNUMBER(FIND("D",B1569)),
VALUE(SUBSTITUTE(MID(B1569,FIND("D",B1569)+1,FIND("T",B1569,FIND("D",B1569))-(FIND("D",B1569)+1)),"P",",")),
IF(ISNUMBER(FIND("CFW5",B1569)),
VALUE(MID(B1569,
IF(ISNUMBER(FIND("F",B1569)),FIND("F",B1569)+1,FIND("G",B1569)+1),
FIND("T",B1569)-(IF(ISNUMBER(FIND("F",B1569)),FIND("F",B1569)+1,FIND("G",B1569)+1))
)),
VALUE(MID(B1569,FIND("E0",B1569)+2,FIND("T",B1569,FIND("E0",B1569))-(FIND("E0",B1569)+2)))
))),"")</f>
        <v>150</v>
      </c>
      <c r="G1569">
        <f>IFERROR(
IF(ISNUMBER(FIND("T2",B1569)),220,
IF(ISNUMBER(FIND("T4",B1569)),440,
IF(ISNUMBER(FIND("T5",B1569)),575,
IF(ISNUMBER(FIND("T6",B1569)),690,"")))),
"")</f>
        <v>690</v>
      </c>
    </row>
    <row r="1570" spans="1:7" x14ac:dyDescent="0.25">
      <c r="A1570">
        <v>15070917</v>
      </c>
      <c r="B1570" t="str">
        <f>VLOOKUP(A1570,Planilha2!B:C,2,0)</f>
        <v>INVERSOR MSCFW110211T4OWZ</v>
      </c>
      <c r="C1570" t="s">
        <v>3170</v>
      </c>
      <c r="D1570" t="str">
        <f>VLOOKUP(A1570,Planilha2!B:H,7,0)</f>
        <v>LINHA G1</v>
      </c>
      <c r="E1570" s="5">
        <v>65000</v>
      </c>
      <c r="F1570">
        <f>IFERROR(
IF(ISNUMBER(FIND("CFW110",B1570)),
VALUE(MID(B1570,FIND("CFW110",B1570)+6,FIND("T",B1570,FIND("CFW110",B1570))-(FIND("CFW110",B1570)+6))),
IF(ISNUMBER(FIND("D",B1570)),
VALUE(SUBSTITUTE(MID(B1570,FIND("D",B1570)+1,FIND("T",B1570,FIND("D",B1570))-(FIND("D",B1570)+1)),"P",",")),
IF(ISNUMBER(FIND("CFW5",B1570)),
VALUE(MID(B1570,
IF(ISNUMBER(FIND("F",B1570)),FIND("F",B1570)+1,FIND("G",B1570)+1),
FIND("T",B1570)-(IF(ISNUMBER(FIND("F",B1570)),FIND("F",B1570)+1,FIND("G",B1570)+1))
)),
VALUE(MID(B1570,FIND("E0",B1570)+2,FIND("T",B1570,FIND("E0",B1570))-(FIND("E0",B1570)+2)))
))),"")</f>
        <v>211</v>
      </c>
      <c r="G1570">
        <f>IFERROR(
IF(ISNUMBER(FIND("T2",B1570)),220,
IF(ISNUMBER(FIND("T4",B1570)),440,
IF(ISNUMBER(FIND("T5",B1570)),575,
IF(ISNUMBER(FIND("T6",B1570)),690,"")))),
"")</f>
        <v>440</v>
      </c>
    </row>
    <row r="1571" spans="1:7" x14ac:dyDescent="0.25">
      <c r="A1571">
        <v>15034305</v>
      </c>
      <c r="B1571" t="str">
        <f>VLOOKUP(A1571,Planilha2!B:C,2,0)</f>
        <v>INVERSOR BRCFW110226T4OYHBT1Z</v>
      </c>
      <c r="C1571" t="s">
        <v>3170</v>
      </c>
      <c r="D1571" t="str">
        <f>VLOOKUP(A1571,Planilha2!B:H,7,0)</f>
        <v>LINHA G1</v>
      </c>
      <c r="E1571" s="5">
        <v>65608</v>
      </c>
      <c r="F1571">
        <f>IFERROR(
IF(ISNUMBER(FIND("CFW110",B1571)),
VALUE(MID(B1571,FIND("CFW110",B1571)+6,FIND("T",B1571,FIND("CFW110",B1571))-(FIND("CFW110",B1571)+6))),
IF(ISNUMBER(FIND("D",B1571)),
VALUE(SUBSTITUTE(MID(B1571,FIND("D",B1571)+1,FIND("T",B1571,FIND("D",B1571))-(FIND("D",B1571)+1)),"P",",")),
IF(ISNUMBER(FIND("CFW5",B1571)),
VALUE(MID(B1571,
IF(ISNUMBER(FIND("F",B1571)),FIND("F",B1571)+1,FIND("G",B1571)+1),
FIND("T",B1571)-(IF(ISNUMBER(FIND("F",B1571)),FIND("F",B1571)+1,FIND("G",B1571)+1))
)),
VALUE(MID(B1571,FIND("E0",B1571)+2,FIND("T",B1571,FIND("E0",B1571))-(FIND("E0",B1571)+2)))
))),"")</f>
        <v>226</v>
      </c>
      <c r="G1571">
        <f>IFERROR(
IF(ISNUMBER(FIND("T2",B1571)),220,
IF(ISNUMBER(FIND("T4",B1571)),440,
IF(ISNUMBER(FIND("T5",B1571)),575,
IF(ISNUMBER(FIND("T6",B1571)),690,"")))),
"")</f>
        <v>440</v>
      </c>
    </row>
    <row r="1572" spans="1:7" x14ac:dyDescent="0.25">
      <c r="A1572">
        <v>15024449</v>
      </c>
      <c r="B1572" t="str">
        <f>VLOOKUP(A1572,Planilha2!B:C,2,0)</f>
        <v>INVERSOR BRCFW110250T4OYHBT1Z</v>
      </c>
      <c r="C1572" t="s">
        <v>3170</v>
      </c>
      <c r="D1572" t="str">
        <f>VLOOKUP(A1572,Planilha2!B:H,7,0)</f>
        <v>LINHA G1</v>
      </c>
      <c r="E1572" s="5">
        <v>60000</v>
      </c>
      <c r="F1572">
        <f>IFERROR(
IF(ISNUMBER(FIND("CFW110",B1572)),
VALUE(MID(B1572,FIND("CFW110",B1572)+6,FIND("T",B1572,FIND("CFW110",B1572))-(FIND("CFW110",B1572)+6))),
IF(ISNUMBER(FIND("D",B1572)),
VALUE(SUBSTITUTE(MID(B1572,FIND("D",B1572)+1,FIND("T",B1572,FIND("D",B1572))-(FIND("D",B1572)+1)),"P",",")),
IF(ISNUMBER(FIND("CFW5",B1572)),
VALUE(MID(B1572,
IF(ISNUMBER(FIND("F",B1572)),FIND("F",B1572)+1,FIND("G",B1572)+1),
FIND("T",B1572)-(IF(ISNUMBER(FIND("F",B1572)),FIND("F",B1572)+1,FIND("G",B1572)+1))
)),
VALUE(MID(B1572,FIND("E0",B1572)+2,FIND("T",B1572,FIND("E0",B1572))-(FIND("E0",B1572)+2)))
))),"")</f>
        <v>250</v>
      </c>
      <c r="G1572">
        <f>IFERROR(
IF(ISNUMBER(FIND("T2",B1572)),220,
IF(ISNUMBER(FIND("T4",B1572)),440,
IF(ISNUMBER(FIND("T5",B1572)),575,
IF(ISNUMBER(FIND("T6",B1572)),690,"")))),
"")</f>
        <v>440</v>
      </c>
    </row>
    <row r="1573" spans="1:7" x14ac:dyDescent="0.25">
      <c r="A1573">
        <v>15072397</v>
      </c>
      <c r="B1573" t="str">
        <f>VLOOKUP(A1573,Planilha2!B:C,2,0)</f>
        <v>INVERSOR BRCFW110211T4OYWZ-UI</v>
      </c>
      <c r="C1573" t="s">
        <v>3170</v>
      </c>
      <c r="D1573" t="str">
        <f>VLOOKUP(A1573,Planilha2!B:H,7,0)</f>
        <v>LINHA G1</v>
      </c>
      <c r="E1573" s="5">
        <v>69666</v>
      </c>
      <c r="F1573">
        <f>IFERROR(
IF(ISNUMBER(FIND("CFW110",B1573)),
VALUE(MID(B1573,FIND("CFW110",B1573)+6,FIND("T",B1573,FIND("CFW110",B1573))-(FIND("CFW110",B1573)+6))),
IF(ISNUMBER(FIND("D",B1573)),
VALUE(SUBSTITUTE(MID(B1573,FIND("D",B1573)+1,FIND("T",B1573,FIND("D",B1573))-(FIND("D",B1573)+1)),"P",",")),
IF(ISNUMBER(FIND("CFW5",B1573)),
VALUE(MID(B1573,
IF(ISNUMBER(FIND("F",B1573)),FIND("F",B1573)+1,FIND("G",B1573)+1),
FIND("T",B1573)-(IF(ISNUMBER(FIND("F",B1573)),FIND("F",B1573)+1,FIND("G",B1573)+1))
)),
VALUE(MID(B1573,FIND("E0",B1573)+2,FIND("T",B1573,FIND("E0",B1573))-(FIND("E0",B1573)+2)))
))),"")</f>
        <v>211</v>
      </c>
      <c r="G1573">
        <f>IFERROR(
IF(ISNUMBER(FIND("T2",B1573)),220,
IF(ISNUMBER(FIND("T4",B1573)),440,
IF(ISNUMBER(FIND("T5",B1573)),575,
IF(ISNUMBER(FIND("T6",B1573)),690,"")))),
"")</f>
        <v>440</v>
      </c>
    </row>
    <row r="1574" spans="1:7" x14ac:dyDescent="0.25">
      <c r="A1574">
        <v>13839510</v>
      </c>
      <c r="B1574" t="str">
        <f>VLOOKUP(A1574,Planilha2!B:C,2,0)</f>
        <v>INVERSOR BRCFW110180T4OH1Z-UI</v>
      </c>
      <c r="C1574" t="s">
        <v>3170</v>
      </c>
      <c r="D1574" t="str">
        <f>VLOOKUP(A1574,Planilha2!B:H,7,0)</f>
        <v>LINHA G1</v>
      </c>
      <c r="E1574" s="5">
        <v>65389</v>
      </c>
      <c r="F1574">
        <f>IFERROR(
IF(ISNUMBER(FIND("CFW110",B1574)),
VALUE(MID(B1574,FIND("CFW110",B1574)+6,FIND("T",B1574,FIND("CFW110",B1574))-(FIND("CFW110",B1574)+6))),
IF(ISNUMBER(FIND("D",B1574)),
VALUE(SUBSTITUTE(MID(B1574,FIND("D",B1574)+1,FIND("T",B1574,FIND("D",B1574))-(FIND("D",B1574)+1)),"P",",")),
IF(ISNUMBER(FIND("CFW5",B1574)),
VALUE(MID(B1574,
IF(ISNUMBER(FIND("F",B1574)),FIND("F",B1574)+1,FIND("G",B1574)+1),
FIND("T",B1574)-(IF(ISNUMBER(FIND("F",B1574)),FIND("F",B1574)+1,FIND("G",B1574)+1))
)),
VALUE(MID(B1574,FIND("E0",B1574)+2,FIND("T",B1574,FIND("E0",B1574))-(FIND("E0",B1574)+2)))
))),"")</f>
        <v>180</v>
      </c>
      <c r="G1574">
        <f>IFERROR(
IF(ISNUMBER(FIND("T2",B1574)),220,
IF(ISNUMBER(FIND("T4",B1574)),440,
IF(ISNUMBER(FIND("T5",B1574)),575,
IF(ISNUMBER(FIND("T6",B1574)),690,"")))),
"")</f>
        <v>440</v>
      </c>
    </row>
    <row r="1575" spans="1:7" x14ac:dyDescent="0.25">
      <c r="A1575">
        <v>15073395</v>
      </c>
      <c r="B1575" t="str">
        <f>VLOOKUP(A1575,Planilha2!B:C,2,0)</f>
        <v>INVERSOR BRCFW110105T4OYWZ-UI</v>
      </c>
      <c r="C1575" t="s">
        <v>3170</v>
      </c>
      <c r="D1575" t="str">
        <f>VLOOKUP(A1575,Planilha2!B:H,7,0)</f>
        <v>LINHA G1</v>
      </c>
      <c r="E1575" s="5">
        <v>60360</v>
      </c>
      <c r="F1575">
        <f>IFERROR(
IF(ISNUMBER(FIND("CFW110",B1575)),
VALUE(MID(B1575,FIND("CFW110",B1575)+6,FIND("T",B1575,FIND("CFW110",B1575))-(FIND("CFW110",B1575)+6))),
IF(ISNUMBER(FIND("D",B1575)),
VALUE(SUBSTITUTE(MID(B1575,FIND("D",B1575)+1,FIND("T",B1575,FIND("D",B1575))-(FIND("D",B1575)+1)),"P",",")),
IF(ISNUMBER(FIND("CFW5",B1575)),
VALUE(MID(B1575,
IF(ISNUMBER(FIND("F",B1575)),FIND("F",B1575)+1,FIND("G",B1575)+1),
FIND("T",B1575)-(IF(ISNUMBER(FIND("F",B1575)),FIND("F",B1575)+1,FIND("G",B1575)+1))
)),
VALUE(MID(B1575,FIND("E0",B1575)+2,FIND("T",B1575,FIND("E0",B1575))-(FIND("E0",B1575)+2)))
))),"")</f>
        <v>105</v>
      </c>
      <c r="G1575">
        <f>IFERROR(
IF(ISNUMBER(FIND("T2",B1575)),220,
IF(ISNUMBER(FIND("T4",B1575)),440,
IF(ISNUMBER(FIND("T5",B1575)),575,
IF(ISNUMBER(FIND("T6",B1575)),690,"")))),
"")</f>
        <v>440</v>
      </c>
    </row>
    <row r="1576" spans="1:7" x14ac:dyDescent="0.25">
      <c r="A1576">
        <v>15175382</v>
      </c>
      <c r="B1576" t="str">
        <f>VLOOKUP(A1576,Planilha2!B:C,2,0)</f>
        <v>INVERSOR BRCFW110289T6ORBT3ECZ-UI</v>
      </c>
      <c r="C1576" t="s">
        <v>3170</v>
      </c>
      <c r="D1576" t="str">
        <f>VLOOKUP(A1576,Planilha2!B:H,7,0)</f>
        <v>LINHA G3</v>
      </c>
      <c r="E1576" s="5">
        <v>130000</v>
      </c>
      <c r="F1576">
        <f>IFERROR(
IF(ISNUMBER(FIND("CFW110",B1576)),
VALUE(MID(B1576,FIND("CFW110",B1576)+6,FIND("T",B1576,FIND("CFW110",B1576))-(FIND("CFW110",B1576)+6))),
IF(ISNUMBER(FIND("D",B1576)),
VALUE(SUBSTITUTE(MID(B1576,FIND("D",B1576)+1,FIND("T",B1576,FIND("D",B1576))-(FIND("D",B1576)+1)),"P",",")),
IF(ISNUMBER(FIND("CFW5",B1576)),
VALUE(MID(B1576,
IF(ISNUMBER(FIND("F",B1576)),FIND("F",B1576)+1,FIND("G",B1576)+1),
FIND("T",B1576)-(IF(ISNUMBER(FIND("F",B1576)),FIND("F",B1576)+1,FIND("G",B1576)+1))
)),
VALUE(MID(B1576,FIND("E0",B1576)+2,FIND("T",B1576,FIND("E0",B1576))-(FIND("E0",B1576)+2)))
))),"")</f>
        <v>289</v>
      </c>
      <c r="G1576">
        <f>IFERROR(
IF(ISNUMBER(FIND("T2",B1576)),220,
IF(ISNUMBER(FIND("T4",B1576)),440,
IF(ISNUMBER(FIND("T5",B1576)),575,
IF(ISNUMBER(FIND("T6",B1576)),690,"")))),
"")</f>
        <v>690</v>
      </c>
    </row>
    <row r="1577" spans="1:7" x14ac:dyDescent="0.25">
      <c r="A1577">
        <v>15079994</v>
      </c>
      <c r="B1577" t="str">
        <f>VLOOKUP(A1577,Planilha2!B:C,2,0)</f>
        <v>INVERSOR EUCFW110211T4OYWSUZ-UI</v>
      </c>
      <c r="C1577" t="s">
        <v>3170</v>
      </c>
      <c r="D1577" t="str">
        <f>VLOOKUP(A1577,Planilha2!B:H,7,0)</f>
        <v>LINHA G1</v>
      </c>
      <c r="E1577" s="5">
        <v>67900</v>
      </c>
      <c r="F1577">
        <f>IFERROR(
IF(ISNUMBER(FIND("CFW110",B1577)),
VALUE(MID(B1577,FIND("CFW110",B1577)+6,FIND("T",B1577,FIND("CFW110",B1577))-(FIND("CFW110",B1577)+6))),
IF(ISNUMBER(FIND("D",B1577)),
VALUE(SUBSTITUTE(MID(B1577,FIND("D",B1577)+1,FIND("T",B1577,FIND("D",B1577))-(FIND("D",B1577)+1)),"P",",")),
IF(ISNUMBER(FIND("CFW5",B1577)),
VALUE(MID(B1577,
IF(ISNUMBER(FIND("F",B1577)),FIND("F",B1577)+1,FIND("G",B1577)+1),
FIND("T",B1577)-(IF(ISNUMBER(FIND("F",B1577)),FIND("F",B1577)+1,FIND("G",B1577)+1))
)),
VALUE(MID(B1577,FIND("E0",B1577)+2,FIND("T",B1577,FIND("E0",B1577))-(FIND("E0",B1577)+2)))
))),"")</f>
        <v>211</v>
      </c>
      <c r="G1577">
        <f>IFERROR(
IF(ISNUMBER(FIND("T2",B1577)),220,
IF(ISNUMBER(FIND("T4",B1577)),440,
IF(ISNUMBER(FIND("T5",B1577)),575,
IF(ISNUMBER(FIND("T6",B1577)),690,"")))),
"")</f>
        <v>440</v>
      </c>
    </row>
    <row r="1578" spans="1:7" x14ac:dyDescent="0.25">
      <c r="A1578">
        <v>15183712</v>
      </c>
      <c r="B1578" t="str">
        <f>VLOOKUP(A1578,Planilha2!B:C,2,0)</f>
        <v>INVERSOR BRCFW110142T4OECZ-UI</v>
      </c>
      <c r="C1578" t="s">
        <v>3170</v>
      </c>
      <c r="D1578" t="str">
        <f>VLOOKUP(A1578,Planilha2!B:H,7,0)</f>
        <v>LINHA G1</v>
      </c>
      <c r="E1578" s="5">
        <v>64598</v>
      </c>
      <c r="F1578">
        <f>IFERROR(
IF(ISNUMBER(FIND("CFW110",B1578)),
VALUE(MID(B1578,FIND("CFW110",B1578)+6,FIND("T",B1578,FIND("CFW110",B1578))-(FIND("CFW110",B1578)+6))),
IF(ISNUMBER(FIND("D",B1578)),
VALUE(SUBSTITUTE(MID(B1578,FIND("D",B1578)+1,FIND("T",B1578,FIND("D",B1578))-(FIND("D",B1578)+1)),"P",",")),
IF(ISNUMBER(FIND("CFW5",B1578)),
VALUE(MID(B1578,
IF(ISNUMBER(FIND("F",B1578)),FIND("F",B1578)+1,FIND("G",B1578)+1),
FIND("T",B1578)-(IF(ISNUMBER(FIND("F",B1578)),FIND("F",B1578)+1,FIND("G",B1578)+1))
)),
VALUE(MID(B1578,FIND("E0",B1578)+2,FIND("T",B1578,FIND("E0",B1578))-(FIND("E0",B1578)+2)))
))),"")</f>
        <v>142</v>
      </c>
      <c r="G1578">
        <f>IFERROR(
IF(ISNUMBER(FIND("T2",B1578)),220,
IF(ISNUMBER(FIND("T4",B1578)),440,
IF(ISNUMBER(FIND("T5",B1578)),575,
IF(ISNUMBER(FIND("T6",B1578)),690,"")))),
"")</f>
        <v>440</v>
      </c>
    </row>
    <row r="1579" spans="1:7" x14ac:dyDescent="0.25">
      <c r="A1579">
        <v>15145206</v>
      </c>
      <c r="B1579" t="str">
        <f>VLOOKUP(A1579,Planilha2!B:C,2,0)</f>
        <v>INVERSOR BRCFW110180T2OYZ-UI</v>
      </c>
      <c r="C1579" t="s">
        <v>3170</v>
      </c>
      <c r="D1579" t="str">
        <f>VLOOKUP(A1579,Planilha2!B:H,7,0)</f>
        <v>LINHA G1</v>
      </c>
      <c r="E1579" s="5">
        <v>141608</v>
      </c>
      <c r="F1579">
        <f>IFERROR(
IF(ISNUMBER(FIND("CFW110",B1579)),
VALUE(MID(B1579,FIND("CFW110",B1579)+6,FIND("T",B1579,FIND("CFW110",B1579))-(FIND("CFW110",B1579)+6))),
IF(ISNUMBER(FIND("D",B1579)),
VALUE(SUBSTITUTE(MID(B1579,FIND("D",B1579)+1,FIND("T",B1579,FIND("D",B1579))-(FIND("D",B1579)+1)),"P",",")),
IF(ISNUMBER(FIND("CFW5",B1579)),
VALUE(MID(B1579,
IF(ISNUMBER(FIND("F",B1579)),FIND("F",B1579)+1,FIND("G",B1579)+1),
FIND("T",B1579)-(IF(ISNUMBER(FIND("F",B1579)),FIND("F",B1579)+1,FIND("G",B1579)+1))
)),
VALUE(MID(B1579,FIND("E0",B1579)+2,FIND("T",B1579,FIND("E0",B1579))-(FIND("E0",B1579)+2)))
))),"")</f>
        <v>180</v>
      </c>
      <c r="G1579">
        <f>IFERROR(
IF(ISNUMBER(FIND("T2",B1579)),220,
IF(ISNUMBER(FIND("T4",B1579)),440,
IF(ISNUMBER(FIND("T5",B1579)),575,
IF(ISNUMBER(FIND("T6",B1579)),690,"")))),
"")</f>
        <v>220</v>
      </c>
    </row>
    <row r="1580" spans="1:7" x14ac:dyDescent="0.25">
      <c r="A1580">
        <v>11994788</v>
      </c>
      <c r="B1580" t="str">
        <f>VLOOKUP(A1580,Planilha2!B:C,2,0)</f>
        <v>INVERSOR BRCFW110053T6ONBZ</v>
      </c>
      <c r="C1580" t="s">
        <v>3170</v>
      </c>
      <c r="D1580" t="str">
        <f>VLOOKUP(A1580,Planilha2!B:H,7,0)</f>
        <v>LINHA G1</v>
      </c>
      <c r="E1580" s="5">
        <v>59360</v>
      </c>
      <c r="F1580">
        <f>IFERROR(
IF(ISNUMBER(FIND("CFW110",B1580)),
VALUE(MID(B1580,FIND("CFW110",B1580)+6,FIND("T",B1580,FIND("CFW110",B1580))-(FIND("CFW110",B1580)+6))),
IF(ISNUMBER(FIND("D",B1580)),
VALUE(SUBSTITUTE(MID(B1580,FIND("D",B1580)+1,FIND("T",B1580,FIND("D",B1580))-(FIND("D",B1580)+1)),"P",",")),
IF(ISNUMBER(FIND("CFW5",B1580)),
VALUE(MID(B1580,
IF(ISNUMBER(FIND("F",B1580)),FIND("F",B1580)+1,FIND("G",B1580)+1),
FIND("T",B1580)-(IF(ISNUMBER(FIND("F",B1580)),FIND("F",B1580)+1,FIND("G",B1580)+1))
)),
VALUE(MID(B1580,FIND("E0",B1580)+2,FIND("T",B1580,FIND("E0",B1580))-(FIND("E0",B1580)+2)))
))),"")</f>
        <v>53</v>
      </c>
      <c r="G1580">
        <f>IFERROR(
IF(ISNUMBER(FIND("T2",B1580)),220,
IF(ISNUMBER(FIND("T4",B1580)),440,
IF(ISNUMBER(FIND("T5",B1580)),575,
IF(ISNUMBER(FIND("T6",B1580)),690,"")))),
"")</f>
        <v>690</v>
      </c>
    </row>
    <row r="1581" spans="1:7" x14ac:dyDescent="0.25">
      <c r="A1581">
        <v>11994791</v>
      </c>
      <c r="B1581" t="str">
        <f>VLOOKUP(A1581,Planilha2!B:C,2,0)</f>
        <v>INVERSOR BRCFW110080T6ONBZ</v>
      </c>
      <c r="C1581" t="s">
        <v>3170</v>
      </c>
      <c r="D1581" t="str">
        <f>VLOOKUP(A1581,Planilha2!B:H,7,0)</f>
        <v>LINHA G1</v>
      </c>
      <c r="E1581" s="5">
        <v>59360</v>
      </c>
      <c r="F1581">
        <f>IFERROR(
IF(ISNUMBER(FIND("CFW110",B1581)),
VALUE(MID(B1581,FIND("CFW110",B1581)+6,FIND("T",B1581,FIND("CFW110",B1581))-(FIND("CFW110",B1581)+6))),
IF(ISNUMBER(FIND("D",B1581)),
VALUE(SUBSTITUTE(MID(B1581,FIND("D",B1581)+1,FIND("T",B1581,FIND("D",B1581))-(FIND("D",B1581)+1)),"P",",")),
IF(ISNUMBER(FIND("CFW5",B1581)),
VALUE(MID(B1581,
IF(ISNUMBER(FIND("F",B1581)),FIND("F",B1581)+1,FIND("G",B1581)+1),
FIND("T",B1581)-(IF(ISNUMBER(FIND("F",B1581)),FIND("F",B1581)+1,FIND("G",B1581)+1))
)),
VALUE(MID(B1581,FIND("E0",B1581)+2,FIND("T",B1581,FIND("E0",B1581))-(FIND("E0",B1581)+2)))
))),"")</f>
        <v>80</v>
      </c>
      <c r="G1581">
        <f>IFERROR(
IF(ISNUMBER(FIND("T2",B1581)),220,
IF(ISNUMBER(FIND("T4",B1581)),440,
IF(ISNUMBER(FIND("T5",B1581)),575,
IF(ISNUMBER(FIND("T6",B1581)),690,"")))),
"")</f>
        <v>690</v>
      </c>
    </row>
    <row r="1582" spans="1:7" x14ac:dyDescent="0.25">
      <c r="A1582">
        <v>11994792</v>
      </c>
      <c r="B1582" t="str">
        <f>VLOOKUP(A1582,Planilha2!B:C,2,0)</f>
        <v>INVERSOR BRCFW110107T6ONBYZ</v>
      </c>
      <c r="C1582" t="s">
        <v>3170</v>
      </c>
      <c r="D1582" t="str">
        <f>VLOOKUP(A1582,Planilha2!B:H,7,0)</f>
        <v>LINHA G1</v>
      </c>
      <c r="E1582" s="5">
        <v>59360</v>
      </c>
      <c r="F1582">
        <f>IFERROR(
IF(ISNUMBER(FIND("CFW110",B1582)),
VALUE(MID(B1582,FIND("CFW110",B1582)+6,FIND("T",B1582,FIND("CFW110",B1582))-(FIND("CFW110",B1582)+6))),
IF(ISNUMBER(FIND("D",B1582)),
VALUE(SUBSTITUTE(MID(B1582,FIND("D",B1582)+1,FIND("T",B1582,FIND("D",B1582))-(FIND("D",B1582)+1)),"P",",")),
IF(ISNUMBER(FIND("CFW5",B1582)),
VALUE(MID(B1582,
IF(ISNUMBER(FIND("F",B1582)),FIND("F",B1582)+1,FIND("G",B1582)+1),
FIND("T",B1582)-(IF(ISNUMBER(FIND("F",B1582)),FIND("F",B1582)+1,FIND("G",B1582)+1))
)),
VALUE(MID(B1582,FIND("E0",B1582)+2,FIND("T",B1582,FIND("E0",B1582))-(FIND("E0",B1582)+2)))
))),"")</f>
        <v>107</v>
      </c>
      <c r="G1582">
        <f>IFERROR(
IF(ISNUMBER(FIND("T2",B1582)),220,
IF(ISNUMBER(FIND("T4",B1582)),440,
IF(ISNUMBER(FIND("T5",B1582)),575,
IF(ISNUMBER(FIND("T6",B1582)),690,"")))),
"")</f>
        <v>690</v>
      </c>
    </row>
    <row r="1583" spans="1:7" x14ac:dyDescent="0.25">
      <c r="A1583">
        <v>11994794</v>
      </c>
      <c r="B1583" t="str">
        <f>VLOOKUP(A1583,Planilha2!B:C,2,0)</f>
        <v>INVERSOR BRCFW110125T6ONBYZ</v>
      </c>
      <c r="C1583" t="s">
        <v>3170</v>
      </c>
      <c r="D1583" t="str">
        <f>VLOOKUP(A1583,Planilha2!B:H,7,0)</f>
        <v>LINHA G1</v>
      </c>
      <c r="E1583" s="5">
        <v>59360</v>
      </c>
      <c r="F1583">
        <f>IFERROR(
IF(ISNUMBER(FIND("CFW110",B1583)),
VALUE(MID(B1583,FIND("CFW110",B1583)+6,FIND("T",B1583,FIND("CFW110",B1583))-(FIND("CFW110",B1583)+6))),
IF(ISNUMBER(FIND("D",B1583)),
VALUE(SUBSTITUTE(MID(B1583,FIND("D",B1583)+1,FIND("T",B1583,FIND("D",B1583))-(FIND("D",B1583)+1)),"P",",")),
IF(ISNUMBER(FIND("CFW5",B1583)),
VALUE(MID(B1583,
IF(ISNUMBER(FIND("F",B1583)),FIND("F",B1583)+1,FIND("G",B1583)+1),
FIND("T",B1583)-(IF(ISNUMBER(FIND("F",B1583)),FIND("F",B1583)+1,FIND("G",B1583)+1))
)),
VALUE(MID(B1583,FIND("E0",B1583)+2,FIND("T",B1583,FIND("E0",B1583))-(FIND("E0",B1583)+2)))
))),"")</f>
        <v>125</v>
      </c>
      <c r="G1583">
        <f>IFERROR(
IF(ISNUMBER(FIND("T2",B1583)),220,
IF(ISNUMBER(FIND("T4",B1583)),440,
IF(ISNUMBER(FIND("T5",B1583)),575,
IF(ISNUMBER(FIND("T6",B1583)),690,"")))),
"")</f>
        <v>690</v>
      </c>
    </row>
    <row r="1584" spans="1:7" x14ac:dyDescent="0.25">
      <c r="A1584">
        <v>15164405</v>
      </c>
      <c r="B1584" t="str">
        <f>VLOOKUP(A1584,Planilha2!B:C,2,0)</f>
        <v>INVERSOR BRCFW110105T4OWZ-UI</v>
      </c>
      <c r="C1584" t="s">
        <v>3170</v>
      </c>
      <c r="D1584" t="str">
        <f>VLOOKUP(A1584,Planilha2!B:H,7,0)</f>
        <v>LINHA G1</v>
      </c>
      <c r="E1584" s="5">
        <v>49360</v>
      </c>
      <c r="F1584">
        <f>IFERROR(
IF(ISNUMBER(FIND("CFW110",B1584)),
VALUE(MID(B1584,FIND("CFW110",B1584)+6,FIND("T",B1584,FIND("CFW110",B1584))-(FIND("CFW110",B1584)+6))),
IF(ISNUMBER(FIND("D",B1584)),
VALUE(SUBSTITUTE(MID(B1584,FIND("D",B1584)+1,FIND("T",B1584,FIND("D",B1584))-(FIND("D",B1584)+1)),"P",",")),
IF(ISNUMBER(FIND("CFW5",B1584)),
VALUE(MID(B1584,
IF(ISNUMBER(FIND("F",B1584)),FIND("F",B1584)+1,FIND("G",B1584)+1),
FIND("T",B1584)-(IF(ISNUMBER(FIND("F",B1584)),FIND("F",B1584)+1,FIND("G",B1584)+1))
)),
VALUE(MID(B1584,FIND("E0",B1584)+2,FIND("T",B1584,FIND("E0",B1584))-(FIND("E0",B1584)+2)))
))),"")</f>
        <v>105</v>
      </c>
      <c r="G1584">
        <f>IFERROR(
IF(ISNUMBER(FIND("T2",B1584)),220,
IF(ISNUMBER(FIND("T4",B1584)),440,
IF(ISNUMBER(FIND("T5",B1584)),575,
IF(ISNUMBER(FIND("T6",B1584)),690,"")))),
"")</f>
        <v>440</v>
      </c>
    </row>
    <row r="1585" spans="1:7" x14ac:dyDescent="0.25">
      <c r="A1585">
        <v>15164971</v>
      </c>
      <c r="B1585" t="str">
        <f>VLOOKUP(A1585,Planilha2!B:C,2,0)</f>
        <v>INVERSOR BRCFW110180T4OECZ</v>
      </c>
      <c r="C1585" t="s">
        <v>3170</v>
      </c>
      <c r="D1585" t="str">
        <f>VLOOKUP(A1585,Planilha2!B:H,7,0)</f>
        <v>LINHA G1</v>
      </c>
      <c r="E1585" s="5">
        <v>51320</v>
      </c>
      <c r="F1585">
        <f>IFERROR(
IF(ISNUMBER(FIND("CFW110",B1585)),
VALUE(MID(B1585,FIND("CFW110",B1585)+6,FIND("T",B1585,FIND("CFW110",B1585))-(FIND("CFW110",B1585)+6))),
IF(ISNUMBER(FIND("D",B1585)),
VALUE(SUBSTITUTE(MID(B1585,FIND("D",B1585)+1,FIND("T",B1585,FIND("D",B1585))-(FIND("D",B1585)+1)),"P",",")),
IF(ISNUMBER(FIND("CFW5",B1585)),
VALUE(MID(B1585,
IF(ISNUMBER(FIND("F",B1585)),FIND("F",B1585)+1,FIND("G",B1585)+1),
FIND("T",B1585)-(IF(ISNUMBER(FIND("F",B1585)),FIND("F",B1585)+1,FIND("G",B1585)+1))
)),
VALUE(MID(B1585,FIND("E0",B1585)+2,FIND("T",B1585,FIND("E0",B1585))-(FIND("E0",B1585)+2)))
))),"")</f>
        <v>180</v>
      </c>
      <c r="G1585">
        <f>IFERROR(
IF(ISNUMBER(FIND("T2",B1585)),220,
IF(ISNUMBER(FIND("T4",B1585)),440,
IF(ISNUMBER(FIND("T5",B1585)),575,
IF(ISNUMBER(FIND("T6",B1585)),690,"")))),
"")</f>
        <v>440</v>
      </c>
    </row>
    <row r="1586" spans="1:7" x14ac:dyDescent="0.25">
      <c r="A1586">
        <v>15213345</v>
      </c>
      <c r="B1586" t="str">
        <f>VLOOKUP(A1586,Planilha2!B:C,2,0)</f>
        <v>INVERSOR BRCFW110180T4OWH2ALS9Z-UI</v>
      </c>
      <c r="C1586" t="s">
        <v>3170</v>
      </c>
      <c r="D1586" t="str">
        <f>VLOOKUP(A1586,Planilha2!B:H,7,0)</f>
        <v>LINHA G1</v>
      </c>
      <c r="E1586" s="5">
        <v>65175</v>
      </c>
      <c r="F1586">
        <f>IFERROR(
IF(ISNUMBER(FIND("CFW110",B1586)),
VALUE(MID(B1586,FIND("CFW110",B1586)+6,FIND("T",B1586,FIND("CFW110",B1586))-(FIND("CFW110",B1586)+6))),
IF(ISNUMBER(FIND("D",B1586)),
VALUE(SUBSTITUTE(MID(B1586,FIND("D",B1586)+1,FIND("T",B1586,FIND("D",B1586))-(FIND("D",B1586)+1)),"P",",")),
IF(ISNUMBER(FIND("CFW5",B1586)),
VALUE(MID(B1586,
IF(ISNUMBER(FIND("F",B1586)),FIND("F",B1586)+1,FIND("G",B1586)+1),
FIND("T",B1586)-(IF(ISNUMBER(FIND("F",B1586)),FIND("F",B1586)+1,FIND("G",B1586)+1))
)),
VALUE(MID(B1586,FIND("E0",B1586)+2,FIND("T",B1586,FIND("E0",B1586))-(FIND("E0",B1586)+2)))
))),"")</f>
        <v>180</v>
      </c>
      <c r="G1586">
        <f>IFERROR(
IF(ISNUMBER(FIND("T2",B1586)),220,
IF(ISNUMBER(FIND("T4",B1586)),440,
IF(ISNUMBER(FIND("T5",B1586)),575,
IF(ISNUMBER(FIND("T6",B1586)),690,"")))),
"")</f>
        <v>440</v>
      </c>
    </row>
    <row r="1587" spans="1:7" x14ac:dyDescent="0.25">
      <c r="A1587">
        <v>15198294</v>
      </c>
      <c r="B1587" t="str">
        <f>VLOOKUP(A1587,Planilha2!B:C,2,0)</f>
        <v>INVERSOR EUCFW110312T4ORBZ-UI</v>
      </c>
      <c r="C1587" t="s">
        <v>3170</v>
      </c>
      <c r="D1587" t="str">
        <f>VLOOKUP(A1587,Planilha2!B:H,7,0)</f>
        <v>LINHA G3</v>
      </c>
      <c r="E1587" s="5">
        <v>89500</v>
      </c>
      <c r="F1587">
        <f>IFERROR(
IF(ISNUMBER(FIND("CFW110",B1587)),
VALUE(MID(B1587,FIND("CFW110",B1587)+6,FIND("T",B1587,FIND("CFW110",B1587))-(FIND("CFW110",B1587)+6))),
IF(ISNUMBER(FIND("D",B1587)),
VALUE(SUBSTITUTE(MID(B1587,FIND("D",B1587)+1,FIND("T",B1587,FIND("D",B1587))-(FIND("D",B1587)+1)),"P",",")),
IF(ISNUMBER(FIND("CFW5",B1587)),
VALUE(MID(B1587,
IF(ISNUMBER(FIND("F",B1587)),FIND("F",B1587)+1,FIND("G",B1587)+1),
FIND("T",B1587)-(IF(ISNUMBER(FIND("F",B1587)),FIND("F",B1587)+1,FIND("G",B1587)+1))
)),
VALUE(MID(B1587,FIND("E0",B1587)+2,FIND("T",B1587,FIND("E0",B1587))-(FIND("E0",B1587)+2)))
))),"")</f>
        <v>312</v>
      </c>
      <c r="G1587">
        <f>IFERROR(
IF(ISNUMBER(FIND("T2",B1587)),220,
IF(ISNUMBER(FIND("T4",B1587)),440,
IF(ISNUMBER(FIND("T5",B1587)),575,
IF(ISNUMBER(FIND("T6",B1587)),690,"")))),
"")</f>
        <v>440</v>
      </c>
    </row>
    <row r="1588" spans="1:7" x14ac:dyDescent="0.25">
      <c r="A1588">
        <v>15186314</v>
      </c>
      <c r="B1588" t="str">
        <f>VLOOKUP(A1588,Planilha2!B:C,2,0)</f>
        <v>INVERSOR BRCFW110211T4OECZ-UI</v>
      </c>
      <c r="C1588" t="s">
        <v>3170</v>
      </c>
      <c r="D1588" t="str">
        <f>VLOOKUP(A1588,Planilha2!B:H,7,0)</f>
        <v>LINHA G1</v>
      </c>
      <c r="E1588" s="5">
        <v>68288</v>
      </c>
      <c r="F1588">
        <f>IFERROR(
IF(ISNUMBER(FIND("CFW110",B1588)),
VALUE(MID(B1588,FIND("CFW110",B1588)+6,FIND("T",B1588,FIND("CFW110",B1588))-(FIND("CFW110",B1588)+6))),
IF(ISNUMBER(FIND("D",B1588)),
VALUE(SUBSTITUTE(MID(B1588,FIND("D",B1588)+1,FIND("T",B1588,FIND("D",B1588))-(FIND("D",B1588)+1)),"P",",")),
IF(ISNUMBER(FIND("CFW5",B1588)),
VALUE(MID(B1588,
IF(ISNUMBER(FIND("F",B1588)),FIND("F",B1588)+1,FIND("G",B1588)+1),
FIND("T",B1588)-(IF(ISNUMBER(FIND("F",B1588)),FIND("F",B1588)+1,FIND("G",B1588)+1))
)),
VALUE(MID(B1588,FIND("E0",B1588)+2,FIND("T",B1588,FIND("E0",B1588))-(FIND("E0",B1588)+2)))
))),"")</f>
        <v>211</v>
      </c>
      <c r="G1588">
        <f>IFERROR(
IF(ISNUMBER(FIND("T2",B1588)),220,
IF(ISNUMBER(FIND("T4",B1588)),440,
IF(ISNUMBER(FIND("T5",B1588)),575,
IF(ISNUMBER(FIND("T6",B1588)),690,"")))),
"")</f>
        <v>440</v>
      </c>
    </row>
    <row r="1589" spans="1:7" x14ac:dyDescent="0.25">
      <c r="A1589">
        <v>15243380</v>
      </c>
      <c r="B1589" t="str">
        <f>VLOOKUP(A1589,Planilha2!B:C,2,0)</f>
        <v>INVERSOR BRCFW110180T4OH2ALS9Z-UI</v>
      </c>
      <c r="C1589" t="s">
        <v>3170</v>
      </c>
      <c r="D1589" t="str">
        <f>VLOOKUP(A1589,Planilha2!B:H,7,0)</f>
        <v>LINHA G1</v>
      </c>
      <c r="E1589" s="5">
        <v>1000</v>
      </c>
      <c r="F1589">
        <f>IFERROR(
IF(ISNUMBER(FIND("CFW110",B1589)),
VALUE(MID(B1589,FIND("CFW110",B1589)+6,FIND("T",B1589,FIND("CFW110",B1589))-(FIND("CFW110",B1589)+6))),
IF(ISNUMBER(FIND("D",B1589)),
VALUE(SUBSTITUTE(MID(B1589,FIND("D",B1589)+1,FIND("T",B1589,FIND("D",B1589))-(FIND("D",B1589)+1)),"P",",")),
IF(ISNUMBER(FIND("CFW5",B1589)),
VALUE(MID(B1589,
IF(ISNUMBER(FIND("F",B1589)),FIND("F",B1589)+1,FIND("G",B1589)+1),
FIND("T",B1589)-(IF(ISNUMBER(FIND("F",B1589)),FIND("F",B1589)+1,FIND("G",B1589)+1))
)),
VALUE(MID(B1589,FIND("E0",B1589)+2,FIND("T",B1589,FIND("E0",B1589))-(FIND("E0",B1589)+2)))
))),"")</f>
        <v>180</v>
      </c>
      <c r="G1589">
        <f>IFERROR(
IF(ISNUMBER(FIND("T2",B1589)),220,
IF(ISNUMBER(FIND("T4",B1589)),440,
IF(ISNUMBER(FIND("T5",B1589)),575,
IF(ISNUMBER(FIND("T6",B1589)),690,"")))),
"")</f>
        <v>440</v>
      </c>
    </row>
    <row r="1590" spans="1:7" x14ac:dyDescent="0.25">
      <c r="A1590">
        <v>14979897</v>
      </c>
      <c r="B1590" t="str">
        <f>VLOOKUP(A1590,Planilha2!B:C,2,0)</f>
        <v>INVERSOR EUCFW110211T4OYWZ-UI</v>
      </c>
      <c r="C1590" t="s">
        <v>3170</v>
      </c>
      <c r="D1590" t="str">
        <f>VLOOKUP(A1590,Planilha2!B:H,7,0)</f>
        <v>LINHA G1</v>
      </c>
      <c r="E1590" s="5">
        <v>67900</v>
      </c>
      <c r="F1590">
        <f>IFERROR(
IF(ISNUMBER(FIND("CFW110",B1590)),
VALUE(MID(B1590,FIND("CFW110",B1590)+6,FIND("T",B1590,FIND("CFW110",B1590))-(FIND("CFW110",B1590)+6))),
IF(ISNUMBER(FIND("D",B1590)),
VALUE(SUBSTITUTE(MID(B1590,FIND("D",B1590)+1,FIND("T",B1590,FIND("D",B1590))-(FIND("D",B1590)+1)),"P",",")),
IF(ISNUMBER(FIND("CFW5",B1590)),
VALUE(MID(B1590,
IF(ISNUMBER(FIND("F",B1590)),FIND("F",B1590)+1,FIND("G",B1590)+1),
FIND("T",B1590)-(IF(ISNUMBER(FIND("F",B1590)),FIND("F",B1590)+1,FIND("G",B1590)+1))
)),
VALUE(MID(B1590,FIND("E0",B1590)+2,FIND("T",B1590,FIND("E0",B1590))-(FIND("E0",B1590)+2)))
))),"")</f>
        <v>211</v>
      </c>
      <c r="G1590">
        <f>IFERROR(
IF(ISNUMBER(FIND("T2",B1590)),220,
IF(ISNUMBER(FIND("T4",B1590)),440,
IF(ISNUMBER(FIND("T5",B1590)),575,
IF(ISNUMBER(FIND("T6",B1590)),690,"")))),
"")</f>
        <v>440</v>
      </c>
    </row>
    <row r="1591" spans="1:7" x14ac:dyDescent="0.25">
      <c r="A1591">
        <v>15253558</v>
      </c>
      <c r="B1591" t="str">
        <f>VLOOKUP(A1591,Planilha2!B:C,2,0)</f>
        <v>INVERSOR BRCFW110142T4OHALS9Z-UI</v>
      </c>
      <c r="C1591" t="s">
        <v>3170</v>
      </c>
      <c r="D1591" t="str">
        <f>VLOOKUP(A1591,Planilha2!B:H,7,0)</f>
        <v>LINHA G1</v>
      </c>
      <c r="E1591" s="5">
        <v>64385</v>
      </c>
      <c r="F1591">
        <f>IFERROR(
IF(ISNUMBER(FIND("CFW110",B1591)),
VALUE(MID(B1591,FIND("CFW110",B1591)+6,FIND("T",B1591,FIND("CFW110",B1591))-(FIND("CFW110",B1591)+6))),
IF(ISNUMBER(FIND("D",B1591)),
VALUE(SUBSTITUTE(MID(B1591,FIND("D",B1591)+1,FIND("T",B1591,FIND("D",B1591))-(FIND("D",B1591)+1)),"P",",")),
IF(ISNUMBER(FIND("CFW5",B1591)),
VALUE(MID(B1591,
IF(ISNUMBER(FIND("F",B1591)),FIND("F",B1591)+1,FIND("G",B1591)+1),
FIND("T",B1591)-(IF(ISNUMBER(FIND("F",B1591)),FIND("F",B1591)+1,FIND("G",B1591)+1))
)),
VALUE(MID(B1591,FIND("E0",B1591)+2,FIND("T",B1591,FIND("E0",B1591))-(FIND("E0",B1591)+2)))
))),"")</f>
        <v>142</v>
      </c>
      <c r="G1591">
        <f>IFERROR(
IF(ISNUMBER(FIND("T2",B1591)),220,
IF(ISNUMBER(FIND("T4",B1591)),440,
IF(ISNUMBER(FIND("T5",B1591)),575,
IF(ISNUMBER(FIND("T6",B1591)),690,"")))),
"")</f>
        <v>440</v>
      </c>
    </row>
    <row r="1592" spans="1:7" x14ac:dyDescent="0.25">
      <c r="A1592">
        <v>15225056</v>
      </c>
      <c r="B1592" t="str">
        <f>VLOOKUP(A1592,Planilha2!B:C,2,0)</f>
        <v>INVERSOR EUCFW110180T4ON1TVZ</v>
      </c>
      <c r="C1592" t="s">
        <v>3170</v>
      </c>
      <c r="D1592" t="str">
        <f>VLOOKUP(A1592,Planilha2!B:H,7,0)</f>
        <v>LINHA G1</v>
      </c>
      <c r="E1592" s="5">
        <v>65000</v>
      </c>
      <c r="F1592">
        <f>IFERROR(
IF(ISNUMBER(FIND("CFW110",B1592)),
VALUE(MID(B1592,FIND("CFW110",B1592)+6,FIND("T",B1592,FIND("CFW110",B1592))-(FIND("CFW110",B1592)+6))),
IF(ISNUMBER(FIND("D",B1592)),
VALUE(SUBSTITUTE(MID(B1592,FIND("D",B1592)+1,FIND("T",B1592,FIND("D",B1592))-(FIND("D",B1592)+1)),"P",",")),
IF(ISNUMBER(FIND("CFW5",B1592)),
VALUE(MID(B1592,
IF(ISNUMBER(FIND("F",B1592)),FIND("F",B1592)+1,FIND("G",B1592)+1),
FIND("T",B1592)-(IF(ISNUMBER(FIND("F",B1592)),FIND("F",B1592)+1,FIND("G",B1592)+1))
)),
VALUE(MID(B1592,FIND("E0",B1592)+2,FIND("T",B1592,FIND("E0",B1592))-(FIND("E0",B1592)+2)))
))),"")</f>
        <v>180</v>
      </c>
      <c r="G1592">
        <f>IFERROR(
IF(ISNUMBER(FIND("T2",B1592)),220,
IF(ISNUMBER(FIND("T4",B1592)),440,
IF(ISNUMBER(FIND("T5",B1592)),575,
IF(ISNUMBER(FIND("T6",B1592)),690,"")))),
"")</f>
        <v>440</v>
      </c>
    </row>
    <row r="1593" spans="1:7" x14ac:dyDescent="0.25">
      <c r="A1593">
        <v>15348877</v>
      </c>
      <c r="B1593" t="str">
        <f>VLOOKUP(A1593,Planilha2!B:C,2,0)</f>
        <v>INVERSOR BRCFW110142T4ODBH4SPZ</v>
      </c>
      <c r="C1593" t="s">
        <v>3170</v>
      </c>
      <c r="D1593" t="str">
        <f>VLOOKUP(A1593,Planilha2!B:H,7,0)</f>
        <v>LINHA G1</v>
      </c>
      <c r="E1593" s="5">
        <v>69100</v>
      </c>
      <c r="F1593">
        <f>IFERROR(
IF(ISNUMBER(FIND("CFW110",B1593)),
VALUE(MID(B1593,FIND("CFW110",B1593)+6,FIND("T",B1593,FIND("CFW110",B1593))-(FIND("CFW110",B1593)+6))),
IF(ISNUMBER(FIND("D",B1593)),
VALUE(SUBSTITUTE(MID(B1593,FIND("D",B1593)+1,FIND("T",B1593,FIND("D",B1593))-(FIND("D",B1593)+1)),"P",",")),
IF(ISNUMBER(FIND("CFW5",B1593)),
VALUE(MID(B1593,
IF(ISNUMBER(FIND("F",B1593)),FIND("F",B1593)+1,FIND("G",B1593)+1),
FIND("T",B1593)-(IF(ISNUMBER(FIND("F",B1593)),FIND("F",B1593)+1,FIND("G",B1593)+1))
)),
VALUE(MID(B1593,FIND("E0",B1593)+2,FIND("T",B1593,FIND("E0",B1593))-(FIND("E0",B1593)+2)))
))),"")</f>
        <v>142</v>
      </c>
      <c r="G1593">
        <f>IFERROR(
IF(ISNUMBER(FIND("T2",B1593)),220,
IF(ISNUMBER(FIND("T4",B1593)),440,
IF(ISNUMBER(FIND("T5",B1593)),575,
IF(ISNUMBER(FIND("T6",B1593)),690,"")))),
"")</f>
        <v>440</v>
      </c>
    </row>
    <row r="1594" spans="1:7" x14ac:dyDescent="0.25">
      <c r="A1594">
        <v>15344858</v>
      </c>
      <c r="B1594" t="str">
        <f>VLOOKUP(A1594,Planilha2!B:C,2,0)</f>
        <v>INVERSOR BRCFW110180T4ODBWZ-UI</v>
      </c>
      <c r="C1594" t="s">
        <v>3170</v>
      </c>
      <c r="D1594" t="str">
        <f>VLOOKUP(A1594,Planilha2!B:H,7,0)</f>
        <v>LINHA G1</v>
      </c>
      <c r="E1594" s="5">
        <v>68200</v>
      </c>
      <c r="F1594">
        <f>IFERROR(
IF(ISNUMBER(FIND("CFW110",B1594)),
VALUE(MID(B1594,FIND("CFW110",B1594)+6,FIND("T",B1594,FIND("CFW110",B1594))-(FIND("CFW110",B1594)+6))),
IF(ISNUMBER(FIND("D",B1594)),
VALUE(SUBSTITUTE(MID(B1594,FIND("D",B1594)+1,FIND("T",B1594,FIND("D",B1594))-(FIND("D",B1594)+1)),"P",",")),
IF(ISNUMBER(FIND("CFW5",B1594)),
VALUE(MID(B1594,
IF(ISNUMBER(FIND("F",B1594)),FIND("F",B1594)+1,FIND("G",B1594)+1),
FIND("T",B1594)-(IF(ISNUMBER(FIND("F",B1594)),FIND("F",B1594)+1,FIND("G",B1594)+1))
)),
VALUE(MID(B1594,FIND("E0",B1594)+2,FIND("T",B1594,FIND("E0",B1594))-(FIND("E0",B1594)+2)))
))),"")</f>
        <v>180</v>
      </c>
      <c r="G1594">
        <f>IFERROR(
IF(ISNUMBER(FIND("T2",B1594)),220,
IF(ISNUMBER(FIND("T4",B1594)),440,
IF(ISNUMBER(FIND("T5",B1594)),575,
IF(ISNUMBER(FIND("T6",B1594)),690,"")))),
"")</f>
        <v>440</v>
      </c>
    </row>
    <row r="1595" spans="1:7" x14ac:dyDescent="0.25">
      <c r="A1595">
        <v>11994561</v>
      </c>
      <c r="B1595" t="str">
        <f>VLOOKUP(A1595,Planilha2!B:C,2,0)</f>
        <v>INVERSOR NACFW110080T6ON1YZ</v>
      </c>
      <c r="C1595" t="s">
        <v>3170</v>
      </c>
      <c r="D1595" t="str">
        <f>VLOOKUP(A1595,Planilha2!B:H,7,0)</f>
        <v>LINHA G1</v>
      </c>
      <c r="E1595" s="5">
        <v>60360</v>
      </c>
      <c r="F1595">
        <f>IFERROR(
IF(ISNUMBER(FIND("CFW110",B1595)),
VALUE(MID(B1595,FIND("CFW110",B1595)+6,FIND("T",B1595,FIND("CFW110",B1595))-(FIND("CFW110",B1595)+6))),
IF(ISNUMBER(FIND("D",B1595)),
VALUE(SUBSTITUTE(MID(B1595,FIND("D",B1595)+1,FIND("T",B1595,FIND("D",B1595))-(FIND("D",B1595)+1)),"P",",")),
IF(ISNUMBER(FIND("CFW5",B1595)),
VALUE(MID(B1595,
IF(ISNUMBER(FIND("F",B1595)),FIND("F",B1595)+1,FIND("G",B1595)+1),
FIND("T",B1595)-(IF(ISNUMBER(FIND("F",B1595)),FIND("F",B1595)+1,FIND("G",B1595)+1))
)),
VALUE(MID(B1595,FIND("E0",B1595)+2,FIND("T",B1595,FIND("E0",B1595))-(FIND("E0",B1595)+2)))
))),"")</f>
        <v>80</v>
      </c>
      <c r="G1595">
        <f>IFERROR(
IF(ISNUMBER(FIND("T2",B1595)),220,
IF(ISNUMBER(FIND("T4",B1595)),440,
IF(ISNUMBER(FIND("T5",B1595)),575,
IF(ISNUMBER(FIND("T6",B1595)),690,"")))),
"")</f>
        <v>690</v>
      </c>
    </row>
    <row r="1596" spans="1:7" x14ac:dyDescent="0.25">
      <c r="A1596">
        <v>15466344</v>
      </c>
      <c r="B1596" t="str">
        <f>VLOOKUP(A1596,Planilha2!B:C,2,0)</f>
        <v>INVERSOR NACFW110105T4OHALSTZ</v>
      </c>
      <c r="C1596" t="s">
        <v>3170</v>
      </c>
      <c r="D1596" t="str">
        <f>VLOOKUP(A1596,Planilha2!B:H,7,0)</f>
        <v>LINHA G1</v>
      </c>
      <c r="E1596" s="5">
        <v>64388</v>
      </c>
      <c r="F1596">
        <f>IFERROR(
IF(ISNUMBER(FIND("CFW110",B1596)),
VALUE(MID(B1596,FIND("CFW110",B1596)+6,FIND("T",B1596,FIND("CFW110",B1596))-(FIND("CFW110",B1596)+6))),
IF(ISNUMBER(FIND("D",B1596)),
VALUE(SUBSTITUTE(MID(B1596,FIND("D",B1596)+1,FIND("T",B1596,FIND("D",B1596))-(FIND("D",B1596)+1)),"P",",")),
IF(ISNUMBER(FIND("CFW5",B1596)),
VALUE(MID(B1596,
IF(ISNUMBER(FIND("F",B1596)),FIND("F",B1596)+1,FIND("G",B1596)+1),
FIND("T",B1596)-(IF(ISNUMBER(FIND("F",B1596)),FIND("F",B1596)+1,FIND("G",B1596)+1))
)),
VALUE(MID(B1596,FIND("E0",B1596)+2,FIND("T",B1596,FIND("E0",B1596))-(FIND("E0",B1596)+2)))
))),"")</f>
        <v>105</v>
      </c>
      <c r="G1596">
        <f>IFERROR(
IF(ISNUMBER(FIND("T2",B1596)),220,
IF(ISNUMBER(FIND("T4",B1596)),440,
IF(ISNUMBER(FIND("T5",B1596)),575,
IF(ISNUMBER(FIND("T6",B1596)),690,"")))),
"")</f>
        <v>440</v>
      </c>
    </row>
    <row r="1597" spans="1:7" x14ac:dyDescent="0.25">
      <c r="A1597">
        <v>15437868</v>
      </c>
      <c r="B1597" t="str">
        <f>VLOOKUP(A1597,Planilha2!B:C,2,0)</f>
        <v>INVERSOR BRCFW110211T4OYT1Z</v>
      </c>
      <c r="C1597" t="s">
        <v>3170</v>
      </c>
      <c r="D1597" t="str">
        <f>VLOOKUP(A1597,Planilha2!B:H,7,0)</f>
        <v>LINHA G1</v>
      </c>
      <c r="E1597" s="5">
        <v>68288</v>
      </c>
      <c r="F1597">
        <f>IFERROR(
IF(ISNUMBER(FIND("CFW110",B1597)),
VALUE(MID(B1597,FIND("CFW110",B1597)+6,FIND("T",B1597,FIND("CFW110",B1597))-(FIND("CFW110",B1597)+6))),
IF(ISNUMBER(FIND("D",B1597)),
VALUE(SUBSTITUTE(MID(B1597,FIND("D",B1597)+1,FIND("T",B1597,FIND("D",B1597))-(FIND("D",B1597)+1)),"P",",")),
IF(ISNUMBER(FIND("CFW5",B1597)),
VALUE(MID(B1597,
IF(ISNUMBER(FIND("F",B1597)),FIND("F",B1597)+1,FIND("G",B1597)+1),
FIND("T",B1597)-(IF(ISNUMBER(FIND("F",B1597)),FIND("F",B1597)+1,FIND("G",B1597)+1))
)),
VALUE(MID(B1597,FIND("E0",B1597)+2,FIND("T",B1597,FIND("E0",B1597))-(FIND("E0",B1597)+2)))
))),"")</f>
        <v>211</v>
      </c>
      <c r="G1597">
        <f>IFERROR(
IF(ISNUMBER(FIND("T2",B1597)),220,
IF(ISNUMBER(FIND("T4",B1597)),440,
IF(ISNUMBER(FIND("T5",B1597)),575,
IF(ISNUMBER(FIND("T6",B1597)),690,"")))),
"")</f>
        <v>440</v>
      </c>
    </row>
    <row r="1598" spans="1:7" x14ac:dyDescent="0.25">
      <c r="A1598">
        <v>15420137</v>
      </c>
      <c r="B1598" t="str">
        <f>VLOOKUP(A1598,Planilha2!B:C,2,0)</f>
        <v>INVERSOR MSCFW110312T4ORBWSQZ-UI</v>
      </c>
      <c r="C1598" t="s">
        <v>3170</v>
      </c>
      <c r="D1598" t="str">
        <f>VLOOKUP(A1598,Planilha2!B:H,7,0)</f>
        <v>LINHA G3</v>
      </c>
      <c r="E1598" s="5">
        <v>89500</v>
      </c>
      <c r="F1598">
        <f>IFERROR(
IF(ISNUMBER(FIND("CFW110",B1598)),
VALUE(MID(B1598,FIND("CFW110",B1598)+6,FIND("T",B1598,FIND("CFW110",B1598))-(FIND("CFW110",B1598)+6))),
IF(ISNUMBER(FIND("D",B1598)),
VALUE(SUBSTITUTE(MID(B1598,FIND("D",B1598)+1,FIND("T",B1598,FIND("D",B1598))-(FIND("D",B1598)+1)),"P",",")),
IF(ISNUMBER(FIND("CFW5",B1598)),
VALUE(MID(B1598,
IF(ISNUMBER(FIND("F",B1598)),FIND("F",B1598)+1,FIND("G",B1598)+1),
FIND("T",B1598)-(IF(ISNUMBER(FIND("F",B1598)),FIND("F",B1598)+1,FIND("G",B1598)+1))
)),
VALUE(MID(B1598,FIND("E0",B1598)+2,FIND("T",B1598,FIND("E0",B1598))-(FIND("E0",B1598)+2)))
))),"")</f>
        <v>312</v>
      </c>
      <c r="G1598">
        <f>IFERROR(
IF(ISNUMBER(FIND("T2",B1598)),220,
IF(ISNUMBER(FIND("T4",B1598)),440,
IF(ISNUMBER(FIND("T5",B1598)),575,
IF(ISNUMBER(FIND("T6",B1598)),690,"")))),
"")</f>
        <v>440</v>
      </c>
    </row>
    <row r="1599" spans="1:7" x14ac:dyDescent="0.25">
      <c r="A1599">
        <v>15384307</v>
      </c>
      <c r="B1599" t="str">
        <f>VLOOKUP(A1599,Planilha2!B:C,2,0)</f>
        <v>INVERSOR MSCFW110312T4ORBWSQZ</v>
      </c>
      <c r="C1599" t="s">
        <v>3170</v>
      </c>
      <c r="D1599" t="str">
        <f>VLOOKUP(A1599,Planilha2!B:H,7,0)</f>
        <v>LINHA G3</v>
      </c>
      <c r="E1599" s="5">
        <v>89500</v>
      </c>
      <c r="F1599">
        <f>IFERROR(
IF(ISNUMBER(FIND("CFW110",B1599)),
VALUE(MID(B1599,FIND("CFW110",B1599)+6,FIND("T",B1599,FIND("CFW110",B1599))-(FIND("CFW110",B1599)+6))),
IF(ISNUMBER(FIND("D",B1599)),
VALUE(SUBSTITUTE(MID(B1599,FIND("D",B1599)+1,FIND("T",B1599,FIND("D",B1599))-(FIND("D",B1599)+1)),"P",",")),
IF(ISNUMBER(FIND("CFW5",B1599)),
VALUE(MID(B1599,
IF(ISNUMBER(FIND("F",B1599)),FIND("F",B1599)+1,FIND("G",B1599)+1),
FIND("T",B1599)-(IF(ISNUMBER(FIND("F",B1599)),FIND("F",B1599)+1,FIND("G",B1599)+1))
)),
VALUE(MID(B1599,FIND("E0",B1599)+2,FIND("T",B1599,FIND("E0",B1599))-(FIND("E0",B1599)+2)))
))),"")</f>
        <v>312</v>
      </c>
      <c r="G1599">
        <f>IFERROR(
IF(ISNUMBER(FIND("T2",B1599)),220,
IF(ISNUMBER(FIND("T4",B1599)),440,
IF(ISNUMBER(FIND("T5",B1599)),575,
IF(ISNUMBER(FIND("T6",B1599)),690,"")))),
"")</f>
        <v>440</v>
      </c>
    </row>
    <row r="1600" spans="1:7" x14ac:dyDescent="0.25">
      <c r="A1600">
        <v>15408275</v>
      </c>
      <c r="B1600" t="str">
        <f>VLOOKUP(A1600,Planilha2!B:C,2,0)</f>
        <v>INVERSOR EUCFW110242T4ORBSQZ</v>
      </c>
      <c r="C1600" t="s">
        <v>3170</v>
      </c>
      <c r="D1600" t="str">
        <f>VLOOKUP(A1600,Planilha2!B:H,7,0)</f>
        <v>LINHA G3</v>
      </c>
      <c r="E1600" s="5">
        <v>130000</v>
      </c>
      <c r="F1600">
        <f>IFERROR(
IF(ISNUMBER(FIND("CFW110",B1600)),
VALUE(MID(B1600,FIND("CFW110",B1600)+6,FIND("T",B1600,FIND("CFW110",B1600))-(FIND("CFW110",B1600)+6))),
IF(ISNUMBER(FIND("D",B1600)),
VALUE(SUBSTITUTE(MID(B1600,FIND("D",B1600)+1,FIND("T",B1600,FIND("D",B1600))-(FIND("D",B1600)+1)),"P",",")),
IF(ISNUMBER(FIND("CFW5",B1600)),
VALUE(MID(B1600,
IF(ISNUMBER(FIND("F",B1600)),FIND("F",B1600)+1,FIND("G",B1600)+1),
FIND("T",B1600)-(IF(ISNUMBER(FIND("F",B1600)),FIND("F",B1600)+1,FIND("G",B1600)+1))
)),
VALUE(MID(B1600,FIND("E0",B1600)+2,FIND("T",B1600,FIND("E0",B1600))-(FIND("E0",B1600)+2)))
))),"")</f>
        <v>242</v>
      </c>
      <c r="G1600">
        <f>IFERROR(
IF(ISNUMBER(FIND("T2",B1600)),220,
IF(ISNUMBER(FIND("T4",B1600)),440,
IF(ISNUMBER(FIND("T5",B1600)),575,
IF(ISNUMBER(FIND("T6",B1600)),690,"")))),
"")</f>
        <v>440</v>
      </c>
    </row>
    <row r="1601" spans="1:7" x14ac:dyDescent="0.25">
      <c r="A1601">
        <v>15420132</v>
      </c>
      <c r="B1601" t="str">
        <f>VLOOKUP(A1601,Planilha2!B:C,2,0)</f>
        <v>INVERSOR EUCFW110242T4ORBSQZ-UI</v>
      </c>
      <c r="C1601" t="s">
        <v>3170</v>
      </c>
      <c r="D1601" t="str">
        <f>VLOOKUP(A1601,Planilha2!B:H,7,0)</f>
        <v>LINHA G3</v>
      </c>
      <c r="E1601" s="5">
        <v>130000</v>
      </c>
      <c r="F1601">
        <f>IFERROR(
IF(ISNUMBER(FIND("CFW110",B1601)),
VALUE(MID(B1601,FIND("CFW110",B1601)+6,FIND("T",B1601,FIND("CFW110",B1601))-(FIND("CFW110",B1601)+6))),
IF(ISNUMBER(FIND("D",B1601)),
VALUE(SUBSTITUTE(MID(B1601,FIND("D",B1601)+1,FIND("T",B1601,FIND("D",B1601))-(FIND("D",B1601)+1)),"P",",")),
IF(ISNUMBER(FIND("CFW5",B1601)),
VALUE(MID(B1601,
IF(ISNUMBER(FIND("F",B1601)),FIND("F",B1601)+1,FIND("G",B1601)+1),
FIND("T",B1601)-(IF(ISNUMBER(FIND("F",B1601)),FIND("F",B1601)+1,FIND("G",B1601)+1))
)),
VALUE(MID(B1601,FIND("E0",B1601)+2,FIND("T",B1601,FIND("E0",B1601))-(FIND("E0",B1601)+2)))
))),"")</f>
        <v>242</v>
      </c>
      <c r="G1601">
        <f>IFERROR(
IF(ISNUMBER(FIND("T2",B1601)),220,
IF(ISNUMBER(FIND("T4",B1601)),440,
IF(ISNUMBER(FIND("T5",B1601)),575,
IF(ISNUMBER(FIND("T6",B1601)),690,"")))),
"")</f>
        <v>440</v>
      </c>
    </row>
    <row r="1602" spans="1:7" x14ac:dyDescent="0.25">
      <c r="A1602">
        <v>15338075</v>
      </c>
      <c r="B1602" t="str">
        <f>VLOOKUP(A1602,Planilha2!B:C,2,0)</f>
        <v>INVERSOR BRCFW110180T4O55DSSMZ</v>
      </c>
      <c r="C1602" t="s">
        <v>3170</v>
      </c>
      <c r="D1602" t="str">
        <f>VLOOKUP(A1602,Planilha2!B:H,7,0)</f>
        <v>LINHA E1</v>
      </c>
      <c r="E1602" s="5">
        <v>100300</v>
      </c>
      <c r="F1602">
        <f>IFERROR(
IF(ISNUMBER(FIND("CFW110",B1602)),
VALUE(MID(B1602,FIND("CFW110",B1602)+6,FIND("T",B1602,FIND("CFW110",B1602))-(FIND("CFW110",B1602)+6))),
IF(ISNUMBER(FIND("D",B1602)),
VALUE(SUBSTITUTE(MID(B1602,FIND("D",B1602)+1,FIND("T",B1602,FIND("D",B1602))-(FIND("D",B1602)+1)),"P",",")),
IF(ISNUMBER(FIND("CFW5",B1602)),
VALUE(MID(B1602,
IF(ISNUMBER(FIND("F",B1602)),FIND("F",B1602)+1,FIND("G",B1602)+1),
FIND("T",B1602)-(IF(ISNUMBER(FIND("F",B1602)),FIND("F",B1602)+1,FIND("G",B1602)+1))
)),
VALUE(MID(B1602,FIND("E0",B1602)+2,FIND("T",B1602,FIND("E0",B1602))-(FIND("E0",B1602)+2)))
))),"")</f>
        <v>180</v>
      </c>
      <c r="G1602">
        <f>IFERROR(
IF(ISNUMBER(FIND("T2",B1602)),220,
IF(ISNUMBER(FIND("T4",B1602)),440,
IF(ISNUMBER(FIND("T5",B1602)),575,
IF(ISNUMBER(FIND("T6",B1602)),690,"")))),
"")</f>
        <v>440</v>
      </c>
    </row>
    <row r="1603" spans="1:7" x14ac:dyDescent="0.25">
      <c r="A1603">
        <v>15253560</v>
      </c>
      <c r="B1603" t="str">
        <f>VLOOKUP(A1603,Planilha2!B:C,2,0)</f>
        <v>INVERSOR BRCFW110211T4OH2ALS9Z-UI</v>
      </c>
      <c r="C1603" t="s">
        <v>3170</v>
      </c>
      <c r="D1603" t="str">
        <f>VLOOKUP(A1603,Planilha2!B:H,7,0)</f>
        <v>LINHA G1</v>
      </c>
      <c r="E1603" s="5">
        <v>67900</v>
      </c>
      <c r="F1603">
        <f>IFERROR(
IF(ISNUMBER(FIND("CFW110",B1603)),
VALUE(MID(B1603,FIND("CFW110",B1603)+6,FIND("T",B1603,FIND("CFW110",B1603))-(FIND("CFW110",B1603)+6))),
IF(ISNUMBER(FIND("D",B1603)),
VALUE(SUBSTITUTE(MID(B1603,FIND("D",B1603)+1,FIND("T",B1603,FIND("D",B1603))-(FIND("D",B1603)+1)),"P",",")),
IF(ISNUMBER(FIND("CFW5",B1603)),
VALUE(MID(B1603,
IF(ISNUMBER(FIND("F",B1603)),FIND("F",B1603)+1,FIND("G",B1603)+1),
FIND("T",B1603)-(IF(ISNUMBER(FIND("F",B1603)),FIND("F",B1603)+1,FIND("G",B1603)+1))
)),
VALUE(MID(B1603,FIND("E0",B1603)+2,FIND("T",B1603,FIND("E0",B1603))-(FIND("E0",B1603)+2)))
))),"")</f>
        <v>211</v>
      </c>
      <c r="G1603">
        <f>IFERROR(
IF(ISNUMBER(FIND("T2",B1603)),220,
IF(ISNUMBER(FIND("T4",B1603)),440,
IF(ISNUMBER(FIND("T5",B1603)),575,
IF(ISNUMBER(FIND("T6",B1603)),690,"")))),
"")</f>
        <v>440</v>
      </c>
    </row>
    <row r="1604" spans="1:7" x14ac:dyDescent="0.25">
      <c r="A1604">
        <v>15159012</v>
      </c>
      <c r="B1604" t="str">
        <f>VLOOKUP(A1604,Planilha2!B:C,2,0)</f>
        <v>INVERSOR BRCFW110289T6ORBT3ECZ</v>
      </c>
      <c r="C1604" t="s">
        <v>3170</v>
      </c>
      <c r="D1604" t="str">
        <f>VLOOKUP(A1604,Planilha2!B:H,7,0)</f>
        <v>LINHA G3</v>
      </c>
      <c r="E1604" s="5">
        <v>130596</v>
      </c>
      <c r="F1604">
        <f>IFERROR(
IF(ISNUMBER(FIND("CFW110",B1604)),
VALUE(MID(B1604,FIND("CFW110",B1604)+6,FIND("T",B1604,FIND("CFW110",B1604))-(FIND("CFW110",B1604)+6))),
IF(ISNUMBER(FIND("D",B1604)),
VALUE(SUBSTITUTE(MID(B1604,FIND("D",B1604)+1,FIND("T",B1604,FIND("D",B1604))-(FIND("D",B1604)+1)),"P",",")),
IF(ISNUMBER(FIND("CFW5",B1604)),
VALUE(MID(B1604,
IF(ISNUMBER(FIND("F",B1604)),FIND("F",B1604)+1,FIND("G",B1604)+1),
FIND("T",B1604)-(IF(ISNUMBER(FIND("F",B1604)),FIND("F",B1604)+1,FIND("G",B1604)+1))
)),
VALUE(MID(B1604,FIND("E0",B1604)+2,FIND("T",B1604,FIND("E0",B1604))-(FIND("E0",B1604)+2)))
))),"")</f>
        <v>289</v>
      </c>
      <c r="G1604">
        <f>IFERROR(
IF(ISNUMBER(FIND("T2",B1604)),220,
IF(ISNUMBER(FIND("T4",B1604)),440,
IF(ISNUMBER(FIND("T5",B1604)),575,
IF(ISNUMBER(FIND("T6",B1604)),690,"")))),
"")</f>
        <v>690</v>
      </c>
    </row>
    <row r="1605" spans="1:7" x14ac:dyDescent="0.25">
      <c r="A1605">
        <v>15192298</v>
      </c>
      <c r="B1605" t="str">
        <f>VLOOKUP(A1605,Planilha2!B:C,2,0)</f>
        <v>INVERSOR EUCFW110312T4ORBZ</v>
      </c>
      <c r="C1605" t="s">
        <v>3170</v>
      </c>
      <c r="D1605" t="str">
        <f>VLOOKUP(A1605,Planilha2!B:H,7,0)</f>
        <v>LINHA G3</v>
      </c>
      <c r="E1605" s="5">
        <v>89500</v>
      </c>
      <c r="F1605">
        <f>IFERROR(
IF(ISNUMBER(FIND("CFW110",B1605)),
VALUE(MID(B1605,FIND("CFW110",B1605)+6,FIND("T",B1605,FIND("CFW110",B1605))-(FIND("CFW110",B1605)+6))),
IF(ISNUMBER(FIND("D",B1605)),
VALUE(SUBSTITUTE(MID(B1605,FIND("D",B1605)+1,FIND("T",B1605,FIND("D",B1605))-(FIND("D",B1605)+1)),"P",",")),
IF(ISNUMBER(FIND("CFW5",B1605)),
VALUE(MID(B1605,
IF(ISNUMBER(FIND("F",B1605)),FIND("F",B1605)+1,FIND("G",B1605)+1),
FIND("T",B1605)-(IF(ISNUMBER(FIND("F",B1605)),FIND("F",B1605)+1,FIND("G",B1605)+1))
)),
VALUE(MID(B1605,FIND("E0",B1605)+2,FIND("T",B1605,FIND("E0",B1605))-(FIND("E0",B1605)+2)))
))),"")</f>
        <v>312</v>
      </c>
      <c r="G1605">
        <f>IFERROR(
IF(ISNUMBER(FIND("T2",B1605)),220,
IF(ISNUMBER(FIND("T4",B1605)),440,
IF(ISNUMBER(FIND("T5",B1605)),575,
IF(ISNUMBER(FIND("T6",B1605)),690,"")))),
"")</f>
        <v>440</v>
      </c>
    </row>
    <row r="1606" spans="1:7" x14ac:dyDescent="0.25">
      <c r="A1606">
        <v>15207365</v>
      </c>
      <c r="B1606" t="str">
        <f>VLOOKUP(A1606,Planilha2!B:C,2,0)</f>
        <v>INVERSOR BRCFW110142T4OWHALS9Z</v>
      </c>
      <c r="C1606" t="s">
        <v>3170</v>
      </c>
      <c r="D1606" t="str">
        <f>VLOOKUP(A1606,Planilha2!B:H,7,0)</f>
        <v>LINHA G1</v>
      </c>
      <c r="E1606" s="5">
        <v>64385</v>
      </c>
      <c r="F1606">
        <f>IFERROR(
IF(ISNUMBER(FIND("CFW110",B1606)),
VALUE(MID(B1606,FIND("CFW110",B1606)+6,FIND("T",B1606,FIND("CFW110",B1606))-(FIND("CFW110",B1606)+6))),
IF(ISNUMBER(FIND("D",B1606)),
VALUE(SUBSTITUTE(MID(B1606,FIND("D",B1606)+1,FIND("T",B1606,FIND("D",B1606))-(FIND("D",B1606)+1)),"P",",")),
IF(ISNUMBER(FIND("CFW5",B1606)),
VALUE(MID(B1606,
IF(ISNUMBER(FIND("F",B1606)),FIND("F",B1606)+1,FIND("G",B1606)+1),
FIND("T",B1606)-(IF(ISNUMBER(FIND("F",B1606)),FIND("F",B1606)+1,FIND("G",B1606)+1))
)),
VALUE(MID(B1606,FIND("E0",B1606)+2,FIND("T",B1606,FIND("E0",B1606))-(FIND("E0",B1606)+2)))
))),"")</f>
        <v>142</v>
      </c>
      <c r="G1606">
        <f>IFERROR(
IF(ISNUMBER(FIND("T2",B1606)),220,
IF(ISNUMBER(FIND("T4",B1606)),440,
IF(ISNUMBER(FIND("T5",B1606)),575,
IF(ISNUMBER(FIND("T6",B1606)),690,"")))),
"")</f>
        <v>440</v>
      </c>
    </row>
    <row r="1607" spans="1:7" x14ac:dyDescent="0.25">
      <c r="A1607">
        <v>15213340</v>
      </c>
      <c r="B1607" t="str">
        <f>VLOOKUP(A1607,Planilha2!B:C,2,0)</f>
        <v>INVERSOR BRCFW110142T4OWHALS9Z-UI</v>
      </c>
      <c r="C1607" t="s">
        <v>3170</v>
      </c>
      <c r="D1607" t="str">
        <f>VLOOKUP(A1607,Planilha2!B:H,7,0)</f>
        <v>LINHA G1</v>
      </c>
      <c r="E1607" s="5">
        <v>64385</v>
      </c>
      <c r="F1607">
        <f>IFERROR(
IF(ISNUMBER(FIND("CFW110",B1607)),
VALUE(MID(B1607,FIND("CFW110",B1607)+6,FIND("T",B1607,FIND("CFW110",B1607))-(FIND("CFW110",B1607)+6))),
IF(ISNUMBER(FIND("D",B1607)),
VALUE(SUBSTITUTE(MID(B1607,FIND("D",B1607)+1,FIND("T",B1607,FIND("D",B1607))-(FIND("D",B1607)+1)),"P",",")),
IF(ISNUMBER(FIND("CFW5",B1607)),
VALUE(MID(B1607,
IF(ISNUMBER(FIND("F",B1607)),FIND("F",B1607)+1,FIND("G",B1607)+1),
FIND("T",B1607)-(IF(ISNUMBER(FIND("F",B1607)),FIND("F",B1607)+1,FIND("G",B1607)+1))
)),
VALUE(MID(B1607,FIND("E0",B1607)+2,FIND("T",B1607,FIND("E0",B1607))-(FIND("E0",B1607)+2)))
))),"")</f>
        <v>142</v>
      </c>
      <c r="G1607">
        <f>IFERROR(
IF(ISNUMBER(FIND("T2",B1607)),220,
IF(ISNUMBER(FIND("T4",B1607)),440,
IF(ISNUMBER(FIND("T5",B1607)),575,
IF(ISNUMBER(FIND("T6",B1607)),690,"")))),
"")</f>
        <v>440</v>
      </c>
    </row>
    <row r="1608" spans="1:7" x14ac:dyDescent="0.25">
      <c r="A1608">
        <v>15207404</v>
      </c>
      <c r="B1608" t="str">
        <f>VLOOKUP(A1608,Planilha2!B:C,2,0)</f>
        <v>INVERSOR BRCFW110180T4OWH2ALS9Z</v>
      </c>
      <c r="C1608" t="s">
        <v>3170</v>
      </c>
      <c r="D1608" t="str">
        <f>VLOOKUP(A1608,Planilha2!B:H,7,0)</f>
        <v>LINHA G1</v>
      </c>
      <c r="E1608" s="5">
        <v>65175</v>
      </c>
      <c r="F1608">
        <f>IFERROR(
IF(ISNUMBER(FIND("CFW110",B1608)),
VALUE(MID(B1608,FIND("CFW110",B1608)+6,FIND("T",B1608,FIND("CFW110",B1608))-(FIND("CFW110",B1608)+6))),
IF(ISNUMBER(FIND("D",B1608)),
VALUE(SUBSTITUTE(MID(B1608,FIND("D",B1608)+1,FIND("T",B1608,FIND("D",B1608))-(FIND("D",B1608)+1)),"P",",")),
IF(ISNUMBER(FIND("CFW5",B1608)),
VALUE(MID(B1608,
IF(ISNUMBER(FIND("F",B1608)),FIND("F",B1608)+1,FIND("G",B1608)+1),
FIND("T",B1608)-(IF(ISNUMBER(FIND("F",B1608)),FIND("F",B1608)+1,FIND("G",B1608)+1))
)),
VALUE(MID(B1608,FIND("E0",B1608)+2,FIND("T",B1608,FIND("E0",B1608))-(FIND("E0",B1608)+2)))
))),"")</f>
        <v>180</v>
      </c>
      <c r="G1608">
        <f>IFERROR(
IF(ISNUMBER(FIND("T2",B1608)),220,
IF(ISNUMBER(FIND("T4",B1608)),440,
IF(ISNUMBER(FIND("T5",B1608)),575,
IF(ISNUMBER(FIND("T6",B1608)),690,"")))),
"")</f>
        <v>440</v>
      </c>
    </row>
    <row r="1609" spans="1:7" x14ac:dyDescent="0.25">
      <c r="A1609">
        <v>15240983</v>
      </c>
      <c r="B1609" t="str">
        <f>VLOOKUP(A1609,Planilha2!B:C,2,0)</f>
        <v>INVERSOR BRCFW110142T4OHALS9Z</v>
      </c>
      <c r="C1609" t="s">
        <v>3170</v>
      </c>
      <c r="D1609" t="str">
        <f>VLOOKUP(A1609,Planilha2!B:H,7,0)</f>
        <v>LINHA G1</v>
      </c>
      <c r="E1609" t="s">
        <v>3172</v>
      </c>
      <c r="F1609">
        <f>IFERROR(
IF(ISNUMBER(FIND("CFW110",B1609)),
VALUE(MID(B1609,FIND("CFW110",B1609)+6,FIND("T",B1609,FIND("CFW110",B1609))-(FIND("CFW110",B1609)+6))),
IF(ISNUMBER(FIND("D",B1609)),
VALUE(SUBSTITUTE(MID(B1609,FIND("D",B1609)+1,FIND("T",B1609,FIND("D",B1609))-(FIND("D",B1609)+1)),"P",",")),
IF(ISNUMBER(FIND("CFW5",B1609)),
VALUE(MID(B1609,
IF(ISNUMBER(FIND("F",B1609)),FIND("F",B1609)+1,FIND("G",B1609)+1),
FIND("T",B1609)-(IF(ISNUMBER(FIND("F",B1609)),FIND("F",B1609)+1,FIND("G",B1609)+1))
)),
VALUE(MID(B1609,FIND("E0",B1609)+2,FIND("T",B1609,FIND("E0",B1609))-(FIND("E0",B1609)+2)))
))),"")</f>
        <v>142</v>
      </c>
      <c r="G1609">
        <f>IFERROR(
IF(ISNUMBER(FIND("T2",B1609)),220,
IF(ISNUMBER(FIND("T4",B1609)),440,
IF(ISNUMBER(FIND("T5",B1609)),575,
IF(ISNUMBER(FIND("T6",B1609)),690,"")))),
"")</f>
        <v>440</v>
      </c>
    </row>
    <row r="1610" spans="1:7" x14ac:dyDescent="0.25">
      <c r="A1610">
        <v>15242242</v>
      </c>
      <c r="B1610" t="str">
        <f>VLOOKUP(A1610,Planilha2!B:C,2,0)</f>
        <v>INVERSOR BRCFW110180T4OH2ALS9Z</v>
      </c>
      <c r="C1610" t="s">
        <v>3170</v>
      </c>
      <c r="D1610" t="str">
        <f>VLOOKUP(A1610,Planilha2!B:H,7,0)</f>
        <v>LINHA G1</v>
      </c>
      <c r="E1610" s="5">
        <v>65563</v>
      </c>
      <c r="F1610">
        <f>IFERROR(
IF(ISNUMBER(FIND("CFW110",B1610)),
VALUE(MID(B1610,FIND("CFW110",B1610)+6,FIND("T",B1610,FIND("CFW110",B1610))-(FIND("CFW110",B1610)+6))),
IF(ISNUMBER(FIND("D",B1610)),
VALUE(SUBSTITUTE(MID(B1610,FIND("D",B1610)+1,FIND("T",B1610,FIND("D",B1610))-(FIND("D",B1610)+1)),"P",",")),
IF(ISNUMBER(FIND("CFW5",B1610)),
VALUE(MID(B1610,
IF(ISNUMBER(FIND("F",B1610)),FIND("F",B1610)+1,FIND("G",B1610)+1),
FIND("T",B1610)-(IF(ISNUMBER(FIND("F",B1610)),FIND("F",B1610)+1,FIND("G",B1610)+1))
)),
VALUE(MID(B1610,FIND("E0",B1610)+2,FIND("T",B1610,FIND("E0",B1610))-(FIND("E0",B1610)+2)))
))),"")</f>
        <v>180</v>
      </c>
      <c r="G1610">
        <f>IFERROR(
IF(ISNUMBER(FIND("T2",B1610)),220,
IF(ISNUMBER(FIND("T4",B1610)),440,
IF(ISNUMBER(FIND("T5",B1610)),575,
IF(ISNUMBER(FIND("T6",B1610)),690,"")))),
"")</f>
        <v>440</v>
      </c>
    </row>
    <row r="1611" spans="1:7" x14ac:dyDescent="0.25">
      <c r="A1611">
        <v>15242246</v>
      </c>
      <c r="B1611" t="str">
        <f>VLOOKUP(A1611,Planilha2!B:C,2,0)</f>
        <v>INVERSOR BRCFW110211T4OH2ALS9Z</v>
      </c>
      <c r="C1611" t="s">
        <v>3170</v>
      </c>
      <c r="D1611" t="str">
        <f>VLOOKUP(A1611,Planilha2!B:H,7,0)</f>
        <v>LINHA G1</v>
      </c>
      <c r="E1611" s="5">
        <v>68288</v>
      </c>
      <c r="F1611">
        <f>IFERROR(
IF(ISNUMBER(FIND("CFW110",B1611)),
VALUE(MID(B1611,FIND("CFW110",B1611)+6,FIND("T",B1611,FIND("CFW110",B1611))-(FIND("CFW110",B1611)+6))),
IF(ISNUMBER(FIND("D",B1611)),
VALUE(SUBSTITUTE(MID(B1611,FIND("D",B1611)+1,FIND("T",B1611,FIND("D",B1611))-(FIND("D",B1611)+1)),"P",",")),
IF(ISNUMBER(FIND("CFW5",B1611)),
VALUE(MID(B1611,
IF(ISNUMBER(FIND("F",B1611)),FIND("F",B1611)+1,FIND("G",B1611)+1),
FIND("T",B1611)-(IF(ISNUMBER(FIND("F",B1611)),FIND("F",B1611)+1,FIND("G",B1611)+1))
)),
VALUE(MID(B1611,FIND("E0",B1611)+2,FIND("T",B1611,FIND("E0",B1611))-(FIND("E0",B1611)+2)))
))),"")</f>
        <v>211</v>
      </c>
      <c r="G1611">
        <f>IFERROR(
IF(ISNUMBER(FIND("T2",B1611)),220,
IF(ISNUMBER(FIND("T4",B1611)),440,
IF(ISNUMBER(FIND("T5",B1611)),575,
IF(ISNUMBER(FIND("T6",B1611)),690,"")))),
"")</f>
        <v>440</v>
      </c>
    </row>
    <row r="1612" spans="1:7" x14ac:dyDescent="0.25">
      <c r="A1612">
        <v>15603578</v>
      </c>
      <c r="B1612" t="str">
        <f>VLOOKUP(A1612,Planilha2!B:C,2,0)</f>
        <v>INVERSOR MSCFW110105T4ODBYHALS9Z</v>
      </c>
      <c r="C1612" t="s">
        <v>3170</v>
      </c>
      <c r="D1612" t="str">
        <f>VLOOKUP(A1612,Planilha2!B:H,7,0)</f>
        <v>LINHA G1</v>
      </c>
      <c r="E1612" s="5">
        <v>64385</v>
      </c>
      <c r="F1612">
        <f>IFERROR(
IF(ISNUMBER(FIND("CFW110",B1612)),
VALUE(MID(B1612,FIND("CFW110",B1612)+6,FIND("T",B1612,FIND("CFW110",B1612))-(FIND("CFW110",B1612)+6))),
IF(ISNUMBER(FIND("D",B1612)),
VALUE(SUBSTITUTE(MID(B1612,FIND("D",B1612)+1,FIND("T",B1612,FIND("D",B1612))-(FIND("D",B1612)+1)),"P",",")),
IF(ISNUMBER(FIND("CFW5",B1612)),
VALUE(MID(B1612,
IF(ISNUMBER(FIND("F",B1612)),FIND("F",B1612)+1,FIND("G",B1612)+1),
FIND("T",B1612)-(IF(ISNUMBER(FIND("F",B1612)),FIND("F",B1612)+1,FIND("G",B1612)+1))
)),
VALUE(MID(B1612,FIND("E0",B1612)+2,FIND("T",B1612,FIND("E0",B1612))-(FIND("E0",B1612)+2)))
))),"")</f>
        <v>105</v>
      </c>
      <c r="G1612">
        <f>IFERROR(
IF(ISNUMBER(FIND("T2",B1612)),220,
IF(ISNUMBER(FIND("T4",B1612)),440,
IF(ISNUMBER(FIND("T5",B1612)),575,
IF(ISNUMBER(FIND("T6",B1612)),690,"")))),
"")</f>
        <v>440</v>
      </c>
    </row>
    <row r="1613" spans="1:7" x14ac:dyDescent="0.25">
      <c r="A1613">
        <v>15601513</v>
      </c>
      <c r="B1613" t="str">
        <f>VLOOKUP(A1613,Planilha2!B:C,2,0)</f>
        <v>INVERSOR BRCFW110211T2ODBYZ</v>
      </c>
      <c r="C1613" t="s">
        <v>3170</v>
      </c>
      <c r="D1613" t="str">
        <f>VLOOKUP(A1613,Planilha2!B:H,7,0)</f>
        <v>LINHA G1</v>
      </c>
      <c r="E1613" s="5">
        <v>59360</v>
      </c>
      <c r="F1613">
        <f>IFERROR(
IF(ISNUMBER(FIND("CFW110",B1613)),
VALUE(MID(B1613,FIND("CFW110",B1613)+6,FIND("T",B1613,FIND("CFW110",B1613))-(FIND("CFW110",B1613)+6))),
IF(ISNUMBER(FIND("D",B1613)),
VALUE(SUBSTITUTE(MID(B1613,FIND("D",B1613)+1,FIND("T",B1613,FIND("D",B1613))-(FIND("D",B1613)+1)),"P",",")),
IF(ISNUMBER(FIND("CFW5",B1613)),
VALUE(MID(B1613,
IF(ISNUMBER(FIND("F",B1613)),FIND("F",B1613)+1,FIND("G",B1613)+1),
FIND("T",B1613)-(IF(ISNUMBER(FIND("F",B1613)),FIND("F",B1613)+1,FIND("G",B1613)+1))
)),
VALUE(MID(B1613,FIND("E0",B1613)+2,FIND("T",B1613,FIND("E0",B1613))-(FIND("E0",B1613)+2)))
))),"")</f>
        <v>211</v>
      </c>
      <c r="G1613">
        <f>IFERROR(
IF(ISNUMBER(FIND("T2",B1613)),220,
IF(ISNUMBER(FIND("T4",B1613)),440,
IF(ISNUMBER(FIND("T5",B1613)),575,
IF(ISNUMBER(FIND("T6",B1613)),690,"")))),
"")</f>
        <v>220</v>
      </c>
    </row>
    <row r="1614" spans="1:7" x14ac:dyDescent="0.25">
      <c r="A1614">
        <v>15602448</v>
      </c>
      <c r="B1614" t="str">
        <f>VLOOKUP(A1614,Planilha2!B:C,2,0)</f>
        <v>INVERSOR BRCFW110211T2ODBYZ-UI</v>
      </c>
      <c r="C1614" t="s">
        <v>3170</v>
      </c>
      <c r="D1614" t="str">
        <f>VLOOKUP(A1614,Planilha2!B:H,7,0)</f>
        <v>LINHA G1</v>
      </c>
      <c r="E1614" s="5">
        <v>59360</v>
      </c>
      <c r="F1614">
        <f>IFERROR(
IF(ISNUMBER(FIND("CFW110",B1614)),
VALUE(MID(B1614,FIND("CFW110",B1614)+6,FIND("T",B1614,FIND("CFW110",B1614))-(FIND("CFW110",B1614)+6))),
IF(ISNUMBER(FIND("D",B1614)),
VALUE(SUBSTITUTE(MID(B1614,FIND("D",B1614)+1,FIND("T",B1614,FIND("D",B1614))-(FIND("D",B1614)+1)),"P",",")),
IF(ISNUMBER(FIND("CFW5",B1614)),
VALUE(MID(B1614,
IF(ISNUMBER(FIND("F",B1614)),FIND("F",B1614)+1,FIND("G",B1614)+1),
FIND("T",B1614)-(IF(ISNUMBER(FIND("F",B1614)),FIND("F",B1614)+1,FIND("G",B1614)+1))
)),
VALUE(MID(B1614,FIND("E0",B1614)+2,FIND("T",B1614,FIND("E0",B1614))-(FIND("E0",B1614)+2)))
))),"")</f>
        <v>211</v>
      </c>
      <c r="G1614">
        <f>IFERROR(
IF(ISNUMBER(FIND("T2",B1614)),220,
IF(ISNUMBER(FIND("T4",B1614)),440,
IF(ISNUMBER(FIND("T5",B1614)),575,
IF(ISNUMBER(FIND("T6",B1614)),690,"")))),
"")</f>
        <v>220</v>
      </c>
    </row>
    <row r="1615" spans="1:7" x14ac:dyDescent="0.25">
      <c r="A1615">
        <v>15580049</v>
      </c>
      <c r="B1615" t="str">
        <f>VLOOKUP(A1615,Planilha2!B:C,2,0)</f>
        <v>INVERSOR BRCFW110142T2ORBZ</v>
      </c>
      <c r="C1615" t="s">
        <v>3170</v>
      </c>
      <c r="D1615" t="str">
        <f>VLOOKUP(A1615,Planilha2!B:H,7,0)</f>
        <v>LINHA G1</v>
      </c>
      <c r="E1615" s="5">
        <v>64210</v>
      </c>
      <c r="F1615">
        <f>IFERROR(
IF(ISNUMBER(FIND("CFW110",B1615)),
VALUE(MID(B1615,FIND("CFW110",B1615)+6,FIND("T",B1615,FIND("CFW110",B1615))-(FIND("CFW110",B1615)+6))),
IF(ISNUMBER(FIND("D",B1615)),
VALUE(SUBSTITUTE(MID(B1615,FIND("D",B1615)+1,FIND("T",B1615,FIND("D",B1615))-(FIND("D",B1615)+1)),"P",",")),
IF(ISNUMBER(FIND("CFW5",B1615)),
VALUE(MID(B1615,
IF(ISNUMBER(FIND("F",B1615)),FIND("F",B1615)+1,FIND("G",B1615)+1),
FIND("T",B1615)-(IF(ISNUMBER(FIND("F",B1615)),FIND("F",B1615)+1,FIND("G",B1615)+1))
)),
VALUE(MID(B1615,FIND("E0",B1615)+2,FIND("T",B1615,FIND("E0",B1615))-(FIND("E0",B1615)+2)))
))),"")</f>
        <v>142</v>
      </c>
      <c r="G1615">
        <f>IFERROR(
IF(ISNUMBER(FIND("T2",B1615)),220,
IF(ISNUMBER(FIND("T4",B1615)),440,
IF(ISNUMBER(FIND("T5",B1615)),575,
IF(ISNUMBER(FIND("T6",B1615)),690,"")))),
"")</f>
        <v>220</v>
      </c>
    </row>
    <row r="1616" spans="1:7" x14ac:dyDescent="0.25">
      <c r="A1616">
        <v>15488731</v>
      </c>
      <c r="B1616" t="str">
        <f>VLOOKUP(A1616,Planilha2!B:C,2,0)</f>
        <v>INVERSOR BRCFW110760T4ORBH1SQECZ-UI</v>
      </c>
      <c r="C1616" t="s">
        <v>3170</v>
      </c>
      <c r="D1616" t="str">
        <f>VLOOKUP(A1616,Planilha2!B:H,7,0)</f>
        <v>LINHA G5</v>
      </c>
      <c r="E1616" s="5">
        <v>215434</v>
      </c>
      <c r="F1616">
        <f>IFERROR(
IF(ISNUMBER(FIND("CFW110",B1616)),
VALUE(MID(B1616,FIND("CFW110",B1616)+6,FIND("T",B1616,FIND("CFW110",B1616))-(FIND("CFW110",B1616)+6))),
IF(ISNUMBER(FIND("D",B1616)),
VALUE(SUBSTITUTE(MID(B1616,FIND("D",B1616)+1,FIND("T",B1616,FIND("D",B1616))-(FIND("D",B1616)+1)),"P",",")),
IF(ISNUMBER(FIND("CFW5",B1616)),
VALUE(MID(B1616,
IF(ISNUMBER(FIND("F",B1616)),FIND("F",B1616)+1,FIND("G",B1616)+1),
FIND("T",B1616)-(IF(ISNUMBER(FIND("F",B1616)),FIND("F",B1616)+1,FIND("G",B1616)+1))
)),
VALUE(MID(B1616,FIND("E0",B1616)+2,FIND("T",B1616,FIND("E0",B1616))-(FIND("E0",B1616)+2)))
))),"")</f>
        <v>760</v>
      </c>
      <c r="G1616">
        <f>IFERROR(
IF(ISNUMBER(FIND("T2",B1616)),220,
IF(ISNUMBER(FIND("T4",B1616)),440,
IF(ISNUMBER(FIND("T5",B1616)),575,
IF(ISNUMBER(FIND("T6",B1616)),690,"")))),
"")</f>
        <v>440</v>
      </c>
    </row>
    <row r="1617" spans="1:7" x14ac:dyDescent="0.25">
      <c r="A1617">
        <v>15711627</v>
      </c>
      <c r="B1617" t="str">
        <f>VLOOKUP(A1617,Planilha2!B:C,2,0)</f>
        <v>INVERSOR BRCFW110312T4ORBWZ-UI</v>
      </c>
      <c r="C1617" t="s">
        <v>3170</v>
      </c>
      <c r="D1617" t="str">
        <f>VLOOKUP(A1617,Planilha2!B:H,7,0)</f>
        <v>LINHA G3</v>
      </c>
      <c r="E1617" s="5">
        <v>132000</v>
      </c>
      <c r="F1617">
        <f>IFERROR(
IF(ISNUMBER(FIND("CFW110",B1617)),
VALUE(MID(B1617,FIND("CFW110",B1617)+6,FIND("T",B1617,FIND("CFW110",B1617))-(FIND("CFW110",B1617)+6))),
IF(ISNUMBER(FIND("D",B1617)),
VALUE(SUBSTITUTE(MID(B1617,FIND("D",B1617)+1,FIND("T",B1617,FIND("D",B1617))-(FIND("D",B1617)+1)),"P",",")),
IF(ISNUMBER(FIND("CFW5",B1617)),
VALUE(MID(B1617,
IF(ISNUMBER(FIND("F",B1617)),FIND("F",B1617)+1,FIND("G",B1617)+1),
FIND("T",B1617)-(IF(ISNUMBER(FIND("F",B1617)),FIND("F",B1617)+1,FIND("G",B1617)+1))
)),
VALUE(MID(B1617,FIND("E0",B1617)+2,FIND("T",B1617,FIND("E0",B1617))-(FIND("E0",B1617)+2)))
))),"")</f>
        <v>312</v>
      </c>
      <c r="G1617">
        <f>IFERROR(
IF(ISNUMBER(FIND("T2",B1617)),220,
IF(ISNUMBER(FIND("T4",B1617)),440,
IF(ISNUMBER(FIND("T5",B1617)),575,
IF(ISNUMBER(FIND("T6",B1617)),690,"")))),
"")</f>
        <v>440</v>
      </c>
    </row>
    <row r="1618" spans="1:7" x14ac:dyDescent="0.25">
      <c r="A1618">
        <v>15709484</v>
      </c>
      <c r="B1618" t="str">
        <f>VLOOKUP(A1618,Planilha2!B:C,2,0)</f>
        <v>INVERSOR BRCFW110312T4ORBWZ</v>
      </c>
      <c r="C1618" t="s">
        <v>3170</v>
      </c>
      <c r="D1618" t="str">
        <f>VLOOKUP(A1618,Planilha2!B:H,7,0)</f>
        <v>LINHA G3</v>
      </c>
      <c r="E1618" s="5">
        <v>132000</v>
      </c>
      <c r="F1618">
        <f>IFERROR(
IF(ISNUMBER(FIND("CFW110",B1618)),
VALUE(MID(B1618,FIND("CFW110",B1618)+6,FIND("T",B1618,FIND("CFW110",B1618))-(FIND("CFW110",B1618)+6))),
IF(ISNUMBER(FIND("D",B1618)),
VALUE(SUBSTITUTE(MID(B1618,FIND("D",B1618)+1,FIND("T",B1618,FIND("D",B1618))-(FIND("D",B1618)+1)),"P",",")),
IF(ISNUMBER(FIND("CFW5",B1618)),
VALUE(MID(B1618,
IF(ISNUMBER(FIND("F",B1618)),FIND("F",B1618)+1,FIND("G",B1618)+1),
FIND("T",B1618)-(IF(ISNUMBER(FIND("F",B1618)),FIND("F",B1618)+1,FIND("G",B1618)+1))
)),
VALUE(MID(B1618,FIND("E0",B1618)+2,FIND("T",B1618,FIND("E0",B1618))-(FIND("E0",B1618)+2)))
))),"")</f>
        <v>312</v>
      </c>
      <c r="G1618">
        <f>IFERROR(
IF(ISNUMBER(FIND("T2",B1618)),220,
IF(ISNUMBER(FIND("T4",B1618)),440,
IF(ISNUMBER(FIND("T5",B1618)),575,
IF(ISNUMBER(FIND("T6",B1618)),690,"")))),
"")</f>
        <v>440</v>
      </c>
    </row>
    <row r="1619" spans="1:7" x14ac:dyDescent="0.25">
      <c r="A1619">
        <v>15701135</v>
      </c>
      <c r="B1619" t="str">
        <f>VLOOKUP(A1619,Planilha2!B:C,2,0)</f>
        <v>INVERSOR BRCFW110211T4OTVZ</v>
      </c>
      <c r="C1619" t="s">
        <v>3170</v>
      </c>
      <c r="D1619" t="str">
        <f>VLOOKUP(A1619,Planilha2!B:H,7,0)</f>
        <v>LINHA G1</v>
      </c>
      <c r="E1619" s="5">
        <v>68200</v>
      </c>
      <c r="F1619">
        <f>IFERROR(
IF(ISNUMBER(FIND("CFW110",B1619)),
VALUE(MID(B1619,FIND("CFW110",B1619)+6,FIND("T",B1619,FIND("CFW110",B1619))-(FIND("CFW110",B1619)+6))),
IF(ISNUMBER(FIND("D",B1619)),
VALUE(SUBSTITUTE(MID(B1619,FIND("D",B1619)+1,FIND("T",B1619,FIND("D",B1619))-(FIND("D",B1619)+1)),"P",",")),
IF(ISNUMBER(FIND("CFW5",B1619)),
VALUE(MID(B1619,
IF(ISNUMBER(FIND("F",B1619)),FIND("F",B1619)+1,FIND("G",B1619)+1),
FIND("T",B1619)-(IF(ISNUMBER(FIND("F",B1619)),FIND("F",B1619)+1,FIND("G",B1619)+1))
)),
VALUE(MID(B1619,FIND("E0",B1619)+2,FIND("T",B1619,FIND("E0",B1619))-(FIND("E0",B1619)+2)))
))),"")</f>
        <v>211</v>
      </c>
      <c r="G1619">
        <f>IFERROR(
IF(ISNUMBER(FIND("T2",B1619)),220,
IF(ISNUMBER(FIND("T4",B1619)),440,
IF(ISNUMBER(FIND("T5",B1619)),575,
IF(ISNUMBER(FIND("T6",B1619)),690,"")))),
"")</f>
        <v>440</v>
      </c>
    </row>
    <row r="1620" spans="1:7" x14ac:dyDescent="0.25">
      <c r="A1620">
        <v>15701134</v>
      </c>
      <c r="B1620" t="str">
        <f>VLOOKUP(A1620,Planilha2!B:C,2,0)</f>
        <v>INVERSOR BRCFW110180T4OTVZ</v>
      </c>
      <c r="C1620" t="s">
        <v>3170</v>
      </c>
      <c r="D1620" t="str">
        <f>VLOOKUP(A1620,Planilha2!B:H,7,0)</f>
        <v>LINHA G1</v>
      </c>
      <c r="E1620" s="5">
        <v>65000</v>
      </c>
      <c r="F1620">
        <f>IFERROR(
IF(ISNUMBER(FIND("CFW110",B1620)),
VALUE(MID(B1620,FIND("CFW110",B1620)+6,FIND("T",B1620,FIND("CFW110",B1620))-(FIND("CFW110",B1620)+6))),
IF(ISNUMBER(FIND("D",B1620)),
VALUE(SUBSTITUTE(MID(B1620,FIND("D",B1620)+1,FIND("T",B1620,FIND("D",B1620))-(FIND("D",B1620)+1)),"P",",")),
IF(ISNUMBER(FIND("CFW5",B1620)),
VALUE(MID(B1620,
IF(ISNUMBER(FIND("F",B1620)),FIND("F",B1620)+1,FIND("G",B1620)+1),
FIND("T",B1620)-(IF(ISNUMBER(FIND("F",B1620)),FIND("F",B1620)+1,FIND("G",B1620)+1))
)),
VALUE(MID(B1620,FIND("E0",B1620)+2,FIND("T",B1620,FIND("E0",B1620))-(FIND("E0",B1620)+2)))
))),"")</f>
        <v>180</v>
      </c>
      <c r="G1620">
        <f>IFERROR(
IF(ISNUMBER(FIND("T2",B1620)),220,
IF(ISNUMBER(FIND("T4",B1620)),440,
IF(ISNUMBER(FIND("T5",B1620)),575,
IF(ISNUMBER(FIND("T6",B1620)),690,"")))),
"")</f>
        <v>440</v>
      </c>
    </row>
    <row r="1621" spans="1:7" x14ac:dyDescent="0.25">
      <c r="A1621">
        <v>15701133</v>
      </c>
      <c r="B1621" t="str">
        <f>VLOOKUP(A1621,Planilha2!B:C,2,0)</f>
        <v>INVERSOR BRCFW110142T4OTVZ</v>
      </c>
      <c r="C1621" t="s">
        <v>3170</v>
      </c>
      <c r="D1621" t="str">
        <f>VLOOKUP(A1621,Planilha2!B:H,7,0)</f>
        <v>LINHA G1</v>
      </c>
      <c r="E1621" s="5">
        <v>64210</v>
      </c>
      <c r="F1621">
        <f>IFERROR(
IF(ISNUMBER(FIND("CFW110",B1621)),
VALUE(MID(B1621,FIND("CFW110",B1621)+6,FIND("T",B1621,FIND("CFW110",B1621))-(FIND("CFW110",B1621)+6))),
IF(ISNUMBER(FIND("D",B1621)),
VALUE(SUBSTITUTE(MID(B1621,FIND("D",B1621)+1,FIND("T",B1621,FIND("D",B1621))-(FIND("D",B1621)+1)),"P",",")),
IF(ISNUMBER(FIND("CFW5",B1621)),
VALUE(MID(B1621,
IF(ISNUMBER(FIND("F",B1621)),FIND("F",B1621)+1,FIND("G",B1621)+1),
FIND("T",B1621)-(IF(ISNUMBER(FIND("F",B1621)),FIND("F",B1621)+1,FIND("G",B1621)+1))
)),
VALUE(MID(B1621,FIND("E0",B1621)+2,FIND("T",B1621,FIND("E0",B1621))-(FIND("E0",B1621)+2)))
))),"")</f>
        <v>142</v>
      </c>
      <c r="G1621">
        <f>IFERROR(
IF(ISNUMBER(FIND("T2",B1621)),220,
IF(ISNUMBER(FIND("T4",B1621)),440,
IF(ISNUMBER(FIND("T5",B1621)),575,
IF(ISNUMBER(FIND("T6",B1621)),690,"")))),
"")</f>
        <v>440</v>
      </c>
    </row>
    <row r="1622" spans="1:7" x14ac:dyDescent="0.25">
      <c r="A1622">
        <v>15701132</v>
      </c>
      <c r="B1622" t="str">
        <f>VLOOKUP(A1622,Planilha2!B:C,2,0)</f>
        <v>INVERSOR BRCFW110105T4OTVZ</v>
      </c>
      <c r="C1622" t="s">
        <v>3170</v>
      </c>
      <c r="D1622" t="str">
        <f>VLOOKUP(A1622,Planilha2!B:H,7,0)</f>
        <v>LINHA G1</v>
      </c>
      <c r="E1622" s="5">
        <v>64213</v>
      </c>
      <c r="F1622">
        <f>IFERROR(
IF(ISNUMBER(FIND("CFW110",B1622)),
VALUE(MID(B1622,FIND("CFW110",B1622)+6,FIND("T",B1622,FIND("CFW110",B1622))-(FIND("CFW110",B1622)+6))),
IF(ISNUMBER(FIND("D",B1622)),
VALUE(SUBSTITUTE(MID(B1622,FIND("D",B1622)+1,FIND("T",B1622,FIND("D",B1622))-(FIND("D",B1622)+1)),"P",",")),
IF(ISNUMBER(FIND("CFW5",B1622)),
VALUE(MID(B1622,
IF(ISNUMBER(FIND("F",B1622)),FIND("F",B1622)+1,FIND("G",B1622)+1),
FIND("T",B1622)-(IF(ISNUMBER(FIND("F",B1622)),FIND("F",B1622)+1,FIND("G",B1622)+1))
)),
VALUE(MID(B1622,FIND("E0",B1622)+2,FIND("T",B1622,FIND("E0",B1622))-(FIND("E0",B1622)+2)))
))),"")</f>
        <v>105</v>
      </c>
      <c r="G1622">
        <f>IFERROR(
IF(ISNUMBER(FIND("T2",B1622)),220,
IF(ISNUMBER(FIND("T4",B1622)),440,
IF(ISNUMBER(FIND("T5",B1622)),575,
IF(ISNUMBER(FIND("T6",B1622)),690,"")))),
"")</f>
        <v>440</v>
      </c>
    </row>
    <row r="1623" spans="1:7" x14ac:dyDescent="0.25">
      <c r="A1623">
        <v>15700783</v>
      </c>
      <c r="B1623" t="str">
        <f>VLOOKUP(A1623,Planilha2!B:C,2,0)</f>
        <v>INVERSOR BRCFW110211T2OTVZ</v>
      </c>
      <c r="C1623" t="s">
        <v>3170</v>
      </c>
      <c r="D1623" t="str">
        <f>VLOOKUP(A1623,Planilha2!B:H,7,0)</f>
        <v>LINHA G1</v>
      </c>
      <c r="E1623" s="5">
        <v>59360</v>
      </c>
      <c r="F1623">
        <f>IFERROR(
IF(ISNUMBER(FIND("CFW110",B1623)),
VALUE(MID(B1623,FIND("CFW110",B1623)+6,FIND("T",B1623,FIND("CFW110",B1623))-(FIND("CFW110",B1623)+6))),
IF(ISNUMBER(FIND("D",B1623)),
VALUE(SUBSTITUTE(MID(B1623,FIND("D",B1623)+1,FIND("T",B1623,FIND("D",B1623))-(FIND("D",B1623)+1)),"P",",")),
IF(ISNUMBER(FIND("CFW5",B1623)),
VALUE(MID(B1623,
IF(ISNUMBER(FIND("F",B1623)),FIND("F",B1623)+1,FIND("G",B1623)+1),
FIND("T",B1623)-(IF(ISNUMBER(FIND("F",B1623)),FIND("F",B1623)+1,FIND("G",B1623)+1))
)),
VALUE(MID(B1623,FIND("E0",B1623)+2,FIND("T",B1623,FIND("E0",B1623))-(FIND("E0",B1623)+2)))
))),"")</f>
        <v>211</v>
      </c>
      <c r="G1623">
        <f>IFERROR(
IF(ISNUMBER(FIND("T2",B1623)),220,
IF(ISNUMBER(FIND("T4",B1623)),440,
IF(ISNUMBER(FIND("T5",B1623)),575,
IF(ISNUMBER(FIND("T6",B1623)),690,"")))),
"")</f>
        <v>220</v>
      </c>
    </row>
    <row r="1624" spans="1:7" x14ac:dyDescent="0.25">
      <c r="A1624">
        <v>15700781</v>
      </c>
      <c r="B1624" t="str">
        <f>VLOOKUP(A1624,Planilha2!B:C,2,0)</f>
        <v>INVERSOR BRCFW110180T2OTVZ</v>
      </c>
      <c r="C1624" t="s">
        <v>3170</v>
      </c>
      <c r="D1624" t="str">
        <f>VLOOKUP(A1624,Planilha2!B:H,7,0)</f>
        <v>LINHA G1</v>
      </c>
      <c r="E1624" s="5">
        <v>69100</v>
      </c>
      <c r="F1624">
        <f>IFERROR(
IF(ISNUMBER(FIND("CFW110",B1624)),
VALUE(MID(B1624,FIND("CFW110",B1624)+6,FIND("T",B1624,FIND("CFW110",B1624))-(FIND("CFW110",B1624)+6))),
IF(ISNUMBER(FIND("D",B1624)),
VALUE(SUBSTITUTE(MID(B1624,FIND("D",B1624)+1,FIND("T",B1624,FIND("D",B1624))-(FIND("D",B1624)+1)),"P",",")),
IF(ISNUMBER(FIND("CFW5",B1624)),
VALUE(MID(B1624,
IF(ISNUMBER(FIND("F",B1624)),FIND("F",B1624)+1,FIND("G",B1624)+1),
FIND("T",B1624)-(IF(ISNUMBER(FIND("F",B1624)),FIND("F",B1624)+1,FIND("G",B1624)+1))
)),
VALUE(MID(B1624,FIND("E0",B1624)+2,FIND("T",B1624,FIND("E0",B1624))-(FIND("E0",B1624)+2)))
))),"")</f>
        <v>180</v>
      </c>
      <c r="G1624">
        <f>IFERROR(
IF(ISNUMBER(FIND("T2",B1624)),220,
IF(ISNUMBER(FIND("T4",B1624)),440,
IF(ISNUMBER(FIND("T5",B1624)),575,
IF(ISNUMBER(FIND("T6",B1624)),690,"")))),
"")</f>
        <v>220</v>
      </c>
    </row>
    <row r="1625" spans="1:7" x14ac:dyDescent="0.25">
      <c r="A1625">
        <v>15646707</v>
      </c>
      <c r="B1625" t="str">
        <f>VLOOKUP(A1625,Planilha2!B:C,2,0)</f>
        <v>INVERSOR MSCFW110250T4OHBT1Z</v>
      </c>
      <c r="C1625" t="s">
        <v>3170</v>
      </c>
      <c r="D1625" t="str">
        <f>VLOOKUP(A1625,Planilha2!B:H,7,0)</f>
        <v>LINHA G1</v>
      </c>
      <c r="E1625" s="5">
        <v>65388</v>
      </c>
      <c r="F1625">
        <f>IFERROR(
IF(ISNUMBER(FIND("CFW110",B1625)),
VALUE(MID(B1625,FIND("CFW110",B1625)+6,FIND("T",B1625,FIND("CFW110",B1625))-(FIND("CFW110",B1625)+6))),
IF(ISNUMBER(FIND("D",B1625)),
VALUE(SUBSTITUTE(MID(B1625,FIND("D",B1625)+1,FIND("T",B1625,FIND("D",B1625))-(FIND("D",B1625)+1)),"P",",")),
IF(ISNUMBER(FIND("CFW5",B1625)),
VALUE(MID(B1625,
IF(ISNUMBER(FIND("F",B1625)),FIND("F",B1625)+1,FIND("G",B1625)+1),
FIND("T",B1625)-(IF(ISNUMBER(FIND("F",B1625)),FIND("F",B1625)+1,FIND("G",B1625)+1))
)),
VALUE(MID(B1625,FIND("E0",B1625)+2,FIND("T",B1625,FIND("E0",B1625))-(FIND("E0",B1625)+2)))
))),"")</f>
        <v>250</v>
      </c>
      <c r="G1625">
        <f>IFERROR(
IF(ISNUMBER(FIND("T2",B1625)),220,
IF(ISNUMBER(FIND("T4",B1625)),440,
IF(ISNUMBER(FIND("T5",B1625)),575,
IF(ISNUMBER(FIND("T6",B1625)),690,"")))),
"")</f>
        <v>440</v>
      </c>
    </row>
    <row r="1626" spans="1:7" x14ac:dyDescent="0.25">
      <c r="A1626">
        <v>15779928</v>
      </c>
      <c r="B1626" t="str">
        <f>VLOOKUP(A1626,Planilha2!B:C,2,0)</f>
        <v>INVERSOR MSCFW110180T4O55YZ</v>
      </c>
      <c r="C1626" t="s">
        <v>3170</v>
      </c>
      <c r="D1626" t="str">
        <f>VLOOKUP(A1626,Planilha2!B:H,7,0)</f>
        <v>LINHA E1</v>
      </c>
      <c r="E1626" s="5">
        <v>98200</v>
      </c>
      <c r="F1626">
        <f>IFERROR(
IF(ISNUMBER(FIND("CFW110",B1626)),
VALUE(MID(B1626,FIND("CFW110",B1626)+6,FIND("T",B1626,FIND("CFW110",B1626))-(FIND("CFW110",B1626)+6))),
IF(ISNUMBER(FIND("D",B1626)),
VALUE(SUBSTITUTE(MID(B1626,FIND("D",B1626)+1,FIND("T",B1626,FIND("D",B1626))-(FIND("D",B1626)+1)),"P",",")),
IF(ISNUMBER(FIND("CFW5",B1626)),
VALUE(MID(B1626,
IF(ISNUMBER(FIND("F",B1626)),FIND("F",B1626)+1,FIND("G",B1626)+1),
FIND("T",B1626)-(IF(ISNUMBER(FIND("F",B1626)),FIND("F",B1626)+1,FIND("G",B1626)+1))
)),
VALUE(MID(B1626,FIND("E0",B1626)+2,FIND("T",B1626,FIND("E0",B1626))-(FIND("E0",B1626)+2)))
))),"")</f>
        <v>180</v>
      </c>
      <c r="G1626">
        <f>IFERROR(
IF(ISNUMBER(FIND("T2",B1626)),220,
IF(ISNUMBER(FIND("T4",B1626)),440,
IF(ISNUMBER(FIND("T5",B1626)),575,
IF(ISNUMBER(FIND("T6",B1626)),690,"")))),
"")</f>
        <v>440</v>
      </c>
    </row>
    <row r="1627" spans="1:7" x14ac:dyDescent="0.25">
      <c r="A1627">
        <v>11994578</v>
      </c>
      <c r="B1627" t="str">
        <f>VLOOKUP(A1627,Planilha2!B:C,2,0)</f>
        <v>INVERSOR NACFW110107T6ON1YZ</v>
      </c>
      <c r="C1627" t="s">
        <v>3170</v>
      </c>
      <c r="D1627" t="str">
        <f>VLOOKUP(A1627,Planilha2!B:H,7,0)</f>
        <v>LINHA G1</v>
      </c>
      <c r="E1627" s="5">
        <v>60360</v>
      </c>
      <c r="F1627">
        <f>IFERROR(
IF(ISNUMBER(FIND("CFW110",B1627)),
VALUE(MID(B1627,FIND("CFW110",B1627)+6,FIND("T",B1627,FIND("CFW110",B1627))-(FIND("CFW110",B1627)+6))),
IF(ISNUMBER(FIND("D",B1627)),
VALUE(SUBSTITUTE(MID(B1627,FIND("D",B1627)+1,FIND("T",B1627,FIND("D",B1627))-(FIND("D",B1627)+1)),"P",",")),
IF(ISNUMBER(FIND("CFW5",B1627)),
VALUE(MID(B1627,
IF(ISNUMBER(FIND("F",B1627)),FIND("F",B1627)+1,FIND("G",B1627)+1),
FIND("T",B1627)-(IF(ISNUMBER(FIND("F",B1627)),FIND("F",B1627)+1,FIND("G",B1627)+1))
)),
VALUE(MID(B1627,FIND("E0",B1627)+2,FIND("T",B1627,FIND("E0",B1627))-(FIND("E0",B1627)+2)))
))),"")</f>
        <v>107</v>
      </c>
      <c r="G1627">
        <f>IFERROR(
IF(ISNUMBER(FIND("T2",B1627)),220,
IF(ISNUMBER(FIND("T4",B1627)),440,
IF(ISNUMBER(FIND("T5",B1627)),575,
IF(ISNUMBER(FIND("T6",B1627)),690,"")))),
"")</f>
        <v>690</v>
      </c>
    </row>
    <row r="1628" spans="1:7" x14ac:dyDescent="0.25">
      <c r="A1628">
        <v>11295182</v>
      </c>
      <c r="B1628" t="str">
        <f>VLOOKUP(A1628,Planilha2!B:C,2,0)</f>
        <v>INVERSOR EUCFW110211T4ODBYZ</v>
      </c>
      <c r="C1628" t="s">
        <v>3170</v>
      </c>
      <c r="D1628" t="str">
        <f>VLOOKUP(A1628,Planilha2!B:H,7,0)</f>
        <v>LINHA G1</v>
      </c>
      <c r="E1628" s="5">
        <v>69108</v>
      </c>
      <c r="F1628">
        <f>IFERROR(
IF(ISNUMBER(FIND("CFW110",B1628)),
VALUE(MID(B1628,FIND("CFW110",B1628)+6,FIND("T",B1628,FIND("CFW110",B1628))-(FIND("CFW110",B1628)+6))),
IF(ISNUMBER(FIND("D",B1628)),
VALUE(SUBSTITUTE(MID(B1628,FIND("D",B1628)+1,FIND("T",B1628,FIND("D",B1628))-(FIND("D",B1628)+1)),"P",",")),
IF(ISNUMBER(FIND("CFW5",B1628)),
VALUE(MID(B1628,
IF(ISNUMBER(FIND("F",B1628)),FIND("F",B1628)+1,FIND("G",B1628)+1),
FIND("T",B1628)-(IF(ISNUMBER(FIND("F",B1628)),FIND("F",B1628)+1,FIND("G",B1628)+1))
)),
VALUE(MID(B1628,FIND("E0",B1628)+2,FIND("T",B1628,FIND("E0",B1628))-(FIND("E0",B1628)+2)))
))),"")</f>
        <v>211</v>
      </c>
      <c r="G1628">
        <f>IFERROR(
IF(ISNUMBER(FIND("T2",B1628)),220,
IF(ISNUMBER(FIND("T4",B1628)),440,
IF(ISNUMBER(FIND("T5",B1628)),575,
IF(ISNUMBER(FIND("T6",B1628)),690,"")))),
"")</f>
        <v>440</v>
      </c>
    </row>
    <row r="1629" spans="1:7" x14ac:dyDescent="0.25">
      <c r="A1629">
        <v>11129080</v>
      </c>
      <c r="B1629" t="str">
        <f>VLOOKUP(A1629,Planilha2!B:C,2,0)</f>
        <v>INVERSOR EUCFW110211T4ODBZ</v>
      </c>
      <c r="C1629" t="s">
        <v>3170</v>
      </c>
      <c r="D1629" t="str">
        <f>VLOOKUP(A1629,Planilha2!B:H,7,0)</f>
        <v>LINHA G1</v>
      </c>
      <c r="E1629" s="5">
        <v>65000</v>
      </c>
      <c r="F1629">
        <f>IFERROR(
IF(ISNUMBER(FIND("CFW110",B1629)),
VALUE(MID(B1629,FIND("CFW110",B1629)+6,FIND("T",B1629,FIND("CFW110",B1629))-(FIND("CFW110",B1629)+6))),
IF(ISNUMBER(FIND("D",B1629)),
VALUE(SUBSTITUTE(MID(B1629,FIND("D",B1629)+1,FIND("T",B1629,FIND("D",B1629))-(FIND("D",B1629)+1)),"P",",")),
IF(ISNUMBER(FIND("CFW5",B1629)),
VALUE(MID(B1629,
IF(ISNUMBER(FIND("F",B1629)),FIND("F",B1629)+1,FIND("G",B1629)+1),
FIND("T",B1629)-(IF(ISNUMBER(FIND("F",B1629)),FIND("F",B1629)+1,FIND("G",B1629)+1))
)),
VALUE(MID(B1629,FIND("E0",B1629)+2,FIND("T",B1629,FIND("E0",B1629))-(FIND("E0",B1629)+2)))
))),"")</f>
        <v>211</v>
      </c>
      <c r="G1629">
        <f>IFERROR(
IF(ISNUMBER(FIND("T2",B1629)),220,
IF(ISNUMBER(FIND("T4",B1629)),440,
IF(ISNUMBER(FIND("T5",B1629)),575,
IF(ISNUMBER(FIND("T6",B1629)),690,"")))),
"")</f>
        <v>440</v>
      </c>
    </row>
    <row r="1630" spans="1:7" x14ac:dyDescent="0.25">
      <c r="A1630">
        <v>15437958</v>
      </c>
      <c r="B1630" t="str">
        <f>VLOOKUP(A1630,Planilha2!B:C,2,0)</f>
        <v>INVERSOR BRCFW110760T4ORBH1SQECZ</v>
      </c>
      <c r="C1630" t="s">
        <v>3170</v>
      </c>
      <c r="D1630" t="str">
        <f>VLOOKUP(A1630,Planilha2!B:H,7,0)</f>
        <v>LINHA G5</v>
      </c>
      <c r="E1630" s="5">
        <v>215434</v>
      </c>
      <c r="F1630">
        <f>IFERROR(
IF(ISNUMBER(FIND("CFW110",B1630)),
VALUE(MID(B1630,FIND("CFW110",B1630)+6,FIND("T",B1630,FIND("CFW110",B1630))-(FIND("CFW110",B1630)+6))),
IF(ISNUMBER(FIND("D",B1630)),
VALUE(SUBSTITUTE(MID(B1630,FIND("D",B1630)+1,FIND("T",B1630,FIND("D",B1630))-(FIND("D",B1630)+1)),"P",",")),
IF(ISNUMBER(FIND("CFW5",B1630)),
VALUE(MID(B1630,
IF(ISNUMBER(FIND("F",B1630)),FIND("F",B1630)+1,FIND("G",B1630)+1),
FIND("T",B1630)-(IF(ISNUMBER(FIND("F",B1630)),FIND("F",B1630)+1,FIND("G",B1630)+1))
)),
VALUE(MID(B1630,FIND("E0",B1630)+2,FIND("T",B1630,FIND("E0",B1630))-(FIND("E0",B1630)+2)))
))),"")</f>
        <v>760</v>
      </c>
      <c r="G1630">
        <f>IFERROR(
IF(ISNUMBER(FIND("T2",B1630)),220,
IF(ISNUMBER(FIND("T4",B1630)),440,
IF(ISNUMBER(FIND("T5",B1630)),575,
IF(ISNUMBER(FIND("T6",B1630)),690,"")))),
"")</f>
        <v>440</v>
      </c>
    </row>
    <row r="1631" spans="1:7" x14ac:dyDescent="0.25">
      <c r="A1631">
        <v>15760031</v>
      </c>
      <c r="B1631" t="str">
        <f>VLOOKUP(A1631,Planilha2!B:C,2,0)</f>
        <v>INVERSOR EUCFW110211T4OTVZ</v>
      </c>
      <c r="C1631" t="s">
        <v>3170</v>
      </c>
      <c r="D1631" t="str">
        <f>VLOOKUP(A1631,Planilha2!B:H,7,0)</f>
        <v>LINHA G1</v>
      </c>
      <c r="E1631" s="5">
        <v>68068</v>
      </c>
      <c r="F1631">
        <f>IFERROR(
IF(ISNUMBER(FIND("CFW110",B1631)),
VALUE(MID(B1631,FIND("CFW110",B1631)+6,FIND("T",B1631,FIND("CFW110",B1631))-(FIND("CFW110",B1631)+6))),
IF(ISNUMBER(FIND("D",B1631)),
VALUE(SUBSTITUTE(MID(B1631,FIND("D",B1631)+1,FIND("T",B1631,FIND("D",B1631))-(FIND("D",B1631)+1)),"P",",")),
IF(ISNUMBER(FIND("CFW5",B1631)),
VALUE(MID(B1631,
IF(ISNUMBER(FIND("F",B1631)),FIND("F",B1631)+1,FIND("G",B1631)+1),
FIND("T",B1631)-(IF(ISNUMBER(FIND("F",B1631)),FIND("F",B1631)+1,FIND("G",B1631)+1))
)),
VALUE(MID(B1631,FIND("E0",B1631)+2,FIND("T",B1631,FIND("E0",B1631))-(FIND("E0",B1631)+2)))
))),"")</f>
        <v>211</v>
      </c>
      <c r="G1631">
        <f>IFERROR(
IF(ISNUMBER(FIND("T2",B1631)),220,
IF(ISNUMBER(FIND("T4",B1631)),440,
IF(ISNUMBER(FIND("T5",B1631)),575,
IF(ISNUMBER(FIND("T6",B1631)),690,"")))),
"")</f>
        <v>440</v>
      </c>
    </row>
    <row r="1632" spans="1:7" x14ac:dyDescent="0.25">
      <c r="A1632">
        <v>15875747</v>
      </c>
      <c r="B1632" t="str">
        <f>VLOOKUP(A1632,Planilha2!B:C,2,0)</f>
        <v>INVERSOR BRCFW110211T4OYH2ALDCTDECZ</v>
      </c>
      <c r="C1632" t="s">
        <v>3170</v>
      </c>
      <c r="D1632" t="str">
        <f>VLOOKUP(A1632,Planilha2!B:H,7,0)</f>
        <v>LINHA G1</v>
      </c>
      <c r="E1632" s="5">
        <v>68288</v>
      </c>
      <c r="F1632">
        <f>IFERROR(
IF(ISNUMBER(FIND("CFW110",B1632)),
VALUE(MID(B1632,FIND("CFW110",B1632)+6,FIND("T",B1632,FIND("CFW110",B1632))-(FIND("CFW110",B1632)+6))),
IF(ISNUMBER(FIND("D",B1632)),
VALUE(SUBSTITUTE(MID(B1632,FIND("D",B1632)+1,FIND("T",B1632,FIND("D",B1632))-(FIND("D",B1632)+1)),"P",",")),
IF(ISNUMBER(FIND("CFW5",B1632)),
VALUE(MID(B1632,
IF(ISNUMBER(FIND("F",B1632)),FIND("F",B1632)+1,FIND("G",B1632)+1),
FIND("T",B1632)-(IF(ISNUMBER(FIND("F",B1632)),FIND("F",B1632)+1,FIND("G",B1632)+1))
)),
VALUE(MID(B1632,FIND("E0",B1632)+2,FIND("T",B1632,FIND("E0",B1632))-(FIND("E0",B1632)+2)))
))),"")</f>
        <v>211</v>
      </c>
      <c r="G1632">
        <f>IFERROR(
IF(ISNUMBER(FIND("T2",B1632)),220,
IF(ISNUMBER(FIND("T4",B1632)),440,
IF(ISNUMBER(FIND("T5",B1632)),575,
IF(ISNUMBER(FIND("T6",B1632)),690,"")))),
"")</f>
        <v>440</v>
      </c>
    </row>
    <row r="1633" spans="1:7" x14ac:dyDescent="0.25">
      <c r="A1633">
        <v>15911543</v>
      </c>
      <c r="B1633" t="str">
        <f>VLOOKUP(A1633,Planilha2!B:C,2,0)</f>
        <v>INVERSOR CFW700E0211T4NB20C3Y1W1</v>
      </c>
      <c r="C1633" t="s">
        <v>3170</v>
      </c>
      <c r="D1633" t="str">
        <f>VLOOKUP(A1633,Planilha2!B:H,7,0)</f>
        <v>OBSOLETOS DRIVES</v>
      </c>
      <c r="E1633" s="5">
        <v>52317</v>
      </c>
      <c r="F1633">
        <f>IFERROR(
IF(ISNUMBER(FIND("CFW110",B1633)),
VALUE(MID(B1633,FIND("CFW110",B1633)+6,FIND("T",B1633,FIND("CFW110",B1633))-(FIND("CFW110",B1633)+6))),
IF(ISNUMBER(FIND("D",B1633)),
VALUE(SUBSTITUTE(MID(B1633,FIND("D",B1633)+1,FIND("T",B1633,FIND("D",B1633))-(FIND("D",B1633)+1)),"P",",")),
IF(ISNUMBER(FIND("CFW5",B1633)),
VALUE(MID(B1633,
IF(ISNUMBER(FIND("F",B1633)),FIND("F",B1633)+1,FIND("G",B1633)+1),
FIND("T",B1633)-(IF(ISNUMBER(FIND("F",B1633)),FIND("F",B1633)+1,FIND("G",B1633)+1))
)),
VALUE(MID(B1633,FIND("E0",B1633)+2,FIND("T",B1633,FIND("E0",B1633))-(FIND("E0",B1633)+2)))
))),"")</f>
        <v>211</v>
      </c>
      <c r="G1633">
        <f>IFERROR(
IF(ISNUMBER(FIND("T2",B1633)),220,
IF(ISNUMBER(FIND("T4",B1633)),440,
IF(ISNUMBER(FIND("T5",B1633)),575,
IF(ISNUMBER(FIND("T6",B1633)),690,"")))),
"")</f>
        <v>440</v>
      </c>
    </row>
    <row r="1634" spans="1:7" x14ac:dyDescent="0.25">
      <c r="A1634">
        <v>14538843</v>
      </c>
      <c r="B1634" t="str">
        <f>VLOOKUP(A1634,Planilha2!B:C,2,0)</f>
        <v>INVERSOR EUCFW110142T4O55YZ</v>
      </c>
      <c r="C1634" t="s">
        <v>3170</v>
      </c>
      <c r="D1634" t="str">
        <f>VLOOKUP(A1634,Planilha2!B:H,7,0)</f>
        <v>LINHA E1</v>
      </c>
      <c r="E1634" s="5">
        <v>96000</v>
      </c>
      <c r="F1634">
        <f>IFERROR(
IF(ISNUMBER(FIND("CFW110",B1634)),
VALUE(MID(B1634,FIND("CFW110",B1634)+6,FIND("T",B1634,FIND("CFW110",B1634))-(FIND("CFW110",B1634)+6))),
IF(ISNUMBER(FIND("D",B1634)),
VALUE(SUBSTITUTE(MID(B1634,FIND("D",B1634)+1,FIND("T",B1634,FIND("D",B1634))-(FIND("D",B1634)+1)),"P",",")),
IF(ISNUMBER(FIND("CFW5",B1634)),
VALUE(MID(B1634,
IF(ISNUMBER(FIND("F",B1634)),FIND("F",B1634)+1,FIND("G",B1634)+1),
FIND("T",B1634)-(IF(ISNUMBER(FIND("F",B1634)),FIND("F",B1634)+1,FIND("G",B1634)+1))
)),
VALUE(MID(B1634,FIND("E0",B1634)+2,FIND("T",B1634,FIND("E0",B1634))-(FIND("E0",B1634)+2)))
))),"")</f>
        <v>142</v>
      </c>
      <c r="G1634">
        <f>IFERROR(
IF(ISNUMBER(FIND("T2",B1634)),220,
IF(ISNUMBER(FIND("T4",B1634)),440,
IF(ISNUMBER(FIND("T5",B1634)),575,
IF(ISNUMBER(FIND("T6",B1634)),690,"")))),
"")</f>
        <v>440</v>
      </c>
    </row>
    <row r="1635" spans="1:7" x14ac:dyDescent="0.25">
      <c r="A1635">
        <v>15752470</v>
      </c>
      <c r="B1635" t="str">
        <f>VLOOKUP(A1635,Planilha2!B:C,2,0)</f>
        <v>INVERSOR EUCFW110142T2OTVZ</v>
      </c>
      <c r="C1635" t="s">
        <v>3170</v>
      </c>
      <c r="D1635" t="str">
        <f>VLOOKUP(A1635,Planilha2!B:H,7,0)</f>
        <v>LINHA G1</v>
      </c>
      <c r="E1635" s="5">
        <v>64000</v>
      </c>
      <c r="F1635">
        <f>IFERROR(
IF(ISNUMBER(FIND("CFW110",B1635)),
VALUE(MID(B1635,FIND("CFW110",B1635)+6,FIND("T",B1635,FIND("CFW110",B1635))-(FIND("CFW110",B1635)+6))),
IF(ISNUMBER(FIND("D",B1635)),
VALUE(SUBSTITUTE(MID(B1635,FIND("D",B1635)+1,FIND("T",B1635,FIND("D",B1635))-(FIND("D",B1635)+1)),"P",",")),
IF(ISNUMBER(FIND("CFW5",B1635)),
VALUE(MID(B1635,
IF(ISNUMBER(FIND("F",B1635)),FIND("F",B1635)+1,FIND("G",B1635)+1),
FIND("T",B1635)-(IF(ISNUMBER(FIND("F",B1635)),FIND("F",B1635)+1,FIND("G",B1635)+1))
)),
VALUE(MID(B1635,FIND("E0",B1635)+2,FIND("T",B1635,FIND("E0",B1635))-(FIND("E0",B1635)+2)))
))),"")</f>
        <v>142</v>
      </c>
      <c r="G1635">
        <f>IFERROR(
IF(ISNUMBER(FIND("T2",B1635)),220,
IF(ISNUMBER(FIND("T4",B1635)),440,
IF(ISNUMBER(FIND("T5",B1635)),575,
IF(ISNUMBER(FIND("T6",B1635)),690,"")))),
"")</f>
        <v>220</v>
      </c>
    </row>
    <row r="1636" spans="1:7" x14ac:dyDescent="0.25">
      <c r="A1636">
        <v>16042479</v>
      </c>
      <c r="B1636" t="str">
        <f>VLOOKUP(A1636,Planilha2!B:C,2,0)</f>
        <v>INVERSOR BRCFW110180T4OHALS9Z-UI</v>
      </c>
      <c r="C1636" t="s">
        <v>3170</v>
      </c>
      <c r="D1636" t="str">
        <f>VLOOKUP(A1636,Planilha2!B:H,7,0)</f>
        <v>LINHA G1</v>
      </c>
      <c r="E1636" s="5">
        <v>65175</v>
      </c>
      <c r="F1636">
        <f>IFERROR(
IF(ISNUMBER(FIND("CFW110",B1636)),
VALUE(MID(B1636,FIND("CFW110",B1636)+6,FIND("T",B1636,FIND("CFW110",B1636))-(FIND("CFW110",B1636)+6))),
IF(ISNUMBER(FIND("D",B1636)),
VALUE(SUBSTITUTE(MID(B1636,FIND("D",B1636)+1,FIND("T",B1636,FIND("D",B1636))-(FIND("D",B1636)+1)),"P",",")),
IF(ISNUMBER(FIND("CFW5",B1636)),
VALUE(MID(B1636,
IF(ISNUMBER(FIND("F",B1636)),FIND("F",B1636)+1,FIND("G",B1636)+1),
FIND("T",B1636)-(IF(ISNUMBER(FIND("F",B1636)),FIND("F",B1636)+1,FIND("G",B1636)+1))
)),
VALUE(MID(B1636,FIND("E0",B1636)+2,FIND("T",B1636,FIND("E0",B1636))-(FIND("E0",B1636)+2)))
))),"")</f>
        <v>180</v>
      </c>
      <c r="G1636">
        <f>IFERROR(
IF(ISNUMBER(FIND("T2",B1636)),220,
IF(ISNUMBER(FIND("T4",B1636)),440,
IF(ISNUMBER(FIND("T5",B1636)),575,
IF(ISNUMBER(FIND("T6",B1636)),690,"")))),
"")</f>
        <v>440</v>
      </c>
    </row>
    <row r="1637" spans="1:7" x14ac:dyDescent="0.25">
      <c r="A1637">
        <v>16041890</v>
      </c>
      <c r="B1637" t="str">
        <f>VLOOKUP(A1637,Planilha2!B:C,2,0)</f>
        <v>INVERSOR BRCFW110105T4OHALS9Z-UI</v>
      </c>
      <c r="C1637" t="s">
        <v>3170</v>
      </c>
      <c r="D1637" t="str">
        <f>VLOOKUP(A1637,Planilha2!B:H,7,0)</f>
        <v>LINHA G1</v>
      </c>
      <c r="E1637" s="5">
        <v>64388</v>
      </c>
      <c r="F1637">
        <f>IFERROR(
IF(ISNUMBER(FIND("CFW110",B1637)),
VALUE(MID(B1637,FIND("CFW110",B1637)+6,FIND("T",B1637,FIND("CFW110",B1637))-(FIND("CFW110",B1637)+6))),
IF(ISNUMBER(FIND("D",B1637)),
VALUE(SUBSTITUTE(MID(B1637,FIND("D",B1637)+1,FIND("T",B1637,FIND("D",B1637))-(FIND("D",B1637)+1)),"P",",")),
IF(ISNUMBER(FIND("CFW5",B1637)),
VALUE(MID(B1637,
IF(ISNUMBER(FIND("F",B1637)),FIND("F",B1637)+1,FIND("G",B1637)+1),
FIND("T",B1637)-(IF(ISNUMBER(FIND("F",B1637)),FIND("F",B1637)+1,FIND("G",B1637)+1))
)),
VALUE(MID(B1637,FIND("E0",B1637)+2,FIND("T",B1637,FIND("E0",B1637))-(FIND("E0",B1637)+2)))
))),"")</f>
        <v>105</v>
      </c>
      <c r="G1637">
        <f>IFERROR(
IF(ISNUMBER(FIND("T2",B1637)),220,
IF(ISNUMBER(FIND("T4",B1637)),440,
IF(ISNUMBER(FIND("T5",B1637)),575,
IF(ISNUMBER(FIND("T6",B1637)),690,"")))),
"")</f>
        <v>440</v>
      </c>
    </row>
    <row r="1638" spans="1:7" x14ac:dyDescent="0.25">
      <c r="A1638">
        <v>16001455</v>
      </c>
      <c r="B1638" t="str">
        <f>VLOOKUP(A1638,Planilha2!B:C,2,0)</f>
        <v>INVERSOR NACFW110211T4OTVZ</v>
      </c>
      <c r="C1638" t="s">
        <v>3170</v>
      </c>
      <c r="D1638" t="str">
        <f>VLOOKUP(A1638,Planilha2!B:H,7,0)</f>
        <v>LINHA G1</v>
      </c>
      <c r="E1638" s="5">
        <v>65000</v>
      </c>
      <c r="F1638">
        <f>IFERROR(
IF(ISNUMBER(FIND("CFW110",B1638)),
VALUE(MID(B1638,FIND("CFW110",B1638)+6,FIND("T",B1638,FIND("CFW110",B1638))-(FIND("CFW110",B1638)+6))),
IF(ISNUMBER(FIND("D",B1638)),
VALUE(SUBSTITUTE(MID(B1638,FIND("D",B1638)+1,FIND("T",B1638,FIND("D",B1638))-(FIND("D",B1638)+1)),"P",",")),
IF(ISNUMBER(FIND("CFW5",B1638)),
VALUE(MID(B1638,
IF(ISNUMBER(FIND("F",B1638)),FIND("F",B1638)+1,FIND("G",B1638)+1),
FIND("T",B1638)-(IF(ISNUMBER(FIND("F",B1638)),FIND("F",B1638)+1,FIND("G",B1638)+1))
)),
VALUE(MID(B1638,FIND("E0",B1638)+2,FIND("T",B1638,FIND("E0",B1638))-(FIND("E0",B1638)+2)))
))),"")</f>
        <v>211</v>
      </c>
      <c r="G1638">
        <f>IFERROR(
IF(ISNUMBER(FIND("T2",B1638)),220,
IF(ISNUMBER(FIND("T4",B1638)),440,
IF(ISNUMBER(FIND("T5",B1638)),575,
IF(ISNUMBER(FIND("T6",B1638)),690,"")))),
"")</f>
        <v>440</v>
      </c>
    </row>
    <row r="1639" spans="1:7" x14ac:dyDescent="0.25">
      <c r="A1639">
        <v>16001453</v>
      </c>
      <c r="B1639" t="str">
        <f>VLOOKUP(A1639,Planilha2!B:C,2,0)</f>
        <v>INVERSOR NACFW110180T4OTVZ</v>
      </c>
      <c r="C1639" t="s">
        <v>3170</v>
      </c>
      <c r="D1639" t="str">
        <f>VLOOKUP(A1639,Planilha2!B:H,7,0)</f>
        <v>LINHA G1</v>
      </c>
      <c r="E1639" s="5">
        <v>65000</v>
      </c>
      <c r="F1639">
        <f>IFERROR(
IF(ISNUMBER(FIND("CFW110",B1639)),
VALUE(MID(B1639,FIND("CFW110",B1639)+6,FIND("T",B1639,FIND("CFW110",B1639))-(FIND("CFW110",B1639)+6))),
IF(ISNUMBER(FIND("D",B1639)),
VALUE(SUBSTITUTE(MID(B1639,FIND("D",B1639)+1,FIND("T",B1639,FIND("D",B1639))-(FIND("D",B1639)+1)),"P",",")),
IF(ISNUMBER(FIND("CFW5",B1639)),
VALUE(MID(B1639,
IF(ISNUMBER(FIND("F",B1639)),FIND("F",B1639)+1,FIND("G",B1639)+1),
FIND("T",B1639)-(IF(ISNUMBER(FIND("F",B1639)),FIND("F",B1639)+1,FIND("G",B1639)+1))
)),
VALUE(MID(B1639,FIND("E0",B1639)+2,FIND("T",B1639,FIND("E0",B1639))-(FIND("E0",B1639)+2)))
))),"")</f>
        <v>180</v>
      </c>
      <c r="G1639">
        <f>IFERROR(
IF(ISNUMBER(FIND("T2",B1639)),220,
IF(ISNUMBER(FIND("T4",B1639)),440,
IF(ISNUMBER(FIND("T5",B1639)),575,
IF(ISNUMBER(FIND("T6",B1639)),690,"")))),
"")</f>
        <v>440</v>
      </c>
    </row>
    <row r="1640" spans="1:7" x14ac:dyDescent="0.25">
      <c r="A1640">
        <v>16001451</v>
      </c>
      <c r="B1640" t="str">
        <f>VLOOKUP(A1640,Planilha2!B:C,2,0)</f>
        <v>INVERSOR NACFW110142T4OTVZ</v>
      </c>
      <c r="C1640" t="s">
        <v>3170</v>
      </c>
      <c r="D1640" t="str">
        <f>VLOOKUP(A1640,Planilha2!B:H,7,0)</f>
        <v>LINHA G1</v>
      </c>
      <c r="E1640" s="5">
        <v>64000</v>
      </c>
      <c r="F1640">
        <f>IFERROR(
IF(ISNUMBER(FIND("CFW110",B1640)),
VALUE(MID(B1640,FIND("CFW110",B1640)+6,FIND("T",B1640,FIND("CFW110",B1640))-(FIND("CFW110",B1640)+6))),
IF(ISNUMBER(FIND("D",B1640)),
VALUE(SUBSTITUTE(MID(B1640,FIND("D",B1640)+1,FIND("T",B1640,FIND("D",B1640))-(FIND("D",B1640)+1)),"P",",")),
IF(ISNUMBER(FIND("CFW5",B1640)),
VALUE(MID(B1640,
IF(ISNUMBER(FIND("F",B1640)),FIND("F",B1640)+1,FIND("G",B1640)+1),
FIND("T",B1640)-(IF(ISNUMBER(FIND("F",B1640)),FIND("F",B1640)+1,FIND("G",B1640)+1))
)),
VALUE(MID(B1640,FIND("E0",B1640)+2,FIND("T",B1640,FIND("E0",B1640))-(FIND("E0",B1640)+2)))
))),"")</f>
        <v>142</v>
      </c>
      <c r="G1640">
        <f>IFERROR(
IF(ISNUMBER(FIND("T2",B1640)),220,
IF(ISNUMBER(FIND("T4",B1640)),440,
IF(ISNUMBER(FIND("T5",B1640)),575,
IF(ISNUMBER(FIND("T6",B1640)),690,"")))),
"")</f>
        <v>440</v>
      </c>
    </row>
    <row r="1641" spans="1:7" x14ac:dyDescent="0.25">
      <c r="A1641">
        <v>16001450</v>
      </c>
      <c r="B1641" t="str">
        <f>VLOOKUP(A1641,Planilha2!B:C,2,0)</f>
        <v>INVERSOR NACFW110105T4OTVZ</v>
      </c>
      <c r="C1641" t="s">
        <v>3170</v>
      </c>
      <c r="D1641" t="str">
        <f>VLOOKUP(A1641,Planilha2!B:H,7,0)</f>
        <v>LINHA G1</v>
      </c>
      <c r="E1641" s="5">
        <v>62500</v>
      </c>
      <c r="F1641">
        <f>IFERROR(
IF(ISNUMBER(FIND("CFW110",B1641)),
VALUE(MID(B1641,FIND("CFW110",B1641)+6,FIND("T",B1641,FIND("CFW110",B1641))-(FIND("CFW110",B1641)+6))),
IF(ISNUMBER(FIND("D",B1641)),
VALUE(SUBSTITUTE(MID(B1641,FIND("D",B1641)+1,FIND("T",B1641,FIND("D",B1641))-(FIND("D",B1641)+1)),"P",",")),
IF(ISNUMBER(FIND("CFW5",B1641)),
VALUE(MID(B1641,
IF(ISNUMBER(FIND("F",B1641)),FIND("F",B1641)+1,FIND("G",B1641)+1),
FIND("T",B1641)-(IF(ISNUMBER(FIND("F",B1641)),FIND("F",B1641)+1,FIND("G",B1641)+1))
)),
VALUE(MID(B1641,FIND("E0",B1641)+2,FIND("T",B1641,FIND("E0",B1641))-(FIND("E0",B1641)+2)))
))),"")</f>
        <v>105</v>
      </c>
      <c r="G1641">
        <f>IFERROR(
IF(ISNUMBER(FIND("T2",B1641)),220,
IF(ISNUMBER(FIND("T4",B1641)),440,
IF(ISNUMBER(FIND("T5",B1641)),575,
IF(ISNUMBER(FIND("T6",B1641)),690,"")))),
"")</f>
        <v>440</v>
      </c>
    </row>
    <row r="1642" spans="1:7" x14ac:dyDescent="0.25">
      <c r="A1642">
        <v>16001285</v>
      </c>
      <c r="B1642" t="str">
        <f>VLOOKUP(A1642,Planilha2!B:C,2,0)</f>
        <v>INVERSOR NACFW110211T2OTVZ</v>
      </c>
      <c r="C1642" t="s">
        <v>3170</v>
      </c>
      <c r="D1642" t="str">
        <f>VLOOKUP(A1642,Planilha2!B:H,7,0)</f>
        <v>LINHA G1</v>
      </c>
      <c r="E1642" s="5">
        <v>65000</v>
      </c>
      <c r="F1642">
        <f>IFERROR(
IF(ISNUMBER(FIND("CFW110",B1642)),
VALUE(MID(B1642,FIND("CFW110",B1642)+6,FIND("T",B1642,FIND("CFW110",B1642))-(FIND("CFW110",B1642)+6))),
IF(ISNUMBER(FIND("D",B1642)),
VALUE(SUBSTITUTE(MID(B1642,FIND("D",B1642)+1,FIND("T",B1642,FIND("D",B1642))-(FIND("D",B1642)+1)),"P",",")),
IF(ISNUMBER(FIND("CFW5",B1642)),
VALUE(MID(B1642,
IF(ISNUMBER(FIND("F",B1642)),FIND("F",B1642)+1,FIND("G",B1642)+1),
FIND("T",B1642)-(IF(ISNUMBER(FIND("F",B1642)),FIND("F",B1642)+1,FIND("G",B1642)+1))
)),
VALUE(MID(B1642,FIND("E0",B1642)+2,FIND("T",B1642,FIND("E0",B1642))-(FIND("E0",B1642)+2)))
))),"")</f>
        <v>211</v>
      </c>
      <c r="G1642">
        <f>IFERROR(
IF(ISNUMBER(FIND("T2",B1642)),220,
IF(ISNUMBER(FIND("T4",B1642)),440,
IF(ISNUMBER(FIND("T5",B1642)),575,
IF(ISNUMBER(FIND("T6",B1642)),690,"")))),
"")</f>
        <v>220</v>
      </c>
    </row>
    <row r="1643" spans="1:7" x14ac:dyDescent="0.25">
      <c r="A1643">
        <v>16001284</v>
      </c>
      <c r="B1643" t="str">
        <f>VLOOKUP(A1643,Planilha2!B:C,2,0)</f>
        <v>INVERSOR NACFW110180T2OTVZ</v>
      </c>
      <c r="C1643" t="s">
        <v>3170</v>
      </c>
      <c r="D1643" t="str">
        <f>VLOOKUP(A1643,Planilha2!B:H,7,0)</f>
        <v>LINHA G1</v>
      </c>
      <c r="E1643" s="5">
        <v>65000</v>
      </c>
      <c r="F1643">
        <f>IFERROR(
IF(ISNUMBER(FIND("CFW110",B1643)),
VALUE(MID(B1643,FIND("CFW110",B1643)+6,FIND("T",B1643,FIND("CFW110",B1643))-(FIND("CFW110",B1643)+6))),
IF(ISNUMBER(FIND("D",B1643)),
VALUE(SUBSTITUTE(MID(B1643,FIND("D",B1643)+1,FIND("T",B1643,FIND("D",B1643))-(FIND("D",B1643)+1)),"P",",")),
IF(ISNUMBER(FIND("CFW5",B1643)),
VALUE(MID(B1643,
IF(ISNUMBER(FIND("F",B1643)),FIND("F",B1643)+1,FIND("G",B1643)+1),
FIND("T",B1643)-(IF(ISNUMBER(FIND("F",B1643)),FIND("F",B1643)+1,FIND("G",B1643)+1))
)),
VALUE(MID(B1643,FIND("E0",B1643)+2,FIND("T",B1643,FIND("E0",B1643))-(FIND("E0",B1643)+2)))
))),"")</f>
        <v>180</v>
      </c>
      <c r="G1643">
        <f>IFERROR(
IF(ISNUMBER(FIND("T2",B1643)),220,
IF(ISNUMBER(FIND("T4",B1643)),440,
IF(ISNUMBER(FIND("T5",B1643)),575,
IF(ISNUMBER(FIND("T6",B1643)),690,"")))),
"")</f>
        <v>220</v>
      </c>
    </row>
    <row r="1644" spans="1:7" x14ac:dyDescent="0.25">
      <c r="A1644">
        <v>15760030</v>
      </c>
      <c r="B1644" t="str">
        <f>VLOOKUP(A1644,Planilha2!B:C,2,0)</f>
        <v>INVERSOR EUCFW110180T4OTVZ</v>
      </c>
      <c r="C1644" t="s">
        <v>3170</v>
      </c>
      <c r="D1644" t="str">
        <f>VLOOKUP(A1644,Planilha2!B:H,7,0)</f>
        <v>LINHA G1</v>
      </c>
      <c r="E1644" s="5">
        <v>65000</v>
      </c>
      <c r="F1644">
        <f>IFERROR(
IF(ISNUMBER(FIND("CFW110",B1644)),
VALUE(MID(B1644,FIND("CFW110",B1644)+6,FIND("T",B1644,FIND("CFW110",B1644))-(FIND("CFW110",B1644)+6))),
IF(ISNUMBER(FIND("D",B1644)),
VALUE(SUBSTITUTE(MID(B1644,FIND("D",B1644)+1,FIND("T",B1644,FIND("D",B1644))-(FIND("D",B1644)+1)),"P",",")),
IF(ISNUMBER(FIND("CFW5",B1644)),
VALUE(MID(B1644,
IF(ISNUMBER(FIND("F",B1644)),FIND("F",B1644)+1,FIND("G",B1644)+1),
FIND("T",B1644)-(IF(ISNUMBER(FIND("F",B1644)),FIND("F",B1644)+1,FIND("G",B1644)+1))
)),
VALUE(MID(B1644,FIND("E0",B1644)+2,FIND("T",B1644,FIND("E0",B1644))-(FIND("E0",B1644)+2)))
))),"")</f>
        <v>180</v>
      </c>
      <c r="G1644">
        <f>IFERROR(
IF(ISNUMBER(FIND("T2",B1644)),220,
IF(ISNUMBER(FIND("T4",B1644)),440,
IF(ISNUMBER(FIND("T5",B1644)),575,
IF(ISNUMBER(FIND("T6",B1644)),690,"")))),
"")</f>
        <v>440</v>
      </c>
    </row>
    <row r="1645" spans="1:7" x14ac:dyDescent="0.25">
      <c r="A1645">
        <v>15760028</v>
      </c>
      <c r="B1645" t="str">
        <f>VLOOKUP(A1645,Planilha2!B:C,2,0)</f>
        <v>INVERSOR EUCFW110142T4OTVZ</v>
      </c>
      <c r="C1645" t="s">
        <v>3170</v>
      </c>
      <c r="D1645" t="str">
        <f>VLOOKUP(A1645,Planilha2!B:H,7,0)</f>
        <v>LINHA G1</v>
      </c>
      <c r="E1645" s="5">
        <v>64000</v>
      </c>
      <c r="F1645">
        <f>IFERROR(
IF(ISNUMBER(FIND("CFW110",B1645)),
VALUE(MID(B1645,FIND("CFW110",B1645)+6,FIND("T",B1645,FIND("CFW110",B1645))-(FIND("CFW110",B1645)+6))),
IF(ISNUMBER(FIND("D",B1645)),
VALUE(SUBSTITUTE(MID(B1645,FIND("D",B1645)+1,FIND("T",B1645,FIND("D",B1645))-(FIND("D",B1645)+1)),"P",",")),
IF(ISNUMBER(FIND("CFW5",B1645)),
VALUE(MID(B1645,
IF(ISNUMBER(FIND("F",B1645)),FIND("F",B1645)+1,FIND("G",B1645)+1),
FIND("T",B1645)-(IF(ISNUMBER(FIND("F",B1645)),FIND("F",B1645)+1,FIND("G",B1645)+1))
)),
VALUE(MID(B1645,FIND("E0",B1645)+2,FIND("T",B1645,FIND("E0",B1645))-(FIND("E0",B1645)+2)))
))),"")</f>
        <v>142</v>
      </c>
      <c r="G1645">
        <f>IFERROR(
IF(ISNUMBER(FIND("T2",B1645)),220,
IF(ISNUMBER(FIND("T4",B1645)),440,
IF(ISNUMBER(FIND("T5",B1645)),575,
IF(ISNUMBER(FIND("T6",B1645)),690,"")))),
"")</f>
        <v>440</v>
      </c>
    </row>
    <row r="1646" spans="1:7" x14ac:dyDescent="0.25">
      <c r="A1646">
        <v>15759917</v>
      </c>
      <c r="B1646" t="str">
        <f>VLOOKUP(A1646,Planilha2!B:C,2,0)</f>
        <v>INVERSOR EUCFW110105T4OTVZ</v>
      </c>
      <c r="C1646" t="s">
        <v>3170</v>
      </c>
      <c r="D1646" t="str">
        <f>VLOOKUP(A1646,Planilha2!B:H,7,0)</f>
        <v>LINHA G1</v>
      </c>
      <c r="E1646" s="5">
        <v>62500</v>
      </c>
      <c r="F1646">
        <f>IFERROR(
IF(ISNUMBER(FIND("CFW110",B1646)),
VALUE(MID(B1646,FIND("CFW110",B1646)+6,FIND("T",B1646,FIND("CFW110",B1646))-(FIND("CFW110",B1646)+6))),
IF(ISNUMBER(FIND("D",B1646)),
VALUE(SUBSTITUTE(MID(B1646,FIND("D",B1646)+1,FIND("T",B1646,FIND("D",B1646))-(FIND("D",B1646)+1)),"P",",")),
IF(ISNUMBER(FIND("CFW5",B1646)),
VALUE(MID(B1646,
IF(ISNUMBER(FIND("F",B1646)),FIND("F",B1646)+1,FIND("G",B1646)+1),
FIND("T",B1646)-(IF(ISNUMBER(FIND("F",B1646)),FIND("F",B1646)+1,FIND("G",B1646)+1))
)),
VALUE(MID(B1646,FIND("E0",B1646)+2,FIND("T",B1646,FIND("E0",B1646))-(FIND("E0",B1646)+2)))
))),"")</f>
        <v>105</v>
      </c>
      <c r="G1646">
        <f>IFERROR(
IF(ISNUMBER(FIND("T2",B1646)),220,
IF(ISNUMBER(FIND("T4",B1646)),440,
IF(ISNUMBER(FIND("T5",B1646)),575,
IF(ISNUMBER(FIND("T6",B1646)),690,"")))),
"")</f>
        <v>440</v>
      </c>
    </row>
    <row r="1647" spans="1:7" x14ac:dyDescent="0.25">
      <c r="A1647">
        <v>15752472</v>
      </c>
      <c r="B1647" t="str">
        <f>VLOOKUP(A1647,Planilha2!B:C,2,0)</f>
        <v>INVERSOR EUCFW110211T2OTVZ</v>
      </c>
      <c r="C1647" t="s">
        <v>3170</v>
      </c>
      <c r="D1647" t="str">
        <f>VLOOKUP(A1647,Planilha2!B:H,7,0)</f>
        <v>LINHA G1</v>
      </c>
      <c r="E1647" s="5">
        <v>65000</v>
      </c>
      <c r="F1647">
        <f>IFERROR(
IF(ISNUMBER(FIND("CFW110",B1647)),
VALUE(MID(B1647,FIND("CFW110",B1647)+6,FIND("T",B1647,FIND("CFW110",B1647))-(FIND("CFW110",B1647)+6))),
IF(ISNUMBER(FIND("D",B1647)),
VALUE(SUBSTITUTE(MID(B1647,FIND("D",B1647)+1,FIND("T",B1647,FIND("D",B1647))-(FIND("D",B1647)+1)),"P",",")),
IF(ISNUMBER(FIND("CFW5",B1647)),
VALUE(MID(B1647,
IF(ISNUMBER(FIND("F",B1647)),FIND("F",B1647)+1,FIND("G",B1647)+1),
FIND("T",B1647)-(IF(ISNUMBER(FIND("F",B1647)),FIND("F",B1647)+1,FIND("G",B1647)+1))
)),
VALUE(MID(B1647,FIND("E0",B1647)+2,FIND("T",B1647,FIND("E0",B1647))-(FIND("E0",B1647)+2)))
))),"")</f>
        <v>211</v>
      </c>
      <c r="G1647">
        <f>IFERROR(
IF(ISNUMBER(FIND("T2",B1647)),220,
IF(ISNUMBER(FIND("T4",B1647)),440,
IF(ISNUMBER(FIND("T5",B1647)),575,
IF(ISNUMBER(FIND("T6",B1647)),690,"")))),
"")</f>
        <v>220</v>
      </c>
    </row>
    <row r="1648" spans="1:7" x14ac:dyDescent="0.25">
      <c r="A1648">
        <v>15752471</v>
      </c>
      <c r="B1648" t="str">
        <f>VLOOKUP(A1648,Planilha2!B:C,2,0)</f>
        <v>INVERSOR EUCFW110180T2OTVZ</v>
      </c>
      <c r="C1648" t="s">
        <v>3170</v>
      </c>
      <c r="D1648" t="str">
        <f>VLOOKUP(A1648,Planilha2!B:H,7,0)</f>
        <v>LINHA G1</v>
      </c>
      <c r="E1648" s="5">
        <v>65000</v>
      </c>
      <c r="F1648">
        <f>IFERROR(
IF(ISNUMBER(FIND("CFW110",B1648)),
VALUE(MID(B1648,FIND("CFW110",B1648)+6,FIND("T",B1648,FIND("CFW110",B1648))-(FIND("CFW110",B1648)+6))),
IF(ISNUMBER(FIND("D",B1648)),
VALUE(SUBSTITUTE(MID(B1648,FIND("D",B1648)+1,FIND("T",B1648,FIND("D",B1648))-(FIND("D",B1648)+1)),"P",",")),
IF(ISNUMBER(FIND("CFW5",B1648)),
VALUE(MID(B1648,
IF(ISNUMBER(FIND("F",B1648)),FIND("F",B1648)+1,FIND("G",B1648)+1),
FIND("T",B1648)-(IF(ISNUMBER(FIND("F",B1648)),FIND("F",B1648)+1,FIND("G",B1648)+1))
)),
VALUE(MID(B1648,FIND("E0",B1648)+2,FIND("T",B1648,FIND("E0",B1648))-(FIND("E0",B1648)+2)))
))),"")</f>
        <v>180</v>
      </c>
      <c r="G1648">
        <f>IFERROR(
IF(ISNUMBER(FIND("T2",B1648)),220,
IF(ISNUMBER(FIND("T4",B1648)),440,
IF(ISNUMBER(FIND("T5",B1648)),575,
IF(ISNUMBER(FIND("T6",B1648)),690,"")))),
"")</f>
        <v>220</v>
      </c>
    </row>
    <row r="1649" spans="1:7" x14ac:dyDescent="0.25">
      <c r="A1649">
        <v>16054984</v>
      </c>
      <c r="B1649" t="str">
        <f>VLOOKUP(A1649,Planilha2!B:C,2,0)</f>
        <v>INVERSOR NACFW110063T6OYZ-UI</v>
      </c>
      <c r="C1649" t="s">
        <v>3170</v>
      </c>
      <c r="D1649" t="str">
        <f>VLOOKUP(A1649,Planilha2!B:H,7,0)</f>
        <v>LINHA G1</v>
      </c>
      <c r="E1649" s="5">
        <v>60360</v>
      </c>
      <c r="F1649">
        <f>IFERROR(
IF(ISNUMBER(FIND("CFW110",B1649)),
VALUE(MID(B1649,FIND("CFW110",B1649)+6,FIND("T",B1649,FIND("CFW110",B1649))-(FIND("CFW110",B1649)+6))),
IF(ISNUMBER(FIND("D",B1649)),
VALUE(SUBSTITUTE(MID(B1649,FIND("D",B1649)+1,FIND("T",B1649,FIND("D",B1649))-(FIND("D",B1649)+1)),"P",",")),
IF(ISNUMBER(FIND("CFW5",B1649)),
VALUE(MID(B1649,
IF(ISNUMBER(FIND("F",B1649)),FIND("F",B1649)+1,FIND("G",B1649)+1),
FIND("T",B1649)-(IF(ISNUMBER(FIND("F",B1649)),FIND("F",B1649)+1,FIND("G",B1649)+1))
)),
VALUE(MID(B1649,FIND("E0",B1649)+2,FIND("T",B1649,FIND("E0",B1649))-(FIND("E0",B1649)+2)))
))),"")</f>
        <v>63</v>
      </c>
      <c r="G1649">
        <f>IFERROR(
IF(ISNUMBER(FIND("T2",B1649)),220,
IF(ISNUMBER(FIND("T4",B1649)),440,
IF(ISNUMBER(FIND("T5",B1649)),575,
IF(ISNUMBER(FIND("T6",B1649)),690,"")))),
"")</f>
        <v>690</v>
      </c>
    </row>
    <row r="1650" spans="1:7" x14ac:dyDescent="0.25">
      <c r="A1650">
        <v>16087519</v>
      </c>
      <c r="B1650" t="str">
        <f>VLOOKUP(A1650,Planilha2!B:C,2,0)</f>
        <v>INVERSOR EUCFW110142T4ODCZ-UI</v>
      </c>
      <c r="C1650" t="s">
        <v>3170</v>
      </c>
      <c r="D1650" t="str">
        <f>VLOOKUP(A1650,Planilha2!B:H,7,0)</f>
        <v>LINHA G1</v>
      </c>
      <c r="E1650" s="5">
        <v>50000</v>
      </c>
      <c r="F1650">
        <f>IFERROR(
IF(ISNUMBER(FIND("CFW110",B1650)),
VALUE(MID(B1650,FIND("CFW110",B1650)+6,FIND("T",B1650,FIND("CFW110",B1650))-(FIND("CFW110",B1650)+6))),
IF(ISNUMBER(FIND("D",B1650)),
VALUE(SUBSTITUTE(MID(B1650,FIND("D",B1650)+1,FIND("T",B1650,FIND("D",B1650))-(FIND("D",B1650)+1)),"P",",")),
IF(ISNUMBER(FIND("CFW5",B1650)),
VALUE(MID(B1650,
IF(ISNUMBER(FIND("F",B1650)),FIND("F",B1650)+1,FIND("G",B1650)+1),
FIND("T",B1650)-(IF(ISNUMBER(FIND("F",B1650)),FIND("F",B1650)+1,FIND("G",B1650)+1))
)),
VALUE(MID(B1650,FIND("E0",B1650)+2,FIND("T",B1650,FIND("E0",B1650))-(FIND("E0",B1650)+2)))
))),"")</f>
        <v>142</v>
      </c>
      <c r="G1650">
        <f>IFERROR(
IF(ISNUMBER(FIND("T2",B1650)),220,
IF(ISNUMBER(FIND("T4",B1650)),440,
IF(ISNUMBER(FIND("T5",B1650)),575,
IF(ISNUMBER(FIND("T6",B1650)),690,"")))),
"")</f>
        <v>440</v>
      </c>
    </row>
    <row r="1651" spans="1:7" x14ac:dyDescent="0.25">
      <c r="A1651">
        <v>16084658</v>
      </c>
      <c r="B1651" t="str">
        <f>VLOOKUP(A1651,Planilha2!B:C,2,0)</f>
        <v>INVERSOR EUCFW110142T4ODCZ</v>
      </c>
      <c r="C1651" t="s">
        <v>3170</v>
      </c>
      <c r="D1651" t="str">
        <f>VLOOKUP(A1651,Planilha2!B:H,7,0)</f>
        <v>LINHA G1</v>
      </c>
      <c r="E1651" s="5">
        <v>50000</v>
      </c>
      <c r="F1651">
        <f>IFERROR(
IF(ISNUMBER(FIND("CFW110",B1651)),
VALUE(MID(B1651,FIND("CFW110",B1651)+6,FIND("T",B1651,FIND("CFW110",B1651))-(FIND("CFW110",B1651)+6))),
IF(ISNUMBER(FIND("D",B1651)),
VALUE(SUBSTITUTE(MID(B1651,FIND("D",B1651)+1,FIND("T",B1651,FIND("D",B1651))-(FIND("D",B1651)+1)),"P",",")),
IF(ISNUMBER(FIND("CFW5",B1651)),
VALUE(MID(B1651,
IF(ISNUMBER(FIND("F",B1651)),FIND("F",B1651)+1,FIND("G",B1651)+1),
FIND("T",B1651)-(IF(ISNUMBER(FIND("F",B1651)),FIND("F",B1651)+1,FIND("G",B1651)+1))
)),
VALUE(MID(B1651,FIND("E0",B1651)+2,FIND("T",B1651,FIND("E0",B1651))-(FIND("E0",B1651)+2)))
))),"")</f>
        <v>142</v>
      </c>
      <c r="G1651">
        <f>IFERROR(
IF(ISNUMBER(FIND("T2",B1651)),220,
IF(ISNUMBER(FIND("T4",B1651)),440,
IF(ISNUMBER(FIND("T5",B1651)),575,
IF(ISNUMBER(FIND("T6",B1651)),690,"")))),
"")</f>
        <v>440</v>
      </c>
    </row>
    <row r="1652" spans="1:7" x14ac:dyDescent="0.25">
      <c r="A1652">
        <v>16115447</v>
      </c>
      <c r="B1652" t="str">
        <f>VLOOKUP(A1652,Planilha2!B:C,2,0)</f>
        <v>INVERSOR EUCFW110107T6OYWZ</v>
      </c>
      <c r="C1652" t="s">
        <v>3170</v>
      </c>
      <c r="D1652" t="str">
        <f>VLOOKUP(A1652,Planilha2!B:H,7,0)</f>
        <v>LINHA G1</v>
      </c>
      <c r="E1652" s="5">
        <v>64000</v>
      </c>
      <c r="F1652">
        <f>IFERROR(
IF(ISNUMBER(FIND("CFW110",B1652)),
VALUE(MID(B1652,FIND("CFW110",B1652)+6,FIND("T",B1652,FIND("CFW110",B1652))-(FIND("CFW110",B1652)+6))),
IF(ISNUMBER(FIND("D",B1652)),
VALUE(SUBSTITUTE(MID(B1652,FIND("D",B1652)+1,FIND("T",B1652,FIND("D",B1652))-(FIND("D",B1652)+1)),"P",",")),
IF(ISNUMBER(FIND("CFW5",B1652)),
VALUE(MID(B1652,
IF(ISNUMBER(FIND("F",B1652)),FIND("F",B1652)+1,FIND("G",B1652)+1),
FIND("T",B1652)-(IF(ISNUMBER(FIND("F",B1652)),FIND("F",B1652)+1,FIND("G",B1652)+1))
)),
VALUE(MID(B1652,FIND("E0",B1652)+2,FIND("T",B1652,FIND("E0",B1652))-(FIND("E0",B1652)+2)))
))),"")</f>
        <v>107</v>
      </c>
      <c r="G1652">
        <f>IFERROR(
IF(ISNUMBER(FIND("T2",B1652)),220,
IF(ISNUMBER(FIND("T4",B1652)),440,
IF(ISNUMBER(FIND("T5",B1652)),575,
IF(ISNUMBER(FIND("T6",B1652)),690,"")))),
"")</f>
        <v>690</v>
      </c>
    </row>
    <row r="1653" spans="1:7" x14ac:dyDescent="0.25">
      <c r="A1653">
        <v>16132090</v>
      </c>
      <c r="B1653" t="str">
        <f>VLOOKUP(A1653,Planilha2!B:C,2,0)</f>
        <v>INVERSOR EUCFW110105T4OYSUZ-UI</v>
      </c>
      <c r="C1653" t="s">
        <v>3170</v>
      </c>
      <c r="D1653" t="str">
        <f>VLOOKUP(A1653,Planilha2!B:H,7,0)</f>
        <v>LINHA G1</v>
      </c>
      <c r="E1653" s="5">
        <v>64213</v>
      </c>
      <c r="F1653">
        <f>IFERROR(
IF(ISNUMBER(FIND("CFW110",B1653)),
VALUE(MID(B1653,FIND("CFW110",B1653)+6,FIND("T",B1653,FIND("CFW110",B1653))-(FIND("CFW110",B1653)+6))),
IF(ISNUMBER(FIND("D",B1653)),
VALUE(SUBSTITUTE(MID(B1653,FIND("D",B1653)+1,FIND("T",B1653,FIND("D",B1653))-(FIND("D",B1653)+1)),"P",",")),
IF(ISNUMBER(FIND("CFW5",B1653)),
VALUE(MID(B1653,
IF(ISNUMBER(FIND("F",B1653)),FIND("F",B1653)+1,FIND("G",B1653)+1),
FIND("T",B1653)-(IF(ISNUMBER(FIND("F",B1653)),FIND("F",B1653)+1,FIND("G",B1653)+1))
)),
VALUE(MID(B1653,FIND("E0",B1653)+2,FIND("T",B1653,FIND("E0",B1653))-(FIND("E0",B1653)+2)))
))),"")</f>
        <v>105</v>
      </c>
      <c r="G1653">
        <f>IFERROR(
IF(ISNUMBER(FIND("T2",B1653)),220,
IF(ISNUMBER(FIND("T4",B1653)),440,
IF(ISNUMBER(FIND("T5",B1653)),575,
IF(ISNUMBER(FIND("T6",B1653)),690,"")))),
"")</f>
        <v>440</v>
      </c>
    </row>
    <row r="1654" spans="1:7" x14ac:dyDescent="0.25">
      <c r="A1654">
        <v>16122165</v>
      </c>
      <c r="B1654" t="str">
        <f>VLOOKUP(A1654,Planilha2!B:C,2,0)</f>
        <v>INVERSOR EUCFW110105T4OYSUZ</v>
      </c>
      <c r="C1654" t="s">
        <v>3170</v>
      </c>
      <c r="D1654" t="str">
        <f>VLOOKUP(A1654,Planilha2!B:H,7,0)</f>
        <v>LINHA G1</v>
      </c>
      <c r="E1654" s="5">
        <v>64213</v>
      </c>
      <c r="F1654">
        <f>IFERROR(
IF(ISNUMBER(FIND("CFW110",B1654)),
VALUE(MID(B1654,FIND("CFW110",B1654)+6,FIND("T",B1654,FIND("CFW110",B1654))-(FIND("CFW110",B1654)+6))),
IF(ISNUMBER(FIND("D",B1654)),
VALUE(SUBSTITUTE(MID(B1654,FIND("D",B1654)+1,FIND("T",B1654,FIND("D",B1654))-(FIND("D",B1654)+1)),"P",",")),
IF(ISNUMBER(FIND("CFW5",B1654)),
VALUE(MID(B1654,
IF(ISNUMBER(FIND("F",B1654)),FIND("F",B1654)+1,FIND("G",B1654)+1),
FIND("T",B1654)-(IF(ISNUMBER(FIND("F",B1654)),FIND("F",B1654)+1,FIND("G",B1654)+1))
)),
VALUE(MID(B1654,FIND("E0",B1654)+2,FIND("T",B1654,FIND("E0",B1654))-(FIND("E0",B1654)+2)))
))),"")</f>
        <v>105</v>
      </c>
      <c r="G1654">
        <f>IFERROR(
IF(ISNUMBER(FIND("T2",B1654)),220,
IF(ISNUMBER(FIND("T4",B1654)),440,
IF(ISNUMBER(FIND("T5",B1654)),575,
IF(ISNUMBER(FIND("T6",B1654)),690,"")))),
"")</f>
        <v>440</v>
      </c>
    </row>
    <row r="1655" spans="1:7" x14ac:dyDescent="0.25">
      <c r="A1655">
        <v>16113642</v>
      </c>
      <c r="B1655" t="str">
        <f>VLOOKUP(A1655,Planilha2!B:C,2,0)</f>
        <v>INVERSOR MSCFW110142T4O55YZ</v>
      </c>
      <c r="C1655" t="s">
        <v>3170</v>
      </c>
      <c r="D1655" t="str">
        <f>VLOOKUP(A1655,Planilha2!B:H,7,0)</f>
        <v>LINHA E1</v>
      </c>
      <c r="E1655" s="5">
        <v>88100</v>
      </c>
      <c r="F1655">
        <f>IFERROR(
IF(ISNUMBER(FIND("CFW110",B1655)),
VALUE(MID(B1655,FIND("CFW110",B1655)+6,FIND("T",B1655,FIND("CFW110",B1655))-(FIND("CFW110",B1655)+6))),
IF(ISNUMBER(FIND("D",B1655)),
VALUE(SUBSTITUTE(MID(B1655,FIND("D",B1655)+1,FIND("T",B1655,FIND("D",B1655))-(FIND("D",B1655)+1)),"P",",")),
IF(ISNUMBER(FIND("CFW5",B1655)),
VALUE(MID(B1655,
IF(ISNUMBER(FIND("F",B1655)),FIND("F",B1655)+1,FIND("G",B1655)+1),
FIND("T",B1655)-(IF(ISNUMBER(FIND("F",B1655)),FIND("F",B1655)+1,FIND("G",B1655)+1))
)),
VALUE(MID(B1655,FIND("E0",B1655)+2,FIND("T",B1655,FIND("E0",B1655))-(FIND("E0",B1655)+2)))
))),"")</f>
        <v>142</v>
      </c>
      <c r="G1655">
        <f>IFERROR(
IF(ISNUMBER(FIND("T2",B1655)),220,
IF(ISNUMBER(FIND("T4",B1655)),440,
IF(ISNUMBER(FIND("T5",B1655)),575,
IF(ISNUMBER(FIND("T6",B1655)),690,"")))),
"")</f>
        <v>440</v>
      </c>
    </row>
    <row r="1656" spans="1:7" x14ac:dyDescent="0.25">
      <c r="A1656">
        <v>16236893</v>
      </c>
      <c r="B1656" t="str">
        <f>VLOOKUP(A1656,Planilha2!B:C,2,0)</f>
        <v>INVERSOR CFW700E0105T4DB55C3DSS2</v>
      </c>
      <c r="C1656" t="s">
        <v>3170</v>
      </c>
      <c r="D1656" t="str">
        <f>VLOOKUP(A1656,Planilha2!B:H,7,0)</f>
        <v>OBSOLETOS DRIVES</v>
      </c>
      <c r="E1656" s="5">
        <v>87400</v>
      </c>
      <c r="F1656" t="str">
        <f>IFERROR(
IF(ISNUMBER(FIND("CFW110",B1656)),
VALUE(MID(B1656,FIND("CFW110",B1656)+6,FIND("T",B1656,FIND("CFW110",B1656))-(FIND("CFW110",B1656)+6))),
IF(ISNUMBER(FIND("D",B1656)),
VALUE(SUBSTITUTE(MID(B1656,FIND("D",B1656)+1,FIND("T",B1656,FIND("D",B1656))-(FIND("D",B1656)+1)),"P",",")),
IF(ISNUMBER(FIND("CFW5",B1656)),
VALUE(MID(B1656,
IF(ISNUMBER(FIND("F",B1656)),FIND("F",B1656)+1,FIND("G",B1656)+1),
FIND("T",B1656)-(IF(ISNUMBER(FIND("F",B1656)),FIND("F",B1656)+1,FIND("G",B1656)+1))
)),
VALUE(MID(B1656,FIND("E0",B1656)+2,FIND("T",B1656,FIND("E0",B1656))-(FIND("E0",B1656)+2)))
))),"")</f>
        <v/>
      </c>
      <c r="G1656">
        <f>IFERROR(
IF(ISNUMBER(FIND("T2",B1656)),220,
IF(ISNUMBER(FIND("T4",B1656)),440,
IF(ISNUMBER(FIND("T5",B1656)),575,
IF(ISNUMBER(FIND("T6",B1656)),690,"")))),
"")</f>
        <v>440</v>
      </c>
    </row>
    <row r="1657" spans="1:7" x14ac:dyDescent="0.25">
      <c r="A1657">
        <v>16237015</v>
      </c>
      <c r="B1657" t="str">
        <f>VLOOKUP(A1657,Planilha2!B:C,2,0)</f>
        <v>INVERSOR CFW700E0142T4DB20C3S2</v>
      </c>
      <c r="C1657" t="s">
        <v>3170</v>
      </c>
      <c r="D1657" t="str">
        <f>VLOOKUP(A1657,Planilha2!B:H,7,0)</f>
        <v>OBSOLETOS DRIVES</v>
      </c>
      <c r="E1657" s="5">
        <v>69100</v>
      </c>
      <c r="F1657" t="str">
        <f>IFERROR(
IF(ISNUMBER(FIND("CFW110",B1657)),
VALUE(MID(B1657,FIND("CFW110",B1657)+6,FIND("T",B1657,FIND("CFW110",B1657))-(FIND("CFW110",B1657)+6))),
IF(ISNUMBER(FIND("D",B1657)),
VALUE(SUBSTITUTE(MID(B1657,FIND("D",B1657)+1,FIND("T",B1657,FIND("D",B1657))-(FIND("D",B1657)+1)),"P",",")),
IF(ISNUMBER(FIND("CFW5",B1657)),
VALUE(MID(B1657,
IF(ISNUMBER(FIND("F",B1657)),FIND("F",B1657)+1,FIND("G",B1657)+1),
FIND("T",B1657)-(IF(ISNUMBER(FIND("F",B1657)),FIND("F",B1657)+1,FIND("G",B1657)+1))
)),
VALUE(MID(B1657,FIND("E0",B1657)+2,FIND("T",B1657,FIND("E0",B1657))-(FIND("E0",B1657)+2)))
))),"")</f>
        <v/>
      </c>
      <c r="G1657">
        <f>IFERROR(
IF(ISNUMBER(FIND("T2",B1657)),220,
IF(ISNUMBER(FIND("T4",B1657)),440,
IF(ISNUMBER(FIND("T5",B1657)),575,
IF(ISNUMBER(FIND("T6",B1657)),690,"")))),
"")</f>
        <v>440</v>
      </c>
    </row>
    <row r="1658" spans="1:7" x14ac:dyDescent="0.25">
      <c r="A1658">
        <v>16237016</v>
      </c>
      <c r="B1658" t="str">
        <f>VLOOKUP(A1658,Planilha2!B:C,2,0)</f>
        <v>INVERSOR CFW700E0105T4DB20C3S2</v>
      </c>
      <c r="C1658" t="s">
        <v>3170</v>
      </c>
      <c r="D1658" t="str">
        <f>VLOOKUP(A1658,Planilha2!B:H,7,0)</f>
        <v>OBSOLETOS DRIVES</v>
      </c>
      <c r="E1658" s="5">
        <v>69100</v>
      </c>
      <c r="F1658" t="str">
        <f>IFERROR(
IF(ISNUMBER(FIND("CFW110",B1658)),
VALUE(MID(B1658,FIND("CFW110",B1658)+6,FIND("T",B1658,FIND("CFW110",B1658))-(FIND("CFW110",B1658)+6))),
IF(ISNUMBER(FIND("D",B1658)),
VALUE(SUBSTITUTE(MID(B1658,FIND("D",B1658)+1,FIND("T",B1658,FIND("D",B1658))-(FIND("D",B1658)+1)),"P",",")),
IF(ISNUMBER(FIND("CFW5",B1658)),
VALUE(MID(B1658,
IF(ISNUMBER(FIND("F",B1658)),FIND("F",B1658)+1,FIND("G",B1658)+1),
FIND("T",B1658)-(IF(ISNUMBER(FIND("F",B1658)),FIND("F",B1658)+1,FIND("G",B1658)+1))
)),
VALUE(MID(B1658,FIND("E0",B1658)+2,FIND("T",B1658,FIND("E0",B1658))-(FIND("E0",B1658)+2)))
))),"")</f>
        <v/>
      </c>
      <c r="G1658">
        <f>IFERROR(
IF(ISNUMBER(FIND("T2",B1658)),220,
IF(ISNUMBER(FIND("T4",B1658)),440,
IF(ISNUMBER(FIND("T5",B1658)),575,
IF(ISNUMBER(FIND("T6",B1658)),690,"")))),
"")</f>
        <v>440</v>
      </c>
    </row>
    <row r="1659" spans="1:7" x14ac:dyDescent="0.25">
      <c r="A1659">
        <v>16237013</v>
      </c>
      <c r="B1659" t="str">
        <f>VLOOKUP(A1659,Planilha2!B:C,2,0)</f>
        <v>INVERSOR CFW700E0211T4DB20C3S2</v>
      </c>
      <c r="C1659" t="s">
        <v>3170</v>
      </c>
      <c r="D1659" t="str">
        <f>VLOOKUP(A1659,Planilha2!B:H,7,0)</f>
        <v>OBSOLETOS DRIVES</v>
      </c>
      <c r="E1659" s="5">
        <v>69100</v>
      </c>
      <c r="F1659" t="str">
        <f>IFERROR(
IF(ISNUMBER(FIND("CFW110",B1659)),
VALUE(MID(B1659,FIND("CFW110",B1659)+6,FIND("T",B1659,FIND("CFW110",B1659))-(FIND("CFW110",B1659)+6))),
IF(ISNUMBER(FIND("D",B1659)),
VALUE(SUBSTITUTE(MID(B1659,FIND("D",B1659)+1,FIND("T",B1659,FIND("D",B1659))-(FIND("D",B1659)+1)),"P",",")),
IF(ISNUMBER(FIND("CFW5",B1659)),
VALUE(MID(B1659,
IF(ISNUMBER(FIND("F",B1659)),FIND("F",B1659)+1,FIND("G",B1659)+1),
FIND("T",B1659)-(IF(ISNUMBER(FIND("F",B1659)),FIND("F",B1659)+1,FIND("G",B1659)+1))
)),
VALUE(MID(B1659,FIND("E0",B1659)+2,FIND("T",B1659,FIND("E0",B1659))-(FIND("E0",B1659)+2)))
))),"")</f>
        <v/>
      </c>
      <c r="G1659">
        <f>IFERROR(
IF(ISNUMBER(FIND("T2",B1659)),220,
IF(ISNUMBER(FIND("T4",B1659)),440,
IF(ISNUMBER(FIND("T5",B1659)),575,
IF(ISNUMBER(FIND("T6",B1659)),690,"")))),
"")</f>
        <v>440</v>
      </c>
    </row>
    <row r="1660" spans="1:7" x14ac:dyDescent="0.25">
      <c r="A1660">
        <v>16237014</v>
      </c>
      <c r="B1660" t="str">
        <f>VLOOKUP(A1660,Planilha2!B:C,2,0)</f>
        <v>INVERSOR CFW700E0180T4DB20C3S2</v>
      </c>
      <c r="C1660" t="s">
        <v>3170</v>
      </c>
      <c r="D1660" t="str">
        <f>VLOOKUP(A1660,Planilha2!B:H,7,0)</f>
        <v>OBSOLETOS DRIVES</v>
      </c>
      <c r="E1660" s="5">
        <v>69100</v>
      </c>
      <c r="F1660" t="str">
        <f>IFERROR(
IF(ISNUMBER(FIND("CFW110",B1660)),
VALUE(MID(B1660,FIND("CFW110",B1660)+6,FIND("T",B1660,FIND("CFW110",B1660))-(FIND("CFW110",B1660)+6))),
IF(ISNUMBER(FIND("D",B1660)),
VALUE(SUBSTITUTE(MID(B1660,FIND("D",B1660)+1,FIND("T",B1660,FIND("D",B1660))-(FIND("D",B1660)+1)),"P",",")),
IF(ISNUMBER(FIND("CFW5",B1660)),
VALUE(MID(B1660,
IF(ISNUMBER(FIND("F",B1660)),FIND("F",B1660)+1,FIND("G",B1660)+1),
FIND("T",B1660)-(IF(ISNUMBER(FIND("F",B1660)),FIND("F",B1660)+1,FIND("G",B1660)+1))
)),
VALUE(MID(B1660,FIND("E0",B1660)+2,FIND("T",B1660,FIND("E0",B1660))-(FIND("E0",B1660)+2)))
))),"")</f>
        <v/>
      </c>
      <c r="G1660">
        <f>IFERROR(
IF(ISNUMBER(FIND("T2",B1660)),220,
IF(ISNUMBER(FIND("T4",B1660)),440,
IF(ISNUMBER(FIND("T5",B1660)),575,
IF(ISNUMBER(FIND("T6",B1660)),690,"")))),
"")</f>
        <v>440</v>
      </c>
    </row>
    <row r="1661" spans="1:7" x14ac:dyDescent="0.25">
      <c r="A1661">
        <v>16261271</v>
      </c>
      <c r="B1661" t="str">
        <f>VLOOKUP(A1661,Planilha2!B:C,2,0)</f>
        <v>INVERSOR BRCFW110105T4O55SSZ</v>
      </c>
      <c r="C1661" t="s">
        <v>3170</v>
      </c>
      <c r="D1661" t="str">
        <f>VLOOKUP(A1661,Planilha2!B:H,7,0)</f>
        <v>LINHA E1</v>
      </c>
      <c r="E1661" s="5">
        <v>85300</v>
      </c>
      <c r="F1661">
        <f>IFERROR(
IF(ISNUMBER(FIND("CFW110",B1661)),
VALUE(MID(B1661,FIND("CFW110",B1661)+6,FIND("T",B1661,FIND("CFW110",B1661))-(FIND("CFW110",B1661)+6))),
IF(ISNUMBER(FIND("D",B1661)),
VALUE(SUBSTITUTE(MID(B1661,FIND("D",B1661)+1,FIND("T",B1661,FIND("D",B1661))-(FIND("D",B1661)+1)),"P",",")),
IF(ISNUMBER(FIND("CFW5",B1661)),
VALUE(MID(B1661,
IF(ISNUMBER(FIND("F",B1661)),FIND("F",B1661)+1,FIND("G",B1661)+1),
FIND("T",B1661)-(IF(ISNUMBER(FIND("F",B1661)),FIND("F",B1661)+1,FIND("G",B1661)+1))
)),
VALUE(MID(B1661,FIND("E0",B1661)+2,FIND("T",B1661,FIND("E0",B1661))-(FIND("E0",B1661)+2)))
))),"")</f>
        <v>105</v>
      </c>
      <c r="G1661">
        <f>IFERROR(
IF(ISNUMBER(FIND("T2",B1661)),220,
IF(ISNUMBER(FIND("T4",B1661)),440,
IF(ISNUMBER(FIND("T5",B1661)),575,
IF(ISNUMBER(FIND("T6",B1661)),690,"")))),
"")</f>
        <v>440</v>
      </c>
    </row>
    <row r="1662" spans="1:7" x14ac:dyDescent="0.25">
      <c r="A1662">
        <v>16261921</v>
      </c>
      <c r="B1662" t="str">
        <f>VLOOKUP(A1662,Planilha2!B:C,2,0)</f>
        <v>INVERSOR CFW700E0142T4DB55C3DSS2</v>
      </c>
      <c r="C1662" t="s">
        <v>3170</v>
      </c>
      <c r="D1662" t="str">
        <f>VLOOKUP(A1662,Planilha2!B:H,7,0)</f>
        <v>OBSOLETOS DRIVES</v>
      </c>
      <c r="E1662" s="5">
        <v>90200</v>
      </c>
      <c r="F1662" t="str">
        <f>IFERROR(
IF(ISNUMBER(FIND("CFW110",B1662)),
VALUE(MID(B1662,FIND("CFW110",B1662)+6,FIND("T",B1662,FIND("CFW110",B1662))-(FIND("CFW110",B1662)+6))),
IF(ISNUMBER(FIND("D",B1662)),
VALUE(SUBSTITUTE(MID(B1662,FIND("D",B1662)+1,FIND("T",B1662,FIND("D",B1662))-(FIND("D",B1662)+1)),"P",",")),
IF(ISNUMBER(FIND("CFW5",B1662)),
VALUE(MID(B1662,
IF(ISNUMBER(FIND("F",B1662)),FIND("F",B1662)+1,FIND("G",B1662)+1),
FIND("T",B1662)-(IF(ISNUMBER(FIND("F",B1662)),FIND("F",B1662)+1,FIND("G",B1662)+1))
)),
VALUE(MID(B1662,FIND("E0",B1662)+2,FIND("T",B1662,FIND("E0",B1662))-(FIND("E0",B1662)+2)))
))),"")</f>
        <v/>
      </c>
      <c r="G1662">
        <f>IFERROR(
IF(ISNUMBER(FIND("T2",B1662)),220,
IF(ISNUMBER(FIND("T4",B1662)),440,
IF(ISNUMBER(FIND("T5",B1662)),575,
IF(ISNUMBER(FIND("T6",B1662)),690,"")))),
"")</f>
        <v>440</v>
      </c>
    </row>
    <row r="1663" spans="1:7" x14ac:dyDescent="0.25">
      <c r="A1663">
        <v>16261920</v>
      </c>
      <c r="B1663" t="str">
        <f>VLOOKUP(A1663,Planilha2!B:C,2,0)</f>
        <v>INVERSOR CFW700E0180T4DB55C3DSS2</v>
      </c>
      <c r="C1663" t="s">
        <v>3170</v>
      </c>
      <c r="D1663" t="str">
        <f>VLOOKUP(A1663,Planilha2!B:H,7,0)</f>
        <v>OBSOLETOS DRIVES</v>
      </c>
      <c r="E1663" s="5">
        <v>100568</v>
      </c>
      <c r="F1663" t="str">
        <f>IFERROR(
IF(ISNUMBER(FIND("CFW110",B1663)),
VALUE(MID(B1663,FIND("CFW110",B1663)+6,FIND("T",B1663,FIND("CFW110",B1663))-(FIND("CFW110",B1663)+6))),
IF(ISNUMBER(FIND("D",B1663)),
VALUE(SUBSTITUTE(MID(B1663,FIND("D",B1663)+1,FIND("T",B1663,FIND("D",B1663))-(FIND("D",B1663)+1)),"P",",")),
IF(ISNUMBER(FIND("CFW5",B1663)),
VALUE(MID(B1663,
IF(ISNUMBER(FIND("F",B1663)),FIND("F",B1663)+1,FIND("G",B1663)+1),
FIND("T",B1663)-(IF(ISNUMBER(FIND("F",B1663)),FIND("F",B1663)+1,FIND("G",B1663)+1))
)),
VALUE(MID(B1663,FIND("E0",B1663)+2,FIND("T",B1663,FIND("E0",B1663))-(FIND("E0",B1663)+2)))
))),"")</f>
        <v/>
      </c>
      <c r="G1663">
        <f>IFERROR(
IF(ISNUMBER(FIND("T2",B1663)),220,
IF(ISNUMBER(FIND("T4",B1663)),440,
IF(ISNUMBER(FIND("T5",B1663)),575,
IF(ISNUMBER(FIND("T6",B1663)),690,"")))),
"")</f>
        <v>440</v>
      </c>
    </row>
    <row r="1664" spans="1:7" x14ac:dyDescent="0.25">
      <c r="A1664">
        <v>16261918</v>
      </c>
      <c r="B1664" t="str">
        <f>VLOOKUP(A1664,Planilha2!B:C,2,0)</f>
        <v>INVERSOR CFW700E0211T4DB55C3DSS2</v>
      </c>
      <c r="C1664" t="s">
        <v>3170</v>
      </c>
      <c r="D1664" t="str">
        <f>VLOOKUP(A1664,Planilha2!B:H,7,0)</f>
        <v>OBSOLETOS DRIVES</v>
      </c>
      <c r="E1664" s="5">
        <v>100300</v>
      </c>
      <c r="F1664" t="str">
        <f>IFERROR(
IF(ISNUMBER(FIND("CFW110",B1664)),
VALUE(MID(B1664,FIND("CFW110",B1664)+6,FIND("T",B1664,FIND("CFW110",B1664))-(FIND("CFW110",B1664)+6))),
IF(ISNUMBER(FIND("D",B1664)),
VALUE(SUBSTITUTE(MID(B1664,FIND("D",B1664)+1,FIND("T",B1664,FIND("D",B1664))-(FIND("D",B1664)+1)),"P",",")),
IF(ISNUMBER(FIND("CFW5",B1664)),
VALUE(MID(B1664,
IF(ISNUMBER(FIND("F",B1664)),FIND("F",B1664)+1,FIND("G",B1664)+1),
FIND("T",B1664)-(IF(ISNUMBER(FIND("F",B1664)),FIND("F",B1664)+1,FIND("G",B1664)+1))
)),
VALUE(MID(B1664,FIND("E0",B1664)+2,FIND("T",B1664,FIND("E0",B1664))-(FIND("E0",B1664)+2)))
))),"")</f>
        <v/>
      </c>
      <c r="G1664">
        <f>IFERROR(
IF(ISNUMBER(FIND("T2",B1664)),220,
IF(ISNUMBER(FIND("T4",B1664)),440,
IF(ISNUMBER(FIND("T5",B1664)),575,
IF(ISNUMBER(FIND("T6",B1664)),690,"")))),
"")</f>
        <v>440</v>
      </c>
    </row>
    <row r="1665" spans="1:7" x14ac:dyDescent="0.25">
      <c r="A1665">
        <v>14623568</v>
      </c>
      <c r="B1665" t="str">
        <f>VLOOKUP(A1665,Planilha2!B:C,2,0)</f>
        <v>INVERSOR CFW701E0142T4NB20C3Y1</v>
      </c>
      <c r="C1665" t="s">
        <v>3170</v>
      </c>
      <c r="D1665" t="str">
        <f>VLOOKUP(A1665,Planilha2!B:H,7,0)</f>
        <v>OBSOLETOS DRIVES</v>
      </c>
      <c r="E1665" s="5">
        <v>65308</v>
      </c>
      <c r="F1665">
        <f>IFERROR(
IF(ISNUMBER(FIND("CFW110",B1665)),
VALUE(MID(B1665,FIND("CFW110",B1665)+6,FIND("T",B1665,FIND("CFW110",B1665))-(FIND("CFW110",B1665)+6))),
IF(ISNUMBER(FIND("D",B1665)),
VALUE(SUBSTITUTE(MID(B1665,FIND("D",B1665)+1,FIND("T",B1665,FIND("D",B1665))-(FIND("D",B1665)+1)),"P",",")),
IF(ISNUMBER(FIND("CFW5",B1665)),
VALUE(MID(B1665,
IF(ISNUMBER(FIND("F",B1665)),FIND("F",B1665)+1,FIND("G",B1665)+1),
FIND("T",B1665)-(IF(ISNUMBER(FIND("F",B1665)),FIND("F",B1665)+1,FIND("G",B1665)+1))
)),
VALUE(MID(B1665,FIND("E0",B1665)+2,FIND("T",B1665,FIND("E0",B1665))-(FIND("E0",B1665)+2)))
))),"")</f>
        <v>142</v>
      </c>
      <c r="G1665">
        <f>IFERROR(
IF(ISNUMBER(FIND("T2",B1665)),220,
IF(ISNUMBER(FIND("T4",B1665)),440,
IF(ISNUMBER(FIND("T5",B1665)),575,
IF(ISNUMBER(FIND("T6",B1665)),690,"")))),
"")</f>
        <v>440</v>
      </c>
    </row>
    <row r="1666" spans="1:7" x14ac:dyDescent="0.25">
      <c r="A1666">
        <v>16379429</v>
      </c>
      <c r="B1666" t="str">
        <f>VLOOKUP(A1666,Planilha2!B:C,2,0)</f>
        <v>INVERSOR BRCFW110211T2OYECZ</v>
      </c>
      <c r="C1666" t="s">
        <v>3170</v>
      </c>
      <c r="D1666" t="str">
        <f>VLOOKUP(A1666,Planilha2!B:H,7,0)</f>
        <v>LINHA G1</v>
      </c>
      <c r="E1666" s="5">
        <v>67000</v>
      </c>
      <c r="F1666">
        <f>IFERROR(
IF(ISNUMBER(FIND("CFW110",B1666)),
VALUE(MID(B1666,FIND("CFW110",B1666)+6,FIND("T",B1666,FIND("CFW110",B1666))-(FIND("CFW110",B1666)+6))),
IF(ISNUMBER(FIND("D",B1666)),
VALUE(SUBSTITUTE(MID(B1666,FIND("D",B1666)+1,FIND("T",B1666,FIND("D",B1666))-(FIND("D",B1666)+1)),"P",",")),
IF(ISNUMBER(FIND("CFW5",B1666)),
VALUE(MID(B1666,
IF(ISNUMBER(FIND("F",B1666)),FIND("F",B1666)+1,FIND("G",B1666)+1),
FIND("T",B1666)-(IF(ISNUMBER(FIND("F",B1666)),FIND("F",B1666)+1,FIND("G",B1666)+1))
)),
VALUE(MID(B1666,FIND("E0",B1666)+2,FIND("T",B1666,FIND("E0",B1666))-(FIND("E0",B1666)+2)))
))),"")</f>
        <v>211</v>
      </c>
      <c r="G1666">
        <f>IFERROR(
IF(ISNUMBER(FIND("T2",B1666)),220,
IF(ISNUMBER(FIND("T4",B1666)),440,
IF(ISNUMBER(FIND("T5",B1666)),575,
IF(ISNUMBER(FIND("T6",B1666)),690,"")))),
"")</f>
        <v>220</v>
      </c>
    </row>
    <row r="1667" spans="1:7" x14ac:dyDescent="0.25">
      <c r="A1667">
        <v>16440788</v>
      </c>
      <c r="B1667" t="str">
        <f>VLOOKUP(A1667,Planilha2!B:C,2,0)</f>
        <v>INVERSOR EUCFW110142T4O55YWZ</v>
      </c>
      <c r="C1667" t="s">
        <v>3170</v>
      </c>
      <c r="D1667" t="str">
        <f>VLOOKUP(A1667,Planilha2!B:H,7,0)</f>
        <v>LINHA E1</v>
      </c>
      <c r="E1667" s="5">
        <v>64000</v>
      </c>
      <c r="F1667">
        <f>IFERROR(
IF(ISNUMBER(FIND("CFW110",B1667)),
VALUE(MID(B1667,FIND("CFW110",B1667)+6,FIND("T",B1667,FIND("CFW110",B1667))-(FIND("CFW110",B1667)+6))),
IF(ISNUMBER(FIND("D",B1667)),
VALUE(SUBSTITUTE(MID(B1667,FIND("D",B1667)+1,FIND("T",B1667,FIND("D",B1667))-(FIND("D",B1667)+1)),"P",",")),
IF(ISNUMBER(FIND("CFW5",B1667)),
VALUE(MID(B1667,
IF(ISNUMBER(FIND("F",B1667)),FIND("F",B1667)+1,FIND("G",B1667)+1),
FIND("T",B1667)-(IF(ISNUMBER(FIND("F",B1667)),FIND("F",B1667)+1,FIND("G",B1667)+1))
)),
VALUE(MID(B1667,FIND("E0",B1667)+2,FIND("T",B1667,FIND("E0",B1667))-(FIND("E0",B1667)+2)))
))),"")</f>
        <v>142</v>
      </c>
      <c r="G1667">
        <f>IFERROR(
IF(ISNUMBER(FIND("T2",B1667)),220,
IF(ISNUMBER(FIND("T4",B1667)),440,
IF(ISNUMBER(FIND("T5",B1667)),575,
IF(ISNUMBER(FIND("T6",B1667)),690,"")))),
"")</f>
        <v>440</v>
      </c>
    </row>
    <row r="1668" spans="1:7" x14ac:dyDescent="0.25">
      <c r="A1668">
        <v>16480407</v>
      </c>
      <c r="B1668" t="str">
        <f>VLOOKUP(A1668,Planilha2!B:C,2,0)</f>
        <v>INVERSOR EUCFW110211T4OH2ALS9Z-UI</v>
      </c>
      <c r="C1668" t="s">
        <v>3170</v>
      </c>
      <c r="D1668" t="str">
        <f>VLOOKUP(A1668,Planilha2!B:H,7,0)</f>
        <v>LINHA G1</v>
      </c>
      <c r="E1668" s="5">
        <v>67900</v>
      </c>
      <c r="F1668">
        <f>IFERROR(
IF(ISNUMBER(FIND("CFW110",B1668)),
VALUE(MID(B1668,FIND("CFW110",B1668)+6,FIND("T",B1668,FIND("CFW110",B1668))-(FIND("CFW110",B1668)+6))),
IF(ISNUMBER(FIND("D",B1668)),
VALUE(SUBSTITUTE(MID(B1668,FIND("D",B1668)+1,FIND("T",B1668,FIND("D",B1668))-(FIND("D",B1668)+1)),"P",",")),
IF(ISNUMBER(FIND("CFW5",B1668)),
VALUE(MID(B1668,
IF(ISNUMBER(FIND("F",B1668)),FIND("F",B1668)+1,FIND("G",B1668)+1),
FIND("T",B1668)-(IF(ISNUMBER(FIND("F",B1668)),FIND("F",B1668)+1,FIND("G",B1668)+1))
)),
VALUE(MID(B1668,FIND("E0",B1668)+2,FIND("T",B1668,FIND("E0",B1668))-(FIND("E0",B1668)+2)))
))),"")</f>
        <v>211</v>
      </c>
      <c r="G1668">
        <f>IFERROR(
IF(ISNUMBER(FIND("T2",B1668)),220,
IF(ISNUMBER(FIND("T4",B1668)),440,
IF(ISNUMBER(FIND("T5",B1668)),575,
IF(ISNUMBER(FIND("T6",B1668)),690,"")))),
"")</f>
        <v>440</v>
      </c>
    </row>
    <row r="1669" spans="1:7" x14ac:dyDescent="0.25">
      <c r="A1669">
        <v>15841303</v>
      </c>
      <c r="B1669" t="str">
        <f>VLOOKUP(A1669,Planilha2!B:C,2,0)</f>
        <v>INVERSOR EUCFW110211T4ODB55DSYZ</v>
      </c>
      <c r="C1669" t="s">
        <v>3170</v>
      </c>
      <c r="D1669" t="str">
        <f>VLOOKUP(A1669,Planilha2!B:H,7,0)</f>
        <v>LINHA E1</v>
      </c>
      <c r="E1669" t="s">
        <v>3172</v>
      </c>
      <c r="F1669">
        <f>IFERROR(
IF(ISNUMBER(FIND("CFW110",B1669)),
VALUE(MID(B1669,FIND("CFW110",B1669)+6,FIND("T",B1669,FIND("CFW110",B1669))-(FIND("CFW110",B1669)+6))),
IF(ISNUMBER(FIND("D",B1669)),
VALUE(SUBSTITUTE(MID(B1669,FIND("D",B1669)+1,FIND("T",B1669,FIND("D",B1669))-(FIND("D",B1669)+1)),"P",",")),
IF(ISNUMBER(FIND("CFW5",B1669)),
VALUE(MID(B1669,
IF(ISNUMBER(FIND("F",B1669)),FIND("F",B1669)+1,FIND("G",B1669)+1),
FIND("T",B1669)-(IF(ISNUMBER(FIND("F",B1669)),FIND("F",B1669)+1,FIND("G",B1669)+1))
)),
VALUE(MID(B1669,FIND("E0",B1669)+2,FIND("T",B1669,FIND("E0",B1669))-(FIND("E0",B1669)+2)))
))),"")</f>
        <v>211</v>
      </c>
      <c r="G1669">
        <f>IFERROR(
IF(ISNUMBER(FIND("T2",B1669)),220,
IF(ISNUMBER(FIND("T4",B1669)),440,
IF(ISNUMBER(FIND("T5",B1669)),575,
IF(ISNUMBER(FIND("T6",B1669)),690,"")))),
"")</f>
        <v>440</v>
      </c>
    </row>
    <row r="1670" spans="1:7" x14ac:dyDescent="0.25">
      <c r="A1670">
        <v>15841300</v>
      </c>
      <c r="B1670" t="str">
        <f>VLOOKUP(A1670,Planilha2!B:C,2,0)</f>
        <v>INVERSOR EUCFW110180T4ODB55DSYZ</v>
      </c>
      <c r="C1670" t="s">
        <v>3170</v>
      </c>
      <c r="D1670" t="str">
        <f>VLOOKUP(A1670,Planilha2!B:H,7,0)</f>
        <v>LINHA E1</v>
      </c>
      <c r="E1670" t="s">
        <v>3172</v>
      </c>
      <c r="F1670">
        <f>IFERROR(
IF(ISNUMBER(FIND("CFW110",B1670)),
VALUE(MID(B1670,FIND("CFW110",B1670)+6,FIND("T",B1670,FIND("CFW110",B1670))-(FIND("CFW110",B1670)+6))),
IF(ISNUMBER(FIND("D",B1670)),
VALUE(SUBSTITUTE(MID(B1670,FIND("D",B1670)+1,FIND("T",B1670,FIND("D",B1670))-(FIND("D",B1670)+1)),"P",",")),
IF(ISNUMBER(FIND("CFW5",B1670)),
VALUE(MID(B1670,
IF(ISNUMBER(FIND("F",B1670)),FIND("F",B1670)+1,FIND("G",B1670)+1),
FIND("T",B1670)-(IF(ISNUMBER(FIND("F",B1670)),FIND("F",B1670)+1,FIND("G",B1670)+1))
)),
VALUE(MID(B1670,FIND("E0",B1670)+2,FIND("T",B1670,FIND("E0",B1670))-(FIND("E0",B1670)+2)))
))),"")</f>
        <v>180</v>
      </c>
      <c r="G1670">
        <f>IFERROR(
IF(ISNUMBER(FIND("T2",B1670)),220,
IF(ISNUMBER(FIND("T4",B1670)),440,
IF(ISNUMBER(FIND("T5",B1670)),575,
IF(ISNUMBER(FIND("T6",B1670)),690,"")))),
"")</f>
        <v>440</v>
      </c>
    </row>
    <row r="1671" spans="1:7" x14ac:dyDescent="0.25">
      <c r="A1671">
        <v>15840797</v>
      </c>
      <c r="B1671" t="str">
        <f>VLOOKUP(A1671,Planilha2!B:C,2,0)</f>
        <v>INVERSOR EUCFW110105T4ODB55DSYZ</v>
      </c>
      <c r="C1671" t="s">
        <v>3170</v>
      </c>
      <c r="D1671" t="str">
        <f>VLOOKUP(A1671,Planilha2!B:H,7,0)</f>
        <v>LINHA E1</v>
      </c>
      <c r="E1671" t="s">
        <v>3172</v>
      </c>
      <c r="F1671">
        <f>IFERROR(
IF(ISNUMBER(FIND("CFW110",B1671)),
VALUE(MID(B1671,FIND("CFW110",B1671)+6,FIND("T",B1671,FIND("CFW110",B1671))-(FIND("CFW110",B1671)+6))),
IF(ISNUMBER(FIND("D",B1671)),
VALUE(SUBSTITUTE(MID(B1671,FIND("D",B1671)+1,FIND("T",B1671,FIND("D",B1671))-(FIND("D",B1671)+1)),"P",",")),
IF(ISNUMBER(FIND("CFW5",B1671)),
VALUE(MID(B1671,
IF(ISNUMBER(FIND("F",B1671)),FIND("F",B1671)+1,FIND("G",B1671)+1),
FIND("T",B1671)-(IF(ISNUMBER(FIND("F",B1671)),FIND("F",B1671)+1,FIND("G",B1671)+1))
)),
VALUE(MID(B1671,FIND("E0",B1671)+2,FIND("T",B1671,FIND("E0",B1671))-(FIND("E0",B1671)+2)))
))),"")</f>
        <v>105</v>
      </c>
      <c r="G1671">
        <f>IFERROR(
IF(ISNUMBER(FIND("T2",B1671)),220,
IF(ISNUMBER(FIND("T4",B1671)),440,
IF(ISNUMBER(FIND("T5",B1671)),575,
IF(ISNUMBER(FIND("T6",B1671)),690,"")))),
"")</f>
        <v>440</v>
      </c>
    </row>
    <row r="1672" spans="1:7" x14ac:dyDescent="0.25">
      <c r="A1672">
        <v>16469481</v>
      </c>
      <c r="B1672" t="str">
        <f>VLOOKUP(A1672,Planilha2!B:C,2,0)</f>
        <v>INVERSOR EUCFW110211T4OH2ALS9Z</v>
      </c>
      <c r="C1672" t="s">
        <v>3170</v>
      </c>
      <c r="D1672" t="str">
        <f>VLOOKUP(A1672,Planilha2!B:H,7,0)</f>
        <v>LINHA G1</v>
      </c>
      <c r="E1672" s="5">
        <v>67900</v>
      </c>
      <c r="F1672">
        <f>IFERROR(
IF(ISNUMBER(FIND("CFW110",B1672)),
VALUE(MID(B1672,FIND("CFW110",B1672)+6,FIND("T",B1672,FIND("CFW110",B1672))-(FIND("CFW110",B1672)+6))),
IF(ISNUMBER(FIND("D",B1672)),
VALUE(SUBSTITUTE(MID(B1672,FIND("D",B1672)+1,FIND("T",B1672,FIND("D",B1672))-(FIND("D",B1672)+1)),"P",",")),
IF(ISNUMBER(FIND("CFW5",B1672)),
VALUE(MID(B1672,
IF(ISNUMBER(FIND("F",B1672)),FIND("F",B1672)+1,FIND("G",B1672)+1),
FIND("T",B1672)-(IF(ISNUMBER(FIND("F",B1672)),FIND("F",B1672)+1,FIND("G",B1672)+1))
)),
VALUE(MID(B1672,FIND("E0",B1672)+2,FIND("T",B1672,FIND("E0",B1672))-(FIND("E0",B1672)+2)))
))),"")</f>
        <v>211</v>
      </c>
      <c r="G1672">
        <f>IFERROR(
IF(ISNUMBER(FIND("T2",B1672)),220,
IF(ISNUMBER(FIND("T4",B1672)),440,
IF(ISNUMBER(FIND("T5",B1672)),575,
IF(ISNUMBER(FIND("T6",B1672)),690,"")))),
"")</f>
        <v>440</v>
      </c>
    </row>
    <row r="1673" spans="1:7" x14ac:dyDescent="0.25">
      <c r="A1673">
        <v>16494932</v>
      </c>
      <c r="B1673" t="str">
        <f>VLOOKUP(A1673,Planilha2!B:C,2,0)</f>
        <v>INVERSOR BRCFW110180T2OH4Z</v>
      </c>
      <c r="C1673" t="s">
        <v>3170</v>
      </c>
      <c r="D1673" t="str">
        <f>VLOOKUP(A1673,Planilha2!B:H,7,0)</f>
        <v>LINHA G1</v>
      </c>
      <c r="E1673" s="5">
        <v>67129</v>
      </c>
      <c r="F1673">
        <f>IFERROR(
IF(ISNUMBER(FIND("CFW110",B1673)),
VALUE(MID(B1673,FIND("CFW110",B1673)+6,FIND("T",B1673,FIND("CFW110",B1673))-(FIND("CFW110",B1673)+6))),
IF(ISNUMBER(FIND("D",B1673)),
VALUE(SUBSTITUTE(MID(B1673,FIND("D",B1673)+1,FIND("T",B1673,FIND("D",B1673))-(FIND("D",B1673)+1)),"P",",")),
IF(ISNUMBER(FIND("CFW5",B1673)),
VALUE(MID(B1673,
IF(ISNUMBER(FIND("F",B1673)),FIND("F",B1673)+1,FIND("G",B1673)+1),
FIND("T",B1673)-(IF(ISNUMBER(FIND("F",B1673)),FIND("F",B1673)+1,FIND("G",B1673)+1))
)),
VALUE(MID(B1673,FIND("E0",B1673)+2,FIND("T",B1673,FIND("E0",B1673))-(FIND("E0",B1673)+2)))
))),"")</f>
        <v>180</v>
      </c>
      <c r="G1673">
        <f>IFERROR(
IF(ISNUMBER(FIND("T2",B1673)),220,
IF(ISNUMBER(FIND("T4",B1673)),440,
IF(ISNUMBER(FIND("T5",B1673)),575,
IF(ISNUMBER(FIND("T6",B1673)),690,"")))),
"")</f>
        <v>220</v>
      </c>
    </row>
    <row r="1674" spans="1:7" x14ac:dyDescent="0.25">
      <c r="A1674">
        <v>16643110</v>
      </c>
      <c r="B1674" t="str">
        <f>VLOOKUP(A1674,Planilha2!B:C,2,0)</f>
        <v>INVERSOR BRCFW110180T4OSSZ</v>
      </c>
      <c r="C1674" t="s">
        <v>3170</v>
      </c>
      <c r="D1674" t="str">
        <f>VLOOKUP(A1674,Planilha2!B:H,7,0)</f>
        <v>LINHA G1</v>
      </c>
      <c r="E1674" s="5">
        <v>65000</v>
      </c>
      <c r="F1674">
        <f>IFERROR(
IF(ISNUMBER(FIND("CFW110",B1674)),
VALUE(MID(B1674,FIND("CFW110",B1674)+6,FIND("T",B1674,FIND("CFW110",B1674))-(FIND("CFW110",B1674)+6))),
IF(ISNUMBER(FIND("D",B1674)),
VALUE(SUBSTITUTE(MID(B1674,FIND("D",B1674)+1,FIND("T",B1674,FIND("D",B1674))-(FIND("D",B1674)+1)),"P",",")),
IF(ISNUMBER(FIND("CFW5",B1674)),
VALUE(MID(B1674,
IF(ISNUMBER(FIND("F",B1674)),FIND("F",B1674)+1,FIND("G",B1674)+1),
FIND("T",B1674)-(IF(ISNUMBER(FIND("F",B1674)),FIND("F",B1674)+1,FIND("G",B1674)+1))
)),
VALUE(MID(B1674,FIND("E0",B1674)+2,FIND("T",B1674,FIND("E0",B1674))-(FIND("E0",B1674)+2)))
))),"")</f>
        <v>180</v>
      </c>
      <c r="G1674">
        <f>IFERROR(
IF(ISNUMBER(FIND("T2",B1674)),220,
IF(ISNUMBER(FIND("T4",B1674)),440,
IF(ISNUMBER(FIND("T5",B1674)),575,
IF(ISNUMBER(FIND("T6",B1674)),690,"")))),
"")</f>
        <v>440</v>
      </c>
    </row>
    <row r="1675" spans="1:7" x14ac:dyDescent="0.25">
      <c r="A1675">
        <v>12144787</v>
      </c>
      <c r="B1675" t="str">
        <f>VLOOKUP(A1675,Planilha2!B:C,2,0)</f>
        <v>INVERSOR BRCFW110142T4ORBZ</v>
      </c>
      <c r="C1675" t="s">
        <v>3170</v>
      </c>
      <c r="D1675" t="str">
        <f>VLOOKUP(A1675,Planilha2!B:H,7,0)</f>
        <v>LINHA G1</v>
      </c>
      <c r="E1675" s="5">
        <v>59360</v>
      </c>
      <c r="F1675">
        <f>IFERROR(
IF(ISNUMBER(FIND("CFW110",B1675)),
VALUE(MID(B1675,FIND("CFW110",B1675)+6,FIND("T",B1675,FIND("CFW110",B1675))-(FIND("CFW110",B1675)+6))),
IF(ISNUMBER(FIND("D",B1675)),
VALUE(SUBSTITUTE(MID(B1675,FIND("D",B1675)+1,FIND("T",B1675,FIND("D",B1675))-(FIND("D",B1675)+1)),"P",",")),
IF(ISNUMBER(FIND("CFW5",B1675)),
VALUE(MID(B1675,
IF(ISNUMBER(FIND("F",B1675)),FIND("F",B1675)+1,FIND("G",B1675)+1),
FIND("T",B1675)-(IF(ISNUMBER(FIND("F",B1675)),FIND("F",B1675)+1,FIND("G",B1675)+1))
)),
VALUE(MID(B1675,FIND("E0",B1675)+2,FIND("T",B1675,FIND("E0",B1675))-(FIND("E0",B1675)+2)))
))),"")</f>
        <v>142</v>
      </c>
      <c r="G1675">
        <f>IFERROR(
IF(ISNUMBER(FIND("T2",B1675)),220,
IF(ISNUMBER(FIND("T4",B1675)),440,
IF(ISNUMBER(FIND("T5",B1675)),575,
IF(ISNUMBER(FIND("T6",B1675)),690,"")))),
"")</f>
        <v>440</v>
      </c>
    </row>
    <row r="1676" spans="1:7" x14ac:dyDescent="0.25">
      <c r="A1676">
        <v>16752066</v>
      </c>
      <c r="B1676" t="str">
        <f>VLOOKUP(A1676,Planilha2!B:C,2,0)</f>
        <v>INVERSOR BRCFW110211T4OWH1Z</v>
      </c>
      <c r="C1676" t="s">
        <v>3170</v>
      </c>
      <c r="D1676" t="str">
        <f>VLOOKUP(A1676,Planilha2!B:H,7,0)</f>
        <v>LINHA G1</v>
      </c>
      <c r="E1676" s="5">
        <v>67900</v>
      </c>
      <c r="F1676">
        <f>IFERROR(
IF(ISNUMBER(FIND("CFW110",B1676)),
VALUE(MID(B1676,FIND("CFW110",B1676)+6,FIND("T",B1676,FIND("CFW110",B1676))-(FIND("CFW110",B1676)+6))),
IF(ISNUMBER(FIND("D",B1676)),
VALUE(SUBSTITUTE(MID(B1676,FIND("D",B1676)+1,FIND("T",B1676,FIND("D",B1676))-(FIND("D",B1676)+1)),"P",",")),
IF(ISNUMBER(FIND("CFW5",B1676)),
VALUE(MID(B1676,
IF(ISNUMBER(FIND("F",B1676)),FIND("F",B1676)+1,FIND("G",B1676)+1),
FIND("T",B1676)-(IF(ISNUMBER(FIND("F",B1676)),FIND("F",B1676)+1,FIND("G",B1676)+1))
)),
VALUE(MID(B1676,FIND("E0",B1676)+2,FIND("T",B1676,FIND("E0",B1676))-(FIND("E0",B1676)+2)))
))),"")</f>
        <v>211</v>
      </c>
      <c r="G1676">
        <f>IFERROR(
IF(ISNUMBER(FIND("T2",B1676)),220,
IF(ISNUMBER(FIND("T4",B1676)),440,
IF(ISNUMBER(FIND("T5",B1676)),575,
IF(ISNUMBER(FIND("T6",B1676)),690,"")))),
"")</f>
        <v>440</v>
      </c>
    </row>
    <row r="1677" spans="1:7" x14ac:dyDescent="0.25">
      <c r="A1677">
        <v>14266407</v>
      </c>
      <c r="B1677" t="str">
        <f>VLOOKUP(A1677,Planilha2!B:C,2,0)</f>
        <v>INVERSOR BRCFW110211T4OSSZ</v>
      </c>
      <c r="C1677" t="s">
        <v>3170</v>
      </c>
      <c r="D1677" t="str">
        <f>VLOOKUP(A1677,Planilha2!B:H,7,0)</f>
        <v>LINHA G1</v>
      </c>
      <c r="E1677" s="5">
        <v>64210</v>
      </c>
      <c r="F1677">
        <f>IFERROR(
IF(ISNUMBER(FIND("CFW110",B1677)),
VALUE(MID(B1677,FIND("CFW110",B1677)+6,FIND("T",B1677,FIND("CFW110",B1677))-(FIND("CFW110",B1677)+6))),
IF(ISNUMBER(FIND("D",B1677)),
VALUE(SUBSTITUTE(MID(B1677,FIND("D",B1677)+1,FIND("T",B1677,FIND("D",B1677))-(FIND("D",B1677)+1)),"P",",")),
IF(ISNUMBER(FIND("CFW5",B1677)),
VALUE(MID(B1677,
IF(ISNUMBER(FIND("F",B1677)),FIND("F",B1677)+1,FIND("G",B1677)+1),
FIND("T",B1677)-(IF(ISNUMBER(FIND("F",B1677)),FIND("F",B1677)+1,FIND("G",B1677)+1))
)),
VALUE(MID(B1677,FIND("E0",B1677)+2,FIND("T",B1677,FIND("E0",B1677))-(FIND("E0",B1677)+2)))
))),"")</f>
        <v>211</v>
      </c>
      <c r="G1677">
        <f>IFERROR(
IF(ISNUMBER(FIND("T2",B1677)),220,
IF(ISNUMBER(FIND("T4",B1677)),440,
IF(ISNUMBER(FIND("T5",B1677)),575,
IF(ISNUMBER(FIND("T6",B1677)),690,"")))),
"")</f>
        <v>440</v>
      </c>
    </row>
    <row r="1678" spans="1:7" x14ac:dyDescent="0.25">
      <c r="A1678">
        <v>16780085</v>
      </c>
      <c r="B1678" t="str">
        <f>VLOOKUP(A1678,Planilha2!B:C,2,0)</f>
        <v>INVERSOR BRCFW110211T4OWH1Z-UI</v>
      </c>
      <c r="C1678" t="s">
        <v>3170</v>
      </c>
      <c r="D1678" t="str">
        <f>VLOOKUP(A1678,Planilha2!B:H,7,0)</f>
        <v>LINHA G1</v>
      </c>
      <c r="E1678" s="5">
        <v>67900</v>
      </c>
      <c r="F1678">
        <f>IFERROR(
IF(ISNUMBER(FIND("CFW110",B1678)),
VALUE(MID(B1678,FIND("CFW110",B1678)+6,FIND("T",B1678,FIND("CFW110",B1678))-(FIND("CFW110",B1678)+6))),
IF(ISNUMBER(FIND("D",B1678)),
VALUE(SUBSTITUTE(MID(B1678,FIND("D",B1678)+1,FIND("T",B1678,FIND("D",B1678))-(FIND("D",B1678)+1)),"P",",")),
IF(ISNUMBER(FIND("CFW5",B1678)),
VALUE(MID(B1678,
IF(ISNUMBER(FIND("F",B1678)),FIND("F",B1678)+1,FIND("G",B1678)+1),
FIND("T",B1678)-(IF(ISNUMBER(FIND("F",B1678)),FIND("F",B1678)+1,FIND("G",B1678)+1))
)),
VALUE(MID(B1678,FIND("E0",B1678)+2,FIND("T",B1678,FIND("E0",B1678))-(FIND("E0",B1678)+2)))
))),"")</f>
        <v>211</v>
      </c>
      <c r="G1678">
        <f>IFERROR(
IF(ISNUMBER(FIND("T2",B1678)),220,
IF(ISNUMBER(FIND("T4",B1678)),440,
IF(ISNUMBER(FIND("T5",B1678)),575,
IF(ISNUMBER(FIND("T6",B1678)),690,"")))),
"")</f>
        <v>440</v>
      </c>
    </row>
    <row r="1679" spans="1:7" x14ac:dyDescent="0.25">
      <c r="A1679">
        <v>16779948</v>
      </c>
      <c r="B1679" t="str">
        <f>VLOOKUP(A1679,Planilha2!B:C,2,0)</f>
        <v>INVERSOR EUCFW110180T4OYZ-UI</v>
      </c>
      <c r="C1679" t="s">
        <v>3170</v>
      </c>
      <c r="D1679" t="str">
        <f>VLOOKUP(A1679,Planilha2!B:H,7,0)</f>
        <v>LINHA G1</v>
      </c>
      <c r="E1679" s="5">
        <v>65000</v>
      </c>
      <c r="F1679">
        <f>IFERROR(
IF(ISNUMBER(FIND("CFW110",B1679)),
VALUE(MID(B1679,FIND("CFW110",B1679)+6,FIND("T",B1679,FIND("CFW110",B1679))-(FIND("CFW110",B1679)+6))),
IF(ISNUMBER(FIND("D",B1679)),
VALUE(SUBSTITUTE(MID(B1679,FIND("D",B1679)+1,FIND("T",B1679,FIND("D",B1679))-(FIND("D",B1679)+1)),"P",",")),
IF(ISNUMBER(FIND("CFW5",B1679)),
VALUE(MID(B1679,
IF(ISNUMBER(FIND("F",B1679)),FIND("F",B1679)+1,FIND("G",B1679)+1),
FIND("T",B1679)-(IF(ISNUMBER(FIND("F",B1679)),FIND("F",B1679)+1,FIND("G",B1679)+1))
)),
VALUE(MID(B1679,FIND("E0",B1679)+2,FIND("T",B1679,FIND("E0",B1679))-(FIND("E0",B1679)+2)))
))),"")</f>
        <v>180</v>
      </c>
      <c r="G1679">
        <f>IFERROR(
IF(ISNUMBER(FIND("T2",B1679)),220,
IF(ISNUMBER(FIND("T4",B1679)),440,
IF(ISNUMBER(FIND("T5",B1679)),575,
IF(ISNUMBER(FIND("T6",B1679)),690,"")))),
"")</f>
        <v>440</v>
      </c>
    </row>
    <row r="1680" spans="1:7" x14ac:dyDescent="0.25">
      <c r="A1680">
        <v>16759696</v>
      </c>
      <c r="B1680" t="str">
        <f>VLOOKUP(A1680,Planilha2!B:C,2,0)</f>
        <v>INVERSOR NACFW110080T6ON1YH4TVZ</v>
      </c>
      <c r="C1680" t="s">
        <v>3170</v>
      </c>
      <c r="D1680" t="str">
        <f>VLOOKUP(A1680,Planilha2!B:H,7,0)</f>
        <v>LINHA G1</v>
      </c>
      <c r="E1680" s="5">
        <v>60360</v>
      </c>
      <c r="F1680">
        <f>IFERROR(
IF(ISNUMBER(FIND("CFW110",B1680)),
VALUE(MID(B1680,FIND("CFW110",B1680)+6,FIND("T",B1680,FIND("CFW110",B1680))-(FIND("CFW110",B1680)+6))),
IF(ISNUMBER(FIND("D",B1680)),
VALUE(SUBSTITUTE(MID(B1680,FIND("D",B1680)+1,FIND("T",B1680,FIND("D",B1680))-(FIND("D",B1680)+1)),"P",",")),
IF(ISNUMBER(FIND("CFW5",B1680)),
VALUE(MID(B1680,
IF(ISNUMBER(FIND("F",B1680)),FIND("F",B1680)+1,FIND("G",B1680)+1),
FIND("T",B1680)-(IF(ISNUMBER(FIND("F",B1680)),FIND("F",B1680)+1,FIND("G",B1680)+1))
)),
VALUE(MID(B1680,FIND("E0",B1680)+2,FIND("T",B1680,FIND("E0",B1680))-(FIND("E0",B1680)+2)))
))),"")</f>
        <v>80</v>
      </c>
      <c r="G1680">
        <f>IFERROR(
IF(ISNUMBER(FIND("T2",B1680)),220,
IF(ISNUMBER(FIND("T4",B1680)),440,
IF(ISNUMBER(FIND("T5",B1680)),575,
IF(ISNUMBER(FIND("T6",B1680)),690,"")))),
"")</f>
        <v>690</v>
      </c>
    </row>
    <row r="1681" spans="1:7" x14ac:dyDescent="0.25">
      <c r="A1681">
        <v>12759375</v>
      </c>
      <c r="B1681" t="str">
        <f>VLOOKUP(A1681,Planilha2!B:C,2,0)</f>
        <v>INVERSOR BRCFW110211T4OH1Z</v>
      </c>
      <c r="C1681" t="s">
        <v>3170</v>
      </c>
      <c r="D1681" t="str">
        <f>VLOOKUP(A1681,Planilha2!B:H,7,0)</f>
        <v>LINHA G1</v>
      </c>
      <c r="E1681" s="5">
        <v>67900</v>
      </c>
      <c r="F1681">
        <f>IFERROR(
IF(ISNUMBER(FIND("CFW110",B1681)),
VALUE(MID(B1681,FIND("CFW110",B1681)+6,FIND("T",B1681,FIND("CFW110",B1681))-(FIND("CFW110",B1681)+6))),
IF(ISNUMBER(FIND("D",B1681)),
VALUE(SUBSTITUTE(MID(B1681,FIND("D",B1681)+1,FIND("T",B1681,FIND("D",B1681))-(FIND("D",B1681)+1)),"P",",")),
IF(ISNUMBER(FIND("CFW5",B1681)),
VALUE(MID(B1681,
IF(ISNUMBER(FIND("F",B1681)),FIND("F",B1681)+1,FIND("G",B1681)+1),
FIND("T",B1681)-(IF(ISNUMBER(FIND("F",B1681)),FIND("F",B1681)+1,FIND("G",B1681)+1))
)),
VALUE(MID(B1681,FIND("E0",B1681)+2,FIND("T",B1681,FIND("E0",B1681))-(FIND("E0",B1681)+2)))
))),"")</f>
        <v>211</v>
      </c>
      <c r="G1681">
        <f>IFERROR(
IF(ISNUMBER(FIND("T2",B1681)),220,
IF(ISNUMBER(FIND("T4",B1681)),440,
IF(ISNUMBER(FIND("T5",B1681)),575,
IF(ISNUMBER(FIND("T6",B1681)),690,"")))),
"")</f>
        <v>440</v>
      </c>
    </row>
    <row r="1682" spans="1:7" x14ac:dyDescent="0.25">
      <c r="A1682">
        <v>15421481</v>
      </c>
      <c r="B1682" t="str">
        <f>VLOOKUP(A1682,Planilha2!B:C,2,0)</f>
        <v>INVERSOR BRCFW110105T4ODCZ</v>
      </c>
      <c r="C1682" t="s">
        <v>3170</v>
      </c>
      <c r="D1682" t="str">
        <f>VLOOKUP(A1682,Planilha2!B:H,7,0)</f>
        <v>LINHA G1</v>
      </c>
      <c r="E1682" s="5">
        <v>50000</v>
      </c>
      <c r="F1682">
        <f>IFERROR(
IF(ISNUMBER(FIND("CFW110",B1682)),
VALUE(MID(B1682,FIND("CFW110",B1682)+6,FIND("T",B1682,FIND("CFW110",B1682))-(FIND("CFW110",B1682)+6))),
IF(ISNUMBER(FIND("D",B1682)),
VALUE(SUBSTITUTE(MID(B1682,FIND("D",B1682)+1,FIND("T",B1682,FIND("D",B1682))-(FIND("D",B1682)+1)),"P",",")),
IF(ISNUMBER(FIND("CFW5",B1682)),
VALUE(MID(B1682,
IF(ISNUMBER(FIND("F",B1682)),FIND("F",B1682)+1,FIND("G",B1682)+1),
FIND("T",B1682)-(IF(ISNUMBER(FIND("F",B1682)),FIND("F",B1682)+1,FIND("G",B1682)+1))
)),
VALUE(MID(B1682,FIND("E0",B1682)+2,FIND("T",B1682,FIND("E0",B1682))-(FIND("E0",B1682)+2)))
))),"")</f>
        <v>105</v>
      </c>
      <c r="G1682">
        <f>IFERROR(
IF(ISNUMBER(FIND("T2",B1682)),220,
IF(ISNUMBER(FIND("T4",B1682)),440,
IF(ISNUMBER(FIND("T5",B1682)),575,
IF(ISNUMBER(FIND("T6",B1682)),690,"")))),
"")</f>
        <v>440</v>
      </c>
    </row>
    <row r="1683" spans="1:7" x14ac:dyDescent="0.25">
      <c r="A1683">
        <v>16991316</v>
      </c>
      <c r="B1683" t="str">
        <f>VLOOKUP(A1683,Planilha2!B:C,2,0)</f>
        <v>INVERSOR BRCFW110053T6OYECZ</v>
      </c>
      <c r="C1683" t="s">
        <v>3170</v>
      </c>
      <c r="D1683" t="str">
        <f>VLOOKUP(A1683,Planilha2!B:H,7,0)</f>
        <v>LINHA G1</v>
      </c>
      <c r="E1683" s="5">
        <v>65000</v>
      </c>
      <c r="F1683">
        <f>IFERROR(
IF(ISNUMBER(FIND("CFW110",B1683)),
VALUE(MID(B1683,FIND("CFW110",B1683)+6,FIND("T",B1683,FIND("CFW110",B1683))-(FIND("CFW110",B1683)+6))),
IF(ISNUMBER(FIND("D",B1683)),
VALUE(SUBSTITUTE(MID(B1683,FIND("D",B1683)+1,FIND("T",B1683,FIND("D",B1683))-(FIND("D",B1683)+1)),"P",",")),
IF(ISNUMBER(FIND("CFW5",B1683)),
VALUE(MID(B1683,
IF(ISNUMBER(FIND("F",B1683)),FIND("F",B1683)+1,FIND("G",B1683)+1),
FIND("T",B1683)-(IF(ISNUMBER(FIND("F",B1683)),FIND("F",B1683)+1,FIND("G",B1683)+1))
)),
VALUE(MID(B1683,FIND("E0",B1683)+2,FIND("T",B1683,FIND("E0",B1683))-(FIND("E0",B1683)+2)))
))),"")</f>
        <v>53</v>
      </c>
      <c r="G1683">
        <f>IFERROR(
IF(ISNUMBER(FIND("T2",B1683)),220,
IF(ISNUMBER(FIND("T4",B1683)),440,
IF(ISNUMBER(FIND("T5",B1683)),575,
IF(ISNUMBER(FIND("T6",B1683)),690,"")))),
"")</f>
        <v>690</v>
      </c>
    </row>
    <row r="1684" spans="1:7" x14ac:dyDescent="0.25">
      <c r="A1684">
        <v>17008406</v>
      </c>
      <c r="B1684" t="str">
        <f>VLOOKUP(A1684,Planilha2!B:C,2,0)</f>
        <v>INVERSOR BRCFW110053T6OYECZ-UI</v>
      </c>
      <c r="C1684" t="s">
        <v>3170</v>
      </c>
      <c r="D1684" t="str">
        <f>VLOOKUP(A1684,Planilha2!B:H,7,0)</f>
        <v>LINHA G1</v>
      </c>
      <c r="E1684" s="5">
        <v>65000</v>
      </c>
      <c r="F1684">
        <f>IFERROR(
IF(ISNUMBER(FIND("CFW110",B1684)),
VALUE(MID(B1684,FIND("CFW110",B1684)+6,FIND("T",B1684,FIND("CFW110",B1684))-(FIND("CFW110",B1684)+6))),
IF(ISNUMBER(FIND("D",B1684)),
VALUE(SUBSTITUTE(MID(B1684,FIND("D",B1684)+1,FIND("T",B1684,FIND("D",B1684))-(FIND("D",B1684)+1)),"P",",")),
IF(ISNUMBER(FIND("CFW5",B1684)),
VALUE(MID(B1684,
IF(ISNUMBER(FIND("F",B1684)),FIND("F",B1684)+1,FIND("G",B1684)+1),
FIND("T",B1684)-(IF(ISNUMBER(FIND("F",B1684)),FIND("F",B1684)+1,FIND("G",B1684)+1))
)),
VALUE(MID(B1684,FIND("E0",B1684)+2,FIND("T",B1684,FIND("E0",B1684))-(FIND("E0",B1684)+2)))
))),"")</f>
        <v>53</v>
      </c>
      <c r="G1684">
        <f>IFERROR(
IF(ISNUMBER(FIND("T2",B1684)),220,
IF(ISNUMBER(FIND("T4",B1684)),440,
IF(ISNUMBER(FIND("T5",B1684)),575,
IF(ISNUMBER(FIND("T6",B1684)),690,"")))),
"")</f>
        <v>690</v>
      </c>
    </row>
    <row r="1685" spans="1:7" x14ac:dyDescent="0.25">
      <c r="A1685">
        <v>17128697</v>
      </c>
      <c r="B1685" t="str">
        <f>VLOOKUP(A1685,Planilha2!B:C,2,0)</f>
        <v>INVERSOR BRCFW110601T4ORBSQZ-UI</v>
      </c>
      <c r="C1685" t="s">
        <v>3170</v>
      </c>
      <c r="D1685" t="str">
        <f>VLOOKUP(A1685,Planilha2!B:H,7,0)</f>
        <v>LINHA G5</v>
      </c>
      <c r="E1685" s="5">
        <v>210368</v>
      </c>
      <c r="F1685">
        <f>IFERROR(
IF(ISNUMBER(FIND("CFW110",B1685)),
VALUE(MID(B1685,FIND("CFW110",B1685)+6,FIND("T",B1685,FIND("CFW110",B1685))-(FIND("CFW110",B1685)+6))),
IF(ISNUMBER(FIND("D",B1685)),
VALUE(SUBSTITUTE(MID(B1685,FIND("D",B1685)+1,FIND("T",B1685,FIND("D",B1685))-(FIND("D",B1685)+1)),"P",",")),
IF(ISNUMBER(FIND("CFW5",B1685)),
VALUE(MID(B1685,
IF(ISNUMBER(FIND("F",B1685)),FIND("F",B1685)+1,FIND("G",B1685)+1),
FIND("T",B1685)-(IF(ISNUMBER(FIND("F",B1685)),FIND("F",B1685)+1,FIND("G",B1685)+1))
)),
VALUE(MID(B1685,FIND("E0",B1685)+2,FIND("T",B1685,FIND("E0",B1685))-(FIND("E0",B1685)+2)))
))),"")</f>
        <v>601</v>
      </c>
      <c r="G1685">
        <f>IFERROR(
IF(ISNUMBER(FIND("T2",B1685)),220,
IF(ISNUMBER(FIND("T4",B1685)),440,
IF(ISNUMBER(FIND("T5",B1685)),575,
IF(ISNUMBER(FIND("T6",B1685)),690,"")))),
"")</f>
        <v>440</v>
      </c>
    </row>
    <row r="1686" spans="1:7" x14ac:dyDescent="0.25">
      <c r="A1686">
        <v>17128529</v>
      </c>
      <c r="B1686" t="str">
        <f>VLOOKUP(A1686,Planilha2!B:C,2,0)</f>
        <v>INVERSOR BRCFW110760T4ORBSQZ-UI</v>
      </c>
      <c r="C1686" t="s">
        <v>3170</v>
      </c>
      <c r="D1686" t="str">
        <f>VLOOKUP(A1686,Planilha2!B:H,7,0)</f>
        <v>LINHA G5</v>
      </c>
      <c r="E1686" s="5">
        <v>210368</v>
      </c>
      <c r="F1686">
        <f>IFERROR(
IF(ISNUMBER(FIND("CFW110",B1686)),
VALUE(MID(B1686,FIND("CFW110",B1686)+6,FIND("T",B1686,FIND("CFW110",B1686))-(FIND("CFW110",B1686)+6))),
IF(ISNUMBER(FIND("D",B1686)),
VALUE(SUBSTITUTE(MID(B1686,FIND("D",B1686)+1,FIND("T",B1686,FIND("D",B1686))-(FIND("D",B1686)+1)),"P",",")),
IF(ISNUMBER(FIND("CFW5",B1686)),
VALUE(MID(B1686,
IF(ISNUMBER(FIND("F",B1686)),FIND("F",B1686)+1,FIND("G",B1686)+1),
FIND("T",B1686)-(IF(ISNUMBER(FIND("F",B1686)),FIND("F",B1686)+1,FIND("G",B1686)+1))
)),
VALUE(MID(B1686,FIND("E0",B1686)+2,FIND("T",B1686,FIND("E0",B1686))-(FIND("E0",B1686)+2)))
))),"")</f>
        <v>760</v>
      </c>
      <c r="G1686">
        <f>IFERROR(
IF(ISNUMBER(FIND("T2",B1686)),220,
IF(ISNUMBER(FIND("T4",B1686)),440,
IF(ISNUMBER(FIND("T5",B1686)),575,
IF(ISNUMBER(FIND("T6",B1686)),690,"")))),
"")</f>
        <v>440</v>
      </c>
    </row>
    <row r="1687" spans="1:7" x14ac:dyDescent="0.25">
      <c r="A1687">
        <v>17123985</v>
      </c>
      <c r="B1687" t="str">
        <f>VLOOKUP(A1687,Planilha2!B:C,2,0)</f>
        <v>INVERSOR BRCFW110760T4ORBSQZ</v>
      </c>
      <c r="C1687" t="s">
        <v>3170</v>
      </c>
      <c r="D1687" t="str">
        <f>VLOOKUP(A1687,Planilha2!B:H,7,0)</f>
        <v>LINHA G5</v>
      </c>
      <c r="E1687" s="5">
        <v>210368</v>
      </c>
      <c r="F1687">
        <f>IFERROR(
IF(ISNUMBER(FIND("CFW110",B1687)),
VALUE(MID(B1687,FIND("CFW110",B1687)+6,FIND("T",B1687,FIND("CFW110",B1687))-(FIND("CFW110",B1687)+6))),
IF(ISNUMBER(FIND("D",B1687)),
VALUE(SUBSTITUTE(MID(B1687,FIND("D",B1687)+1,FIND("T",B1687,FIND("D",B1687))-(FIND("D",B1687)+1)),"P",",")),
IF(ISNUMBER(FIND("CFW5",B1687)),
VALUE(MID(B1687,
IF(ISNUMBER(FIND("F",B1687)),FIND("F",B1687)+1,FIND("G",B1687)+1),
FIND("T",B1687)-(IF(ISNUMBER(FIND("F",B1687)),FIND("F",B1687)+1,FIND("G",B1687)+1))
)),
VALUE(MID(B1687,FIND("E0",B1687)+2,FIND("T",B1687,FIND("E0",B1687))-(FIND("E0",B1687)+2)))
))),"")</f>
        <v>760</v>
      </c>
      <c r="G1687">
        <f>IFERROR(
IF(ISNUMBER(FIND("T2",B1687)),220,
IF(ISNUMBER(FIND("T4",B1687)),440,
IF(ISNUMBER(FIND("T5",B1687)),575,
IF(ISNUMBER(FIND("T6",B1687)),690,"")))),
"")</f>
        <v>440</v>
      </c>
    </row>
    <row r="1688" spans="1:7" x14ac:dyDescent="0.25">
      <c r="A1688">
        <v>17124158</v>
      </c>
      <c r="B1688" t="str">
        <f>VLOOKUP(A1688,Planilha2!B:C,2,0)</f>
        <v>INVERSOR BRCFW110601T4ORBSQZ</v>
      </c>
      <c r="C1688" t="s">
        <v>3170</v>
      </c>
      <c r="D1688" t="str">
        <f>VLOOKUP(A1688,Planilha2!B:H,7,0)</f>
        <v>LINHA G5</v>
      </c>
      <c r="E1688" s="5">
        <v>210368</v>
      </c>
      <c r="F1688">
        <f>IFERROR(
IF(ISNUMBER(FIND("CFW110",B1688)),
VALUE(MID(B1688,FIND("CFW110",B1688)+6,FIND("T",B1688,FIND("CFW110",B1688))-(FIND("CFW110",B1688)+6))),
IF(ISNUMBER(FIND("D",B1688)),
VALUE(SUBSTITUTE(MID(B1688,FIND("D",B1688)+1,FIND("T",B1688,FIND("D",B1688))-(FIND("D",B1688)+1)),"P",",")),
IF(ISNUMBER(FIND("CFW5",B1688)),
VALUE(MID(B1688,
IF(ISNUMBER(FIND("F",B1688)),FIND("F",B1688)+1,FIND("G",B1688)+1),
FIND("T",B1688)-(IF(ISNUMBER(FIND("F",B1688)),FIND("F",B1688)+1,FIND("G",B1688)+1))
)),
VALUE(MID(B1688,FIND("E0",B1688)+2,FIND("T",B1688,FIND("E0",B1688))-(FIND("E0",B1688)+2)))
))),"")</f>
        <v>601</v>
      </c>
      <c r="G1688">
        <f>IFERROR(
IF(ISNUMBER(FIND("T2",B1688)),220,
IF(ISNUMBER(FIND("T4",B1688)),440,
IF(ISNUMBER(FIND("T5",B1688)),575,
IF(ISNUMBER(FIND("T6",B1688)),690,"")))),
"")</f>
        <v>440</v>
      </c>
    </row>
    <row r="1689" spans="1:7" x14ac:dyDescent="0.25">
      <c r="A1689">
        <v>17161526</v>
      </c>
      <c r="B1689" t="str">
        <f>VLOOKUP(A1689,Planilha2!B:C,2,0)</f>
        <v>INVERSOR BRCFW110211T4OHALS9ECZ-UI</v>
      </c>
      <c r="C1689" t="s">
        <v>3170</v>
      </c>
      <c r="D1689" t="str">
        <f>VLOOKUP(A1689,Planilha2!B:H,7,0)</f>
        <v>LINHA G1</v>
      </c>
      <c r="E1689" s="5">
        <v>68288</v>
      </c>
      <c r="F1689">
        <f>IFERROR(
IF(ISNUMBER(FIND("CFW110",B1689)),
VALUE(MID(B1689,FIND("CFW110",B1689)+6,FIND("T",B1689,FIND("CFW110",B1689))-(FIND("CFW110",B1689)+6))),
IF(ISNUMBER(FIND("D",B1689)),
VALUE(SUBSTITUTE(MID(B1689,FIND("D",B1689)+1,FIND("T",B1689,FIND("D",B1689))-(FIND("D",B1689)+1)),"P",",")),
IF(ISNUMBER(FIND("CFW5",B1689)),
VALUE(MID(B1689,
IF(ISNUMBER(FIND("F",B1689)),FIND("F",B1689)+1,FIND("G",B1689)+1),
FIND("T",B1689)-(IF(ISNUMBER(FIND("F",B1689)),FIND("F",B1689)+1,FIND("G",B1689)+1))
)),
VALUE(MID(B1689,FIND("E0",B1689)+2,FIND("T",B1689,FIND("E0",B1689))-(FIND("E0",B1689)+2)))
))),"")</f>
        <v>211</v>
      </c>
      <c r="G1689">
        <f>IFERROR(
IF(ISNUMBER(FIND("T2",B1689)),220,
IF(ISNUMBER(FIND("T4",B1689)),440,
IF(ISNUMBER(FIND("T5",B1689)),575,
IF(ISNUMBER(FIND("T6",B1689)),690,"")))),
"")</f>
        <v>440</v>
      </c>
    </row>
    <row r="1690" spans="1:7" x14ac:dyDescent="0.25">
      <c r="A1690">
        <v>17160494</v>
      </c>
      <c r="B1690" t="str">
        <f>VLOOKUP(A1690,Planilha2!B:C,2,0)</f>
        <v>INVERSOR BRCFW110211T4OHALS9ECZ</v>
      </c>
      <c r="C1690" t="s">
        <v>3170</v>
      </c>
      <c r="D1690" t="str">
        <f>VLOOKUP(A1690,Planilha2!B:H,7,0)</f>
        <v>LINHA G1</v>
      </c>
      <c r="E1690" s="5">
        <v>68288</v>
      </c>
      <c r="F1690">
        <f>IFERROR(
IF(ISNUMBER(FIND("CFW110",B1690)),
VALUE(MID(B1690,FIND("CFW110",B1690)+6,FIND("T",B1690,FIND("CFW110",B1690))-(FIND("CFW110",B1690)+6))),
IF(ISNUMBER(FIND("D",B1690)),
VALUE(SUBSTITUTE(MID(B1690,FIND("D",B1690)+1,FIND("T",B1690,FIND("D",B1690))-(FIND("D",B1690)+1)),"P",",")),
IF(ISNUMBER(FIND("CFW5",B1690)),
VALUE(MID(B1690,
IF(ISNUMBER(FIND("F",B1690)),FIND("F",B1690)+1,FIND("G",B1690)+1),
FIND("T",B1690)-(IF(ISNUMBER(FIND("F",B1690)),FIND("F",B1690)+1,FIND("G",B1690)+1))
)),
VALUE(MID(B1690,FIND("E0",B1690)+2,FIND("T",B1690,FIND("E0",B1690))-(FIND("E0",B1690)+2)))
))),"")</f>
        <v>211</v>
      </c>
      <c r="G1690">
        <f>IFERROR(
IF(ISNUMBER(FIND("T2",B1690)),220,
IF(ISNUMBER(FIND("T4",B1690)),440,
IF(ISNUMBER(FIND("T5",B1690)),575,
IF(ISNUMBER(FIND("T6",B1690)),690,"")))),
"")</f>
        <v>440</v>
      </c>
    </row>
    <row r="1691" spans="1:7" x14ac:dyDescent="0.25">
      <c r="A1691">
        <v>17185760</v>
      </c>
      <c r="B1691" t="str">
        <f>VLOOKUP(A1691,Planilha2!B:C,2,0)</f>
        <v>INVERSOR BRCFW110211T2ODBSSZ-UI</v>
      </c>
      <c r="C1691" t="s">
        <v>3170</v>
      </c>
      <c r="D1691" t="str">
        <f>VLOOKUP(A1691,Planilha2!B:H,7,0)</f>
        <v>LINHA G1</v>
      </c>
      <c r="E1691" s="5">
        <v>59360</v>
      </c>
      <c r="F1691">
        <f>IFERROR(
IF(ISNUMBER(FIND("CFW110",B1691)),
VALUE(MID(B1691,FIND("CFW110",B1691)+6,FIND("T",B1691,FIND("CFW110",B1691))-(FIND("CFW110",B1691)+6))),
IF(ISNUMBER(FIND("D",B1691)),
VALUE(SUBSTITUTE(MID(B1691,FIND("D",B1691)+1,FIND("T",B1691,FIND("D",B1691))-(FIND("D",B1691)+1)),"P",",")),
IF(ISNUMBER(FIND("CFW5",B1691)),
VALUE(MID(B1691,
IF(ISNUMBER(FIND("F",B1691)),FIND("F",B1691)+1,FIND("G",B1691)+1),
FIND("T",B1691)-(IF(ISNUMBER(FIND("F",B1691)),FIND("F",B1691)+1,FIND("G",B1691)+1))
)),
VALUE(MID(B1691,FIND("E0",B1691)+2,FIND("T",B1691,FIND("E0",B1691))-(FIND("E0",B1691)+2)))
))),"")</f>
        <v>211</v>
      </c>
      <c r="G1691">
        <f>IFERROR(
IF(ISNUMBER(FIND("T2",B1691)),220,
IF(ISNUMBER(FIND("T4",B1691)),440,
IF(ISNUMBER(FIND("T5",B1691)),575,
IF(ISNUMBER(FIND("T6",B1691)),690,"")))),
"")</f>
        <v>220</v>
      </c>
    </row>
    <row r="1692" spans="1:7" x14ac:dyDescent="0.25">
      <c r="A1692">
        <v>17179209</v>
      </c>
      <c r="B1692" t="str">
        <f>VLOOKUP(A1692,Planilha2!B:C,2,0)</f>
        <v>INVERSOR BRCFW110211T2ODBSSZ</v>
      </c>
      <c r="C1692" t="s">
        <v>3170</v>
      </c>
      <c r="D1692" t="str">
        <f>VLOOKUP(A1692,Planilha2!B:H,7,0)</f>
        <v>LINHA G1</v>
      </c>
      <c r="E1692" s="5">
        <v>59360</v>
      </c>
      <c r="F1692">
        <f>IFERROR(
IF(ISNUMBER(FIND("CFW110",B1692)),
VALUE(MID(B1692,FIND("CFW110",B1692)+6,FIND("T",B1692,FIND("CFW110",B1692))-(FIND("CFW110",B1692)+6))),
IF(ISNUMBER(FIND("D",B1692)),
VALUE(SUBSTITUTE(MID(B1692,FIND("D",B1692)+1,FIND("T",B1692,FIND("D",B1692))-(FIND("D",B1692)+1)),"P",",")),
IF(ISNUMBER(FIND("CFW5",B1692)),
VALUE(MID(B1692,
IF(ISNUMBER(FIND("F",B1692)),FIND("F",B1692)+1,FIND("G",B1692)+1),
FIND("T",B1692)-(IF(ISNUMBER(FIND("F",B1692)),FIND("F",B1692)+1,FIND("G",B1692)+1))
)),
VALUE(MID(B1692,FIND("E0",B1692)+2,FIND("T",B1692,FIND("E0",B1692))-(FIND("E0",B1692)+2)))
))),"")</f>
        <v>211</v>
      </c>
      <c r="G1692">
        <f>IFERROR(
IF(ISNUMBER(FIND("T2",B1692)),220,
IF(ISNUMBER(FIND("T4",B1692)),440,
IF(ISNUMBER(FIND("T5",B1692)),575,
IF(ISNUMBER(FIND("T6",B1692)),690,"")))),
"")</f>
        <v>220</v>
      </c>
    </row>
    <row r="1693" spans="1:7" x14ac:dyDescent="0.25">
      <c r="A1693">
        <v>17257516</v>
      </c>
      <c r="B1693" t="str">
        <f>VLOOKUP(A1693,Planilha2!B:C,2,0)</f>
        <v>INVERSOR BRCFW110142T4OSUZ-UI</v>
      </c>
      <c r="C1693" t="s">
        <v>3170</v>
      </c>
      <c r="D1693" t="str">
        <f>VLOOKUP(A1693,Planilha2!B:H,7,0)</f>
        <v>LINHA G1</v>
      </c>
      <c r="E1693" s="5">
        <v>64210</v>
      </c>
      <c r="F1693">
        <f>IFERROR(
IF(ISNUMBER(FIND("CFW110",B1693)),
VALUE(MID(B1693,FIND("CFW110",B1693)+6,FIND("T",B1693,FIND("CFW110",B1693))-(FIND("CFW110",B1693)+6))),
IF(ISNUMBER(FIND("D",B1693)),
VALUE(SUBSTITUTE(MID(B1693,FIND("D",B1693)+1,FIND("T",B1693,FIND("D",B1693))-(FIND("D",B1693)+1)),"P",",")),
IF(ISNUMBER(FIND("CFW5",B1693)),
VALUE(MID(B1693,
IF(ISNUMBER(FIND("F",B1693)),FIND("F",B1693)+1,FIND("G",B1693)+1),
FIND("T",B1693)-(IF(ISNUMBER(FIND("F",B1693)),FIND("F",B1693)+1,FIND("G",B1693)+1))
)),
VALUE(MID(B1693,FIND("E0",B1693)+2,FIND("T",B1693,FIND("E0",B1693))-(FIND("E0",B1693)+2)))
))),"")</f>
        <v>142</v>
      </c>
      <c r="G1693">
        <f>IFERROR(
IF(ISNUMBER(FIND("T2",B1693)),220,
IF(ISNUMBER(FIND("T4",B1693)),440,
IF(ISNUMBER(FIND("T5",B1693)),575,
IF(ISNUMBER(FIND("T6",B1693)),690,"")))),
"")</f>
        <v>440</v>
      </c>
    </row>
    <row r="1694" spans="1:7" x14ac:dyDescent="0.25">
      <c r="A1694">
        <v>17249938</v>
      </c>
      <c r="B1694" t="str">
        <f>VLOOKUP(A1694,Planilha2!B:C,2,0)</f>
        <v>INVERSOR BRCFW110142T4OSUZ</v>
      </c>
      <c r="C1694" t="s">
        <v>3170</v>
      </c>
      <c r="D1694" t="str">
        <f>VLOOKUP(A1694,Planilha2!B:H,7,0)</f>
        <v>LINHA G1</v>
      </c>
      <c r="E1694" s="5">
        <v>64210</v>
      </c>
      <c r="F1694">
        <f>IFERROR(
IF(ISNUMBER(FIND("CFW110",B1694)),
VALUE(MID(B1694,FIND("CFW110",B1694)+6,FIND("T",B1694,FIND("CFW110",B1694))-(FIND("CFW110",B1694)+6))),
IF(ISNUMBER(FIND("D",B1694)),
VALUE(SUBSTITUTE(MID(B1694,FIND("D",B1694)+1,FIND("T",B1694,FIND("D",B1694))-(FIND("D",B1694)+1)),"P",",")),
IF(ISNUMBER(FIND("CFW5",B1694)),
VALUE(MID(B1694,
IF(ISNUMBER(FIND("F",B1694)),FIND("F",B1694)+1,FIND("G",B1694)+1),
FIND("T",B1694)-(IF(ISNUMBER(FIND("F",B1694)),FIND("F",B1694)+1,FIND("G",B1694)+1))
)),
VALUE(MID(B1694,FIND("E0",B1694)+2,FIND("T",B1694,FIND("E0",B1694))-(FIND("E0",B1694)+2)))
))),"")</f>
        <v>142</v>
      </c>
      <c r="G1694">
        <f>IFERROR(
IF(ISNUMBER(FIND("T2",B1694)),220,
IF(ISNUMBER(FIND("T4",B1694)),440,
IF(ISNUMBER(FIND("T5",B1694)),575,
IF(ISNUMBER(FIND("T6",B1694)),690,"")))),
"")</f>
        <v>440</v>
      </c>
    </row>
    <row r="1695" spans="1:7" x14ac:dyDescent="0.25">
      <c r="A1695">
        <v>14409723</v>
      </c>
      <c r="B1695" t="str">
        <f>VLOOKUP(A1695,Planilha2!B:C,2,0)</f>
        <v>INVERSOR BRCFW110105T4ORBZ</v>
      </c>
      <c r="C1695" t="s">
        <v>3170</v>
      </c>
      <c r="D1695" t="str">
        <f>VLOOKUP(A1695,Planilha2!B:H,7,0)</f>
        <v>LINHA G1</v>
      </c>
      <c r="E1695" s="5">
        <v>50000</v>
      </c>
      <c r="F1695">
        <f>IFERROR(
IF(ISNUMBER(FIND("CFW110",B1695)),
VALUE(MID(B1695,FIND("CFW110",B1695)+6,FIND("T",B1695,FIND("CFW110",B1695))-(FIND("CFW110",B1695)+6))),
IF(ISNUMBER(FIND("D",B1695)),
VALUE(SUBSTITUTE(MID(B1695,FIND("D",B1695)+1,FIND("T",B1695,FIND("D",B1695))-(FIND("D",B1695)+1)),"P",",")),
IF(ISNUMBER(FIND("CFW5",B1695)),
VALUE(MID(B1695,
IF(ISNUMBER(FIND("F",B1695)),FIND("F",B1695)+1,FIND("G",B1695)+1),
FIND("T",B1695)-(IF(ISNUMBER(FIND("F",B1695)),FIND("F",B1695)+1,FIND("G",B1695)+1))
)),
VALUE(MID(B1695,FIND("E0",B1695)+2,FIND("T",B1695,FIND("E0",B1695))-(FIND("E0",B1695)+2)))
))),"")</f>
        <v>105</v>
      </c>
      <c r="G1695">
        <f>IFERROR(
IF(ISNUMBER(FIND("T2",B1695)),220,
IF(ISNUMBER(FIND("T4",B1695)),440,
IF(ISNUMBER(FIND("T5",B1695)),575,
IF(ISNUMBER(FIND("T6",B1695)),690,"")))),
"")</f>
        <v>440</v>
      </c>
    </row>
    <row r="1696" spans="1:7" x14ac:dyDescent="0.25">
      <c r="A1696">
        <v>17319655</v>
      </c>
      <c r="B1696" t="str">
        <f>VLOOKUP(A1696,Planilha2!B:C,2,0)</f>
        <v>INVERSOR SACFW110063T6ONBYWZ</v>
      </c>
      <c r="C1696" t="s">
        <v>3170</v>
      </c>
      <c r="D1696" t="str">
        <f>VLOOKUP(A1696,Planilha2!B:H,7,0)</f>
        <v>LINHA G1</v>
      </c>
      <c r="E1696" s="5">
        <v>65000</v>
      </c>
      <c r="F1696">
        <f>IFERROR(
IF(ISNUMBER(FIND("CFW110",B1696)),
VALUE(MID(B1696,FIND("CFW110",B1696)+6,FIND("T",B1696,FIND("CFW110",B1696))-(FIND("CFW110",B1696)+6))),
IF(ISNUMBER(FIND("D",B1696)),
VALUE(SUBSTITUTE(MID(B1696,FIND("D",B1696)+1,FIND("T",B1696,FIND("D",B1696))-(FIND("D",B1696)+1)),"P",",")),
IF(ISNUMBER(FIND("CFW5",B1696)),
VALUE(MID(B1696,
IF(ISNUMBER(FIND("F",B1696)),FIND("F",B1696)+1,FIND("G",B1696)+1),
FIND("T",B1696)-(IF(ISNUMBER(FIND("F",B1696)),FIND("F",B1696)+1,FIND("G",B1696)+1))
)),
VALUE(MID(B1696,FIND("E0",B1696)+2,FIND("T",B1696,FIND("E0",B1696))-(FIND("E0",B1696)+2)))
))),"")</f>
        <v>63</v>
      </c>
      <c r="G1696">
        <f>IFERROR(
IF(ISNUMBER(FIND("T2",B1696)),220,
IF(ISNUMBER(FIND("T4",B1696)),440,
IF(ISNUMBER(FIND("T5",B1696)),575,
IF(ISNUMBER(FIND("T6",B1696)),690,"")))),
"")</f>
        <v>690</v>
      </c>
    </row>
    <row r="1697" spans="1:7" x14ac:dyDescent="0.25">
      <c r="A1697">
        <v>17313354</v>
      </c>
      <c r="B1697" t="str">
        <f>VLOOKUP(A1697,Planilha2!B:C,2,0)</f>
        <v>INVERSOR EUCFW110105T4OSUZ</v>
      </c>
      <c r="C1697" t="s">
        <v>3170</v>
      </c>
      <c r="D1697" t="str">
        <f>VLOOKUP(A1697,Planilha2!B:H,7,0)</f>
        <v>LINHA G1</v>
      </c>
      <c r="E1697" s="5">
        <v>62500</v>
      </c>
      <c r="F1697">
        <f>IFERROR(
IF(ISNUMBER(FIND("CFW110",B1697)),
VALUE(MID(B1697,FIND("CFW110",B1697)+6,FIND("T",B1697,FIND("CFW110",B1697))-(FIND("CFW110",B1697)+6))),
IF(ISNUMBER(FIND("D",B1697)),
VALUE(SUBSTITUTE(MID(B1697,FIND("D",B1697)+1,FIND("T",B1697,FIND("D",B1697))-(FIND("D",B1697)+1)),"P",",")),
IF(ISNUMBER(FIND("CFW5",B1697)),
VALUE(MID(B1697,
IF(ISNUMBER(FIND("F",B1697)),FIND("F",B1697)+1,FIND("G",B1697)+1),
FIND("T",B1697)-(IF(ISNUMBER(FIND("F",B1697)),FIND("F",B1697)+1,FIND("G",B1697)+1))
)),
VALUE(MID(B1697,FIND("E0",B1697)+2,FIND("T",B1697,FIND("E0",B1697))-(FIND("E0",B1697)+2)))
))),"")</f>
        <v>105</v>
      </c>
      <c r="G1697">
        <f>IFERROR(
IF(ISNUMBER(FIND("T2",B1697)),220,
IF(ISNUMBER(FIND("T4",B1697)),440,
IF(ISNUMBER(FIND("T5",B1697)),575,
IF(ISNUMBER(FIND("T6",B1697)),690,"")))),
"")</f>
        <v>440</v>
      </c>
    </row>
    <row r="1698" spans="1:7" x14ac:dyDescent="0.25">
      <c r="A1698">
        <v>17313459</v>
      </c>
      <c r="B1698" t="str">
        <f>VLOOKUP(A1698,Planilha2!B:C,2,0)</f>
        <v>INVERSOR EUCFW110211T4OSUZ</v>
      </c>
      <c r="C1698" t="s">
        <v>3170</v>
      </c>
      <c r="D1698" t="str">
        <f>VLOOKUP(A1698,Planilha2!B:H,7,0)</f>
        <v>LINHA G1</v>
      </c>
      <c r="E1698" s="5">
        <v>65000</v>
      </c>
      <c r="F1698">
        <f>IFERROR(
IF(ISNUMBER(FIND("CFW110",B1698)),
VALUE(MID(B1698,FIND("CFW110",B1698)+6,FIND("T",B1698,FIND("CFW110",B1698))-(FIND("CFW110",B1698)+6))),
IF(ISNUMBER(FIND("D",B1698)),
VALUE(SUBSTITUTE(MID(B1698,FIND("D",B1698)+1,FIND("T",B1698,FIND("D",B1698))-(FIND("D",B1698)+1)),"P",",")),
IF(ISNUMBER(FIND("CFW5",B1698)),
VALUE(MID(B1698,
IF(ISNUMBER(FIND("F",B1698)),FIND("F",B1698)+1,FIND("G",B1698)+1),
FIND("T",B1698)-(IF(ISNUMBER(FIND("F",B1698)),FIND("F",B1698)+1,FIND("G",B1698)+1))
)),
VALUE(MID(B1698,FIND("E0",B1698)+2,FIND("T",B1698,FIND("E0",B1698))-(FIND("E0",B1698)+2)))
))),"")</f>
        <v>211</v>
      </c>
      <c r="G1698">
        <f>IFERROR(
IF(ISNUMBER(FIND("T2",B1698)),220,
IF(ISNUMBER(FIND("T4",B1698)),440,
IF(ISNUMBER(FIND("T5",B1698)),575,
IF(ISNUMBER(FIND("T6",B1698)),690,"")))),
"")</f>
        <v>440</v>
      </c>
    </row>
    <row r="1699" spans="1:7" x14ac:dyDescent="0.25">
      <c r="A1699">
        <v>17313355</v>
      </c>
      <c r="B1699" t="str">
        <f>VLOOKUP(A1699,Planilha2!B:C,2,0)</f>
        <v>INVERSOR EUCFW110142T4OSUZ</v>
      </c>
      <c r="C1699" t="s">
        <v>3170</v>
      </c>
      <c r="D1699" t="str">
        <f>VLOOKUP(A1699,Planilha2!B:H,7,0)</f>
        <v>LINHA G1</v>
      </c>
      <c r="E1699" s="5">
        <v>64000</v>
      </c>
      <c r="F1699">
        <f>IFERROR(
IF(ISNUMBER(FIND("CFW110",B1699)),
VALUE(MID(B1699,FIND("CFW110",B1699)+6,FIND("T",B1699,FIND("CFW110",B1699))-(FIND("CFW110",B1699)+6))),
IF(ISNUMBER(FIND("D",B1699)),
VALUE(SUBSTITUTE(MID(B1699,FIND("D",B1699)+1,FIND("T",B1699,FIND("D",B1699))-(FIND("D",B1699)+1)),"P",",")),
IF(ISNUMBER(FIND("CFW5",B1699)),
VALUE(MID(B1699,
IF(ISNUMBER(FIND("F",B1699)),FIND("F",B1699)+1,FIND("G",B1699)+1),
FIND("T",B1699)-(IF(ISNUMBER(FIND("F",B1699)),FIND("F",B1699)+1,FIND("G",B1699)+1))
)),
VALUE(MID(B1699,FIND("E0",B1699)+2,FIND("T",B1699,FIND("E0",B1699))-(FIND("E0",B1699)+2)))
))),"")</f>
        <v>142</v>
      </c>
      <c r="G1699">
        <f>IFERROR(
IF(ISNUMBER(FIND("T2",B1699)),220,
IF(ISNUMBER(FIND("T4",B1699)),440,
IF(ISNUMBER(FIND("T5",B1699)),575,
IF(ISNUMBER(FIND("T6",B1699)),690,"")))),
"")</f>
        <v>440</v>
      </c>
    </row>
    <row r="1700" spans="1:7" x14ac:dyDescent="0.25">
      <c r="A1700">
        <v>17313356</v>
      </c>
      <c r="B1700" t="str">
        <f>VLOOKUP(A1700,Planilha2!B:C,2,0)</f>
        <v>INVERSOR EUCFW110180T4OSUZ</v>
      </c>
      <c r="C1700" t="s">
        <v>3170</v>
      </c>
      <c r="D1700" t="str">
        <f>VLOOKUP(A1700,Planilha2!B:H,7,0)</f>
        <v>LINHA G1</v>
      </c>
      <c r="E1700" s="5">
        <v>65000</v>
      </c>
      <c r="F1700">
        <f>IFERROR(
IF(ISNUMBER(FIND("CFW110",B1700)),
VALUE(MID(B1700,FIND("CFW110",B1700)+6,FIND("T",B1700,FIND("CFW110",B1700))-(FIND("CFW110",B1700)+6))),
IF(ISNUMBER(FIND("D",B1700)),
VALUE(SUBSTITUTE(MID(B1700,FIND("D",B1700)+1,FIND("T",B1700,FIND("D",B1700))-(FIND("D",B1700)+1)),"P",",")),
IF(ISNUMBER(FIND("CFW5",B1700)),
VALUE(MID(B1700,
IF(ISNUMBER(FIND("F",B1700)),FIND("F",B1700)+1,FIND("G",B1700)+1),
FIND("T",B1700)-(IF(ISNUMBER(FIND("F",B1700)),FIND("F",B1700)+1,FIND("G",B1700)+1))
)),
VALUE(MID(B1700,FIND("E0",B1700)+2,FIND("T",B1700,FIND("E0",B1700))-(FIND("E0",B1700)+2)))
))),"")</f>
        <v>180</v>
      </c>
      <c r="G1700">
        <f>IFERROR(
IF(ISNUMBER(FIND("T2",B1700)),220,
IF(ISNUMBER(FIND("T4",B1700)),440,
IF(ISNUMBER(FIND("T5",B1700)),575,
IF(ISNUMBER(FIND("T6",B1700)),690,"")))),
"")</f>
        <v>440</v>
      </c>
    </row>
    <row r="1701" spans="1:7" x14ac:dyDescent="0.25">
      <c r="A1701">
        <v>17334488</v>
      </c>
      <c r="B1701" t="str">
        <f>VLOOKUP(A1701,Planilha2!B:C,2,0)</f>
        <v>INVERSOR SACFW110125T6ONBYWZ</v>
      </c>
      <c r="C1701" t="s">
        <v>3170</v>
      </c>
      <c r="D1701" t="str">
        <f>VLOOKUP(A1701,Planilha2!B:H,7,0)</f>
        <v>LINHA G1</v>
      </c>
      <c r="E1701" s="5">
        <v>61500</v>
      </c>
      <c r="F1701">
        <f>IFERROR(
IF(ISNUMBER(FIND("CFW110",B1701)),
VALUE(MID(B1701,FIND("CFW110",B1701)+6,FIND("T",B1701,FIND("CFW110",B1701))-(FIND("CFW110",B1701)+6))),
IF(ISNUMBER(FIND("D",B1701)),
VALUE(SUBSTITUTE(MID(B1701,FIND("D",B1701)+1,FIND("T",B1701,FIND("D",B1701))-(FIND("D",B1701)+1)),"P",",")),
IF(ISNUMBER(FIND("CFW5",B1701)),
VALUE(MID(B1701,
IF(ISNUMBER(FIND("F",B1701)),FIND("F",B1701)+1,FIND("G",B1701)+1),
FIND("T",B1701)-(IF(ISNUMBER(FIND("F",B1701)),FIND("F",B1701)+1,FIND("G",B1701)+1))
)),
VALUE(MID(B1701,FIND("E0",B1701)+2,FIND("T",B1701,FIND("E0",B1701))-(FIND("E0",B1701)+2)))
))),"")</f>
        <v>125</v>
      </c>
      <c r="G1701">
        <f>IFERROR(
IF(ISNUMBER(FIND("T2",B1701)),220,
IF(ISNUMBER(FIND("T4",B1701)),440,
IF(ISNUMBER(FIND("T5",B1701)),575,
IF(ISNUMBER(FIND("T6",B1701)),690,"")))),
"")</f>
        <v>690</v>
      </c>
    </row>
    <row r="1702" spans="1:7" x14ac:dyDescent="0.25">
      <c r="A1702">
        <v>17347206</v>
      </c>
      <c r="B1702" t="str">
        <f>VLOOKUP(A1702,Planilha2!B:C,2,0)</f>
        <v>INVERSOR BRCFW110180T4O55YZ</v>
      </c>
      <c r="C1702" t="s">
        <v>3170</v>
      </c>
      <c r="D1702" t="str">
        <f>VLOOKUP(A1702,Planilha2!B:H,7,0)</f>
        <v>LINHA E1</v>
      </c>
      <c r="E1702" s="5">
        <v>98558</v>
      </c>
      <c r="F1702">
        <f>IFERROR(
IF(ISNUMBER(FIND("CFW110",B1702)),
VALUE(MID(B1702,FIND("CFW110",B1702)+6,FIND("T",B1702,FIND("CFW110",B1702))-(FIND("CFW110",B1702)+6))),
IF(ISNUMBER(FIND("D",B1702)),
VALUE(SUBSTITUTE(MID(B1702,FIND("D",B1702)+1,FIND("T",B1702,FIND("D",B1702))-(FIND("D",B1702)+1)),"P",",")),
IF(ISNUMBER(FIND("CFW5",B1702)),
VALUE(MID(B1702,
IF(ISNUMBER(FIND("F",B1702)),FIND("F",B1702)+1,FIND("G",B1702)+1),
FIND("T",B1702)-(IF(ISNUMBER(FIND("F",B1702)),FIND("F",B1702)+1,FIND("G",B1702)+1))
)),
VALUE(MID(B1702,FIND("E0",B1702)+2,FIND("T",B1702,FIND("E0",B1702))-(FIND("E0",B1702)+2)))
))),"")</f>
        <v>180</v>
      </c>
      <c r="G1702">
        <f>IFERROR(
IF(ISNUMBER(FIND("T2",B1702)),220,
IF(ISNUMBER(FIND("T4",B1702)),440,
IF(ISNUMBER(FIND("T5",B1702)),575,
IF(ISNUMBER(FIND("T6",B1702)),690,"")))),
"")</f>
        <v>440</v>
      </c>
    </row>
    <row r="1703" spans="1:7" x14ac:dyDescent="0.25">
      <c r="A1703">
        <v>17338849</v>
      </c>
      <c r="B1703" t="str">
        <f>VLOOKUP(A1703,Planilha2!B:C,2,0)</f>
        <v>INVERSOR BRCFW110142T4ODBYZ-UI</v>
      </c>
      <c r="C1703" t="s">
        <v>3170</v>
      </c>
      <c r="D1703" t="str">
        <f>VLOOKUP(A1703,Planilha2!B:H,7,0)</f>
        <v>LINHA G1</v>
      </c>
      <c r="E1703" s="5">
        <v>54860</v>
      </c>
      <c r="F1703">
        <f>IFERROR(
IF(ISNUMBER(FIND("CFW110",B1703)),
VALUE(MID(B1703,FIND("CFW110",B1703)+6,FIND("T",B1703,FIND("CFW110",B1703))-(FIND("CFW110",B1703)+6))),
IF(ISNUMBER(FIND("D",B1703)),
VALUE(SUBSTITUTE(MID(B1703,FIND("D",B1703)+1,FIND("T",B1703,FIND("D",B1703))-(FIND("D",B1703)+1)),"P",",")),
IF(ISNUMBER(FIND("CFW5",B1703)),
VALUE(MID(B1703,
IF(ISNUMBER(FIND("F",B1703)),FIND("F",B1703)+1,FIND("G",B1703)+1),
FIND("T",B1703)-(IF(ISNUMBER(FIND("F",B1703)),FIND("F",B1703)+1,FIND("G",B1703)+1))
)),
VALUE(MID(B1703,FIND("E0",B1703)+2,FIND("T",B1703,FIND("E0",B1703))-(FIND("E0",B1703)+2)))
))),"")</f>
        <v>142</v>
      </c>
      <c r="G1703">
        <f>IFERROR(
IF(ISNUMBER(FIND("T2",B1703)),220,
IF(ISNUMBER(FIND("T4",B1703)),440,
IF(ISNUMBER(FIND("T5",B1703)),575,
IF(ISNUMBER(FIND("T6",B1703)),690,"")))),
"")</f>
        <v>440</v>
      </c>
    </row>
    <row r="1704" spans="1:7" x14ac:dyDescent="0.25">
      <c r="A1704">
        <v>17358108</v>
      </c>
      <c r="B1704" t="str">
        <f>VLOOKUP(A1704,Planilha2!B:C,2,0)</f>
        <v>INVERSOR SACFW110150T6ONBYWZ</v>
      </c>
      <c r="C1704" t="s">
        <v>3170</v>
      </c>
      <c r="D1704" t="str">
        <f>VLOOKUP(A1704,Planilha2!B:H,7,0)</f>
        <v>LINHA G1</v>
      </c>
      <c r="E1704" s="5">
        <v>128288</v>
      </c>
      <c r="F1704">
        <f>IFERROR(
IF(ISNUMBER(FIND("CFW110",B1704)),
VALUE(MID(B1704,FIND("CFW110",B1704)+6,FIND("T",B1704,FIND("CFW110",B1704))-(FIND("CFW110",B1704)+6))),
IF(ISNUMBER(FIND("D",B1704)),
VALUE(SUBSTITUTE(MID(B1704,FIND("D",B1704)+1,FIND("T",B1704,FIND("D",B1704))-(FIND("D",B1704)+1)),"P",",")),
IF(ISNUMBER(FIND("CFW5",B1704)),
VALUE(MID(B1704,
IF(ISNUMBER(FIND("F",B1704)),FIND("F",B1704)+1,FIND("G",B1704)+1),
FIND("T",B1704)-(IF(ISNUMBER(FIND("F",B1704)),FIND("F",B1704)+1,FIND("G",B1704)+1))
)),
VALUE(MID(B1704,FIND("E0",B1704)+2,FIND("T",B1704,FIND("E0",B1704))-(FIND("E0",B1704)+2)))
))),"")</f>
        <v>150</v>
      </c>
      <c r="G1704">
        <f>IFERROR(
IF(ISNUMBER(FIND("T2",B1704)),220,
IF(ISNUMBER(FIND("T4",B1704)),440,
IF(ISNUMBER(FIND("T5",B1704)),575,
IF(ISNUMBER(FIND("T6",B1704)),690,"")))),
"")</f>
        <v>690</v>
      </c>
    </row>
    <row r="1705" spans="1:7" x14ac:dyDescent="0.25">
      <c r="A1705">
        <v>17329614</v>
      </c>
      <c r="B1705" t="str">
        <f>VLOOKUP(A1705,Planilha2!B:C,2,0)</f>
        <v>INVERSOR EUCFW110211T4OSUZ-UI</v>
      </c>
      <c r="C1705" t="s">
        <v>3170</v>
      </c>
      <c r="D1705" t="str">
        <f>VLOOKUP(A1705,Planilha2!B:H,7,0)</f>
        <v>LINHA G1</v>
      </c>
      <c r="E1705" s="5">
        <v>65000</v>
      </c>
      <c r="F1705">
        <f>IFERROR(
IF(ISNUMBER(FIND("CFW110",B1705)),
VALUE(MID(B1705,FIND("CFW110",B1705)+6,FIND("T",B1705,FIND("CFW110",B1705))-(FIND("CFW110",B1705)+6))),
IF(ISNUMBER(FIND("D",B1705)),
VALUE(SUBSTITUTE(MID(B1705,FIND("D",B1705)+1,FIND("T",B1705,FIND("D",B1705))-(FIND("D",B1705)+1)),"P",",")),
IF(ISNUMBER(FIND("CFW5",B1705)),
VALUE(MID(B1705,
IF(ISNUMBER(FIND("F",B1705)),FIND("F",B1705)+1,FIND("G",B1705)+1),
FIND("T",B1705)-(IF(ISNUMBER(FIND("F",B1705)),FIND("F",B1705)+1,FIND("G",B1705)+1))
)),
VALUE(MID(B1705,FIND("E0",B1705)+2,FIND("T",B1705,FIND("E0",B1705))-(FIND("E0",B1705)+2)))
))),"")</f>
        <v>211</v>
      </c>
      <c r="G1705">
        <f>IFERROR(
IF(ISNUMBER(FIND("T2",B1705)),220,
IF(ISNUMBER(FIND("T4",B1705)),440,
IF(ISNUMBER(FIND("T5",B1705)),575,
IF(ISNUMBER(FIND("T6",B1705)),690,"")))),
"")</f>
        <v>440</v>
      </c>
    </row>
    <row r="1706" spans="1:7" x14ac:dyDescent="0.25">
      <c r="A1706">
        <v>17329611</v>
      </c>
      <c r="B1706" t="str">
        <f>VLOOKUP(A1706,Planilha2!B:C,2,0)</f>
        <v>INVERSOR EUCFW110142T4OSUZ-UI</v>
      </c>
      <c r="C1706" t="s">
        <v>3170</v>
      </c>
      <c r="D1706" t="str">
        <f>VLOOKUP(A1706,Planilha2!B:H,7,0)</f>
        <v>LINHA G1</v>
      </c>
      <c r="E1706" s="5">
        <v>64000</v>
      </c>
      <c r="F1706">
        <f>IFERROR(
IF(ISNUMBER(FIND("CFW110",B1706)),
VALUE(MID(B1706,FIND("CFW110",B1706)+6,FIND("T",B1706,FIND("CFW110",B1706))-(FIND("CFW110",B1706)+6))),
IF(ISNUMBER(FIND("D",B1706)),
VALUE(SUBSTITUTE(MID(B1706,FIND("D",B1706)+1,FIND("T",B1706,FIND("D",B1706))-(FIND("D",B1706)+1)),"P",",")),
IF(ISNUMBER(FIND("CFW5",B1706)),
VALUE(MID(B1706,
IF(ISNUMBER(FIND("F",B1706)),FIND("F",B1706)+1,FIND("G",B1706)+1),
FIND("T",B1706)-(IF(ISNUMBER(FIND("F",B1706)),FIND("F",B1706)+1,FIND("G",B1706)+1))
)),
VALUE(MID(B1706,FIND("E0",B1706)+2,FIND("T",B1706,FIND("E0",B1706))-(FIND("E0",B1706)+2)))
))),"")</f>
        <v>142</v>
      </c>
      <c r="G1706">
        <f>IFERROR(
IF(ISNUMBER(FIND("T2",B1706)),220,
IF(ISNUMBER(FIND("T4",B1706)),440,
IF(ISNUMBER(FIND("T5",B1706)),575,
IF(ISNUMBER(FIND("T6",B1706)),690,"")))),
"")</f>
        <v>440</v>
      </c>
    </row>
    <row r="1707" spans="1:7" x14ac:dyDescent="0.25">
      <c r="A1707">
        <v>17329481</v>
      </c>
      <c r="B1707" t="str">
        <f>VLOOKUP(A1707,Planilha2!B:C,2,0)</f>
        <v>INVERSOR EUCFW110180T4OSUZ-UI</v>
      </c>
      <c r="C1707" t="s">
        <v>3170</v>
      </c>
      <c r="D1707" t="str">
        <f>VLOOKUP(A1707,Planilha2!B:H,7,0)</f>
        <v>LINHA G1</v>
      </c>
      <c r="E1707" s="5">
        <v>65000</v>
      </c>
      <c r="F1707">
        <f>IFERROR(
IF(ISNUMBER(FIND("CFW110",B1707)),
VALUE(MID(B1707,FIND("CFW110",B1707)+6,FIND("T",B1707,FIND("CFW110",B1707))-(FIND("CFW110",B1707)+6))),
IF(ISNUMBER(FIND("D",B1707)),
VALUE(SUBSTITUTE(MID(B1707,FIND("D",B1707)+1,FIND("T",B1707,FIND("D",B1707))-(FIND("D",B1707)+1)),"P",",")),
IF(ISNUMBER(FIND("CFW5",B1707)),
VALUE(MID(B1707,
IF(ISNUMBER(FIND("F",B1707)),FIND("F",B1707)+1,FIND("G",B1707)+1),
FIND("T",B1707)-(IF(ISNUMBER(FIND("F",B1707)),FIND("F",B1707)+1,FIND("G",B1707)+1))
)),
VALUE(MID(B1707,FIND("E0",B1707)+2,FIND("T",B1707,FIND("E0",B1707))-(FIND("E0",B1707)+2)))
))),"")</f>
        <v>180</v>
      </c>
      <c r="G1707">
        <f>IFERROR(
IF(ISNUMBER(FIND("T2",B1707)),220,
IF(ISNUMBER(FIND("T4",B1707)),440,
IF(ISNUMBER(FIND("T5",B1707)),575,
IF(ISNUMBER(FIND("T6",B1707)),690,"")))),
"")</f>
        <v>440</v>
      </c>
    </row>
    <row r="1708" spans="1:7" x14ac:dyDescent="0.25">
      <c r="A1708">
        <v>17326598</v>
      </c>
      <c r="B1708" t="str">
        <f>VLOOKUP(A1708,Planilha2!B:C,2,0)</f>
        <v>INVERSOR EUCFW110105T4OSUZ-UI</v>
      </c>
      <c r="C1708" t="s">
        <v>3170</v>
      </c>
      <c r="D1708" t="str">
        <f>VLOOKUP(A1708,Planilha2!B:H,7,0)</f>
        <v>LINHA G1</v>
      </c>
      <c r="E1708" s="5">
        <v>62500</v>
      </c>
      <c r="F1708">
        <f>IFERROR(
IF(ISNUMBER(FIND("CFW110",B1708)),
VALUE(MID(B1708,FIND("CFW110",B1708)+6,FIND("T",B1708,FIND("CFW110",B1708))-(FIND("CFW110",B1708)+6))),
IF(ISNUMBER(FIND("D",B1708)),
VALUE(SUBSTITUTE(MID(B1708,FIND("D",B1708)+1,FIND("T",B1708,FIND("D",B1708))-(FIND("D",B1708)+1)),"P",",")),
IF(ISNUMBER(FIND("CFW5",B1708)),
VALUE(MID(B1708,
IF(ISNUMBER(FIND("F",B1708)),FIND("F",B1708)+1,FIND("G",B1708)+1),
FIND("T",B1708)-(IF(ISNUMBER(FIND("F",B1708)),FIND("F",B1708)+1,FIND("G",B1708)+1))
)),
VALUE(MID(B1708,FIND("E0",B1708)+2,FIND("T",B1708,FIND("E0",B1708))-(FIND("E0",B1708)+2)))
))),"")</f>
        <v>105</v>
      </c>
      <c r="G1708">
        <f>IFERROR(
IF(ISNUMBER(FIND("T2",B1708)),220,
IF(ISNUMBER(FIND("T4",B1708)),440,
IF(ISNUMBER(FIND("T5",B1708)),575,
IF(ISNUMBER(FIND("T6",B1708)),690,"")))),
"")</f>
        <v>440</v>
      </c>
    </row>
    <row r="1709" spans="1:7" x14ac:dyDescent="0.25">
      <c r="A1709">
        <v>17406035</v>
      </c>
      <c r="B1709" t="str">
        <f>VLOOKUP(A1709,Planilha2!B:C,2,0)</f>
        <v>INVERSOR BRCFW110211T4O55YECZ</v>
      </c>
      <c r="C1709" t="s">
        <v>3170</v>
      </c>
      <c r="D1709" t="str">
        <f>VLOOKUP(A1709,Planilha2!B:H,7,0)</f>
        <v>LINHA E1</v>
      </c>
      <c r="E1709" s="5">
        <v>98558</v>
      </c>
      <c r="F1709">
        <f>IFERROR(
IF(ISNUMBER(FIND("CFW110",B1709)),
VALUE(MID(B1709,FIND("CFW110",B1709)+6,FIND("T",B1709,FIND("CFW110",B1709))-(FIND("CFW110",B1709)+6))),
IF(ISNUMBER(FIND("D",B1709)),
VALUE(SUBSTITUTE(MID(B1709,FIND("D",B1709)+1,FIND("T",B1709,FIND("D",B1709))-(FIND("D",B1709)+1)),"P",",")),
IF(ISNUMBER(FIND("CFW5",B1709)),
VALUE(MID(B1709,
IF(ISNUMBER(FIND("F",B1709)),FIND("F",B1709)+1,FIND("G",B1709)+1),
FIND("T",B1709)-(IF(ISNUMBER(FIND("F",B1709)),FIND("F",B1709)+1,FIND("G",B1709)+1))
)),
VALUE(MID(B1709,FIND("E0",B1709)+2,FIND("T",B1709,FIND("E0",B1709))-(FIND("E0",B1709)+2)))
))),"")</f>
        <v>211</v>
      </c>
      <c r="G1709">
        <f>IFERROR(
IF(ISNUMBER(FIND("T2",B1709)),220,
IF(ISNUMBER(FIND("T4",B1709)),440,
IF(ISNUMBER(FIND("T5",B1709)),575,
IF(ISNUMBER(FIND("T6",B1709)),690,"")))),
"")</f>
        <v>440</v>
      </c>
    </row>
    <row r="1710" spans="1:7" x14ac:dyDescent="0.25">
      <c r="A1710">
        <v>17412027</v>
      </c>
      <c r="B1710" t="str">
        <f>VLOOKUP(A1710,Planilha2!B:C,2,0)</f>
        <v>INVERSOR EUCFW110180T4OYSUZ</v>
      </c>
      <c r="C1710" t="s">
        <v>3170</v>
      </c>
      <c r="D1710" t="str">
        <f>VLOOKUP(A1710,Planilha2!B:H,7,0)</f>
        <v>LINHA G1</v>
      </c>
      <c r="E1710" s="5">
        <v>65000</v>
      </c>
      <c r="F1710">
        <f>IFERROR(
IF(ISNUMBER(FIND("CFW110",B1710)),
VALUE(MID(B1710,FIND("CFW110",B1710)+6,FIND("T",B1710,FIND("CFW110",B1710))-(FIND("CFW110",B1710)+6))),
IF(ISNUMBER(FIND("D",B1710)),
VALUE(SUBSTITUTE(MID(B1710,FIND("D",B1710)+1,FIND("T",B1710,FIND("D",B1710))-(FIND("D",B1710)+1)),"P",",")),
IF(ISNUMBER(FIND("CFW5",B1710)),
VALUE(MID(B1710,
IF(ISNUMBER(FIND("F",B1710)),FIND("F",B1710)+1,FIND("G",B1710)+1),
FIND("T",B1710)-(IF(ISNUMBER(FIND("F",B1710)),FIND("F",B1710)+1,FIND("G",B1710)+1))
)),
VALUE(MID(B1710,FIND("E0",B1710)+2,FIND("T",B1710,FIND("E0",B1710))-(FIND("E0",B1710)+2)))
))),"")</f>
        <v>180</v>
      </c>
      <c r="G1710">
        <f>IFERROR(
IF(ISNUMBER(FIND("T2",B1710)),220,
IF(ISNUMBER(FIND("T4",B1710)),440,
IF(ISNUMBER(FIND("T5",B1710)),575,
IF(ISNUMBER(FIND("T6",B1710)),690,"")))),
"")</f>
        <v>440</v>
      </c>
    </row>
    <row r="1711" spans="1:7" x14ac:dyDescent="0.25">
      <c r="A1711">
        <v>17412188</v>
      </c>
      <c r="B1711" t="str">
        <f>VLOOKUP(A1711,Planilha2!B:C,2,0)</f>
        <v>INVERSOR EUCFW110211T4OYSUZ</v>
      </c>
      <c r="C1711" t="s">
        <v>3170</v>
      </c>
      <c r="D1711" t="str">
        <f>VLOOKUP(A1711,Planilha2!B:H,7,0)</f>
        <v>LINHA G1</v>
      </c>
      <c r="E1711" s="5">
        <v>68000</v>
      </c>
      <c r="F1711">
        <f>IFERROR(
IF(ISNUMBER(FIND("CFW110",B1711)),
VALUE(MID(B1711,FIND("CFW110",B1711)+6,FIND("T",B1711,FIND("CFW110",B1711))-(FIND("CFW110",B1711)+6))),
IF(ISNUMBER(FIND("D",B1711)),
VALUE(SUBSTITUTE(MID(B1711,FIND("D",B1711)+1,FIND("T",B1711,FIND("D",B1711))-(FIND("D",B1711)+1)),"P",",")),
IF(ISNUMBER(FIND("CFW5",B1711)),
VALUE(MID(B1711,
IF(ISNUMBER(FIND("F",B1711)),FIND("F",B1711)+1,FIND("G",B1711)+1),
FIND("T",B1711)-(IF(ISNUMBER(FIND("F",B1711)),FIND("F",B1711)+1,FIND("G",B1711)+1))
)),
VALUE(MID(B1711,FIND("E0",B1711)+2,FIND("T",B1711,FIND("E0",B1711))-(FIND("E0",B1711)+2)))
))),"")</f>
        <v>211</v>
      </c>
      <c r="G1711">
        <f>IFERROR(
IF(ISNUMBER(FIND("T2",B1711)),220,
IF(ISNUMBER(FIND("T4",B1711)),440,
IF(ISNUMBER(FIND("T5",B1711)),575,
IF(ISNUMBER(FIND("T6",B1711)),690,"")))),
"")</f>
        <v>440</v>
      </c>
    </row>
    <row r="1712" spans="1:7" x14ac:dyDescent="0.25">
      <c r="A1712">
        <v>17416553</v>
      </c>
      <c r="B1712" t="str">
        <f>VLOOKUP(A1712,Planilha2!B:C,2,0)</f>
        <v>INVERSOR EUCFW110180T4OYSUZ-UI</v>
      </c>
      <c r="C1712" t="s">
        <v>3170</v>
      </c>
      <c r="D1712" t="str">
        <f>VLOOKUP(A1712,Planilha2!B:H,7,0)</f>
        <v>LINHA G1</v>
      </c>
      <c r="E1712" s="5">
        <v>65000</v>
      </c>
      <c r="F1712">
        <f>IFERROR(
IF(ISNUMBER(FIND("CFW110",B1712)),
VALUE(MID(B1712,FIND("CFW110",B1712)+6,FIND("T",B1712,FIND("CFW110",B1712))-(FIND("CFW110",B1712)+6))),
IF(ISNUMBER(FIND("D",B1712)),
VALUE(SUBSTITUTE(MID(B1712,FIND("D",B1712)+1,FIND("T",B1712,FIND("D",B1712))-(FIND("D",B1712)+1)),"P",",")),
IF(ISNUMBER(FIND("CFW5",B1712)),
VALUE(MID(B1712,
IF(ISNUMBER(FIND("F",B1712)),FIND("F",B1712)+1,FIND("G",B1712)+1),
FIND("T",B1712)-(IF(ISNUMBER(FIND("F",B1712)),FIND("F",B1712)+1,FIND("G",B1712)+1))
)),
VALUE(MID(B1712,FIND("E0",B1712)+2,FIND("T",B1712,FIND("E0",B1712))-(FIND("E0",B1712)+2)))
))),"")</f>
        <v>180</v>
      </c>
      <c r="G1712">
        <f>IFERROR(
IF(ISNUMBER(FIND("T2",B1712)),220,
IF(ISNUMBER(FIND("T4",B1712)),440,
IF(ISNUMBER(FIND("T5",B1712)),575,
IF(ISNUMBER(FIND("T6",B1712)),690,"")))),
"")</f>
        <v>440</v>
      </c>
    </row>
    <row r="1713" spans="1:7" x14ac:dyDescent="0.25">
      <c r="A1713">
        <v>17416554</v>
      </c>
      <c r="B1713" t="str">
        <f>VLOOKUP(A1713,Planilha2!B:C,2,0)</f>
        <v>INVERSOR EUCFW110211T4OYSUZ-UI</v>
      </c>
      <c r="C1713" t="s">
        <v>3170</v>
      </c>
      <c r="D1713" t="str">
        <f>VLOOKUP(A1713,Planilha2!B:H,7,0)</f>
        <v>LINHA G1</v>
      </c>
      <c r="E1713" s="5">
        <v>68000</v>
      </c>
      <c r="F1713">
        <f>IFERROR(
IF(ISNUMBER(FIND("CFW110",B1713)),
VALUE(MID(B1713,FIND("CFW110",B1713)+6,FIND("T",B1713,FIND("CFW110",B1713))-(FIND("CFW110",B1713)+6))),
IF(ISNUMBER(FIND("D",B1713)),
VALUE(SUBSTITUTE(MID(B1713,FIND("D",B1713)+1,FIND("T",B1713,FIND("D",B1713))-(FIND("D",B1713)+1)),"P",",")),
IF(ISNUMBER(FIND("CFW5",B1713)),
VALUE(MID(B1713,
IF(ISNUMBER(FIND("F",B1713)),FIND("F",B1713)+1,FIND("G",B1713)+1),
FIND("T",B1713)-(IF(ISNUMBER(FIND("F",B1713)),FIND("F",B1713)+1,FIND("G",B1713)+1))
)),
VALUE(MID(B1713,FIND("E0",B1713)+2,FIND("T",B1713,FIND("E0",B1713))-(FIND("E0",B1713)+2)))
))),"")</f>
        <v>211</v>
      </c>
      <c r="G1713">
        <f>IFERROR(
IF(ISNUMBER(FIND("T2",B1713)),220,
IF(ISNUMBER(FIND("T4",B1713)),440,
IF(ISNUMBER(FIND("T5",B1713)),575,
IF(ISNUMBER(FIND("T6",B1713)),690,"")))),
"")</f>
        <v>440</v>
      </c>
    </row>
    <row r="1714" spans="1:7" x14ac:dyDescent="0.25">
      <c r="A1714">
        <v>17458696</v>
      </c>
      <c r="B1714" t="str">
        <f>VLOOKUP(A1714,Planilha2!B:C,2,0)</f>
        <v>INVERSOR CFW900E0242T4NB20Y2B-UI</v>
      </c>
      <c r="C1714" t="s">
        <v>3170</v>
      </c>
      <c r="D1714" t="str">
        <f>VLOOKUP(A1714,Planilha2!B:H,7,0)</f>
        <v>LINHA G1</v>
      </c>
      <c r="E1714" s="5">
        <v>63500</v>
      </c>
      <c r="F1714">
        <f>IFERROR(
IF(ISNUMBER(FIND("CFW110",B1714)),
VALUE(MID(B1714,FIND("CFW110",B1714)+6,FIND("T",B1714,FIND("CFW110",B1714))-(FIND("CFW110",B1714)+6))),
IF(ISNUMBER(FIND("D",B1714)),
VALUE(SUBSTITUTE(MID(B1714,FIND("D",B1714)+1,FIND("T",B1714,FIND("D",B1714))-(FIND("D",B1714)+1)),"P",",")),
IF(ISNUMBER(FIND("CFW5",B1714)),
VALUE(MID(B1714,
IF(ISNUMBER(FIND("F",B1714)),FIND("F",B1714)+1,FIND("G",B1714)+1),
FIND("T",B1714)-(IF(ISNUMBER(FIND("F",B1714)),FIND("F",B1714)+1,FIND("G",B1714)+1))
)),
VALUE(MID(B1714,FIND("E0",B1714)+2,FIND("T",B1714,FIND("E0",B1714))-(FIND("E0",B1714)+2)))
))),"")</f>
        <v>242</v>
      </c>
      <c r="G1714">
        <f>IFERROR(
IF(ISNUMBER(FIND("T2",B1714)),220,
IF(ISNUMBER(FIND("T4",B1714)),440,
IF(ISNUMBER(FIND("T5",B1714)),575,
IF(ISNUMBER(FIND("T6",B1714)),690,"")))),
"")</f>
        <v>440</v>
      </c>
    </row>
    <row r="1715" spans="1:7" x14ac:dyDescent="0.25">
      <c r="A1715">
        <v>17458694</v>
      </c>
      <c r="B1715" t="str">
        <f>VLOOKUP(A1715,Planilha2!B:C,2,0)</f>
        <v>INVERSOR CFW900E0203T4NB20Y2B-UI</v>
      </c>
      <c r="C1715" t="s">
        <v>3170</v>
      </c>
      <c r="D1715" t="str">
        <f>VLOOKUP(A1715,Planilha2!B:H,7,0)</f>
        <v>LINHA G1</v>
      </c>
      <c r="E1715" s="5">
        <v>63500</v>
      </c>
      <c r="F1715">
        <f>IFERROR(
IF(ISNUMBER(FIND("CFW110",B1715)),
VALUE(MID(B1715,FIND("CFW110",B1715)+6,FIND("T",B1715,FIND("CFW110",B1715))-(FIND("CFW110",B1715)+6))),
IF(ISNUMBER(FIND("D",B1715)),
VALUE(SUBSTITUTE(MID(B1715,FIND("D",B1715)+1,FIND("T",B1715,FIND("D",B1715))-(FIND("D",B1715)+1)),"P",",")),
IF(ISNUMBER(FIND("CFW5",B1715)),
VALUE(MID(B1715,
IF(ISNUMBER(FIND("F",B1715)),FIND("F",B1715)+1,FIND("G",B1715)+1),
FIND("T",B1715)-(IF(ISNUMBER(FIND("F",B1715)),FIND("F",B1715)+1,FIND("G",B1715)+1))
)),
VALUE(MID(B1715,FIND("E0",B1715)+2,FIND("T",B1715,FIND("E0",B1715))-(FIND("E0",B1715)+2)))
))),"")</f>
        <v>203</v>
      </c>
      <c r="G1715">
        <f>IFERROR(
IF(ISNUMBER(FIND("T2",B1715)),220,
IF(ISNUMBER(FIND("T4",B1715)),440,
IF(ISNUMBER(FIND("T5",B1715)),575,
IF(ISNUMBER(FIND("T6",B1715)),690,"")))),
"")</f>
        <v>440</v>
      </c>
    </row>
    <row r="1716" spans="1:7" x14ac:dyDescent="0.25">
      <c r="A1716">
        <v>17458692</v>
      </c>
      <c r="B1716" t="str">
        <f>VLOOKUP(A1716,Planilha2!B:C,2,0)</f>
        <v>INVERSOR CFW900E0172T4NB20Y2B-UI</v>
      </c>
      <c r="C1716" t="s">
        <v>3170</v>
      </c>
      <c r="D1716" t="str">
        <f>VLOOKUP(A1716,Planilha2!B:H,7,0)</f>
        <v>LINHA G1</v>
      </c>
      <c r="E1716" s="5">
        <v>63500</v>
      </c>
      <c r="F1716">
        <f>IFERROR(
IF(ISNUMBER(FIND("CFW110",B1716)),
VALUE(MID(B1716,FIND("CFW110",B1716)+6,FIND("T",B1716,FIND("CFW110",B1716))-(FIND("CFW110",B1716)+6))),
IF(ISNUMBER(FIND("D",B1716)),
VALUE(SUBSTITUTE(MID(B1716,FIND("D",B1716)+1,FIND("T",B1716,FIND("D",B1716))-(FIND("D",B1716)+1)),"P",",")),
IF(ISNUMBER(FIND("CFW5",B1716)),
VALUE(MID(B1716,
IF(ISNUMBER(FIND("F",B1716)),FIND("F",B1716)+1,FIND("G",B1716)+1),
FIND("T",B1716)-(IF(ISNUMBER(FIND("F",B1716)),FIND("F",B1716)+1,FIND("G",B1716)+1))
)),
VALUE(MID(B1716,FIND("E0",B1716)+2,FIND("T",B1716,FIND("E0",B1716))-(FIND("E0",B1716)+2)))
))),"")</f>
        <v>172</v>
      </c>
      <c r="G1716">
        <f>IFERROR(
IF(ISNUMBER(FIND("T2",B1716)),220,
IF(ISNUMBER(FIND("T4",B1716)),440,
IF(ISNUMBER(FIND("T5",B1716)),575,
IF(ISNUMBER(FIND("T6",B1716)),690,"")))),
"")</f>
        <v>440</v>
      </c>
    </row>
    <row r="1717" spans="1:7" x14ac:dyDescent="0.25">
      <c r="A1717">
        <v>17459941</v>
      </c>
      <c r="B1717" t="str">
        <f>VLOOKUP(A1717,Planilha2!B:C,2,0)</f>
        <v>INVERSOR BRCFW110211T4ODCZ-UI</v>
      </c>
      <c r="C1717" t="s">
        <v>3170</v>
      </c>
      <c r="D1717" t="str">
        <f>VLOOKUP(A1717,Planilha2!B:H,7,0)</f>
        <v>LINHA G1</v>
      </c>
      <c r="E1717" s="5">
        <v>67900</v>
      </c>
      <c r="F1717">
        <f>IFERROR(
IF(ISNUMBER(FIND("CFW110",B1717)),
VALUE(MID(B1717,FIND("CFW110",B1717)+6,FIND("T",B1717,FIND("CFW110",B1717))-(FIND("CFW110",B1717)+6))),
IF(ISNUMBER(FIND("D",B1717)),
VALUE(SUBSTITUTE(MID(B1717,FIND("D",B1717)+1,FIND("T",B1717,FIND("D",B1717))-(FIND("D",B1717)+1)),"P",",")),
IF(ISNUMBER(FIND("CFW5",B1717)),
VALUE(MID(B1717,
IF(ISNUMBER(FIND("F",B1717)),FIND("F",B1717)+1,FIND("G",B1717)+1),
FIND("T",B1717)-(IF(ISNUMBER(FIND("F",B1717)),FIND("F",B1717)+1,FIND("G",B1717)+1))
)),
VALUE(MID(B1717,FIND("E0",B1717)+2,FIND("T",B1717,FIND("E0",B1717))-(FIND("E0",B1717)+2)))
))),"")</f>
        <v>211</v>
      </c>
      <c r="G1717">
        <f>IFERROR(
IF(ISNUMBER(FIND("T2",B1717)),220,
IF(ISNUMBER(FIND("T4",B1717)),440,
IF(ISNUMBER(FIND("T5",B1717)),575,
IF(ISNUMBER(FIND("T6",B1717)),690,"")))),
"")</f>
        <v>440</v>
      </c>
    </row>
    <row r="1718" spans="1:7" x14ac:dyDescent="0.25">
      <c r="A1718">
        <v>17455568</v>
      </c>
      <c r="B1718" t="str">
        <f>VLOOKUP(A1718,Planilha2!B:C,2,0)</f>
        <v>INVERSOR BRCFW110211T4ODCZ</v>
      </c>
      <c r="C1718" t="s">
        <v>3170</v>
      </c>
      <c r="D1718" t="str">
        <f>VLOOKUP(A1718,Planilha2!B:H,7,0)</f>
        <v>LINHA G1</v>
      </c>
      <c r="E1718" s="5">
        <v>67900</v>
      </c>
      <c r="F1718">
        <f>IFERROR(
IF(ISNUMBER(FIND("CFW110",B1718)),
VALUE(MID(B1718,FIND("CFW110",B1718)+6,FIND("T",B1718,FIND("CFW110",B1718))-(FIND("CFW110",B1718)+6))),
IF(ISNUMBER(FIND("D",B1718)),
VALUE(SUBSTITUTE(MID(B1718,FIND("D",B1718)+1,FIND("T",B1718,FIND("D",B1718))-(FIND("D",B1718)+1)),"P",",")),
IF(ISNUMBER(FIND("CFW5",B1718)),
VALUE(MID(B1718,
IF(ISNUMBER(FIND("F",B1718)),FIND("F",B1718)+1,FIND("G",B1718)+1),
FIND("T",B1718)-(IF(ISNUMBER(FIND("F",B1718)),FIND("F",B1718)+1,FIND("G",B1718)+1))
)),
VALUE(MID(B1718,FIND("E0",B1718)+2,FIND("T",B1718,FIND("E0",B1718))-(FIND("E0",B1718)+2)))
))),"")</f>
        <v>211</v>
      </c>
      <c r="G1718">
        <f>IFERROR(
IF(ISNUMBER(FIND("T2",B1718)),220,
IF(ISNUMBER(FIND("T4",B1718)),440,
IF(ISNUMBER(FIND("T5",B1718)),575,
IF(ISNUMBER(FIND("T6",B1718)),690,"")))),
"")</f>
        <v>440</v>
      </c>
    </row>
    <row r="1719" spans="1:7" x14ac:dyDescent="0.25">
      <c r="A1719">
        <v>17463649</v>
      </c>
      <c r="B1719" t="str">
        <f>VLOOKUP(A1719,Planilha2!B:C,2,0)</f>
        <v>INVERSOR BRCFW110211T4ON1Z</v>
      </c>
      <c r="C1719" t="s">
        <v>3170</v>
      </c>
      <c r="D1719" t="str">
        <f>VLOOKUP(A1719,Planilha2!B:H,7,0)</f>
        <v>LINHA G1</v>
      </c>
      <c r="E1719" s="5">
        <v>69300</v>
      </c>
      <c r="F1719">
        <f>IFERROR(
IF(ISNUMBER(FIND("CFW110",B1719)),
VALUE(MID(B1719,FIND("CFW110",B1719)+6,FIND("T",B1719,FIND("CFW110",B1719))-(FIND("CFW110",B1719)+6))),
IF(ISNUMBER(FIND("D",B1719)),
VALUE(SUBSTITUTE(MID(B1719,FIND("D",B1719)+1,FIND("T",B1719,FIND("D",B1719))-(FIND("D",B1719)+1)),"P",",")),
IF(ISNUMBER(FIND("CFW5",B1719)),
VALUE(MID(B1719,
IF(ISNUMBER(FIND("F",B1719)),FIND("F",B1719)+1,FIND("G",B1719)+1),
FIND("T",B1719)-(IF(ISNUMBER(FIND("F",B1719)),FIND("F",B1719)+1,FIND("G",B1719)+1))
)),
VALUE(MID(B1719,FIND("E0",B1719)+2,FIND("T",B1719,FIND("E0",B1719))-(FIND("E0",B1719)+2)))
))),"")</f>
        <v>211</v>
      </c>
      <c r="G1719">
        <f>IFERROR(
IF(ISNUMBER(FIND("T2",B1719)),220,
IF(ISNUMBER(FIND("T4",B1719)),440,
IF(ISNUMBER(FIND("T5",B1719)),575,
IF(ISNUMBER(FIND("T6",B1719)),690,"")))),
"")</f>
        <v>440</v>
      </c>
    </row>
    <row r="1720" spans="1:7" x14ac:dyDescent="0.25">
      <c r="A1720">
        <v>17546991</v>
      </c>
      <c r="B1720" t="str">
        <f>VLOOKUP(A1720,Planilha2!B:C,2,0)</f>
        <v>INVERSOR EUCFW110150T6OYWZ</v>
      </c>
      <c r="C1720" t="s">
        <v>3170</v>
      </c>
      <c r="D1720" t="str">
        <f>VLOOKUP(A1720,Planilha2!B:H,7,0)</f>
        <v>LINHA G1</v>
      </c>
      <c r="E1720" s="5">
        <v>64000</v>
      </c>
      <c r="F1720">
        <f>IFERROR(
IF(ISNUMBER(FIND("CFW110",B1720)),
VALUE(MID(B1720,FIND("CFW110",B1720)+6,FIND("T",B1720,FIND("CFW110",B1720))-(FIND("CFW110",B1720)+6))),
IF(ISNUMBER(FIND("D",B1720)),
VALUE(SUBSTITUTE(MID(B1720,FIND("D",B1720)+1,FIND("T",B1720,FIND("D",B1720))-(FIND("D",B1720)+1)),"P",",")),
IF(ISNUMBER(FIND("CFW5",B1720)),
VALUE(MID(B1720,
IF(ISNUMBER(FIND("F",B1720)),FIND("F",B1720)+1,FIND("G",B1720)+1),
FIND("T",B1720)-(IF(ISNUMBER(FIND("F",B1720)),FIND("F",B1720)+1,FIND("G",B1720)+1))
)),
VALUE(MID(B1720,FIND("E0",B1720)+2,FIND("T",B1720,FIND("E0",B1720))-(FIND("E0",B1720)+2)))
))),"")</f>
        <v>150</v>
      </c>
      <c r="G1720">
        <f>IFERROR(
IF(ISNUMBER(FIND("T2",B1720)),220,
IF(ISNUMBER(FIND("T4",B1720)),440,
IF(ISNUMBER(FIND("T5",B1720)),575,
IF(ISNUMBER(FIND("T6",B1720)),690,"")))),
"")</f>
        <v>690</v>
      </c>
    </row>
    <row r="1721" spans="1:7" x14ac:dyDescent="0.25">
      <c r="A1721">
        <v>17554278</v>
      </c>
      <c r="B1721" t="str">
        <f>VLOOKUP(A1721,Planilha2!B:C,2,0)</f>
        <v>INVERSOR BRCFW110760T4ORBZ</v>
      </c>
      <c r="C1721" t="s">
        <v>3170</v>
      </c>
      <c r="D1721" t="str">
        <f>VLOOKUP(A1721,Planilha2!B:H,7,0)</f>
        <v>LINHA G5</v>
      </c>
      <c r="E1721" s="5">
        <v>210368</v>
      </c>
      <c r="F1721">
        <f>IFERROR(
IF(ISNUMBER(FIND("CFW110",B1721)),
VALUE(MID(B1721,FIND("CFW110",B1721)+6,FIND("T",B1721,FIND("CFW110",B1721))-(FIND("CFW110",B1721)+6))),
IF(ISNUMBER(FIND("D",B1721)),
VALUE(SUBSTITUTE(MID(B1721,FIND("D",B1721)+1,FIND("T",B1721,FIND("D",B1721))-(FIND("D",B1721)+1)),"P",",")),
IF(ISNUMBER(FIND("CFW5",B1721)),
VALUE(MID(B1721,
IF(ISNUMBER(FIND("F",B1721)),FIND("F",B1721)+1,FIND("G",B1721)+1),
FIND("T",B1721)-(IF(ISNUMBER(FIND("F",B1721)),FIND("F",B1721)+1,FIND("G",B1721)+1))
)),
VALUE(MID(B1721,FIND("E0",B1721)+2,FIND("T",B1721,FIND("E0",B1721))-(FIND("E0",B1721)+2)))
))),"")</f>
        <v>760</v>
      </c>
      <c r="G1721">
        <f>IFERROR(
IF(ISNUMBER(FIND("T2",B1721)),220,
IF(ISNUMBER(FIND("T4",B1721)),440,
IF(ISNUMBER(FIND("T5",B1721)),575,
IF(ISNUMBER(FIND("T6",B1721)),690,"")))),
"")</f>
        <v>440</v>
      </c>
    </row>
    <row r="1722" spans="1:7" x14ac:dyDescent="0.25">
      <c r="A1722">
        <v>12105106</v>
      </c>
      <c r="B1722" t="str">
        <f>VLOOKUP(A1722,Planilha2!B:C,2,0)</f>
        <v>INVERSOR NACFW110211T4ON1YZ</v>
      </c>
      <c r="C1722" t="s">
        <v>3170</v>
      </c>
      <c r="D1722" t="str">
        <f>VLOOKUP(A1722,Planilha2!B:H,7,0)</f>
        <v>LINHA G1</v>
      </c>
      <c r="E1722" s="5">
        <v>70360</v>
      </c>
      <c r="F1722">
        <f>IFERROR(
IF(ISNUMBER(FIND("CFW110",B1722)),
VALUE(MID(B1722,FIND("CFW110",B1722)+6,FIND("T",B1722,FIND("CFW110",B1722))-(FIND("CFW110",B1722)+6))),
IF(ISNUMBER(FIND("D",B1722)),
VALUE(SUBSTITUTE(MID(B1722,FIND("D",B1722)+1,FIND("T",B1722,FIND("D",B1722))-(FIND("D",B1722)+1)),"P",",")),
IF(ISNUMBER(FIND("CFW5",B1722)),
VALUE(MID(B1722,
IF(ISNUMBER(FIND("F",B1722)),FIND("F",B1722)+1,FIND("G",B1722)+1),
FIND("T",B1722)-(IF(ISNUMBER(FIND("F",B1722)),FIND("F",B1722)+1,FIND("G",B1722)+1))
)),
VALUE(MID(B1722,FIND("E0",B1722)+2,FIND("T",B1722,FIND("E0",B1722))-(FIND("E0",B1722)+2)))
))),"")</f>
        <v>211</v>
      </c>
      <c r="G1722">
        <f>IFERROR(
IF(ISNUMBER(FIND("T2",B1722)),220,
IF(ISNUMBER(FIND("T4",B1722)),440,
IF(ISNUMBER(FIND("T5",B1722)),575,
IF(ISNUMBER(FIND("T6",B1722)),690,"")))),
"")</f>
        <v>440</v>
      </c>
    </row>
    <row r="1723" spans="1:7" x14ac:dyDescent="0.25">
      <c r="A1723">
        <v>17600348</v>
      </c>
      <c r="B1723" t="str">
        <f>VLOOKUP(A1723,Planilha2!B:C,2,0)</f>
        <v>INVERSOR BRCFW110142T4ODBYWZ-UI</v>
      </c>
      <c r="C1723" t="s">
        <v>3170</v>
      </c>
      <c r="D1723" t="str">
        <f>VLOOKUP(A1723,Planilha2!B:H,7,0)</f>
        <v>LINHA G1</v>
      </c>
      <c r="E1723" s="5">
        <v>59360</v>
      </c>
      <c r="F1723">
        <f>IFERROR(
IF(ISNUMBER(FIND("CFW110",B1723)),
VALUE(MID(B1723,FIND("CFW110",B1723)+6,FIND("T",B1723,FIND("CFW110",B1723))-(FIND("CFW110",B1723)+6))),
IF(ISNUMBER(FIND("D",B1723)),
VALUE(SUBSTITUTE(MID(B1723,FIND("D",B1723)+1,FIND("T",B1723,FIND("D",B1723))-(FIND("D",B1723)+1)),"P",",")),
IF(ISNUMBER(FIND("CFW5",B1723)),
VALUE(MID(B1723,
IF(ISNUMBER(FIND("F",B1723)),FIND("F",B1723)+1,FIND("G",B1723)+1),
FIND("T",B1723)-(IF(ISNUMBER(FIND("F",B1723)),FIND("F",B1723)+1,FIND("G",B1723)+1))
)),
VALUE(MID(B1723,FIND("E0",B1723)+2,FIND("T",B1723,FIND("E0",B1723))-(FIND("E0",B1723)+2)))
))),"")</f>
        <v>142</v>
      </c>
      <c r="G1723">
        <f>IFERROR(
IF(ISNUMBER(FIND("T2",B1723)),220,
IF(ISNUMBER(FIND("T4",B1723)),440,
IF(ISNUMBER(FIND("T5",B1723)),575,
IF(ISNUMBER(FIND("T6",B1723)),690,"")))),
"")</f>
        <v>440</v>
      </c>
    </row>
    <row r="1724" spans="1:7" x14ac:dyDescent="0.25">
      <c r="A1724">
        <v>14803630</v>
      </c>
      <c r="B1724" t="str">
        <f>VLOOKUP(A1724,Planilha2!B:C,2,0)</f>
        <v>INVERSOR EUCFW110053T6OYWZ</v>
      </c>
      <c r="C1724" t="s">
        <v>3170</v>
      </c>
      <c r="D1724" t="str">
        <f>VLOOKUP(A1724,Planilha2!B:H,7,0)</f>
        <v>LINHA G1</v>
      </c>
      <c r="E1724" s="5">
        <v>1000</v>
      </c>
      <c r="F1724">
        <f>IFERROR(
IF(ISNUMBER(FIND("CFW110",B1724)),
VALUE(MID(B1724,FIND("CFW110",B1724)+6,FIND("T",B1724,FIND("CFW110",B1724))-(FIND("CFW110",B1724)+6))),
IF(ISNUMBER(FIND("D",B1724)),
VALUE(SUBSTITUTE(MID(B1724,FIND("D",B1724)+1,FIND("T",B1724,FIND("D",B1724))-(FIND("D",B1724)+1)),"P",",")),
IF(ISNUMBER(FIND("CFW5",B1724)),
VALUE(MID(B1724,
IF(ISNUMBER(FIND("F",B1724)),FIND("F",B1724)+1,FIND("G",B1724)+1),
FIND("T",B1724)-(IF(ISNUMBER(FIND("F",B1724)),FIND("F",B1724)+1,FIND("G",B1724)+1))
)),
VALUE(MID(B1724,FIND("E0",B1724)+2,FIND("T",B1724,FIND("E0",B1724))-(FIND("E0",B1724)+2)))
))),"")</f>
        <v>53</v>
      </c>
      <c r="G1724">
        <f>IFERROR(
IF(ISNUMBER(FIND("T2",B1724)),220,
IF(ISNUMBER(FIND("T4",B1724)),440,
IF(ISNUMBER(FIND("T5",B1724)),575,
IF(ISNUMBER(FIND("T6",B1724)),690,"")))),
"")</f>
        <v>690</v>
      </c>
    </row>
    <row r="1725" spans="1:7" x14ac:dyDescent="0.25">
      <c r="A1725">
        <v>17647853</v>
      </c>
      <c r="B1725" t="str">
        <f>VLOOKUP(A1725,Planilha2!B:C,2,0)</f>
        <v>INVERSOR EUCFW110080T6OYTFZ</v>
      </c>
      <c r="C1725" t="s">
        <v>3170</v>
      </c>
      <c r="D1725" t="str">
        <f>VLOOKUP(A1725,Planilha2!B:H,7,0)</f>
        <v>LINHA G1</v>
      </c>
      <c r="E1725" s="5">
        <v>60360</v>
      </c>
      <c r="F1725">
        <f>IFERROR(
IF(ISNUMBER(FIND("CFW110",B1725)),
VALUE(MID(B1725,FIND("CFW110",B1725)+6,FIND("T",B1725,FIND("CFW110",B1725))-(FIND("CFW110",B1725)+6))),
IF(ISNUMBER(FIND("D",B1725)),
VALUE(SUBSTITUTE(MID(B1725,FIND("D",B1725)+1,FIND("T",B1725,FIND("D",B1725))-(FIND("D",B1725)+1)),"P",",")),
IF(ISNUMBER(FIND("CFW5",B1725)),
VALUE(MID(B1725,
IF(ISNUMBER(FIND("F",B1725)),FIND("F",B1725)+1,FIND("G",B1725)+1),
FIND("T",B1725)-(IF(ISNUMBER(FIND("F",B1725)),FIND("F",B1725)+1,FIND("G",B1725)+1))
)),
VALUE(MID(B1725,FIND("E0",B1725)+2,FIND("T",B1725,FIND("E0",B1725))-(FIND("E0",B1725)+2)))
))),"")</f>
        <v>80</v>
      </c>
      <c r="G1725">
        <f>IFERROR(
IF(ISNUMBER(FIND("T2",B1725)),220,
IF(ISNUMBER(FIND("T4",B1725)),440,
IF(ISNUMBER(FIND("T5",B1725)),575,
IF(ISNUMBER(FIND("T6",B1725)),690,"")))),
"")</f>
        <v>690</v>
      </c>
    </row>
    <row r="1726" spans="1:7" x14ac:dyDescent="0.25">
      <c r="A1726">
        <v>17704111</v>
      </c>
      <c r="B1726" t="str">
        <f>VLOOKUP(A1726,Planilha2!B:C,2,0)</f>
        <v>INVERSOR BRCFW110211T4OYWDCZ-UI</v>
      </c>
      <c r="C1726" t="s">
        <v>3170</v>
      </c>
      <c r="D1726" t="str">
        <f>VLOOKUP(A1726,Planilha2!B:H,7,0)</f>
        <v>LINHA G1</v>
      </c>
      <c r="E1726" s="5">
        <v>67900</v>
      </c>
      <c r="F1726">
        <f>IFERROR(
IF(ISNUMBER(FIND("CFW110",B1726)),
VALUE(MID(B1726,FIND("CFW110",B1726)+6,FIND("T",B1726,FIND("CFW110",B1726))-(FIND("CFW110",B1726)+6))),
IF(ISNUMBER(FIND("D",B1726)),
VALUE(SUBSTITUTE(MID(B1726,FIND("D",B1726)+1,FIND("T",B1726,FIND("D",B1726))-(FIND("D",B1726)+1)),"P",",")),
IF(ISNUMBER(FIND("CFW5",B1726)),
VALUE(MID(B1726,
IF(ISNUMBER(FIND("F",B1726)),FIND("F",B1726)+1,FIND("G",B1726)+1),
FIND("T",B1726)-(IF(ISNUMBER(FIND("F",B1726)),FIND("F",B1726)+1,FIND("G",B1726)+1))
)),
VALUE(MID(B1726,FIND("E0",B1726)+2,FIND("T",B1726,FIND("E0",B1726))-(FIND("E0",B1726)+2)))
))),"")</f>
        <v>211</v>
      </c>
      <c r="G1726">
        <f>IFERROR(
IF(ISNUMBER(FIND("T2",B1726)),220,
IF(ISNUMBER(FIND("T4",B1726)),440,
IF(ISNUMBER(FIND("T5",B1726)),575,
IF(ISNUMBER(FIND("T6",B1726)),690,"")))),
"")</f>
        <v>440</v>
      </c>
    </row>
    <row r="1727" spans="1:7" x14ac:dyDescent="0.25">
      <c r="A1727">
        <v>17704110</v>
      </c>
      <c r="B1727" t="str">
        <f>VLOOKUP(A1727,Planilha2!B:C,2,0)</f>
        <v>INVERSOR BRCFW110211T4ORBWZ-UI</v>
      </c>
      <c r="C1727" t="s">
        <v>3170</v>
      </c>
      <c r="D1727" t="str">
        <f>VLOOKUP(A1727,Planilha2!B:H,7,0)</f>
        <v>LINHA G1</v>
      </c>
      <c r="E1727" s="5">
        <v>59360</v>
      </c>
      <c r="F1727">
        <f>IFERROR(
IF(ISNUMBER(FIND("CFW110",B1727)),
VALUE(MID(B1727,FIND("CFW110",B1727)+6,FIND("T",B1727,FIND("CFW110",B1727))-(FIND("CFW110",B1727)+6))),
IF(ISNUMBER(FIND("D",B1727)),
VALUE(SUBSTITUTE(MID(B1727,FIND("D",B1727)+1,FIND("T",B1727,FIND("D",B1727))-(FIND("D",B1727)+1)),"P",",")),
IF(ISNUMBER(FIND("CFW5",B1727)),
VALUE(MID(B1727,
IF(ISNUMBER(FIND("F",B1727)),FIND("F",B1727)+1,FIND("G",B1727)+1),
FIND("T",B1727)-(IF(ISNUMBER(FIND("F",B1727)),FIND("F",B1727)+1,FIND("G",B1727)+1))
)),
VALUE(MID(B1727,FIND("E0",B1727)+2,FIND("T",B1727,FIND("E0",B1727))-(FIND("E0",B1727)+2)))
))),"")</f>
        <v>211</v>
      </c>
      <c r="G1727">
        <f>IFERROR(
IF(ISNUMBER(FIND("T2",B1727)),220,
IF(ISNUMBER(FIND("T4",B1727)),440,
IF(ISNUMBER(FIND("T5",B1727)),575,
IF(ISNUMBER(FIND("T6",B1727)),690,"")))),
"")</f>
        <v>440</v>
      </c>
    </row>
    <row r="1728" spans="1:7" x14ac:dyDescent="0.25">
      <c r="A1728">
        <v>17692045</v>
      </c>
      <c r="B1728" t="str">
        <f>VLOOKUP(A1728,Planilha2!B:C,2,0)</f>
        <v>INVERSOR BRCFW110211T4OYWDCZ</v>
      </c>
      <c r="C1728" t="s">
        <v>3170</v>
      </c>
      <c r="D1728" t="str">
        <f>VLOOKUP(A1728,Planilha2!B:H,7,0)</f>
        <v>LINHA G1</v>
      </c>
      <c r="E1728" s="5">
        <v>67900</v>
      </c>
      <c r="F1728">
        <f>IFERROR(
IF(ISNUMBER(FIND("CFW110",B1728)),
VALUE(MID(B1728,FIND("CFW110",B1728)+6,FIND("T",B1728,FIND("CFW110",B1728))-(FIND("CFW110",B1728)+6))),
IF(ISNUMBER(FIND("D",B1728)),
VALUE(SUBSTITUTE(MID(B1728,FIND("D",B1728)+1,FIND("T",B1728,FIND("D",B1728))-(FIND("D",B1728)+1)),"P",",")),
IF(ISNUMBER(FIND("CFW5",B1728)),
VALUE(MID(B1728,
IF(ISNUMBER(FIND("F",B1728)),FIND("F",B1728)+1,FIND("G",B1728)+1),
FIND("T",B1728)-(IF(ISNUMBER(FIND("F",B1728)),FIND("F",B1728)+1,FIND("G",B1728)+1))
)),
VALUE(MID(B1728,FIND("E0",B1728)+2,FIND("T",B1728,FIND("E0",B1728))-(FIND("E0",B1728)+2)))
))),"")</f>
        <v>211</v>
      </c>
      <c r="G1728">
        <f>IFERROR(
IF(ISNUMBER(FIND("T2",B1728)),220,
IF(ISNUMBER(FIND("T4",B1728)),440,
IF(ISNUMBER(FIND("T5",B1728)),575,
IF(ISNUMBER(FIND("T6",B1728)),690,"")))),
"")</f>
        <v>440</v>
      </c>
    </row>
    <row r="1729" spans="1:7" x14ac:dyDescent="0.25">
      <c r="A1729">
        <v>17692043</v>
      </c>
      <c r="B1729" t="str">
        <f>VLOOKUP(A1729,Planilha2!B:C,2,0)</f>
        <v>INVERSOR BRCFW110211T4ORBWZ</v>
      </c>
      <c r="C1729" t="s">
        <v>3170</v>
      </c>
      <c r="D1729" t="str">
        <f>VLOOKUP(A1729,Planilha2!B:H,7,0)</f>
        <v>LINHA G1</v>
      </c>
      <c r="E1729" s="5">
        <v>59360</v>
      </c>
      <c r="F1729">
        <f>IFERROR(
IF(ISNUMBER(FIND("CFW110",B1729)),
VALUE(MID(B1729,FIND("CFW110",B1729)+6,FIND("T",B1729,FIND("CFW110",B1729))-(FIND("CFW110",B1729)+6))),
IF(ISNUMBER(FIND("D",B1729)),
VALUE(SUBSTITUTE(MID(B1729,FIND("D",B1729)+1,FIND("T",B1729,FIND("D",B1729))-(FIND("D",B1729)+1)),"P",",")),
IF(ISNUMBER(FIND("CFW5",B1729)),
VALUE(MID(B1729,
IF(ISNUMBER(FIND("F",B1729)),FIND("F",B1729)+1,FIND("G",B1729)+1),
FIND("T",B1729)-(IF(ISNUMBER(FIND("F",B1729)),FIND("F",B1729)+1,FIND("G",B1729)+1))
)),
VALUE(MID(B1729,FIND("E0",B1729)+2,FIND("T",B1729,FIND("E0",B1729))-(FIND("E0",B1729)+2)))
))),"")</f>
        <v>211</v>
      </c>
      <c r="G1729">
        <f>IFERROR(
IF(ISNUMBER(FIND("T2",B1729)),220,
IF(ISNUMBER(FIND("T4",B1729)),440,
IF(ISNUMBER(FIND("T5",B1729)),575,
IF(ISNUMBER(FIND("T6",B1729)),690,"")))),
"")</f>
        <v>440</v>
      </c>
    </row>
    <row r="1730" spans="1:7" x14ac:dyDescent="0.25">
      <c r="A1730">
        <v>17229737</v>
      </c>
      <c r="B1730" t="str">
        <f>VLOOKUP(A1730,Planilha2!B:C,2,0)</f>
        <v>INVERSOR BRCFW110211T2OHIRZ</v>
      </c>
      <c r="C1730" t="s">
        <v>3170</v>
      </c>
      <c r="D1730" t="str">
        <f>VLOOKUP(A1730,Planilha2!B:H,7,0)</f>
        <v>LINHA G1</v>
      </c>
      <c r="E1730" s="5">
        <v>59360</v>
      </c>
      <c r="F1730">
        <f>IFERROR(
IF(ISNUMBER(FIND("CFW110",B1730)),
VALUE(MID(B1730,FIND("CFW110",B1730)+6,FIND("T",B1730,FIND("CFW110",B1730))-(FIND("CFW110",B1730)+6))),
IF(ISNUMBER(FIND("D",B1730)),
VALUE(SUBSTITUTE(MID(B1730,FIND("D",B1730)+1,FIND("T",B1730,FIND("D",B1730))-(FIND("D",B1730)+1)),"P",",")),
IF(ISNUMBER(FIND("CFW5",B1730)),
VALUE(MID(B1730,
IF(ISNUMBER(FIND("F",B1730)),FIND("F",B1730)+1,FIND("G",B1730)+1),
FIND("T",B1730)-(IF(ISNUMBER(FIND("F",B1730)),FIND("F",B1730)+1,FIND("G",B1730)+1))
)),
VALUE(MID(B1730,FIND("E0",B1730)+2,FIND("T",B1730,FIND("E0",B1730))-(FIND("E0",B1730)+2)))
))),"")</f>
        <v>211</v>
      </c>
      <c r="G1730">
        <f>IFERROR(
IF(ISNUMBER(FIND("T2",B1730)),220,
IF(ISNUMBER(FIND("T4",B1730)),440,
IF(ISNUMBER(FIND("T5",B1730)),575,
IF(ISNUMBER(FIND("T6",B1730)),690,"")))),
"")</f>
        <v>220</v>
      </c>
    </row>
    <row r="1731" spans="1:7" x14ac:dyDescent="0.25">
      <c r="A1731">
        <v>10858699</v>
      </c>
      <c r="B1731" t="str">
        <f>VLOOKUP(A1731,Planilha2!B:C,2,0)</f>
        <v>INVERSOR BRCFW110180T4SZ</v>
      </c>
      <c r="C1731" t="s">
        <v>3170</v>
      </c>
      <c r="D1731" t="str">
        <f>VLOOKUP(A1731,Planilha2!B:H,7,0)</f>
        <v>LINHA G1</v>
      </c>
      <c r="E1731" s="5">
        <v>65000</v>
      </c>
      <c r="F1731">
        <f>IFERROR(
IF(ISNUMBER(FIND("CFW110",B1731)),
VALUE(MID(B1731,FIND("CFW110",B1731)+6,FIND("T",B1731,FIND("CFW110",B1731))-(FIND("CFW110",B1731)+6))),
IF(ISNUMBER(FIND("D",B1731)),
VALUE(SUBSTITUTE(MID(B1731,FIND("D",B1731)+1,FIND("T",B1731,FIND("D",B1731))-(FIND("D",B1731)+1)),"P",",")),
IF(ISNUMBER(FIND("CFW5",B1731)),
VALUE(MID(B1731,
IF(ISNUMBER(FIND("F",B1731)),FIND("F",B1731)+1,FIND("G",B1731)+1),
FIND("T",B1731)-(IF(ISNUMBER(FIND("F",B1731)),FIND("F",B1731)+1,FIND("G",B1731)+1))
)),
VALUE(MID(B1731,FIND("E0",B1731)+2,FIND("T",B1731,FIND("E0",B1731))-(FIND("E0",B1731)+2)))
))),"")</f>
        <v>180</v>
      </c>
      <c r="G1731">
        <f>IFERROR(
IF(ISNUMBER(FIND("T2",B1731)),220,
IF(ISNUMBER(FIND("T4",B1731)),440,
IF(ISNUMBER(FIND("T5",B1731)),575,
IF(ISNUMBER(FIND("T6",B1731)),690,"")))),
"")</f>
        <v>440</v>
      </c>
    </row>
    <row r="1732" spans="1:7" x14ac:dyDescent="0.25">
      <c r="A1732">
        <v>10858714</v>
      </c>
      <c r="B1732" t="str">
        <f>VLOOKUP(A1732,Planilha2!B:C,2,0)</f>
        <v>INVERSOR BRCFW110211T4SZ</v>
      </c>
      <c r="C1732" t="s">
        <v>3170</v>
      </c>
      <c r="D1732" t="str">
        <f>VLOOKUP(A1732,Planilha2!B:H,7,0)</f>
        <v>LINHA G1</v>
      </c>
      <c r="E1732" s="5">
        <v>68200</v>
      </c>
      <c r="F1732">
        <f>IFERROR(
IF(ISNUMBER(FIND("CFW110",B1732)),
VALUE(MID(B1732,FIND("CFW110",B1732)+6,FIND("T",B1732,FIND("CFW110",B1732))-(FIND("CFW110",B1732)+6))),
IF(ISNUMBER(FIND("D",B1732)),
VALUE(SUBSTITUTE(MID(B1732,FIND("D",B1732)+1,FIND("T",B1732,FIND("D",B1732))-(FIND("D",B1732)+1)),"P",",")),
IF(ISNUMBER(FIND("CFW5",B1732)),
VALUE(MID(B1732,
IF(ISNUMBER(FIND("F",B1732)),FIND("F",B1732)+1,FIND("G",B1732)+1),
FIND("T",B1732)-(IF(ISNUMBER(FIND("F",B1732)),FIND("F",B1732)+1,FIND("G",B1732)+1))
)),
VALUE(MID(B1732,FIND("E0",B1732)+2,FIND("T",B1732,FIND("E0",B1732))-(FIND("E0",B1732)+2)))
))),"")</f>
        <v>211</v>
      </c>
      <c r="G1732">
        <f>IFERROR(
IF(ISNUMBER(FIND("T2",B1732)),220,
IF(ISNUMBER(FIND("T4",B1732)),440,
IF(ISNUMBER(FIND("T5",B1732)),575,
IF(ISNUMBER(FIND("T6",B1732)),690,"")))),
"")</f>
        <v>440</v>
      </c>
    </row>
    <row r="1733" spans="1:7" x14ac:dyDescent="0.25">
      <c r="A1733">
        <v>18121613</v>
      </c>
      <c r="B1733" t="str">
        <f>VLOOKUP(A1733,Planilha2!B:C,2,0)</f>
        <v>INVERSOR BRCFW110760T4ORBH1Z</v>
      </c>
      <c r="C1733" t="s">
        <v>3170</v>
      </c>
      <c r="D1733" t="str">
        <f>VLOOKUP(A1733,Planilha2!B:H,7,0)</f>
        <v>LINHA G5</v>
      </c>
      <c r="E1733" s="5">
        <v>215434</v>
      </c>
      <c r="F1733">
        <f>IFERROR(
IF(ISNUMBER(FIND("CFW110",B1733)),
VALUE(MID(B1733,FIND("CFW110",B1733)+6,FIND("T",B1733,FIND("CFW110",B1733))-(FIND("CFW110",B1733)+6))),
IF(ISNUMBER(FIND("D",B1733)),
VALUE(SUBSTITUTE(MID(B1733,FIND("D",B1733)+1,FIND("T",B1733,FIND("D",B1733))-(FIND("D",B1733)+1)),"P",",")),
IF(ISNUMBER(FIND("CFW5",B1733)),
VALUE(MID(B1733,
IF(ISNUMBER(FIND("F",B1733)),FIND("F",B1733)+1,FIND("G",B1733)+1),
FIND("T",B1733)-(IF(ISNUMBER(FIND("F",B1733)),FIND("F",B1733)+1,FIND("G",B1733)+1))
)),
VALUE(MID(B1733,FIND("E0",B1733)+2,FIND("T",B1733,FIND("E0",B1733))-(FIND("E0",B1733)+2)))
))),"")</f>
        <v>760</v>
      </c>
      <c r="G1733">
        <f>IFERROR(
IF(ISNUMBER(FIND("T2",B1733)),220,
IF(ISNUMBER(FIND("T4",B1733)),440,
IF(ISNUMBER(FIND("T5",B1733)),575,
IF(ISNUMBER(FIND("T6",B1733)),690,"")))),
"")</f>
        <v>440</v>
      </c>
    </row>
    <row r="1734" spans="1:7" x14ac:dyDescent="0.25">
      <c r="A1734">
        <v>18143964</v>
      </c>
      <c r="B1734" t="str">
        <f>VLOOKUP(A1734,Planilha2!B:C,2,0)</f>
        <v>INVERSOR BRCFW110760T4ORBH1Z-UI</v>
      </c>
      <c r="C1734" t="s">
        <v>3170</v>
      </c>
      <c r="D1734" t="str">
        <f>VLOOKUP(A1734,Planilha2!B:H,7,0)</f>
        <v>LINHA G5</v>
      </c>
      <c r="E1734" s="5">
        <v>215434</v>
      </c>
      <c r="F1734">
        <f>IFERROR(
IF(ISNUMBER(FIND("CFW110",B1734)),
VALUE(MID(B1734,FIND("CFW110",B1734)+6,FIND("T",B1734,FIND("CFW110",B1734))-(FIND("CFW110",B1734)+6))),
IF(ISNUMBER(FIND("D",B1734)),
VALUE(SUBSTITUTE(MID(B1734,FIND("D",B1734)+1,FIND("T",B1734,FIND("D",B1734))-(FIND("D",B1734)+1)),"P",",")),
IF(ISNUMBER(FIND("CFW5",B1734)),
VALUE(MID(B1734,
IF(ISNUMBER(FIND("F",B1734)),FIND("F",B1734)+1,FIND("G",B1734)+1),
FIND("T",B1734)-(IF(ISNUMBER(FIND("F",B1734)),FIND("F",B1734)+1,FIND("G",B1734)+1))
)),
VALUE(MID(B1734,FIND("E0",B1734)+2,FIND("T",B1734,FIND("E0",B1734))-(FIND("E0",B1734)+2)))
))),"")</f>
        <v>760</v>
      </c>
      <c r="G1734">
        <f>IFERROR(
IF(ISNUMBER(FIND("T2",B1734)),220,
IF(ISNUMBER(FIND("T4",B1734)),440,
IF(ISNUMBER(FIND("T5",B1734)),575,
IF(ISNUMBER(FIND("T6",B1734)),690,"")))),
"")</f>
        <v>440</v>
      </c>
    </row>
    <row r="1735" spans="1:7" x14ac:dyDescent="0.25">
      <c r="A1735">
        <v>18169206</v>
      </c>
      <c r="B1735" t="str">
        <f>VLOOKUP(A1735,Planilha2!B:C,2,0)</f>
        <v>INVERSOR CFW900E0172T2NB20Y2B-UI</v>
      </c>
      <c r="C1735" t="s">
        <v>3170</v>
      </c>
      <c r="D1735" t="str">
        <f>VLOOKUP(A1735,Planilha2!B:H,7,0)</f>
        <v>LINHA G1</v>
      </c>
      <c r="E1735" s="5">
        <v>94000</v>
      </c>
      <c r="F1735">
        <f>IFERROR(
IF(ISNUMBER(FIND("CFW110",B1735)),
VALUE(MID(B1735,FIND("CFW110",B1735)+6,FIND("T",B1735,FIND("CFW110",B1735))-(FIND("CFW110",B1735)+6))),
IF(ISNUMBER(FIND("D",B1735)),
VALUE(SUBSTITUTE(MID(B1735,FIND("D",B1735)+1,FIND("T",B1735,FIND("D",B1735))-(FIND("D",B1735)+1)),"P",",")),
IF(ISNUMBER(FIND("CFW5",B1735)),
VALUE(MID(B1735,
IF(ISNUMBER(FIND("F",B1735)),FIND("F",B1735)+1,FIND("G",B1735)+1),
FIND("T",B1735)-(IF(ISNUMBER(FIND("F",B1735)),FIND("F",B1735)+1,FIND("G",B1735)+1))
)),
VALUE(MID(B1735,FIND("E0",B1735)+2,FIND("T",B1735,FIND("E0",B1735))-(FIND("E0",B1735)+2)))
))),"")</f>
        <v>172</v>
      </c>
      <c r="G1735">
        <f>IFERROR(
IF(ISNUMBER(FIND("T2",B1735)),220,
IF(ISNUMBER(FIND("T4",B1735)),440,
IF(ISNUMBER(FIND("T5",B1735)),575,
IF(ISNUMBER(FIND("T6",B1735)),690,"")))),
"")</f>
        <v>220</v>
      </c>
    </row>
    <row r="1736" spans="1:7" x14ac:dyDescent="0.25">
      <c r="A1736">
        <v>18169207</v>
      </c>
      <c r="B1736" t="str">
        <f>VLOOKUP(A1736,Planilha2!B:C,2,0)</f>
        <v>INVERSOR CFW900E0195T2NB20Y2B-UI</v>
      </c>
      <c r="C1736" t="s">
        <v>3170</v>
      </c>
      <c r="D1736" t="str">
        <f>VLOOKUP(A1736,Planilha2!B:H,7,0)</f>
        <v>LINHA G1</v>
      </c>
      <c r="E1736" s="5">
        <v>94000</v>
      </c>
      <c r="F1736">
        <f>IFERROR(
IF(ISNUMBER(FIND("CFW110",B1736)),
VALUE(MID(B1736,FIND("CFW110",B1736)+6,FIND("T",B1736,FIND("CFW110",B1736))-(FIND("CFW110",B1736)+6))),
IF(ISNUMBER(FIND("D",B1736)),
VALUE(SUBSTITUTE(MID(B1736,FIND("D",B1736)+1,FIND("T",B1736,FIND("D",B1736))-(FIND("D",B1736)+1)),"P",",")),
IF(ISNUMBER(FIND("CFW5",B1736)),
VALUE(MID(B1736,
IF(ISNUMBER(FIND("F",B1736)),FIND("F",B1736)+1,FIND("G",B1736)+1),
FIND("T",B1736)-(IF(ISNUMBER(FIND("F",B1736)),FIND("F",B1736)+1,FIND("G",B1736)+1))
)),
VALUE(MID(B1736,FIND("E0",B1736)+2,FIND("T",B1736,FIND("E0",B1736))-(FIND("E0",B1736)+2)))
))),"")</f>
        <v>195</v>
      </c>
      <c r="G1736">
        <f>IFERROR(
IF(ISNUMBER(FIND("T2",B1736)),220,
IF(ISNUMBER(FIND("T4",B1736)),440,
IF(ISNUMBER(FIND("T5",B1736)),575,
IF(ISNUMBER(FIND("T6",B1736)),690,"")))),
"")</f>
        <v>220</v>
      </c>
    </row>
    <row r="1737" spans="1:7" x14ac:dyDescent="0.25">
      <c r="A1737">
        <v>18169528</v>
      </c>
      <c r="B1737" t="str">
        <f>VLOOKUP(A1737,Planilha2!B:C,2,0)</f>
        <v>INVERSOR CFW900E0250T2NB20Y2B-UI</v>
      </c>
      <c r="C1737" t="s">
        <v>3170</v>
      </c>
      <c r="D1737" t="str">
        <f>VLOOKUP(A1737,Planilha2!B:H,7,0)</f>
        <v>LINHA G1</v>
      </c>
      <c r="E1737" s="5">
        <v>94000</v>
      </c>
      <c r="F1737">
        <f>IFERROR(
IF(ISNUMBER(FIND("CFW110",B1737)),
VALUE(MID(B1737,FIND("CFW110",B1737)+6,FIND("T",B1737,FIND("CFW110",B1737))-(FIND("CFW110",B1737)+6))),
IF(ISNUMBER(FIND("D",B1737)),
VALUE(SUBSTITUTE(MID(B1737,FIND("D",B1737)+1,FIND("T",B1737,FIND("D",B1737))-(FIND("D",B1737)+1)),"P",",")),
IF(ISNUMBER(FIND("CFW5",B1737)),
VALUE(MID(B1737,
IF(ISNUMBER(FIND("F",B1737)),FIND("F",B1737)+1,FIND("G",B1737)+1),
FIND("T",B1737)-(IF(ISNUMBER(FIND("F",B1737)),FIND("F",B1737)+1,FIND("G",B1737)+1))
)),
VALUE(MID(B1737,FIND("E0",B1737)+2,FIND("T",B1737,FIND("E0",B1737))-(FIND("E0",B1737)+2)))
))),"")</f>
        <v>250</v>
      </c>
      <c r="G1737">
        <f>IFERROR(
IF(ISNUMBER(FIND("T2",B1737)),220,
IF(ISNUMBER(FIND("T4",B1737)),440,
IF(ISNUMBER(FIND("T5",B1737)),575,
IF(ISNUMBER(FIND("T6",B1737)),690,"")))),
"")</f>
        <v>220</v>
      </c>
    </row>
    <row r="1738" spans="1:7" x14ac:dyDescent="0.25">
      <c r="A1738">
        <v>18112405</v>
      </c>
      <c r="B1738" t="str">
        <f>VLOOKUP(A1738,Planilha2!B:C,2,0)</f>
        <v>INVERSOR EUCFW110601T4ORBHF1SQZ</v>
      </c>
      <c r="C1738" t="s">
        <v>3170</v>
      </c>
      <c r="D1738" t="str">
        <f>VLOOKUP(A1738,Planilha2!B:H,7,0)</f>
        <v>LINHA G3</v>
      </c>
      <c r="E1738" s="5">
        <v>90100</v>
      </c>
      <c r="F1738">
        <f>IFERROR(
IF(ISNUMBER(FIND("CFW110",B1738)),
VALUE(MID(B1738,FIND("CFW110",B1738)+6,FIND("T",B1738,FIND("CFW110",B1738))-(FIND("CFW110",B1738)+6))),
IF(ISNUMBER(FIND("D",B1738)),
VALUE(SUBSTITUTE(MID(B1738,FIND("D",B1738)+1,FIND("T",B1738,FIND("D",B1738))-(FIND("D",B1738)+1)),"P",",")),
IF(ISNUMBER(FIND("CFW5",B1738)),
VALUE(MID(B1738,
IF(ISNUMBER(FIND("F",B1738)),FIND("F",B1738)+1,FIND("G",B1738)+1),
FIND("T",B1738)-(IF(ISNUMBER(FIND("F",B1738)),FIND("F",B1738)+1,FIND("G",B1738)+1))
)),
VALUE(MID(B1738,FIND("E0",B1738)+2,FIND("T",B1738,FIND("E0",B1738))-(FIND("E0",B1738)+2)))
))),"")</f>
        <v>601</v>
      </c>
      <c r="G1738">
        <f>IFERROR(
IF(ISNUMBER(FIND("T2",B1738)),220,
IF(ISNUMBER(FIND("T4",B1738)),440,
IF(ISNUMBER(FIND("T5",B1738)),575,
IF(ISNUMBER(FIND("T6",B1738)),690,"")))),
"")</f>
        <v>440</v>
      </c>
    </row>
    <row r="1739" spans="1:7" x14ac:dyDescent="0.25">
      <c r="A1739">
        <v>10858685</v>
      </c>
      <c r="B1739" t="str">
        <f>VLOOKUP(A1739,Planilha2!B:C,2,0)</f>
        <v>INVERSOR BRCFW110142T4SZ</v>
      </c>
      <c r="C1739" t="s">
        <v>3170</v>
      </c>
      <c r="D1739" t="str">
        <f>VLOOKUP(A1739,Planilha2!B:H,7,0)</f>
        <v>LINHA G1</v>
      </c>
      <c r="E1739" s="5">
        <v>64210</v>
      </c>
      <c r="F1739">
        <f>IFERROR(
IF(ISNUMBER(FIND("CFW110",B1739)),
VALUE(MID(B1739,FIND("CFW110",B1739)+6,FIND("T",B1739,FIND("CFW110",B1739))-(FIND("CFW110",B1739)+6))),
IF(ISNUMBER(FIND("D",B1739)),
VALUE(SUBSTITUTE(MID(B1739,FIND("D",B1739)+1,FIND("T",B1739,FIND("D",B1739))-(FIND("D",B1739)+1)),"P",",")),
IF(ISNUMBER(FIND("CFW5",B1739)),
VALUE(MID(B1739,
IF(ISNUMBER(FIND("F",B1739)),FIND("F",B1739)+1,FIND("G",B1739)+1),
FIND("T",B1739)-(IF(ISNUMBER(FIND("F",B1739)),FIND("F",B1739)+1,FIND("G",B1739)+1))
)),
VALUE(MID(B1739,FIND("E0",B1739)+2,FIND("T",B1739,FIND("E0",B1739))-(FIND("E0",B1739)+2)))
))),"")</f>
        <v>142</v>
      </c>
      <c r="G1739">
        <f>IFERROR(
IF(ISNUMBER(FIND("T2",B1739)),220,
IF(ISNUMBER(FIND("T4",B1739)),440,
IF(ISNUMBER(FIND("T5",B1739)),575,
IF(ISNUMBER(FIND("T6",B1739)),690,"")))),
"")</f>
        <v>440</v>
      </c>
    </row>
    <row r="1740" spans="1:7" x14ac:dyDescent="0.25">
      <c r="A1740">
        <v>11322122</v>
      </c>
      <c r="B1740" t="str">
        <f>VLOOKUP(A1740,Planilha2!B:C,2,0)</f>
        <v>INVERSOR BRCFW110142T4ODBYZ</v>
      </c>
      <c r="C1740" t="s">
        <v>3170</v>
      </c>
      <c r="D1740" t="str">
        <f>VLOOKUP(A1740,Planilha2!B:H,7,0)</f>
        <v>LINHA G1</v>
      </c>
      <c r="E1740" s="5">
        <v>54860</v>
      </c>
      <c r="F1740">
        <f>IFERROR(
IF(ISNUMBER(FIND("CFW110",B1740)),
VALUE(MID(B1740,FIND("CFW110",B1740)+6,FIND("T",B1740,FIND("CFW110",B1740))-(FIND("CFW110",B1740)+6))),
IF(ISNUMBER(FIND("D",B1740)),
VALUE(SUBSTITUTE(MID(B1740,FIND("D",B1740)+1,FIND("T",B1740,FIND("D",B1740))-(FIND("D",B1740)+1)),"P",",")),
IF(ISNUMBER(FIND("CFW5",B1740)),
VALUE(MID(B1740,
IF(ISNUMBER(FIND("F",B1740)),FIND("F",B1740)+1,FIND("G",B1740)+1),
FIND("T",B1740)-(IF(ISNUMBER(FIND("F",B1740)),FIND("F",B1740)+1,FIND("G",B1740)+1))
)),
VALUE(MID(B1740,FIND("E0",B1740)+2,FIND("T",B1740,FIND("E0",B1740))-(FIND("E0",B1740)+2)))
))),"")</f>
        <v>142</v>
      </c>
      <c r="G1740">
        <f>IFERROR(
IF(ISNUMBER(FIND("T2",B1740)),220,
IF(ISNUMBER(FIND("T4",B1740)),440,
IF(ISNUMBER(FIND("T5",B1740)),575,
IF(ISNUMBER(FIND("T6",B1740)),690,"")))),
"")</f>
        <v>440</v>
      </c>
    </row>
    <row r="1741" spans="1:7" x14ac:dyDescent="0.25">
      <c r="A1741">
        <v>18214320</v>
      </c>
      <c r="B1741" t="str">
        <f>VLOOKUP(A1741,Planilha2!B:C,2,0)</f>
        <v>INVERSOR BRCFW110211T4OSSZ-UI</v>
      </c>
      <c r="C1741" t="s">
        <v>3170</v>
      </c>
      <c r="D1741" t="str">
        <f>VLOOKUP(A1741,Planilha2!B:H,7,0)</f>
        <v>LINHA G1</v>
      </c>
      <c r="E1741" s="5">
        <v>64210</v>
      </c>
      <c r="F1741">
        <f>IFERROR(
IF(ISNUMBER(FIND("CFW110",B1741)),
VALUE(MID(B1741,FIND("CFW110",B1741)+6,FIND("T",B1741,FIND("CFW110",B1741))-(FIND("CFW110",B1741)+6))),
IF(ISNUMBER(FIND("D",B1741)),
VALUE(SUBSTITUTE(MID(B1741,FIND("D",B1741)+1,FIND("T",B1741,FIND("D",B1741))-(FIND("D",B1741)+1)),"P",",")),
IF(ISNUMBER(FIND("CFW5",B1741)),
VALUE(MID(B1741,
IF(ISNUMBER(FIND("F",B1741)),FIND("F",B1741)+1,FIND("G",B1741)+1),
FIND("T",B1741)-(IF(ISNUMBER(FIND("F",B1741)),FIND("F",B1741)+1,FIND("G",B1741)+1))
)),
VALUE(MID(B1741,FIND("E0",B1741)+2,FIND("T",B1741,FIND("E0",B1741))-(FIND("E0",B1741)+2)))
))),"")</f>
        <v>211</v>
      </c>
      <c r="G1741">
        <f>IFERROR(
IF(ISNUMBER(FIND("T2",B1741)),220,
IF(ISNUMBER(FIND("T4",B1741)),440,
IF(ISNUMBER(FIND("T5",B1741)),575,
IF(ISNUMBER(FIND("T6",B1741)),690,"")))),
"")</f>
        <v>440</v>
      </c>
    </row>
    <row r="1742" spans="1:7" x14ac:dyDescent="0.25">
      <c r="A1742">
        <v>11220385</v>
      </c>
      <c r="B1742" t="str">
        <f>VLOOKUP(A1742,Planilha2!B:C,2,0)</f>
        <v>INVERSOR BRCFW110142T4OYZ</v>
      </c>
      <c r="C1742" t="s">
        <v>3170</v>
      </c>
      <c r="D1742" t="str">
        <f>VLOOKUP(A1742,Planilha2!B:H,7,0)</f>
        <v>LINHA G1</v>
      </c>
      <c r="E1742" s="5">
        <v>59360</v>
      </c>
      <c r="F1742">
        <f>IFERROR(
IF(ISNUMBER(FIND("CFW110",B1742)),
VALUE(MID(B1742,FIND("CFW110",B1742)+6,FIND("T",B1742,FIND("CFW110",B1742))-(FIND("CFW110",B1742)+6))),
IF(ISNUMBER(FIND("D",B1742)),
VALUE(SUBSTITUTE(MID(B1742,FIND("D",B1742)+1,FIND("T",B1742,FIND("D",B1742))-(FIND("D",B1742)+1)),"P",",")),
IF(ISNUMBER(FIND("CFW5",B1742)),
VALUE(MID(B1742,
IF(ISNUMBER(FIND("F",B1742)),FIND("F",B1742)+1,FIND("G",B1742)+1),
FIND("T",B1742)-(IF(ISNUMBER(FIND("F",B1742)),FIND("F",B1742)+1,FIND("G",B1742)+1))
)),
VALUE(MID(B1742,FIND("E0",B1742)+2,FIND("T",B1742,FIND("E0",B1742))-(FIND("E0",B1742)+2)))
))),"")</f>
        <v>142</v>
      </c>
      <c r="G1742">
        <f>IFERROR(
IF(ISNUMBER(FIND("T2",B1742)),220,
IF(ISNUMBER(FIND("T4",B1742)),440,
IF(ISNUMBER(FIND("T5",B1742)),575,
IF(ISNUMBER(FIND("T6",B1742)),690,"")))),
"")</f>
        <v>440</v>
      </c>
    </row>
    <row r="1743" spans="1:7" x14ac:dyDescent="0.25">
      <c r="A1743">
        <v>18179801</v>
      </c>
      <c r="B1743" t="str">
        <f>VLOOKUP(A1743,Planilha2!B:C,2,0)</f>
        <v>INVERSOR NACFW110080T6ONBYTVZ</v>
      </c>
      <c r="C1743" t="s">
        <v>3170</v>
      </c>
      <c r="D1743" t="str">
        <f>VLOOKUP(A1743,Planilha2!B:H,7,0)</f>
        <v>LINHA G1</v>
      </c>
      <c r="E1743" s="5">
        <v>60360</v>
      </c>
      <c r="F1743">
        <f>IFERROR(
IF(ISNUMBER(FIND("CFW110",B1743)),
VALUE(MID(B1743,FIND("CFW110",B1743)+6,FIND("T",B1743,FIND("CFW110",B1743))-(FIND("CFW110",B1743)+6))),
IF(ISNUMBER(FIND("D",B1743)),
VALUE(SUBSTITUTE(MID(B1743,FIND("D",B1743)+1,FIND("T",B1743,FIND("D",B1743))-(FIND("D",B1743)+1)),"P",",")),
IF(ISNUMBER(FIND("CFW5",B1743)),
VALUE(MID(B1743,
IF(ISNUMBER(FIND("F",B1743)),FIND("F",B1743)+1,FIND("G",B1743)+1),
FIND("T",B1743)-(IF(ISNUMBER(FIND("F",B1743)),FIND("F",B1743)+1,FIND("G",B1743)+1))
)),
VALUE(MID(B1743,FIND("E0",B1743)+2,FIND("T",B1743,FIND("E0",B1743))-(FIND("E0",B1743)+2)))
))),"")</f>
        <v>80</v>
      </c>
      <c r="G1743">
        <f>IFERROR(
IF(ISNUMBER(FIND("T2",B1743)),220,
IF(ISNUMBER(FIND("T4",B1743)),440,
IF(ISNUMBER(FIND("T5",B1743)),575,
IF(ISNUMBER(FIND("T6",B1743)),690,"")))),
"")</f>
        <v>690</v>
      </c>
    </row>
    <row r="1744" spans="1:7" x14ac:dyDescent="0.25">
      <c r="A1744">
        <v>18236640</v>
      </c>
      <c r="B1744" t="str">
        <f>VLOOKUP(A1744,Planilha2!B:C,2,0)</f>
        <v>INVERSOR BRCFW110180T4OSSZ-UI</v>
      </c>
      <c r="C1744" t="s">
        <v>3170</v>
      </c>
      <c r="D1744" t="str">
        <f>VLOOKUP(A1744,Planilha2!B:H,7,0)</f>
        <v>LINHA G1</v>
      </c>
      <c r="E1744" s="5">
        <v>65000</v>
      </c>
      <c r="F1744">
        <f>IFERROR(
IF(ISNUMBER(FIND("CFW110",B1744)),
VALUE(MID(B1744,FIND("CFW110",B1744)+6,FIND("T",B1744,FIND("CFW110",B1744))-(FIND("CFW110",B1744)+6))),
IF(ISNUMBER(FIND("D",B1744)),
VALUE(SUBSTITUTE(MID(B1744,FIND("D",B1744)+1,FIND("T",B1744,FIND("D",B1744))-(FIND("D",B1744)+1)),"P",",")),
IF(ISNUMBER(FIND("CFW5",B1744)),
VALUE(MID(B1744,
IF(ISNUMBER(FIND("F",B1744)),FIND("F",B1744)+1,FIND("G",B1744)+1),
FIND("T",B1744)-(IF(ISNUMBER(FIND("F",B1744)),FIND("F",B1744)+1,FIND("G",B1744)+1))
)),
VALUE(MID(B1744,FIND("E0",B1744)+2,FIND("T",B1744,FIND("E0",B1744))-(FIND("E0",B1744)+2)))
))),"")</f>
        <v>180</v>
      </c>
      <c r="G1744">
        <f>IFERROR(
IF(ISNUMBER(FIND("T2",B1744)),220,
IF(ISNUMBER(FIND("T4",B1744)),440,
IF(ISNUMBER(FIND("T5",B1744)),575,
IF(ISNUMBER(FIND("T6",B1744)),690,"")))),
"")</f>
        <v>440</v>
      </c>
    </row>
    <row r="1745" spans="1:7" x14ac:dyDescent="0.25">
      <c r="A1745">
        <v>14403244</v>
      </c>
      <c r="B1745" t="str">
        <f>VLOOKUP(A1745,Planilha2!B:C,2,0)</f>
        <v>INVERSOR BRCFW110720T4ORBH1Z</v>
      </c>
      <c r="C1745" t="s">
        <v>3170</v>
      </c>
      <c r="D1745" t="str">
        <f>VLOOKUP(A1745,Planilha2!B:H,7,0)</f>
        <v>LINHA G5</v>
      </c>
      <c r="E1745" t="s">
        <v>3172</v>
      </c>
      <c r="F1745">
        <f>IFERROR(
IF(ISNUMBER(FIND("CFW110",B1745)),
VALUE(MID(B1745,FIND("CFW110",B1745)+6,FIND("T",B1745,FIND("CFW110",B1745))-(FIND("CFW110",B1745)+6))),
IF(ISNUMBER(FIND("D",B1745)),
VALUE(SUBSTITUTE(MID(B1745,FIND("D",B1745)+1,FIND("T",B1745,FIND("D",B1745))-(FIND("D",B1745)+1)),"P",",")),
IF(ISNUMBER(FIND("CFW5",B1745)),
VALUE(MID(B1745,
IF(ISNUMBER(FIND("F",B1745)),FIND("F",B1745)+1,FIND("G",B1745)+1),
FIND("T",B1745)-(IF(ISNUMBER(FIND("F",B1745)),FIND("F",B1745)+1,FIND("G",B1745)+1))
)),
VALUE(MID(B1745,FIND("E0",B1745)+2,FIND("T",B1745,FIND("E0",B1745))-(FIND("E0",B1745)+2)))
))),"")</f>
        <v>720</v>
      </c>
      <c r="G1745">
        <f>IFERROR(
IF(ISNUMBER(FIND("T2",B1745)),220,
IF(ISNUMBER(FIND("T4",B1745)),440,
IF(ISNUMBER(FIND("T5",B1745)),575,
IF(ISNUMBER(FIND("T6",B1745)),690,"")))),
"")</f>
        <v>440</v>
      </c>
    </row>
    <row r="1746" spans="1:7" x14ac:dyDescent="0.25">
      <c r="A1746">
        <v>14161514</v>
      </c>
      <c r="B1746" t="str">
        <f>VLOOKUP(A1746,Planilha2!B:C,2,0)</f>
        <v>INVERSOR BRCFW110211T4ODB55Z</v>
      </c>
      <c r="C1746" t="s">
        <v>3170</v>
      </c>
      <c r="D1746" t="str">
        <f>VLOOKUP(A1746,Planilha2!B:H,7,0)</f>
        <v>LINHA E1</v>
      </c>
      <c r="E1746" s="5">
        <v>88488</v>
      </c>
      <c r="F1746">
        <f>IFERROR(
IF(ISNUMBER(FIND("CFW110",B1746)),
VALUE(MID(B1746,FIND("CFW110",B1746)+6,FIND("T",B1746,FIND("CFW110",B1746))-(FIND("CFW110",B1746)+6))),
IF(ISNUMBER(FIND("D",B1746)),
VALUE(SUBSTITUTE(MID(B1746,FIND("D",B1746)+1,FIND("T",B1746,FIND("D",B1746))-(FIND("D",B1746)+1)),"P",",")),
IF(ISNUMBER(FIND("CFW5",B1746)),
VALUE(MID(B1746,
IF(ISNUMBER(FIND("F",B1746)),FIND("F",B1746)+1,FIND("G",B1746)+1),
FIND("T",B1746)-(IF(ISNUMBER(FIND("F",B1746)),FIND("F",B1746)+1,FIND("G",B1746)+1))
)),
VALUE(MID(B1746,FIND("E0",B1746)+2,FIND("T",B1746,FIND("E0",B1746))-(FIND("E0",B1746)+2)))
))),"")</f>
        <v>211</v>
      </c>
      <c r="G1746">
        <f>IFERROR(
IF(ISNUMBER(FIND("T2",B1746)),220,
IF(ISNUMBER(FIND("T4",B1746)),440,
IF(ISNUMBER(FIND("T5",B1746)),575,
IF(ISNUMBER(FIND("T6",B1746)),690,"")))),
"")</f>
        <v>440</v>
      </c>
    </row>
    <row r="1747" spans="1:7" x14ac:dyDescent="0.25">
      <c r="A1747">
        <v>18309578</v>
      </c>
      <c r="B1747" t="str">
        <f>VLOOKUP(A1747,Planilha2!B:C,2,0)</f>
        <v>INVERSOR EUCFW110370T4ORBHF1SQZ-UI</v>
      </c>
      <c r="C1747" t="s">
        <v>3170</v>
      </c>
      <c r="D1747" t="str">
        <f>VLOOKUP(A1747,Planilha2!B:H,7,0)</f>
        <v>LINHA G3</v>
      </c>
      <c r="E1747" s="5">
        <v>87000</v>
      </c>
      <c r="F1747">
        <f>IFERROR(
IF(ISNUMBER(FIND("CFW110",B1747)),
VALUE(MID(B1747,FIND("CFW110",B1747)+6,FIND("T",B1747,FIND("CFW110",B1747))-(FIND("CFW110",B1747)+6))),
IF(ISNUMBER(FIND("D",B1747)),
VALUE(SUBSTITUTE(MID(B1747,FIND("D",B1747)+1,FIND("T",B1747,FIND("D",B1747))-(FIND("D",B1747)+1)),"P",",")),
IF(ISNUMBER(FIND("CFW5",B1747)),
VALUE(MID(B1747,
IF(ISNUMBER(FIND("F",B1747)),FIND("F",B1747)+1,FIND("G",B1747)+1),
FIND("T",B1747)-(IF(ISNUMBER(FIND("F",B1747)),FIND("F",B1747)+1,FIND("G",B1747)+1))
)),
VALUE(MID(B1747,FIND("E0",B1747)+2,FIND("T",B1747,FIND("E0",B1747))-(FIND("E0",B1747)+2)))
))),"")</f>
        <v>370</v>
      </c>
      <c r="G1747">
        <f>IFERROR(
IF(ISNUMBER(FIND("T2",B1747)),220,
IF(ISNUMBER(FIND("T4",B1747)),440,
IF(ISNUMBER(FIND("T5",B1747)),575,
IF(ISNUMBER(FIND("T6",B1747)),690,"")))),
"")</f>
        <v>440</v>
      </c>
    </row>
    <row r="1748" spans="1:7" x14ac:dyDescent="0.25">
      <c r="A1748">
        <v>18310872</v>
      </c>
      <c r="B1748" t="str">
        <f>VLOOKUP(A1748,Planilha2!B:C,2,0)</f>
        <v>INVERSOR EUCFW110601T4ORBHF1SQZ-UI</v>
      </c>
      <c r="C1748" t="s">
        <v>3170</v>
      </c>
      <c r="D1748" t="str">
        <f>VLOOKUP(A1748,Planilha2!B:H,7,0)</f>
        <v>LINHA G5</v>
      </c>
      <c r="E1748" s="5">
        <v>90100</v>
      </c>
      <c r="F1748">
        <f>IFERROR(
IF(ISNUMBER(FIND("CFW110",B1748)),
VALUE(MID(B1748,FIND("CFW110",B1748)+6,FIND("T",B1748,FIND("CFW110",B1748))-(FIND("CFW110",B1748)+6))),
IF(ISNUMBER(FIND("D",B1748)),
VALUE(SUBSTITUTE(MID(B1748,FIND("D",B1748)+1,FIND("T",B1748,FIND("D",B1748))-(FIND("D",B1748)+1)),"P",",")),
IF(ISNUMBER(FIND("CFW5",B1748)),
VALUE(MID(B1748,
IF(ISNUMBER(FIND("F",B1748)),FIND("F",B1748)+1,FIND("G",B1748)+1),
FIND("T",B1748)-(IF(ISNUMBER(FIND("F",B1748)),FIND("F",B1748)+1,FIND("G",B1748)+1))
)),
VALUE(MID(B1748,FIND("E0",B1748)+2,FIND("T",B1748,FIND("E0",B1748))-(FIND("E0",B1748)+2)))
))),"")</f>
        <v>601</v>
      </c>
      <c r="G1748">
        <f>IFERROR(
IF(ISNUMBER(FIND("T2",B1748)),220,
IF(ISNUMBER(FIND("T4",B1748)),440,
IF(ISNUMBER(FIND("T5",B1748)),575,
IF(ISNUMBER(FIND("T6",B1748)),690,"")))),
"")</f>
        <v>440</v>
      </c>
    </row>
    <row r="1749" spans="1:7" x14ac:dyDescent="0.25">
      <c r="A1749">
        <v>18341360</v>
      </c>
      <c r="B1749" t="str">
        <f>VLOOKUP(A1749,Planilha2!B:C,2,0)</f>
        <v>INVERSOR EUCFW110180T4OWZ-UI</v>
      </c>
      <c r="C1749" t="s">
        <v>3170</v>
      </c>
      <c r="D1749" t="str">
        <f>VLOOKUP(A1749,Planilha2!B:H,7,0)</f>
        <v>LINHA G1</v>
      </c>
      <c r="E1749" s="5">
        <v>65000</v>
      </c>
      <c r="F1749">
        <f>IFERROR(
IF(ISNUMBER(FIND("CFW110",B1749)),
VALUE(MID(B1749,FIND("CFW110",B1749)+6,FIND("T",B1749,FIND("CFW110",B1749))-(FIND("CFW110",B1749)+6))),
IF(ISNUMBER(FIND("D",B1749)),
VALUE(SUBSTITUTE(MID(B1749,FIND("D",B1749)+1,FIND("T",B1749,FIND("D",B1749))-(FIND("D",B1749)+1)),"P",",")),
IF(ISNUMBER(FIND("CFW5",B1749)),
VALUE(MID(B1749,
IF(ISNUMBER(FIND("F",B1749)),FIND("F",B1749)+1,FIND("G",B1749)+1),
FIND("T",B1749)-(IF(ISNUMBER(FIND("F",B1749)),FIND("F",B1749)+1,FIND("G",B1749)+1))
)),
VALUE(MID(B1749,FIND("E0",B1749)+2,FIND("T",B1749,FIND("E0",B1749))-(FIND("E0",B1749)+2)))
))),"")</f>
        <v>180</v>
      </c>
      <c r="G1749">
        <f>IFERROR(
IF(ISNUMBER(FIND("T2",B1749)),220,
IF(ISNUMBER(FIND("T4",B1749)),440,
IF(ISNUMBER(FIND("T5",B1749)),575,
IF(ISNUMBER(FIND("T6",B1749)),690,"")))),
"")</f>
        <v>440</v>
      </c>
    </row>
    <row r="1750" spans="1:7" x14ac:dyDescent="0.25">
      <c r="A1750">
        <v>18308911</v>
      </c>
      <c r="B1750" t="str">
        <f>VLOOKUP(A1750,Planilha2!B:C,2,0)</f>
        <v>INVERSOR EUCFW110477T4ORBECZ</v>
      </c>
      <c r="C1750" t="s">
        <v>3170</v>
      </c>
      <c r="D1750" t="str">
        <f>VLOOKUP(A1750,Planilha2!B:H,7,0)</f>
        <v>LINHA G3</v>
      </c>
      <c r="E1750" s="5">
        <v>135300</v>
      </c>
      <c r="F1750">
        <f>IFERROR(
IF(ISNUMBER(FIND("CFW110",B1750)),
VALUE(MID(B1750,FIND("CFW110",B1750)+6,FIND("T",B1750,FIND("CFW110",B1750))-(FIND("CFW110",B1750)+6))),
IF(ISNUMBER(FIND("D",B1750)),
VALUE(SUBSTITUTE(MID(B1750,FIND("D",B1750)+1,FIND("T",B1750,FIND("D",B1750))-(FIND("D",B1750)+1)),"P",",")),
IF(ISNUMBER(FIND("CFW5",B1750)),
VALUE(MID(B1750,
IF(ISNUMBER(FIND("F",B1750)),FIND("F",B1750)+1,FIND("G",B1750)+1),
FIND("T",B1750)-(IF(ISNUMBER(FIND("F",B1750)),FIND("F",B1750)+1,FIND("G",B1750)+1))
)),
VALUE(MID(B1750,FIND("E0",B1750)+2,FIND("T",B1750,FIND("E0",B1750))-(FIND("E0",B1750)+2)))
))),"")</f>
        <v>477</v>
      </c>
      <c r="G1750">
        <f>IFERROR(
IF(ISNUMBER(FIND("T2",B1750)),220,
IF(ISNUMBER(FIND("T4",B1750)),440,
IF(ISNUMBER(FIND("T5",B1750)),575,
IF(ISNUMBER(FIND("T6",B1750)),690,"")))),
"")</f>
        <v>440</v>
      </c>
    </row>
    <row r="1751" spans="1:7" x14ac:dyDescent="0.25">
      <c r="A1751">
        <v>18309269</v>
      </c>
      <c r="B1751" t="str">
        <f>VLOOKUP(A1751,Planilha2!B:C,2,0)</f>
        <v>INVERSOR EUCFW110477T4ORBECZ-UI</v>
      </c>
      <c r="C1751" t="s">
        <v>3170</v>
      </c>
      <c r="D1751" t="str">
        <f>VLOOKUP(A1751,Planilha2!B:H,7,0)</f>
        <v>LINHA G3</v>
      </c>
      <c r="E1751" s="5">
        <v>135300</v>
      </c>
      <c r="F1751">
        <f>IFERROR(
IF(ISNUMBER(FIND("CFW110",B1751)),
VALUE(MID(B1751,FIND("CFW110",B1751)+6,FIND("T",B1751,FIND("CFW110",B1751))-(FIND("CFW110",B1751)+6))),
IF(ISNUMBER(FIND("D",B1751)),
VALUE(SUBSTITUTE(MID(B1751,FIND("D",B1751)+1,FIND("T",B1751,FIND("D",B1751))-(FIND("D",B1751)+1)),"P",",")),
IF(ISNUMBER(FIND("CFW5",B1751)),
VALUE(MID(B1751,
IF(ISNUMBER(FIND("F",B1751)),FIND("F",B1751)+1,FIND("G",B1751)+1),
FIND("T",B1751)-(IF(ISNUMBER(FIND("F",B1751)),FIND("F",B1751)+1,FIND("G",B1751)+1))
)),
VALUE(MID(B1751,FIND("E0",B1751)+2,FIND("T",B1751,FIND("E0",B1751))-(FIND("E0",B1751)+2)))
))),"")</f>
        <v>477</v>
      </c>
      <c r="G1751">
        <f>IFERROR(
IF(ISNUMBER(FIND("T2",B1751)),220,
IF(ISNUMBER(FIND("T4",B1751)),440,
IF(ISNUMBER(FIND("T5",B1751)),575,
IF(ISNUMBER(FIND("T6",B1751)),690,"")))),
"")</f>
        <v>440</v>
      </c>
    </row>
    <row r="1752" spans="1:7" x14ac:dyDescent="0.25">
      <c r="A1752">
        <v>18334146</v>
      </c>
      <c r="B1752" t="str">
        <f>VLOOKUP(A1752,Planilha2!B:C,2,0)</f>
        <v>INVERSOR BRCFW110211T4ODBYTGZ</v>
      </c>
      <c r="C1752" t="s">
        <v>3170</v>
      </c>
      <c r="D1752" t="str">
        <f>VLOOKUP(A1752,Planilha2!B:H,7,0)</f>
        <v>LINHA G1</v>
      </c>
      <c r="E1752" s="5">
        <v>59360</v>
      </c>
      <c r="F1752">
        <f>IFERROR(
IF(ISNUMBER(FIND("CFW110",B1752)),
VALUE(MID(B1752,FIND("CFW110",B1752)+6,FIND("T",B1752,FIND("CFW110",B1752))-(FIND("CFW110",B1752)+6))),
IF(ISNUMBER(FIND("D",B1752)),
VALUE(SUBSTITUTE(MID(B1752,FIND("D",B1752)+1,FIND("T",B1752,FIND("D",B1752))-(FIND("D",B1752)+1)),"P",",")),
IF(ISNUMBER(FIND("CFW5",B1752)),
VALUE(MID(B1752,
IF(ISNUMBER(FIND("F",B1752)),FIND("F",B1752)+1,FIND("G",B1752)+1),
FIND("T",B1752)-(IF(ISNUMBER(FIND("F",B1752)),FIND("F",B1752)+1,FIND("G",B1752)+1))
)),
VALUE(MID(B1752,FIND("E0",B1752)+2,FIND("T",B1752,FIND("E0",B1752))-(FIND("E0",B1752)+2)))
))),"")</f>
        <v>211</v>
      </c>
      <c r="G1752">
        <f>IFERROR(
IF(ISNUMBER(FIND("T2",B1752)),220,
IF(ISNUMBER(FIND("T4",B1752)),440,
IF(ISNUMBER(FIND("T5",B1752)),575,
IF(ISNUMBER(FIND("T6",B1752)),690,"")))),
"")</f>
        <v>440</v>
      </c>
    </row>
    <row r="1753" spans="1:7" x14ac:dyDescent="0.25">
      <c r="A1753">
        <v>18341854</v>
      </c>
      <c r="B1753" t="str">
        <f>VLOOKUP(A1753,Planilha2!B:C,2,0)</f>
        <v>INVERSOR BRCFW110211T4ODBYTGZ-UI</v>
      </c>
      <c r="C1753" t="s">
        <v>3170</v>
      </c>
      <c r="D1753" t="str">
        <f>VLOOKUP(A1753,Planilha2!B:H,7,0)</f>
        <v>LINHA G1</v>
      </c>
      <c r="E1753" s="5">
        <v>59360</v>
      </c>
      <c r="F1753">
        <f>IFERROR(
IF(ISNUMBER(FIND("CFW110",B1753)),
VALUE(MID(B1753,FIND("CFW110",B1753)+6,FIND("T",B1753,FIND("CFW110",B1753))-(FIND("CFW110",B1753)+6))),
IF(ISNUMBER(FIND("D",B1753)),
VALUE(SUBSTITUTE(MID(B1753,FIND("D",B1753)+1,FIND("T",B1753,FIND("D",B1753))-(FIND("D",B1753)+1)),"P",",")),
IF(ISNUMBER(FIND("CFW5",B1753)),
VALUE(MID(B1753,
IF(ISNUMBER(FIND("F",B1753)),FIND("F",B1753)+1,FIND("G",B1753)+1),
FIND("T",B1753)-(IF(ISNUMBER(FIND("F",B1753)),FIND("F",B1753)+1,FIND("G",B1753)+1))
)),
VALUE(MID(B1753,FIND("E0",B1753)+2,FIND("T",B1753,FIND("E0",B1753))-(FIND("E0",B1753)+2)))
))),"")</f>
        <v>211</v>
      </c>
      <c r="G1753">
        <f>IFERROR(
IF(ISNUMBER(FIND("T2",B1753)),220,
IF(ISNUMBER(FIND("T4",B1753)),440,
IF(ISNUMBER(FIND("T5",B1753)),575,
IF(ISNUMBER(FIND("T6",B1753)),690,"")))),
"")</f>
        <v>440</v>
      </c>
    </row>
    <row r="1754" spans="1:7" x14ac:dyDescent="0.25">
      <c r="A1754">
        <v>10858679</v>
      </c>
      <c r="B1754" t="str">
        <f>VLOOKUP(A1754,Planilha2!B:C,2,0)</f>
        <v>INVERSOR BRCFW110105T4SZ</v>
      </c>
      <c r="C1754" t="s">
        <v>3170</v>
      </c>
      <c r="D1754" t="str">
        <f>VLOOKUP(A1754,Planilha2!B:H,7,0)</f>
        <v>LINHA G1</v>
      </c>
      <c r="E1754" s="5">
        <v>64213</v>
      </c>
      <c r="F1754">
        <f>IFERROR(
IF(ISNUMBER(FIND("CFW110",B1754)),
VALUE(MID(B1754,FIND("CFW110",B1754)+6,FIND("T",B1754,FIND("CFW110",B1754))-(FIND("CFW110",B1754)+6))),
IF(ISNUMBER(FIND("D",B1754)),
VALUE(SUBSTITUTE(MID(B1754,FIND("D",B1754)+1,FIND("T",B1754,FIND("D",B1754))-(FIND("D",B1754)+1)),"P",",")),
IF(ISNUMBER(FIND("CFW5",B1754)),
VALUE(MID(B1754,
IF(ISNUMBER(FIND("F",B1754)),FIND("F",B1754)+1,FIND("G",B1754)+1),
FIND("T",B1754)-(IF(ISNUMBER(FIND("F",B1754)),FIND("F",B1754)+1,FIND("G",B1754)+1))
)),
VALUE(MID(B1754,FIND("E0",B1754)+2,FIND("T",B1754,FIND("E0",B1754))-(FIND("E0",B1754)+2)))
))),"")</f>
        <v>105</v>
      </c>
      <c r="G1754">
        <f>IFERROR(
IF(ISNUMBER(FIND("T2",B1754)),220,
IF(ISNUMBER(FIND("T4",B1754)),440,
IF(ISNUMBER(FIND("T5",B1754)),575,
IF(ISNUMBER(FIND("T6",B1754)),690,"")))),
"")</f>
        <v>440</v>
      </c>
    </row>
    <row r="1755" spans="1:7" x14ac:dyDescent="0.25">
      <c r="A1755">
        <v>18489386</v>
      </c>
      <c r="B1755" t="str">
        <f>VLOOKUP(A1755,Planilha2!B:C,2,0)</f>
        <v>INVERSOR BRCFW110105T4O55ECZ</v>
      </c>
      <c r="C1755" t="s">
        <v>3170</v>
      </c>
      <c r="D1755" t="str">
        <f>VLOOKUP(A1755,Planilha2!B:H,7,0)</f>
        <v>LINHA E1</v>
      </c>
      <c r="E1755" t="s">
        <v>3172</v>
      </c>
      <c r="F1755">
        <f>IFERROR(
IF(ISNUMBER(FIND("CFW110",B1755)),
VALUE(MID(B1755,FIND("CFW110",B1755)+6,FIND("T",B1755,FIND("CFW110",B1755))-(FIND("CFW110",B1755)+6))),
IF(ISNUMBER(FIND("D",B1755)),
VALUE(SUBSTITUTE(MID(B1755,FIND("D",B1755)+1,FIND("T",B1755,FIND("D",B1755))-(FIND("D",B1755)+1)),"P",",")),
IF(ISNUMBER(FIND("CFW5",B1755)),
VALUE(MID(B1755,
IF(ISNUMBER(FIND("F",B1755)),FIND("F",B1755)+1,FIND("G",B1755)+1),
FIND("T",B1755)-(IF(ISNUMBER(FIND("F",B1755)),FIND("F",B1755)+1,FIND("G",B1755)+1))
)),
VALUE(MID(B1755,FIND("E0",B1755)+2,FIND("T",B1755,FIND("E0",B1755))-(FIND("E0",B1755)+2)))
))),"")</f>
        <v>105</v>
      </c>
      <c r="G1755">
        <f>IFERROR(
IF(ISNUMBER(FIND("T2",B1755)),220,
IF(ISNUMBER(FIND("T4",B1755)),440,
IF(ISNUMBER(FIND("T5",B1755)),575,
IF(ISNUMBER(FIND("T6",B1755)),690,"")))),
"")</f>
        <v>440</v>
      </c>
    </row>
    <row r="1756" spans="1:7" x14ac:dyDescent="0.25">
      <c r="A1756">
        <v>11655381</v>
      </c>
      <c r="B1756" t="str">
        <f>VLOOKUP(A1756,Planilha2!B:C,2,0)</f>
        <v>INVERSOR BRCFW110180T4OWZ</v>
      </c>
      <c r="C1756" t="s">
        <v>3170</v>
      </c>
      <c r="D1756" t="str">
        <f>VLOOKUP(A1756,Planilha2!B:H,7,0)</f>
        <v>LINHA G1</v>
      </c>
      <c r="E1756" s="5">
        <v>65608</v>
      </c>
      <c r="F1756">
        <f>IFERROR(
IF(ISNUMBER(FIND("CFW110",B1756)),
VALUE(MID(B1756,FIND("CFW110",B1756)+6,FIND("T",B1756,FIND("CFW110",B1756))-(FIND("CFW110",B1756)+6))),
IF(ISNUMBER(FIND("D",B1756)),
VALUE(SUBSTITUTE(MID(B1756,FIND("D",B1756)+1,FIND("T",B1756,FIND("D",B1756))-(FIND("D",B1756)+1)),"P",",")),
IF(ISNUMBER(FIND("CFW5",B1756)),
VALUE(MID(B1756,
IF(ISNUMBER(FIND("F",B1756)),FIND("F",B1756)+1,FIND("G",B1756)+1),
FIND("T",B1756)-(IF(ISNUMBER(FIND("F",B1756)),FIND("F",B1756)+1,FIND("G",B1756)+1))
)),
VALUE(MID(B1756,FIND("E0",B1756)+2,FIND("T",B1756,FIND("E0",B1756))-(FIND("E0",B1756)+2)))
))),"")</f>
        <v>180</v>
      </c>
      <c r="G1756">
        <f>IFERROR(
IF(ISNUMBER(FIND("T2",B1756)),220,
IF(ISNUMBER(FIND("T4",B1756)),440,
IF(ISNUMBER(FIND("T5",B1756)),575,
IF(ISNUMBER(FIND("T6",B1756)),690,"")))),
"")</f>
        <v>440</v>
      </c>
    </row>
    <row r="1757" spans="1:7" x14ac:dyDescent="0.25">
      <c r="A1757">
        <v>18504967</v>
      </c>
      <c r="B1757" t="str">
        <f>VLOOKUP(A1757,Planilha2!B:C,2,0)</f>
        <v>INVERSOR BRCFW110211T4O55ECZ</v>
      </c>
      <c r="C1757" t="s">
        <v>3170</v>
      </c>
      <c r="D1757" t="str">
        <f>VLOOKUP(A1757,Planilha2!B:H,7,0)</f>
        <v>LINHA E1</v>
      </c>
      <c r="E1757" t="s">
        <v>3172</v>
      </c>
      <c r="F1757">
        <f>IFERROR(
IF(ISNUMBER(FIND("CFW110",B1757)),
VALUE(MID(B1757,FIND("CFW110",B1757)+6,FIND("T",B1757,FIND("CFW110",B1757))-(FIND("CFW110",B1757)+6))),
IF(ISNUMBER(FIND("D",B1757)),
VALUE(SUBSTITUTE(MID(B1757,FIND("D",B1757)+1,FIND("T",B1757,FIND("D",B1757))-(FIND("D",B1757)+1)),"P",",")),
IF(ISNUMBER(FIND("CFW5",B1757)),
VALUE(MID(B1757,
IF(ISNUMBER(FIND("F",B1757)),FIND("F",B1757)+1,FIND("G",B1757)+1),
FIND("T",B1757)-(IF(ISNUMBER(FIND("F",B1757)),FIND("F",B1757)+1,FIND("G",B1757)+1))
)),
VALUE(MID(B1757,FIND("E0",B1757)+2,FIND("T",B1757,FIND("E0",B1757))-(FIND("E0",B1757)+2)))
))),"")</f>
        <v>211</v>
      </c>
      <c r="G1757">
        <f>IFERROR(
IF(ISNUMBER(FIND("T2",B1757)),220,
IF(ISNUMBER(FIND("T4",B1757)),440,
IF(ISNUMBER(FIND("T5",B1757)),575,
IF(ISNUMBER(FIND("T6",B1757)),690,"")))),
"")</f>
        <v>440</v>
      </c>
    </row>
    <row r="1758" spans="1:7" x14ac:dyDescent="0.25">
      <c r="A1758">
        <v>18506375</v>
      </c>
      <c r="B1758" t="str">
        <f>VLOOKUP(A1758,Planilha2!B:C,2,0)</f>
        <v>INVERSOR BRCFW110142T4O55ECZ</v>
      </c>
      <c r="C1758" t="s">
        <v>3170</v>
      </c>
      <c r="D1758" t="str">
        <f>VLOOKUP(A1758,Planilha2!B:H,7,0)</f>
        <v>LINHA E1</v>
      </c>
      <c r="E1758" t="s">
        <v>3172</v>
      </c>
      <c r="F1758">
        <f>IFERROR(
IF(ISNUMBER(FIND("CFW110",B1758)),
VALUE(MID(B1758,FIND("CFW110",B1758)+6,FIND("T",B1758,FIND("CFW110",B1758))-(FIND("CFW110",B1758)+6))),
IF(ISNUMBER(FIND("D",B1758)),
VALUE(SUBSTITUTE(MID(B1758,FIND("D",B1758)+1,FIND("T",B1758,FIND("D",B1758))-(FIND("D",B1758)+1)),"P",",")),
IF(ISNUMBER(FIND("CFW5",B1758)),
VALUE(MID(B1758,
IF(ISNUMBER(FIND("F",B1758)),FIND("F",B1758)+1,FIND("G",B1758)+1),
FIND("T",B1758)-(IF(ISNUMBER(FIND("F",B1758)),FIND("F",B1758)+1,FIND("G",B1758)+1))
)),
VALUE(MID(B1758,FIND("E0",B1758)+2,FIND("T",B1758,FIND("E0",B1758))-(FIND("E0",B1758)+2)))
))),"")</f>
        <v>142</v>
      </c>
      <c r="G1758">
        <f>IFERROR(
IF(ISNUMBER(FIND("T2",B1758)),220,
IF(ISNUMBER(FIND("T4",B1758)),440,
IF(ISNUMBER(FIND("T5",B1758)),575,
IF(ISNUMBER(FIND("T6",B1758)),690,"")))),
"")</f>
        <v>440</v>
      </c>
    </row>
    <row r="1759" spans="1:7" x14ac:dyDescent="0.25">
      <c r="A1759">
        <v>18424778</v>
      </c>
      <c r="B1759" t="str">
        <f>VLOOKUP(A1759,Planilha2!B:C,2,0)</f>
        <v>INVERSOR CFW900E0172T4DB20Y2B</v>
      </c>
      <c r="C1759" t="s">
        <v>3170</v>
      </c>
      <c r="D1759" t="str">
        <f>VLOOKUP(A1759,Planilha2!B:H,7,0)</f>
        <v>LINHA G1</v>
      </c>
      <c r="E1759" s="5">
        <v>63500</v>
      </c>
      <c r="F1759" t="str">
        <f>IFERROR(
IF(ISNUMBER(FIND("CFW110",B1759)),
VALUE(MID(B1759,FIND("CFW110",B1759)+6,FIND("T",B1759,FIND("CFW110",B1759))-(FIND("CFW110",B1759)+6))),
IF(ISNUMBER(FIND("D",B1759)),
VALUE(SUBSTITUTE(MID(B1759,FIND("D",B1759)+1,FIND("T",B1759,FIND("D",B1759))-(FIND("D",B1759)+1)),"P",",")),
IF(ISNUMBER(FIND("CFW5",B1759)),
VALUE(MID(B1759,
IF(ISNUMBER(FIND("F",B1759)),FIND("F",B1759)+1,FIND("G",B1759)+1),
FIND("T",B1759)-(IF(ISNUMBER(FIND("F",B1759)),FIND("F",B1759)+1,FIND("G",B1759)+1))
)),
VALUE(MID(B1759,FIND("E0",B1759)+2,FIND("T",B1759,FIND("E0",B1759))-(FIND("E0",B1759)+2)))
))),"")</f>
        <v/>
      </c>
      <c r="G1759">
        <f>IFERROR(
IF(ISNUMBER(FIND("T2",B1759)),220,
IF(ISNUMBER(FIND("T4",B1759)),440,
IF(ISNUMBER(FIND("T5",B1759)),575,
IF(ISNUMBER(FIND("T6",B1759)),690,"")))),
"")</f>
        <v>440</v>
      </c>
    </row>
    <row r="1760" spans="1:7" x14ac:dyDescent="0.25">
      <c r="A1760">
        <v>18424780</v>
      </c>
      <c r="B1760" t="str">
        <f>VLOOKUP(A1760,Planilha2!B:C,2,0)</f>
        <v>INVERSOR CFW900E0172T4NB20Y2B</v>
      </c>
      <c r="C1760" t="s">
        <v>3170</v>
      </c>
      <c r="D1760" t="str">
        <f>VLOOKUP(A1760,Planilha2!B:H,7,0)</f>
        <v>LINHA G1</v>
      </c>
      <c r="E1760" s="5">
        <v>63500</v>
      </c>
      <c r="F1760">
        <f>IFERROR(
IF(ISNUMBER(FIND("CFW110",B1760)),
VALUE(MID(B1760,FIND("CFW110",B1760)+6,FIND("T",B1760,FIND("CFW110",B1760))-(FIND("CFW110",B1760)+6))),
IF(ISNUMBER(FIND("D",B1760)),
VALUE(SUBSTITUTE(MID(B1760,FIND("D",B1760)+1,FIND("T",B1760,FIND("D",B1760))-(FIND("D",B1760)+1)),"P",",")),
IF(ISNUMBER(FIND("CFW5",B1760)),
VALUE(MID(B1760,
IF(ISNUMBER(FIND("F",B1760)),FIND("F",B1760)+1,FIND("G",B1760)+1),
FIND("T",B1760)-(IF(ISNUMBER(FIND("F",B1760)),FIND("F",B1760)+1,FIND("G",B1760)+1))
)),
VALUE(MID(B1760,FIND("E0",B1760)+2,FIND("T",B1760,FIND("E0",B1760))-(FIND("E0",B1760)+2)))
))),"")</f>
        <v>172</v>
      </c>
      <c r="G1760">
        <f>IFERROR(
IF(ISNUMBER(FIND("T2",B1760)),220,
IF(ISNUMBER(FIND("T4",B1760)),440,
IF(ISNUMBER(FIND("T5",B1760)),575,
IF(ISNUMBER(FIND("T6",B1760)),690,"")))),
"")</f>
        <v>440</v>
      </c>
    </row>
    <row r="1761" spans="1:7" x14ac:dyDescent="0.25">
      <c r="A1761">
        <v>18424782</v>
      </c>
      <c r="B1761" t="str">
        <f>VLOOKUP(A1761,Planilha2!B:C,2,0)</f>
        <v>INVERSOR CFW900E0172T4DB20Y2</v>
      </c>
      <c r="C1761" t="s">
        <v>3170</v>
      </c>
      <c r="D1761" t="str">
        <f>VLOOKUP(A1761,Planilha2!B:H,7,0)</f>
        <v>LINHA G1</v>
      </c>
      <c r="E1761" s="5">
        <v>63500</v>
      </c>
      <c r="F1761" t="str">
        <f>IFERROR(
IF(ISNUMBER(FIND("CFW110",B1761)),
VALUE(MID(B1761,FIND("CFW110",B1761)+6,FIND("T",B1761,FIND("CFW110",B1761))-(FIND("CFW110",B1761)+6))),
IF(ISNUMBER(FIND("D",B1761)),
VALUE(SUBSTITUTE(MID(B1761,FIND("D",B1761)+1,FIND("T",B1761,FIND("D",B1761))-(FIND("D",B1761)+1)),"P",",")),
IF(ISNUMBER(FIND("CFW5",B1761)),
VALUE(MID(B1761,
IF(ISNUMBER(FIND("F",B1761)),FIND("F",B1761)+1,FIND("G",B1761)+1),
FIND("T",B1761)-(IF(ISNUMBER(FIND("F",B1761)),FIND("F",B1761)+1,FIND("G",B1761)+1))
)),
VALUE(MID(B1761,FIND("E0",B1761)+2,FIND("T",B1761,FIND("E0",B1761))-(FIND("E0",B1761)+2)))
))),"")</f>
        <v/>
      </c>
      <c r="G1761">
        <f>IFERROR(
IF(ISNUMBER(FIND("T2",B1761)),220,
IF(ISNUMBER(FIND("T4",B1761)),440,
IF(ISNUMBER(FIND("T5",B1761)),575,
IF(ISNUMBER(FIND("T6",B1761)),690,"")))),
"")</f>
        <v>440</v>
      </c>
    </row>
    <row r="1762" spans="1:7" x14ac:dyDescent="0.25">
      <c r="A1762">
        <v>18424784</v>
      </c>
      <c r="B1762" t="str">
        <f>VLOOKUP(A1762,Planilha2!B:C,2,0)</f>
        <v>INVERSOR CFW900E0172T4NB20Y2</v>
      </c>
      <c r="C1762" t="s">
        <v>3170</v>
      </c>
      <c r="D1762" t="str">
        <f>VLOOKUP(A1762,Planilha2!B:H,7,0)</f>
        <v>LINHA G1</v>
      </c>
      <c r="E1762" s="5">
        <v>63500</v>
      </c>
      <c r="F1762">
        <f>IFERROR(
IF(ISNUMBER(FIND("CFW110",B1762)),
VALUE(MID(B1762,FIND("CFW110",B1762)+6,FIND("T",B1762,FIND("CFW110",B1762))-(FIND("CFW110",B1762)+6))),
IF(ISNUMBER(FIND("D",B1762)),
VALUE(SUBSTITUTE(MID(B1762,FIND("D",B1762)+1,FIND("T",B1762,FIND("D",B1762))-(FIND("D",B1762)+1)),"P",",")),
IF(ISNUMBER(FIND("CFW5",B1762)),
VALUE(MID(B1762,
IF(ISNUMBER(FIND("F",B1762)),FIND("F",B1762)+1,FIND("G",B1762)+1),
FIND("T",B1762)-(IF(ISNUMBER(FIND("F",B1762)),FIND("F",B1762)+1,FIND("G",B1762)+1))
)),
VALUE(MID(B1762,FIND("E0",B1762)+2,FIND("T",B1762,FIND("E0",B1762))-(FIND("E0",B1762)+2)))
))),"")</f>
        <v>172</v>
      </c>
      <c r="G1762">
        <f>IFERROR(
IF(ISNUMBER(FIND("T2",B1762)),220,
IF(ISNUMBER(FIND("T4",B1762)),440,
IF(ISNUMBER(FIND("T5",B1762)),575,
IF(ISNUMBER(FIND("T6",B1762)),690,"")))),
"")</f>
        <v>440</v>
      </c>
    </row>
    <row r="1763" spans="1:7" x14ac:dyDescent="0.25">
      <c r="A1763">
        <v>18424822</v>
      </c>
      <c r="B1763" t="str">
        <f>VLOOKUP(A1763,Planilha2!B:C,2,0)</f>
        <v>INVERSOR CFW900E0203T4DB20Y2B</v>
      </c>
      <c r="C1763" t="s">
        <v>3170</v>
      </c>
      <c r="D1763" t="str">
        <f>VLOOKUP(A1763,Planilha2!B:H,7,0)</f>
        <v>LINHA G1</v>
      </c>
      <c r="E1763" s="5">
        <v>63500</v>
      </c>
      <c r="F1763" t="str">
        <f>IFERROR(
IF(ISNUMBER(FIND("CFW110",B1763)),
VALUE(MID(B1763,FIND("CFW110",B1763)+6,FIND("T",B1763,FIND("CFW110",B1763))-(FIND("CFW110",B1763)+6))),
IF(ISNUMBER(FIND("D",B1763)),
VALUE(SUBSTITUTE(MID(B1763,FIND("D",B1763)+1,FIND("T",B1763,FIND("D",B1763))-(FIND("D",B1763)+1)),"P",",")),
IF(ISNUMBER(FIND("CFW5",B1763)),
VALUE(MID(B1763,
IF(ISNUMBER(FIND("F",B1763)),FIND("F",B1763)+1,FIND("G",B1763)+1),
FIND("T",B1763)-(IF(ISNUMBER(FIND("F",B1763)),FIND("F",B1763)+1,FIND("G",B1763)+1))
)),
VALUE(MID(B1763,FIND("E0",B1763)+2,FIND("T",B1763,FIND("E0",B1763))-(FIND("E0",B1763)+2)))
))),"")</f>
        <v/>
      </c>
      <c r="G1763">
        <f>IFERROR(
IF(ISNUMBER(FIND("T2",B1763)),220,
IF(ISNUMBER(FIND("T4",B1763)),440,
IF(ISNUMBER(FIND("T5",B1763)),575,
IF(ISNUMBER(FIND("T6",B1763)),690,"")))),
"")</f>
        <v>440</v>
      </c>
    </row>
    <row r="1764" spans="1:7" x14ac:dyDescent="0.25">
      <c r="A1764">
        <v>18424823</v>
      </c>
      <c r="B1764" t="str">
        <f>VLOOKUP(A1764,Planilha2!B:C,2,0)</f>
        <v>INVERSOR CFW900E0203T4NB20Y2B</v>
      </c>
      <c r="C1764" t="s">
        <v>3170</v>
      </c>
      <c r="D1764" t="str">
        <f>VLOOKUP(A1764,Planilha2!B:H,7,0)</f>
        <v>LINHA G1</v>
      </c>
      <c r="E1764" s="5">
        <v>63500</v>
      </c>
      <c r="F1764">
        <f>IFERROR(
IF(ISNUMBER(FIND("CFW110",B1764)),
VALUE(MID(B1764,FIND("CFW110",B1764)+6,FIND("T",B1764,FIND("CFW110",B1764))-(FIND("CFW110",B1764)+6))),
IF(ISNUMBER(FIND("D",B1764)),
VALUE(SUBSTITUTE(MID(B1764,FIND("D",B1764)+1,FIND("T",B1764,FIND("D",B1764))-(FIND("D",B1764)+1)),"P",",")),
IF(ISNUMBER(FIND("CFW5",B1764)),
VALUE(MID(B1764,
IF(ISNUMBER(FIND("F",B1764)),FIND("F",B1764)+1,FIND("G",B1764)+1),
FIND("T",B1764)-(IF(ISNUMBER(FIND("F",B1764)),FIND("F",B1764)+1,FIND("G",B1764)+1))
)),
VALUE(MID(B1764,FIND("E0",B1764)+2,FIND("T",B1764,FIND("E0",B1764))-(FIND("E0",B1764)+2)))
))),"")</f>
        <v>203</v>
      </c>
      <c r="G1764">
        <f>IFERROR(
IF(ISNUMBER(FIND("T2",B1764)),220,
IF(ISNUMBER(FIND("T4",B1764)),440,
IF(ISNUMBER(FIND("T5",B1764)),575,
IF(ISNUMBER(FIND("T6",B1764)),690,"")))),
"")</f>
        <v>440</v>
      </c>
    </row>
    <row r="1765" spans="1:7" x14ac:dyDescent="0.25">
      <c r="A1765">
        <v>18424824</v>
      </c>
      <c r="B1765" t="str">
        <f>VLOOKUP(A1765,Planilha2!B:C,2,0)</f>
        <v>INVERSOR CFW900E0203T4DB20Y2</v>
      </c>
      <c r="C1765" t="s">
        <v>3170</v>
      </c>
      <c r="D1765" t="str">
        <f>VLOOKUP(A1765,Planilha2!B:H,7,0)</f>
        <v>LINHA G1</v>
      </c>
      <c r="E1765" s="5">
        <v>63500</v>
      </c>
      <c r="F1765" t="str">
        <f>IFERROR(
IF(ISNUMBER(FIND("CFW110",B1765)),
VALUE(MID(B1765,FIND("CFW110",B1765)+6,FIND("T",B1765,FIND("CFW110",B1765))-(FIND("CFW110",B1765)+6))),
IF(ISNUMBER(FIND("D",B1765)),
VALUE(SUBSTITUTE(MID(B1765,FIND("D",B1765)+1,FIND("T",B1765,FIND("D",B1765))-(FIND("D",B1765)+1)),"P",",")),
IF(ISNUMBER(FIND("CFW5",B1765)),
VALUE(MID(B1765,
IF(ISNUMBER(FIND("F",B1765)),FIND("F",B1765)+1,FIND("G",B1765)+1),
FIND("T",B1765)-(IF(ISNUMBER(FIND("F",B1765)),FIND("F",B1765)+1,FIND("G",B1765)+1))
)),
VALUE(MID(B1765,FIND("E0",B1765)+2,FIND("T",B1765,FIND("E0",B1765))-(FIND("E0",B1765)+2)))
))),"")</f>
        <v/>
      </c>
      <c r="G1765">
        <f>IFERROR(
IF(ISNUMBER(FIND("T2",B1765)),220,
IF(ISNUMBER(FIND("T4",B1765)),440,
IF(ISNUMBER(FIND("T5",B1765)),575,
IF(ISNUMBER(FIND("T6",B1765)),690,"")))),
"")</f>
        <v>440</v>
      </c>
    </row>
    <row r="1766" spans="1:7" x14ac:dyDescent="0.25">
      <c r="A1766">
        <v>18424825</v>
      </c>
      <c r="B1766" t="str">
        <f>VLOOKUP(A1766,Planilha2!B:C,2,0)</f>
        <v>INVERSOR CFW900E0203T4NB20Y2</v>
      </c>
      <c r="C1766" t="s">
        <v>3170</v>
      </c>
      <c r="D1766" t="str">
        <f>VLOOKUP(A1766,Planilha2!B:H,7,0)</f>
        <v>LINHA G1</v>
      </c>
      <c r="E1766" s="5">
        <v>63500</v>
      </c>
      <c r="F1766">
        <f>IFERROR(
IF(ISNUMBER(FIND("CFW110",B1766)),
VALUE(MID(B1766,FIND("CFW110",B1766)+6,FIND("T",B1766,FIND("CFW110",B1766))-(FIND("CFW110",B1766)+6))),
IF(ISNUMBER(FIND("D",B1766)),
VALUE(SUBSTITUTE(MID(B1766,FIND("D",B1766)+1,FIND("T",B1766,FIND("D",B1766))-(FIND("D",B1766)+1)),"P",",")),
IF(ISNUMBER(FIND("CFW5",B1766)),
VALUE(MID(B1766,
IF(ISNUMBER(FIND("F",B1766)),FIND("F",B1766)+1,FIND("G",B1766)+1),
FIND("T",B1766)-(IF(ISNUMBER(FIND("F",B1766)),FIND("F",B1766)+1,FIND("G",B1766)+1))
)),
VALUE(MID(B1766,FIND("E0",B1766)+2,FIND("T",B1766,FIND("E0",B1766))-(FIND("E0",B1766)+2)))
))),"")</f>
        <v>203</v>
      </c>
      <c r="G1766">
        <f>IFERROR(
IF(ISNUMBER(FIND("T2",B1766)),220,
IF(ISNUMBER(FIND("T4",B1766)),440,
IF(ISNUMBER(FIND("T5",B1766)),575,
IF(ISNUMBER(FIND("T6",B1766)),690,"")))),
"")</f>
        <v>440</v>
      </c>
    </row>
    <row r="1767" spans="1:7" x14ac:dyDescent="0.25">
      <c r="A1767">
        <v>18424827</v>
      </c>
      <c r="B1767" t="str">
        <f>VLOOKUP(A1767,Planilha2!B:C,2,0)</f>
        <v>INVERSOR CFW900E0242T4DB20Y2B</v>
      </c>
      <c r="C1767" t="s">
        <v>3170</v>
      </c>
      <c r="D1767" t="str">
        <f>VLOOKUP(A1767,Planilha2!B:H,7,0)</f>
        <v>LINHA G1</v>
      </c>
      <c r="E1767" s="5">
        <v>63500</v>
      </c>
      <c r="F1767" t="str">
        <f>IFERROR(
IF(ISNUMBER(FIND("CFW110",B1767)),
VALUE(MID(B1767,FIND("CFW110",B1767)+6,FIND("T",B1767,FIND("CFW110",B1767))-(FIND("CFW110",B1767)+6))),
IF(ISNUMBER(FIND("D",B1767)),
VALUE(SUBSTITUTE(MID(B1767,FIND("D",B1767)+1,FIND("T",B1767,FIND("D",B1767))-(FIND("D",B1767)+1)),"P",",")),
IF(ISNUMBER(FIND("CFW5",B1767)),
VALUE(MID(B1767,
IF(ISNUMBER(FIND("F",B1767)),FIND("F",B1767)+1,FIND("G",B1767)+1),
FIND("T",B1767)-(IF(ISNUMBER(FIND("F",B1767)),FIND("F",B1767)+1,FIND("G",B1767)+1))
)),
VALUE(MID(B1767,FIND("E0",B1767)+2,FIND("T",B1767,FIND("E0",B1767))-(FIND("E0",B1767)+2)))
))),"")</f>
        <v/>
      </c>
      <c r="G1767">
        <f>IFERROR(
IF(ISNUMBER(FIND("T2",B1767)),220,
IF(ISNUMBER(FIND("T4",B1767)),440,
IF(ISNUMBER(FIND("T5",B1767)),575,
IF(ISNUMBER(FIND("T6",B1767)),690,"")))),
"")</f>
        <v>440</v>
      </c>
    </row>
    <row r="1768" spans="1:7" x14ac:dyDescent="0.25">
      <c r="A1768">
        <v>18424938</v>
      </c>
      <c r="B1768" t="str">
        <f>VLOOKUP(A1768,Planilha2!B:C,2,0)</f>
        <v>INVERSOR CFW900E0242T4NB20Y2B</v>
      </c>
      <c r="C1768" t="s">
        <v>3170</v>
      </c>
      <c r="D1768" t="str">
        <f>VLOOKUP(A1768,Planilha2!B:H,7,0)</f>
        <v>LINHA G1</v>
      </c>
      <c r="E1768" s="5">
        <v>63500</v>
      </c>
      <c r="F1768">
        <f>IFERROR(
IF(ISNUMBER(FIND("CFW110",B1768)),
VALUE(MID(B1768,FIND("CFW110",B1768)+6,FIND("T",B1768,FIND("CFW110",B1768))-(FIND("CFW110",B1768)+6))),
IF(ISNUMBER(FIND("D",B1768)),
VALUE(SUBSTITUTE(MID(B1768,FIND("D",B1768)+1,FIND("T",B1768,FIND("D",B1768))-(FIND("D",B1768)+1)),"P",",")),
IF(ISNUMBER(FIND("CFW5",B1768)),
VALUE(MID(B1768,
IF(ISNUMBER(FIND("F",B1768)),FIND("F",B1768)+1,FIND("G",B1768)+1),
FIND("T",B1768)-(IF(ISNUMBER(FIND("F",B1768)),FIND("F",B1768)+1,FIND("G",B1768)+1))
)),
VALUE(MID(B1768,FIND("E0",B1768)+2,FIND("T",B1768,FIND("E0",B1768))-(FIND("E0",B1768)+2)))
))),"")</f>
        <v>242</v>
      </c>
      <c r="G1768">
        <f>IFERROR(
IF(ISNUMBER(FIND("T2",B1768)),220,
IF(ISNUMBER(FIND("T4",B1768)),440,
IF(ISNUMBER(FIND("T5",B1768)),575,
IF(ISNUMBER(FIND("T6",B1768)),690,"")))),
"")</f>
        <v>440</v>
      </c>
    </row>
    <row r="1769" spans="1:7" x14ac:dyDescent="0.25">
      <c r="A1769">
        <v>18424940</v>
      </c>
      <c r="B1769" t="str">
        <f>VLOOKUP(A1769,Planilha2!B:C,2,0)</f>
        <v>INVERSOR CFW900E0242T4DB20Y2</v>
      </c>
      <c r="C1769" t="s">
        <v>3170</v>
      </c>
      <c r="D1769" t="str">
        <f>VLOOKUP(A1769,Planilha2!B:H,7,0)</f>
        <v>LINHA G1</v>
      </c>
      <c r="E1769" s="5">
        <v>63500</v>
      </c>
      <c r="F1769" t="str">
        <f>IFERROR(
IF(ISNUMBER(FIND("CFW110",B1769)),
VALUE(MID(B1769,FIND("CFW110",B1769)+6,FIND("T",B1769,FIND("CFW110",B1769))-(FIND("CFW110",B1769)+6))),
IF(ISNUMBER(FIND("D",B1769)),
VALUE(SUBSTITUTE(MID(B1769,FIND("D",B1769)+1,FIND("T",B1769,FIND("D",B1769))-(FIND("D",B1769)+1)),"P",",")),
IF(ISNUMBER(FIND("CFW5",B1769)),
VALUE(MID(B1769,
IF(ISNUMBER(FIND("F",B1769)),FIND("F",B1769)+1,FIND("G",B1769)+1),
FIND("T",B1769)-(IF(ISNUMBER(FIND("F",B1769)),FIND("F",B1769)+1,FIND("G",B1769)+1))
)),
VALUE(MID(B1769,FIND("E0",B1769)+2,FIND("T",B1769,FIND("E0",B1769))-(FIND("E0",B1769)+2)))
))),"")</f>
        <v/>
      </c>
      <c r="G1769">
        <f>IFERROR(
IF(ISNUMBER(FIND("T2",B1769)),220,
IF(ISNUMBER(FIND("T4",B1769)),440,
IF(ISNUMBER(FIND("T5",B1769)),575,
IF(ISNUMBER(FIND("T6",B1769)),690,"")))),
"")</f>
        <v>440</v>
      </c>
    </row>
    <row r="1770" spans="1:7" x14ac:dyDescent="0.25">
      <c r="A1770">
        <v>18424943</v>
      </c>
      <c r="B1770" t="str">
        <f>VLOOKUP(A1770,Planilha2!B:C,2,0)</f>
        <v>INVERSOR CFW900E0242T4NB20Y2</v>
      </c>
      <c r="C1770" t="s">
        <v>3170</v>
      </c>
      <c r="D1770" t="str">
        <f>VLOOKUP(A1770,Planilha2!B:H,7,0)</f>
        <v>LINHA G1</v>
      </c>
      <c r="E1770" s="5">
        <v>63500</v>
      </c>
      <c r="F1770">
        <f>IFERROR(
IF(ISNUMBER(FIND("CFW110",B1770)),
VALUE(MID(B1770,FIND("CFW110",B1770)+6,FIND("T",B1770,FIND("CFW110",B1770))-(FIND("CFW110",B1770)+6))),
IF(ISNUMBER(FIND("D",B1770)),
VALUE(SUBSTITUTE(MID(B1770,FIND("D",B1770)+1,FIND("T",B1770,FIND("D",B1770))-(FIND("D",B1770)+1)),"P",",")),
IF(ISNUMBER(FIND("CFW5",B1770)),
VALUE(MID(B1770,
IF(ISNUMBER(FIND("F",B1770)),FIND("F",B1770)+1,FIND("G",B1770)+1),
FIND("T",B1770)-(IF(ISNUMBER(FIND("F",B1770)),FIND("F",B1770)+1,FIND("G",B1770)+1))
)),
VALUE(MID(B1770,FIND("E0",B1770)+2,FIND("T",B1770,FIND("E0",B1770))-(FIND("E0",B1770)+2)))
))),"")</f>
        <v>242</v>
      </c>
      <c r="G1770">
        <f>IFERROR(
IF(ISNUMBER(FIND("T2",B1770)),220,
IF(ISNUMBER(FIND("T4",B1770)),440,
IF(ISNUMBER(FIND("T5",B1770)),575,
IF(ISNUMBER(FIND("T6",B1770)),690,"")))),
"")</f>
        <v>440</v>
      </c>
    </row>
    <row r="1771" spans="1:7" x14ac:dyDescent="0.25">
      <c r="A1771">
        <v>18425554</v>
      </c>
      <c r="B1771" t="str">
        <f>VLOOKUP(A1771,Planilha2!B:C,2,0)</f>
        <v>INVERSOR CFW900E0242T4DB21Y2B</v>
      </c>
      <c r="C1771" t="s">
        <v>3170</v>
      </c>
      <c r="D1771" t="str">
        <f>VLOOKUP(A1771,Planilha2!B:H,7,0)</f>
        <v>LINHA G1</v>
      </c>
      <c r="E1771" s="5">
        <v>63500</v>
      </c>
      <c r="F1771" t="str">
        <f>IFERROR(
IF(ISNUMBER(FIND("CFW110",B1771)),
VALUE(MID(B1771,FIND("CFW110",B1771)+6,FIND("T",B1771,FIND("CFW110",B1771))-(FIND("CFW110",B1771)+6))),
IF(ISNUMBER(FIND("D",B1771)),
VALUE(SUBSTITUTE(MID(B1771,FIND("D",B1771)+1,FIND("T",B1771,FIND("D",B1771))-(FIND("D",B1771)+1)),"P",",")),
IF(ISNUMBER(FIND("CFW5",B1771)),
VALUE(MID(B1771,
IF(ISNUMBER(FIND("F",B1771)),FIND("F",B1771)+1,FIND("G",B1771)+1),
FIND("T",B1771)-(IF(ISNUMBER(FIND("F",B1771)),FIND("F",B1771)+1,FIND("G",B1771)+1))
)),
VALUE(MID(B1771,FIND("E0",B1771)+2,FIND("T",B1771,FIND("E0",B1771))-(FIND("E0",B1771)+2)))
))),"")</f>
        <v/>
      </c>
      <c r="G1771">
        <f>IFERROR(
IF(ISNUMBER(FIND("T2",B1771)),220,
IF(ISNUMBER(FIND("T4",B1771)),440,
IF(ISNUMBER(FIND("T5",B1771)),575,
IF(ISNUMBER(FIND("T6",B1771)),690,"")))),
"")</f>
        <v>440</v>
      </c>
    </row>
    <row r="1772" spans="1:7" x14ac:dyDescent="0.25">
      <c r="A1772">
        <v>18455103</v>
      </c>
      <c r="B1772" t="str">
        <f>VLOOKUP(A1772,Planilha2!B:C,2,0)</f>
        <v>INVERSOR CFW900E0172T4NB20Y2B-UI</v>
      </c>
      <c r="C1772" t="s">
        <v>3170</v>
      </c>
      <c r="D1772" t="str">
        <f>VLOOKUP(A1772,Planilha2!B:H,7,0)</f>
        <v>LINHA G1</v>
      </c>
      <c r="E1772" s="5">
        <v>63500</v>
      </c>
      <c r="F1772">
        <f>IFERROR(
IF(ISNUMBER(FIND("CFW110",B1772)),
VALUE(MID(B1772,FIND("CFW110",B1772)+6,FIND("T",B1772,FIND("CFW110",B1772))-(FIND("CFW110",B1772)+6))),
IF(ISNUMBER(FIND("D",B1772)),
VALUE(SUBSTITUTE(MID(B1772,FIND("D",B1772)+1,FIND("T",B1772,FIND("D",B1772))-(FIND("D",B1772)+1)),"P",",")),
IF(ISNUMBER(FIND("CFW5",B1772)),
VALUE(MID(B1772,
IF(ISNUMBER(FIND("F",B1772)),FIND("F",B1772)+1,FIND("G",B1772)+1),
FIND("T",B1772)-(IF(ISNUMBER(FIND("F",B1772)),FIND("F",B1772)+1,FIND("G",B1772)+1))
)),
VALUE(MID(B1772,FIND("E0",B1772)+2,FIND("T",B1772,FIND("E0",B1772))-(FIND("E0",B1772)+2)))
))),"")</f>
        <v>172</v>
      </c>
      <c r="G1772">
        <f>IFERROR(
IF(ISNUMBER(FIND("T2",B1772)),220,
IF(ISNUMBER(FIND("T4",B1772)),440,
IF(ISNUMBER(FIND("T5",B1772)),575,
IF(ISNUMBER(FIND("T6",B1772)),690,"")))),
"")</f>
        <v>440</v>
      </c>
    </row>
    <row r="1773" spans="1:7" x14ac:dyDescent="0.25">
      <c r="A1773">
        <v>18455104</v>
      </c>
      <c r="B1773" t="str">
        <f>VLOOKUP(A1773,Planilha2!B:C,2,0)</f>
        <v>INVERSOR CFW900E0203T4NB20Y2B-UI</v>
      </c>
      <c r="C1773" t="s">
        <v>3170</v>
      </c>
      <c r="D1773" t="str">
        <f>VLOOKUP(A1773,Planilha2!B:H,7,0)</f>
        <v>LINHA G1</v>
      </c>
      <c r="E1773" s="5">
        <v>63500</v>
      </c>
      <c r="F1773">
        <f>IFERROR(
IF(ISNUMBER(FIND("CFW110",B1773)),
VALUE(MID(B1773,FIND("CFW110",B1773)+6,FIND("T",B1773,FIND("CFW110",B1773))-(FIND("CFW110",B1773)+6))),
IF(ISNUMBER(FIND("D",B1773)),
VALUE(SUBSTITUTE(MID(B1773,FIND("D",B1773)+1,FIND("T",B1773,FIND("D",B1773))-(FIND("D",B1773)+1)),"P",",")),
IF(ISNUMBER(FIND("CFW5",B1773)),
VALUE(MID(B1773,
IF(ISNUMBER(FIND("F",B1773)),FIND("F",B1773)+1,FIND("G",B1773)+1),
FIND("T",B1773)-(IF(ISNUMBER(FIND("F",B1773)),FIND("F",B1773)+1,FIND("G",B1773)+1))
)),
VALUE(MID(B1773,FIND("E0",B1773)+2,FIND("T",B1773,FIND("E0",B1773))-(FIND("E0",B1773)+2)))
))),"")</f>
        <v>203</v>
      </c>
      <c r="G1773">
        <f>IFERROR(
IF(ISNUMBER(FIND("T2",B1773)),220,
IF(ISNUMBER(FIND("T4",B1773)),440,
IF(ISNUMBER(FIND("T5",B1773)),575,
IF(ISNUMBER(FIND("T6",B1773)),690,"")))),
"")</f>
        <v>440</v>
      </c>
    </row>
    <row r="1774" spans="1:7" x14ac:dyDescent="0.25">
      <c r="A1774">
        <v>18455105</v>
      </c>
      <c r="B1774" t="str">
        <f>VLOOKUP(A1774,Planilha2!B:C,2,0)</f>
        <v>INVERSOR CFW900E0242T4NB20Y2B-UI</v>
      </c>
      <c r="C1774" t="s">
        <v>3170</v>
      </c>
      <c r="D1774" t="str">
        <f>VLOOKUP(A1774,Planilha2!B:H,7,0)</f>
        <v>LINHA G1</v>
      </c>
      <c r="E1774" s="5">
        <v>63500</v>
      </c>
      <c r="F1774">
        <f>IFERROR(
IF(ISNUMBER(FIND("CFW110",B1774)),
VALUE(MID(B1774,FIND("CFW110",B1774)+6,FIND("T",B1774,FIND("CFW110",B1774))-(FIND("CFW110",B1774)+6))),
IF(ISNUMBER(FIND("D",B1774)),
VALUE(SUBSTITUTE(MID(B1774,FIND("D",B1774)+1,FIND("T",B1774,FIND("D",B1774))-(FIND("D",B1774)+1)),"P",",")),
IF(ISNUMBER(FIND("CFW5",B1774)),
VALUE(MID(B1774,
IF(ISNUMBER(FIND("F",B1774)),FIND("F",B1774)+1,FIND("G",B1774)+1),
FIND("T",B1774)-(IF(ISNUMBER(FIND("F",B1774)),FIND("F",B1774)+1,FIND("G",B1774)+1))
)),
VALUE(MID(B1774,FIND("E0",B1774)+2,FIND("T",B1774,FIND("E0",B1774))-(FIND("E0",B1774)+2)))
))),"")</f>
        <v>242</v>
      </c>
      <c r="G1774">
        <f>IFERROR(
IF(ISNUMBER(FIND("T2",B1774)),220,
IF(ISNUMBER(FIND("T4",B1774)),440,
IF(ISNUMBER(FIND("T5",B1774)),575,
IF(ISNUMBER(FIND("T6",B1774)),690,"")))),
"")</f>
        <v>440</v>
      </c>
    </row>
    <row r="1775" spans="1:7" x14ac:dyDescent="0.25">
      <c r="A1775">
        <v>18539545</v>
      </c>
      <c r="B1775" t="str">
        <f>VLOOKUP(A1775,Planilha2!B:C,2,0)</f>
        <v>INVERSOR CFW900E0172T4NB20Y2BHEC</v>
      </c>
      <c r="C1775" t="s">
        <v>3170</v>
      </c>
      <c r="D1775" t="str">
        <f>VLOOKUP(A1775,Planilha2!B:H,7,0)</f>
        <v>LINHA G1</v>
      </c>
      <c r="E1775" s="5">
        <v>63500</v>
      </c>
      <c r="F1775">
        <f>IFERROR(
IF(ISNUMBER(FIND("CFW110",B1775)),
VALUE(MID(B1775,FIND("CFW110",B1775)+6,FIND("T",B1775,FIND("CFW110",B1775))-(FIND("CFW110",B1775)+6))),
IF(ISNUMBER(FIND("D",B1775)),
VALUE(SUBSTITUTE(MID(B1775,FIND("D",B1775)+1,FIND("T",B1775,FIND("D",B1775))-(FIND("D",B1775)+1)),"P",",")),
IF(ISNUMBER(FIND("CFW5",B1775)),
VALUE(MID(B1775,
IF(ISNUMBER(FIND("F",B1775)),FIND("F",B1775)+1,FIND("G",B1775)+1),
FIND("T",B1775)-(IF(ISNUMBER(FIND("F",B1775)),FIND("F",B1775)+1,FIND("G",B1775)+1))
)),
VALUE(MID(B1775,FIND("E0",B1775)+2,FIND("T",B1775,FIND("E0",B1775))-(FIND("E0",B1775)+2)))
))),"")</f>
        <v>172</v>
      </c>
      <c r="G1775">
        <f>IFERROR(
IF(ISNUMBER(FIND("T2",B1775)),220,
IF(ISNUMBER(FIND("T4",B1775)),440,
IF(ISNUMBER(FIND("T5",B1775)),575,
IF(ISNUMBER(FIND("T6",B1775)),690,"")))),
"")</f>
        <v>440</v>
      </c>
    </row>
    <row r="1776" spans="1:7" x14ac:dyDescent="0.25">
      <c r="A1776">
        <v>18543139</v>
      </c>
      <c r="B1776" t="str">
        <f>VLOOKUP(A1776,Planilha2!B:C,2,0)</f>
        <v>INVERSOR CFW900E0242T4NB20Y2BHEC</v>
      </c>
      <c r="C1776" t="s">
        <v>3170</v>
      </c>
      <c r="D1776" t="str">
        <f>VLOOKUP(A1776,Planilha2!B:H,7,0)</f>
        <v>LINHA G1</v>
      </c>
      <c r="E1776" s="5">
        <v>63500</v>
      </c>
      <c r="F1776">
        <f>IFERROR(
IF(ISNUMBER(FIND("CFW110",B1776)),
VALUE(MID(B1776,FIND("CFW110",B1776)+6,FIND("T",B1776,FIND("CFW110",B1776))-(FIND("CFW110",B1776)+6))),
IF(ISNUMBER(FIND("D",B1776)),
VALUE(SUBSTITUTE(MID(B1776,FIND("D",B1776)+1,FIND("T",B1776,FIND("D",B1776))-(FIND("D",B1776)+1)),"P",",")),
IF(ISNUMBER(FIND("CFW5",B1776)),
VALUE(MID(B1776,
IF(ISNUMBER(FIND("F",B1776)),FIND("F",B1776)+1,FIND("G",B1776)+1),
FIND("T",B1776)-(IF(ISNUMBER(FIND("F",B1776)),FIND("F",B1776)+1,FIND("G",B1776)+1))
)),
VALUE(MID(B1776,FIND("E0",B1776)+2,FIND("T",B1776,FIND("E0",B1776))-(FIND("E0",B1776)+2)))
))),"")</f>
        <v>242</v>
      </c>
      <c r="G1776">
        <f>IFERROR(
IF(ISNUMBER(FIND("T2",B1776)),220,
IF(ISNUMBER(FIND("T4",B1776)),440,
IF(ISNUMBER(FIND("T5",B1776)),575,
IF(ISNUMBER(FIND("T6",B1776)),690,"")))),
"")</f>
        <v>440</v>
      </c>
    </row>
    <row r="1777" spans="1:7" x14ac:dyDescent="0.25">
      <c r="A1777">
        <v>18531113</v>
      </c>
      <c r="B1777" t="str">
        <f>VLOOKUP(A1777,Planilha2!B:C,2,0)</f>
        <v>INVERSOR EUCFW110289T6ORBZ</v>
      </c>
      <c r="C1777" t="s">
        <v>3170</v>
      </c>
      <c r="D1777" t="str">
        <f>VLOOKUP(A1777,Planilha2!B:H,7,0)</f>
        <v>LINHA G3</v>
      </c>
      <c r="E1777" s="5">
        <v>130000</v>
      </c>
      <c r="F1777">
        <f>IFERROR(
IF(ISNUMBER(FIND("CFW110",B1777)),
VALUE(MID(B1777,FIND("CFW110",B1777)+6,FIND("T",B1777,FIND("CFW110",B1777))-(FIND("CFW110",B1777)+6))),
IF(ISNUMBER(FIND("D",B1777)),
VALUE(SUBSTITUTE(MID(B1777,FIND("D",B1777)+1,FIND("T",B1777,FIND("D",B1777))-(FIND("D",B1777)+1)),"P",",")),
IF(ISNUMBER(FIND("CFW5",B1777)),
VALUE(MID(B1777,
IF(ISNUMBER(FIND("F",B1777)),FIND("F",B1777)+1,FIND("G",B1777)+1),
FIND("T",B1777)-(IF(ISNUMBER(FIND("F",B1777)),FIND("F",B1777)+1,FIND("G",B1777)+1))
)),
VALUE(MID(B1777,FIND("E0",B1777)+2,FIND("T",B1777,FIND("E0",B1777))-(FIND("E0",B1777)+2)))
))),"")</f>
        <v>289</v>
      </c>
      <c r="G1777">
        <f>IFERROR(
IF(ISNUMBER(FIND("T2",B1777)),220,
IF(ISNUMBER(FIND("T4",B1777)),440,
IF(ISNUMBER(FIND("T5",B1777)),575,
IF(ISNUMBER(FIND("T6",B1777)),690,"")))),
"")</f>
        <v>690</v>
      </c>
    </row>
    <row r="1778" spans="1:7" x14ac:dyDescent="0.25">
      <c r="A1778">
        <v>18531115</v>
      </c>
      <c r="B1778" t="str">
        <f>VLOOKUP(A1778,Planilha2!B:C,2,0)</f>
        <v>INVERSOR EUCFW110370T4ORBZ</v>
      </c>
      <c r="C1778" t="s">
        <v>3170</v>
      </c>
      <c r="D1778" t="str">
        <f>VLOOKUP(A1778,Planilha2!B:H,7,0)</f>
        <v>LINHA G3</v>
      </c>
      <c r="E1778" s="5">
        <v>97000</v>
      </c>
      <c r="F1778">
        <f>IFERROR(
IF(ISNUMBER(FIND("CFW110",B1778)),
VALUE(MID(B1778,FIND("CFW110",B1778)+6,FIND("T",B1778,FIND("CFW110",B1778))-(FIND("CFW110",B1778)+6))),
IF(ISNUMBER(FIND("D",B1778)),
VALUE(SUBSTITUTE(MID(B1778,FIND("D",B1778)+1,FIND("T",B1778,FIND("D",B1778))-(FIND("D",B1778)+1)),"P",",")),
IF(ISNUMBER(FIND("CFW5",B1778)),
VALUE(MID(B1778,
IF(ISNUMBER(FIND("F",B1778)),FIND("F",B1778)+1,FIND("G",B1778)+1),
FIND("T",B1778)-(IF(ISNUMBER(FIND("F",B1778)),FIND("F",B1778)+1,FIND("G",B1778)+1))
)),
VALUE(MID(B1778,FIND("E0",B1778)+2,FIND("T",B1778,FIND("E0",B1778))-(FIND("E0",B1778)+2)))
))),"")</f>
        <v>370</v>
      </c>
      <c r="G1778">
        <f>IFERROR(
IF(ISNUMBER(FIND("T2",B1778)),220,
IF(ISNUMBER(FIND("T4",B1778)),440,
IF(ISNUMBER(FIND("T5",B1778)),575,
IF(ISNUMBER(FIND("T6",B1778)),690,"")))),
"")</f>
        <v>440</v>
      </c>
    </row>
    <row r="1779" spans="1:7" x14ac:dyDescent="0.25">
      <c r="A1779">
        <v>18580869</v>
      </c>
      <c r="B1779" t="str">
        <f>VLOOKUP(A1779,Planilha2!B:C,2,0)</f>
        <v>INVERSOR EUCFW110289T6ORBWZ</v>
      </c>
      <c r="C1779" t="s">
        <v>3170</v>
      </c>
      <c r="D1779" t="str">
        <f>VLOOKUP(A1779,Planilha2!B:H,7,0)</f>
        <v>LINHA G3</v>
      </c>
      <c r="E1779" s="5">
        <v>130000</v>
      </c>
      <c r="F1779">
        <f>IFERROR(
IF(ISNUMBER(FIND("CFW110",B1779)),
VALUE(MID(B1779,FIND("CFW110",B1779)+6,FIND("T",B1779,FIND("CFW110",B1779))-(FIND("CFW110",B1779)+6))),
IF(ISNUMBER(FIND("D",B1779)),
VALUE(SUBSTITUTE(MID(B1779,FIND("D",B1779)+1,FIND("T",B1779,FIND("D",B1779))-(FIND("D",B1779)+1)),"P",",")),
IF(ISNUMBER(FIND("CFW5",B1779)),
VALUE(MID(B1779,
IF(ISNUMBER(FIND("F",B1779)),FIND("F",B1779)+1,FIND("G",B1779)+1),
FIND("T",B1779)-(IF(ISNUMBER(FIND("F",B1779)),FIND("F",B1779)+1,FIND("G",B1779)+1))
)),
VALUE(MID(B1779,FIND("E0",B1779)+2,FIND("T",B1779,FIND("E0",B1779))-(FIND("E0",B1779)+2)))
))),"")</f>
        <v>289</v>
      </c>
      <c r="G1779">
        <f>IFERROR(
IF(ISNUMBER(FIND("T2",B1779)),220,
IF(ISNUMBER(FIND("T4",B1779)),440,
IF(ISNUMBER(FIND("T5",B1779)),575,
IF(ISNUMBER(FIND("T6",B1779)),690,"")))),
"")</f>
        <v>690</v>
      </c>
    </row>
    <row r="1780" spans="1:7" x14ac:dyDescent="0.25">
      <c r="A1780">
        <v>18580964</v>
      </c>
      <c r="B1780" t="str">
        <f>VLOOKUP(A1780,Planilha2!B:C,2,0)</f>
        <v>INVERSOR EUCFW110365T6ORBWZ</v>
      </c>
      <c r="C1780" t="s">
        <v>3170</v>
      </c>
      <c r="D1780" t="str">
        <f>VLOOKUP(A1780,Planilha2!B:H,7,0)</f>
        <v>LINHA G5</v>
      </c>
      <c r="E1780" s="5">
        <v>150100</v>
      </c>
      <c r="F1780">
        <f>IFERROR(
IF(ISNUMBER(FIND("CFW110",B1780)),
VALUE(MID(B1780,FIND("CFW110",B1780)+6,FIND("T",B1780,FIND("CFW110",B1780))-(FIND("CFW110",B1780)+6))),
IF(ISNUMBER(FIND("D",B1780)),
VALUE(SUBSTITUTE(MID(B1780,FIND("D",B1780)+1,FIND("T",B1780,FIND("D",B1780))-(FIND("D",B1780)+1)),"P",",")),
IF(ISNUMBER(FIND("CFW5",B1780)),
VALUE(MID(B1780,
IF(ISNUMBER(FIND("F",B1780)),FIND("F",B1780)+1,FIND("G",B1780)+1),
FIND("T",B1780)-(IF(ISNUMBER(FIND("F",B1780)),FIND("F",B1780)+1,FIND("G",B1780)+1))
)),
VALUE(MID(B1780,FIND("E0",B1780)+2,FIND("T",B1780,FIND("E0",B1780))-(FIND("E0",B1780)+2)))
))),"")</f>
        <v>365</v>
      </c>
      <c r="G1780">
        <f>IFERROR(
IF(ISNUMBER(FIND("T2",B1780)),220,
IF(ISNUMBER(FIND("T4",B1780)),440,
IF(ISNUMBER(FIND("T5",B1780)),575,
IF(ISNUMBER(FIND("T6",B1780)),690,"")))),
"")</f>
        <v>690</v>
      </c>
    </row>
    <row r="1781" spans="1:7" x14ac:dyDescent="0.25">
      <c r="A1781">
        <v>18581749</v>
      </c>
      <c r="B1781" t="str">
        <f>VLOOKUP(A1781,Planilha2!B:C,2,0)</f>
        <v>INVERSOR EUCFW110370T4ORBWZ</v>
      </c>
      <c r="C1781" t="s">
        <v>3170</v>
      </c>
      <c r="D1781" t="str">
        <f>VLOOKUP(A1781,Planilha2!B:H,7,0)</f>
        <v>LINHA G3</v>
      </c>
      <c r="E1781" s="5">
        <v>97000</v>
      </c>
      <c r="F1781">
        <f>IFERROR(
IF(ISNUMBER(FIND("CFW110",B1781)),
VALUE(MID(B1781,FIND("CFW110",B1781)+6,FIND("T",B1781,FIND("CFW110",B1781))-(FIND("CFW110",B1781)+6))),
IF(ISNUMBER(FIND("D",B1781)),
VALUE(SUBSTITUTE(MID(B1781,FIND("D",B1781)+1,FIND("T",B1781,FIND("D",B1781))-(FIND("D",B1781)+1)),"P",",")),
IF(ISNUMBER(FIND("CFW5",B1781)),
VALUE(MID(B1781,
IF(ISNUMBER(FIND("F",B1781)),FIND("F",B1781)+1,FIND("G",B1781)+1),
FIND("T",B1781)-(IF(ISNUMBER(FIND("F",B1781)),FIND("F",B1781)+1,FIND("G",B1781)+1))
)),
VALUE(MID(B1781,FIND("E0",B1781)+2,FIND("T",B1781,FIND("E0",B1781))-(FIND("E0",B1781)+2)))
))),"")</f>
        <v>370</v>
      </c>
      <c r="G1781">
        <f>IFERROR(
IF(ISNUMBER(FIND("T2",B1781)),220,
IF(ISNUMBER(FIND("T4",B1781)),440,
IF(ISNUMBER(FIND("T5",B1781)),575,
IF(ISNUMBER(FIND("T6",B1781)),690,"")))),
"")</f>
        <v>440</v>
      </c>
    </row>
    <row r="1782" spans="1:7" x14ac:dyDescent="0.25">
      <c r="A1782">
        <v>18582258</v>
      </c>
      <c r="B1782" t="str">
        <f>VLOOKUP(A1782,Planilha2!B:C,2,0)</f>
        <v>INVERSOR EUCFW110289T6ORBWZ-UI</v>
      </c>
      <c r="C1782" t="s">
        <v>3170</v>
      </c>
      <c r="D1782" t="str">
        <f>VLOOKUP(A1782,Planilha2!B:H,7,0)</f>
        <v>LINHA G3</v>
      </c>
      <c r="E1782" s="5">
        <v>130000</v>
      </c>
      <c r="F1782">
        <f>IFERROR(
IF(ISNUMBER(FIND("CFW110",B1782)),
VALUE(MID(B1782,FIND("CFW110",B1782)+6,FIND("T",B1782,FIND("CFW110",B1782))-(FIND("CFW110",B1782)+6))),
IF(ISNUMBER(FIND("D",B1782)),
VALUE(SUBSTITUTE(MID(B1782,FIND("D",B1782)+1,FIND("T",B1782,FIND("D",B1782))-(FIND("D",B1782)+1)),"P",",")),
IF(ISNUMBER(FIND("CFW5",B1782)),
VALUE(MID(B1782,
IF(ISNUMBER(FIND("F",B1782)),FIND("F",B1782)+1,FIND("G",B1782)+1),
FIND("T",B1782)-(IF(ISNUMBER(FIND("F",B1782)),FIND("F",B1782)+1,FIND("G",B1782)+1))
)),
VALUE(MID(B1782,FIND("E0",B1782)+2,FIND("T",B1782,FIND("E0",B1782))-(FIND("E0",B1782)+2)))
))),"")</f>
        <v>289</v>
      </c>
      <c r="G1782">
        <f>IFERROR(
IF(ISNUMBER(FIND("T2",B1782)),220,
IF(ISNUMBER(FIND("T4",B1782)),440,
IF(ISNUMBER(FIND("T5",B1782)),575,
IF(ISNUMBER(FIND("T6",B1782)),690,"")))),
"")</f>
        <v>690</v>
      </c>
    </row>
    <row r="1783" spans="1:7" x14ac:dyDescent="0.25">
      <c r="A1783">
        <v>18582262</v>
      </c>
      <c r="B1783" t="str">
        <f>VLOOKUP(A1783,Planilha2!B:C,2,0)</f>
        <v>INVERSOR EUCFW110365T6ORBWZ-UI</v>
      </c>
      <c r="C1783" t="s">
        <v>3170</v>
      </c>
      <c r="D1783" t="str">
        <f>VLOOKUP(A1783,Planilha2!B:H,7,0)</f>
        <v>LINHA G5</v>
      </c>
      <c r="E1783" s="5">
        <v>150100</v>
      </c>
      <c r="F1783">
        <f>IFERROR(
IF(ISNUMBER(FIND("CFW110",B1783)),
VALUE(MID(B1783,FIND("CFW110",B1783)+6,FIND("T",B1783,FIND("CFW110",B1783))-(FIND("CFW110",B1783)+6))),
IF(ISNUMBER(FIND("D",B1783)),
VALUE(SUBSTITUTE(MID(B1783,FIND("D",B1783)+1,FIND("T",B1783,FIND("D",B1783))-(FIND("D",B1783)+1)),"P",",")),
IF(ISNUMBER(FIND("CFW5",B1783)),
VALUE(MID(B1783,
IF(ISNUMBER(FIND("F",B1783)),FIND("F",B1783)+1,FIND("G",B1783)+1),
FIND("T",B1783)-(IF(ISNUMBER(FIND("F",B1783)),FIND("F",B1783)+1,FIND("G",B1783)+1))
)),
VALUE(MID(B1783,FIND("E0",B1783)+2,FIND("T",B1783,FIND("E0",B1783))-(FIND("E0",B1783)+2)))
))),"")</f>
        <v>365</v>
      </c>
      <c r="G1783">
        <f>IFERROR(
IF(ISNUMBER(FIND("T2",B1783)),220,
IF(ISNUMBER(FIND("T4",B1783)),440,
IF(ISNUMBER(FIND("T5",B1783)),575,
IF(ISNUMBER(FIND("T6",B1783)),690,"")))),
"")</f>
        <v>690</v>
      </c>
    </row>
    <row r="1784" spans="1:7" x14ac:dyDescent="0.25">
      <c r="A1784">
        <v>18582265</v>
      </c>
      <c r="B1784" t="str">
        <f>VLOOKUP(A1784,Planilha2!B:C,2,0)</f>
        <v>INVERSOR EUCFW110370T4ORBWZ-UI</v>
      </c>
      <c r="C1784" t="s">
        <v>3170</v>
      </c>
      <c r="D1784" t="str">
        <f>VLOOKUP(A1784,Planilha2!B:H,7,0)</f>
        <v>LINHA G3</v>
      </c>
      <c r="E1784" s="5">
        <v>97000</v>
      </c>
      <c r="F1784">
        <f>IFERROR(
IF(ISNUMBER(FIND("CFW110",B1784)),
VALUE(MID(B1784,FIND("CFW110",B1784)+6,FIND("T",B1784,FIND("CFW110",B1784))-(FIND("CFW110",B1784)+6))),
IF(ISNUMBER(FIND("D",B1784)),
VALUE(SUBSTITUTE(MID(B1784,FIND("D",B1784)+1,FIND("T",B1784,FIND("D",B1784))-(FIND("D",B1784)+1)),"P",",")),
IF(ISNUMBER(FIND("CFW5",B1784)),
VALUE(MID(B1784,
IF(ISNUMBER(FIND("F",B1784)),FIND("F",B1784)+1,FIND("G",B1784)+1),
FIND("T",B1784)-(IF(ISNUMBER(FIND("F",B1784)),FIND("F",B1784)+1,FIND("G",B1784)+1))
)),
VALUE(MID(B1784,FIND("E0",B1784)+2,FIND("T",B1784,FIND("E0",B1784))-(FIND("E0",B1784)+2)))
))),"")</f>
        <v>370</v>
      </c>
      <c r="G1784">
        <f>IFERROR(
IF(ISNUMBER(FIND("T2",B1784)),220,
IF(ISNUMBER(FIND("T4",B1784)),440,
IF(ISNUMBER(FIND("T5",B1784)),575,
IF(ISNUMBER(FIND("T6",B1784)),690,"")))),
"")</f>
        <v>440</v>
      </c>
    </row>
    <row r="1785" spans="1:7" x14ac:dyDescent="0.25">
      <c r="A1785">
        <v>18531111</v>
      </c>
      <c r="B1785" t="str">
        <f>VLOOKUP(A1785,Planilha2!B:C,2,0)</f>
        <v>INVERSOR EUCFW110365T6ORBZ</v>
      </c>
      <c r="C1785" t="s">
        <v>3170</v>
      </c>
      <c r="D1785" t="str">
        <f>VLOOKUP(A1785,Planilha2!B:H,7,0)</f>
        <v>LINHA G5</v>
      </c>
      <c r="E1785" s="5">
        <v>150100</v>
      </c>
      <c r="F1785">
        <f>IFERROR(
IF(ISNUMBER(FIND("CFW110",B1785)),
VALUE(MID(B1785,FIND("CFW110",B1785)+6,FIND("T",B1785,FIND("CFW110",B1785))-(FIND("CFW110",B1785)+6))),
IF(ISNUMBER(FIND("D",B1785)),
VALUE(SUBSTITUTE(MID(B1785,FIND("D",B1785)+1,FIND("T",B1785,FIND("D",B1785))-(FIND("D",B1785)+1)),"P",",")),
IF(ISNUMBER(FIND("CFW5",B1785)),
VALUE(MID(B1785,
IF(ISNUMBER(FIND("F",B1785)),FIND("F",B1785)+1,FIND("G",B1785)+1),
FIND("T",B1785)-(IF(ISNUMBER(FIND("F",B1785)),FIND("F",B1785)+1,FIND("G",B1785)+1))
)),
VALUE(MID(B1785,FIND("E0",B1785)+2,FIND("T",B1785,FIND("E0",B1785))-(FIND("E0",B1785)+2)))
))),"")</f>
        <v>365</v>
      </c>
      <c r="G1785">
        <f>IFERROR(
IF(ISNUMBER(FIND("T2",B1785)),220,
IF(ISNUMBER(FIND("T4",B1785)),440,
IF(ISNUMBER(FIND("T5",B1785)),575,
IF(ISNUMBER(FIND("T6",B1785)),690,"")))),
"")</f>
        <v>690</v>
      </c>
    </row>
    <row r="1786" spans="1:7" x14ac:dyDescent="0.25">
      <c r="A1786">
        <v>18546294</v>
      </c>
      <c r="B1786" t="str">
        <f>VLOOKUP(A1786,Planilha2!B:C,2,0)</f>
        <v>INVERSOR EUCFW110370T4ORBZ-UI</v>
      </c>
      <c r="C1786" t="s">
        <v>3170</v>
      </c>
      <c r="D1786" t="str">
        <f>VLOOKUP(A1786,Planilha2!B:H,7,0)</f>
        <v>LINHA G3</v>
      </c>
      <c r="E1786" s="5">
        <v>97000</v>
      </c>
      <c r="F1786">
        <f>IFERROR(
IF(ISNUMBER(FIND("CFW110",B1786)),
VALUE(MID(B1786,FIND("CFW110",B1786)+6,FIND("T",B1786,FIND("CFW110",B1786))-(FIND("CFW110",B1786)+6))),
IF(ISNUMBER(FIND("D",B1786)),
VALUE(SUBSTITUTE(MID(B1786,FIND("D",B1786)+1,FIND("T",B1786,FIND("D",B1786))-(FIND("D",B1786)+1)),"P",",")),
IF(ISNUMBER(FIND("CFW5",B1786)),
VALUE(MID(B1786,
IF(ISNUMBER(FIND("F",B1786)),FIND("F",B1786)+1,FIND("G",B1786)+1),
FIND("T",B1786)-(IF(ISNUMBER(FIND("F",B1786)),FIND("F",B1786)+1,FIND("G",B1786)+1))
)),
VALUE(MID(B1786,FIND("E0",B1786)+2,FIND("T",B1786,FIND("E0",B1786))-(FIND("E0",B1786)+2)))
))),"")</f>
        <v>370</v>
      </c>
      <c r="G1786">
        <f>IFERROR(
IF(ISNUMBER(FIND("T2",B1786)),220,
IF(ISNUMBER(FIND("T4",B1786)),440,
IF(ISNUMBER(FIND("T5",B1786)),575,
IF(ISNUMBER(FIND("T6",B1786)),690,"")))),
"")</f>
        <v>440</v>
      </c>
    </row>
    <row r="1787" spans="1:7" x14ac:dyDescent="0.25">
      <c r="A1787">
        <v>18637652</v>
      </c>
      <c r="B1787" t="str">
        <f>VLOOKUP(A1787,Planilha2!B:C,2,0)</f>
        <v>INVERSOR BRCFW110150T6OYECZ-UI</v>
      </c>
      <c r="C1787" t="s">
        <v>3170</v>
      </c>
      <c r="D1787" t="str">
        <f>VLOOKUP(A1787,Planilha2!B:H,7,0)</f>
        <v>LINHA G1</v>
      </c>
      <c r="E1787" s="5">
        <v>65000</v>
      </c>
      <c r="F1787">
        <f>IFERROR(
IF(ISNUMBER(FIND("CFW110",B1787)),
VALUE(MID(B1787,FIND("CFW110",B1787)+6,FIND("T",B1787,FIND("CFW110",B1787))-(FIND("CFW110",B1787)+6))),
IF(ISNUMBER(FIND("D",B1787)),
VALUE(SUBSTITUTE(MID(B1787,FIND("D",B1787)+1,FIND("T",B1787,FIND("D",B1787))-(FIND("D",B1787)+1)),"P",",")),
IF(ISNUMBER(FIND("CFW5",B1787)),
VALUE(MID(B1787,
IF(ISNUMBER(FIND("F",B1787)),FIND("F",B1787)+1,FIND("G",B1787)+1),
FIND("T",B1787)-(IF(ISNUMBER(FIND("F",B1787)),FIND("F",B1787)+1,FIND("G",B1787)+1))
)),
VALUE(MID(B1787,FIND("E0",B1787)+2,FIND("T",B1787,FIND("E0",B1787))-(FIND("E0",B1787)+2)))
))),"")</f>
        <v>150</v>
      </c>
      <c r="G1787">
        <f>IFERROR(
IF(ISNUMBER(FIND("T2",B1787)),220,
IF(ISNUMBER(FIND("T4",B1787)),440,
IF(ISNUMBER(FIND("T5",B1787)),575,
IF(ISNUMBER(FIND("T6",B1787)),690,"")))),
"")</f>
        <v>690</v>
      </c>
    </row>
    <row r="1788" spans="1:7" x14ac:dyDescent="0.25">
      <c r="A1788">
        <v>18577660</v>
      </c>
      <c r="B1788" t="str">
        <f>VLOOKUP(A1788,Planilha2!B:C,2,0)</f>
        <v>INVERSOR BRCFW110150T6OYECZ</v>
      </c>
      <c r="C1788" t="s">
        <v>3170</v>
      </c>
      <c r="D1788" t="str">
        <f>VLOOKUP(A1788,Planilha2!B:H,7,0)</f>
        <v>LINHA G1</v>
      </c>
      <c r="E1788" s="5">
        <v>65000</v>
      </c>
      <c r="F1788">
        <f>IFERROR(
IF(ISNUMBER(FIND("CFW110",B1788)),
VALUE(MID(B1788,FIND("CFW110",B1788)+6,FIND("T",B1788,FIND("CFW110",B1788))-(FIND("CFW110",B1788)+6))),
IF(ISNUMBER(FIND("D",B1788)),
VALUE(SUBSTITUTE(MID(B1788,FIND("D",B1788)+1,FIND("T",B1788,FIND("D",B1788))-(FIND("D",B1788)+1)),"P",",")),
IF(ISNUMBER(FIND("CFW5",B1788)),
VALUE(MID(B1788,
IF(ISNUMBER(FIND("F",B1788)),FIND("F",B1788)+1,FIND("G",B1788)+1),
FIND("T",B1788)-(IF(ISNUMBER(FIND("F",B1788)),FIND("F",B1788)+1,FIND("G",B1788)+1))
)),
VALUE(MID(B1788,FIND("E0",B1788)+2,FIND("T",B1788,FIND("E0",B1788))-(FIND("E0",B1788)+2)))
))),"")</f>
        <v>150</v>
      </c>
      <c r="G1788">
        <f>IFERROR(
IF(ISNUMBER(FIND("T2",B1788)),220,
IF(ISNUMBER(FIND("T4",B1788)),440,
IF(ISNUMBER(FIND("T5",B1788)),575,
IF(ISNUMBER(FIND("T6",B1788)),690,"")))),
"")</f>
        <v>690</v>
      </c>
    </row>
    <row r="1789" spans="1:7" x14ac:dyDescent="0.25">
      <c r="A1789">
        <v>18690910</v>
      </c>
      <c r="B1789" t="str">
        <f>VLOOKUP(A1789,Planilha2!B:C,2,0)</f>
        <v>INVERSOR CFW900E0250T2NB20Y2BHEC</v>
      </c>
      <c r="C1789" t="s">
        <v>3170</v>
      </c>
      <c r="D1789" t="str">
        <f>VLOOKUP(A1789,Planilha2!B:H,7,0)</f>
        <v>LINHA G1</v>
      </c>
      <c r="E1789" s="5">
        <v>63500</v>
      </c>
      <c r="F1789">
        <f>IFERROR(
IF(ISNUMBER(FIND("CFW110",B1789)),
VALUE(MID(B1789,FIND("CFW110",B1789)+6,FIND("T",B1789,FIND("CFW110",B1789))-(FIND("CFW110",B1789)+6))),
IF(ISNUMBER(FIND("D",B1789)),
VALUE(SUBSTITUTE(MID(B1789,FIND("D",B1789)+1,FIND("T",B1789,FIND("D",B1789))-(FIND("D",B1789)+1)),"P",",")),
IF(ISNUMBER(FIND("CFW5",B1789)),
VALUE(MID(B1789,
IF(ISNUMBER(FIND("F",B1789)),FIND("F",B1789)+1,FIND("G",B1789)+1),
FIND("T",B1789)-(IF(ISNUMBER(FIND("F",B1789)),FIND("F",B1789)+1,FIND("G",B1789)+1))
)),
VALUE(MID(B1789,FIND("E0",B1789)+2,FIND("T",B1789,FIND("E0",B1789))-(FIND("E0",B1789)+2)))
))),"")</f>
        <v>250</v>
      </c>
      <c r="G1789">
        <f>IFERROR(
IF(ISNUMBER(FIND("T2",B1789)),220,
IF(ISNUMBER(FIND("T4",B1789)),440,
IF(ISNUMBER(FIND("T5",B1789)),575,
IF(ISNUMBER(FIND("T6",B1789)),690,"")))),
"")</f>
        <v>220</v>
      </c>
    </row>
    <row r="1790" spans="1:7" x14ac:dyDescent="0.25">
      <c r="A1790">
        <v>18720110</v>
      </c>
      <c r="B1790" t="str">
        <f>VLOOKUP(A1790,Planilha2!B:C,2,0)</f>
        <v>INVERSOR EUCFW110242T4ORBZ</v>
      </c>
      <c r="C1790" t="s">
        <v>3170</v>
      </c>
      <c r="D1790" t="str">
        <f>VLOOKUP(A1790,Planilha2!B:H,7,0)</f>
        <v>LINHA G3</v>
      </c>
      <c r="E1790" s="5">
        <v>97000</v>
      </c>
      <c r="F1790">
        <f>IFERROR(
IF(ISNUMBER(FIND("CFW110",B1790)),
VALUE(MID(B1790,FIND("CFW110",B1790)+6,FIND("T",B1790,FIND("CFW110",B1790))-(FIND("CFW110",B1790)+6))),
IF(ISNUMBER(FIND("D",B1790)),
VALUE(SUBSTITUTE(MID(B1790,FIND("D",B1790)+1,FIND("T",B1790,FIND("D",B1790))-(FIND("D",B1790)+1)),"P",",")),
IF(ISNUMBER(FIND("CFW5",B1790)),
VALUE(MID(B1790,
IF(ISNUMBER(FIND("F",B1790)),FIND("F",B1790)+1,FIND("G",B1790)+1),
FIND("T",B1790)-(IF(ISNUMBER(FIND("F",B1790)),FIND("F",B1790)+1,FIND("G",B1790)+1))
)),
VALUE(MID(B1790,FIND("E0",B1790)+2,FIND("T",B1790,FIND("E0",B1790))-(FIND("E0",B1790)+2)))
))),"")</f>
        <v>242</v>
      </c>
      <c r="G1790">
        <f>IFERROR(
IF(ISNUMBER(FIND("T2",B1790)),220,
IF(ISNUMBER(FIND("T4",B1790)),440,
IF(ISNUMBER(FIND("T5",B1790)),575,
IF(ISNUMBER(FIND("T6",B1790)),690,"")))),
"")</f>
        <v>440</v>
      </c>
    </row>
    <row r="1791" spans="1:7" x14ac:dyDescent="0.25">
      <c r="A1791">
        <v>18553029</v>
      </c>
      <c r="B1791" t="str">
        <f>VLOOKUP(A1791,Planilha2!B:C,2,0)</f>
        <v>INVERSOR EUCFW110289T6ORBZ-UI</v>
      </c>
      <c r="C1791" t="s">
        <v>3170</v>
      </c>
      <c r="D1791" t="str">
        <f>VLOOKUP(A1791,Planilha2!B:H,7,0)</f>
        <v>LINHA G3</v>
      </c>
      <c r="E1791" s="5">
        <v>130000</v>
      </c>
      <c r="F1791">
        <f>IFERROR(
IF(ISNUMBER(FIND("CFW110",B1791)),
VALUE(MID(B1791,FIND("CFW110",B1791)+6,FIND("T",B1791,FIND("CFW110",B1791))-(FIND("CFW110",B1791)+6))),
IF(ISNUMBER(FIND("D",B1791)),
VALUE(SUBSTITUTE(MID(B1791,FIND("D",B1791)+1,FIND("T",B1791,FIND("D",B1791))-(FIND("D",B1791)+1)),"P",",")),
IF(ISNUMBER(FIND("CFW5",B1791)),
VALUE(MID(B1791,
IF(ISNUMBER(FIND("F",B1791)),FIND("F",B1791)+1,FIND("G",B1791)+1),
FIND("T",B1791)-(IF(ISNUMBER(FIND("F",B1791)),FIND("F",B1791)+1,FIND("G",B1791)+1))
)),
VALUE(MID(B1791,FIND("E0",B1791)+2,FIND("T",B1791,FIND("E0",B1791))-(FIND("E0",B1791)+2)))
))),"")</f>
        <v>289</v>
      </c>
      <c r="G1791">
        <f>IFERROR(
IF(ISNUMBER(FIND("T2",B1791)),220,
IF(ISNUMBER(FIND("T4",B1791)),440,
IF(ISNUMBER(FIND("T5",B1791)),575,
IF(ISNUMBER(FIND("T6",B1791)),690,"")))),
"")</f>
        <v>690</v>
      </c>
    </row>
    <row r="1792" spans="1:7" x14ac:dyDescent="0.25">
      <c r="A1792">
        <v>18553036</v>
      </c>
      <c r="B1792" t="str">
        <f>VLOOKUP(A1792,Planilha2!B:C,2,0)</f>
        <v>INVERSOR EUCFW110365T6ORBZ-UI</v>
      </c>
      <c r="C1792" t="s">
        <v>3170</v>
      </c>
      <c r="D1792" t="str">
        <f>VLOOKUP(A1792,Planilha2!B:H,7,0)</f>
        <v>LINHA G5</v>
      </c>
      <c r="E1792" s="5">
        <v>150100</v>
      </c>
      <c r="F1792">
        <f>IFERROR(
IF(ISNUMBER(FIND("CFW110",B1792)),
VALUE(MID(B1792,FIND("CFW110",B1792)+6,FIND("T",B1792,FIND("CFW110",B1792))-(FIND("CFW110",B1792)+6))),
IF(ISNUMBER(FIND("D",B1792)),
VALUE(SUBSTITUTE(MID(B1792,FIND("D",B1792)+1,FIND("T",B1792,FIND("D",B1792))-(FIND("D",B1792)+1)),"P",",")),
IF(ISNUMBER(FIND("CFW5",B1792)),
VALUE(MID(B1792,
IF(ISNUMBER(FIND("F",B1792)),FIND("F",B1792)+1,FIND("G",B1792)+1),
FIND("T",B1792)-(IF(ISNUMBER(FIND("F",B1792)),FIND("F",B1792)+1,FIND("G",B1792)+1))
)),
VALUE(MID(B1792,FIND("E0",B1792)+2,FIND("T",B1792,FIND("E0",B1792))-(FIND("E0",B1792)+2)))
))),"")</f>
        <v>365</v>
      </c>
      <c r="G1792">
        <f>IFERROR(
IF(ISNUMBER(FIND("T2",B1792)),220,
IF(ISNUMBER(FIND("T4",B1792)),440,
IF(ISNUMBER(FIND("T5",B1792)),575,
IF(ISNUMBER(FIND("T6",B1792)),690,"")))),
"")</f>
        <v>690</v>
      </c>
    </row>
    <row r="1793" spans="1:7" x14ac:dyDescent="0.25">
      <c r="A1793">
        <v>18744446</v>
      </c>
      <c r="B1793" t="str">
        <f>VLOOKUP(A1793,Planilha2!B:C,2,0)</f>
        <v>INVERSOR EUCFW110370T4ORBSQZ</v>
      </c>
      <c r="C1793" t="s">
        <v>3170</v>
      </c>
      <c r="D1793" t="str">
        <f>VLOOKUP(A1793,Planilha2!B:H,7,0)</f>
        <v>LINHA G3</v>
      </c>
      <c r="E1793" s="5">
        <v>97000</v>
      </c>
      <c r="F1793">
        <f>IFERROR(
IF(ISNUMBER(FIND("CFW110",B1793)),
VALUE(MID(B1793,FIND("CFW110",B1793)+6,FIND("T",B1793,FIND("CFW110",B1793))-(FIND("CFW110",B1793)+6))),
IF(ISNUMBER(FIND("D",B1793)),
VALUE(SUBSTITUTE(MID(B1793,FIND("D",B1793)+1,FIND("T",B1793,FIND("D",B1793))-(FIND("D",B1793)+1)),"P",",")),
IF(ISNUMBER(FIND("CFW5",B1793)),
VALUE(MID(B1793,
IF(ISNUMBER(FIND("F",B1793)),FIND("F",B1793)+1,FIND("G",B1793)+1),
FIND("T",B1793)-(IF(ISNUMBER(FIND("F",B1793)),FIND("F",B1793)+1,FIND("G",B1793)+1))
)),
VALUE(MID(B1793,FIND("E0",B1793)+2,FIND("T",B1793,FIND("E0",B1793))-(FIND("E0",B1793)+2)))
))),"")</f>
        <v>370</v>
      </c>
      <c r="G1793">
        <f>IFERROR(
IF(ISNUMBER(FIND("T2",B1793)),220,
IF(ISNUMBER(FIND("T4",B1793)),440,
IF(ISNUMBER(FIND("T5",B1793)),575,
IF(ISNUMBER(FIND("T6",B1793)),690,"")))),
"")</f>
        <v>440</v>
      </c>
    </row>
    <row r="1794" spans="1:7" x14ac:dyDescent="0.25">
      <c r="A1794">
        <v>18744447</v>
      </c>
      <c r="B1794" t="str">
        <f>VLOOKUP(A1794,Planilha2!B:C,2,0)</f>
        <v>INVERSOR EUCFW110477T4ORBSQZ</v>
      </c>
      <c r="C1794" t="s">
        <v>3170</v>
      </c>
      <c r="D1794" t="str">
        <f>VLOOKUP(A1794,Planilha2!B:H,7,0)</f>
        <v>LINHA G3</v>
      </c>
      <c r="E1794" s="5">
        <v>135300</v>
      </c>
      <c r="F1794">
        <f>IFERROR(
IF(ISNUMBER(FIND("CFW110",B1794)),
VALUE(MID(B1794,FIND("CFW110",B1794)+6,FIND("T",B1794,FIND("CFW110",B1794))-(FIND("CFW110",B1794)+6))),
IF(ISNUMBER(FIND("D",B1794)),
VALUE(SUBSTITUTE(MID(B1794,FIND("D",B1794)+1,FIND("T",B1794,FIND("D",B1794))-(FIND("D",B1794)+1)),"P",",")),
IF(ISNUMBER(FIND("CFW5",B1794)),
VALUE(MID(B1794,
IF(ISNUMBER(FIND("F",B1794)),FIND("F",B1794)+1,FIND("G",B1794)+1),
FIND("T",B1794)-(IF(ISNUMBER(FIND("F",B1794)),FIND("F",B1794)+1,FIND("G",B1794)+1))
)),
VALUE(MID(B1794,FIND("E0",B1794)+2,FIND("T",B1794,FIND("E0",B1794))-(FIND("E0",B1794)+2)))
))),"")</f>
        <v>477</v>
      </c>
      <c r="G1794">
        <f>IFERROR(
IF(ISNUMBER(FIND("T2",B1794)),220,
IF(ISNUMBER(FIND("T4",B1794)),440,
IF(ISNUMBER(FIND("T5",B1794)),575,
IF(ISNUMBER(FIND("T6",B1794)),690,"")))),
"")</f>
        <v>440</v>
      </c>
    </row>
    <row r="1795" spans="1:7" x14ac:dyDescent="0.25">
      <c r="A1795">
        <v>18747817</v>
      </c>
      <c r="B1795" t="str">
        <f>VLOOKUP(A1795,Planilha2!B:C,2,0)</f>
        <v>INVERSOR EUCFW110370T4ORBSQZ-UI</v>
      </c>
      <c r="C1795" t="s">
        <v>3170</v>
      </c>
      <c r="D1795" t="str">
        <f>VLOOKUP(A1795,Planilha2!B:H,7,0)</f>
        <v>LINHA G3</v>
      </c>
      <c r="E1795" s="5">
        <v>97000</v>
      </c>
      <c r="F1795">
        <f>IFERROR(
IF(ISNUMBER(FIND("CFW110",B1795)),
VALUE(MID(B1795,FIND("CFW110",B1795)+6,FIND("T",B1795,FIND("CFW110",B1795))-(FIND("CFW110",B1795)+6))),
IF(ISNUMBER(FIND("D",B1795)),
VALUE(SUBSTITUTE(MID(B1795,FIND("D",B1795)+1,FIND("T",B1795,FIND("D",B1795))-(FIND("D",B1795)+1)),"P",",")),
IF(ISNUMBER(FIND("CFW5",B1795)),
VALUE(MID(B1795,
IF(ISNUMBER(FIND("F",B1795)),FIND("F",B1795)+1,FIND("G",B1795)+1),
FIND("T",B1795)-(IF(ISNUMBER(FIND("F",B1795)),FIND("F",B1795)+1,FIND("G",B1795)+1))
)),
VALUE(MID(B1795,FIND("E0",B1795)+2,FIND("T",B1795,FIND("E0",B1795))-(FIND("E0",B1795)+2)))
))),"")</f>
        <v>370</v>
      </c>
      <c r="G1795">
        <f>IFERROR(
IF(ISNUMBER(FIND("T2",B1795)),220,
IF(ISNUMBER(FIND("T4",B1795)),440,
IF(ISNUMBER(FIND("T5",B1795)),575,
IF(ISNUMBER(FIND("T6",B1795)),690,"")))),
"")</f>
        <v>440</v>
      </c>
    </row>
    <row r="1796" spans="1:7" x14ac:dyDescent="0.25">
      <c r="A1796">
        <v>18747979</v>
      </c>
      <c r="B1796" t="str">
        <f>VLOOKUP(A1796,Planilha2!B:C,2,0)</f>
        <v>INVERSOR EUCFW110477T4ORBSQZ-UI</v>
      </c>
      <c r="C1796" t="s">
        <v>3170</v>
      </c>
      <c r="D1796" t="str">
        <f>VLOOKUP(A1796,Planilha2!B:H,7,0)</f>
        <v>LINHA G3</v>
      </c>
      <c r="E1796" s="5">
        <v>135300</v>
      </c>
      <c r="F1796">
        <f>IFERROR(
IF(ISNUMBER(FIND("CFW110",B1796)),
VALUE(MID(B1796,FIND("CFW110",B1796)+6,FIND("T",B1796,FIND("CFW110",B1796))-(FIND("CFW110",B1796)+6))),
IF(ISNUMBER(FIND("D",B1796)),
VALUE(SUBSTITUTE(MID(B1796,FIND("D",B1796)+1,FIND("T",B1796,FIND("D",B1796))-(FIND("D",B1796)+1)),"P",",")),
IF(ISNUMBER(FIND("CFW5",B1796)),
VALUE(MID(B1796,
IF(ISNUMBER(FIND("F",B1796)),FIND("F",B1796)+1,FIND("G",B1796)+1),
FIND("T",B1796)-(IF(ISNUMBER(FIND("F",B1796)),FIND("F",B1796)+1,FIND("G",B1796)+1))
)),
VALUE(MID(B1796,FIND("E0",B1796)+2,FIND("T",B1796,FIND("E0",B1796))-(FIND("E0",B1796)+2)))
))),"")</f>
        <v>477</v>
      </c>
      <c r="G1796">
        <f>IFERROR(
IF(ISNUMBER(FIND("T2",B1796)),220,
IF(ISNUMBER(FIND("T4",B1796)),440,
IF(ISNUMBER(FIND("T5",B1796)),575,
IF(ISNUMBER(FIND("T6",B1796)),690,"")))),
"")</f>
        <v>440</v>
      </c>
    </row>
    <row r="1797" spans="1:7" x14ac:dyDescent="0.25">
      <c r="A1797">
        <v>18756598</v>
      </c>
      <c r="B1797" t="str">
        <f>VLOOKUP(A1797,Planilha2!B:C,2,0)</f>
        <v>INVERSOR EUCFW110142T4O55DSECZ</v>
      </c>
      <c r="C1797" t="s">
        <v>3170</v>
      </c>
      <c r="D1797" t="str">
        <f>VLOOKUP(A1797,Planilha2!B:H,7,0)</f>
        <v>LINHA E1</v>
      </c>
      <c r="E1797" s="5">
        <v>88100</v>
      </c>
      <c r="F1797">
        <f>IFERROR(
IF(ISNUMBER(FIND("CFW110",B1797)),
VALUE(MID(B1797,FIND("CFW110",B1797)+6,FIND("T",B1797,FIND("CFW110",B1797))-(FIND("CFW110",B1797)+6))),
IF(ISNUMBER(FIND("D",B1797)),
VALUE(SUBSTITUTE(MID(B1797,FIND("D",B1797)+1,FIND("T",B1797,FIND("D",B1797))-(FIND("D",B1797)+1)),"P",",")),
IF(ISNUMBER(FIND("CFW5",B1797)),
VALUE(MID(B1797,
IF(ISNUMBER(FIND("F",B1797)),FIND("F",B1797)+1,FIND("G",B1797)+1),
FIND("T",B1797)-(IF(ISNUMBER(FIND("F",B1797)),FIND("F",B1797)+1,FIND("G",B1797)+1))
)),
VALUE(MID(B1797,FIND("E0",B1797)+2,FIND("T",B1797,FIND("E0",B1797))-(FIND("E0",B1797)+2)))
))),"")</f>
        <v>142</v>
      </c>
      <c r="G1797">
        <f>IFERROR(
IF(ISNUMBER(FIND("T2",B1797)),220,
IF(ISNUMBER(FIND("T4",B1797)),440,
IF(ISNUMBER(FIND("T5",B1797)),575,
IF(ISNUMBER(FIND("T6",B1797)),690,"")))),
"")</f>
        <v>440</v>
      </c>
    </row>
    <row r="1798" spans="1:7" x14ac:dyDescent="0.25">
      <c r="A1798">
        <v>18821951</v>
      </c>
      <c r="B1798" t="str">
        <f>VLOOKUP(A1798,Planilha2!B:C,2,0)</f>
        <v>INVERSOR EUCFW110312T4ORBSQZ</v>
      </c>
      <c r="C1798" t="s">
        <v>3170</v>
      </c>
      <c r="D1798" t="str">
        <f>VLOOKUP(A1798,Planilha2!B:H,7,0)</f>
        <v>LINHA G3</v>
      </c>
      <c r="E1798" s="5">
        <v>89500</v>
      </c>
      <c r="F1798">
        <f>IFERROR(
IF(ISNUMBER(FIND("CFW110",B1798)),
VALUE(MID(B1798,FIND("CFW110",B1798)+6,FIND("T",B1798,FIND("CFW110",B1798))-(FIND("CFW110",B1798)+6))),
IF(ISNUMBER(FIND("D",B1798)),
VALUE(SUBSTITUTE(MID(B1798,FIND("D",B1798)+1,FIND("T",B1798,FIND("D",B1798))-(FIND("D",B1798)+1)),"P",",")),
IF(ISNUMBER(FIND("CFW5",B1798)),
VALUE(MID(B1798,
IF(ISNUMBER(FIND("F",B1798)),FIND("F",B1798)+1,FIND("G",B1798)+1),
FIND("T",B1798)-(IF(ISNUMBER(FIND("F",B1798)),FIND("F",B1798)+1,FIND("G",B1798)+1))
)),
VALUE(MID(B1798,FIND("E0",B1798)+2,FIND("T",B1798,FIND("E0",B1798))-(FIND("E0",B1798)+2)))
))),"")</f>
        <v>312</v>
      </c>
      <c r="G1798">
        <f>IFERROR(
IF(ISNUMBER(FIND("T2",B1798)),220,
IF(ISNUMBER(FIND("T4",B1798)),440,
IF(ISNUMBER(FIND("T5",B1798)),575,
IF(ISNUMBER(FIND("T6",B1798)),690,"")))),
"")</f>
        <v>440</v>
      </c>
    </row>
    <row r="1799" spans="1:7" x14ac:dyDescent="0.25">
      <c r="A1799">
        <v>18828557</v>
      </c>
      <c r="B1799" t="str">
        <f>VLOOKUP(A1799,Planilha2!B:C,2,0)</f>
        <v>INVERSOR EUCFW110312T4ORBSQZ-UI</v>
      </c>
      <c r="C1799" t="s">
        <v>3170</v>
      </c>
      <c r="D1799" t="str">
        <f>VLOOKUP(A1799,Planilha2!B:H,7,0)</f>
        <v>LINHA G3</v>
      </c>
      <c r="E1799" s="5">
        <v>89500</v>
      </c>
      <c r="F1799">
        <f>IFERROR(
IF(ISNUMBER(FIND("CFW110",B1799)),
VALUE(MID(B1799,FIND("CFW110",B1799)+6,FIND("T",B1799,FIND("CFW110",B1799))-(FIND("CFW110",B1799)+6))),
IF(ISNUMBER(FIND("D",B1799)),
VALUE(SUBSTITUTE(MID(B1799,FIND("D",B1799)+1,FIND("T",B1799,FIND("D",B1799))-(FIND("D",B1799)+1)),"P",",")),
IF(ISNUMBER(FIND("CFW5",B1799)),
VALUE(MID(B1799,
IF(ISNUMBER(FIND("F",B1799)),FIND("F",B1799)+1,FIND("G",B1799)+1),
FIND("T",B1799)-(IF(ISNUMBER(FIND("F",B1799)),FIND("F",B1799)+1,FIND("G",B1799)+1))
)),
VALUE(MID(B1799,FIND("E0",B1799)+2,FIND("T",B1799,FIND("E0",B1799))-(FIND("E0",B1799)+2)))
))),"")</f>
        <v>312</v>
      </c>
      <c r="G1799">
        <f>IFERROR(
IF(ISNUMBER(FIND("T2",B1799)),220,
IF(ISNUMBER(FIND("T4",B1799)),440,
IF(ISNUMBER(FIND("T5",B1799)),575,
IF(ISNUMBER(FIND("T6",B1799)),690,"")))),
"")</f>
        <v>440</v>
      </c>
    </row>
    <row r="1800" spans="1:7" x14ac:dyDescent="0.25">
      <c r="A1800">
        <v>18949393</v>
      </c>
      <c r="B1800" t="str">
        <f>VLOOKUP(A1800,Planilha2!B:C,2,0)</f>
        <v>INVERSOR EUCFW110242T4ORBWSQZ</v>
      </c>
      <c r="C1800" t="s">
        <v>3170</v>
      </c>
      <c r="D1800" t="str">
        <f>VLOOKUP(A1800,Planilha2!B:H,7,0)</f>
        <v>LINHA G5</v>
      </c>
      <c r="E1800" s="5">
        <v>130000</v>
      </c>
      <c r="F1800">
        <f>IFERROR(
IF(ISNUMBER(FIND("CFW110",B1800)),
VALUE(MID(B1800,FIND("CFW110",B1800)+6,FIND("T",B1800,FIND("CFW110",B1800))-(FIND("CFW110",B1800)+6))),
IF(ISNUMBER(FIND("D",B1800)),
VALUE(SUBSTITUTE(MID(B1800,FIND("D",B1800)+1,FIND("T",B1800,FIND("D",B1800))-(FIND("D",B1800)+1)),"P",",")),
IF(ISNUMBER(FIND("CFW5",B1800)),
VALUE(MID(B1800,
IF(ISNUMBER(FIND("F",B1800)),FIND("F",B1800)+1,FIND("G",B1800)+1),
FIND("T",B1800)-(IF(ISNUMBER(FIND("F",B1800)),FIND("F",B1800)+1,FIND("G",B1800)+1))
)),
VALUE(MID(B1800,FIND("E0",B1800)+2,FIND("T",B1800,FIND("E0",B1800))-(FIND("E0",B1800)+2)))
))),"")</f>
        <v>242</v>
      </c>
      <c r="G1800">
        <f>IFERROR(
IF(ISNUMBER(FIND("T2",B1800)),220,
IF(ISNUMBER(FIND("T4",B1800)),440,
IF(ISNUMBER(FIND("T5",B1800)),575,
IF(ISNUMBER(FIND("T6",B1800)),690,"")))),
"")</f>
        <v>440</v>
      </c>
    </row>
    <row r="1801" spans="1:7" x14ac:dyDescent="0.25">
      <c r="A1801">
        <v>18949394</v>
      </c>
      <c r="B1801" t="str">
        <f>VLOOKUP(A1801,Planilha2!B:C,2,0)</f>
        <v>INVERSOR EUCFW110312T4ORBWSQZ</v>
      </c>
      <c r="C1801" t="s">
        <v>3170</v>
      </c>
      <c r="D1801" t="str">
        <f>VLOOKUP(A1801,Planilha2!B:H,7,0)</f>
        <v>LINHA G5</v>
      </c>
      <c r="E1801" s="5">
        <v>89500</v>
      </c>
      <c r="F1801">
        <f>IFERROR(
IF(ISNUMBER(FIND("CFW110",B1801)),
VALUE(MID(B1801,FIND("CFW110",B1801)+6,FIND("T",B1801,FIND("CFW110",B1801))-(FIND("CFW110",B1801)+6))),
IF(ISNUMBER(FIND("D",B1801)),
VALUE(SUBSTITUTE(MID(B1801,FIND("D",B1801)+1,FIND("T",B1801,FIND("D",B1801))-(FIND("D",B1801)+1)),"P",",")),
IF(ISNUMBER(FIND("CFW5",B1801)),
VALUE(MID(B1801,
IF(ISNUMBER(FIND("F",B1801)),FIND("F",B1801)+1,FIND("G",B1801)+1),
FIND("T",B1801)-(IF(ISNUMBER(FIND("F",B1801)),FIND("F",B1801)+1,FIND("G",B1801)+1))
)),
VALUE(MID(B1801,FIND("E0",B1801)+2,FIND("T",B1801,FIND("E0",B1801))-(FIND("E0",B1801)+2)))
))),"")</f>
        <v>312</v>
      </c>
      <c r="G1801">
        <f>IFERROR(
IF(ISNUMBER(FIND("T2",B1801)),220,
IF(ISNUMBER(FIND("T4",B1801)),440,
IF(ISNUMBER(FIND("T5",B1801)),575,
IF(ISNUMBER(FIND("T6",B1801)),690,"")))),
"")</f>
        <v>440</v>
      </c>
    </row>
    <row r="1802" spans="1:7" x14ac:dyDescent="0.25">
      <c r="A1802">
        <v>18949395</v>
      </c>
      <c r="B1802" t="str">
        <f>VLOOKUP(A1802,Planilha2!B:C,2,0)</f>
        <v>INVERSOR EUCFW110370T4ORBWSQZ</v>
      </c>
      <c r="C1802" t="s">
        <v>3170</v>
      </c>
      <c r="D1802" t="str">
        <f>VLOOKUP(A1802,Planilha2!B:H,7,0)</f>
        <v>LINHA G5</v>
      </c>
      <c r="E1802" s="5">
        <v>97000</v>
      </c>
      <c r="F1802">
        <f>IFERROR(
IF(ISNUMBER(FIND("CFW110",B1802)),
VALUE(MID(B1802,FIND("CFW110",B1802)+6,FIND("T",B1802,FIND("CFW110",B1802))-(FIND("CFW110",B1802)+6))),
IF(ISNUMBER(FIND("D",B1802)),
VALUE(SUBSTITUTE(MID(B1802,FIND("D",B1802)+1,FIND("T",B1802,FIND("D",B1802))-(FIND("D",B1802)+1)),"P",",")),
IF(ISNUMBER(FIND("CFW5",B1802)),
VALUE(MID(B1802,
IF(ISNUMBER(FIND("F",B1802)),FIND("F",B1802)+1,FIND("G",B1802)+1),
FIND("T",B1802)-(IF(ISNUMBER(FIND("F",B1802)),FIND("F",B1802)+1,FIND("G",B1802)+1))
)),
VALUE(MID(B1802,FIND("E0",B1802)+2,FIND("T",B1802,FIND("E0",B1802))-(FIND("E0",B1802)+2)))
))),"")</f>
        <v>370</v>
      </c>
      <c r="G1802">
        <f>IFERROR(
IF(ISNUMBER(FIND("T2",B1802)),220,
IF(ISNUMBER(FIND("T4",B1802)),440,
IF(ISNUMBER(FIND("T5",B1802)),575,
IF(ISNUMBER(FIND("T6",B1802)),690,"")))),
"")</f>
        <v>440</v>
      </c>
    </row>
    <row r="1803" spans="1:7" x14ac:dyDescent="0.25">
      <c r="A1803">
        <v>18949397</v>
      </c>
      <c r="B1803" t="str">
        <f>VLOOKUP(A1803,Planilha2!B:C,2,0)</f>
        <v>INVERSOR EUCFW110720T4ORBWSQZ</v>
      </c>
      <c r="C1803" t="s">
        <v>3170</v>
      </c>
      <c r="D1803" t="str">
        <f>VLOOKUP(A1803,Planilha2!B:H,7,0)</f>
        <v>LINHA G5</v>
      </c>
      <c r="E1803" s="5">
        <v>215000</v>
      </c>
      <c r="F1803">
        <f>IFERROR(
IF(ISNUMBER(FIND("CFW110",B1803)),
VALUE(MID(B1803,FIND("CFW110",B1803)+6,FIND("T",B1803,FIND("CFW110",B1803))-(FIND("CFW110",B1803)+6))),
IF(ISNUMBER(FIND("D",B1803)),
VALUE(SUBSTITUTE(MID(B1803,FIND("D",B1803)+1,FIND("T",B1803,FIND("D",B1803))-(FIND("D",B1803)+1)),"P",",")),
IF(ISNUMBER(FIND("CFW5",B1803)),
VALUE(MID(B1803,
IF(ISNUMBER(FIND("F",B1803)),FIND("F",B1803)+1,FIND("G",B1803)+1),
FIND("T",B1803)-(IF(ISNUMBER(FIND("F",B1803)),FIND("F",B1803)+1,FIND("G",B1803)+1))
)),
VALUE(MID(B1803,FIND("E0",B1803)+2,FIND("T",B1803,FIND("E0",B1803))-(FIND("E0",B1803)+2)))
))),"")</f>
        <v>720</v>
      </c>
      <c r="G1803">
        <f>IFERROR(
IF(ISNUMBER(FIND("T2",B1803)),220,
IF(ISNUMBER(FIND("T4",B1803)),440,
IF(ISNUMBER(FIND("T5",B1803)),575,
IF(ISNUMBER(FIND("T6",B1803)),690,"")))),
"")</f>
        <v>440</v>
      </c>
    </row>
    <row r="1804" spans="1:7" x14ac:dyDescent="0.25">
      <c r="A1804">
        <v>18949648</v>
      </c>
      <c r="B1804" t="str">
        <f>VLOOKUP(A1804,Planilha2!B:C,2,0)</f>
        <v>INVERSOR EUCFW110601T4ORBWSQZ</v>
      </c>
      <c r="C1804" t="s">
        <v>3170</v>
      </c>
      <c r="D1804" t="str">
        <f>VLOOKUP(A1804,Planilha2!B:H,7,0)</f>
        <v>LINHA G5</v>
      </c>
      <c r="E1804" s="5">
        <v>90100</v>
      </c>
      <c r="F1804">
        <f>IFERROR(
IF(ISNUMBER(FIND("CFW110",B1804)),
VALUE(MID(B1804,FIND("CFW110",B1804)+6,FIND("T",B1804,FIND("CFW110",B1804))-(FIND("CFW110",B1804)+6))),
IF(ISNUMBER(FIND("D",B1804)),
VALUE(SUBSTITUTE(MID(B1804,FIND("D",B1804)+1,FIND("T",B1804,FIND("D",B1804))-(FIND("D",B1804)+1)),"P",",")),
IF(ISNUMBER(FIND("CFW5",B1804)),
VALUE(MID(B1804,
IF(ISNUMBER(FIND("F",B1804)),FIND("F",B1804)+1,FIND("G",B1804)+1),
FIND("T",B1804)-(IF(ISNUMBER(FIND("F",B1804)),FIND("F",B1804)+1,FIND("G",B1804)+1))
)),
VALUE(MID(B1804,FIND("E0",B1804)+2,FIND("T",B1804,FIND("E0",B1804))-(FIND("E0",B1804)+2)))
))),"")</f>
        <v>601</v>
      </c>
      <c r="G1804">
        <f>IFERROR(
IF(ISNUMBER(FIND("T2",B1804)),220,
IF(ISNUMBER(FIND("T4",B1804)),440,
IF(ISNUMBER(FIND("T5",B1804)),575,
IF(ISNUMBER(FIND("T6",B1804)),690,"")))),
"")</f>
        <v>440</v>
      </c>
    </row>
    <row r="1805" spans="1:7" x14ac:dyDescent="0.25">
      <c r="A1805">
        <v>18949848</v>
      </c>
      <c r="B1805" t="str">
        <f>VLOOKUP(A1805,Planilha2!B:C,2,0)</f>
        <v>INVERSOR EUCFW110242T4ORBWSQZ-UI</v>
      </c>
      <c r="C1805" t="s">
        <v>3170</v>
      </c>
      <c r="D1805" t="str">
        <f>VLOOKUP(A1805,Planilha2!B:H,7,0)</f>
        <v>LINHA G3</v>
      </c>
      <c r="E1805" s="5">
        <v>130000</v>
      </c>
      <c r="F1805">
        <f>IFERROR(
IF(ISNUMBER(FIND("CFW110",B1805)),
VALUE(MID(B1805,FIND("CFW110",B1805)+6,FIND("T",B1805,FIND("CFW110",B1805))-(FIND("CFW110",B1805)+6))),
IF(ISNUMBER(FIND("D",B1805)),
VALUE(SUBSTITUTE(MID(B1805,FIND("D",B1805)+1,FIND("T",B1805,FIND("D",B1805))-(FIND("D",B1805)+1)),"P",",")),
IF(ISNUMBER(FIND("CFW5",B1805)),
VALUE(MID(B1805,
IF(ISNUMBER(FIND("F",B1805)),FIND("F",B1805)+1,FIND("G",B1805)+1),
FIND("T",B1805)-(IF(ISNUMBER(FIND("F",B1805)),FIND("F",B1805)+1,FIND("G",B1805)+1))
)),
VALUE(MID(B1805,FIND("E0",B1805)+2,FIND("T",B1805,FIND("E0",B1805))-(FIND("E0",B1805)+2)))
))),"")</f>
        <v>242</v>
      </c>
      <c r="G1805">
        <f>IFERROR(
IF(ISNUMBER(FIND("T2",B1805)),220,
IF(ISNUMBER(FIND("T4",B1805)),440,
IF(ISNUMBER(FIND("T5",B1805)),575,
IF(ISNUMBER(FIND("T6",B1805)),690,"")))),
"")</f>
        <v>440</v>
      </c>
    </row>
    <row r="1806" spans="1:7" x14ac:dyDescent="0.25">
      <c r="A1806">
        <v>18949849</v>
      </c>
      <c r="B1806" t="str">
        <f>VLOOKUP(A1806,Planilha2!B:C,2,0)</f>
        <v>INVERSOR EUCFW110312T4ORBWSQZ-UI</v>
      </c>
      <c r="C1806" t="s">
        <v>3170</v>
      </c>
      <c r="D1806" t="str">
        <f>VLOOKUP(A1806,Planilha2!B:H,7,0)</f>
        <v>LINHA G3</v>
      </c>
      <c r="E1806" s="5">
        <v>89500</v>
      </c>
      <c r="F1806">
        <f>IFERROR(
IF(ISNUMBER(FIND("CFW110",B1806)),
VALUE(MID(B1806,FIND("CFW110",B1806)+6,FIND("T",B1806,FIND("CFW110",B1806))-(FIND("CFW110",B1806)+6))),
IF(ISNUMBER(FIND("D",B1806)),
VALUE(SUBSTITUTE(MID(B1806,FIND("D",B1806)+1,FIND("T",B1806,FIND("D",B1806))-(FIND("D",B1806)+1)),"P",",")),
IF(ISNUMBER(FIND("CFW5",B1806)),
VALUE(MID(B1806,
IF(ISNUMBER(FIND("F",B1806)),FIND("F",B1806)+1,FIND("G",B1806)+1),
FIND("T",B1806)-(IF(ISNUMBER(FIND("F",B1806)),FIND("F",B1806)+1,FIND("G",B1806)+1))
)),
VALUE(MID(B1806,FIND("E0",B1806)+2,FIND("T",B1806,FIND("E0",B1806))-(FIND("E0",B1806)+2)))
))),"")</f>
        <v>312</v>
      </c>
      <c r="G1806">
        <f>IFERROR(
IF(ISNUMBER(FIND("T2",B1806)),220,
IF(ISNUMBER(FIND("T4",B1806)),440,
IF(ISNUMBER(FIND("T5",B1806)),575,
IF(ISNUMBER(FIND("T6",B1806)),690,"")))),
"")</f>
        <v>440</v>
      </c>
    </row>
    <row r="1807" spans="1:7" x14ac:dyDescent="0.25">
      <c r="A1807">
        <v>18949850</v>
      </c>
      <c r="B1807" t="str">
        <f>VLOOKUP(A1807,Planilha2!B:C,2,0)</f>
        <v>INVERSOR EUCFW110370T4ORBWSQZ-UI</v>
      </c>
      <c r="C1807" t="s">
        <v>3170</v>
      </c>
      <c r="D1807" t="str">
        <f>VLOOKUP(A1807,Planilha2!B:H,7,0)</f>
        <v>LINHA G3</v>
      </c>
      <c r="E1807" s="5">
        <v>97000</v>
      </c>
      <c r="F1807">
        <f>IFERROR(
IF(ISNUMBER(FIND("CFW110",B1807)),
VALUE(MID(B1807,FIND("CFW110",B1807)+6,FIND("T",B1807,FIND("CFW110",B1807))-(FIND("CFW110",B1807)+6))),
IF(ISNUMBER(FIND("D",B1807)),
VALUE(SUBSTITUTE(MID(B1807,FIND("D",B1807)+1,FIND("T",B1807,FIND("D",B1807))-(FIND("D",B1807)+1)),"P",",")),
IF(ISNUMBER(FIND("CFW5",B1807)),
VALUE(MID(B1807,
IF(ISNUMBER(FIND("F",B1807)),FIND("F",B1807)+1,FIND("G",B1807)+1),
FIND("T",B1807)-(IF(ISNUMBER(FIND("F",B1807)),FIND("F",B1807)+1,FIND("G",B1807)+1))
)),
VALUE(MID(B1807,FIND("E0",B1807)+2,FIND("T",B1807,FIND("E0",B1807))-(FIND("E0",B1807)+2)))
))),"")</f>
        <v>370</v>
      </c>
      <c r="G1807">
        <f>IFERROR(
IF(ISNUMBER(FIND("T2",B1807)),220,
IF(ISNUMBER(FIND("T4",B1807)),440,
IF(ISNUMBER(FIND("T5",B1807)),575,
IF(ISNUMBER(FIND("T6",B1807)),690,"")))),
"")</f>
        <v>440</v>
      </c>
    </row>
    <row r="1808" spans="1:7" x14ac:dyDescent="0.25">
      <c r="A1808">
        <v>18949851</v>
      </c>
      <c r="B1808" t="str">
        <f>VLOOKUP(A1808,Planilha2!B:C,2,0)</f>
        <v>INVERSOR EUCFW110720T4ORBWSQZ-UI</v>
      </c>
      <c r="C1808" t="s">
        <v>3170</v>
      </c>
      <c r="D1808" t="str">
        <f>VLOOKUP(A1808,Planilha2!B:H,7,0)</f>
        <v>LINHA G5</v>
      </c>
      <c r="E1808" s="5">
        <v>215000</v>
      </c>
      <c r="F1808">
        <f>IFERROR(
IF(ISNUMBER(FIND("CFW110",B1808)),
VALUE(MID(B1808,FIND("CFW110",B1808)+6,FIND("T",B1808,FIND("CFW110",B1808))-(FIND("CFW110",B1808)+6))),
IF(ISNUMBER(FIND("D",B1808)),
VALUE(SUBSTITUTE(MID(B1808,FIND("D",B1808)+1,FIND("T",B1808,FIND("D",B1808))-(FIND("D",B1808)+1)),"P",",")),
IF(ISNUMBER(FIND("CFW5",B1808)),
VALUE(MID(B1808,
IF(ISNUMBER(FIND("F",B1808)),FIND("F",B1808)+1,FIND("G",B1808)+1),
FIND("T",B1808)-(IF(ISNUMBER(FIND("F",B1808)),FIND("F",B1808)+1,FIND("G",B1808)+1))
)),
VALUE(MID(B1808,FIND("E0",B1808)+2,FIND("T",B1808,FIND("E0",B1808))-(FIND("E0",B1808)+2)))
))),"")</f>
        <v>720</v>
      </c>
      <c r="G1808">
        <f>IFERROR(
IF(ISNUMBER(FIND("T2",B1808)),220,
IF(ISNUMBER(FIND("T4",B1808)),440,
IF(ISNUMBER(FIND("T5",B1808)),575,
IF(ISNUMBER(FIND("T6",B1808)),690,"")))),
"")</f>
        <v>440</v>
      </c>
    </row>
    <row r="1809" spans="1:7" x14ac:dyDescent="0.25">
      <c r="A1809">
        <v>18949852</v>
      </c>
      <c r="B1809" t="str">
        <f>VLOOKUP(A1809,Planilha2!B:C,2,0)</f>
        <v>INVERSOR EUCFW110601T4ORBWSQZ-UI</v>
      </c>
      <c r="C1809" t="s">
        <v>3170</v>
      </c>
      <c r="D1809" t="str">
        <f>VLOOKUP(A1809,Planilha2!B:H,7,0)</f>
        <v>LINHA G5</v>
      </c>
      <c r="E1809" s="5">
        <v>90100</v>
      </c>
      <c r="F1809">
        <f>IFERROR(
IF(ISNUMBER(FIND("CFW110",B1809)),
VALUE(MID(B1809,FIND("CFW110",B1809)+6,FIND("T",B1809,FIND("CFW110",B1809))-(FIND("CFW110",B1809)+6))),
IF(ISNUMBER(FIND("D",B1809)),
VALUE(SUBSTITUTE(MID(B1809,FIND("D",B1809)+1,FIND("T",B1809,FIND("D",B1809))-(FIND("D",B1809)+1)),"P",",")),
IF(ISNUMBER(FIND("CFW5",B1809)),
VALUE(MID(B1809,
IF(ISNUMBER(FIND("F",B1809)),FIND("F",B1809)+1,FIND("G",B1809)+1),
FIND("T",B1809)-(IF(ISNUMBER(FIND("F",B1809)),FIND("F",B1809)+1,FIND("G",B1809)+1))
)),
VALUE(MID(B1809,FIND("E0",B1809)+2,FIND("T",B1809,FIND("E0",B1809))-(FIND("E0",B1809)+2)))
))),"")</f>
        <v>601</v>
      </c>
      <c r="G1809">
        <f>IFERROR(
IF(ISNUMBER(FIND("T2",B1809)),220,
IF(ISNUMBER(FIND("T4",B1809)),440,
IF(ISNUMBER(FIND("T5",B1809)),575,
IF(ISNUMBER(FIND("T6",B1809)),690,"")))),
"")</f>
        <v>440</v>
      </c>
    </row>
    <row r="1810" spans="1:7" x14ac:dyDescent="0.25">
      <c r="A1810">
        <v>18993284</v>
      </c>
      <c r="B1810" t="str">
        <f>VLOOKUP(A1810,Planilha2!B:C,2,0)</f>
        <v>INVERSOR BRCFW110107T6OYWZ-UI</v>
      </c>
      <c r="C1810" t="s">
        <v>3170</v>
      </c>
      <c r="D1810" t="str">
        <f>VLOOKUP(A1810,Planilha2!B:H,7,0)</f>
        <v>LINHA G1</v>
      </c>
      <c r="E1810" s="5">
        <v>64000</v>
      </c>
      <c r="F1810">
        <f>IFERROR(
IF(ISNUMBER(FIND("CFW110",B1810)),
VALUE(MID(B1810,FIND("CFW110",B1810)+6,FIND("T",B1810,FIND("CFW110",B1810))-(FIND("CFW110",B1810)+6))),
IF(ISNUMBER(FIND("D",B1810)),
VALUE(SUBSTITUTE(MID(B1810,FIND("D",B1810)+1,FIND("T",B1810,FIND("D",B1810))-(FIND("D",B1810)+1)),"P",",")),
IF(ISNUMBER(FIND("CFW5",B1810)),
VALUE(MID(B1810,
IF(ISNUMBER(FIND("F",B1810)),FIND("F",B1810)+1,FIND("G",B1810)+1),
FIND("T",B1810)-(IF(ISNUMBER(FIND("F",B1810)),FIND("F",B1810)+1,FIND("G",B1810)+1))
)),
VALUE(MID(B1810,FIND("E0",B1810)+2,FIND("T",B1810,FIND("E0",B1810))-(FIND("E0",B1810)+2)))
))),"")</f>
        <v>107</v>
      </c>
      <c r="G1810">
        <f>IFERROR(
IF(ISNUMBER(FIND("T2",B1810)),220,
IF(ISNUMBER(FIND("T4",B1810)),440,
IF(ISNUMBER(FIND("T5",B1810)),575,
IF(ISNUMBER(FIND("T6",B1810)),690,"")))),
"")</f>
        <v>690</v>
      </c>
    </row>
    <row r="1811" spans="1:7" x14ac:dyDescent="0.25">
      <c r="A1811">
        <v>18993287</v>
      </c>
      <c r="B1811" t="str">
        <f>VLOOKUP(A1811,Planilha2!B:C,2,0)</f>
        <v>INVERSOR BRCFW110150T6OYWZ-UI</v>
      </c>
      <c r="C1811" t="s">
        <v>3170</v>
      </c>
      <c r="D1811" t="str">
        <f>VLOOKUP(A1811,Planilha2!B:H,7,0)</f>
        <v>LINHA G1</v>
      </c>
      <c r="E1811" s="5">
        <v>64000</v>
      </c>
      <c r="F1811">
        <f>IFERROR(
IF(ISNUMBER(FIND("CFW110",B1811)),
VALUE(MID(B1811,FIND("CFW110",B1811)+6,FIND("T",B1811,FIND("CFW110",B1811))-(FIND("CFW110",B1811)+6))),
IF(ISNUMBER(FIND("D",B1811)),
VALUE(SUBSTITUTE(MID(B1811,FIND("D",B1811)+1,FIND("T",B1811,FIND("D",B1811))-(FIND("D",B1811)+1)),"P",",")),
IF(ISNUMBER(FIND("CFW5",B1811)),
VALUE(MID(B1811,
IF(ISNUMBER(FIND("F",B1811)),FIND("F",B1811)+1,FIND("G",B1811)+1),
FIND("T",B1811)-(IF(ISNUMBER(FIND("F",B1811)),FIND("F",B1811)+1,FIND("G",B1811)+1))
)),
VALUE(MID(B1811,FIND("E0",B1811)+2,FIND("T",B1811,FIND("E0",B1811))-(FIND("E0",B1811)+2)))
))),"")</f>
        <v>150</v>
      </c>
      <c r="G1811">
        <f>IFERROR(
IF(ISNUMBER(FIND("T2",B1811)),220,
IF(ISNUMBER(FIND("T4",B1811)),440,
IF(ISNUMBER(FIND("T5",B1811)),575,
IF(ISNUMBER(FIND("T6",B1811)),690,"")))),
"")</f>
        <v>690</v>
      </c>
    </row>
    <row r="1812" spans="1:7" x14ac:dyDescent="0.25">
      <c r="A1812">
        <v>18968532</v>
      </c>
      <c r="B1812" t="str">
        <f>VLOOKUP(A1812,Planilha2!B:C,2,0)</f>
        <v>INVERSOR BRCFW110080T6OYWZ</v>
      </c>
      <c r="C1812" t="s">
        <v>3170</v>
      </c>
      <c r="D1812" t="str">
        <f>VLOOKUP(A1812,Planilha2!B:H,7,0)</f>
        <v>LINHA G1</v>
      </c>
      <c r="E1812" s="5">
        <v>61888</v>
      </c>
      <c r="F1812">
        <f>IFERROR(
IF(ISNUMBER(FIND("CFW110",B1812)),
VALUE(MID(B1812,FIND("CFW110",B1812)+6,FIND("T",B1812,FIND("CFW110",B1812))-(FIND("CFW110",B1812)+6))),
IF(ISNUMBER(FIND("D",B1812)),
VALUE(SUBSTITUTE(MID(B1812,FIND("D",B1812)+1,FIND("T",B1812,FIND("D",B1812))-(FIND("D",B1812)+1)),"P",",")),
IF(ISNUMBER(FIND("CFW5",B1812)),
VALUE(MID(B1812,
IF(ISNUMBER(FIND("F",B1812)),FIND("F",B1812)+1,FIND("G",B1812)+1),
FIND("T",B1812)-(IF(ISNUMBER(FIND("F",B1812)),FIND("F",B1812)+1,FIND("G",B1812)+1))
)),
VALUE(MID(B1812,FIND("E0",B1812)+2,FIND("T",B1812,FIND("E0",B1812))-(FIND("E0",B1812)+2)))
))),"")</f>
        <v>80</v>
      </c>
      <c r="G1812">
        <f>IFERROR(
IF(ISNUMBER(FIND("T2",B1812)),220,
IF(ISNUMBER(FIND("T4",B1812)),440,
IF(ISNUMBER(FIND("T5",B1812)),575,
IF(ISNUMBER(FIND("T6",B1812)),690,"")))),
"")</f>
        <v>690</v>
      </c>
    </row>
    <row r="1813" spans="1:7" x14ac:dyDescent="0.25">
      <c r="A1813">
        <v>18993279</v>
      </c>
      <c r="B1813" t="str">
        <f>VLOOKUP(A1813,Planilha2!B:C,2,0)</f>
        <v>INVERSOR BRCFW110080T6OYWZ-UI</v>
      </c>
      <c r="C1813" t="s">
        <v>3170</v>
      </c>
      <c r="D1813" t="str">
        <f>VLOOKUP(A1813,Planilha2!B:H,7,0)</f>
        <v>LINHA G1</v>
      </c>
      <c r="E1813" s="5">
        <v>61888</v>
      </c>
      <c r="F1813">
        <f>IFERROR(
IF(ISNUMBER(FIND("CFW110",B1813)),
VALUE(MID(B1813,FIND("CFW110",B1813)+6,FIND("T",B1813,FIND("CFW110",B1813))-(FIND("CFW110",B1813)+6))),
IF(ISNUMBER(FIND("D",B1813)),
VALUE(SUBSTITUTE(MID(B1813,FIND("D",B1813)+1,FIND("T",B1813,FIND("D",B1813))-(FIND("D",B1813)+1)),"P",",")),
IF(ISNUMBER(FIND("CFW5",B1813)),
VALUE(MID(B1813,
IF(ISNUMBER(FIND("F",B1813)),FIND("F",B1813)+1,FIND("G",B1813)+1),
FIND("T",B1813)-(IF(ISNUMBER(FIND("F",B1813)),FIND("F",B1813)+1,FIND("G",B1813)+1))
)),
VALUE(MID(B1813,FIND("E0",B1813)+2,FIND("T",B1813,FIND("E0",B1813))-(FIND("E0",B1813)+2)))
))),"")</f>
        <v>80</v>
      </c>
      <c r="G1813">
        <f>IFERROR(
IF(ISNUMBER(FIND("T2",B1813)),220,
IF(ISNUMBER(FIND("T4",B1813)),440,
IF(ISNUMBER(FIND("T5",B1813)),575,
IF(ISNUMBER(FIND("T6",B1813)),690,"")))),
"")</f>
        <v>690</v>
      </c>
    </row>
    <row r="1814" spans="1:7" x14ac:dyDescent="0.25">
      <c r="A1814">
        <v>18968530</v>
      </c>
      <c r="B1814" t="str">
        <f>VLOOKUP(A1814,Planilha2!B:C,2,0)</f>
        <v>INVERSOR BRCFW110063T6OYWZ</v>
      </c>
      <c r="C1814" t="s">
        <v>3170</v>
      </c>
      <c r="D1814" t="str">
        <f>VLOOKUP(A1814,Planilha2!B:H,7,0)</f>
        <v>LINHA G1</v>
      </c>
      <c r="E1814" s="5">
        <v>65000</v>
      </c>
      <c r="F1814">
        <f>IFERROR(
IF(ISNUMBER(FIND("CFW110",B1814)),
VALUE(MID(B1814,FIND("CFW110",B1814)+6,FIND("T",B1814,FIND("CFW110",B1814))-(FIND("CFW110",B1814)+6))),
IF(ISNUMBER(FIND("D",B1814)),
VALUE(SUBSTITUTE(MID(B1814,FIND("D",B1814)+1,FIND("T",B1814,FIND("D",B1814))-(FIND("D",B1814)+1)),"P",",")),
IF(ISNUMBER(FIND("CFW5",B1814)),
VALUE(MID(B1814,
IF(ISNUMBER(FIND("F",B1814)),FIND("F",B1814)+1,FIND("G",B1814)+1),
FIND("T",B1814)-(IF(ISNUMBER(FIND("F",B1814)),FIND("F",B1814)+1,FIND("G",B1814)+1))
)),
VALUE(MID(B1814,FIND("E0",B1814)+2,FIND("T",B1814,FIND("E0",B1814))-(FIND("E0",B1814)+2)))
))),"")</f>
        <v>63</v>
      </c>
      <c r="G1814">
        <f>IFERROR(
IF(ISNUMBER(FIND("T2",B1814)),220,
IF(ISNUMBER(FIND("T4",B1814)),440,
IF(ISNUMBER(FIND("T5",B1814)),575,
IF(ISNUMBER(FIND("T6",B1814)),690,"")))),
"")</f>
        <v>690</v>
      </c>
    </row>
    <row r="1815" spans="1:7" x14ac:dyDescent="0.25">
      <c r="A1815">
        <v>18993196</v>
      </c>
      <c r="B1815" t="str">
        <f>VLOOKUP(A1815,Planilha2!B:C,2,0)</f>
        <v>INVERSOR BRCFW110063T6OYWZ-UI</v>
      </c>
      <c r="C1815" t="s">
        <v>3170</v>
      </c>
      <c r="D1815" t="str">
        <f>VLOOKUP(A1815,Planilha2!B:H,7,0)</f>
        <v>LINHA G1</v>
      </c>
      <c r="E1815" s="5">
        <v>65000</v>
      </c>
      <c r="F1815">
        <f>IFERROR(
IF(ISNUMBER(FIND("CFW110",B1815)),
VALUE(MID(B1815,FIND("CFW110",B1815)+6,FIND("T",B1815,FIND("CFW110",B1815))-(FIND("CFW110",B1815)+6))),
IF(ISNUMBER(FIND("D",B1815)),
VALUE(SUBSTITUTE(MID(B1815,FIND("D",B1815)+1,FIND("T",B1815,FIND("D",B1815))-(FIND("D",B1815)+1)),"P",",")),
IF(ISNUMBER(FIND("CFW5",B1815)),
VALUE(MID(B1815,
IF(ISNUMBER(FIND("F",B1815)),FIND("F",B1815)+1,FIND("G",B1815)+1),
FIND("T",B1815)-(IF(ISNUMBER(FIND("F",B1815)),FIND("F",B1815)+1,FIND("G",B1815)+1))
)),
VALUE(MID(B1815,FIND("E0",B1815)+2,FIND("T",B1815,FIND("E0",B1815))-(FIND("E0",B1815)+2)))
))),"")</f>
        <v>63</v>
      </c>
      <c r="G1815">
        <f>IFERROR(
IF(ISNUMBER(FIND("T2",B1815)),220,
IF(ISNUMBER(FIND("T4",B1815)),440,
IF(ISNUMBER(FIND("T5",B1815)),575,
IF(ISNUMBER(FIND("T6",B1815)),690,"")))),
"")</f>
        <v>690</v>
      </c>
    </row>
    <row r="1816" spans="1:7" x14ac:dyDescent="0.25">
      <c r="A1816">
        <v>18993192</v>
      </c>
      <c r="B1816" t="str">
        <f>VLOOKUP(A1816,Planilha2!B:C,2,0)</f>
        <v>INVERSOR BRCFW110053T6OYWZ-UI</v>
      </c>
      <c r="C1816" t="s">
        <v>3170</v>
      </c>
      <c r="D1816" t="str">
        <f>VLOOKUP(A1816,Planilha2!B:H,7,0)</f>
        <v>LINHA G1</v>
      </c>
      <c r="E1816" s="5">
        <v>65000</v>
      </c>
      <c r="F1816">
        <f>IFERROR(
IF(ISNUMBER(FIND("CFW110",B1816)),
VALUE(MID(B1816,FIND("CFW110",B1816)+6,FIND("T",B1816,FIND("CFW110",B1816))-(FIND("CFW110",B1816)+6))),
IF(ISNUMBER(FIND("D",B1816)),
VALUE(SUBSTITUTE(MID(B1816,FIND("D",B1816)+1,FIND("T",B1816,FIND("D",B1816))-(FIND("D",B1816)+1)),"P",",")),
IF(ISNUMBER(FIND("CFW5",B1816)),
VALUE(MID(B1816,
IF(ISNUMBER(FIND("F",B1816)),FIND("F",B1816)+1,FIND("G",B1816)+1),
FIND("T",B1816)-(IF(ISNUMBER(FIND("F",B1816)),FIND("F",B1816)+1,FIND("G",B1816)+1))
)),
VALUE(MID(B1816,FIND("E0",B1816)+2,FIND("T",B1816,FIND("E0",B1816))-(FIND("E0",B1816)+2)))
))),"")</f>
        <v>53</v>
      </c>
      <c r="G1816">
        <f>IFERROR(
IF(ISNUMBER(FIND("T2",B1816)),220,
IF(ISNUMBER(FIND("T4",B1816)),440,
IF(ISNUMBER(FIND("T5",B1816)),575,
IF(ISNUMBER(FIND("T6",B1816)),690,"")))),
"")</f>
        <v>690</v>
      </c>
    </row>
    <row r="1817" spans="1:7" x14ac:dyDescent="0.25">
      <c r="A1817">
        <v>18968528</v>
      </c>
      <c r="B1817" t="str">
        <f>VLOOKUP(A1817,Planilha2!B:C,2,0)</f>
        <v>INVERSOR BRCFW110053T6OYWZ</v>
      </c>
      <c r="C1817" t="s">
        <v>3170</v>
      </c>
      <c r="D1817" t="str">
        <f>VLOOKUP(A1817,Planilha2!B:H,7,0)</f>
        <v>LINHA G1</v>
      </c>
      <c r="E1817" s="5">
        <v>1000</v>
      </c>
      <c r="F1817">
        <f>IFERROR(
IF(ISNUMBER(FIND("CFW110",B1817)),
VALUE(MID(B1817,FIND("CFW110",B1817)+6,FIND("T",B1817,FIND("CFW110",B1817))-(FIND("CFW110",B1817)+6))),
IF(ISNUMBER(FIND("D",B1817)),
VALUE(SUBSTITUTE(MID(B1817,FIND("D",B1817)+1,FIND("T",B1817,FIND("D",B1817))-(FIND("D",B1817)+1)),"P",",")),
IF(ISNUMBER(FIND("CFW5",B1817)),
VALUE(MID(B1817,
IF(ISNUMBER(FIND("F",B1817)),FIND("F",B1817)+1,FIND("G",B1817)+1),
FIND("T",B1817)-(IF(ISNUMBER(FIND("F",B1817)),FIND("F",B1817)+1,FIND("G",B1817)+1))
)),
VALUE(MID(B1817,FIND("E0",B1817)+2,FIND("T",B1817,FIND("E0",B1817))-(FIND("E0",B1817)+2)))
))),"")</f>
        <v>53</v>
      </c>
      <c r="G1817">
        <f>IFERROR(
IF(ISNUMBER(FIND("T2",B1817)),220,
IF(ISNUMBER(FIND("T4",B1817)),440,
IF(ISNUMBER(FIND("T5",B1817)),575,
IF(ISNUMBER(FIND("T6",B1817)),690,"")))),
"")</f>
        <v>690</v>
      </c>
    </row>
    <row r="1818" spans="1:7" x14ac:dyDescent="0.25">
      <c r="A1818">
        <v>19042564</v>
      </c>
      <c r="B1818" t="str">
        <f>VLOOKUP(A1818,Planilha2!B:C,2,0)</f>
        <v>INVERSOR BRCFW110142T4ODBYTGZ</v>
      </c>
      <c r="C1818" t="s">
        <v>3170</v>
      </c>
      <c r="D1818" t="str">
        <f>VLOOKUP(A1818,Planilha2!B:H,7,0)</f>
        <v>LINHA G1</v>
      </c>
      <c r="E1818" s="5">
        <v>54860</v>
      </c>
      <c r="F1818">
        <f>IFERROR(
IF(ISNUMBER(FIND("CFW110",B1818)),
VALUE(MID(B1818,FIND("CFW110",B1818)+6,FIND("T",B1818,FIND("CFW110",B1818))-(FIND("CFW110",B1818)+6))),
IF(ISNUMBER(FIND("D",B1818)),
VALUE(SUBSTITUTE(MID(B1818,FIND("D",B1818)+1,FIND("T",B1818,FIND("D",B1818))-(FIND("D",B1818)+1)),"P",",")),
IF(ISNUMBER(FIND("CFW5",B1818)),
VALUE(MID(B1818,
IF(ISNUMBER(FIND("F",B1818)),FIND("F",B1818)+1,FIND("G",B1818)+1),
FIND("T",B1818)-(IF(ISNUMBER(FIND("F",B1818)),FIND("F",B1818)+1,FIND("G",B1818)+1))
)),
VALUE(MID(B1818,FIND("E0",B1818)+2,FIND("T",B1818,FIND("E0",B1818))-(FIND("E0",B1818)+2)))
))),"")</f>
        <v>142</v>
      </c>
      <c r="G1818">
        <f>IFERROR(
IF(ISNUMBER(FIND("T2",B1818)),220,
IF(ISNUMBER(FIND("T4",B1818)),440,
IF(ISNUMBER(FIND("T5",B1818)),575,
IF(ISNUMBER(FIND("T6",B1818)),690,"")))),
"")</f>
        <v>440</v>
      </c>
    </row>
    <row r="1819" spans="1:7" x14ac:dyDescent="0.25">
      <c r="A1819">
        <v>19054845</v>
      </c>
      <c r="B1819" t="str">
        <f>VLOOKUP(A1819,Planilha2!B:C,2,0)</f>
        <v>INVERSOR BRCFW110142T4ODBYTGZ-UI</v>
      </c>
      <c r="C1819" t="s">
        <v>3170</v>
      </c>
      <c r="D1819" t="str">
        <f>VLOOKUP(A1819,Planilha2!B:H,7,0)</f>
        <v>LINHA G1</v>
      </c>
      <c r="E1819" s="5">
        <v>54860</v>
      </c>
      <c r="F1819">
        <f>IFERROR(
IF(ISNUMBER(FIND("CFW110",B1819)),
VALUE(MID(B1819,FIND("CFW110",B1819)+6,FIND("T",B1819,FIND("CFW110",B1819))-(FIND("CFW110",B1819)+6))),
IF(ISNUMBER(FIND("D",B1819)),
VALUE(SUBSTITUTE(MID(B1819,FIND("D",B1819)+1,FIND("T",B1819,FIND("D",B1819))-(FIND("D",B1819)+1)),"P",",")),
IF(ISNUMBER(FIND("CFW5",B1819)),
VALUE(MID(B1819,
IF(ISNUMBER(FIND("F",B1819)),FIND("F",B1819)+1,FIND("G",B1819)+1),
FIND("T",B1819)-(IF(ISNUMBER(FIND("F",B1819)),FIND("F",B1819)+1,FIND("G",B1819)+1))
)),
VALUE(MID(B1819,FIND("E0",B1819)+2,FIND("T",B1819,FIND("E0",B1819))-(FIND("E0",B1819)+2)))
))),"")</f>
        <v>142</v>
      </c>
      <c r="G1819">
        <f>IFERROR(
IF(ISNUMBER(FIND("T2",B1819)),220,
IF(ISNUMBER(FIND("T4",B1819)),440,
IF(ISNUMBER(FIND("T5",B1819)),575,
IF(ISNUMBER(FIND("T6",B1819)),690,"")))),
"")</f>
        <v>440</v>
      </c>
    </row>
    <row r="1820" spans="1:7" x14ac:dyDescent="0.25">
      <c r="A1820">
        <v>19082154</v>
      </c>
      <c r="B1820" t="str">
        <f>VLOOKUP(A1820,Planilha2!B:C,2,0)</f>
        <v>INVERSOR CFW900E0203T4NB20Y2BHEC</v>
      </c>
      <c r="C1820" t="s">
        <v>3170</v>
      </c>
      <c r="D1820" t="str">
        <f>VLOOKUP(A1820,Planilha2!B:H,7,0)</f>
        <v>LINHA G1</v>
      </c>
      <c r="E1820" s="5">
        <v>63500</v>
      </c>
      <c r="F1820">
        <f>IFERROR(
IF(ISNUMBER(FIND("CFW110",B1820)),
VALUE(MID(B1820,FIND("CFW110",B1820)+6,FIND("T",B1820,FIND("CFW110",B1820))-(FIND("CFW110",B1820)+6))),
IF(ISNUMBER(FIND("D",B1820)),
VALUE(SUBSTITUTE(MID(B1820,FIND("D",B1820)+1,FIND("T",B1820,FIND("D",B1820))-(FIND("D",B1820)+1)),"P",",")),
IF(ISNUMBER(FIND("CFW5",B1820)),
VALUE(MID(B1820,
IF(ISNUMBER(FIND("F",B1820)),FIND("F",B1820)+1,FIND("G",B1820)+1),
FIND("T",B1820)-(IF(ISNUMBER(FIND("F",B1820)),FIND("F",B1820)+1,FIND("G",B1820)+1))
)),
VALUE(MID(B1820,FIND("E0",B1820)+2,FIND("T",B1820,FIND("E0",B1820))-(FIND("E0",B1820)+2)))
))),"")</f>
        <v>203</v>
      </c>
      <c r="G1820">
        <f>IFERROR(
IF(ISNUMBER(FIND("T2",B1820)),220,
IF(ISNUMBER(FIND("T4",B1820)),440,
IF(ISNUMBER(FIND("T5",B1820)),575,
IF(ISNUMBER(FIND("T6",B1820)),690,"")))),
"")</f>
        <v>440</v>
      </c>
    </row>
    <row r="1821" spans="1:7" x14ac:dyDescent="0.25">
      <c r="A1821">
        <v>19096854</v>
      </c>
      <c r="B1821" t="str">
        <f>VLOOKUP(A1821,Planilha2!B:C,2,0)</f>
        <v>INVERSOR EUCFW110142T4OWZ</v>
      </c>
      <c r="C1821" t="s">
        <v>3170</v>
      </c>
      <c r="D1821" t="str">
        <f>VLOOKUP(A1821,Planilha2!B:H,7,0)</f>
        <v>LINHA G1</v>
      </c>
      <c r="E1821" s="5">
        <v>64000</v>
      </c>
      <c r="F1821">
        <f>IFERROR(
IF(ISNUMBER(FIND("CFW110",B1821)),
VALUE(MID(B1821,FIND("CFW110",B1821)+6,FIND("T",B1821,FIND("CFW110",B1821))-(FIND("CFW110",B1821)+6))),
IF(ISNUMBER(FIND("D",B1821)),
VALUE(SUBSTITUTE(MID(B1821,FIND("D",B1821)+1,FIND("T",B1821,FIND("D",B1821))-(FIND("D",B1821)+1)),"P",",")),
IF(ISNUMBER(FIND("CFW5",B1821)),
VALUE(MID(B1821,
IF(ISNUMBER(FIND("F",B1821)),FIND("F",B1821)+1,FIND("G",B1821)+1),
FIND("T",B1821)-(IF(ISNUMBER(FIND("F",B1821)),FIND("F",B1821)+1,FIND("G",B1821)+1))
)),
VALUE(MID(B1821,FIND("E0",B1821)+2,FIND("T",B1821,FIND("E0",B1821))-(FIND("E0",B1821)+2)))
))),"")</f>
        <v>142</v>
      </c>
      <c r="G1821">
        <f>IFERROR(
IF(ISNUMBER(FIND("T2",B1821)),220,
IF(ISNUMBER(FIND("T4",B1821)),440,
IF(ISNUMBER(FIND("T5",B1821)),575,
IF(ISNUMBER(FIND("T6",B1821)),690,"")))),
"")</f>
        <v>440</v>
      </c>
    </row>
    <row r="1822" spans="1:7" x14ac:dyDescent="0.25">
      <c r="A1822">
        <v>19097004</v>
      </c>
      <c r="B1822" t="str">
        <f>VLOOKUP(A1822,Planilha2!B:C,2,0)</f>
        <v>INVERSOR CFW900E0172T2NB20Y2BHEC</v>
      </c>
      <c r="C1822" t="s">
        <v>3170</v>
      </c>
      <c r="D1822" t="str">
        <f>VLOOKUP(A1822,Planilha2!B:H,7,0)</f>
        <v>LINHA G1</v>
      </c>
      <c r="E1822" s="5">
        <v>63500</v>
      </c>
      <c r="F1822">
        <f>IFERROR(
IF(ISNUMBER(FIND("CFW110",B1822)),
VALUE(MID(B1822,FIND("CFW110",B1822)+6,FIND("T",B1822,FIND("CFW110",B1822))-(FIND("CFW110",B1822)+6))),
IF(ISNUMBER(FIND("D",B1822)),
VALUE(SUBSTITUTE(MID(B1822,FIND("D",B1822)+1,FIND("T",B1822,FIND("D",B1822))-(FIND("D",B1822)+1)),"P",",")),
IF(ISNUMBER(FIND("CFW5",B1822)),
VALUE(MID(B1822,
IF(ISNUMBER(FIND("F",B1822)),FIND("F",B1822)+1,FIND("G",B1822)+1),
FIND("T",B1822)-(IF(ISNUMBER(FIND("F",B1822)),FIND("F",B1822)+1,FIND("G",B1822)+1))
)),
VALUE(MID(B1822,FIND("E0",B1822)+2,FIND("T",B1822,FIND("E0",B1822))-(FIND("E0",B1822)+2)))
))),"")</f>
        <v>172</v>
      </c>
      <c r="G1822">
        <f>IFERROR(
IF(ISNUMBER(FIND("T2",B1822)),220,
IF(ISNUMBER(FIND("T4",B1822)),440,
IF(ISNUMBER(FIND("T5",B1822)),575,
IF(ISNUMBER(FIND("T6",B1822)),690,"")))),
"")</f>
        <v>220</v>
      </c>
    </row>
    <row r="1823" spans="1:7" x14ac:dyDescent="0.25">
      <c r="A1823">
        <v>19108550</v>
      </c>
      <c r="B1823" t="str">
        <f>VLOOKUP(A1823,Planilha2!B:C,2,0)</f>
        <v>INVERSOR CFW900E0172T2NB20Y2BHEC-UI</v>
      </c>
      <c r="C1823" t="s">
        <v>3170</v>
      </c>
      <c r="D1823" t="str">
        <f>VLOOKUP(A1823,Planilha2!B:H,7,0)</f>
        <v>LINHA G1</v>
      </c>
      <c r="E1823" s="5">
        <v>63500</v>
      </c>
      <c r="F1823">
        <f>IFERROR(
IF(ISNUMBER(FIND("CFW110",B1823)),
VALUE(MID(B1823,FIND("CFW110",B1823)+6,FIND("T",B1823,FIND("CFW110",B1823))-(FIND("CFW110",B1823)+6))),
IF(ISNUMBER(FIND("D",B1823)),
VALUE(SUBSTITUTE(MID(B1823,FIND("D",B1823)+1,FIND("T",B1823,FIND("D",B1823))-(FIND("D",B1823)+1)),"P",",")),
IF(ISNUMBER(FIND("CFW5",B1823)),
VALUE(MID(B1823,
IF(ISNUMBER(FIND("F",B1823)),FIND("F",B1823)+1,FIND("G",B1823)+1),
FIND("T",B1823)-(IF(ISNUMBER(FIND("F",B1823)),FIND("F",B1823)+1,FIND("G",B1823)+1))
)),
VALUE(MID(B1823,FIND("E0",B1823)+2,FIND("T",B1823,FIND("E0",B1823))-(FIND("E0",B1823)+2)))
))),"")</f>
        <v>172</v>
      </c>
      <c r="G1823">
        <f>IFERROR(
IF(ISNUMBER(FIND("T2",B1823)),220,
IF(ISNUMBER(FIND("T4",B1823)),440,
IF(ISNUMBER(FIND("T5",B1823)),575,
IF(ISNUMBER(FIND("T6",B1823)),690,"")))),
"")</f>
        <v>220</v>
      </c>
    </row>
    <row r="1824" spans="1:7" x14ac:dyDescent="0.25">
      <c r="A1824">
        <v>14538842</v>
      </c>
      <c r="B1824" t="str">
        <f>VLOOKUP(A1824,Planilha2!B:C,2,0)</f>
        <v>INVERSOR EUCFW110105T4O55YZ</v>
      </c>
      <c r="C1824" t="s">
        <v>3170</v>
      </c>
      <c r="D1824" t="str">
        <f>VLOOKUP(A1824,Planilha2!B:H,7,0)</f>
        <v>LINHA E1</v>
      </c>
      <c r="E1824" s="5">
        <v>96000</v>
      </c>
      <c r="F1824">
        <f>IFERROR(
IF(ISNUMBER(FIND("CFW110",B1824)),
VALUE(MID(B1824,FIND("CFW110",B1824)+6,FIND("T",B1824,FIND("CFW110",B1824))-(FIND("CFW110",B1824)+6))),
IF(ISNUMBER(FIND("D",B1824)),
VALUE(SUBSTITUTE(MID(B1824,FIND("D",B1824)+1,FIND("T",B1824,FIND("D",B1824))-(FIND("D",B1824)+1)),"P",",")),
IF(ISNUMBER(FIND("CFW5",B1824)),
VALUE(MID(B1824,
IF(ISNUMBER(FIND("F",B1824)),FIND("F",B1824)+1,FIND("G",B1824)+1),
FIND("T",B1824)-(IF(ISNUMBER(FIND("F",B1824)),FIND("F",B1824)+1,FIND("G",B1824)+1))
)),
VALUE(MID(B1824,FIND("E0",B1824)+2,FIND("T",B1824,FIND("E0",B1824))-(FIND("E0",B1824)+2)))
))),"")</f>
        <v>105</v>
      </c>
      <c r="G1824">
        <f>IFERROR(
IF(ISNUMBER(FIND("T2",B1824)),220,
IF(ISNUMBER(FIND("T4",B1824)),440,
IF(ISNUMBER(FIND("T5",B1824)),575,
IF(ISNUMBER(FIND("T6",B1824)),690,"")))),
"")</f>
        <v>440</v>
      </c>
    </row>
    <row r="1825" spans="1:7" x14ac:dyDescent="0.25">
      <c r="A1825">
        <v>19186309</v>
      </c>
      <c r="B1825" t="str">
        <f>VLOOKUP(A1825,Planilha2!B:C,2,0)</f>
        <v>INVERSOR BRCFW110180T4ODCZ</v>
      </c>
      <c r="C1825" t="s">
        <v>3170</v>
      </c>
      <c r="D1825" t="str">
        <f>VLOOKUP(A1825,Planilha2!B:H,7,0)</f>
        <v>LINHA G1</v>
      </c>
      <c r="E1825" s="5">
        <v>67900</v>
      </c>
      <c r="F1825">
        <f>IFERROR(
IF(ISNUMBER(FIND("CFW110",B1825)),
VALUE(MID(B1825,FIND("CFW110",B1825)+6,FIND("T",B1825,FIND("CFW110",B1825))-(FIND("CFW110",B1825)+6))),
IF(ISNUMBER(FIND("D",B1825)),
VALUE(SUBSTITUTE(MID(B1825,FIND("D",B1825)+1,FIND("T",B1825,FIND("D",B1825))-(FIND("D",B1825)+1)),"P",",")),
IF(ISNUMBER(FIND("CFW5",B1825)),
VALUE(MID(B1825,
IF(ISNUMBER(FIND("F",B1825)),FIND("F",B1825)+1,FIND("G",B1825)+1),
FIND("T",B1825)-(IF(ISNUMBER(FIND("F",B1825)),FIND("F",B1825)+1,FIND("G",B1825)+1))
)),
VALUE(MID(B1825,FIND("E0",B1825)+2,FIND("T",B1825,FIND("E0",B1825))-(FIND("E0",B1825)+2)))
))),"")</f>
        <v>180</v>
      </c>
      <c r="G1825">
        <f>IFERROR(
IF(ISNUMBER(FIND("T2",B1825)),220,
IF(ISNUMBER(FIND("T4",B1825)),440,
IF(ISNUMBER(FIND("T5",B1825)),575,
IF(ISNUMBER(FIND("T6",B1825)),690,"")))),
"")</f>
        <v>440</v>
      </c>
    </row>
    <row r="1826" spans="1:7" x14ac:dyDescent="0.25">
      <c r="A1826">
        <v>19292655</v>
      </c>
      <c r="B1826" t="str">
        <f>VLOOKUP(A1826,Planilha2!B:C,2,0)</f>
        <v>INVERSOR BRCFW110142T4OYDCZ-UI</v>
      </c>
      <c r="C1826" t="s">
        <v>3170</v>
      </c>
      <c r="D1826" t="str">
        <f>VLOOKUP(A1826,Planilha2!B:H,7,0)</f>
        <v>LINHA G1</v>
      </c>
      <c r="E1826" s="5">
        <v>64210</v>
      </c>
      <c r="F1826">
        <f>IFERROR(
IF(ISNUMBER(FIND("CFW110",B1826)),
VALUE(MID(B1826,FIND("CFW110",B1826)+6,FIND("T",B1826,FIND("CFW110",B1826))-(FIND("CFW110",B1826)+6))),
IF(ISNUMBER(FIND("D",B1826)),
VALUE(SUBSTITUTE(MID(B1826,FIND("D",B1826)+1,FIND("T",B1826,FIND("D",B1826))-(FIND("D",B1826)+1)),"P",",")),
IF(ISNUMBER(FIND("CFW5",B1826)),
VALUE(MID(B1826,
IF(ISNUMBER(FIND("F",B1826)),FIND("F",B1826)+1,FIND("G",B1826)+1),
FIND("T",B1826)-(IF(ISNUMBER(FIND("F",B1826)),FIND("F",B1826)+1,FIND("G",B1826)+1))
)),
VALUE(MID(B1826,FIND("E0",B1826)+2,FIND("T",B1826,FIND("E0",B1826))-(FIND("E0",B1826)+2)))
))),"")</f>
        <v>142</v>
      </c>
      <c r="G1826">
        <f>IFERROR(
IF(ISNUMBER(FIND("T2",B1826)),220,
IF(ISNUMBER(FIND("T4",B1826)),440,
IF(ISNUMBER(FIND("T5",B1826)),575,
IF(ISNUMBER(FIND("T6",B1826)),690,"")))),
"")</f>
        <v>440</v>
      </c>
    </row>
    <row r="1827" spans="1:7" x14ac:dyDescent="0.25">
      <c r="A1827">
        <v>19292036</v>
      </c>
      <c r="B1827" t="str">
        <f>VLOOKUP(A1827,Planilha2!B:C,2,0)</f>
        <v>INVERSOR BRCFW110211T4OTHZ</v>
      </c>
      <c r="C1827" t="s">
        <v>3170</v>
      </c>
      <c r="D1827" t="str">
        <f>VLOOKUP(A1827,Planilha2!B:H,7,0)</f>
        <v>LINHA G1</v>
      </c>
      <c r="E1827" t="s">
        <v>3172</v>
      </c>
      <c r="F1827">
        <f>IFERROR(
IF(ISNUMBER(FIND("CFW110",B1827)),
VALUE(MID(B1827,FIND("CFW110",B1827)+6,FIND("T",B1827,FIND("CFW110",B1827))-(FIND("CFW110",B1827)+6))),
IF(ISNUMBER(FIND("D",B1827)),
VALUE(SUBSTITUTE(MID(B1827,FIND("D",B1827)+1,FIND("T",B1827,FIND("D",B1827))-(FIND("D",B1827)+1)),"P",",")),
IF(ISNUMBER(FIND("CFW5",B1827)),
VALUE(MID(B1827,
IF(ISNUMBER(FIND("F",B1827)),FIND("F",B1827)+1,FIND("G",B1827)+1),
FIND("T",B1827)-(IF(ISNUMBER(FIND("F",B1827)),FIND("F",B1827)+1,FIND("G",B1827)+1))
)),
VALUE(MID(B1827,FIND("E0",B1827)+2,FIND("T",B1827,FIND("E0",B1827))-(FIND("E0",B1827)+2)))
))),"")</f>
        <v>211</v>
      </c>
      <c r="G1827">
        <f>IFERROR(
IF(ISNUMBER(FIND("T2",B1827)),220,
IF(ISNUMBER(FIND("T4",B1827)),440,
IF(ISNUMBER(FIND("T5",B1827)),575,
IF(ISNUMBER(FIND("T6",B1827)),690,"")))),
"")</f>
        <v>440</v>
      </c>
    </row>
    <row r="1828" spans="1:7" x14ac:dyDescent="0.25">
      <c r="A1828">
        <v>19285650</v>
      </c>
      <c r="B1828" t="str">
        <f>VLOOKUP(A1828,Planilha2!B:C,2,0)</f>
        <v>INVERSOR BRCFW110142T4OYDCZ</v>
      </c>
      <c r="C1828" t="s">
        <v>3170</v>
      </c>
      <c r="D1828" t="str">
        <f>VLOOKUP(A1828,Planilha2!B:H,7,0)</f>
        <v>LINHA G5</v>
      </c>
      <c r="E1828" t="s">
        <v>3172</v>
      </c>
      <c r="F1828">
        <f>IFERROR(
IF(ISNUMBER(FIND("CFW110",B1828)),
VALUE(MID(B1828,FIND("CFW110",B1828)+6,FIND("T",B1828,FIND("CFW110",B1828))-(FIND("CFW110",B1828)+6))),
IF(ISNUMBER(FIND("D",B1828)),
VALUE(SUBSTITUTE(MID(B1828,FIND("D",B1828)+1,FIND("T",B1828,FIND("D",B1828))-(FIND("D",B1828)+1)),"P",",")),
IF(ISNUMBER(FIND("CFW5",B1828)),
VALUE(MID(B1828,
IF(ISNUMBER(FIND("F",B1828)),FIND("F",B1828)+1,FIND("G",B1828)+1),
FIND("T",B1828)-(IF(ISNUMBER(FIND("F",B1828)),FIND("F",B1828)+1,FIND("G",B1828)+1))
)),
VALUE(MID(B1828,FIND("E0",B1828)+2,FIND("T",B1828,FIND("E0",B1828))-(FIND("E0",B1828)+2)))
))),"")</f>
        <v>142</v>
      </c>
      <c r="G1828">
        <f>IFERROR(
IF(ISNUMBER(FIND("T2",B1828)),220,
IF(ISNUMBER(FIND("T4",B1828)),440,
IF(ISNUMBER(FIND("T5",B1828)),575,
IF(ISNUMBER(FIND("T6",B1828)),690,"")))),
"")</f>
        <v>440</v>
      </c>
    </row>
    <row r="1829" spans="1:7" x14ac:dyDescent="0.25">
      <c r="A1829">
        <v>11994795</v>
      </c>
      <c r="B1829" t="str">
        <f>VLOOKUP(A1829,Planilha2!B:C,2,0)</f>
        <v>INVERSOR BRCFW110150T6ONBYZ</v>
      </c>
      <c r="C1829" t="s">
        <v>3170</v>
      </c>
      <c r="D1829" t="str">
        <f>VLOOKUP(A1829,Planilha2!B:H,7,0)</f>
        <v>LINHA G1</v>
      </c>
      <c r="E1829" s="5">
        <v>1100</v>
      </c>
      <c r="F1829">
        <f>IFERROR(
IF(ISNUMBER(FIND("CFW110",B1829)),
VALUE(MID(B1829,FIND("CFW110",B1829)+6,FIND("T",B1829,FIND("CFW110",B1829))-(FIND("CFW110",B1829)+6))),
IF(ISNUMBER(FIND("D",B1829)),
VALUE(SUBSTITUTE(MID(B1829,FIND("D",B1829)+1,FIND("T",B1829,FIND("D",B1829))-(FIND("D",B1829)+1)),"P",",")),
IF(ISNUMBER(FIND("CFW5",B1829)),
VALUE(MID(B1829,
IF(ISNUMBER(FIND("F",B1829)),FIND("F",B1829)+1,FIND("G",B1829)+1),
FIND("T",B1829)-(IF(ISNUMBER(FIND("F",B1829)),FIND("F",B1829)+1,FIND("G",B1829)+1))
)),
VALUE(MID(B1829,FIND("E0",B1829)+2,FIND("T",B1829,FIND("E0",B1829))-(FIND("E0",B1829)+2)))
))),"")</f>
        <v>150</v>
      </c>
      <c r="G1829">
        <f>IFERROR(
IF(ISNUMBER(FIND("T2",B1829)),220,
IF(ISNUMBER(FIND("T4",B1829)),440,
IF(ISNUMBER(FIND("T5",B1829)),575,
IF(ISNUMBER(FIND("T6",B1829)),690,"")))),
"")</f>
        <v>690</v>
      </c>
    </row>
    <row r="1830" spans="1:7" x14ac:dyDescent="0.25">
      <c r="A1830">
        <v>11874554</v>
      </c>
      <c r="B1830" t="str">
        <f>VLOOKUP(A1830,Planilha2!B:C,2,0)</f>
        <v>INVERSOR SACFW110211T2OYZ</v>
      </c>
      <c r="C1830" t="s">
        <v>3170</v>
      </c>
      <c r="D1830" t="str">
        <f>VLOOKUP(A1830,Planilha2!B:H,7,0)</f>
        <v>LINHA G1</v>
      </c>
      <c r="E1830" s="5">
        <v>67000</v>
      </c>
      <c r="F1830">
        <f>IFERROR(
IF(ISNUMBER(FIND("CFW110",B1830)),
VALUE(MID(B1830,FIND("CFW110",B1830)+6,FIND("T",B1830,FIND("CFW110",B1830))-(FIND("CFW110",B1830)+6))),
IF(ISNUMBER(FIND("D",B1830)),
VALUE(SUBSTITUTE(MID(B1830,FIND("D",B1830)+1,FIND("T",B1830,FIND("D",B1830))-(FIND("D",B1830)+1)),"P",",")),
IF(ISNUMBER(FIND("CFW5",B1830)),
VALUE(MID(B1830,
IF(ISNUMBER(FIND("F",B1830)),FIND("F",B1830)+1,FIND("G",B1830)+1),
FIND("T",B1830)-(IF(ISNUMBER(FIND("F",B1830)),FIND("F",B1830)+1,FIND("G",B1830)+1))
)),
VALUE(MID(B1830,FIND("E0",B1830)+2,FIND("T",B1830,FIND("E0",B1830))-(FIND("E0",B1830)+2)))
))),"")</f>
        <v>211</v>
      </c>
      <c r="G1830">
        <f>IFERROR(
IF(ISNUMBER(FIND("T2",B1830)),220,
IF(ISNUMBER(FIND("T4",B1830)),440,
IF(ISNUMBER(FIND("T5",B1830)),575,
IF(ISNUMBER(FIND("T6",B1830)),690,"")))),
"")</f>
        <v>220</v>
      </c>
    </row>
    <row r="1831" spans="1:7" x14ac:dyDescent="0.25">
      <c r="A1831">
        <v>11874610</v>
      </c>
      <c r="B1831" t="str">
        <f>VLOOKUP(A1831,Planilha2!B:C,2,0)</f>
        <v>INVERSOR SACFW110180T4OYZ</v>
      </c>
      <c r="C1831" t="s">
        <v>3170</v>
      </c>
      <c r="D1831" t="str">
        <f>VLOOKUP(A1831,Planilha2!B:H,7,0)</f>
        <v>LINHA G1</v>
      </c>
      <c r="E1831" s="5">
        <v>65000</v>
      </c>
      <c r="F1831">
        <f>IFERROR(
IF(ISNUMBER(FIND("CFW110",B1831)),
VALUE(MID(B1831,FIND("CFW110",B1831)+6,FIND("T",B1831,FIND("CFW110",B1831))-(FIND("CFW110",B1831)+6))),
IF(ISNUMBER(FIND("D",B1831)),
VALUE(SUBSTITUTE(MID(B1831,FIND("D",B1831)+1,FIND("T",B1831,FIND("D",B1831))-(FIND("D",B1831)+1)),"P",",")),
IF(ISNUMBER(FIND("CFW5",B1831)),
VALUE(MID(B1831,
IF(ISNUMBER(FIND("F",B1831)),FIND("F",B1831)+1,FIND("G",B1831)+1),
FIND("T",B1831)-(IF(ISNUMBER(FIND("F",B1831)),FIND("F",B1831)+1,FIND("G",B1831)+1))
)),
VALUE(MID(B1831,FIND("E0",B1831)+2,FIND("T",B1831,FIND("E0",B1831))-(FIND("E0",B1831)+2)))
))),"")</f>
        <v>180</v>
      </c>
      <c r="G1831">
        <f>IFERROR(
IF(ISNUMBER(FIND("T2",B1831)),220,
IF(ISNUMBER(FIND("T4",B1831)),440,
IF(ISNUMBER(FIND("T5",B1831)),575,
IF(ISNUMBER(FIND("T6",B1831)),690,"")))),
"")</f>
        <v>440</v>
      </c>
    </row>
    <row r="1832" spans="1:7" x14ac:dyDescent="0.25">
      <c r="A1832">
        <v>11874553</v>
      </c>
      <c r="B1832" t="str">
        <f>VLOOKUP(A1832,Planilha2!B:C,2,0)</f>
        <v>INVERSOR SACFW110180T2OYZ</v>
      </c>
      <c r="C1832" t="s">
        <v>3170</v>
      </c>
      <c r="D1832" t="str">
        <f>VLOOKUP(A1832,Planilha2!B:H,7,0)</f>
        <v>LINHA G1</v>
      </c>
      <c r="E1832" s="5">
        <v>141000</v>
      </c>
      <c r="F1832">
        <f>IFERROR(
IF(ISNUMBER(FIND("CFW110",B1832)),
VALUE(MID(B1832,FIND("CFW110",B1832)+6,FIND("T",B1832,FIND("CFW110",B1832))-(FIND("CFW110",B1832)+6))),
IF(ISNUMBER(FIND("D",B1832)),
VALUE(SUBSTITUTE(MID(B1832,FIND("D",B1832)+1,FIND("T",B1832,FIND("D",B1832))-(FIND("D",B1832)+1)),"P",",")),
IF(ISNUMBER(FIND("CFW5",B1832)),
VALUE(MID(B1832,
IF(ISNUMBER(FIND("F",B1832)),FIND("F",B1832)+1,FIND("G",B1832)+1),
FIND("T",B1832)-(IF(ISNUMBER(FIND("F",B1832)),FIND("F",B1832)+1,FIND("G",B1832)+1))
)),
VALUE(MID(B1832,FIND("E0",B1832)+2,FIND("T",B1832,FIND("E0",B1832))-(FIND("E0",B1832)+2)))
))),"")</f>
        <v>180</v>
      </c>
      <c r="G1832">
        <f>IFERROR(
IF(ISNUMBER(FIND("T2",B1832)),220,
IF(ISNUMBER(FIND("T4",B1832)),440,
IF(ISNUMBER(FIND("T5",B1832)),575,
IF(ISNUMBER(FIND("T6",B1832)),690,"")))),
"")</f>
        <v>220</v>
      </c>
    </row>
    <row r="1833" spans="1:7" x14ac:dyDescent="0.25">
      <c r="A1833">
        <v>11874608</v>
      </c>
      <c r="B1833" t="str">
        <f>VLOOKUP(A1833,Planilha2!B:C,2,0)</f>
        <v>INVERSOR SACFW110142T4OYZ</v>
      </c>
      <c r="C1833" t="s">
        <v>3170</v>
      </c>
      <c r="D1833" t="str">
        <f>VLOOKUP(A1833,Planilha2!B:H,7,0)</f>
        <v>LINHA G1</v>
      </c>
      <c r="E1833" s="5">
        <v>64210</v>
      </c>
      <c r="F1833">
        <f>IFERROR(
IF(ISNUMBER(FIND("CFW110",B1833)),
VALUE(MID(B1833,FIND("CFW110",B1833)+6,FIND("T",B1833,FIND("CFW110",B1833))-(FIND("CFW110",B1833)+6))),
IF(ISNUMBER(FIND("D",B1833)),
VALUE(SUBSTITUTE(MID(B1833,FIND("D",B1833)+1,FIND("T",B1833,FIND("D",B1833))-(FIND("D",B1833)+1)),"P",",")),
IF(ISNUMBER(FIND("CFW5",B1833)),
VALUE(MID(B1833,
IF(ISNUMBER(FIND("F",B1833)),FIND("F",B1833)+1,FIND("G",B1833)+1),
FIND("T",B1833)-(IF(ISNUMBER(FIND("F",B1833)),FIND("F",B1833)+1,FIND("G",B1833)+1))
)),
VALUE(MID(B1833,FIND("E0",B1833)+2,FIND("T",B1833,FIND("E0",B1833))-(FIND("E0",B1833)+2)))
))),"")</f>
        <v>142</v>
      </c>
      <c r="G1833">
        <f>IFERROR(
IF(ISNUMBER(FIND("T2",B1833)),220,
IF(ISNUMBER(FIND("T4",B1833)),440,
IF(ISNUMBER(FIND("T5",B1833)),575,
IF(ISNUMBER(FIND("T6",B1833)),690,"")))),
"")</f>
        <v>440</v>
      </c>
    </row>
    <row r="1834" spans="1:7" x14ac:dyDescent="0.25">
      <c r="A1834">
        <v>11874556</v>
      </c>
      <c r="B1834" t="str">
        <f>VLOOKUP(A1834,Planilha2!B:C,2,0)</f>
        <v>INVERSOR SACFW110105T4OYZ</v>
      </c>
      <c r="C1834" t="s">
        <v>3170</v>
      </c>
      <c r="D1834" t="str">
        <f>VLOOKUP(A1834,Planilha2!B:H,7,0)</f>
        <v>LINHA G1</v>
      </c>
      <c r="E1834" s="5">
        <v>64210</v>
      </c>
      <c r="F1834">
        <f>IFERROR(
IF(ISNUMBER(FIND("CFW110",B1834)),
VALUE(MID(B1834,FIND("CFW110",B1834)+6,FIND("T",B1834,FIND("CFW110",B1834))-(FIND("CFW110",B1834)+6))),
IF(ISNUMBER(FIND("D",B1834)),
VALUE(SUBSTITUTE(MID(B1834,FIND("D",B1834)+1,FIND("T",B1834,FIND("D",B1834))-(FIND("D",B1834)+1)),"P",",")),
IF(ISNUMBER(FIND("CFW5",B1834)),
VALUE(MID(B1834,
IF(ISNUMBER(FIND("F",B1834)),FIND("F",B1834)+1,FIND("G",B1834)+1),
FIND("T",B1834)-(IF(ISNUMBER(FIND("F",B1834)),FIND("F",B1834)+1,FIND("G",B1834)+1))
)),
VALUE(MID(B1834,FIND("E0",B1834)+2,FIND("T",B1834,FIND("E0",B1834))-(FIND("E0",B1834)+2)))
))),"")</f>
        <v>105</v>
      </c>
      <c r="G1834">
        <f>IFERROR(
IF(ISNUMBER(FIND("T2",B1834)),220,
IF(ISNUMBER(FIND("T4",B1834)),440,
IF(ISNUMBER(FIND("T5",B1834)),575,
IF(ISNUMBER(FIND("T6",B1834)),690,"")))),
"")</f>
        <v>440</v>
      </c>
    </row>
    <row r="1835" spans="1:7" x14ac:dyDescent="0.25">
      <c r="A1835">
        <v>11874331</v>
      </c>
      <c r="B1835" t="str">
        <f>VLOOKUP(A1835,Planilha2!B:C,2,0)</f>
        <v>INVERSOR NACFW110211T4OYZ</v>
      </c>
      <c r="C1835" t="s">
        <v>3170</v>
      </c>
      <c r="D1835" t="str">
        <f>VLOOKUP(A1835,Planilha2!B:H,7,0)</f>
        <v>LINHA G1</v>
      </c>
      <c r="E1835" s="5">
        <v>67900</v>
      </c>
      <c r="F1835">
        <f>IFERROR(
IF(ISNUMBER(FIND("CFW110",B1835)),
VALUE(MID(B1835,FIND("CFW110",B1835)+6,FIND("T",B1835,FIND("CFW110",B1835))-(FIND("CFW110",B1835)+6))),
IF(ISNUMBER(FIND("D",B1835)),
VALUE(SUBSTITUTE(MID(B1835,FIND("D",B1835)+1,FIND("T",B1835,FIND("D",B1835))-(FIND("D",B1835)+1)),"P",",")),
IF(ISNUMBER(FIND("CFW5",B1835)),
VALUE(MID(B1835,
IF(ISNUMBER(FIND("F",B1835)),FIND("F",B1835)+1,FIND("G",B1835)+1),
FIND("T",B1835)-(IF(ISNUMBER(FIND("F",B1835)),FIND("F",B1835)+1,FIND("G",B1835)+1))
)),
VALUE(MID(B1835,FIND("E0",B1835)+2,FIND("T",B1835,FIND("E0",B1835))-(FIND("E0",B1835)+2)))
))),"")</f>
        <v>211</v>
      </c>
      <c r="G1835">
        <f>IFERROR(
IF(ISNUMBER(FIND("T2",B1835)),220,
IF(ISNUMBER(FIND("T4",B1835)),440,
IF(ISNUMBER(FIND("T5",B1835)),575,
IF(ISNUMBER(FIND("T6",B1835)),690,"")))),
"")</f>
        <v>440</v>
      </c>
    </row>
    <row r="1836" spans="1:7" x14ac:dyDescent="0.25">
      <c r="A1836">
        <v>11874231</v>
      </c>
      <c r="B1836" t="str">
        <f>VLOOKUP(A1836,Planilha2!B:C,2,0)</f>
        <v>INVERSOR NACFW110211T2OYZ</v>
      </c>
      <c r="C1836" t="s">
        <v>3170</v>
      </c>
      <c r="D1836" t="str">
        <f>VLOOKUP(A1836,Planilha2!B:H,7,0)</f>
        <v>LINHA G1</v>
      </c>
      <c r="E1836" s="5">
        <v>67000</v>
      </c>
      <c r="F1836">
        <f>IFERROR(
IF(ISNUMBER(FIND("CFW110",B1836)),
VALUE(MID(B1836,FIND("CFW110",B1836)+6,FIND("T",B1836,FIND("CFW110",B1836))-(FIND("CFW110",B1836)+6))),
IF(ISNUMBER(FIND("D",B1836)),
VALUE(SUBSTITUTE(MID(B1836,FIND("D",B1836)+1,FIND("T",B1836,FIND("D",B1836))-(FIND("D",B1836)+1)),"P",",")),
IF(ISNUMBER(FIND("CFW5",B1836)),
VALUE(MID(B1836,
IF(ISNUMBER(FIND("F",B1836)),FIND("F",B1836)+1,FIND("G",B1836)+1),
FIND("T",B1836)-(IF(ISNUMBER(FIND("F",B1836)),FIND("F",B1836)+1,FIND("G",B1836)+1))
)),
VALUE(MID(B1836,FIND("E0",B1836)+2,FIND("T",B1836,FIND("E0",B1836))-(FIND("E0",B1836)+2)))
))),"")</f>
        <v>211</v>
      </c>
      <c r="G1836">
        <f>IFERROR(
IF(ISNUMBER(FIND("T2",B1836)),220,
IF(ISNUMBER(FIND("T4",B1836)),440,
IF(ISNUMBER(FIND("T5",B1836)),575,
IF(ISNUMBER(FIND("T6",B1836)),690,"")))),
"")</f>
        <v>220</v>
      </c>
    </row>
    <row r="1837" spans="1:7" x14ac:dyDescent="0.25">
      <c r="A1837">
        <v>11874330</v>
      </c>
      <c r="B1837" t="str">
        <f>VLOOKUP(A1837,Planilha2!B:C,2,0)</f>
        <v>INVERSOR NACFW110180T4OYZ</v>
      </c>
      <c r="C1837" t="s">
        <v>3170</v>
      </c>
      <c r="D1837" t="str">
        <f>VLOOKUP(A1837,Planilha2!B:H,7,0)</f>
        <v>LINHA G1</v>
      </c>
      <c r="E1837" s="5">
        <v>65000</v>
      </c>
      <c r="F1837">
        <f>IFERROR(
IF(ISNUMBER(FIND("CFW110",B1837)),
VALUE(MID(B1837,FIND("CFW110",B1837)+6,FIND("T",B1837,FIND("CFW110",B1837))-(FIND("CFW110",B1837)+6))),
IF(ISNUMBER(FIND("D",B1837)),
VALUE(SUBSTITUTE(MID(B1837,FIND("D",B1837)+1,FIND("T",B1837,FIND("D",B1837))-(FIND("D",B1837)+1)),"P",",")),
IF(ISNUMBER(FIND("CFW5",B1837)),
VALUE(MID(B1837,
IF(ISNUMBER(FIND("F",B1837)),FIND("F",B1837)+1,FIND("G",B1837)+1),
FIND("T",B1837)-(IF(ISNUMBER(FIND("F",B1837)),FIND("F",B1837)+1,FIND("G",B1837)+1))
)),
VALUE(MID(B1837,FIND("E0",B1837)+2,FIND("T",B1837,FIND("E0",B1837))-(FIND("E0",B1837)+2)))
))),"")</f>
        <v>180</v>
      </c>
      <c r="G1837">
        <f>IFERROR(
IF(ISNUMBER(FIND("T2",B1837)),220,
IF(ISNUMBER(FIND("T4",B1837)),440,
IF(ISNUMBER(FIND("T5",B1837)),575,
IF(ISNUMBER(FIND("T6",B1837)),690,"")))),
"")</f>
        <v>440</v>
      </c>
    </row>
    <row r="1838" spans="1:7" x14ac:dyDescent="0.25">
      <c r="A1838">
        <v>11874230</v>
      </c>
      <c r="B1838" t="str">
        <f>VLOOKUP(A1838,Planilha2!B:C,2,0)</f>
        <v>INVERSOR NACFW110180T2OYZ</v>
      </c>
      <c r="C1838" t="s">
        <v>3170</v>
      </c>
      <c r="D1838" t="str">
        <f>VLOOKUP(A1838,Planilha2!B:H,7,0)</f>
        <v>LINHA G1</v>
      </c>
      <c r="E1838" s="5">
        <v>141000</v>
      </c>
      <c r="F1838">
        <f>IFERROR(
IF(ISNUMBER(FIND("CFW110",B1838)),
VALUE(MID(B1838,FIND("CFW110",B1838)+6,FIND("T",B1838,FIND("CFW110",B1838))-(FIND("CFW110",B1838)+6))),
IF(ISNUMBER(FIND("D",B1838)),
VALUE(SUBSTITUTE(MID(B1838,FIND("D",B1838)+1,FIND("T",B1838,FIND("D",B1838))-(FIND("D",B1838)+1)),"P",",")),
IF(ISNUMBER(FIND("CFW5",B1838)),
VALUE(MID(B1838,
IF(ISNUMBER(FIND("F",B1838)),FIND("F",B1838)+1,FIND("G",B1838)+1),
FIND("T",B1838)-(IF(ISNUMBER(FIND("F",B1838)),FIND("F",B1838)+1,FIND("G",B1838)+1))
)),
VALUE(MID(B1838,FIND("E0",B1838)+2,FIND("T",B1838,FIND("E0",B1838))-(FIND("E0",B1838)+2)))
))),"")</f>
        <v>180</v>
      </c>
      <c r="G1838">
        <f>IFERROR(
IF(ISNUMBER(FIND("T2",B1838)),220,
IF(ISNUMBER(FIND("T4",B1838)),440,
IF(ISNUMBER(FIND("T5",B1838)),575,
IF(ISNUMBER(FIND("T6",B1838)),690,"")))),
"")</f>
        <v>220</v>
      </c>
    </row>
    <row r="1839" spans="1:7" x14ac:dyDescent="0.25">
      <c r="A1839">
        <v>11874235</v>
      </c>
      <c r="B1839" t="str">
        <f>VLOOKUP(A1839,Planilha2!B:C,2,0)</f>
        <v>INVERSOR NACFW110142T4OYZ</v>
      </c>
      <c r="C1839" t="s">
        <v>3170</v>
      </c>
      <c r="D1839" t="str">
        <f>VLOOKUP(A1839,Planilha2!B:H,7,0)</f>
        <v>LINHA G1</v>
      </c>
      <c r="E1839" s="5">
        <v>64210</v>
      </c>
      <c r="F1839">
        <f>IFERROR(
IF(ISNUMBER(FIND("CFW110",B1839)),
VALUE(MID(B1839,FIND("CFW110",B1839)+6,FIND("T",B1839,FIND("CFW110",B1839))-(FIND("CFW110",B1839)+6))),
IF(ISNUMBER(FIND("D",B1839)),
VALUE(SUBSTITUTE(MID(B1839,FIND("D",B1839)+1,FIND("T",B1839,FIND("D",B1839))-(FIND("D",B1839)+1)),"P",",")),
IF(ISNUMBER(FIND("CFW5",B1839)),
VALUE(MID(B1839,
IF(ISNUMBER(FIND("F",B1839)),FIND("F",B1839)+1,FIND("G",B1839)+1),
FIND("T",B1839)-(IF(ISNUMBER(FIND("F",B1839)),FIND("F",B1839)+1,FIND("G",B1839)+1))
)),
VALUE(MID(B1839,FIND("E0",B1839)+2,FIND("T",B1839,FIND("E0",B1839))-(FIND("E0",B1839)+2)))
))),"")</f>
        <v>142</v>
      </c>
      <c r="G1839">
        <f>IFERROR(
IF(ISNUMBER(FIND("T2",B1839)),220,
IF(ISNUMBER(FIND("T4",B1839)),440,
IF(ISNUMBER(FIND("T5",B1839)),575,
IF(ISNUMBER(FIND("T6",B1839)),690,"")))),
"")</f>
        <v>440</v>
      </c>
    </row>
    <row r="1840" spans="1:7" x14ac:dyDescent="0.25">
      <c r="A1840">
        <v>11874233</v>
      </c>
      <c r="B1840" t="str">
        <f>VLOOKUP(A1840,Planilha2!B:C,2,0)</f>
        <v>INVERSOR NACFW110105T4OYZ</v>
      </c>
      <c r="C1840" t="s">
        <v>3170</v>
      </c>
      <c r="D1840" t="str">
        <f>VLOOKUP(A1840,Planilha2!B:H,7,0)</f>
        <v>LINHA G1</v>
      </c>
      <c r="E1840" s="5">
        <v>64213</v>
      </c>
      <c r="F1840">
        <f>IFERROR(
IF(ISNUMBER(FIND("CFW110",B1840)),
VALUE(MID(B1840,FIND("CFW110",B1840)+6,FIND("T",B1840,FIND("CFW110",B1840))-(FIND("CFW110",B1840)+6))),
IF(ISNUMBER(FIND("D",B1840)),
VALUE(SUBSTITUTE(MID(B1840,FIND("D",B1840)+1,FIND("T",B1840,FIND("D",B1840))-(FIND("D",B1840)+1)),"P",",")),
IF(ISNUMBER(FIND("CFW5",B1840)),
VALUE(MID(B1840,
IF(ISNUMBER(FIND("F",B1840)),FIND("F",B1840)+1,FIND("G",B1840)+1),
FIND("T",B1840)-(IF(ISNUMBER(FIND("F",B1840)),FIND("F",B1840)+1,FIND("G",B1840)+1))
)),
VALUE(MID(B1840,FIND("E0",B1840)+2,FIND("T",B1840,FIND("E0",B1840))-(FIND("E0",B1840)+2)))
))),"")</f>
        <v>105</v>
      </c>
      <c r="G1840">
        <f>IFERROR(
IF(ISNUMBER(FIND("T2",B1840)),220,
IF(ISNUMBER(FIND("T4",B1840)),440,
IF(ISNUMBER(FIND("T5",B1840)),575,
IF(ISNUMBER(FIND("T6",B1840)),690,"")))),
"")</f>
        <v>440</v>
      </c>
    </row>
    <row r="1841" spans="1:7" x14ac:dyDescent="0.25">
      <c r="A1841">
        <v>11874185</v>
      </c>
      <c r="B1841" t="str">
        <f>VLOOKUP(A1841,Planilha2!B:C,2,0)</f>
        <v>INVERSOR NACFW110105T2OYZ</v>
      </c>
      <c r="C1841" t="s">
        <v>3170</v>
      </c>
      <c r="D1841" t="str">
        <f>VLOOKUP(A1841,Planilha2!B:H,7,0)</f>
        <v>LINHA M3</v>
      </c>
      <c r="E1841" s="5">
        <v>31400</v>
      </c>
      <c r="F1841">
        <f>IFERROR(
IF(ISNUMBER(FIND("CFW110",B1841)),
VALUE(MID(B1841,FIND("CFW110",B1841)+6,FIND("T",B1841,FIND("CFW110",B1841))-(FIND("CFW110",B1841)+6))),
IF(ISNUMBER(FIND("D",B1841)),
VALUE(SUBSTITUTE(MID(B1841,FIND("D",B1841)+1,FIND("T",B1841,FIND("D",B1841))-(FIND("D",B1841)+1)),"P",",")),
IF(ISNUMBER(FIND("CFW5",B1841)),
VALUE(MID(B1841,
IF(ISNUMBER(FIND("F",B1841)),FIND("F",B1841)+1,FIND("G",B1841)+1),
FIND("T",B1841)-(IF(ISNUMBER(FIND("F",B1841)),FIND("F",B1841)+1,FIND("G",B1841)+1))
)),
VALUE(MID(B1841,FIND("E0",B1841)+2,FIND("T",B1841,FIND("E0",B1841))-(FIND("E0",B1841)+2)))
))),"")</f>
        <v>105</v>
      </c>
      <c r="G1841">
        <f>IFERROR(
IF(ISNUMBER(FIND("T2",B1841)),220,
IF(ISNUMBER(FIND("T4",B1841)),440,
IF(ISNUMBER(FIND("T5",B1841)),575,
IF(ISNUMBER(FIND("T6",B1841)),690,"")))),
"")</f>
        <v>220</v>
      </c>
    </row>
    <row r="1842" spans="1:7" x14ac:dyDescent="0.25">
      <c r="A1842">
        <v>11874187</v>
      </c>
      <c r="B1842" t="str">
        <f>VLOOKUP(A1842,Planilha2!B:C,2,0)</f>
        <v>INVERSOR NACFW110088T4OYZ</v>
      </c>
      <c r="C1842" t="s">
        <v>3170</v>
      </c>
      <c r="D1842" t="str">
        <f>VLOOKUP(A1842,Planilha2!B:H,7,0)</f>
        <v>LINHA M3</v>
      </c>
      <c r="E1842" s="5">
        <v>32600</v>
      </c>
      <c r="F1842">
        <f>IFERROR(
IF(ISNUMBER(FIND("CFW110",B1842)),
VALUE(MID(B1842,FIND("CFW110",B1842)+6,FIND("T",B1842,FIND("CFW110",B1842))-(FIND("CFW110",B1842)+6))),
IF(ISNUMBER(FIND("D",B1842)),
VALUE(SUBSTITUTE(MID(B1842,FIND("D",B1842)+1,FIND("T",B1842,FIND("D",B1842))-(FIND("D",B1842)+1)),"P",",")),
IF(ISNUMBER(FIND("CFW5",B1842)),
VALUE(MID(B1842,
IF(ISNUMBER(FIND("F",B1842)),FIND("F",B1842)+1,FIND("G",B1842)+1),
FIND("T",B1842)-(IF(ISNUMBER(FIND("F",B1842)),FIND("F",B1842)+1,FIND("G",B1842)+1))
)),
VALUE(MID(B1842,FIND("E0",B1842)+2,FIND("T",B1842,FIND("E0",B1842))-(FIND("E0",B1842)+2)))
))),"")</f>
        <v>88</v>
      </c>
      <c r="G1842">
        <f>IFERROR(
IF(ISNUMBER(FIND("T2",B1842)),220,
IF(ISNUMBER(FIND("T4",B1842)),440,
IF(ISNUMBER(FIND("T5",B1842)),575,
IF(ISNUMBER(FIND("T6",B1842)),690,"")))),
"")</f>
        <v>440</v>
      </c>
    </row>
    <row r="1843" spans="1:7" x14ac:dyDescent="0.25">
      <c r="A1843">
        <v>11873823</v>
      </c>
      <c r="B1843" t="str">
        <f>VLOOKUP(A1843,Planilha2!B:C,2,0)</f>
        <v>INVERSOR MSCFW110211T4OYZ</v>
      </c>
      <c r="C1843" t="s">
        <v>3170</v>
      </c>
      <c r="D1843" t="str">
        <f>VLOOKUP(A1843,Planilha2!B:H,7,0)</f>
        <v>LINHA G1</v>
      </c>
      <c r="E1843" s="5">
        <v>67900</v>
      </c>
      <c r="F1843">
        <f>IFERROR(
IF(ISNUMBER(FIND("CFW110",B1843)),
VALUE(MID(B1843,FIND("CFW110",B1843)+6,FIND("T",B1843,FIND("CFW110",B1843))-(FIND("CFW110",B1843)+6))),
IF(ISNUMBER(FIND("D",B1843)),
VALUE(SUBSTITUTE(MID(B1843,FIND("D",B1843)+1,FIND("T",B1843,FIND("D",B1843))-(FIND("D",B1843)+1)),"P",",")),
IF(ISNUMBER(FIND("CFW5",B1843)),
VALUE(MID(B1843,
IF(ISNUMBER(FIND("F",B1843)),FIND("F",B1843)+1,FIND("G",B1843)+1),
FIND("T",B1843)-(IF(ISNUMBER(FIND("F",B1843)),FIND("F",B1843)+1,FIND("G",B1843)+1))
)),
VALUE(MID(B1843,FIND("E0",B1843)+2,FIND("T",B1843,FIND("E0",B1843))-(FIND("E0",B1843)+2)))
))),"")</f>
        <v>211</v>
      </c>
      <c r="G1843">
        <f>IFERROR(
IF(ISNUMBER(FIND("T2",B1843)),220,
IF(ISNUMBER(FIND("T4",B1843)),440,
IF(ISNUMBER(FIND("T5",B1843)),575,
IF(ISNUMBER(FIND("T6",B1843)),690,"")))),
"")</f>
        <v>440</v>
      </c>
    </row>
    <row r="1844" spans="1:7" x14ac:dyDescent="0.25">
      <c r="A1844">
        <v>11851728</v>
      </c>
      <c r="B1844" t="str">
        <f>VLOOKUP(A1844,Planilha2!B:C,2,0)</f>
        <v>INVERSOR EUCFW110211T4OYHASCZ</v>
      </c>
      <c r="C1844" t="s">
        <v>3170</v>
      </c>
      <c r="D1844" t="str">
        <f>VLOOKUP(A1844,Planilha2!B:H,7,0)</f>
        <v>LINHA G1</v>
      </c>
      <c r="E1844" s="5">
        <v>67900</v>
      </c>
      <c r="F1844">
        <f>IFERROR(
IF(ISNUMBER(FIND("CFW110",B1844)),
VALUE(MID(B1844,FIND("CFW110",B1844)+6,FIND("T",B1844,FIND("CFW110",B1844))-(FIND("CFW110",B1844)+6))),
IF(ISNUMBER(FIND("D",B1844)),
VALUE(SUBSTITUTE(MID(B1844,FIND("D",B1844)+1,FIND("T",B1844,FIND("D",B1844))-(FIND("D",B1844)+1)),"P",",")),
IF(ISNUMBER(FIND("CFW5",B1844)),
VALUE(MID(B1844,
IF(ISNUMBER(FIND("F",B1844)),FIND("F",B1844)+1,FIND("G",B1844)+1),
FIND("T",B1844)-(IF(ISNUMBER(FIND("F",B1844)),FIND("F",B1844)+1,FIND("G",B1844)+1))
)),
VALUE(MID(B1844,FIND("E0",B1844)+2,FIND("T",B1844,FIND("E0",B1844))-(FIND("E0",B1844)+2)))
))),"")</f>
        <v>211</v>
      </c>
      <c r="G1844">
        <f>IFERROR(
IF(ISNUMBER(FIND("T2",B1844)),220,
IF(ISNUMBER(FIND("T4",B1844)),440,
IF(ISNUMBER(FIND("T5",B1844)),575,
IF(ISNUMBER(FIND("T6",B1844)),690,"")))),
"")</f>
        <v>440</v>
      </c>
    </row>
    <row r="1845" spans="1:7" x14ac:dyDescent="0.25">
      <c r="A1845">
        <v>12095567</v>
      </c>
      <c r="B1845" t="str">
        <f>VLOOKUP(A1845,Planilha2!B:C,2,0)</f>
        <v>INVERSOR SACFW110142T4OYWZ</v>
      </c>
      <c r="C1845" t="s">
        <v>3170</v>
      </c>
      <c r="D1845" t="str">
        <f>VLOOKUP(A1845,Planilha2!B:H,7,0)</f>
        <v>LINHA G1</v>
      </c>
      <c r="E1845" s="5">
        <v>64210</v>
      </c>
      <c r="F1845">
        <f>IFERROR(
IF(ISNUMBER(FIND("CFW110",B1845)),
VALUE(MID(B1845,FIND("CFW110",B1845)+6,FIND("T",B1845,FIND("CFW110",B1845))-(FIND("CFW110",B1845)+6))),
IF(ISNUMBER(FIND("D",B1845)),
VALUE(SUBSTITUTE(MID(B1845,FIND("D",B1845)+1,FIND("T",B1845,FIND("D",B1845))-(FIND("D",B1845)+1)),"P",",")),
IF(ISNUMBER(FIND("CFW5",B1845)),
VALUE(MID(B1845,
IF(ISNUMBER(FIND("F",B1845)),FIND("F",B1845)+1,FIND("G",B1845)+1),
FIND("T",B1845)-(IF(ISNUMBER(FIND("F",B1845)),FIND("F",B1845)+1,FIND("G",B1845)+1))
)),
VALUE(MID(B1845,FIND("E0",B1845)+2,FIND("T",B1845,FIND("E0",B1845))-(FIND("E0",B1845)+2)))
))),"")</f>
        <v>142</v>
      </c>
      <c r="G1845">
        <f>IFERROR(
IF(ISNUMBER(FIND("T2",B1845)),220,
IF(ISNUMBER(FIND("T4",B1845)),440,
IF(ISNUMBER(FIND("T5",B1845)),575,
IF(ISNUMBER(FIND("T6",B1845)),690,"")))),
"")</f>
        <v>440</v>
      </c>
    </row>
    <row r="1846" spans="1:7" x14ac:dyDescent="0.25">
      <c r="A1846">
        <v>12095564</v>
      </c>
      <c r="B1846" t="str">
        <f>VLOOKUP(A1846,Planilha2!B:C,2,0)</f>
        <v>INVERSOR SACFW110105T4OYWZ</v>
      </c>
      <c r="C1846" t="s">
        <v>3170</v>
      </c>
      <c r="D1846" t="str">
        <f>VLOOKUP(A1846,Planilha2!B:H,7,0)</f>
        <v>LINHA G1</v>
      </c>
      <c r="E1846" s="5">
        <v>64213</v>
      </c>
      <c r="F1846">
        <f>IFERROR(
IF(ISNUMBER(FIND("CFW110",B1846)),
VALUE(MID(B1846,FIND("CFW110",B1846)+6,FIND("T",B1846,FIND("CFW110",B1846))-(FIND("CFW110",B1846)+6))),
IF(ISNUMBER(FIND("D",B1846)),
VALUE(SUBSTITUTE(MID(B1846,FIND("D",B1846)+1,FIND("T",B1846,FIND("D",B1846))-(FIND("D",B1846)+1)),"P",",")),
IF(ISNUMBER(FIND("CFW5",B1846)),
VALUE(MID(B1846,
IF(ISNUMBER(FIND("F",B1846)),FIND("F",B1846)+1,FIND("G",B1846)+1),
FIND("T",B1846)-(IF(ISNUMBER(FIND("F",B1846)),FIND("F",B1846)+1,FIND("G",B1846)+1))
)),
VALUE(MID(B1846,FIND("E0",B1846)+2,FIND("T",B1846,FIND("E0",B1846))-(FIND("E0",B1846)+2)))
))),"")</f>
        <v>105</v>
      </c>
      <c r="G1846">
        <f>IFERROR(
IF(ISNUMBER(FIND("T2",B1846)),220,
IF(ISNUMBER(FIND("T4",B1846)),440,
IF(ISNUMBER(FIND("T5",B1846)),575,
IF(ISNUMBER(FIND("T6",B1846)),690,"")))),
"")</f>
        <v>440</v>
      </c>
    </row>
    <row r="1847" spans="1:7" x14ac:dyDescent="0.25">
      <c r="A1847">
        <v>12159703</v>
      </c>
      <c r="B1847" t="str">
        <f>VLOOKUP(A1847,Planilha2!B:C,2,0)</f>
        <v>INVERSOR BRCFW110211T2OYZ</v>
      </c>
      <c r="C1847" t="s">
        <v>3170</v>
      </c>
      <c r="D1847" t="str">
        <f>VLOOKUP(A1847,Planilha2!B:H,7,0)</f>
        <v>LINHA G1</v>
      </c>
      <c r="E1847" s="5">
        <v>67000</v>
      </c>
      <c r="F1847">
        <f>IFERROR(
IF(ISNUMBER(FIND("CFW110",B1847)),
VALUE(MID(B1847,FIND("CFW110",B1847)+6,FIND("T",B1847,FIND("CFW110",B1847))-(FIND("CFW110",B1847)+6))),
IF(ISNUMBER(FIND("D",B1847)),
VALUE(SUBSTITUTE(MID(B1847,FIND("D",B1847)+1,FIND("T",B1847,FIND("D",B1847))-(FIND("D",B1847)+1)),"P",",")),
IF(ISNUMBER(FIND("CFW5",B1847)),
VALUE(MID(B1847,
IF(ISNUMBER(FIND("F",B1847)),FIND("F",B1847)+1,FIND("G",B1847)+1),
FIND("T",B1847)-(IF(ISNUMBER(FIND("F",B1847)),FIND("F",B1847)+1,FIND("G",B1847)+1))
)),
VALUE(MID(B1847,FIND("E0",B1847)+2,FIND("T",B1847,FIND("E0",B1847))-(FIND("E0",B1847)+2)))
))),"")</f>
        <v>211</v>
      </c>
      <c r="G1847">
        <f>IFERROR(
IF(ISNUMBER(FIND("T2",B1847)),220,
IF(ISNUMBER(FIND("T4",B1847)),440,
IF(ISNUMBER(FIND("T5",B1847)),575,
IF(ISNUMBER(FIND("T6",B1847)),690,"")))),
"")</f>
        <v>220</v>
      </c>
    </row>
    <row r="1848" spans="1:7" x14ac:dyDescent="0.25">
      <c r="A1848">
        <v>11988799</v>
      </c>
      <c r="B1848" t="str">
        <f>VLOOKUP(A1848,Planilha2!B:C,2,0)</f>
        <v>INVERSOR SACFW110125T6ONBYZ</v>
      </c>
      <c r="C1848" t="s">
        <v>3170</v>
      </c>
      <c r="D1848" t="str">
        <f>VLOOKUP(A1848,Planilha2!B:H,7,0)</f>
        <v>LINHA G1</v>
      </c>
      <c r="E1848" s="5">
        <v>65000</v>
      </c>
      <c r="F1848">
        <f>IFERROR(
IF(ISNUMBER(FIND("CFW110",B1848)),
VALUE(MID(B1848,FIND("CFW110",B1848)+6,FIND("T",B1848,FIND("CFW110",B1848))-(FIND("CFW110",B1848)+6))),
IF(ISNUMBER(FIND("D",B1848)),
VALUE(SUBSTITUTE(MID(B1848,FIND("D",B1848)+1,FIND("T",B1848,FIND("D",B1848))-(FIND("D",B1848)+1)),"P",",")),
IF(ISNUMBER(FIND("CFW5",B1848)),
VALUE(MID(B1848,
IF(ISNUMBER(FIND("F",B1848)),FIND("F",B1848)+1,FIND("G",B1848)+1),
FIND("T",B1848)-(IF(ISNUMBER(FIND("F",B1848)),FIND("F",B1848)+1,FIND("G",B1848)+1))
)),
VALUE(MID(B1848,FIND("E0",B1848)+2,FIND("T",B1848,FIND("E0",B1848))-(FIND("E0",B1848)+2)))
))),"")</f>
        <v>125</v>
      </c>
      <c r="G1848">
        <f>IFERROR(
IF(ISNUMBER(FIND("T2",B1848)),220,
IF(ISNUMBER(FIND("T4",B1848)),440,
IF(ISNUMBER(FIND("T5",B1848)),575,
IF(ISNUMBER(FIND("T6",B1848)),690,"")))),
"")</f>
        <v>690</v>
      </c>
    </row>
    <row r="1849" spans="1:7" x14ac:dyDescent="0.25">
      <c r="A1849">
        <v>11988777</v>
      </c>
      <c r="B1849" t="str">
        <f>VLOOKUP(A1849,Planilha2!B:C,2,0)</f>
        <v>INVERSOR SACFW110107T6ONBYZ</v>
      </c>
      <c r="C1849" t="s">
        <v>3170</v>
      </c>
      <c r="D1849" t="str">
        <f>VLOOKUP(A1849,Planilha2!B:H,7,0)</f>
        <v>LINHA G1</v>
      </c>
      <c r="E1849" s="5">
        <v>61500</v>
      </c>
      <c r="F1849">
        <f>IFERROR(
IF(ISNUMBER(FIND("CFW110",B1849)),
VALUE(MID(B1849,FIND("CFW110",B1849)+6,FIND("T",B1849,FIND("CFW110",B1849))-(FIND("CFW110",B1849)+6))),
IF(ISNUMBER(FIND("D",B1849)),
VALUE(SUBSTITUTE(MID(B1849,FIND("D",B1849)+1,FIND("T",B1849,FIND("D",B1849))-(FIND("D",B1849)+1)),"P",",")),
IF(ISNUMBER(FIND("CFW5",B1849)),
VALUE(MID(B1849,
IF(ISNUMBER(FIND("F",B1849)),FIND("F",B1849)+1,FIND("G",B1849)+1),
FIND("T",B1849)-(IF(ISNUMBER(FIND("F",B1849)),FIND("F",B1849)+1,FIND("G",B1849)+1))
)),
VALUE(MID(B1849,FIND("E0",B1849)+2,FIND("T",B1849,FIND("E0",B1849))-(FIND("E0",B1849)+2)))
))),"")</f>
        <v>107</v>
      </c>
      <c r="G1849">
        <f>IFERROR(
IF(ISNUMBER(FIND("T2",B1849)),220,
IF(ISNUMBER(FIND("T4",B1849)),440,
IF(ISNUMBER(FIND("T5",B1849)),575,
IF(ISNUMBER(FIND("T6",B1849)),690,"")))),
"")</f>
        <v>690</v>
      </c>
    </row>
    <row r="1850" spans="1:7" x14ac:dyDescent="0.25">
      <c r="A1850">
        <v>11988775</v>
      </c>
      <c r="B1850" t="str">
        <f>VLOOKUP(A1850,Planilha2!B:C,2,0)</f>
        <v>INVERSOR SACFW110080T6ONBYZ</v>
      </c>
      <c r="C1850" t="s">
        <v>3170</v>
      </c>
      <c r="D1850" t="str">
        <f>VLOOKUP(A1850,Planilha2!B:H,7,0)</f>
        <v>LINHA G1</v>
      </c>
      <c r="E1850" s="5">
        <v>61500</v>
      </c>
      <c r="F1850">
        <f>IFERROR(
IF(ISNUMBER(FIND("CFW110",B1850)),
VALUE(MID(B1850,FIND("CFW110",B1850)+6,FIND("T",B1850,FIND("CFW110",B1850))-(FIND("CFW110",B1850)+6))),
IF(ISNUMBER(FIND("D",B1850)),
VALUE(SUBSTITUTE(MID(B1850,FIND("D",B1850)+1,FIND("T",B1850,FIND("D",B1850))-(FIND("D",B1850)+1)),"P",",")),
IF(ISNUMBER(FIND("CFW5",B1850)),
VALUE(MID(B1850,
IF(ISNUMBER(FIND("F",B1850)),FIND("F",B1850)+1,FIND("G",B1850)+1),
FIND("T",B1850)-(IF(ISNUMBER(FIND("F",B1850)),FIND("F",B1850)+1,FIND("G",B1850)+1))
)),
VALUE(MID(B1850,FIND("E0",B1850)+2,FIND("T",B1850,FIND("E0",B1850))-(FIND("E0",B1850)+2)))
))),"")</f>
        <v>80</v>
      </c>
      <c r="G1850">
        <f>IFERROR(
IF(ISNUMBER(FIND("T2",B1850)),220,
IF(ISNUMBER(FIND("T4",B1850)),440,
IF(ISNUMBER(FIND("T5",B1850)),575,
IF(ISNUMBER(FIND("T6",B1850)),690,"")))),
"")</f>
        <v>690</v>
      </c>
    </row>
    <row r="1851" spans="1:7" x14ac:dyDescent="0.25">
      <c r="A1851">
        <v>11988771</v>
      </c>
      <c r="B1851" t="str">
        <f>VLOOKUP(A1851,Planilha2!B:C,2,0)</f>
        <v>INVERSOR SACFW110063T6ONBYZ</v>
      </c>
      <c r="C1851" t="s">
        <v>3170</v>
      </c>
      <c r="D1851" t="str">
        <f>VLOOKUP(A1851,Planilha2!B:H,7,0)</f>
        <v>LINHA G1</v>
      </c>
      <c r="E1851" s="5">
        <v>65000</v>
      </c>
      <c r="F1851">
        <f>IFERROR(
IF(ISNUMBER(FIND("CFW110",B1851)),
VALUE(MID(B1851,FIND("CFW110",B1851)+6,FIND("T",B1851,FIND("CFW110",B1851))-(FIND("CFW110",B1851)+6))),
IF(ISNUMBER(FIND("D",B1851)),
VALUE(SUBSTITUTE(MID(B1851,FIND("D",B1851)+1,FIND("T",B1851,FIND("D",B1851))-(FIND("D",B1851)+1)),"P",",")),
IF(ISNUMBER(FIND("CFW5",B1851)),
VALUE(MID(B1851,
IF(ISNUMBER(FIND("F",B1851)),FIND("F",B1851)+1,FIND("G",B1851)+1),
FIND("T",B1851)-(IF(ISNUMBER(FIND("F",B1851)),FIND("F",B1851)+1,FIND("G",B1851)+1))
)),
VALUE(MID(B1851,FIND("E0",B1851)+2,FIND("T",B1851,FIND("E0",B1851))-(FIND("E0",B1851)+2)))
))),"")</f>
        <v>63</v>
      </c>
      <c r="G1851">
        <f>IFERROR(
IF(ISNUMBER(FIND("T2",B1851)),220,
IF(ISNUMBER(FIND("T4",B1851)),440,
IF(ISNUMBER(FIND("T5",B1851)),575,
IF(ISNUMBER(FIND("T6",B1851)),690,"")))),
"")</f>
        <v>690</v>
      </c>
    </row>
    <row r="1852" spans="1:7" x14ac:dyDescent="0.25">
      <c r="A1852">
        <v>11988802</v>
      </c>
      <c r="B1852" t="str">
        <f>VLOOKUP(A1852,Planilha2!B:C,2,0)</f>
        <v>INVERSOR SACFW110150T6ONBYZ</v>
      </c>
      <c r="C1852" t="s">
        <v>3170</v>
      </c>
      <c r="D1852" t="str">
        <f>VLOOKUP(A1852,Planilha2!B:H,7,0)</f>
        <v>LINHA G1</v>
      </c>
      <c r="E1852" s="5">
        <v>64000</v>
      </c>
      <c r="F1852">
        <f>IFERROR(
IF(ISNUMBER(FIND("CFW110",B1852)),
VALUE(MID(B1852,FIND("CFW110",B1852)+6,FIND("T",B1852,FIND("CFW110",B1852))-(FIND("CFW110",B1852)+6))),
IF(ISNUMBER(FIND("D",B1852)),
VALUE(SUBSTITUTE(MID(B1852,FIND("D",B1852)+1,FIND("T",B1852,FIND("D",B1852))-(FIND("D",B1852)+1)),"P",",")),
IF(ISNUMBER(FIND("CFW5",B1852)),
VALUE(MID(B1852,
IF(ISNUMBER(FIND("F",B1852)),FIND("F",B1852)+1,FIND("G",B1852)+1),
FIND("T",B1852)-(IF(ISNUMBER(FIND("F",B1852)),FIND("F",B1852)+1,FIND("G",B1852)+1))
)),
VALUE(MID(B1852,FIND("E0",B1852)+2,FIND("T",B1852,FIND("E0",B1852))-(FIND("E0",B1852)+2)))
))),"")</f>
        <v>150</v>
      </c>
      <c r="G1852">
        <f>IFERROR(
IF(ISNUMBER(FIND("T2",B1852)),220,
IF(ISNUMBER(FIND("T4",B1852)),440,
IF(ISNUMBER(FIND("T5",B1852)),575,
IF(ISNUMBER(FIND("T6",B1852)),690,"")))),
"")</f>
        <v>690</v>
      </c>
    </row>
    <row r="1853" spans="1:7" x14ac:dyDescent="0.25">
      <c r="A1853">
        <v>11988657</v>
      </c>
      <c r="B1853" t="str">
        <f>VLOOKUP(A1853,Planilha2!B:C,2,0)</f>
        <v>INVERSOR SACFW110080T6ONBZ</v>
      </c>
      <c r="C1853" t="s">
        <v>3170</v>
      </c>
      <c r="D1853" t="str">
        <f>VLOOKUP(A1853,Planilha2!B:H,7,0)</f>
        <v>LINHA G1</v>
      </c>
      <c r="E1853" s="5">
        <v>61500</v>
      </c>
      <c r="F1853">
        <f>IFERROR(
IF(ISNUMBER(FIND("CFW110",B1853)),
VALUE(MID(B1853,FIND("CFW110",B1853)+6,FIND("T",B1853,FIND("CFW110",B1853))-(FIND("CFW110",B1853)+6))),
IF(ISNUMBER(FIND("D",B1853)),
VALUE(SUBSTITUTE(MID(B1853,FIND("D",B1853)+1,FIND("T",B1853,FIND("D",B1853))-(FIND("D",B1853)+1)),"P",",")),
IF(ISNUMBER(FIND("CFW5",B1853)),
VALUE(MID(B1853,
IF(ISNUMBER(FIND("F",B1853)),FIND("F",B1853)+1,FIND("G",B1853)+1),
FIND("T",B1853)-(IF(ISNUMBER(FIND("F",B1853)),FIND("F",B1853)+1,FIND("G",B1853)+1))
)),
VALUE(MID(B1853,FIND("E0",B1853)+2,FIND("T",B1853,FIND("E0",B1853))-(FIND("E0",B1853)+2)))
))),"")</f>
        <v>80</v>
      </c>
      <c r="G1853">
        <f>IFERROR(
IF(ISNUMBER(FIND("T2",B1853)),220,
IF(ISNUMBER(FIND("T4",B1853)),440,
IF(ISNUMBER(FIND("T5",B1853)),575,
IF(ISNUMBER(FIND("T6",B1853)),690,"")))),
"")</f>
        <v>690</v>
      </c>
    </row>
    <row r="1854" spans="1:7" x14ac:dyDescent="0.25">
      <c r="A1854">
        <v>11988653</v>
      </c>
      <c r="B1854" t="str">
        <f>VLOOKUP(A1854,Planilha2!B:C,2,0)</f>
        <v>INVERSOR SACFW110063T6ONBZ</v>
      </c>
      <c r="C1854" t="s">
        <v>3170</v>
      </c>
      <c r="D1854" t="str">
        <f>VLOOKUP(A1854,Planilha2!B:H,7,0)</f>
        <v>LINHA G1</v>
      </c>
      <c r="E1854" s="5">
        <v>65000</v>
      </c>
      <c r="F1854">
        <f>IFERROR(
IF(ISNUMBER(FIND("CFW110",B1854)),
VALUE(MID(B1854,FIND("CFW110",B1854)+6,FIND("T",B1854,FIND("CFW110",B1854))-(FIND("CFW110",B1854)+6))),
IF(ISNUMBER(FIND("D",B1854)),
VALUE(SUBSTITUTE(MID(B1854,FIND("D",B1854)+1,FIND("T",B1854,FIND("D",B1854))-(FIND("D",B1854)+1)),"P",",")),
IF(ISNUMBER(FIND("CFW5",B1854)),
VALUE(MID(B1854,
IF(ISNUMBER(FIND("F",B1854)),FIND("F",B1854)+1,FIND("G",B1854)+1),
FIND("T",B1854)-(IF(ISNUMBER(FIND("F",B1854)),FIND("F",B1854)+1,FIND("G",B1854)+1))
)),
VALUE(MID(B1854,FIND("E0",B1854)+2,FIND("T",B1854,FIND("E0",B1854))-(FIND("E0",B1854)+2)))
))),"")</f>
        <v>63</v>
      </c>
      <c r="G1854">
        <f>IFERROR(
IF(ISNUMBER(FIND("T2",B1854)),220,
IF(ISNUMBER(FIND("T4",B1854)),440,
IF(ISNUMBER(FIND("T5",B1854)),575,
IF(ISNUMBER(FIND("T6",B1854)),690,"")))),
"")</f>
        <v>690</v>
      </c>
    </row>
    <row r="1855" spans="1:7" x14ac:dyDescent="0.25">
      <c r="A1855">
        <v>11988648</v>
      </c>
      <c r="B1855" t="str">
        <f>VLOOKUP(A1855,Planilha2!B:C,2,0)</f>
        <v>INVERSOR SACFW110053T6ONBZ</v>
      </c>
      <c r="C1855" t="s">
        <v>3170</v>
      </c>
      <c r="D1855" t="str">
        <f>VLOOKUP(A1855,Planilha2!B:H,7,0)</f>
        <v>LINHA G1</v>
      </c>
      <c r="E1855" s="5">
        <v>65000</v>
      </c>
      <c r="F1855">
        <f>IFERROR(
IF(ISNUMBER(FIND("CFW110",B1855)),
VALUE(MID(B1855,FIND("CFW110",B1855)+6,FIND("T",B1855,FIND("CFW110",B1855))-(FIND("CFW110",B1855)+6))),
IF(ISNUMBER(FIND("D",B1855)),
VALUE(SUBSTITUTE(MID(B1855,FIND("D",B1855)+1,FIND("T",B1855,FIND("D",B1855))-(FIND("D",B1855)+1)),"P",",")),
IF(ISNUMBER(FIND("CFW5",B1855)),
VALUE(MID(B1855,
IF(ISNUMBER(FIND("F",B1855)),FIND("F",B1855)+1,FIND("G",B1855)+1),
FIND("T",B1855)-(IF(ISNUMBER(FIND("F",B1855)),FIND("F",B1855)+1,FIND("G",B1855)+1))
)),
VALUE(MID(B1855,FIND("E0",B1855)+2,FIND("T",B1855,FIND("E0",B1855))-(FIND("E0",B1855)+2)))
))),"")</f>
        <v>53</v>
      </c>
      <c r="G1855">
        <f>IFERROR(
IF(ISNUMBER(FIND("T2",B1855)),220,
IF(ISNUMBER(FIND("T4",B1855)),440,
IF(ISNUMBER(FIND("T5",B1855)),575,
IF(ISNUMBER(FIND("T6",B1855)),690,"")))),
"")</f>
        <v>690</v>
      </c>
    </row>
    <row r="1856" spans="1:7" x14ac:dyDescent="0.25">
      <c r="A1856">
        <v>11988704</v>
      </c>
      <c r="B1856" t="str">
        <f>VLOOKUP(A1856,Planilha2!B:C,2,0)</f>
        <v>INVERSOR SACFW110053T6ONBYZ</v>
      </c>
      <c r="C1856" t="s">
        <v>3170</v>
      </c>
      <c r="D1856" t="str">
        <f>VLOOKUP(A1856,Planilha2!B:H,7,0)</f>
        <v>LINHA G1</v>
      </c>
      <c r="E1856" s="5">
        <v>65000</v>
      </c>
      <c r="F1856">
        <f>IFERROR(
IF(ISNUMBER(FIND("CFW110",B1856)),
VALUE(MID(B1856,FIND("CFW110",B1856)+6,FIND("T",B1856,FIND("CFW110",B1856))-(FIND("CFW110",B1856)+6))),
IF(ISNUMBER(FIND("D",B1856)),
VALUE(SUBSTITUTE(MID(B1856,FIND("D",B1856)+1,FIND("T",B1856,FIND("D",B1856))-(FIND("D",B1856)+1)),"P",",")),
IF(ISNUMBER(FIND("CFW5",B1856)),
VALUE(MID(B1856,
IF(ISNUMBER(FIND("F",B1856)),FIND("F",B1856)+1,FIND("G",B1856)+1),
FIND("T",B1856)-(IF(ISNUMBER(FIND("F",B1856)),FIND("F",B1856)+1,FIND("G",B1856)+1))
)),
VALUE(MID(B1856,FIND("E0",B1856)+2,FIND("T",B1856,FIND("E0",B1856))-(FIND("E0",B1856)+2)))
))),"")</f>
        <v>53</v>
      </c>
      <c r="G1856">
        <f>IFERROR(
IF(ISNUMBER(FIND("T2",B1856)),220,
IF(ISNUMBER(FIND("T4",B1856)),440,
IF(ISNUMBER(FIND("T5",B1856)),575,
IF(ISNUMBER(FIND("T6",B1856)),690,"")))),
"")</f>
        <v>690</v>
      </c>
    </row>
    <row r="1857" spans="1:7" x14ac:dyDescent="0.25">
      <c r="A1857">
        <v>12202863</v>
      </c>
      <c r="B1857" t="str">
        <f>VLOOKUP(A1857,Planilha2!B:C,2,0)</f>
        <v>INVERSOR EUCFW110142T4ODBYZ</v>
      </c>
      <c r="C1857" t="s">
        <v>3170</v>
      </c>
      <c r="D1857" t="str">
        <f>VLOOKUP(A1857,Planilha2!B:H,7,0)</f>
        <v>LINHA G1</v>
      </c>
      <c r="E1857" s="5">
        <v>65380</v>
      </c>
      <c r="F1857">
        <f>IFERROR(
IF(ISNUMBER(FIND("CFW110",B1857)),
VALUE(MID(B1857,FIND("CFW110",B1857)+6,FIND("T",B1857,FIND("CFW110",B1857))-(FIND("CFW110",B1857)+6))),
IF(ISNUMBER(FIND("D",B1857)),
VALUE(SUBSTITUTE(MID(B1857,FIND("D",B1857)+1,FIND("T",B1857,FIND("D",B1857))-(FIND("D",B1857)+1)),"P",",")),
IF(ISNUMBER(FIND("CFW5",B1857)),
VALUE(MID(B1857,
IF(ISNUMBER(FIND("F",B1857)),FIND("F",B1857)+1,FIND("G",B1857)+1),
FIND("T",B1857)-(IF(ISNUMBER(FIND("F",B1857)),FIND("F",B1857)+1,FIND("G",B1857)+1))
)),
VALUE(MID(B1857,FIND("E0",B1857)+2,FIND("T",B1857,FIND("E0",B1857))-(FIND("E0",B1857)+2)))
))),"")</f>
        <v>142</v>
      </c>
      <c r="G1857">
        <f>IFERROR(
IF(ISNUMBER(FIND("T2",B1857)),220,
IF(ISNUMBER(FIND("T4",B1857)),440,
IF(ISNUMBER(FIND("T5",B1857)),575,
IF(ISNUMBER(FIND("T6",B1857)),690,"")))),
"")</f>
        <v>440</v>
      </c>
    </row>
    <row r="1858" spans="1:7" x14ac:dyDescent="0.25">
      <c r="A1858">
        <v>12256318</v>
      </c>
      <c r="B1858" t="str">
        <f>VLOOKUP(A1858,Planilha2!B:C,2,0)</f>
        <v>INVERSOR BRCFW110150T6OYWZ</v>
      </c>
      <c r="C1858" t="s">
        <v>3170</v>
      </c>
      <c r="D1858" t="str">
        <f>VLOOKUP(A1858,Planilha2!B:H,7,0)</f>
        <v>LINHA G1</v>
      </c>
      <c r="E1858" s="5">
        <v>64000</v>
      </c>
      <c r="F1858">
        <f>IFERROR(
IF(ISNUMBER(FIND("CFW110",B1858)),
VALUE(MID(B1858,FIND("CFW110",B1858)+6,FIND("T",B1858,FIND("CFW110",B1858))-(FIND("CFW110",B1858)+6))),
IF(ISNUMBER(FIND("D",B1858)),
VALUE(SUBSTITUTE(MID(B1858,FIND("D",B1858)+1,FIND("T",B1858,FIND("D",B1858))-(FIND("D",B1858)+1)),"P",",")),
IF(ISNUMBER(FIND("CFW5",B1858)),
VALUE(MID(B1858,
IF(ISNUMBER(FIND("F",B1858)),FIND("F",B1858)+1,FIND("G",B1858)+1),
FIND("T",B1858)-(IF(ISNUMBER(FIND("F",B1858)),FIND("F",B1858)+1,FIND("G",B1858)+1))
)),
VALUE(MID(B1858,FIND("E0",B1858)+2,FIND("T",B1858,FIND("E0",B1858))-(FIND("E0",B1858)+2)))
))),"")</f>
        <v>150</v>
      </c>
      <c r="G1858">
        <f>IFERROR(
IF(ISNUMBER(FIND("T2",B1858)),220,
IF(ISNUMBER(FIND("T4",B1858)),440,
IF(ISNUMBER(FIND("T5",B1858)),575,
IF(ISNUMBER(FIND("T6",B1858)),690,"")))),
"")</f>
        <v>690</v>
      </c>
    </row>
    <row r="1859" spans="1:7" x14ac:dyDescent="0.25">
      <c r="A1859">
        <v>12256321</v>
      </c>
      <c r="B1859" t="str">
        <f>VLOOKUP(A1859,Planilha2!B:C,2,0)</f>
        <v>INVERSOR BRCFW110107T6OYWZ</v>
      </c>
      <c r="C1859" t="s">
        <v>3170</v>
      </c>
      <c r="D1859" t="str">
        <f>VLOOKUP(A1859,Planilha2!B:H,7,0)</f>
        <v>LINHA G1</v>
      </c>
      <c r="E1859" s="5">
        <v>64000</v>
      </c>
      <c r="F1859">
        <f>IFERROR(
IF(ISNUMBER(FIND("CFW110",B1859)),
VALUE(MID(B1859,FIND("CFW110",B1859)+6,FIND("T",B1859,FIND("CFW110",B1859))-(FIND("CFW110",B1859)+6))),
IF(ISNUMBER(FIND("D",B1859)),
VALUE(SUBSTITUTE(MID(B1859,FIND("D",B1859)+1,FIND("T",B1859,FIND("D",B1859))-(FIND("D",B1859)+1)),"P",",")),
IF(ISNUMBER(FIND("CFW5",B1859)),
VALUE(MID(B1859,
IF(ISNUMBER(FIND("F",B1859)),FIND("F",B1859)+1,FIND("G",B1859)+1),
FIND("T",B1859)-(IF(ISNUMBER(FIND("F",B1859)),FIND("F",B1859)+1,FIND("G",B1859)+1))
)),
VALUE(MID(B1859,FIND("E0",B1859)+2,FIND("T",B1859,FIND("E0",B1859))-(FIND("E0",B1859)+2)))
))),"")</f>
        <v>107</v>
      </c>
      <c r="G1859">
        <f>IFERROR(
IF(ISNUMBER(FIND("T2",B1859)),220,
IF(ISNUMBER(FIND("T4",B1859)),440,
IF(ISNUMBER(FIND("T5",B1859)),575,
IF(ISNUMBER(FIND("T6",B1859)),690,"")))),
"")</f>
        <v>690</v>
      </c>
    </row>
    <row r="1860" spans="1:7" x14ac:dyDescent="0.25">
      <c r="A1860">
        <v>12246500</v>
      </c>
      <c r="B1860" t="str">
        <f>VLOOKUP(A1860,Planilha2!B:C,2,0)</f>
        <v>INVERSOR CFW11T0599D4OH1Z</v>
      </c>
      <c r="C1860" t="s">
        <v>3170</v>
      </c>
      <c r="D1860" t="str">
        <f>VLOOKUP(A1860,Planilha2!B:H,7,0)</f>
        <v>LINHA E5</v>
      </c>
      <c r="E1860" s="5">
        <v>60000</v>
      </c>
      <c r="F1860" t="str">
        <f>IFERROR(
IF(ISNUMBER(FIND("CFW110",B1860)),
VALUE(MID(B1860,FIND("CFW110",B1860)+6,FIND("T",B1860,FIND("CFW110",B1860))-(FIND("CFW110",B1860)+6))),
IF(ISNUMBER(FIND("D",B1860)),
VALUE(SUBSTITUTE(MID(B1860,FIND("D",B1860)+1,FIND("T",B1860,FIND("D",B1860))-(FIND("D",B1860)+1)),"P",",")),
IF(ISNUMBER(FIND("CFW5",B1860)),
VALUE(MID(B1860,
IF(ISNUMBER(FIND("F",B1860)),FIND("F",B1860)+1,FIND("G",B1860)+1),
FIND("T",B1860)-(IF(ISNUMBER(FIND("F",B1860)),FIND("F",B1860)+1,FIND("G",B1860)+1))
)),
VALUE(MID(B1860,FIND("E0",B1860)+2,FIND("T",B1860,FIND("E0",B1860))-(FIND("E0",B1860)+2)))
))),"")</f>
        <v/>
      </c>
      <c r="G1860" t="str">
        <f>IFERROR(
IF(ISNUMBER(FIND("T2",B1860)),220,
IF(ISNUMBER(FIND("T4",B1860)),440,
IF(ISNUMBER(FIND("T5",B1860)),575,
IF(ISNUMBER(FIND("T6",B1860)),690,"")))),
"")</f>
        <v/>
      </c>
    </row>
    <row r="1861" spans="1:7" x14ac:dyDescent="0.25">
      <c r="A1861">
        <v>12743947</v>
      </c>
      <c r="B1861" t="str">
        <f>VLOOKUP(A1861,Planilha2!B:C,2,0)</f>
        <v>INVERSOR EUCFW110142T4OHASCZ</v>
      </c>
      <c r="C1861" t="s">
        <v>3170</v>
      </c>
      <c r="D1861" t="str">
        <f>VLOOKUP(A1861,Planilha2!B:H,7,0)</f>
        <v>LINHA G1</v>
      </c>
      <c r="E1861" s="5">
        <v>64000</v>
      </c>
      <c r="F1861">
        <f>IFERROR(
IF(ISNUMBER(FIND("CFW110",B1861)),
VALUE(MID(B1861,FIND("CFW110",B1861)+6,FIND("T",B1861,FIND("CFW110",B1861))-(FIND("CFW110",B1861)+6))),
IF(ISNUMBER(FIND("D",B1861)),
VALUE(SUBSTITUTE(MID(B1861,FIND("D",B1861)+1,FIND("T",B1861,FIND("D",B1861))-(FIND("D",B1861)+1)),"P",",")),
IF(ISNUMBER(FIND("CFW5",B1861)),
VALUE(MID(B1861,
IF(ISNUMBER(FIND("F",B1861)),FIND("F",B1861)+1,FIND("G",B1861)+1),
FIND("T",B1861)-(IF(ISNUMBER(FIND("F",B1861)),FIND("F",B1861)+1,FIND("G",B1861)+1))
)),
VALUE(MID(B1861,FIND("E0",B1861)+2,FIND("T",B1861,FIND("E0",B1861))-(FIND("E0",B1861)+2)))
))),"")</f>
        <v>142</v>
      </c>
      <c r="G1861">
        <f>IFERROR(
IF(ISNUMBER(FIND("T2",B1861)),220,
IF(ISNUMBER(FIND("T4",B1861)),440,
IF(ISNUMBER(FIND("T5",B1861)),575,
IF(ISNUMBER(FIND("T6",B1861)),690,"")))),
"")</f>
        <v>440</v>
      </c>
    </row>
    <row r="1862" spans="1:7" x14ac:dyDescent="0.25">
      <c r="A1862">
        <v>12744138</v>
      </c>
      <c r="B1862" t="str">
        <f>VLOOKUP(A1862,Planilha2!B:C,2,0)</f>
        <v>INVERSOR EUCFW110180T4OHASCZ</v>
      </c>
      <c r="C1862" t="s">
        <v>3170</v>
      </c>
      <c r="D1862" t="str">
        <f>VLOOKUP(A1862,Planilha2!B:H,7,0)</f>
        <v>LINHA G1</v>
      </c>
      <c r="E1862" s="5">
        <v>65000</v>
      </c>
      <c r="F1862">
        <f>IFERROR(
IF(ISNUMBER(FIND("CFW110",B1862)),
VALUE(MID(B1862,FIND("CFW110",B1862)+6,FIND("T",B1862,FIND("CFW110",B1862))-(FIND("CFW110",B1862)+6))),
IF(ISNUMBER(FIND("D",B1862)),
VALUE(SUBSTITUTE(MID(B1862,FIND("D",B1862)+1,FIND("T",B1862,FIND("D",B1862))-(FIND("D",B1862)+1)),"P",",")),
IF(ISNUMBER(FIND("CFW5",B1862)),
VALUE(MID(B1862,
IF(ISNUMBER(FIND("F",B1862)),FIND("F",B1862)+1,FIND("G",B1862)+1),
FIND("T",B1862)-(IF(ISNUMBER(FIND("F",B1862)),FIND("F",B1862)+1,FIND("G",B1862)+1))
)),
VALUE(MID(B1862,FIND("E0",B1862)+2,FIND("T",B1862,FIND("E0",B1862))-(FIND("E0",B1862)+2)))
))),"")</f>
        <v>180</v>
      </c>
      <c r="G1862">
        <f>IFERROR(
IF(ISNUMBER(FIND("T2",B1862)),220,
IF(ISNUMBER(FIND("T4",B1862)),440,
IF(ISNUMBER(FIND("T5",B1862)),575,
IF(ISNUMBER(FIND("T6",B1862)),690,"")))),
"")</f>
        <v>440</v>
      </c>
    </row>
    <row r="1863" spans="1:7" x14ac:dyDescent="0.25">
      <c r="A1863">
        <v>12104815</v>
      </c>
      <c r="B1863" t="str">
        <f>VLOOKUP(A1863,Planilha2!B:C,2,0)</f>
        <v>INVERSOR CFW701E0211T4NBN1C3</v>
      </c>
      <c r="C1863" t="s">
        <v>3170</v>
      </c>
      <c r="D1863" t="str">
        <f>VLOOKUP(A1863,Planilha2!B:H,7,0)</f>
        <v>OBSOLETOS DRIVES</v>
      </c>
      <c r="E1863" s="5">
        <v>68308</v>
      </c>
      <c r="F1863">
        <f>IFERROR(
IF(ISNUMBER(FIND("CFW110",B1863)),
VALUE(MID(B1863,FIND("CFW110",B1863)+6,FIND("T",B1863,FIND("CFW110",B1863))-(FIND("CFW110",B1863)+6))),
IF(ISNUMBER(FIND("D",B1863)),
VALUE(SUBSTITUTE(MID(B1863,FIND("D",B1863)+1,FIND("T",B1863,FIND("D",B1863))-(FIND("D",B1863)+1)),"P",",")),
IF(ISNUMBER(FIND("CFW5",B1863)),
VALUE(MID(B1863,
IF(ISNUMBER(FIND("F",B1863)),FIND("F",B1863)+1,FIND("G",B1863)+1),
FIND("T",B1863)-(IF(ISNUMBER(FIND("F",B1863)),FIND("F",B1863)+1,FIND("G",B1863)+1))
)),
VALUE(MID(B1863,FIND("E0",B1863)+2,FIND("T",B1863,FIND("E0",B1863))-(FIND("E0",B1863)+2)))
))),"")</f>
        <v>211</v>
      </c>
      <c r="G1863">
        <f>IFERROR(
IF(ISNUMBER(FIND("T2",B1863)),220,
IF(ISNUMBER(FIND("T4",B1863)),440,
IF(ISNUMBER(FIND("T5",B1863)),575,
IF(ISNUMBER(FIND("T6",B1863)),690,"")))),
"")</f>
        <v>440</v>
      </c>
    </row>
    <row r="1864" spans="1:7" x14ac:dyDescent="0.25">
      <c r="A1864">
        <v>12104810</v>
      </c>
      <c r="B1864" t="str">
        <f>VLOOKUP(A1864,Planilha2!B:C,2,0)</f>
        <v>INVERSOR CFW701E0105T4NBN1C3</v>
      </c>
      <c r="C1864" t="s">
        <v>3170</v>
      </c>
      <c r="D1864" t="str">
        <f>VLOOKUP(A1864,Planilha2!B:H,7,0)</f>
        <v>OBSOLETOS DRIVES</v>
      </c>
      <c r="E1864" s="5">
        <v>66430</v>
      </c>
      <c r="F1864">
        <f>IFERROR(
IF(ISNUMBER(FIND("CFW110",B1864)),
VALUE(MID(B1864,FIND("CFW110",B1864)+6,FIND("T",B1864,FIND("CFW110",B1864))-(FIND("CFW110",B1864)+6))),
IF(ISNUMBER(FIND("D",B1864)),
VALUE(SUBSTITUTE(MID(B1864,FIND("D",B1864)+1,FIND("T",B1864,FIND("D",B1864))-(FIND("D",B1864)+1)),"P",",")),
IF(ISNUMBER(FIND("CFW5",B1864)),
VALUE(MID(B1864,
IF(ISNUMBER(FIND("F",B1864)),FIND("F",B1864)+1,FIND("G",B1864)+1),
FIND("T",B1864)-(IF(ISNUMBER(FIND("F",B1864)),FIND("F",B1864)+1,FIND("G",B1864)+1))
)),
VALUE(MID(B1864,FIND("E0",B1864)+2,FIND("T",B1864,FIND("E0",B1864))-(FIND("E0",B1864)+2)))
))),"")</f>
        <v>105</v>
      </c>
      <c r="G1864">
        <f>IFERROR(
IF(ISNUMBER(FIND("T2",B1864)),220,
IF(ISNUMBER(FIND("T4",B1864)),440,
IF(ISNUMBER(FIND("T5",B1864)),575,
IF(ISNUMBER(FIND("T6",B1864)),690,"")))),
"")</f>
        <v>440</v>
      </c>
    </row>
    <row r="1865" spans="1:7" x14ac:dyDescent="0.25">
      <c r="A1865">
        <v>12104781</v>
      </c>
      <c r="B1865" t="str">
        <f>VLOOKUP(A1865,Planilha2!B:C,2,0)</f>
        <v>INVERSOR CFW701E0211T2NBN1C3</v>
      </c>
      <c r="C1865" t="s">
        <v>3170</v>
      </c>
      <c r="D1865" t="str">
        <f>VLOOKUP(A1865,Planilha2!B:H,7,0)</f>
        <v>OBSOLETOS DRIVES</v>
      </c>
      <c r="E1865" s="5">
        <v>68308</v>
      </c>
      <c r="F1865">
        <f>IFERROR(
IF(ISNUMBER(FIND("CFW110",B1865)),
VALUE(MID(B1865,FIND("CFW110",B1865)+6,FIND("T",B1865,FIND("CFW110",B1865))-(FIND("CFW110",B1865)+6))),
IF(ISNUMBER(FIND("D",B1865)),
VALUE(SUBSTITUTE(MID(B1865,FIND("D",B1865)+1,FIND("T",B1865,FIND("D",B1865))-(FIND("D",B1865)+1)),"P",",")),
IF(ISNUMBER(FIND("CFW5",B1865)),
VALUE(MID(B1865,
IF(ISNUMBER(FIND("F",B1865)),FIND("F",B1865)+1,FIND("G",B1865)+1),
FIND("T",B1865)-(IF(ISNUMBER(FIND("F",B1865)),FIND("F",B1865)+1,FIND("G",B1865)+1))
)),
VALUE(MID(B1865,FIND("E0",B1865)+2,FIND("T",B1865,FIND("E0",B1865))-(FIND("E0",B1865)+2)))
))),"")</f>
        <v>211</v>
      </c>
      <c r="G1865">
        <f>IFERROR(
IF(ISNUMBER(FIND("T2",B1865)),220,
IF(ISNUMBER(FIND("T4",B1865)),440,
IF(ISNUMBER(FIND("T5",B1865)),575,
IF(ISNUMBER(FIND("T6",B1865)),690,"")))),
"")</f>
        <v>220</v>
      </c>
    </row>
    <row r="1866" spans="1:7" x14ac:dyDescent="0.25">
      <c r="A1866">
        <v>12104780</v>
      </c>
      <c r="B1866" t="str">
        <f>VLOOKUP(A1866,Planilha2!B:C,2,0)</f>
        <v>INVERSOR CFW701E0180T2NBN1C3</v>
      </c>
      <c r="C1866" t="s">
        <v>3170</v>
      </c>
      <c r="D1866" t="str">
        <f>VLOOKUP(A1866,Planilha2!B:H,7,0)</f>
        <v>OBSOLETOS DRIVES</v>
      </c>
      <c r="E1866" s="5">
        <v>68308</v>
      </c>
      <c r="F1866">
        <f>IFERROR(
IF(ISNUMBER(FIND("CFW110",B1866)),
VALUE(MID(B1866,FIND("CFW110",B1866)+6,FIND("T",B1866,FIND("CFW110",B1866))-(FIND("CFW110",B1866)+6))),
IF(ISNUMBER(FIND("D",B1866)),
VALUE(SUBSTITUTE(MID(B1866,FIND("D",B1866)+1,FIND("T",B1866,FIND("D",B1866))-(FIND("D",B1866)+1)),"P",",")),
IF(ISNUMBER(FIND("CFW5",B1866)),
VALUE(MID(B1866,
IF(ISNUMBER(FIND("F",B1866)),FIND("F",B1866)+1,FIND("G",B1866)+1),
FIND("T",B1866)-(IF(ISNUMBER(FIND("F",B1866)),FIND("F",B1866)+1,FIND("G",B1866)+1))
)),
VALUE(MID(B1866,FIND("E0",B1866)+2,FIND("T",B1866,FIND("E0",B1866))-(FIND("E0",B1866)+2)))
))),"")</f>
        <v>180</v>
      </c>
      <c r="G1866">
        <f>IFERROR(
IF(ISNUMBER(FIND("T2",B1866)),220,
IF(ISNUMBER(FIND("T4",B1866)),440,
IF(ISNUMBER(FIND("T5",B1866)),575,
IF(ISNUMBER(FIND("T6",B1866)),690,"")))),
"")</f>
        <v>220</v>
      </c>
    </row>
    <row r="1867" spans="1:7" x14ac:dyDescent="0.25">
      <c r="A1867">
        <v>12784255</v>
      </c>
      <c r="B1867" t="str">
        <f>VLOOKUP(A1867,Planilha2!B:C,2,0)</f>
        <v>INVERSOR EUCFW110601T4ORBZ</v>
      </c>
      <c r="C1867" t="s">
        <v>3170</v>
      </c>
      <c r="D1867" t="str">
        <f>VLOOKUP(A1867,Planilha2!B:H,7,0)</f>
        <v>LINHA G5</v>
      </c>
      <c r="E1867" s="5">
        <v>210000</v>
      </c>
      <c r="F1867">
        <f>IFERROR(
IF(ISNUMBER(FIND("CFW110",B1867)),
VALUE(MID(B1867,FIND("CFW110",B1867)+6,FIND("T",B1867,FIND("CFW110",B1867))-(FIND("CFW110",B1867)+6))),
IF(ISNUMBER(FIND("D",B1867)),
VALUE(SUBSTITUTE(MID(B1867,FIND("D",B1867)+1,FIND("T",B1867,FIND("D",B1867))-(FIND("D",B1867)+1)),"P",",")),
IF(ISNUMBER(FIND("CFW5",B1867)),
VALUE(MID(B1867,
IF(ISNUMBER(FIND("F",B1867)),FIND("F",B1867)+1,FIND("G",B1867)+1),
FIND("T",B1867)-(IF(ISNUMBER(FIND("F",B1867)),FIND("F",B1867)+1,FIND("G",B1867)+1))
)),
VALUE(MID(B1867,FIND("E0",B1867)+2,FIND("T",B1867,FIND("E0",B1867))-(FIND("E0",B1867)+2)))
))),"")</f>
        <v>601</v>
      </c>
      <c r="G1867">
        <f>IFERROR(
IF(ISNUMBER(FIND("T2",B1867)),220,
IF(ISNUMBER(FIND("T4",B1867)),440,
IF(ISNUMBER(FIND("T5",B1867)),575,
IF(ISNUMBER(FIND("T6",B1867)),690,"")))),
"")</f>
        <v>440</v>
      </c>
    </row>
    <row r="1868" spans="1:7" x14ac:dyDescent="0.25">
      <c r="A1868">
        <v>12789077</v>
      </c>
      <c r="B1868" t="str">
        <f>VLOOKUP(A1868,Planilha2!B:C,2,0)</f>
        <v>INVERSOR BRCFW110180T2OWZ</v>
      </c>
      <c r="C1868" t="s">
        <v>3170</v>
      </c>
      <c r="D1868" t="str">
        <f>VLOOKUP(A1868,Planilha2!B:H,7,0)</f>
        <v>LINHA G1</v>
      </c>
      <c r="E1868" t="s">
        <v>3172</v>
      </c>
      <c r="F1868">
        <f>IFERROR(
IF(ISNUMBER(FIND("CFW110",B1868)),
VALUE(MID(B1868,FIND("CFW110",B1868)+6,FIND("T",B1868,FIND("CFW110",B1868))-(FIND("CFW110",B1868)+6))),
IF(ISNUMBER(FIND("D",B1868)),
VALUE(SUBSTITUTE(MID(B1868,FIND("D",B1868)+1,FIND("T",B1868,FIND("D",B1868))-(FIND("D",B1868)+1)),"P",",")),
IF(ISNUMBER(FIND("CFW5",B1868)),
VALUE(MID(B1868,
IF(ISNUMBER(FIND("F",B1868)),FIND("F",B1868)+1,FIND("G",B1868)+1),
FIND("T",B1868)-(IF(ISNUMBER(FIND("F",B1868)),FIND("F",B1868)+1,FIND("G",B1868)+1))
)),
VALUE(MID(B1868,FIND("E0",B1868)+2,FIND("T",B1868,FIND("E0",B1868))-(FIND("E0",B1868)+2)))
))),"")</f>
        <v>180</v>
      </c>
      <c r="G1868">
        <f>IFERROR(
IF(ISNUMBER(FIND("T2",B1868)),220,
IF(ISNUMBER(FIND("T4",B1868)),440,
IF(ISNUMBER(FIND("T5",B1868)),575,
IF(ISNUMBER(FIND("T6",B1868)),690,"")))),
"")</f>
        <v>220</v>
      </c>
    </row>
    <row r="1869" spans="1:7" x14ac:dyDescent="0.25">
      <c r="A1869">
        <v>12238189</v>
      </c>
      <c r="B1869" t="str">
        <f>VLOOKUP(A1869,Planilha2!B:C,2,0)</f>
        <v>INVERSOR MSCFW110477T4ORBZ</v>
      </c>
      <c r="C1869" t="s">
        <v>3170</v>
      </c>
      <c r="D1869" t="str">
        <f>VLOOKUP(A1869,Planilha2!B:H,7,0)</f>
        <v>LINHA G3</v>
      </c>
      <c r="E1869" s="5">
        <v>140000</v>
      </c>
      <c r="F1869">
        <f>IFERROR(
IF(ISNUMBER(FIND("CFW110",B1869)),
VALUE(MID(B1869,FIND("CFW110",B1869)+6,FIND("T",B1869,FIND("CFW110",B1869))-(FIND("CFW110",B1869)+6))),
IF(ISNUMBER(FIND("D",B1869)),
VALUE(SUBSTITUTE(MID(B1869,FIND("D",B1869)+1,FIND("T",B1869,FIND("D",B1869))-(FIND("D",B1869)+1)),"P",",")),
IF(ISNUMBER(FIND("CFW5",B1869)),
VALUE(MID(B1869,
IF(ISNUMBER(FIND("F",B1869)),FIND("F",B1869)+1,FIND("G",B1869)+1),
FIND("T",B1869)-(IF(ISNUMBER(FIND("F",B1869)),FIND("F",B1869)+1,FIND("G",B1869)+1))
)),
VALUE(MID(B1869,FIND("E0",B1869)+2,FIND("T",B1869,FIND("E0",B1869))-(FIND("E0",B1869)+2)))
))),"")</f>
        <v>477</v>
      </c>
      <c r="G1869">
        <f>IFERROR(
IF(ISNUMBER(FIND("T2",B1869)),220,
IF(ISNUMBER(FIND("T4",B1869)),440,
IF(ISNUMBER(FIND("T5",B1869)),575,
IF(ISNUMBER(FIND("T6",B1869)),690,"")))),
"")</f>
        <v>440</v>
      </c>
    </row>
    <row r="1870" spans="1:7" x14ac:dyDescent="0.25">
      <c r="A1870">
        <v>12263994</v>
      </c>
      <c r="B1870" t="str">
        <f>VLOOKUP(A1870,Planilha2!B:C,2,0)</f>
        <v>INVERSOR BRCFW110150T6NBZ</v>
      </c>
      <c r="C1870" t="s">
        <v>3170</v>
      </c>
      <c r="D1870" t="str">
        <f>VLOOKUP(A1870,Planilha2!B:H,7,0)</f>
        <v>LINHA G1</v>
      </c>
      <c r="E1870" s="5">
        <v>64000</v>
      </c>
      <c r="F1870">
        <f>IFERROR(
IF(ISNUMBER(FIND("CFW110",B1870)),
VALUE(MID(B1870,FIND("CFW110",B1870)+6,FIND("T",B1870,FIND("CFW110",B1870))-(FIND("CFW110",B1870)+6))),
IF(ISNUMBER(FIND("D",B1870)),
VALUE(SUBSTITUTE(MID(B1870,FIND("D",B1870)+1,FIND("T",B1870,FIND("D",B1870))-(FIND("D",B1870)+1)),"P",",")),
IF(ISNUMBER(FIND("CFW5",B1870)),
VALUE(MID(B1870,
IF(ISNUMBER(FIND("F",B1870)),FIND("F",B1870)+1,FIND("G",B1870)+1),
FIND("T",B1870)-(IF(ISNUMBER(FIND("F",B1870)),FIND("F",B1870)+1,FIND("G",B1870)+1))
)),
VALUE(MID(B1870,FIND("E0",B1870)+2,FIND("T",B1870,FIND("E0",B1870))-(FIND("E0",B1870)+2)))
))),"")</f>
        <v>150</v>
      </c>
      <c r="G1870">
        <f>IFERROR(
IF(ISNUMBER(FIND("T2",B1870)),220,
IF(ISNUMBER(FIND("T4",B1870)),440,
IF(ISNUMBER(FIND("T5",B1870)),575,
IF(ISNUMBER(FIND("T6",B1870)),690,"")))),
"")</f>
        <v>690</v>
      </c>
    </row>
    <row r="1871" spans="1:7" x14ac:dyDescent="0.25">
      <c r="A1871">
        <v>12267086</v>
      </c>
      <c r="B1871" t="str">
        <f>VLOOKUP(A1871,Planilha2!B:C,2,0)</f>
        <v>INVERSOR BRCFW110125T6OYWZ</v>
      </c>
      <c r="C1871" t="s">
        <v>3170</v>
      </c>
      <c r="D1871" t="str">
        <f>VLOOKUP(A1871,Planilha2!B:H,7,0)</f>
        <v>LINHA G1</v>
      </c>
      <c r="E1871" s="5">
        <v>65000</v>
      </c>
      <c r="F1871">
        <f>IFERROR(
IF(ISNUMBER(FIND("CFW110",B1871)),
VALUE(MID(B1871,FIND("CFW110",B1871)+6,FIND("T",B1871,FIND("CFW110",B1871))-(FIND("CFW110",B1871)+6))),
IF(ISNUMBER(FIND("D",B1871)),
VALUE(SUBSTITUTE(MID(B1871,FIND("D",B1871)+1,FIND("T",B1871,FIND("D",B1871))-(FIND("D",B1871)+1)),"P",",")),
IF(ISNUMBER(FIND("CFW5",B1871)),
VALUE(MID(B1871,
IF(ISNUMBER(FIND("F",B1871)),FIND("F",B1871)+1,FIND("G",B1871)+1),
FIND("T",B1871)-(IF(ISNUMBER(FIND("F",B1871)),FIND("F",B1871)+1,FIND("G",B1871)+1))
)),
VALUE(MID(B1871,FIND("E0",B1871)+2,FIND("T",B1871,FIND("E0",B1871))-(FIND("E0",B1871)+2)))
))),"")</f>
        <v>125</v>
      </c>
      <c r="G1871">
        <f>IFERROR(
IF(ISNUMBER(FIND("T2",B1871)),220,
IF(ISNUMBER(FIND("T4",B1871)),440,
IF(ISNUMBER(FIND("T5",B1871)),575,
IF(ISNUMBER(FIND("T6",B1871)),690,"")))),
"")</f>
        <v>690</v>
      </c>
    </row>
    <row r="1872" spans="1:7" x14ac:dyDescent="0.25">
      <c r="A1872">
        <v>12254396</v>
      </c>
      <c r="B1872" t="str">
        <f>VLOOKUP(A1872,Planilha2!B:C,2,0)</f>
        <v>INVERSOR MSCFW110142T4OYWZ</v>
      </c>
      <c r="C1872" t="s">
        <v>3170</v>
      </c>
      <c r="D1872" t="str">
        <f>VLOOKUP(A1872,Planilha2!B:H,7,0)</f>
        <v>LINHA G1</v>
      </c>
      <c r="E1872" s="5">
        <v>64210</v>
      </c>
      <c r="F1872">
        <f>IFERROR(
IF(ISNUMBER(FIND("CFW110",B1872)),
VALUE(MID(B1872,FIND("CFW110",B1872)+6,FIND("T",B1872,FIND("CFW110",B1872))-(FIND("CFW110",B1872)+6))),
IF(ISNUMBER(FIND("D",B1872)),
VALUE(SUBSTITUTE(MID(B1872,FIND("D",B1872)+1,FIND("T",B1872,FIND("D",B1872))-(FIND("D",B1872)+1)),"P",",")),
IF(ISNUMBER(FIND("CFW5",B1872)),
VALUE(MID(B1872,
IF(ISNUMBER(FIND("F",B1872)),FIND("F",B1872)+1,FIND("G",B1872)+1),
FIND("T",B1872)-(IF(ISNUMBER(FIND("F",B1872)),FIND("F",B1872)+1,FIND("G",B1872)+1))
)),
VALUE(MID(B1872,FIND("E0",B1872)+2,FIND("T",B1872,FIND("E0",B1872))-(FIND("E0",B1872)+2)))
))),"")</f>
        <v>142</v>
      </c>
      <c r="G1872">
        <f>IFERROR(
IF(ISNUMBER(FIND("T2",B1872)),220,
IF(ISNUMBER(FIND("T4",B1872)),440,
IF(ISNUMBER(FIND("T5",B1872)),575,
IF(ISNUMBER(FIND("T6",B1872)),690,"")))),
"")</f>
        <v>440</v>
      </c>
    </row>
    <row r="1873" spans="1:7" x14ac:dyDescent="0.25">
      <c r="A1873">
        <v>12292001</v>
      </c>
      <c r="B1873" t="str">
        <f>VLOOKUP(A1873,Planilha2!B:C,2,0)</f>
        <v>INVERSOR BRCFW110720T4ORBWZ</v>
      </c>
      <c r="C1873" t="s">
        <v>3170</v>
      </c>
      <c r="D1873" t="str">
        <f>VLOOKUP(A1873,Planilha2!B:H,7,0)</f>
        <v>LINHA G5</v>
      </c>
      <c r="E1873" s="5">
        <v>215000</v>
      </c>
      <c r="F1873">
        <f>IFERROR(
IF(ISNUMBER(FIND("CFW110",B1873)),
VALUE(MID(B1873,FIND("CFW110",B1873)+6,FIND("T",B1873,FIND("CFW110",B1873))-(FIND("CFW110",B1873)+6))),
IF(ISNUMBER(FIND("D",B1873)),
VALUE(SUBSTITUTE(MID(B1873,FIND("D",B1873)+1,FIND("T",B1873,FIND("D",B1873))-(FIND("D",B1873)+1)),"P",",")),
IF(ISNUMBER(FIND("CFW5",B1873)),
VALUE(MID(B1873,
IF(ISNUMBER(FIND("F",B1873)),FIND("F",B1873)+1,FIND("G",B1873)+1),
FIND("T",B1873)-(IF(ISNUMBER(FIND("F",B1873)),FIND("F",B1873)+1,FIND("G",B1873)+1))
)),
VALUE(MID(B1873,FIND("E0",B1873)+2,FIND("T",B1873,FIND("E0",B1873))-(FIND("E0",B1873)+2)))
))),"")</f>
        <v>720</v>
      </c>
      <c r="G1873">
        <f>IFERROR(
IF(ISNUMBER(FIND("T2",B1873)),220,
IF(ISNUMBER(FIND("T4",B1873)),440,
IF(ISNUMBER(FIND("T5",B1873)),575,
IF(ISNUMBER(FIND("T6",B1873)),690,"")))),
"")</f>
        <v>440</v>
      </c>
    </row>
    <row r="1874" spans="1:7" x14ac:dyDescent="0.25">
      <c r="A1874">
        <v>11989357</v>
      </c>
      <c r="B1874" t="str">
        <f>VLOOKUP(A1874,Planilha2!B:C,2,0)</f>
        <v>INVERSOR EUCFW110150T6OYZ</v>
      </c>
      <c r="C1874" t="s">
        <v>3170</v>
      </c>
      <c r="D1874" t="str">
        <f>VLOOKUP(A1874,Planilha2!B:H,7,0)</f>
        <v>LINHA G1</v>
      </c>
      <c r="E1874" s="5">
        <v>60360</v>
      </c>
      <c r="F1874">
        <f>IFERROR(
IF(ISNUMBER(FIND("CFW110",B1874)),
VALUE(MID(B1874,FIND("CFW110",B1874)+6,FIND("T",B1874,FIND("CFW110",B1874))-(FIND("CFW110",B1874)+6))),
IF(ISNUMBER(FIND("D",B1874)),
VALUE(SUBSTITUTE(MID(B1874,FIND("D",B1874)+1,FIND("T",B1874,FIND("D",B1874))-(FIND("D",B1874)+1)),"P",",")),
IF(ISNUMBER(FIND("CFW5",B1874)),
VALUE(MID(B1874,
IF(ISNUMBER(FIND("F",B1874)),FIND("F",B1874)+1,FIND("G",B1874)+1),
FIND("T",B1874)-(IF(ISNUMBER(FIND("F",B1874)),FIND("F",B1874)+1,FIND("G",B1874)+1))
)),
VALUE(MID(B1874,FIND("E0",B1874)+2,FIND("T",B1874,FIND("E0",B1874))-(FIND("E0",B1874)+2)))
))),"")</f>
        <v>150</v>
      </c>
      <c r="G1874">
        <f>IFERROR(
IF(ISNUMBER(FIND("T2",B1874)),220,
IF(ISNUMBER(FIND("T4",B1874)),440,
IF(ISNUMBER(FIND("T5",B1874)),575,
IF(ISNUMBER(FIND("T6",B1874)),690,"")))),
"")</f>
        <v>690</v>
      </c>
    </row>
    <row r="1875" spans="1:7" x14ac:dyDescent="0.25">
      <c r="A1875">
        <v>12331426</v>
      </c>
      <c r="B1875" t="str">
        <f>VLOOKUP(A1875,Planilha2!B:C,2,0)</f>
        <v>INVERSOR MSCFW110150T6OYZ</v>
      </c>
      <c r="C1875" t="s">
        <v>3170</v>
      </c>
      <c r="D1875" t="str">
        <f>VLOOKUP(A1875,Planilha2!B:H,7,0)</f>
        <v>LINHA G1</v>
      </c>
      <c r="E1875" s="5">
        <v>60360</v>
      </c>
      <c r="F1875">
        <f>IFERROR(
IF(ISNUMBER(FIND("CFW110",B1875)),
VALUE(MID(B1875,FIND("CFW110",B1875)+6,FIND("T",B1875,FIND("CFW110",B1875))-(FIND("CFW110",B1875)+6))),
IF(ISNUMBER(FIND("D",B1875)),
VALUE(SUBSTITUTE(MID(B1875,FIND("D",B1875)+1,FIND("T",B1875,FIND("D",B1875))-(FIND("D",B1875)+1)),"P",",")),
IF(ISNUMBER(FIND("CFW5",B1875)),
VALUE(MID(B1875,
IF(ISNUMBER(FIND("F",B1875)),FIND("F",B1875)+1,FIND("G",B1875)+1),
FIND("T",B1875)-(IF(ISNUMBER(FIND("F",B1875)),FIND("F",B1875)+1,FIND("G",B1875)+1))
)),
VALUE(MID(B1875,FIND("E0",B1875)+2,FIND("T",B1875,FIND("E0",B1875))-(FIND("E0",B1875)+2)))
))),"")</f>
        <v>150</v>
      </c>
      <c r="G1875">
        <f>IFERROR(
IF(ISNUMBER(FIND("T2",B1875)),220,
IF(ISNUMBER(FIND("T4",B1875)),440,
IF(ISNUMBER(FIND("T5",B1875)),575,
IF(ISNUMBER(FIND("T6",B1875)),690,"")))),
"")</f>
        <v>690</v>
      </c>
    </row>
    <row r="1876" spans="1:7" x14ac:dyDescent="0.25">
      <c r="A1876">
        <v>12331425</v>
      </c>
      <c r="B1876" t="str">
        <f>VLOOKUP(A1876,Planilha2!B:C,2,0)</f>
        <v>INVERSOR MSCFW110125T6OYZ</v>
      </c>
      <c r="C1876" t="s">
        <v>3170</v>
      </c>
      <c r="D1876" t="str">
        <f>VLOOKUP(A1876,Planilha2!B:H,7,0)</f>
        <v>LINHA G1</v>
      </c>
      <c r="E1876" s="5">
        <v>60360</v>
      </c>
      <c r="F1876">
        <f>IFERROR(
IF(ISNUMBER(FIND("CFW110",B1876)),
VALUE(MID(B1876,FIND("CFW110",B1876)+6,FIND("T",B1876,FIND("CFW110",B1876))-(FIND("CFW110",B1876)+6))),
IF(ISNUMBER(FIND("D",B1876)),
VALUE(SUBSTITUTE(MID(B1876,FIND("D",B1876)+1,FIND("T",B1876,FIND("D",B1876))-(FIND("D",B1876)+1)),"P",",")),
IF(ISNUMBER(FIND("CFW5",B1876)),
VALUE(MID(B1876,
IF(ISNUMBER(FIND("F",B1876)),FIND("F",B1876)+1,FIND("G",B1876)+1),
FIND("T",B1876)-(IF(ISNUMBER(FIND("F",B1876)),FIND("F",B1876)+1,FIND("G",B1876)+1))
)),
VALUE(MID(B1876,FIND("E0",B1876)+2,FIND("T",B1876,FIND("E0",B1876))-(FIND("E0",B1876)+2)))
))),"")</f>
        <v>125</v>
      </c>
      <c r="G1876">
        <f>IFERROR(
IF(ISNUMBER(FIND("T2",B1876)),220,
IF(ISNUMBER(FIND("T4",B1876)),440,
IF(ISNUMBER(FIND("T5",B1876)),575,
IF(ISNUMBER(FIND("T6",B1876)),690,"")))),
"")</f>
        <v>690</v>
      </c>
    </row>
    <row r="1877" spans="1:7" x14ac:dyDescent="0.25">
      <c r="A1877">
        <v>12331424</v>
      </c>
      <c r="B1877" t="str">
        <f>VLOOKUP(A1877,Planilha2!B:C,2,0)</f>
        <v>INVERSOR MSCFW110107T6OYZ</v>
      </c>
      <c r="C1877" t="s">
        <v>3170</v>
      </c>
      <c r="D1877" t="str">
        <f>VLOOKUP(A1877,Planilha2!B:H,7,0)</f>
        <v>LINHA G1</v>
      </c>
      <c r="E1877" s="5">
        <v>60360</v>
      </c>
      <c r="F1877">
        <f>IFERROR(
IF(ISNUMBER(FIND("CFW110",B1877)),
VALUE(MID(B1877,FIND("CFW110",B1877)+6,FIND("T",B1877,FIND("CFW110",B1877))-(FIND("CFW110",B1877)+6))),
IF(ISNUMBER(FIND("D",B1877)),
VALUE(SUBSTITUTE(MID(B1877,FIND("D",B1877)+1,FIND("T",B1877,FIND("D",B1877))-(FIND("D",B1877)+1)),"P",",")),
IF(ISNUMBER(FIND("CFW5",B1877)),
VALUE(MID(B1877,
IF(ISNUMBER(FIND("F",B1877)),FIND("F",B1877)+1,FIND("G",B1877)+1),
FIND("T",B1877)-(IF(ISNUMBER(FIND("F",B1877)),FIND("F",B1877)+1,FIND("G",B1877)+1))
)),
VALUE(MID(B1877,FIND("E0",B1877)+2,FIND("T",B1877,FIND("E0",B1877))-(FIND("E0",B1877)+2)))
))),"")</f>
        <v>107</v>
      </c>
      <c r="G1877">
        <f>IFERROR(
IF(ISNUMBER(FIND("T2",B1877)),220,
IF(ISNUMBER(FIND("T4",B1877)),440,
IF(ISNUMBER(FIND("T5",B1877)),575,
IF(ISNUMBER(FIND("T6",B1877)),690,"")))),
"")</f>
        <v>690</v>
      </c>
    </row>
    <row r="1878" spans="1:7" x14ac:dyDescent="0.25">
      <c r="A1878">
        <v>12331423</v>
      </c>
      <c r="B1878" t="str">
        <f>VLOOKUP(A1878,Planilha2!B:C,2,0)</f>
        <v>INVERSOR MSCFW110080T6OYZ</v>
      </c>
      <c r="C1878" t="s">
        <v>3170</v>
      </c>
      <c r="D1878" t="str">
        <f>VLOOKUP(A1878,Planilha2!B:H,7,0)</f>
        <v>LINHA G1</v>
      </c>
      <c r="E1878" s="5">
        <v>60360</v>
      </c>
      <c r="F1878">
        <f>IFERROR(
IF(ISNUMBER(FIND("CFW110",B1878)),
VALUE(MID(B1878,FIND("CFW110",B1878)+6,FIND("T",B1878,FIND("CFW110",B1878))-(FIND("CFW110",B1878)+6))),
IF(ISNUMBER(FIND("D",B1878)),
VALUE(SUBSTITUTE(MID(B1878,FIND("D",B1878)+1,FIND("T",B1878,FIND("D",B1878))-(FIND("D",B1878)+1)),"P",",")),
IF(ISNUMBER(FIND("CFW5",B1878)),
VALUE(MID(B1878,
IF(ISNUMBER(FIND("F",B1878)),FIND("F",B1878)+1,FIND("G",B1878)+1),
FIND("T",B1878)-(IF(ISNUMBER(FIND("F",B1878)),FIND("F",B1878)+1,FIND("G",B1878)+1))
)),
VALUE(MID(B1878,FIND("E0",B1878)+2,FIND("T",B1878,FIND("E0",B1878))-(FIND("E0",B1878)+2)))
))),"")</f>
        <v>80</v>
      </c>
      <c r="G1878">
        <f>IFERROR(
IF(ISNUMBER(FIND("T2",B1878)),220,
IF(ISNUMBER(FIND("T4",B1878)),440,
IF(ISNUMBER(FIND("T5",B1878)),575,
IF(ISNUMBER(FIND("T6",B1878)),690,"")))),
"")</f>
        <v>690</v>
      </c>
    </row>
    <row r="1879" spans="1:7" x14ac:dyDescent="0.25">
      <c r="A1879">
        <v>12331422</v>
      </c>
      <c r="B1879" t="str">
        <f>VLOOKUP(A1879,Planilha2!B:C,2,0)</f>
        <v>INVERSOR MSCFW110063T6OYZ</v>
      </c>
      <c r="C1879" t="s">
        <v>3170</v>
      </c>
      <c r="D1879" t="str">
        <f>VLOOKUP(A1879,Planilha2!B:H,7,0)</f>
        <v>LINHA G1</v>
      </c>
      <c r="E1879" s="5">
        <v>60360</v>
      </c>
      <c r="F1879">
        <f>IFERROR(
IF(ISNUMBER(FIND("CFW110",B1879)),
VALUE(MID(B1879,FIND("CFW110",B1879)+6,FIND("T",B1879,FIND("CFW110",B1879))-(FIND("CFW110",B1879)+6))),
IF(ISNUMBER(FIND("D",B1879)),
VALUE(SUBSTITUTE(MID(B1879,FIND("D",B1879)+1,FIND("T",B1879,FIND("D",B1879))-(FIND("D",B1879)+1)),"P",",")),
IF(ISNUMBER(FIND("CFW5",B1879)),
VALUE(MID(B1879,
IF(ISNUMBER(FIND("F",B1879)),FIND("F",B1879)+1,FIND("G",B1879)+1),
FIND("T",B1879)-(IF(ISNUMBER(FIND("F",B1879)),FIND("F",B1879)+1,FIND("G",B1879)+1))
)),
VALUE(MID(B1879,FIND("E0",B1879)+2,FIND("T",B1879,FIND("E0",B1879))-(FIND("E0",B1879)+2)))
))),"")</f>
        <v>63</v>
      </c>
      <c r="G1879">
        <f>IFERROR(
IF(ISNUMBER(FIND("T2",B1879)),220,
IF(ISNUMBER(FIND("T4",B1879)),440,
IF(ISNUMBER(FIND("T5",B1879)),575,
IF(ISNUMBER(FIND("T6",B1879)),690,"")))),
"")</f>
        <v>690</v>
      </c>
    </row>
    <row r="1880" spans="1:7" x14ac:dyDescent="0.25">
      <c r="A1880">
        <v>12331420</v>
      </c>
      <c r="B1880" t="str">
        <f>VLOOKUP(A1880,Planilha2!B:C,2,0)</f>
        <v>INVERSOR MSCFW110053T6OYZ</v>
      </c>
      <c r="C1880" t="s">
        <v>3170</v>
      </c>
      <c r="D1880" t="str">
        <f>VLOOKUP(A1880,Planilha2!B:H,7,0)</f>
        <v>LINHA G1</v>
      </c>
      <c r="E1880" s="5">
        <v>60360</v>
      </c>
      <c r="F1880">
        <f>IFERROR(
IF(ISNUMBER(FIND("CFW110",B1880)),
VALUE(MID(B1880,FIND("CFW110",B1880)+6,FIND("T",B1880,FIND("CFW110",B1880))-(FIND("CFW110",B1880)+6))),
IF(ISNUMBER(FIND("D",B1880)),
VALUE(SUBSTITUTE(MID(B1880,FIND("D",B1880)+1,FIND("T",B1880,FIND("D",B1880))-(FIND("D",B1880)+1)),"P",",")),
IF(ISNUMBER(FIND("CFW5",B1880)),
VALUE(MID(B1880,
IF(ISNUMBER(FIND("F",B1880)),FIND("F",B1880)+1,FIND("G",B1880)+1),
FIND("T",B1880)-(IF(ISNUMBER(FIND("F",B1880)),FIND("F",B1880)+1,FIND("G",B1880)+1))
)),
VALUE(MID(B1880,FIND("E0",B1880)+2,FIND("T",B1880,FIND("E0",B1880))-(FIND("E0",B1880)+2)))
))),"")</f>
        <v>53</v>
      </c>
      <c r="G1880">
        <f>IFERROR(
IF(ISNUMBER(FIND("T2",B1880)),220,
IF(ISNUMBER(FIND("T4",B1880)),440,
IF(ISNUMBER(FIND("T5",B1880)),575,
IF(ISNUMBER(FIND("T6",B1880)),690,"")))),
"")</f>
        <v>690</v>
      </c>
    </row>
    <row r="1881" spans="1:7" x14ac:dyDescent="0.25">
      <c r="A1881">
        <v>12381403</v>
      </c>
      <c r="B1881" t="str">
        <f>VLOOKUP(A1881,Planilha2!B:C,2,0)</f>
        <v>INVERSOR NACFW110053T6OYZ</v>
      </c>
      <c r="C1881" t="s">
        <v>3170</v>
      </c>
      <c r="D1881" t="str">
        <f>VLOOKUP(A1881,Planilha2!B:H,7,0)</f>
        <v>LINHA G1</v>
      </c>
      <c r="E1881" s="5">
        <v>60360</v>
      </c>
      <c r="F1881">
        <f>IFERROR(
IF(ISNUMBER(FIND("CFW110",B1881)),
VALUE(MID(B1881,FIND("CFW110",B1881)+6,FIND("T",B1881,FIND("CFW110",B1881))-(FIND("CFW110",B1881)+6))),
IF(ISNUMBER(FIND("D",B1881)),
VALUE(SUBSTITUTE(MID(B1881,FIND("D",B1881)+1,FIND("T",B1881,FIND("D",B1881))-(FIND("D",B1881)+1)),"P",",")),
IF(ISNUMBER(FIND("CFW5",B1881)),
VALUE(MID(B1881,
IF(ISNUMBER(FIND("F",B1881)),FIND("F",B1881)+1,FIND("G",B1881)+1),
FIND("T",B1881)-(IF(ISNUMBER(FIND("F",B1881)),FIND("F",B1881)+1,FIND("G",B1881)+1))
)),
VALUE(MID(B1881,FIND("E0",B1881)+2,FIND("T",B1881,FIND("E0",B1881))-(FIND("E0",B1881)+2)))
))),"")</f>
        <v>53</v>
      </c>
      <c r="G1881">
        <f>IFERROR(
IF(ISNUMBER(FIND("T2",B1881)),220,
IF(ISNUMBER(FIND("T4",B1881)),440,
IF(ISNUMBER(FIND("T5",B1881)),575,
IF(ISNUMBER(FIND("T6",B1881)),690,"")))),
"")</f>
        <v>690</v>
      </c>
    </row>
    <row r="1882" spans="1:7" x14ac:dyDescent="0.25">
      <c r="A1882">
        <v>12381404</v>
      </c>
      <c r="B1882" t="str">
        <f>VLOOKUP(A1882,Planilha2!B:C,2,0)</f>
        <v>INVERSOR NACFW110063T6OYZ</v>
      </c>
      <c r="C1882" t="s">
        <v>3170</v>
      </c>
      <c r="D1882" t="str">
        <f>VLOOKUP(A1882,Planilha2!B:H,7,0)</f>
        <v>LINHA G1</v>
      </c>
      <c r="E1882" s="5">
        <v>60360</v>
      </c>
      <c r="F1882">
        <f>IFERROR(
IF(ISNUMBER(FIND("CFW110",B1882)),
VALUE(MID(B1882,FIND("CFW110",B1882)+6,FIND("T",B1882,FIND("CFW110",B1882))-(FIND("CFW110",B1882)+6))),
IF(ISNUMBER(FIND("D",B1882)),
VALUE(SUBSTITUTE(MID(B1882,FIND("D",B1882)+1,FIND("T",B1882,FIND("D",B1882))-(FIND("D",B1882)+1)),"P",",")),
IF(ISNUMBER(FIND("CFW5",B1882)),
VALUE(MID(B1882,
IF(ISNUMBER(FIND("F",B1882)),FIND("F",B1882)+1,FIND("G",B1882)+1),
FIND("T",B1882)-(IF(ISNUMBER(FIND("F",B1882)),FIND("F",B1882)+1,FIND("G",B1882)+1))
)),
VALUE(MID(B1882,FIND("E0",B1882)+2,FIND("T",B1882,FIND("E0",B1882))-(FIND("E0",B1882)+2)))
))),"")</f>
        <v>63</v>
      </c>
      <c r="G1882">
        <f>IFERROR(
IF(ISNUMBER(FIND("T2",B1882)),220,
IF(ISNUMBER(FIND("T4",B1882)),440,
IF(ISNUMBER(FIND("T5",B1882)),575,
IF(ISNUMBER(FIND("T6",B1882)),690,"")))),
"")</f>
        <v>690</v>
      </c>
    </row>
    <row r="1883" spans="1:7" x14ac:dyDescent="0.25">
      <c r="A1883">
        <v>12382633</v>
      </c>
      <c r="B1883" t="str">
        <f>VLOOKUP(A1883,Planilha2!B:C,2,0)</f>
        <v>INVERSOR NACFW110080T6OYZ</v>
      </c>
      <c r="C1883" t="s">
        <v>3170</v>
      </c>
      <c r="D1883" t="str">
        <f>VLOOKUP(A1883,Planilha2!B:H,7,0)</f>
        <v>LINHA G1</v>
      </c>
      <c r="E1883" s="5">
        <v>60360</v>
      </c>
      <c r="F1883">
        <f>IFERROR(
IF(ISNUMBER(FIND("CFW110",B1883)),
VALUE(MID(B1883,FIND("CFW110",B1883)+6,FIND("T",B1883,FIND("CFW110",B1883))-(FIND("CFW110",B1883)+6))),
IF(ISNUMBER(FIND("D",B1883)),
VALUE(SUBSTITUTE(MID(B1883,FIND("D",B1883)+1,FIND("T",B1883,FIND("D",B1883))-(FIND("D",B1883)+1)),"P",",")),
IF(ISNUMBER(FIND("CFW5",B1883)),
VALUE(MID(B1883,
IF(ISNUMBER(FIND("F",B1883)),FIND("F",B1883)+1,FIND("G",B1883)+1),
FIND("T",B1883)-(IF(ISNUMBER(FIND("F",B1883)),FIND("F",B1883)+1,FIND("G",B1883)+1))
)),
VALUE(MID(B1883,FIND("E0",B1883)+2,FIND("T",B1883,FIND("E0",B1883))-(FIND("E0",B1883)+2)))
))),"")</f>
        <v>80</v>
      </c>
      <c r="G1883">
        <f>IFERROR(
IF(ISNUMBER(FIND("T2",B1883)),220,
IF(ISNUMBER(FIND("T4",B1883)),440,
IF(ISNUMBER(FIND("T5",B1883)),575,
IF(ISNUMBER(FIND("T6",B1883)),690,"")))),
"")</f>
        <v>690</v>
      </c>
    </row>
    <row r="1884" spans="1:7" x14ac:dyDescent="0.25">
      <c r="A1884">
        <v>12382671</v>
      </c>
      <c r="B1884" t="str">
        <f>VLOOKUP(A1884,Planilha2!B:C,2,0)</f>
        <v>INVERSOR NACFW110107T6OYZ</v>
      </c>
      <c r="C1884" t="s">
        <v>3170</v>
      </c>
      <c r="D1884" t="str">
        <f>VLOOKUP(A1884,Planilha2!B:H,7,0)</f>
        <v>LINHA G1</v>
      </c>
      <c r="E1884" s="5">
        <v>60360</v>
      </c>
      <c r="F1884">
        <f>IFERROR(
IF(ISNUMBER(FIND("CFW110",B1884)),
VALUE(MID(B1884,FIND("CFW110",B1884)+6,FIND("T",B1884,FIND("CFW110",B1884))-(FIND("CFW110",B1884)+6))),
IF(ISNUMBER(FIND("D",B1884)),
VALUE(SUBSTITUTE(MID(B1884,FIND("D",B1884)+1,FIND("T",B1884,FIND("D",B1884))-(FIND("D",B1884)+1)),"P",",")),
IF(ISNUMBER(FIND("CFW5",B1884)),
VALUE(MID(B1884,
IF(ISNUMBER(FIND("F",B1884)),FIND("F",B1884)+1,FIND("G",B1884)+1),
FIND("T",B1884)-(IF(ISNUMBER(FIND("F",B1884)),FIND("F",B1884)+1,FIND("G",B1884)+1))
)),
VALUE(MID(B1884,FIND("E0",B1884)+2,FIND("T",B1884,FIND("E0",B1884))-(FIND("E0",B1884)+2)))
))),"")</f>
        <v>107</v>
      </c>
      <c r="G1884">
        <f>IFERROR(
IF(ISNUMBER(FIND("T2",B1884)),220,
IF(ISNUMBER(FIND("T4",B1884)),440,
IF(ISNUMBER(FIND("T5",B1884)),575,
IF(ISNUMBER(FIND("T6",B1884)),690,"")))),
"")</f>
        <v>690</v>
      </c>
    </row>
    <row r="1885" spans="1:7" x14ac:dyDescent="0.25">
      <c r="A1885">
        <v>12382673</v>
      </c>
      <c r="B1885" t="str">
        <f>VLOOKUP(A1885,Planilha2!B:C,2,0)</f>
        <v>INVERSOR NACFW110125T6OYZ</v>
      </c>
      <c r="C1885" t="s">
        <v>3170</v>
      </c>
      <c r="D1885" t="str">
        <f>VLOOKUP(A1885,Planilha2!B:H,7,0)</f>
        <v>LINHA G1</v>
      </c>
      <c r="E1885" s="5">
        <v>60360</v>
      </c>
      <c r="F1885">
        <f>IFERROR(
IF(ISNUMBER(FIND("CFW110",B1885)),
VALUE(MID(B1885,FIND("CFW110",B1885)+6,FIND("T",B1885,FIND("CFW110",B1885))-(FIND("CFW110",B1885)+6))),
IF(ISNUMBER(FIND("D",B1885)),
VALUE(SUBSTITUTE(MID(B1885,FIND("D",B1885)+1,FIND("T",B1885,FIND("D",B1885))-(FIND("D",B1885)+1)),"P",",")),
IF(ISNUMBER(FIND("CFW5",B1885)),
VALUE(MID(B1885,
IF(ISNUMBER(FIND("F",B1885)),FIND("F",B1885)+1,FIND("G",B1885)+1),
FIND("T",B1885)-(IF(ISNUMBER(FIND("F",B1885)),FIND("F",B1885)+1,FIND("G",B1885)+1))
)),
VALUE(MID(B1885,FIND("E0",B1885)+2,FIND("T",B1885,FIND("E0",B1885))-(FIND("E0",B1885)+2)))
))),"")</f>
        <v>125</v>
      </c>
      <c r="G1885">
        <f>IFERROR(
IF(ISNUMBER(FIND("T2",B1885)),220,
IF(ISNUMBER(FIND("T4",B1885)),440,
IF(ISNUMBER(FIND("T5",B1885)),575,
IF(ISNUMBER(FIND("T6",B1885)),690,"")))),
"")</f>
        <v>690</v>
      </c>
    </row>
    <row r="1886" spans="1:7" x14ac:dyDescent="0.25">
      <c r="A1886">
        <v>12382675</v>
      </c>
      <c r="B1886" t="str">
        <f>VLOOKUP(A1886,Planilha2!B:C,2,0)</f>
        <v>INVERSOR NACFW110150T6OYZ</v>
      </c>
      <c r="C1886" t="s">
        <v>3170</v>
      </c>
      <c r="D1886" t="str">
        <f>VLOOKUP(A1886,Planilha2!B:H,7,0)</f>
        <v>LINHA G1</v>
      </c>
      <c r="E1886" s="5">
        <v>60360</v>
      </c>
      <c r="F1886">
        <f>IFERROR(
IF(ISNUMBER(FIND("CFW110",B1886)),
VALUE(MID(B1886,FIND("CFW110",B1886)+6,FIND("T",B1886,FIND("CFW110",B1886))-(FIND("CFW110",B1886)+6))),
IF(ISNUMBER(FIND("D",B1886)),
VALUE(SUBSTITUTE(MID(B1886,FIND("D",B1886)+1,FIND("T",B1886,FIND("D",B1886))-(FIND("D",B1886)+1)),"P",",")),
IF(ISNUMBER(FIND("CFW5",B1886)),
VALUE(MID(B1886,
IF(ISNUMBER(FIND("F",B1886)),FIND("F",B1886)+1,FIND("G",B1886)+1),
FIND("T",B1886)-(IF(ISNUMBER(FIND("F",B1886)),FIND("F",B1886)+1,FIND("G",B1886)+1))
)),
VALUE(MID(B1886,FIND("E0",B1886)+2,FIND("T",B1886,FIND("E0",B1886))-(FIND("E0",B1886)+2)))
))),"")</f>
        <v>150</v>
      </c>
      <c r="G1886">
        <f>IFERROR(
IF(ISNUMBER(FIND("T2",B1886)),220,
IF(ISNUMBER(FIND("T4",B1886)),440,
IF(ISNUMBER(FIND("T5",B1886)),575,
IF(ISNUMBER(FIND("T6",B1886)),690,"")))),
"")</f>
        <v>690</v>
      </c>
    </row>
    <row r="1887" spans="1:7" x14ac:dyDescent="0.25">
      <c r="A1887">
        <v>12394124</v>
      </c>
      <c r="B1887" t="str">
        <f>VLOOKUP(A1887,Planilha2!B:C,2,0)</f>
        <v>INVERSOR NACFW110053T6ONBYZ</v>
      </c>
      <c r="C1887" t="s">
        <v>3170</v>
      </c>
      <c r="D1887" t="str">
        <f>VLOOKUP(A1887,Planilha2!B:H,7,0)</f>
        <v>LINHA G1</v>
      </c>
      <c r="E1887" s="5">
        <v>60360</v>
      </c>
      <c r="F1887">
        <f>IFERROR(
IF(ISNUMBER(FIND("CFW110",B1887)),
VALUE(MID(B1887,FIND("CFW110",B1887)+6,FIND("T",B1887,FIND("CFW110",B1887))-(FIND("CFW110",B1887)+6))),
IF(ISNUMBER(FIND("D",B1887)),
VALUE(SUBSTITUTE(MID(B1887,FIND("D",B1887)+1,FIND("T",B1887,FIND("D",B1887))-(FIND("D",B1887)+1)),"P",",")),
IF(ISNUMBER(FIND("CFW5",B1887)),
VALUE(MID(B1887,
IF(ISNUMBER(FIND("F",B1887)),FIND("F",B1887)+1,FIND("G",B1887)+1),
FIND("T",B1887)-(IF(ISNUMBER(FIND("F",B1887)),FIND("F",B1887)+1,FIND("G",B1887)+1))
)),
VALUE(MID(B1887,FIND("E0",B1887)+2,FIND("T",B1887,FIND("E0",B1887))-(FIND("E0",B1887)+2)))
))),"")</f>
        <v>53</v>
      </c>
      <c r="G1887">
        <f>IFERROR(
IF(ISNUMBER(FIND("T2",B1887)),220,
IF(ISNUMBER(FIND("T4",B1887)),440,
IF(ISNUMBER(FIND("T5",B1887)),575,
IF(ISNUMBER(FIND("T6",B1887)),690,"")))),
"")</f>
        <v>690</v>
      </c>
    </row>
    <row r="1888" spans="1:7" x14ac:dyDescent="0.25">
      <c r="A1888">
        <v>12394126</v>
      </c>
      <c r="B1888" t="str">
        <f>VLOOKUP(A1888,Planilha2!B:C,2,0)</f>
        <v>INVERSOR NACFW110063T6ONBYZ</v>
      </c>
      <c r="C1888" t="s">
        <v>3170</v>
      </c>
      <c r="D1888" t="str">
        <f>VLOOKUP(A1888,Planilha2!B:H,7,0)</f>
        <v>LINHA G1</v>
      </c>
      <c r="E1888" s="5">
        <v>60360</v>
      </c>
      <c r="F1888">
        <f>IFERROR(
IF(ISNUMBER(FIND("CFW110",B1888)),
VALUE(MID(B1888,FIND("CFW110",B1888)+6,FIND("T",B1888,FIND("CFW110",B1888))-(FIND("CFW110",B1888)+6))),
IF(ISNUMBER(FIND("D",B1888)),
VALUE(SUBSTITUTE(MID(B1888,FIND("D",B1888)+1,FIND("T",B1888,FIND("D",B1888))-(FIND("D",B1888)+1)),"P",",")),
IF(ISNUMBER(FIND("CFW5",B1888)),
VALUE(MID(B1888,
IF(ISNUMBER(FIND("F",B1888)),FIND("F",B1888)+1,FIND("G",B1888)+1),
FIND("T",B1888)-(IF(ISNUMBER(FIND("F",B1888)),FIND("F",B1888)+1,FIND("G",B1888)+1))
)),
VALUE(MID(B1888,FIND("E0",B1888)+2,FIND("T",B1888,FIND("E0",B1888))-(FIND("E0",B1888)+2)))
))),"")</f>
        <v>63</v>
      </c>
      <c r="G1888">
        <f>IFERROR(
IF(ISNUMBER(FIND("T2",B1888)),220,
IF(ISNUMBER(FIND("T4",B1888)),440,
IF(ISNUMBER(FIND("T5",B1888)),575,
IF(ISNUMBER(FIND("T6",B1888)),690,"")))),
"")</f>
        <v>690</v>
      </c>
    </row>
    <row r="1889" spans="1:7" x14ac:dyDescent="0.25">
      <c r="A1889">
        <v>12394127</v>
      </c>
      <c r="B1889" t="str">
        <f>VLOOKUP(A1889,Planilha2!B:C,2,0)</f>
        <v>INVERSOR NACFW110080T6ONBYZ</v>
      </c>
      <c r="C1889" t="s">
        <v>3170</v>
      </c>
      <c r="D1889" t="str">
        <f>VLOOKUP(A1889,Planilha2!B:H,7,0)</f>
        <v>LINHA G1</v>
      </c>
      <c r="E1889" s="5">
        <v>60360</v>
      </c>
      <c r="F1889">
        <f>IFERROR(
IF(ISNUMBER(FIND("CFW110",B1889)),
VALUE(MID(B1889,FIND("CFW110",B1889)+6,FIND("T",B1889,FIND("CFW110",B1889))-(FIND("CFW110",B1889)+6))),
IF(ISNUMBER(FIND("D",B1889)),
VALUE(SUBSTITUTE(MID(B1889,FIND("D",B1889)+1,FIND("T",B1889,FIND("D",B1889))-(FIND("D",B1889)+1)),"P",",")),
IF(ISNUMBER(FIND("CFW5",B1889)),
VALUE(MID(B1889,
IF(ISNUMBER(FIND("F",B1889)),FIND("F",B1889)+1,FIND("G",B1889)+1),
FIND("T",B1889)-(IF(ISNUMBER(FIND("F",B1889)),FIND("F",B1889)+1,FIND("G",B1889)+1))
)),
VALUE(MID(B1889,FIND("E0",B1889)+2,FIND("T",B1889,FIND("E0",B1889))-(FIND("E0",B1889)+2)))
))),"")</f>
        <v>80</v>
      </c>
      <c r="G1889">
        <f>IFERROR(
IF(ISNUMBER(FIND("T2",B1889)),220,
IF(ISNUMBER(FIND("T4",B1889)),440,
IF(ISNUMBER(FIND("T5",B1889)),575,
IF(ISNUMBER(FIND("T6",B1889)),690,"")))),
"")</f>
        <v>690</v>
      </c>
    </row>
    <row r="1890" spans="1:7" x14ac:dyDescent="0.25">
      <c r="A1890">
        <v>12394148</v>
      </c>
      <c r="B1890" t="str">
        <f>VLOOKUP(A1890,Planilha2!B:C,2,0)</f>
        <v>INVERSOR NACFW110107T6ONBYZ</v>
      </c>
      <c r="C1890" t="s">
        <v>3170</v>
      </c>
      <c r="D1890" t="str">
        <f>VLOOKUP(A1890,Planilha2!B:H,7,0)</f>
        <v>LINHA G1</v>
      </c>
      <c r="E1890" s="5">
        <v>60360</v>
      </c>
      <c r="F1890">
        <f>IFERROR(
IF(ISNUMBER(FIND("CFW110",B1890)),
VALUE(MID(B1890,FIND("CFW110",B1890)+6,FIND("T",B1890,FIND("CFW110",B1890))-(FIND("CFW110",B1890)+6))),
IF(ISNUMBER(FIND("D",B1890)),
VALUE(SUBSTITUTE(MID(B1890,FIND("D",B1890)+1,FIND("T",B1890,FIND("D",B1890))-(FIND("D",B1890)+1)),"P",",")),
IF(ISNUMBER(FIND("CFW5",B1890)),
VALUE(MID(B1890,
IF(ISNUMBER(FIND("F",B1890)),FIND("F",B1890)+1,FIND("G",B1890)+1),
FIND("T",B1890)-(IF(ISNUMBER(FIND("F",B1890)),FIND("F",B1890)+1,FIND("G",B1890)+1))
)),
VALUE(MID(B1890,FIND("E0",B1890)+2,FIND("T",B1890,FIND("E0",B1890))-(FIND("E0",B1890)+2)))
))),"")</f>
        <v>107</v>
      </c>
      <c r="G1890">
        <f>IFERROR(
IF(ISNUMBER(FIND("T2",B1890)),220,
IF(ISNUMBER(FIND("T4",B1890)),440,
IF(ISNUMBER(FIND("T5",B1890)),575,
IF(ISNUMBER(FIND("T6",B1890)),690,"")))),
"")</f>
        <v>690</v>
      </c>
    </row>
    <row r="1891" spans="1:7" x14ac:dyDescent="0.25">
      <c r="A1891">
        <v>12394149</v>
      </c>
      <c r="B1891" t="str">
        <f>VLOOKUP(A1891,Planilha2!B:C,2,0)</f>
        <v>INVERSOR NACFW110125T6ONBYZ</v>
      </c>
      <c r="C1891" t="s">
        <v>3170</v>
      </c>
      <c r="D1891" t="str">
        <f>VLOOKUP(A1891,Planilha2!B:H,7,0)</f>
        <v>LINHA G1</v>
      </c>
      <c r="E1891" s="5">
        <v>60360</v>
      </c>
      <c r="F1891">
        <f>IFERROR(
IF(ISNUMBER(FIND("CFW110",B1891)),
VALUE(MID(B1891,FIND("CFW110",B1891)+6,FIND("T",B1891,FIND("CFW110",B1891))-(FIND("CFW110",B1891)+6))),
IF(ISNUMBER(FIND("D",B1891)),
VALUE(SUBSTITUTE(MID(B1891,FIND("D",B1891)+1,FIND("T",B1891,FIND("D",B1891))-(FIND("D",B1891)+1)),"P",",")),
IF(ISNUMBER(FIND("CFW5",B1891)),
VALUE(MID(B1891,
IF(ISNUMBER(FIND("F",B1891)),FIND("F",B1891)+1,FIND("G",B1891)+1),
FIND("T",B1891)-(IF(ISNUMBER(FIND("F",B1891)),FIND("F",B1891)+1,FIND("G",B1891)+1))
)),
VALUE(MID(B1891,FIND("E0",B1891)+2,FIND("T",B1891,FIND("E0",B1891))-(FIND("E0",B1891)+2)))
))),"")</f>
        <v>125</v>
      </c>
      <c r="G1891">
        <f>IFERROR(
IF(ISNUMBER(FIND("T2",B1891)),220,
IF(ISNUMBER(FIND("T4",B1891)),440,
IF(ISNUMBER(FIND("T5",B1891)),575,
IF(ISNUMBER(FIND("T6",B1891)),690,"")))),
"")</f>
        <v>690</v>
      </c>
    </row>
    <row r="1892" spans="1:7" x14ac:dyDescent="0.25">
      <c r="A1892">
        <v>12394151</v>
      </c>
      <c r="B1892" t="str">
        <f>VLOOKUP(A1892,Planilha2!B:C,2,0)</f>
        <v>INVERSOR NACFW110150T6ONBYZ</v>
      </c>
      <c r="C1892" t="s">
        <v>3170</v>
      </c>
      <c r="D1892" t="str">
        <f>VLOOKUP(A1892,Planilha2!B:H,7,0)</f>
        <v>LINHA G1</v>
      </c>
      <c r="E1892" s="5">
        <v>60360</v>
      </c>
      <c r="F1892">
        <f>IFERROR(
IF(ISNUMBER(FIND("CFW110",B1892)),
VALUE(MID(B1892,FIND("CFW110",B1892)+6,FIND("T",B1892,FIND("CFW110",B1892))-(FIND("CFW110",B1892)+6))),
IF(ISNUMBER(FIND("D",B1892)),
VALUE(SUBSTITUTE(MID(B1892,FIND("D",B1892)+1,FIND("T",B1892,FIND("D",B1892))-(FIND("D",B1892)+1)),"P",",")),
IF(ISNUMBER(FIND("CFW5",B1892)),
VALUE(MID(B1892,
IF(ISNUMBER(FIND("F",B1892)),FIND("F",B1892)+1,FIND("G",B1892)+1),
FIND("T",B1892)-(IF(ISNUMBER(FIND("F",B1892)),FIND("F",B1892)+1,FIND("G",B1892)+1))
)),
VALUE(MID(B1892,FIND("E0",B1892)+2,FIND("T",B1892,FIND("E0",B1892))-(FIND("E0",B1892)+2)))
))),"")</f>
        <v>150</v>
      </c>
      <c r="G1892">
        <f>IFERROR(
IF(ISNUMBER(FIND("T2",B1892)),220,
IF(ISNUMBER(FIND("T4",B1892)),440,
IF(ISNUMBER(FIND("T5",B1892)),575,
IF(ISNUMBER(FIND("T6",B1892)),690,"")))),
"")</f>
        <v>690</v>
      </c>
    </row>
    <row r="1893" spans="1:7" x14ac:dyDescent="0.25">
      <c r="A1893">
        <v>11990247</v>
      </c>
      <c r="B1893" t="str">
        <f>VLOOKUP(A1893,Planilha2!B:C,2,0)</f>
        <v>INVERSOR NACFW110125T6ON1NBYZ</v>
      </c>
      <c r="C1893" t="s">
        <v>3170</v>
      </c>
      <c r="D1893" t="str">
        <f>VLOOKUP(A1893,Planilha2!B:H,7,0)</f>
        <v>LINHA G1</v>
      </c>
      <c r="E1893" s="5">
        <v>60360</v>
      </c>
      <c r="F1893">
        <f>IFERROR(
IF(ISNUMBER(FIND("CFW110",B1893)),
VALUE(MID(B1893,FIND("CFW110",B1893)+6,FIND("T",B1893,FIND("CFW110",B1893))-(FIND("CFW110",B1893)+6))),
IF(ISNUMBER(FIND("D",B1893)),
VALUE(SUBSTITUTE(MID(B1893,FIND("D",B1893)+1,FIND("T",B1893,FIND("D",B1893))-(FIND("D",B1893)+1)),"P",",")),
IF(ISNUMBER(FIND("CFW5",B1893)),
VALUE(MID(B1893,
IF(ISNUMBER(FIND("F",B1893)),FIND("F",B1893)+1,FIND("G",B1893)+1),
FIND("T",B1893)-(IF(ISNUMBER(FIND("F",B1893)),FIND("F",B1893)+1,FIND("G",B1893)+1))
)),
VALUE(MID(B1893,FIND("E0",B1893)+2,FIND("T",B1893,FIND("E0",B1893))-(FIND("E0",B1893)+2)))
))),"")</f>
        <v>125</v>
      </c>
      <c r="G1893">
        <f>IFERROR(
IF(ISNUMBER(FIND("T2",B1893)),220,
IF(ISNUMBER(FIND("T4",B1893)),440,
IF(ISNUMBER(FIND("T5",B1893)),575,
IF(ISNUMBER(FIND("T6",B1893)),690,"")))),
"")</f>
        <v>690</v>
      </c>
    </row>
    <row r="1894" spans="1:7" x14ac:dyDescent="0.25">
      <c r="A1894">
        <v>11990242</v>
      </c>
      <c r="B1894" t="str">
        <f>VLOOKUP(A1894,Planilha2!B:C,2,0)</f>
        <v>INVERSOR NACFW110107T6ON1NBYZ</v>
      </c>
      <c r="C1894" t="s">
        <v>3170</v>
      </c>
      <c r="D1894" t="str">
        <f>VLOOKUP(A1894,Planilha2!B:H,7,0)</f>
        <v>LINHA G1</v>
      </c>
      <c r="E1894" s="5">
        <v>61360</v>
      </c>
      <c r="F1894">
        <f>IFERROR(
IF(ISNUMBER(FIND("CFW110",B1894)),
VALUE(MID(B1894,FIND("CFW110",B1894)+6,FIND("T",B1894,FIND("CFW110",B1894))-(FIND("CFW110",B1894)+6))),
IF(ISNUMBER(FIND("D",B1894)),
VALUE(SUBSTITUTE(MID(B1894,FIND("D",B1894)+1,FIND("T",B1894,FIND("D",B1894))-(FIND("D",B1894)+1)),"P",",")),
IF(ISNUMBER(FIND("CFW5",B1894)),
VALUE(MID(B1894,
IF(ISNUMBER(FIND("F",B1894)),FIND("F",B1894)+1,FIND("G",B1894)+1),
FIND("T",B1894)-(IF(ISNUMBER(FIND("F",B1894)),FIND("F",B1894)+1,FIND("G",B1894)+1))
)),
VALUE(MID(B1894,FIND("E0",B1894)+2,FIND("T",B1894,FIND("E0",B1894))-(FIND("E0",B1894)+2)))
))),"")</f>
        <v>107</v>
      </c>
      <c r="G1894">
        <f>IFERROR(
IF(ISNUMBER(FIND("T2",B1894)),220,
IF(ISNUMBER(FIND("T4",B1894)),440,
IF(ISNUMBER(FIND("T5",B1894)),575,
IF(ISNUMBER(FIND("T6",B1894)),690,"")))),
"")</f>
        <v>690</v>
      </c>
    </row>
    <row r="1895" spans="1:7" x14ac:dyDescent="0.25">
      <c r="A1895">
        <v>11990240</v>
      </c>
      <c r="B1895" t="str">
        <f>VLOOKUP(A1895,Planilha2!B:C,2,0)</f>
        <v>INVERSOR NACFW110080T6ON1NBYZ</v>
      </c>
      <c r="C1895" t="s">
        <v>3170</v>
      </c>
      <c r="D1895" t="str">
        <f>VLOOKUP(A1895,Planilha2!B:H,7,0)</f>
        <v>LINHA G1</v>
      </c>
      <c r="E1895" s="5">
        <v>60360</v>
      </c>
      <c r="F1895">
        <f>IFERROR(
IF(ISNUMBER(FIND("CFW110",B1895)),
VALUE(MID(B1895,FIND("CFW110",B1895)+6,FIND("T",B1895,FIND("CFW110",B1895))-(FIND("CFW110",B1895)+6))),
IF(ISNUMBER(FIND("D",B1895)),
VALUE(SUBSTITUTE(MID(B1895,FIND("D",B1895)+1,FIND("T",B1895,FIND("D",B1895))-(FIND("D",B1895)+1)),"P",",")),
IF(ISNUMBER(FIND("CFW5",B1895)),
VALUE(MID(B1895,
IF(ISNUMBER(FIND("F",B1895)),FIND("F",B1895)+1,FIND("G",B1895)+1),
FIND("T",B1895)-(IF(ISNUMBER(FIND("F",B1895)),FIND("F",B1895)+1,FIND("G",B1895)+1))
)),
VALUE(MID(B1895,FIND("E0",B1895)+2,FIND("T",B1895,FIND("E0",B1895))-(FIND("E0",B1895)+2)))
))),"")</f>
        <v>80</v>
      </c>
      <c r="G1895">
        <f>IFERROR(
IF(ISNUMBER(FIND("T2",B1895)),220,
IF(ISNUMBER(FIND("T4",B1895)),440,
IF(ISNUMBER(FIND("T5",B1895)),575,
IF(ISNUMBER(FIND("T6",B1895)),690,"")))),
"")</f>
        <v>690</v>
      </c>
    </row>
    <row r="1896" spans="1:7" x14ac:dyDescent="0.25">
      <c r="A1896">
        <v>11990239</v>
      </c>
      <c r="B1896" t="str">
        <f>VLOOKUP(A1896,Planilha2!B:C,2,0)</f>
        <v>INVERSOR NACFW110063T6ON1NBYZ</v>
      </c>
      <c r="C1896" t="s">
        <v>3170</v>
      </c>
      <c r="D1896" t="str">
        <f>VLOOKUP(A1896,Planilha2!B:H,7,0)</f>
        <v>LINHA G1</v>
      </c>
      <c r="E1896" s="5">
        <v>60360</v>
      </c>
      <c r="F1896">
        <f>IFERROR(
IF(ISNUMBER(FIND("CFW110",B1896)),
VALUE(MID(B1896,FIND("CFW110",B1896)+6,FIND("T",B1896,FIND("CFW110",B1896))-(FIND("CFW110",B1896)+6))),
IF(ISNUMBER(FIND("D",B1896)),
VALUE(SUBSTITUTE(MID(B1896,FIND("D",B1896)+1,FIND("T",B1896,FIND("D",B1896))-(FIND("D",B1896)+1)),"P",",")),
IF(ISNUMBER(FIND("CFW5",B1896)),
VALUE(MID(B1896,
IF(ISNUMBER(FIND("F",B1896)),FIND("F",B1896)+1,FIND("G",B1896)+1),
FIND("T",B1896)-(IF(ISNUMBER(FIND("F",B1896)),FIND("F",B1896)+1,FIND("G",B1896)+1))
)),
VALUE(MID(B1896,FIND("E0",B1896)+2,FIND("T",B1896,FIND("E0",B1896))-(FIND("E0",B1896)+2)))
))),"")</f>
        <v>63</v>
      </c>
      <c r="G1896">
        <f>IFERROR(
IF(ISNUMBER(FIND("T2",B1896)),220,
IF(ISNUMBER(FIND("T4",B1896)),440,
IF(ISNUMBER(FIND("T5",B1896)),575,
IF(ISNUMBER(FIND("T6",B1896)),690,"")))),
"")</f>
        <v>690</v>
      </c>
    </row>
    <row r="1897" spans="1:7" x14ac:dyDescent="0.25">
      <c r="A1897">
        <v>11990207</v>
      </c>
      <c r="B1897" t="str">
        <f>VLOOKUP(A1897,Planilha2!B:C,2,0)</f>
        <v>INVERSOR NACFW110053T6ON1NBYZ</v>
      </c>
      <c r="C1897" t="s">
        <v>3170</v>
      </c>
      <c r="D1897" t="str">
        <f>VLOOKUP(A1897,Planilha2!B:H,7,0)</f>
        <v>LINHA G1</v>
      </c>
      <c r="E1897" s="5">
        <v>60360</v>
      </c>
      <c r="F1897">
        <f>IFERROR(
IF(ISNUMBER(FIND("CFW110",B1897)),
VALUE(MID(B1897,FIND("CFW110",B1897)+6,FIND("T",B1897,FIND("CFW110",B1897))-(FIND("CFW110",B1897)+6))),
IF(ISNUMBER(FIND("D",B1897)),
VALUE(SUBSTITUTE(MID(B1897,FIND("D",B1897)+1,FIND("T",B1897,FIND("D",B1897))-(FIND("D",B1897)+1)),"P",",")),
IF(ISNUMBER(FIND("CFW5",B1897)),
VALUE(MID(B1897,
IF(ISNUMBER(FIND("F",B1897)),FIND("F",B1897)+1,FIND("G",B1897)+1),
FIND("T",B1897)-(IF(ISNUMBER(FIND("F",B1897)),FIND("F",B1897)+1,FIND("G",B1897)+1))
)),
VALUE(MID(B1897,FIND("E0",B1897)+2,FIND("T",B1897,FIND("E0",B1897))-(FIND("E0",B1897)+2)))
))),"")</f>
        <v>53</v>
      </c>
      <c r="G1897">
        <f>IFERROR(
IF(ISNUMBER(FIND("T2",B1897)),220,
IF(ISNUMBER(FIND("T4",B1897)),440,
IF(ISNUMBER(FIND("T5",B1897)),575,
IF(ISNUMBER(FIND("T6",B1897)),690,"")))),
"")</f>
        <v>690</v>
      </c>
    </row>
    <row r="1898" spans="1:7" x14ac:dyDescent="0.25">
      <c r="A1898">
        <v>12436087</v>
      </c>
      <c r="B1898" t="str">
        <f>VLOOKUP(A1898,Planilha2!B:C,2,0)</f>
        <v>INVERSOR EUCFW110180T4OWZ</v>
      </c>
      <c r="C1898" t="s">
        <v>3170</v>
      </c>
      <c r="D1898" t="str">
        <f>VLOOKUP(A1898,Planilha2!B:H,7,0)</f>
        <v>LINHA G1</v>
      </c>
      <c r="E1898" s="5">
        <v>65000</v>
      </c>
      <c r="F1898">
        <f>IFERROR(
IF(ISNUMBER(FIND("CFW110",B1898)),
VALUE(MID(B1898,FIND("CFW110",B1898)+6,FIND("T",B1898,FIND("CFW110",B1898))-(FIND("CFW110",B1898)+6))),
IF(ISNUMBER(FIND("D",B1898)),
VALUE(SUBSTITUTE(MID(B1898,FIND("D",B1898)+1,FIND("T",B1898,FIND("D",B1898))-(FIND("D",B1898)+1)),"P",",")),
IF(ISNUMBER(FIND("CFW5",B1898)),
VALUE(MID(B1898,
IF(ISNUMBER(FIND("F",B1898)),FIND("F",B1898)+1,FIND("G",B1898)+1),
FIND("T",B1898)-(IF(ISNUMBER(FIND("F",B1898)),FIND("F",B1898)+1,FIND("G",B1898)+1))
)),
VALUE(MID(B1898,FIND("E0",B1898)+2,FIND("T",B1898,FIND("E0",B1898))-(FIND("E0",B1898)+2)))
))),"")</f>
        <v>180</v>
      </c>
      <c r="G1898">
        <f>IFERROR(
IF(ISNUMBER(FIND("T2",B1898)),220,
IF(ISNUMBER(FIND("T4",B1898)),440,
IF(ISNUMBER(FIND("T5",B1898)),575,
IF(ISNUMBER(FIND("T6",B1898)),690,"")))),
"")</f>
        <v>440</v>
      </c>
    </row>
    <row r="1899" spans="1:7" x14ac:dyDescent="0.25">
      <c r="A1899">
        <v>11989354</v>
      </c>
      <c r="B1899" t="str">
        <f>VLOOKUP(A1899,Planilha2!B:C,2,0)</f>
        <v>INVERSOR EUCFW110080T6OYZ</v>
      </c>
      <c r="C1899" t="s">
        <v>3170</v>
      </c>
      <c r="D1899" t="str">
        <f>VLOOKUP(A1899,Planilha2!B:H,7,0)</f>
        <v>LINHA G1</v>
      </c>
      <c r="E1899" s="5">
        <v>60360</v>
      </c>
      <c r="F1899">
        <f>IFERROR(
IF(ISNUMBER(FIND("CFW110",B1899)),
VALUE(MID(B1899,FIND("CFW110",B1899)+6,FIND("T",B1899,FIND("CFW110",B1899))-(FIND("CFW110",B1899)+6))),
IF(ISNUMBER(FIND("D",B1899)),
VALUE(SUBSTITUTE(MID(B1899,FIND("D",B1899)+1,FIND("T",B1899,FIND("D",B1899))-(FIND("D",B1899)+1)),"P",",")),
IF(ISNUMBER(FIND("CFW5",B1899)),
VALUE(MID(B1899,
IF(ISNUMBER(FIND("F",B1899)),FIND("F",B1899)+1,FIND("G",B1899)+1),
FIND("T",B1899)-(IF(ISNUMBER(FIND("F",B1899)),FIND("F",B1899)+1,FIND("G",B1899)+1))
)),
VALUE(MID(B1899,FIND("E0",B1899)+2,FIND("T",B1899,FIND("E0",B1899))-(FIND("E0",B1899)+2)))
))),"")</f>
        <v>80</v>
      </c>
      <c r="G1899">
        <f>IFERROR(
IF(ISNUMBER(FIND("T2",B1899)),220,
IF(ISNUMBER(FIND("T4",B1899)),440,
IF(ISNUMBER(FIND("T5",B1899)),575,
IF(ISNUMBER(FIND("T6",B1899)),690,"")))),
"")</f>
        <v>690</v>
      </c>
    </row>
    <row r="1900" spans="1:7" x14ac:dyDescent="0.25">
      <c r="A1900">
        <v>12104813</v>
      </c>
      <c r="B1900" t="str">
        <f>VLOOKUP(A1900,Planilha2!B:C,2,0)</f>
        <v>INVERSOR CFW701E0180T4NBN1C3</v>
      </c>
      <c r="C1900" t="s">
        <v>3170</v>
      </c>
      <c r="D1900" t="str">
        <f>VLOOKUP(A1900,Planilha2!B:H,7,0)</f>
        <v>OBSOLETOS DRIVES</v>
      </c>
      <c r="E1900" s="5">
        <v>61360</v>
      </c>
      <c r="F1900">
        <f>IFERROR(
IF(ISNUMBER(FIND("CFW110",B1900)),
VALUE(MID(B1900,FIND("CFW110",B1900)+6,FIND("T",B1900,FIND("CFW110",B1900))-(FIND("CFW110",B1900)+6))),
IF(ISNUMBER(FIND("D",B1900)),
VALUE(SUBSTITUTE(MID(B1900,FIND("D",B1900)+1,FIND("T",B1900,FIND("D",B1900))-(FIND("D",B1900)+1)),"P",",")),
IF(ISNUMBER(FIND("CFW5",B1900)),
VALUE(MID(B1900,
IF(ISNUMBER(FIND("F",B1900)),FIND("F",B1900)+1,FIND("G",B1900)+1),
FIND("T",B1900)-(IF(ISNUMBER(FIND("F",B1900)),FIND("F",B1900)+1,FIND("G",B1900)+1))
)),
VALUE(MID(B1900,FIND("E0",B1900)+2,FIND("T",B1900,FIND("E0",B1900))-(FIND("E0",B1900)+2)))
))),"")</f>
        <v>180</v>
      </c>
      <c r="G1900">
        <f>IFERROR(
IF(ISNUMBER(FIND("T2",B1900)),220,
IF(ISNUMBER(FIND("T4",B1900)),440,
IF(ISNUMBER(FIND("T5",B1900)),575,
IF(ISNUMBER(FIND("T6",B1900)),690,"")))),
"")</f>
        <v>440</v>
      </c>
    </row>
    <row r="1901" spans="1:7" x14ac:dyDescent="0.25">
      <c r="A1901">
        <v>12104811</v>
      </c>
      <c r="B1901" t="str">
        <f>VLOOKUP(A1901,Planilha2!B:C,2,0)</f>
        <v>INVERSOR CFW701E0142T4NBN1C3</v>
      </c>
      <c r="C1901" t="s">
        <v>3170</v>
      </c>
      <c r="D1901" t="str">
        <f>VLOOKUP(A1901,Planilha2!B:H,7,0)</f>
        <v>OBSOLETOS DRIVES</v>
      </c>
      <c r="E1901" s="5">
        <v>61360</v>
      </c>
      <c r="F1901">
        <f>IFERROR(
IF(ISNUMBER(FIND("CFW110",B1901)),
VALUE(MID(B1901,FIND("CFW110",B1901)+6,FIND("T",B1901,FIND("CFW110",B1901))-(FIND("CFW110",B1901)+6))),
IF(ISNUMBER(FIND("D",B1901)),
VALUE(SUBSTITUTE(MID(B1901,FIND("D",B1901)+1,FIND("T",B1901,FIND("D",B1901))-(FIND("D",B1901)+1)),"P",",")),
IF(ISNUMBER(FIND("CFW5",B1901)),
VALUE(MID(B1901,
IF(ISNUMBER(FIND("F",B1901)),FIND("F",B1901)+1,FIND("G",B1901)+1),
FIND("T",B1901)-(IF(ISNUMBER(FIND("F",B1901)),FIND("F",B1901)+1,FIND("G",B1901)+1))
)),
VALUE(MID(B1901,FIND("E0",B1901)+2,FIND("T",B1901,FIND("E0",B1901))-(FIND("E0",B1901)+2)))
))),"")</f>
        <v>142</v>
      </c>
      <c r="G1901">
        <f>IFERROR(
IF(ISNUMBER(FIND("T2",B1901)),220,
IF(ISNUMBER(FIND("T4",B1901)),440,
IF(ISNUMBER(FIND("T5",B1901)),575,
IF(ISNUMBER(FIND("T6",B1901)),690,"")))),
"")</f>
        <v>440</v>
      </c>
    </row>
    <row r="1902" spans="1:7" x14ac:dyDescent="0.25">
      <c r="A1902">
        <v>12696565</v>
      </c>
      <c r="B1902" t="str">
        <f>VLOOKUP(A1902,Planilha2!B:C,2,0)</f>
        <v>INVERSOR BRCFW110105T4OYWZ</v>
      </c>
      <c r="C1902" t="s">
        <v>3170</v>
      </c>
      <c r="D1902" t="str">
        <f>VLOOKUP(A1902,Planilha2!B:H,7,0)</f>
        <v>LINHA G1</v>
      </c>
      <c r="E1902" s="5">
        <v>60360</v>
      </c>
      <c r="F1902">
        <f>IFERROR(
IF(ISNUMBER(FIND("CFW110",B1902)),
VALUE(MID(B1902,FIND("CFW110",B1902)+6,FIND("T",B1902,FIND("CFW110",B1902))-(FIND("CFW110",B1902)+6))),
IF(ISNUMBER(FIND("D",B1902)),
VALUE(SUBSTITUTE(MID(B1902,FIND("D",B1902)+1,FIND("T",B1902,FIND("D",B1902))-(FIND("D",B1902)+1)),"P",",")),
IF(ISNUMBER(FIND("CFW5",B1902)),
VALUE(MID(B1902,
IF(ISNUMBER(FIND("F",B1902)),FIND("F",B1902)+1,FIND("G",B1902)+1),
FIND("T",B1902)-(IF(ISNUMBER(FIND("F",B1902)),FIND("F",B1902)+1,FIND("G",B1902)+1))
)),
VALUE(MID(B1902,FIND("E0",B1902)+2,FIND("T",B1902,FIND("E0",B1902))-(FIND("E0",B1902)+2)))
))),"")</f>
        <v>105</v>
      </c>
      <c r="G1902">
        <f>IFERROR(
IF(ISNUMBER(FIND("T2",B1902)),220,
IF(ISNUMBER(FIND("T4",B1902)),440,
IF(ISNUMBER(FIND("T5",B1902)),575,
IF(ISNUMBER(FIND("T6",B1902)),690,"")))),
"")</f>
        <v>440</v>
      </c>
    </row>
    <row r="1903" spans="1:7" x14ac:dyDescent="0.25">
      <c r="A1903">
        <v>14336273</v>
      </c>
      <c r="B1903" t="str">
        <f>VLOOKUP(A1903,Planilha2!B:C,2,0)</f>
        <v>INVERSOR CFW700E63P0T5NB20C3Y1HASC</v>
      </c>
      <c r="C1903" t="s">
        <v>3170</v>
      </c>
      <c r="D1903" t="str">
        <f>VLOOKUP(A1903,Planilha2!B:H,7,0)</f>
        <v>OBSOLETOS DRIVES</v>
      </c>
      <c r="E1903" s="5">
        <v>61360</v>
      </c>
      <c r="F1903" t="str">
        <f>IFERROR(
IF(ISNUMBER(FIND("CFW110",B1903)),
VALUE(MID(B1903,FIND("CFW110",B1903)+6,FIND("T",B1903,FIND("CFW110",B1903))-(FIND("CFW110",B1903)+6))),
IF(ISNUMBER(FIND("D",B1903)),
VALUE(SUBSTITUTE(MID(B1903,FIND("D",B1903)+1,FIND("T",B1903,FIND("D",B1903))-(FIND("D",B1903)+1)),"P",",")),
IF(ISNUMBER(FIND("CFW5",B1903)),
VALUE(MID(B1903,
IF(ISNUMBER(FIND("F",B1903)),FIND("F",B1903)+1,FIND("G",B1903)+1),
FIND("T",B1903)-(IF(ISNUMBER(FIND("F",B1903)),FIND("F",B1903)+1,FIND("G",B1903)+1))
)),
VALUE(MID(B1903,FIND("E0",B1903)+2,FIND("T",B1903,FIND("E0",B1903))-(FIND("E0",B1903)+2)))
))),"")</f>
        <v/>
      </c>
      <c r="G1903">
        <f>IFERROR(
IF(ISNUMBER(FIND("T2",B1903)),220,
IF(ISNUMBER(FIND("T4",B1903)),440,
IF(ISNUMBER(FIND("T5",B1903)),575,
IF(ISNUMBER(FIND("T6",B1903)),690,"")))),
"")</f>
        <v>575</v>
      </c>
    </row>
    <row r="1904" spans="1:7" x14ac:dyDescent="0.25">
      <c r="A1904">
        <v>11989352</v>
      </c>
      <c r="B1904" t="str">
        <f>VLOOKUP(A1904,Planilha2!B:C,2,0)</f>
        <v>INVERSOR EUCFW110063T6OYZ</v>
      </c>
      <c r="C1904" t="s">
        <v>3170</v>
      </c>
      <c r="D1904" t="str">
        <f>VLOOKUP(A1904,Planilha2!B:H,7,0)</f>
        <v>LINHA G1</v>
      </c>
      <c r="E1904" s="5">
        <v>60360</v>
      </c>
      <c r="F1904">
        <f>IFERROR(
IF(ISNUMBER(FIND("CFW110",B1904)),
VALUE(MID(B1904,FIND("CFW110",B1904)+6,FIND("T",B1904,FIND("CFW110",B1904))-(FIND("CFW110",B1904)+6))),
IF(ISNUMBER(FIND("D",B1904)),
VALUE(SUBSTITUTE(MID(B1904,FIND("D",B1904)+1,FIND("T",B1904,FIND("D",B1904))-(FIND("D",B1904)+1)),"P",",")),
IF(ISNUMBER(FIND("CFW5",B1904)),
VALUE(MID(B1904,
IF(ISNUMBER(FIND("F",B1904)),FIND("F",B1904)+1,FIND("G",B1904)+1),
FIND("T",B1904)-(IF(ISNUMBER(FIND("F",B1904)),FIND("F",B1904)+1,FIND("G",B1904)+1))
)),
VALUE(MID(B1904,FIND("E0",B1904)+2,FIND("T",B1904,FIND("E0",B1904))-(FIND("E0",B1904)+2)))
))),"")</f>
        <v>63</v>
      </c>
      <c r="G1904">
        <f>IFERROR(
IF(ISNUMBER(FIND("T2",B1904)),220,
IF(ISNUMBER(FIND("T4",B1904)),440,
IF(ISNUMBER(FIND("T5",B1904)),575,
IF(ISNUMBER(FIND("T6",B1904)),690,"")))),
"")</f>
        <v>690</v>
      </c>
    </row>
    <row r="1905" spans="1:7" x14ac:dyDescent="0.25">
      <c r="A1905">
        <v>11294233</v>
      </c>
      <c r="B1905" t="str">
        <f>VLOOKUP(A1905,Planilha2!B:C,2,0)</f>
        <v>INVERSOR EUCFW110105T4ODBYZ</v>
      </c>
      <c r="C1905" t="s">
        <v>3170</v>
      </c>
      <c r="D1905" t="str">
        <f>VLOOKUP(A1905,Planilha2!B:H,7,0)</f>
        <v>LINHA G1</v>
      </c>
      <c r="E1905" s="5">
        <v>64210</v>
      </c>
      <c r="F1905">
        <f>IFERROR(
IF(ISNUMBER(FIND("CFW110",B1905)),
VALUE(MID(B1905,FIND("CFW110",B1905)+6,FIND("T",B1905,FIND("CFW110",B1905))-(FIND("CFW110",B1905)+6))),
IF(ISNUMBER(FIND("D",B1905)),
VALUE(SUBSTITUTE(MID(B1905,FIND("D",B1905)+1,FIND("T",B1905,FIND("D",B1905))-(FIND("D",B1905)+1)),"P",",")),
IF(ISNUMBER(FIND("CFW5",B1905)),
VALUE(MID(B1905,
IF(ISNUMBER(FIND("F",B1905)),FIND("F",B1905)+1,FIND("G",B1905)+1),
FIND("T",B1905)-(IF(ISNUMBER(FIND("F",B1905)),FIND("F",B1905)+1,FIND("G",B1905)+1))
)),
VALUE(MID(B1905,FIND("E0",B1905)+2,FIND("T",B1905,FIND("E0",B1905))-(FIND("E0",B1905)+2)))
))),"")</f>
        <v>105</v>
      </c>
      <c r="G1905">
        <f>IFERROR(
IF(ISNUMBER(FIND("T2",B1905)),220,
IF(ISNUMBER(FIND("T4",B1905)),440,
IF(ISNUMBER(FIND("T5",B1905)),575,
IF(ISNUMBER(FIND("T6",B1905)),690,"")))),
"")</f>
        <v>440</v>
      </c>
    </row>
    <row r="1906" spans="1:7" x14ac:dyDescent="0.25">
      <c r="A1906">
        <v>11295136</v>
      </c>
      <c r="B1906" t="str">
        <f>VLOOKUP(A1906,Planilha2!B:C,2,0)</f>
        <v>INVERSOR EUCFW110180T4ODBYZ</v>
      </c>
      <c r="C1906" t="s">
        <v>3170</v>
      </c>
      <c r="D1906" t="str">
        <f>VLOOKUP(A1906,Planilha2!B:H,7,0)</f>
        <v>LINHA G1</v>
      </c>
      <c r="E1906" s="5">
        <v>68100</v>
      </c>
      <c r="F1906">
        <f>IFERROR(
IF(ISNUMBER(FIND("CFW110",B1906)),
VALUE(MID(B1906,FIND("CFW110",B1906)+6,FIND("T",B1906,FIND("CFW110",B1906))-(FIND("CFW110",B1906)+6))),
IF(ISNUMBER(FIND("D",B1906)),
VALUE(SUBSTITUTE(MID(B1906,FIND("D",B1906)+1,FIND("T",B1906,FIND("D",B1906))-(FIND("D",B1906)+1)),"P",",")),
IF(ISNUMBER(FIND("CFW5",B1906)),
VALUE(MID(B1906,
IF(ISNUMBER(FIND("F",B1906)),FIND("F",B1906)+1,FIND("G",B1906)+1),
FIND("T",B1906)-(IF(ISNUMBER(FIND("F",B1906)),FIND("F",B1906)+1,FIND("G",B1906)+1))
)),
VALUE(MID(B1906,FIND("E0",B1906)+2,FIND("T",B1906,FIND("E0",B1906))-(FIND("E0",B1906)+2)))
))),"")</f>
        <v>180</v>
      </c>
      <c r="G1906">
        <f>IFERROR(
IF(ISNUMBER(FIND("T2",B1906)),220,
IF(ISNUMBER(FIND("T4",B1906)),440,
IF(ISNUMBER(FIND("T5",B1906)),575,
IF(ISNUMBER(FIND("T6",B1906)),690,"")))),
"")</f>
        <v>440</v>
      </c>
    </row>
    <row r="1907" spans="1:7" x14ac:dyDescent="0.25">
      <c r="A1907">
        <v>11571571</v>
      </c>
      <c r="B1907" t="str">
        <f>VLOOKUP(A1907,Planilha2!B:C,2,0)</f>
        <v>INVERSOR BCCFW110142T4OHESEZ</v>
      </c>
      <c r="C1907" t="s">
        <v>3170</v>
      </c>
      <c r="D1907" t="str">
        <f>VLOOKUP(A1907,Planilha2!B:H,7,0)</f>
        <v>LINHA G1</v>
      </c>
      <c r="E1907" s="5">
        <v>69100</v>
      </c>
      <c r="F1907">
        <f>IFERROR(
IF(ISNUMBER(FIND("CFW110",B1907)),
VALUE(MID(B1907,FIND("CFW110",B1907)+6,FIND("T",B1907,FIND("CFW110",B1907))-(FIND("CFW110",B1907)+6))),
IF(ISNUMBER(FIND("D",B1907)),
VALUE(SUBSTITUTE(MID(B1907,FIND("D",B1907)+1,FIND("T",B1907,FIND("D",B1907))-(FIND("D",B1907)+1)),"P",",")),
IF(ISNUMBER(FIND("CFW5",B1907)),
VALUE(MID(B1907,
IF(ISNUMBER(FIND("F",B1907)),FIND("F",B1907)+1,FIND("G",B1907)+1),
FIND("T",B1907)-(IF(ISNUMBER(FIND("F",B1907)),FIND("F",B1907)+1,FIND("G",B1907)+1))
)),
VALUE(MID(B1907,FIND("E0",B1907)+2,FIND("T",B1907,FIND("E0",B1907))-(FIND("E0",B1907)+2)))
))),"")</f>
        <v>142</v>
      </c>
      <c r="G1907">
        <f>IFERROR(
IF(ISNUMBER(FIND("T2",B1907)),220,
IF(ISNUMBER(FIND("T4",B1907)),440,
IF(ISNUMBER(FIND("T5",B1907)),575,
IF(ISNUMBER(FIND("T6",B1907)),690,"")))),
"")</f>
        <v>440</v>
      </c>
    </row>
    <row r="1908" spans="1:7" x14ac:dyDescent="0.25">
      <c r="A1908">
        <v>11571573</v>
      </c>
      <c r="B1908" t="str">
        <f>VLOOKUP(A1908,Planilha2!B:C,2,0)</f>
        <v>INVERSOR BCCFW110180T4OHESEZ</v>
      </c>
      <c r="C1908" t="s">
        <v>3170</v>
      </c>
      <c r="D1908" t="str">
        <f>VLOOKUP(A1908,Planilha2!B:H,7,0)</f>
        <v>LINHA G1</v>
      </c>
      <c r="E1908" s="5">
        <v>69100</v>
      </c>
      <c r="F1908">
        <f>IFERROR(
IF(ISNUMBER(FIND("CFW110",B1908)),
VALUE(MID(B1908,FIND("CFW110",B1908)+6,FIND("T",B1908,FIND("CFW110",B1908))-(FIND("CFW110",B1908)+6))),
IF(ISNUMBER(FIND("D",B1908)),
VALUE(SUBSTITUTE(MID(B1908,FIND("D",B1908)+1,FIND("T",B1908,FIND("D",B1908))-(FIND("D",B1908)+1)),"P",",")),
IF(ISNUMBER(FIND("CFW5",B1908)),
VALUE(MID(B1908,
IF(ISNUMBER(FIND("F",B1908)),FIND("F",B1908)+1,FIND("G",B1908)+1),
FIND("T",B1908)-(IF(ISNUMBER(FIND("F",B1908)),FIND("F",B1908)+1,FIND("G",B1908)+1))
)),
VALUE(MID(B1908,FIND("E0",B1908)+2,FIND("T",B1908,FIND("E0",B1908))-(FIND("E0",B1908)+2)))
))),"")</f>
        <v>180</v>
      </c>
      <c r="G1908">
        <f>IFERROR(
IF(ISNUMBER(FIND("T2",B1908)),220,
IF(ISNUMBER(FIND("T4",B1908)),440,
IF(ISNUMBER(FIND("T5",B1908)),575,
IF(ISNUMBER(FIND("T6",B1908)),690,"")))),
"")</f>
        <v>440</v>
      </c>
    </row>
    <row r="1909" spans="1:7" x14ac:dyDescent="0.25">
      <c r="A1909">
        <v>11588029</v>
      </c>
      <c r="B1909" t="str">
        <f>VLOOKUP(A1909,Planilha2!B:C,2,0)</f>
        <v>INVERSOR SACFW110180T4OYWZ</v>
      </c>
      <c r="C1909" t="s">
        <v>3170</v>
      </c>
      <c r="D1909" t="str">
        <f>VLOOKUP(A1909,Planilha2!B:H,7,0)</f>
        <v>LINHA G1</v>
      </c>
      <c r="E1909" s="5">
        <v>65608</v>
      </c>
      <c r="F1909">
        <f>IFERROR(
IF(ISNUMBER(FIND("CFW110",B1909)),
VALUE(MID(B1909,FIND("CFW110",B1909)+6,FIND("T",B1909,FIND("CFW110",B1909))-(FIND("CFW110",B1909)+6))),
IF(ISNUMBER(FIND("D",B1909)),
VALUE(SUBSTITUTE(MID(B1909,FIND("D",B1909)+1,FIND("T",B1909,FIND("D",B1909))-(FIND("D",B1909)+1)),"P",",")),
IF(ISNUMBER(FIND("CFW5",B1909)),
VALUE(MID(B1909,
IF(ISNUMBER(FIND("F",B1909)),FIND("F",B1909)+1,FIND("G",B1909)+1),
FIND("T",B1909)-(IF(ISNUMBER(FIND("F",B1909)),FIND("F",B1909)+1,FIND("G",B1909)+1))
)),
VALUE(MID(B1909,FIND("E0",B1909)+2,FIND("T",B1909,FIND("E0",B1909))-(FIND("E0",B1909)+2)))
))),"")</f>
        <v>180</v>
      </c>
      <c r="G1909">
        <f>IFERROR(
IF(ISNUMBER(FIND("T2",B1909)),220,
IF(ISNUMBER(FIND("T4",B1909)),440,
IF(ISNUMBER(FIND("T5",B1909)),575,
IF(ISNUMBER(FIND("T6",B1909)),690,"")))),
"")</f>
        <v>440</v>
      </c>
    </row>
    <row r="1910" spans="1:7" x14ac:dyDescent="0.25">
      <c r="A1910">
        <v>11594207</v>
      </c>
      <c r="B1910" t="str">
        <f>VLOOKUP(A1910,Planilha2!B:C,2,0)</f>
        <v>INVERSOR BRCFW110180T4ODBYWZ</v>
      </c>
      <c r="C1910" t="s">
        <v>3170</v>
      </c>
      <c r="D1910" t="str">
        <f>VLOOKUP(A1910,Planilha2!B:H,7,0)</f>
        <v>LINHA G1</v>
      </c>
      <c r="E1910" s="5">
        <v>59360</v>
      </c>
      <c r="F1910">
        <f>IFERROR(
IF(ISNUMBER(FIND("CFW110",B1910)),
VALUE(MID(B1910,FIND("CFW110",B1910)+6,FIND("T",B1910,FIND("CFW110",B1910))-(FIND("CFW110",B1910)+6))),
IF(ISNUMBER(FIND("D",B1910)),
VALUE(SUBSTITUTE(MID(B1910,FIND("D",B1910)+1,FIND("T",B1910,FIND("D",B1910))-(FIND("D",B1910)+1)),"P",",")),
IF(ISNUMBER(FIND("CFW5",B1910)),
VALUE(MID(B1910,
IF(ISNUMBER(FIND("F",B1910)),FIND("F",B1910)+1,FIND("G",B1910)+1),
FIND("T",B1910)-(IF(ISNUMBER(FIND("F",B1910)),FIND("F",B1910)+1,FIND("G",B1910)+1))
)),
VALUE(MID(B1910,FIND("E0",B1910)+2,FIND("T",B1910,FIND("E0",B1910))-(FIND("E0",B1910)+2)))
))),"")</f>
        <v>180</v>
      </c>
      <c r="G1910">
        <f>IFERROR(
IF(ISNUMBER(FIND("T2",B1910)),220,
IF(ISNUMBER(FIND("T4",B1910)),440,
IF(ISNUMBER(FIND("T5",B1910)),575,
IF(ISNUMBER(FIND("T6",B1910)),690,"")))),
"")</f>
        <v>440</v>
      </c>
    </row>
    <row r="1911" spans="1:7" x14ac:dyDescent="0.25">
      <c r="A1911">
        <v>11544119</v>
      </c>
      <c r="B1911" t="str">
        <f>VLOOKUP(A1911,Planilha2!B:C,2,0)</f>
        <v>INVERSOR CFW700E0105T4DB20C3</v>
      </c>
      <c r="C1911" t="s">
        <v>3170</v>
      </c>
      <c r="D1911" t="str">
        <f>VLOOKUP(A1911,Planilha2!B:H,7,0)</f>
        <v>OBSOLETOS DRIVES</v>
      </c>
      <c r="E1911" s="5">
        <v>69100</v>
      </c>
      <c r="F1911" t="str">
        <f>IFERROR(
IF(ISNUMBER(FIND("CFW110",B1911)),
VALUE(MID(B1911,FIND("CFW110",B1911)+6,FIND("T",B1911,FIND("CFW110",B1911))-(FIND("CFW110",B1911)+6))),
IF(ISNUMBER(FIND("D",B1911)),
VALUE(SUBSTITUTE(MID(B1911,FIND("D",B1911)+1,FIND("T",B1911,FIND("D",B1911))-(FIND("D",B1911)+1)),"P",",")),
IF(ISNUMBER(FIND("CFW5",B1911)),
VALUE(MID(B1911,
IF(ISNUMBER(FIND("F",B1911)),FIND("F",B1911)+1,FIND("G",B1911)+1),
FIND("T",B1911)-(IF(ISNUMBER(FIND("F",B1911)),FIND("F",B1911)+1,FIND("G",B1911)+1))
)),
VALUE(MID(B1911,FIND("E0",B1911)+2,FIND("T",B1911,FIND("E0",B1911))-(FIND("E0",B1911)+2)))
))),"")</f>
        <v/>
      </c>
      <c r="G1911">
        <f>IFERROR(
IF(ISNUMBER(FIND("T2",B1911)),220,
IF(ISNUMBER(FIND("T4",B1911)),440,
IF(ISNUMBER(FIND("T5",B1911)),575,
IF(ISNUMBER(FIND("T6",B1911)),690,"")))),
"")</f>
        <v>440</v>
      </c>
    </row>
    <row r="1912" spans="1:7" x14ac:dyDescent="0.25">
      <c r="A1912">
        <v>11597598</v>
      </c>
      <c r="B1912" t="str">
        <f>VLOOKUP(A1912,Planilha2!B:C,2,0)</f>
        <v>INVERSOR BCCFW110211T4OHESEZ</v>
      </c>
      <c r="C1912" t="s">
        <v>3170</v>
      </c>
      <c r="D1912" t="str">
        <f>VLOOKUP(A1912,Planilha2!B:H,7,0)</f>
        <v>LINHA G1</v>
      </c>
      <c r="E1912" s="5">
        <v>69100</v>
      </c>
      <c r="F1912">
        <f>IFERROR(
IF(ISNUMBER(FIND("CFW110",B1912)),
VALUE(MID(B1912,FIND("CFW110",B1912)+6,FIND("T",B1912,FIND("CFW110",B1912))-(FIND("CFW110",B1912)+6))),
IF(ISNUMBER(FIND("D",B1912)),
VALUE(SUBSTITUTE(MID(B1912,FIND("D",B1912)+1,FIND("T",B1912,FIND("D",B1912))-(FIND("D",B1912)+1)),"P",",")),
IF(ISNUMBER(FIND("CFW5",B1912)),
VALUE(MID(B1912,
IF(ISNUMBER(FIND("F",B1912)),FIND("F",B1912)+1,FIND("G",B1912)+1),
FIND("T",B1912)-(IF(ISNUMBER(FIND("F",B1912)),FIND("F",B1912)+1,FIND("G",B1912)+1))
)),
VALUE(MID(B1912,FIND("E0",B1912)+2,FIND("T",B1912,FIND("E0",B1912))-(FIND("E0",B1912)+2)))
))),"")</f>
        <v>211</v>
      </c>
      <c r="G1912">
        <f>IFERROR(
IF(ISNUMBER(FIND("T2",B1912)),220,
IF(ISNUMBER(FIND("T4",B1912)),440,
IF(ISNUMBER(FIND("T5",B1912)),575,
IF(ISNUMBER(FIND("T6",B1912)),690,"")))),
"")</f>
        <v>440</v>
      </c>
    </row>
    <row r="1913" spans="1:7" x14ac:dyDescent="0.25">
      <c r="A1913">
        <v>11624976</v>
      </c>
      <c r="B1913" t="str">
        <f>VLOOKUP(A1913,Planilha2!B:C,2,0)</f>
        <v>INVERSOR BRCFW110180T2OYZ</v>
      </c>
      <c r="C1913" t="s">
        <v>3170</v>
      </c>
      <c r="D1913" t="str">
        <f>VLOOKUP(A1913,Planilha2!B:H,7,0)</f>
        <v>LINHA G1</v>
      </c>
      <c r="E1913" s="5">
        <v>141608</v>
      </c>
      <c r="F1913">
        <f>IFERROR(
IF(ISNUMBER(FIND("CFW110",B1913)),
VALUE(MID(B1913,FIND("CFW110",B1913)+6,FIND("T",B1913,FIND("CFW110",B1913))-(FIND("CFW110",B1913)+6))),
IF(ISNUMBER(FIND("D",B1913)),
VALUE(SUBSTITUTE(MID(B1913,FIND("D",B1913)+1,FIND("T",B1913,FIND("D",B1913))-(FIND("D",B1913)+1)),"P",",")),
IF(ISNUMBER(FIND("CFW5",B1913)),
VALUE(MID(B1913,
IF(ISNUMBER(FIND("F",B1913)),FIND("F",B1913)+1,FIND("G",B1913)+1),
FIND("T",B1913)-(IF(ISNUMBER(FIND("F",B1913)),FIND("F",B1913)+1,FIND("G",B1913)+1))
)),
VALUE(MID(B1913,FIND("E0",B1913)+2,FIND("T",B1913,FIND("E0",B1913))-(FIND("E0",B1913)+2)))
))),"")</f>
        <v>180</v>
      </c>
      <c r="G1913">
        <f>IFERROR(
IF(ISNUMBER(FIND("T2",B1913)),220,
IF(ISNUMBER(FIND("T4",B1913)),440,
IF(ISNUMBER(FIND("T5",B1913)),575,
IF(ISNUMBER(FIND("T6",B1913)),690,"")))),
"")</f>
        <v>220</v>
      </c>
    </row>
    <row r="1914" spans="1:7" x14ac:dyDescent="0.25">
      <c r="A1914">
        <v>11666744</v>
      </c>
      <c r="B1914" t="str">
        <f>VLOOKUP(A1914,Planilha2!B:C,2,0)</f>
        <v>INVERSOR BRCFW110142T4ODBWZ</v>
      </c>
      <c r="C1914" t="s">
        <v>3170</v>
      </c>
      <c r="D1914" t="str">
        <f>VLOOKUP(A1914,Planilha2!B:H,7,0)</f>
        <v>LINHA G1</v>
      </c>
      <c r="E1914" s="5">
        <v>65988</v>
      </c>
      <c r="F1914">
        <f>IFERROR(
IF(ISNUMBER(FIND("CFW110",B1914)),
VALUE(MID(B1914,FIND("CFW110",B1914)+6,FIND("T",B1914,FIND("CFW110",B1914))-(FIND("CFW110",B1914)+6))),
IF(ISNUMBER(FIND("D",B1914)),
VALUE(SUBSTITUTE(MID(B1914,FIND("D",B1914)+1,FIND("T",B1914,FIND("D",B1914))-(FIND("D",B1914)+1)),"P",",")),
IF(ISNUMBER(FIND("CFW5",B1914)),
VALUE(MID(B1914,
IF(ISNUMBER(FIND("F",B1914)),FIND("F",B1914)+1,FIND("G",B1914)+1),
FIND("T",B1914)-(IF(ISNUMBER(FIND("F",B1914)),FIND("F",B1914)+1,FIND("G",B1914)+1))
)),
VALUE(MID(B1914,FIND("E0",B1914)+2,FIND("T",B1914,FIND("E0",B1914))-(FIND("E0",B1914)+2)))
))),"")</f>
        <v>142</v>
      </c>
      <c r="G1914">
        <f>IFERROR(
IF(ISNUMBER(FIND("T2",B1914)),220,
IF(ISNUMBER(FIND("T4",B1914)),440,
IF(ISNUMBER(FIND("T5",B1914)),575,
IF(ISNUMBER(FIND("T6",B1914)),690,"")))),
"")</f>
        <v>440</v>
      </c>
    </row>
    <row r="1915" spans="1:7" x14ac:dyDescent="0.25">
      <c r="A1915">
        <v>11135819</v>
      </c>
      <c r="B1915" t="str">
        <f>VLOOKUP(A1915,Planilha2!B:C,2,0)</f>
        <v>INVERSOR EUCFW110105T4OYZ</v>
      </c>
      <c r="C1915" t="s">
        <v>3170</v>
      </c>
      <c r="D1915" t="str">
        <f>VLOOKUP(A1915,Planilha2!B:H,7,0)</f>
        <v>LINHA G1</v>
      </c>
      <c r="E1915" s="5">
        <v>78700</v>
      </c>
      <c r="F1915">
        <f>IFERROR(
IF(ISNUMBER(FIND("CFW110",B1915)),
VALUE(MID(B1915,FIND("CFW110",B1915)+6,FIND("T",B1915,FIND("CFW110",B1915))-(FIND("CFW110",B1915)+6))),
IF(ISNUMBER(FIND("D",B1915)),
VALUE(SUBSTITUTE(MID(B1915,FIND("D",B1915)+1,FIND("T",B1915,FIND("D",B1915))-(FIND("D",B1915)+1)),"P",",")),
IF(ISNUMBER(FIND("CFW5",B1915)),
VALUE(MID(B1915,
IF(ISNUMBER(FIND("F",B1915)),FIND("F",B1915)+1,FIND("G",B1915)+1),
FIND("T",B1915)-(IF(ISNUMBER(FIND("F",B1915)),FIND("F",B1915)+1,FIND("G",B1915)+1))
)),
VALUE(MID(B1915,FIND("E0",B1915)+2,FIND("T",B1915,FIND("E0",B1915))-(FIND("E0",B1915)+2)))
))),"")</f>
        <v>105</v>
      </c>
      <c r="G1915">
        <f>IFERROR(
IF(ISNUMBER(FIND("T2",B1915)),220,
IF(ISNUMBER(FIND("T4",B1915)),440,
IF(ISNUMBER(FIND("T5",B1915)),575,
IF(ISNUMBER(FIND("T6",B1915)),690,"")))),
"")</f>
        <v>440</v>
      </c>
    </row>
    <row r="1916" spans="1:7" x14ac:dyDescent="0.25">
      <c r="A1916">
        <v>11104016</v>
      </c>
      <c r="B1916" t="str">
        <f>VLOOKUP(A1916,Planilha2!B:C,2,0)</f>
        <v>INVERSOR EUCFW110142T4OYZ</v>
      </c>
      <c r="C1916" t="s">
        <v>3170</v>
      </c>
      <c r="D1916" t="str">
        <f>VLOOKUP(A1916,Planilha2!B:H,7,0)</f>
        <v>LINHA G1</v>
      </c>
      <c r="E1916" s="5">
        <v>69100</v>
      </c>
      <c r="F1916">
        <f>IFERROR(
IF(ISNUMBER(FIND("CFW110",B1916)),
VALUE(MID(B1916,FIND("CFW110",B1916)+6,FIND("T",B1916,FIND("CFW110",B1916))-(FIND("CFW110",B1916)+6))),
IF(ISNUMBER(FIND("D",B1916)),
VALUE(SUBSTITUTE(MID(B1916,FIND("D",B1916)+1,FIND("T",B1916,FIND("D",B1916))-(FIND("D",B1916)+1)),"P",",")),
IF(ISNUMBER(FIND("CFW5",B1916)),
VALUE(MID(B1916,
IF(ISNUMBER(FIND("F",B1916)),FIND("F",B1916)+1,FIND("G",B1916)+1),
FIND("T",B1916)-(IF(ISNUMBER(FIND("F",B1916)),FIND("F",B1916)+1,FIND("G",B1916)+1))
)),
VALUE(MID(B1916,FIND("E0",B1916)+2,FIND("T",B1916,FIND("E0",B1916))-(FIND("E0",B1916)+2)))
))),"")</f>
        <v>142</v>
      </c>
      <c r="G1916">
        <f>IFERROR(
IF(ISNUMBER(FIND("T2",B1916)),220,
IF(ISNUMBER(FIND("T4",B1916)),440,
IF(ISNUMBER(FIND("T5",B1916)),575,
IF(ISNUMBER(FIND("T6",B1916)),690,"")))),
"")</f>
        <v>440</v>
      </c>
    </row>
    <row r="1917" spans="1:7" x14ac:dyDescent="0.25">
      <c r="A1917">
        <v>11130623</v>
      </c>
      <c r="B1917" t="str">
        <f>VLOOKUP(A1917,Planilha2!B:C,2,0)</f>
        <v>INVERSOR BRCFW110142T4OWZ</v>
      </c>
      <c r="C1917" t="s">
        <v>3170</v>
      </c>
      <c r="D1917" t="str">
        <f>VLOOKUP(A1917,Planilha2!B:H,7,0)</f>
        <v>LINHA G1</v>
      </c>
      <c r="E1917" s="5">
        <v>59360</v>
      </c>
      <c r="F1917">
        <f>IFERROR(
IF(ISNUMBER(FIND("CFW110",B1917)),
VALUE(MID(B1917,FIND("CFW110",B1917)+6,FIND("T",B1917,FIND("CFW110",B1917))-(FIND("CFW110",B1917)+6))),
IF(ISNUMBER(FIND("D",B1917)),
VALUE(SUBSTITUTE(MID(B1917,FIND("D",B1917)+1,FIND("T",B1917,FIND("D",B1917))-(FIND("D",B1917)+1)),"P",",")),
IF(ISNUMBER(FIND("CFW5",B1917)),
VALUE(MID(B1917,
IF(ISNUMBER(FIND("F",B1917)),FIND("F",B1917)+1,FIND("G",B1917)+1),
FIND("T",B1917)-(IF(ISNUMBER(FIND("F",B1917)),FIND("F",B1917)+1,FIND("G",B1917)+1))
)),
VALUE(MID(B1917,FIND("E0",B1917)+2,FIND("T",B1917,FIND("E0",B1917))-(FIND("E0",B1917)+2)))
))),"")</f>
        <v>142</v>
      </c>
      <c r="G1917">
        <f>IFERROR(
IF(ISNUMBER(FIND("T2",B1917)),220,
IF(ISNUMBER(FIND("T4",B1917)),440,
IF(ISNUMBER(FIND("T5",B1917)),575,
IF(ISNUMBER(FIND("T6",B1917)),690,"")))),
"")</f>
        <v>440</v>
      </c>
    </row>
    <row r="1918" spans="1:7" x14ac:dyDescent="0.25">
      <c r="A1918">
        <v>11130624</v>
      </c>
      <c r="B1918" t="str">
        <f>VLOOKUP(A1918,Planilha2!B:C,2,0)</f>
        <v>INVERSOR BRCFW110211T4OWZ</v>
      </c>
      <c r="C1918" t="s">
        <v>3170</v>
      </c>
      <c r="D1918" t="str">
        <f>VLOOKUP(A1918,Planilha2!B:H,7,0)</f>
        <v>LINHA G1</v>
      </c>
      <c r="E1918" s="5">
        <v>59360</v>
      </c>
      <c r="F1918">
        <f>IFERROR(
IF(ISNUMBER(FIND("CFW110",B1918)),
VALUE(MID(B1918,FIND("CFW110",B1918)+6,FIND("T",B1918,FIND("CFW110",B1918))-(FIND("CFW110",B1918)+6))),
IF(ISNUMBER(FIND("D",B1918)),
VALUE(SUBSTITUTE(MID(B1918,FIND("D",B1918)+1,FIND("T",B1918,FIND("D",B1918))-(FIND("D",B1918)+1)),"P",",")),
IF(ISNUMBER(FIND("CFW5",B1918)),
VALUE(MID(B1918,
IF(ISNUMBER(FIND("F",B1918)),FIND("F",B1918)+1,FIND("G",B1918)+1),
FIND("T",B1918)-(IF(ISNUMBER(FIND("F",B1918)),FIND("F",B1918)+1,FIND("G",B1918)+1))
)),
VALUE(MID(B1918,FIND("E0",B1918)+2,FIND("T",B1918,FIND("E0",B1918))-(FIND("E0",B1918)+2)))
))),"")</f>
        <v>211</v>
      </c>
      <c r="G1918">
        <f>IFERROR(
IF(ISNUMBER(FIND("T2",B1918)),220,
IF(ISNUMBER(FIND("T4",B1918)),440,
IF(ISNUMBER(FIND("T5",B1918)),575,
IF(ISNUMBER(FIND("T6",B1918)),690,"")))),
"")</f>
        <v>440</v>
      </c>
    </row>
    <row r="1919" spans="1:7" x14ac:dyDescent="0.25">
      <c r="A1919">
        <v>11220384</v>
      </c>
      <c r="B1919" t="str">
        <f>VLOOKUP(A1919,Planilha2!B:C,2,0)</f>
        <v>INVERSOR BRCFW110105T4OYZ</v>
      </c>
      <c r="C1919" t="s">
        <v>3170</v>
      </c>
      <c r="D1919" t="str">
        <f>VLOOKUP(A1919,Planilha2!B:H,7,0)</f>
        <v>LINHA G1</v>
      </c>
      <c r="E1919" s="5">
        <v>78700</v>
      </c>
      <c r="F1919">
        <f>IFERROR(
IF(ISNUMBER(FIND("CFW110",B1919)),
VALUE(MID(B1919,FIND("CFW110",B1919)+6,FIND("T",B1919,FIND("CFW110",B1919))-(FIND("CFW110",B1919)+6))),
IF(ISNUMBER(FIND("D",B1919)),
VALUE(SUBSTITUTE(MID(B1919,FIND("D",B1919)+1,FIND("T",B1919,FIND("D",B1919))-(FIND("D",B1919)+1)),"P",",")),
IF(ISNUMBER(FIND("CFW5",B1919)),
VALUE(MID(B1919,
IF(ISNUMBER(FIND("F",B1919)),FIND("F",B1919)+1,FIND("G",B1919)+1),
FIND("T",B1919)-(IF(ISNUMBER(FIND("F",B1919)),FIND("F",B1919)+1,FIND("G",B1919)+1))
)),
VALUE(MID(B1919,FIND("E0",B1919)+2,FIND("T",B1919,FIND("E0",B1919))-(FIND("E0",B1919)+2)))
))),"")</f>
        <v>105</v>
      </c>
      <c r="G1919">
        <f>IFERROR(
IF(ISNUMBER(FIND("T2",B1919)),220,
IF(ISNUMBER(FIND("T4",B1919)),440,
IF(ISNUMBER(FIND("T5",B1919)),575,
IF(ISNUMBER(FIND("T6",B1919)),690,"")))),
"")</f>
        <v>440</v>
      </c>
    </row>
    <row r="1920" spans="1:7" x14ac:dyDescent="0.25">
      <c r="A1920">
        <v>11220386</v>
      </c>
      <c r="B1920" t="str">
        <f>VLOOKUP(A1920,Planilha2!B:C,2,0)</f>
        <v>INVERSOR BRCFW110180T4OYZ</v>
      </c>
      <c r="C1920" t="s">
        <v>3170</v>
      </c>
      <c r="D1920" t="str">
        <f>VLOOKUP(A1920,Planilha2!B:H,7,0)</f>
        <v>LINHA G1</v>
      </c>
      <c r="E1920" s="5">
        <v>59360</v>
      </c>
      <c r="F1920">
        <f>IFERROR(
IF(ISNUMBER(FIND("CFW110",B1920)),
VALUE(MID(B1920,FIND("CFW110",B1920)+6,FIND("T",B1920,FIND("CFW110",B1920))-(FIND("CFW110",B1920)+6))),
IF(ISNUMBER(FIND("D",B1920)),
VALUE(SUBSTITUTE(MID(B1920,FIND("D",B1920)+1,FIND("T",B1920,FIND("D",B1920))-(FIND("D",B1920)+1)),"P",",")),
IF(ISNUMBER(FIND("CFW5",B1920)),
VALUE(MID(B1920,
IF(ISNUMBER(FIND("F",B1920)),FIND("F",B1920)+1,FIND("G",B1920)+1),
FIND("T",B1920)-(IF(ISNUMBER(FIND("F",B1920)),FIND("F",B1920)+1,FIND("G",B1920)+1))
)),
VALUE(MID(B1920,FIND("E0",B1920)+2,FIND("T",B1920,FIND("E0",B1920))-(FIND("E0",B1920)+2)))
))),"")</f>
        <v>180</v>
      </c>
      <c r="G1920">
        <f>IFERROR(
IF(ISNUMBER(FIND("T2",B1920)),220,
IF(ISNUMBER(FIND("T4",B1920)),440,
IF(ISNUMBER(FIND("T5",B1920)),575,
IF(ISNUMBER(FIND("T6",B1920)),690,"")))),
"")</f>
        <v>440</v>
      </c>
    </row>
    <row r="1921" spans="1:7" x14ac:dyDescent="0.25">
      <c r="A1921">
        <v>11220387</v>
      </c>
      <c r="B1921" t="str">
        <f>VLOOKUP(A1921,Planilha2!B:C,2,0)</f>
        <v>INVERSOR BRCFW110211T4OYZ</v>
      </c>
      <c r="C1921" t="s">
        <v>3170</v>
      </c>
      <c r="D1921" t="str">
        <f>VLOOKUP(A1921,Planilha2!B:H,7,0)</f>
        <v>LINHA G1</v>
      </c>
      <c r="E1921" s="5">
        <v>59360</v>
      </c>
      <c r="F1921">
        <f>IFERROR(
IF(ISNUMBER(FIND("CFW110",B1921)),
VALUE(MID(B1921,FIND("CFW110",B1921)+6,FIND("T",B1921,FIND("CFW110",B1921))-(FIND("CFW110",B1921)+6))),
IF(ISNUMBER(FIND("D",B1921)),
VALUE(SUBSTITUTE(MID(B1921,FIND("D",B1921)+1,FIND("T",B1921,FIND("D",B1921))-(FIND("D",B1921)+1)),"P",",")),
IF(ISNUMBER(FIND("CFW5",B1921)),
VALUE(MID(B1921,
IF(ISNUMBER(FIND("F",B1921)),FIND("F",B1921)+1,FIND("G",B1921)+1),
FIND("T",B1921)-(IF(ISNUMBER(FIND("F",B1921)),FIND("F",B1921)+1,FIND("G",B1921)+1))
)),
VALUE(MID(B1921,FIND("E0",B1921)+2,FIND("T",B1921,FIND("E0",B1921))-(FIND("E0",B1921)+2)))
))),"")</f>
        <v>211</v>
      </c>
      <c r="G1921">
        <f>IFERROR(
IF(ISNUMBER(FIND("T2",B1921)),220,
IF(ISNUMBER(FIND("T4",B1921)),440,
IF(ISNUMBER(FIND("T5",B1921)),575,
IF(ISNUMBER(FIND("T6",B1921)),690,"")))),
"")</f>
        <v>440</v>
      </c>
    </row>
    <row r="1922" spans="1:7" x14ac:dyDescent="0.25">
      <c r="A1922">
        <v>11226745</v>
      </c>
      <c r="B1922" t="str">
        <f>VLOOKUP(A1922,Planilha2!B:C,2,0)</f>
        <v>INVERSOR EUCFW110211T4OYZ</v>
      </c>
      <c r="C1922" t="s">
        <v>3170</v>
      </c>
      <c r="D1922" t="str">
        <f>VLOOKUP(A1922,Planilha2!B:H,7,0)</f>
        <v>LINHA G1</v>
      </c>
      <c r="E1922" s="5">
        <v>68000</v>
      </c>
      <c r="F1922">
        <f>IFERROR(
IF(ISNUMBER(FIND("CFW110",B1922)),
VALUE(MID(B1922,FIND("CFW110",B1922)+6,FIND("T",B1922,FIND("CFW110",B1922))-(FIND("CFW110",B1922)+6))),
IF(ISNUMBER(FIND("D",B1922)),
VALUE(SUBSTITUTE(MID(B1922,FIND("D",B1922)+1,FIND("T",B1922,FIND("D",B1922))-(FIND("D",B1922)+1)),"P",",")),
IF(ISNUMBER(FIND("CFW5",B1922)),
VALUE(MID(B1922,
IF(ISNUMBER(FIND("F",B1922)),FIND("F",B1922)+1,FIND("G",B1922)+1),
FIND("T",B1922)-(IF(ISNUMBER(FIND("F",B1922)),FIND("F",B1922)+1,FIND("G",B1922)+1))
)),
VALUE(MID(B1922,FIND("E0",B1922)+2,FIND("T",B1922,FIND("E0",B1922))-(FIND("E0",B1922)+2)))
))),"")</f>
        <v>211</v>
      </c>
      <c r="G1922">
        <f>IFERROR(
IF(ISNUMBER(FIND("T2",B1922)),220,
IF(ISNUMBER(FIND("T4",B1922)),440,
IF(ISNUMBER(FIND("T5",B1922)),575,
IF(ISNUMBER(FIND("T6",B1922)),690,"")))),
"")</f>
        <v>440</v>
      </c>
    </row>
    <row r="1923" spans="1:7" x14ac:dyDescent="0.25">
      <c r="A1923">
        <v>11392336</v>
      </c>
      <c r="B1923" t="str">
        <f>VLOOKUP(A1923,Planilha2!B:C,2,0)</f>
        <v>INVERSOR BRCFW110105T4ODBWZ</v>
      </c>
      <c r="C1923" t="s">
        <v>3170</v>
      </c>
      <c r="D1923" t="str">
        <f>VLOOKUP(A1923,Planilha2!B:H,7,0)</f>
        <v>LINHA G1</v>
      </c>
      <c r="E1923" s="5">
        <v>66727</v>
      </c>
      <c r="F1923">
        <f>IFERROR(
IF(ISNUMBER(FIND("CFW110",B1923)),
VALUE(MID(B1923,FIND("CFW110",B1923)+6,FIND("T",B1923,FIND("CFW110",B1923))-(FIND("CFW110",B1923)+6))),
IF(ISNUMBER(FIND("D",B1923)),
VALUE(SUBSTITUTE(MID(B1923,FIND("D",B1923)+1,FIND("T",B1923,FIND("D",B1923))-(FIND("D",B1923)+1)),"P",",")),
IF(ISNUMBER(FIND("CFW5",B1923)),
VALUE(MID(B1923,
IF(ISNUMBER(FIND("F",B1923)),FIND("F",B1923)+1,FIND("G",B1923)+1),
FIND("T",B1923)-(IF(ISNUMBER(FIND("F",B1923)),FIND("F",B1923)+1,FIND("G",B1923)+1))
)),
VALUE(MID(B1923,FIND("E0",B1923)+2,FIND("T",B1923,FIND("E0",B1923))-(FIND("E0",B1923)+2)))
))),"")</f>
        <v>105</v>
      </c>
      <c r="G1923">
        <f>IFERROR(
IF(ISNUMBER(FIND("T2",B1923)),220,
IF(ISNUMBER(FIND("T4",B1923)),440,
IF(ISNUMBER(FIND("T5",B1923)),575,
IF(ISNUMBER(FIND("T6",B1923)),690,"")))),
"")</f>
        <v>440</v>
      </c>
    </row>
    <row r="1924" spans="1:7" x14ac:dyDescent="0.25">
      <c r="A1924">
        <v>11310086</v>
      </c>
      <c r="B1924" t="str">
        <f>VLOOKUP(A1924,Planilha2!B:C,2,0)</f>
        <v>INVERSOR EUCFW110180T4OYZ</v>
      </c>
      <c r="C1924" t="s">
        <v>3170</v>
      </c>
      <c r="D1924" t="str">
        <f>VLOOKUP(A1924,Planilha2!B:H,7,0)</f>
        <v>LINHA G1</v>
      </c>
      <c r="E1924" s="5">
        <v>65000</v>
      </c>
      <c r="F1924">
        <f>IFERROR(
IF(ISNUMBER(FIND("CFW110",B1924)),
VALUE(MID(B1924,FIND("CFW110",B1924)+6,FIND("T",B1924,FIND("CFW110",B1924))-(FIND("CFW110",B1924)+6))),
IF(ISNUMBER(FIND("D",B1924)),
VALUE(SUBSTITUTE(MID(B1924,FIND("D",B1924)+1,FIND("T",B1924,FIND("D",B1924))-(FIND("D",B1924)+1)),"P",",")),
IF(ISNUMBER(FIND("CFW5",B1924)),
VALUE(MID(B1924,
IF(ISNUMBER(FIND("F",B1924)),FIND("F",B1924)+1,FIND("G",B1924)+1),
FIND("T",B1924)-(IF(ISNUMBER(FIND("F",B1924)),FIND("F",B1924)+1,FIND("G",B1924)+1))
)),
VALUE(MID(B1924,FIND("E0",B1924)+2,FIND("T",B1924,FIND("E0",B1924))-(FIND("E0",B1924)+2)))
))),"")</f>
        <v>180</v>
      </c>
      <c r="G1924">
        <f>IFERROR(
IF(ISNUMBER(FIND("T2",B1924)),220,
IF(ISNUMBER(FIND("T4",B1924)),440,
IF(ISNUMBER(FIND("T5",B1924)),575,
IF(ISNUMBER(FIND("T6",B1924)),690,"")))),
"")</f>
        <v>440</v>
      </c>
    </row>
    <row r="1925" spans="1:7" x14ac:dyDescent="0.25">
      <c r="A1925">
        <v>11333365</v>
      </c>
      <c r="B1925" t="str">
        <f>VLOOKUP(A1925,Planilha2!B:C,2,0)</f>
        <v>INVERSOR BRCFW110105T4OWZ</v>
      </c>
      <c r="C1925" t="s">
        <v>3170</v>
      </c>
      <c r="D1925" t="str">
        <f>VLOOKUP(A1925,Planilha2!B:H,7,0)</f>
        <v>LINHA G1</v>
      </c>
      <c r="E1925" s="5">
        <v>49360</v>
      </c>
      <c r="F1925">
        <f>IFERROR(
IF(ISNUMBER(FIND("CFW110",B1925)),
VALUE(MID(B1925,FIND("CFW110",B1925)+6,FIND("T",B1925,FIND("CFW110",B1925))-(FIND("CFW110",B1925)+6))),
IF(ISNUMBER(FIND("D",B1925)),
VALUE(SUBSTITUTE(MID(B1925,FIND("D",B1925)+1,FIND("T",B1925,FIND("D",B1925))-(FIND("D",B1925)+1)),"P",",")),
IF(ISNUMBER(FIND("CFW5",B1925)),
VALUE(MID(B1925,
IF(ISNUMBER(FIND("F",B1925)),FIND("F",B1925)+1,FIND("G",B1925)+1),
FIND("T",B1925)-(IF(ISNUMBER(FIND("F",B1925)),FIND("F",B1925)+1,FIND("G",B1925)+1))
)),
VALUE(MID(B1925,FIND("E0",B1925)+2,FIND("T",B1925,FIND("E0",B1925))-(FIND("E0",B1925)+2)))
))),"")</f>
        <v>105</v>
      </c>
      <c r="G1925">
        <f>IFERROR(
IF(ISNUMBER(FIND("T2",B1925)),220,
IF(ISNUMBER(FIND("T4",B1925)),440,
IF(ISNUMBER(FIND("T5",B1925)),575,
IF(ISNUMBER(FIND("T6",B1925)),690,"")))),
"")</f>
        <v>440</v>
      </c>
    </row>
    <row r="1926" spans="1:7" x14ac:dyDescent="0.25">
      <c r="A1926">
        <v>11469355</v>
      </c>
      <c r="B1926" t="str">
        <f>VLOOKUP(A1926,Planilha2!B:C,2,0)</f>
        <v>INVERSOR BRCFW110180T4OYWZ</v>
      </c>
      <c r="C1926" t="s">
        <v>3170</v>
      </c>
      <c r="D1926" t="str">
        <f>VLOOKUP(A1926,Planilha2!B:H,7,0)</f>
        <v>LINHA G1</v>
      </c>
      <c r="E1926" s="5">
        <v>68952</v>
      </c>
      <c r="F1926">
        <f>IFERROR(
IF(ISNUMBER(FIND("CFW110",B1926)),
VALUE(MID(B1926,FIND("CFW110",B1926)+6,FIND("T",B1926,FIND("CFW110",B1926))-(FIND("CFW110",B1926)+6))),
IF(ISNUMBER(FIND("D",B1926)),
VALUE(SUBSTITUTE(MID(B1926,FIND("D",B1926)+1,FIND("T",B1926,FIND("D",B1926))-(FIND("D",B1926)+1)),"P",",")),
IF(ISNUMBER(FIND("CFW5",B1926)),
VALUE(MID(B1926,
IF(ISNUMBER(FIND("F",B1926)),FIND("F",B1926)+1,FIND("G",B1926)+1),
FIND("T",B1926)-(IF(ISNUMBER(FIND("F",B1926)),FIND("F",B1926)+1,FIND("G",B1926)+1))
)),
VALUE(MID(B1926,FIND("E0",B1926)+2,FIND("T",B1926,FIND("E0",B1926))-(FIND("E0",B1926)+2)))
))),"")</f>
        <v>180</v>
      </c>
      <c r="G1926">
        <f>IFERROR(
IF(ISNUMBER(FIND("T2",B1926)),220,
IF(ISNUMBER(FIND("T4",B1926)),440,
IF(ISNUMBER(FIND("T5",B1926)),575,
IF(ISNUMBER(FIND("T6",B1926)),690,"")))),
"")</f>
        <v>440</v>
      </c>
    </row>
    <row r="1927" spans="1:7" x14ac:dyDescent="0.25">
      <c r="A1927">
        <v>11482446</v>
      </c>
      <c r="B1927" t="str">
        <f>VLOOKUP(A1927,Planilha2!B:C,2,0)</f>
        <v>INVERSOR BRCFW110211T4OYWZ</v>
      </c>
      <c r="C1927" t="s">
        <v>3170</v>
      </c>
      <c r="D1927" t="str">
        <f>VLOOKUP(A1927,Planilha2!B:H,7,0)</f>
        <v>LINHA G1</v>
      </c>
      <c r="E1927" s="5">
        <v>69666</v>
      </c>
      <c r="F1927">
        <f>IFERROR(
IF(ISNUMBER(FIND("CFW110",B1927)),
VALUE(MID(B1927,FIND("CFW110",B1927)+6,FIND("T",B1927,FIND("CFW110",B1927))-(FIND("CFW110",B1927)+6))),
IF(ISNUMBER(FIND("D",B1927)),
VALUE(SUBSTITUTE(MID(B1927,FIND("D",B1927)+1,FIND("T",B1927,FIND("D",B1927))-(FIND("D",B1927)+1)),"P",",")),
IF(ISNUMBER(FIND("CFW5",B1927)),
VALUE(MID(B1927,
IF(ISNUMBER(FIND("F",B1927)),FIND("F",B1927)+1,FIND("G",B1927)+1),
FIND("T",B1927)-(IF(ISNUMBER(FIND("F",B1927)),FIND("F",B1927)+1,FIND("G",B1927)+1))
)),
VALUE(MID(B1927,FIND("E0",B1927)+2,FIND("T",B1927,FIND("E0",B1927))-(FIND("E0",B1927)+2)))
))),"")</f>
        <v>211</v>
      </c>
      <c r="G1927">
        <f>IFERROR(
IF(ISNUMBER(FIND("T2",B1927)),220,
IF(ISNUMBER(FIND("T4",B1927)),440,
IF(ISNUMBER(FIND("T5",B1927)),575,
IF(ISNUMBER(FIND("T6",B1927)),690,"")))),
"")</f>
        <v>440</v>
      </c>
    </row>
    <row r="1928" spans="1:7" x14ac:dyDescent="0.25">
      <c r="A1928">
        <v>11594304</v>
      </c>
      <c r="B1928" t="str">
        <f>VLOOKUP(A1928,Planilha2!B:C,2,0)</f>
        <v>INVERSOR BRCFW110105T4ODBYWZ</v>
      </c>
      <c r="C1928" t="s">
        <v>3170</v>
      </c>
      <c r="D1928" t="str">
        <f>VLOOKUP(A1928,Planilha2!B:H,7,0)</f>
        <v>LINHA G1</v>
      </c>
      <c r="E1928" s="5">
        <v>59360</v>
      </c>
      <c r="F1928">
        <f>IFERROR(
IF(ISNUMBER(FIND("CFW110",B1928)),
VALUE(MID(B1928,FIND("CFW110",B1928)+6,FIND("T",B1928,FIND("CFW110",B1928))-(FIND("CFW110",B1928)+6))),
IF(ISNUMBER(FIND("D",B1928)),
VALUE(SUBSTITUTE(MID(B1928,FIND("D",B1928)+1,FIND("T",B1928,FIND("D",B1928))-(FIND("D",B1928)+1)),"P",",")),
IF(ISNUMBER(FIND("CFW5",B1928)),
VALUE(MID(B1928,
IF(ISNUMBER(FIND("F",B1928)),FIND("F",B1928)+1,FIND("G",B1928)+1),
FIND("T",B1928)-(IF(ISNUMBER(FIND("F",B1928)),FIND("F",B1928)+1,FIND("G",B1928)+1))
)),
VALUE(MID(B1928,FIND("E0",B1928)+2,FIND("T",B1928,FIND("E0",B1928))-(FIND("E0",B1928)+2)))
))),"")</f>
        <v>105</v>
      </c>
      <c r="G1928">
        <f>IFERROR(
IF(ISNUMBER(FIND("T2",B1928)),220,
IF(ISNUMBER(FIND("T4",B1928)),440,
IF(ISNUMBER(FIND("T5",B1928)),575,
IF(ISNUMBER(FIND("T6",B1928)),690,"")))),
"")</f>
        <v>440</v>
      </c>
    </row>
    <row r="1929" spans="1:7" x14ac:dyDescent="0.25">
      <c r="A1929">
        <v>11594306</v>
      </c>
      <c r="B1929" t="str">
        <f>VLOOKUP(A1929,Planilha2!B:C,2,0)</f>
        <v>INVERSOR BRCFW110142T4ODBYWZ</v>
      </c>
      <c r="C1929" t="s">
        <v>3170</v>
      </c>
      <c r="D1929" t="str">
        <f>VLOOKUP(A1929,Planilha2!B:H,7,0)</f>
        <v>LINHA G1</v>
      </c>
      <c r="E1929" s="5">
        <v>59360</v>
      </c>
      <c r="F1929">
        <f>IFERROR(
IF(ISNUMBER(FIND("CFW110",B1929)),
VALUE(MID(B1929,FIND("CFW110",B1929)+6,FIND("T",B1929,FIND("CFW110",B1929))-(FIND("CFW110",B1929)+6))),
IF(ISNUMBER(FIND("D",B1929)),
VALUE(SUBSTITUTE(MID(B1929,FIND("D",B1929)+1,FIND("T",B1929,FIND("D",B1929))-(FIND("D",B1929)+1)),"P",",")),
IF(ISNUMBER(FIND("CFW5",B1929)),
VALUE(MID(B1929,
IF(ISNUMBER(FIND("F",B1929)),FIND("F",B1929)+1,FIND("G",B1929)+1),
FIND("T",B1929)-(IF(ISNUMBER(FIND("F",B1929)),FIND("F",B1929)+1,FIND("G",B1929)+1))
)),
VALUE(MID(B1929,FIND("E0",B1929)+2,FIND("T",B1929,FIND("E0",B1929))-(FIND("E0",B1929)+2)))
))),"")</f>
        <v>142</v>
      </c>
      <c r="G1929">
        <f>IFERROR(
IF(ISNUMBER(FIND("T2",B1929)),220,
IF(ISNUMBER(FIND("T4",B1929)),440,
IF(ISNUMBER(FIND("T5",B1929)),575,
IF(ISNUMBER(FIND("T6",B1929)),690,"")))),
"")</f>
        <v>440</v>
      </c>
    </row>
    <row r="1930" spans="1:7" x14ac:dyDescent="0.25">
      <c r="A1930">
        <v>11594307</v>
      </c>
      <c r="B1930" t="str">
        <f>VLOOKUP(A1930,Planilha2!B:C,2,0)</f>
        <v>INVERSOR BRCFW110211T4ODBYWZ</v>
      </c>
      <c r="C1930" t="s">
        <v>3170</v>
      </c>
      <c r="D1930" t="str">
        <f>VLOOKUP(A1930,Planilha2!B:H,7,0)</f>
        <v>LINHA G1</v>
      </c>
      <c r="E1930" s="5">
        <v>59360</v>
      </c>
      <c r="F1930">
        <f>IFERROR(
IF(ISNUMBER(FIND("CFW110",B1930)),
VALUE(MID(B1930,FIND("CFW110",B1930)+6,FIND("T",B1930,FIND("CFW110",B1930))-(FIND("CFW110",B1930)+6))),
IF(ISNUMBER(FIND("D",B1930)),
VALUE(SUBSTITUTE(MID(B1930,FIND("D",B1930)+1,FIND("T",B1930,FIND("D",B1930))-(FIND("D",B1930)+1)),"P",",")),
IF(ISNUMBER(FIND("CFW5",B1930)),
VALUE(MID(B1930,
IF(ISNUMBER(FIND("F",B1930)),FIND("F",B1930)+1,FIND("G",B1930)+1),
FIND("T",B1930)-(IF(ISNUMBER(FIND("F",B1930)),FIND("F",B1930)+1,FIND("G",B1930)+1))
)),
VALUE(MID(B1930,FIND("E0",B1930)+2,FIND("T",B1930,FIND("E0",B1930))-(FIND("E0",B1930)+2)))
))),"")</f>
        <v>211</v>
      </c>
      <c r="G1930">
        <f>IFERROR(
IF(ISNUMBER(FIND("T2",B1930)),220,
IF(ISNUMBER(FIND("T4",B1930)),440,
IF(ISNUMBER(FIND("T5",B1930)),575,
IF(ISNUMBER(FIND("T6",B1930)),690,"")))),
"")</f>
        <v>440</v>
      </c>
    </row>
    <row r="1931" spans="1:7" x14ac:dyDescent="0.25">
      <c r="A1931">
        <v>11756246</v>
      </c>
      <c r="B1931" t="str">
        <f>VLOOKUP(A1931,Planilha2!B:C,2,0)</f>
        <v>INVERSOR SACFW110211T4OYZ</v>
      </c>
      <c r="C1931" t="s">
        <v>3170</v>
      </c>
      <c r="D1931" t="str">
        <f>VLOOKUP(A1931,Planilha2!B:H,7,0)</f>
        <v>LINHA G1</v>
      </c>
      <c r="E1931" s="5">
        <v>67900</v>
      </c>
      <c r="F1931">
        <f>IFERROR(
IF(ISNUMBER(FIND("CFW110",B1931)),
VALUE(MID(B1931,FIND("CFW110",B1931)+6,FIND("T",B1931,FIND("CFW110",B1931))-(FIND("CFW110",B1931)+6))),
IF(ISNUMBER(FIND("D",B1931)),
VALUE(SUBSTITUTE(MID(B1931,FIND("D",B1931)+1,FIND("T",B1931,FIND("D",B1931))-(FIND("D",B1931)+1)),"P",",")),
IF(ISNUMBER(FIND("CFW5",B1931)),
VALUE(MID(B1931,
IF(ISNUMBER(FIND("F",B1931)),FIND("F",B1931)+1,FIND("G",B1931)+1),
FIND("T",B1931)-(IF(ISNUMBER(FIND("F",B1931)),FIND("F",B1931)+1,FIND("G",B1931)+1))
)),
VALUE(MID(B1931,FIND("E0",B1931)+2,FIND("T",B1931,FIND("E0",B1931))-(FIND("E0",B1931)+2)))
))),"")</f>
        <v>211</v>
      </c>
      <c r="G1931">
        <f>IFERROR(
IF(ISNUMBER(FIND("T2",B1931)),220,
IF(ISNUMBER(FIND("T4",B1931)),440,
IF(ISNUMBER(FIND("T5",B1931)),575,
IF(ISNUMBER(FIND("T6",B1931)),690,"")))),
"")</f>
        <v>440</v>
      </c>
    </row>
    <row r="1932" spans="1:7" x14ac:dyDescent="0.25">
      <c r="A1932">
        <v>11789271</v>
      </c>
      <c r="B1932" t="str">
        <f>VLOOKUP(A1932,Planilha2!B:C,2,0)</f>
        <v>INVERSOR EUCFW110211T4OYWZ</v>
      </c>
      <c r="C1932" t="s">
        <v>3170</v>
      </c>
      <c r="D1932" t="str">
        <f>VLOOKUP(A1932,Planilha2!B:H,7,0)</f>
        <v>LINHA G1</v>
      </c>
      <c r="E1932" s="5">
        <v>67900</v>
      </c>
      <c r="F1932">
        <f>IFERROR(
IF(ISNUMBER(FIND("CFW110",B1932)),
VALUE(MID(B1932,FIND("CFW110",B1932)+6,FIND("T",B1932,FIND("CFW110",B1932))-(FIND("CFW110",B1932)+6))),
IF(ISNUMBER(FIND("D",B1932)),
VALUE(SUBSTITUTE(MID(B1932,FIND("D",B1932)+1,FIND("T",B1932,FIND("D",B1932))-(FIND("D",B1932)+1)),"P",",")),
IF(ISNUMBER(FIND("CFW5",B1932)),
VALUE(MID(B1932,
IF(ISNUMBER(FIND("F",B1932)),FIND("F",B1932)+1,FIND("G",B1932)+1),
FIND("T",B1932)-(IF(ISNUMBER(FIND("F",B1932)),FIND("F",B1932)+1,FIND("G",B1932)+1))
)),
VALUE(MID(B1932,FIND("E0",B1932)+2,FIND("T",B1932,FIND("E0",B1932))-(FIND("E0",B1932)+2)))
))),"")</f>
        <v>211</v>
      </c>
      <c r="G1932">
        <f>IFERROR(
IF(ISNUMBER(FIND("T2",B1932)),220,
IF(ISNUMBER(FIND("T4",B1932)),440,
IF(ISNUMBER(FIND("T5",B1932)),575,
IF(ISNUMBER(FIND("T6",B1932)),690,"")))),
"")</f>
        <v>440</v>
      </c>
    </row>
    <row r="1933" spans="1:7" x14ac:dyDescent="0.25">
      <c r="A1933">
        <v>11811632</v>
      </c>
      <c r="B1933" t="str">
        <f>VLOOKUP(A1933,Planilha2!B:C,2,0)</f>
        <v>INVERSOR SACFW110211T4OYWZ</v>
      </c>
      <c r="C1933" t="s">
        <v>3170</v>
      </c>
      <c r="D1933" t="str">
        <f>VLOOKUP(A1933,Planilha2!B:H,7,0)</f>
        <v>LINHA G1</v>
      </c>
      <c r="E1933" s="5">
        <v>67900</v>
      </c>
      <c r="F1933">
        <f>IFERROR(
IF(ISNUMBER(FIND("CFW110",B1933)),
VALUE(MID(B1933,FIND("CFW110",B1933)+6,FIND("T",B1933,FIND("CFW110",B1933))-(FIND("CFW110",B1933)+6))),
IF(ISNUMBER(FIND("D",B1933)),
VALUE(SUBSTITUTE(MID(B1933,FIND("D",B1933)+1,FIND("T",B1933,FIND("D",B1933))-(FIND("D",B1933)+1)),"P",",")),
IF(ISNUMBER(FIND("CFW5",B1933)),
VALUE(MID(B1933,
IF(ISNUMBER(FIND("F",B1933)),FIND("F",B1933)+1,FIND("G",B1933)+1),
FIND("T",B1933)-(IF(ISNUMBER(FIND("F",B1933)),FIND("F",B1933)+1,FIND("G",B1933)+1))
)),
VALUE(MID(B1933,FIND("E0",B1933)+2,FIND("T",B1933,FIND("E0",B1933))-(FIND("E0",B1933)+2)))
))),"")</f>
        <v>211</v>
      </c>
      <c r="G1933">
        <f>IFERROR(
IF(ISNUMBER(FIND("T2",B1933)),220,
IF(ISNUMBER(FIND("T4",B1933)),440,
IF(ISNUMBER(FIND("T5",B1933)),575,
IF(ISNUMBER(FIND("T6",B1933)),690,"")))),
"")</f>
        <v>440</v>
      </c>
    </row>
    <row r="1934" spans="1:7" x14ac:dyDescent="0.25">
      <c r="A1934">
        <v>11871534</v>
      </c>
      <c r="B1934" t="str">
        <f>VLOOKUP(A1934,Planilha2!B:C,2,0)</f>
        <v>INVERSOR BRCFW110211T4ODBYZ</v>
      </c>
      <c r="C1934" t="s">
        <v>3170</v>
      </c>
      <c r="D1934" t="str">
        <f>VLOOKUP(A1934,Planilha2!B:H,7,0)</f>
        <v>LINHA G1</v>
      </c>
      <c r="E1934" s="5">
        <v>59360</v>
      </c>
      <c r="F1934">
        <f>IFERROR(
IF(ISNUMBER(FIND("CFW110",B1934)),
VALUE(MID(B1934,FIND("CFW110",B1934)+6,FIND("T",B1934,FIND("CFW110",B1934))-(FIND("CFW110",B1934)+6))),
IF(ISNUMBER(FIND("D",B1934)),
VALUE(SUBSTITUTE(MID(B1934,FIND("D",B1934)+1,FIND("T",B1934,FIND("D",B1934))-(FIND("D",B1934)+1)),"P",",")),
IF(ISNUMBER(FIND("CFW5",B1934)),
VALUE(MID(B1934,
IF(ISNUMBER(FIND("F",B1934)),FIND("F",B1934)+1,FIND("G",B1934)+1),
FIND("T",B1934)-(IF(ISNUMBER(FIND("F",B1934)),FIND("F",B1934)+1,FIND("G",B1934)+1))
)),
VALUE(MID(B1934,FIND("E0",B1934)+2,FIND("T",B1934,FIND("E0",B1934))-(FIND("E0",B1934)+2)))
))),"")</f>
        <v>211</v>
      </c>
      <c r="G1934">
        <f>IFERROR(
IF(ISNUMBER(FIND("T2",B1934)),220,
IF(ISNUMBER(FIND("T4",B1934)),440,
IF(ISNUMBER(FIND("T5",B1934)),575,
IF(ISNUMBER(FIND("T6",B1934)),690,"")))),
"")</f>
        <v>440</v>
      </c>
    </row>
    <row r="1935" spans="1:7" x14ac:dyDescent="0.25">
      <c r="A1935">
        <v>11802358</v>
      </c>
      <c r="B1935" t="str">
        <f>VLOOKUP(A1935,Planilha2!B:C,2,0)</f>
        <v>INVERSOR CFW701E0105T4NB20C3</v>
      </c>
      <c r="C1935" t="s">
        <v>3170</v>
      </c>
      <c r="D1935" t="str">
        <f>VLOOKUP(A1935,Planilha2!B:H,7,0)</f>
        <v>OBSOLETOS DRIVES</v>
      </c>
      <c r="E1935" s="5">
        <v>69100</v>
      </c>
      <c r="F1935">
        <f>IFERROR(
IF(ISNUMBER(FIND("CFW110",B1935)),
VALUE(MID(B1935,FIND("CFW110",B1935)+6,FIND("T",B1935,FIND("CFW110",B1935))-(FIND("CFW110",B1935)+6))),
IF(ISNUMBER(FIND("D",B1935)),
VALUE(SUBSTITUTE(MID(B1935,FIND("D",B1935)+1,FIND("T",B1935,FIND("D",B1935))-(FIND("D",B1935)+1)),"P",",")),
IF(ISNUMBER(FIND("CFW5",B1935)),
VALUE(MID(B1935,
IF(ISNUMBER(FIND("F",B1935)),FIND("F",B1935)+1,FIND("G",B1935)+1),
FIND("T",B1935)-(IF(ISNUMBER(FIND("F",B1935)),FIND("F",B1935)+1,FIND("G",B1935)+1))
)),
VALUE(MID(B1935,FIND("E0",B1935)+2,FIND("T",B1935,FIND("E0",B1935))-(FIND("E0",B1935)+2)))
))),"")</f>
        <v>105</v>
      </c>
      <c r="G1935">
        <f>IFERROR(
IF(ISNUMBER(FIND("T2",B1935)),220,
IF(ISNUMBER(FIND("T4",B1935)),440,
IF(ISNUMBER(FIND("T5",B1935)),575,
IF(ISNUMBER(FIND("T6",B1935)),690,"")))),
"")</f>
        <v>440</v>
      </c>
    </row>
    <row r="1936" spans="1:7" x14ac:dyDescent="0.25">
      <c r="A1936">
        <v>11469933</v>
      </c>
      <c r="B1936" t="str">
        <f>VLOOKUP(A1936,Planilha2!B:C,2,0)</f>
        <v>INVERSOR BRCFW110242T4ORBZ</v>
      </c>
      <c r="C1936" t="s">
        <v>3170</v>
      </c>
      <c r="D1936" t="str">
        <f>VLOOKUP(A1936,Planilha2!B:H,7,0)</f>
        <v>LINHA G3</v>
      </c>
      <c r="E1936" s="5">
        <v>97000</v>
      </c>
      <c r="F1936">
        <f>IFERROR(
IF(ISNUMBER(FIND("CFW110",B1936)),
VALUE(MID(B1936,FIND("CFW110",B1936)+6,FIND("T",B1936,FIND("CFW110",B1936))-(FIND("CFW110",B1936)+6))),
IF(ISNUMBER(FIND("D",B1936)),
VALUE(SUBSTITUTE(MID(B1936,FIND("D",B1936)+1,FIND("T",B1936,FIND("D",B1936))-(FIND("D",B1936)+1)),"P",",")),
IF(ISNUMBER(FIND("CFW5",B1936)),
VALUE(MID(B1936,
IF(ISNUMBER(FIND("F",B1936)),FIND("F",B1936)+1,FIND("G",B1936)+1),
FIND("T",B1936)-(IF(ISNUMBER(FIND("F",B1936)),FIND("F",B1936)+1,FIND("G",B1936)+1))
)),
VALUE(MID(B1936,FIND("E0",B1936)+2,FIND("T",B1936,FIND("E0",B1936))-(FIND("E0",B1936)+2)))
))),"")</f>
        <v>242</v>
      </c>
      <c r="G1936">
        <f>IFERROR(
IF(ISNUMBER(FIND("T2",B1936)),220,
IF(ISNUMBER(FIND("T4",B1936)),440,
IF(ISNUMBER(FIND("T5",B1936)),575,
IF(ISNUMBER(FIND("T6",B1936)),690,"")))),
"")</f>
        <v>440</v>
      </c>
    </row>
    <row r="1937" spans="1:7" x14ac:dyDescent="0.25">
      <c r="A1937">
        <v>11469934</v>
      </c>
      <c r="B1937" t="str">
        <f>VLOOKUP(A1937,Planilha2!B:C,2,0)</f>
        <v>INVERSOR BRCFW110312T4ORBZ</v>
      </c>
      <c r="C1937" t="s">
        <v>3170</v>
      </c>
      <c r="D1937" t="str">
        <f>VLOOKUP(A1937,Planilha2!B:H,7,0)</f>
        <v>LINHA G3</v>
      </c>
      <c r="E1937" s="5">
        <v>89500</v>
      </c>
      <c r="F1937">
        <f>IFERROR(
IF(ISNUMBER(FIND("CFW110",B1937)),
VALUE(MID(B1937,FIND("CFW110",B1937)+6,FIND("T",B1937,FIND("CFW110",B1937))-(FIND("CFW110",B1937)+6))),
IF(ISNUMBER(FIND("D",B1937)),
VALUE(SUBSTITUTE(MID(B1937,FIND("D",B1937)+1,FIND("T",B1937,FIND("D",B1937))-(FIND("D",B1937)+1)),"P",",")),
IF(ISNUMBER(FIND("CFW5",B1937)),
VALUE(MID(B1937,
IF(ISNUMBER(FIND("F",B1937)),FIND("F",B1937)+1,FIND("G",B1937)+1),
FIND("T",B1937)-(IF(ISNUMBER(FIND("F",B1937)),FIND("F",B1937)+1,FIND("G",B1937)+1))
)),
VALUE(MID(B1937,FIND("E0",B1937)+2,FIND("T",B1937,FIND("E0",B1937))-(FIND("E0",B1937)+2)))
))),"")</f>
        <v>312</v>
      </c>
      <c r="G1937">
        <f>IFERROR(
IF(ISNUMBER(FIND("T2",B1937)),220,
IF(ISNUMBER(FIND("T4",B1937)),440,
IF(ISNUMBER(FIND("T5",B1937)),575,
IF(ISNUMBER(FIND("T6",B1937)),690,"")))),
"")</f>
        <v>440</v>
      </c>
    </row>
    <row r="1938" spans="1:7" x14ac:dyDescent="0.25">
      <c r="A1938">
        <v>11689469</v>
      </c>
      <c r="B1938" t="str">
        <f>VLOOKUP(A1938,Planilha2!B:C,2,0)</f>
        <v>INVERSOR BRCFW110150T6OYZ</v>
      </c>
      <c r="C1938" t="s">
        <v>3170</v>
      </c>
      <c r="D1938" t="str">
        <f>VLOOKUP(A1938,Planilha2!B:H,7,0)</f>
        <v>LINHA G1</v>
      </c>
      <c r="E1938" s="5">
        <v>65000</v>
      </c>
      <c r="F1938">
        <f>IFERROR(
IF(ISNUMBER(FIND("CFW110",B1938)),
VALUE(MID(B1938,FIND("CFW110",B1938)+6,FIND("T",B1938,FIND("CFW110",B1938))-(FIND("CFW110",B1938)+6))),
IF(ISNUMBER(FIND("D",B1938)),
VALUE(SUBSTITUTE(MID(B1938,FIND("D",B1938)+1,FIND("T",B1938,FIND("D",B1938))-(FIND("D",B1938)+1)),"P",",")),
IF(ISNUMBER(FIND("CFW5",B1938)),
VALUE(MID(B1938,
IF(ISNUMBER(FIND("F",B1938)),FIND("F",B1938)+1,FIND("G",B1938)+1),
FIND("T",B1938)-(IF(ISNUMBER(FIND("F",B1938)),FIND("F",B1938)+1,FIND("G",B1938)+1))
)),
VALUE(MID(B1938,FIND("E0",B1938)+2,FIND("T",B1938,FIND("E0",B1938))-(FIND("E0",B1938)+2)))
))),"")</f>
        <v>150</v>
      </c>
      <c r="G1938">
        <f>IFERROR(
IF(ISNUMBER(FIND("T2",B1938)),220,
IF(ISNUMBER(FIND("T4",B1938)),440,
IF(ISNUMBER(FIND("T5",B1938)),575,
IF(ISNUMBER(FIND("T6",B1938)),690,"")))),
"")</f>
        <v>690</v>
      </c>
    </row>
    <row r="1939" spans="1:7" x14ac:dyDescent="0.25">
      <c r="A1939">
        <v>11799449</v>
      </c>
      <c r="B1939" t="str">
        <f>VLOOKUP(A1939,Planilha2!B:C,2,0)</f>
        <v>INVERSOR BRCFW110053T6OYZ</v>
      </c>
      <c r="C1939" t="s">
        <v>3170</v>
      </c>
      <c r="D1939" t="str">
        <f>VLOOKUP(A1939,Planilha2!B:H,7,0)</f>
        <v>LINHA G1</v>
      </c>
      <c r="E1939" s="5">
        <v>65000</v>
      </c>
      <c r="F1939">
        <f>IFERROR(
IF(ISNUMBER(FIND("CFW110",B1939)),
VALUE(MID(B1939,FIND("CFW110",B1939)+6,FIND("T",B1939,FIND("CFW110",B1939))-(FIND("CFW110",B1939)+6))),
IF(ISNUMBER(FIND("D",B1939)),
VALUE(SUBSTITUTE(MID(B1939,FIND("D",B1939)+1,FIND("T",B1939,FIND("D",B1939))-(FIND("D",B1939)+1)),"P",",")),
IF(ISNUMBER(FIND("CFW5",B1939)),
VALUE(MID(B1939,
IF(ISNUMBER(FIND("F",B1939)),FIND("F",B1939)+1,FIND("G",B1939)+1),
FIND("T",B1939)-(IF(ISNUMBER(FIND("F",B1939)),FIND("F",B1939)+1,FIND("G",B1939)+1))
)),
VALUE(MID(B1939,FIND("E0",B1939)+2,FIND("T",B1939,FIND("E0",B1939))-(FIND("E0",B1939)+2)))
))),"")</f>
        <v>53</v>
      </c>
      <c r="G1939">
        <f>IFERROR(
IF(ISNUMBER(FIND("T2",B1939)),220,
IF(ISNUMBER(FIND("T4",B1939)),440,
IF(ISNUMBER(FIND("T5",B1939)),575,
IF(ISNUMBER(FIND("T6",B1939)),690,"")))),
"")</f>
        <v>690</v>
      </c>
    </row>
    <row r="1940" spans="1:7" x14ac:dyDescent="0.25">
      <c r="A1940">
        <v>11799450</v>
      </c>
      <c r="B1940" t="str">
        <f>VLOOKUP(A1940,Planilha2!B:C,2,0)</f>
        <v>INVERSOR BRCFW110063T6OYZ</v>
      </c>
      <c r="C1940" t="s">
        <v>3170</v>
      </c>
      <c r="D1940" t="str">
        <f>VLOOKUP(A1940,Planilha2!B:H,7,0)</f>
        <v>LINHA G1</v>
      </c>
      <c r="E1940" s="5">
        <v>65000</v>
      </c>
      <c r="F1940">
        <f>IFERROR(
IF(ISNUMBER(FIND("CFW110",B1940)),
VALUE(MID(B1940,FIND("CFW110",B1940)+6,FIND("T",B1940,FIND("CFW110",B1940))-(FIND("CFW110",B1940)+6))),
IF(ISNUMBER(FIND("D",B1940)),
VALUE(SUBSTITUTE(MID(B1940,FIND("D",B1940)+1,FIND("T",B1940,FIND("D",B1940))-(FIND("D",B1940)+1)),"P",",")),
IF(ISNUMBER(FIND("CFW5",B1940)),
VALUE(MID(B1940,
IF(ISNUMBER(FIND("F",B1940)),FIND("F",B1940)+1,FIND("G",B1940)+1),
FIND("T",B1940)-(IF(ISNUMBER(FIND("F",B1940)),FIND("F",B1940)+1,FIND("G",B1940)+1))
)),
VALUE(MID(B1940,FIND("E0",B1940)+2,FIND("T",B1940,FIND("E0",B1940))-(FIND("E0",B1940)+2)))
))),"")</f>
        <v>63</v>
      </c>
      <c r="G1940">
        <f>IFERROR(
IF(ISNUMBER(FIND("T2",B1940)),220,
IF(ISNUMBER(FIND("T4",B1940)),440,
IF(ISNUMBER(FIND("T5",B1940)),575,
IF(ISNUMBER(FIND("T6",B1940)),690,"")))),
"")</f>
        <v>690</v>
      </c>
    </row>
    <row r="1941" spans="1:7" x14ac:dyDescent="0.25">
      <c r="A1941">
        <v>11799559</v>
      </c>
      <c r="B1941" t="str">
        <f>VLOOKUP(A1941,Planilha2!B:C,2,0)</f>
        <v>INVERSOR BRCFW110080T6OYZ</v>
      </c>
      <c r="C1941" t="s">
        <v>3170</v>
      </c>
      <c r="D1941" t="str">
        <f>VLOOKUP(A1941,Planilha2!B:H,7,0)</f>
        <v>LINHA G1</v>
      </c>
      <c r="E1941" s="5">
        <v>61500</v>
      </c>
      <c r="F1941">
        <f>IFERROR(
IF(ISNUMBER(FIND("CFW110",B1941)),
VALUE(MID(B1941,FIND("CFW110",B1941)+6,FIND("T",B1941,FIND("CFW110",B1941))-(FIND("CFW110",B1941)+6))),
IF(ISNUMBER(FIND("D",B1941)),
VALUE(SUBSTITUTE(MID(B1941,FIND("D",B1941)+1,FIND("T",B1941,FIND("D",B1941))-(FIND("D",B1941)+1)),"P",",")),
IF(ISNUMBER(FIND("CFW5",B1941)),
VALUE(MID(B1941,
IF(ISNUMBER(FIND("F",B1941)),FIND("F",B1941)+1,FIND("G",B1941)+1),
FIND("T",B1941)-(IF(ISNUMBER(FIND("F",B1941)),FIND("F",B1941)+1,FIND("G",B1941)+1))
)),
VALUE(MID(B1941,FIND("E0",B1941)+2,FIND("T",B1941,FIND("E0",B1941))-(FIND("E0",B1941)+2)))
))),"")</f>
        <v>80</v>
      </c>
      <c r="G1941">
        <f>IFERROR(
IF(ISNUMBER(FIND("T2",B1941)),220,
IF(ISNUMBER(FIND("T4",B1941)),440,
IF(ISNUMBER(FIND("T5",B1941)),575,
IF(ISNUMBER(FIND("T6",B1941)),690,"")))),
"")</f>
        <v>690</v>
      </c>
    </row>
    <row r="1942" spans="1:7" x14ac:dyDescent="0.25">
      <c r="A1942">
        <v>11799652</v>
      </c>
      <c r="B1942" t="str">
        <f>VLOOKUP(A1942,Planilha2!B:C,2,0)</f>
        <v>INVERSOR BRCFW110107T6OYZ</v>
      </c>
      <c r="C1942" t="s">
        <v>3170</v>
      </c>
      <c r="D1942" t="str">
        <f>VLOOKUP(A1942,Planilha2!B:H,7,0)</f>
        <v>LINHA G1</v>
      </c>
      <c r="E1942" s="5">
        <v>61500</v>
      </c>
      <c r="F1942">
        <f>IFERROR(
IF(ISNUMBER(FIND("CFW110",B1942)),
VALUE(MID(B1942,FIND("CFW110",B1942)+6,FIND("T",B1942,FIND("CFW110",B1942))-(FIND("CFW110",B1942)+6))),
IF(ISNUMBER(FIND("D",B1942)),
VALUE(SUBSTITUTE(MID(B1942,FIND("D",B1942)+1,FIND("T",B1942,FIND("D",B1942))-(FIND("D",B1942)+1)),"P",",")),
IF(ISNUMBER(FIND("CFW5",B1942)),
VALUE(MID(B1942,
IF(ISNUMBER(FIND("F",B1942)),FIND("F",B1942)+1,FIND("G",B1942)+1),
FIND("T",B1942)-(IF(ISNUMBER(FIND("F",B1942)),FIND("F",B1942)+1,FIND("G",B1942)+1))
)),
VALUE(MID(B1942,FIND("E0",B1942)+2,FIND("T",B1942,FIND("E0",B1942))-(FIND("E0",B1942)+2)))
))),"")</f>
        <v>107</v>
      </c>
      <c r="G1942">
        <f>IFERROR(
IF(ISNUMBER(FIND("T2",B1942)),220,
IF(ISNUMBER(FIND("T4",B1942)),440,
IF(ISNUMBER(FIND("T5",B1942)),575,
IF(ISNUMBER(FIND("T6",B1942)),690,"")))),
"")</f>
        <v>690</v>
      </c>
    </row>
    <row r="1943" spans="1:7" x14ac:dyDescent="0.25">
      <c r="A1943">
        <v>11799654</v>
      </c>
      <c r="B1943" t="str">
        <f>VLOOKUP(A1943,Planilha2!B:C,2,0)</f>
        <v>INVERSOR BRCFW110125T6OYZ</v>
      </c>
      <c r="C1943" t="s">
        <v>3170</v>
      </c>
      <c r="D1943" t="str">
        <f>VLOOKUP(A1943,Planilha2!B:H,7,0)</f>
        <v>LINHA G1</v>
      </c>
      <c r="E1943" s="5">
        <v>65000</v>
      </c>
      <c r="F1943">
        <f>IFERROR(
IF(ISNUMBER(FIND("CFW110",B1943)),
VALUE(MID(B1943,FIND("CFW110",B1943)+6,FIND("T",B1943,FIND("CFW110",B1943))-(FIND("CFW110",B1943)+6))),
IF(ISNUMBER(FIND("D",B1943)),
VALUE(SUBSTITUTE(MID(B1943,FIND("D",B1943)+1,FIND("T",B1943,FIND("D",B1943))-(FIND("D",B1943)+1)),"P",",")),
IF(ISNUMBER(FIND("CFW5",B1943)),
VALUE(MID(B1943,
IF(ISNUMBER(FIND("F",B1943)),FIND("F",B1943)+1,FIND("G",B1943)+1),
FIND("T",B1943)-(IF(ISNUMBER(FIND("F",B1943)),FIND("F",B1943)+1,FIND("G",B1943)+1))
)),
VALUE(MID(B1943,FIND("E0",B1943)+2,FIND("T",B1943,FIND("E0",B1943))-(FIND("E0",B1943)+2)))
))),"")</f>
        <v>125</v>
      </c>
      <c r="G1943">
        <f>IFERROR(
IF(ISNUMBER(FIND("T2",B1943)),220,
IF(ISNUMBER(FIND("T4",B1943)),440,
IF(ISNUMBER(FIND("T5",B1943)),575,
IF(ISNUMBER(FIND("T6",B1943)),690,"")))),
"")</f>
        <v>690</v>
      </c>
    </row>
    <row r="1944" spans="1:7" x14ac:dyDescent="0.25">
      <c r="A1944">
        <v>11802353</v>
      </c>
      <c r="B1944" t="str">
        <f>VLOOKUP(A1944,Planilha2!B:C,2,0)</f>
        <v>INVERSOR CFW701E0180T2NB20C3</v>
      </c>
      <c r="C1944" t="s">
        <v>3170</v>
      </c>
      <c r="D1944" t="str">
        <f>VLOOKUP(A1944,Planilha2!B:H,7,0)</f>
        <v>OBSOLETOS DRIVES</v>
      </c>
      <c r="E1944" s="5">
        <v>69100</v>
      </c>
      <c r="F1944">
        <f>IFERROR(
IF(ISNUMBER(FIND("CFW110",B1944)),
VALUE(MID(B1944,FIND("CFW110",B1944)+6,FIND("T",B1944,FIND("CFW110",B1944))-(FIND("CFW110",B1944)+6))),
IF(ISNUMBER(FIND("D",B1944)),
VALUE(SUBSTITUTE(MID(B1944,FIND("D",B1944)+1,FIND("T",B1944,FIND("D",B1944))-(FIND("D",B1944)+1)),"P",",")),
IF(ISNUMBER(FIND("CFW5",B1944)),
VALUE(MID(B1944,
IF(ISNUMBER(FIND("F",B1944)),FIND("F",B1944)+1,FIND("G",B1944)+1),
FIND("T",B1944)-(IF(ISNUMBER(FIND("F",B1944)),FIND("F",B1944)+1,FIND("G",B1944)+1))
)),
VALUE(MID(B1944,FIND("E0",B1944)+2,FIND("T",B1944,FIND("E0",B1944))-(FIND("E0",B1944)+2)))
))),"")</f>
        <v>180</v>
      </c>
      <c r="G1944">
        <f>IFERROR(
IF(ISNUMBER(FIND("T2",B1944)),220,
IF(ISNUMBER(FIND("T4",B1944)),440,
IF(ISNUMBER(FIND("T5",B1944)),575,
IF(ISNUMBER(FIND("T6",B1944)),690,"")))),
"")</f>
        <v>220</v>
      </c>
    </row>
    <row r="1945" spans="1:7" x14ac:dyDescent="0.25">
      <c r="A1945">
        <v>11802354</v>
      </c>
      <c r="B1945" t="str">
        <f>VLOOKUP(A1945,Planilha2!B:C,2,0)</f>
        <v>INVERSOR CFW701E0211T2NB20C3</v>
      </c>
      <c r="C1945" t="s">
        <v>3170</v>
      </c>
      <c r="D1945" t="str">
        <f>VLOOKUP(A1945,Planilha2!B:H,7,0)</f>
        <v>OBSOLETOS DRIVES</v>
      </c>
      <c r="E1945" s="5">
        <v>69100</v>
      </c>
      <c r="F1945">
        <f>IFERROR(
IF(ISNUMBER(FIND("CFW110",B1945)),
VALUE(MID(B1945,FIND("CFW110",B1945)+6,FIND("T",B1945,FIND("CFW110",B1945))-(FIND("CFW110",B1945)+6))),
IF(ISNUMBER(FIND("D",B1945)),
VALUE(SUBSTITUTE(MID(B1945,FIND("D",B1945)+1,FIND("T",B1945,FIND("D",B1945))-(FIND("D",B1945)+1)),"P",",")),
IF(ISNUMBER(FIND("CFW5",B1945)),
VALUE(MID(B1945,
IF(ISNUMBER(FIND("F",B1945)),FIND("F",B1945)+1,FIND("G",B1945)+1),
FIND("T",B1945)-(IF(ISNUMBER(FIND("F",B1945)),FIND("F",B1945)+1,FIND("G",B1945)+1))
)),
VALUE(MID(B1945,FIND("E0",B1945)+2,FIND("T",B1945,FIND("E0",B1945))-(FIND("E0",B1945)+2)))
))),"")</f>
        <v>211</v>
      </c>
      <c r="G1945">
        <f>IFERROR(
IF(ISNUMBER(FIND("T2",B1945)),220,
IF(ISNUMBER(FIND("T4",B1945)),440,
IF(ISNUMBER(FIND("T5",B1945)),575,
IF(ISNUMBER(FIND("T6",B1945)),690,"")))),
"")</f>
        <v>220</v>
      </c>
    </row>
    <row r="1946" spans="1:7" x14ac:dyDescent="0.25">
      <c r="A1946">
        <v>11802356</v>
      </c>
      <c r="B1946" t="str">
        <f>VLOOKUP(A1946,Planilha2!B:C,2,0)</f>
        <v>INVERSOR CFW701E0180T2DB20C3</v>
      </c>
      <c r="C1946" t="s">
        <v>3170</v>
      </c>
      <c r="D1946" t="str">
        <f>VLOOKUP(A1946,Planilha2!B:H,7,0)</f>
        <v>OBSOLETOS DRIVES</v>
      </c>
      <c r="E1946" s="5">
        <v>69100</v>
      </c>
      <c r="F1946" t="str">
        <f>IFERROR(
IF(ISNUMBER(FIND("CFW110",B1946)),
VALUE(MID(B1946,FIND("CFW110",B1946)+6,FIND("T",B1946,FIND("CFW110",B1946))-(FIND("CFW110",B1946)+6))),
IF(ISNUMBER(FIND("D",B1946)),
VALUE(SUBSTITUTE(MID(B1946,FIND("D",B1946)+1,FIND("T",B1946,FIND("D",B1946))-(FIND("D",B1946)+1)),"P",",")),
IF(ISNUMBER(FIND("CFW5",B1946)),
VALUE(MID(B1946,
IF(ISNUMBER(FIND("F",B1946)),FIND("F",B1946)+1,FIND("G",B1946)+1),
FIND("T",B1946)-(IF(ISNUMBER(FIND("F",B1946)),FIND("F",B1946)+1,FIND("G",B1946)+1))
)),
VALUE(MID(B1946,FIND("E0",B1946)+2,FIND("T",B1946,FIND("E0",B1946))-(FIND("E0",B1946)+2)))
))),"")</f>
        <v/>
      </c>
      <c r="G1946">
        <f>IFERROR(
IF(ISNUMBER(FIND("T2",B1946)),220,
IF(ISNUMBER(FIND("T4",B1946)),440,
IF(ISNUMBER(FIND("T5",B1946)),575,
IF(ISNUMBER(FIND("T6",B1946)),690,"")))),
"")</f>
        <v>220</v>
      </c>
    </row>
    <row r="1947" spans="1:7" x14ac:dyDescent="0.25">
      <c r="A1947">
        <v>11802357</v>
      </c>
      <c r="B1947" t="str">
        <f>VLOOKUP(A1947,Planilha2!B:C,2,0)</f>
        <v>INVERSOR CFW701E0211T2DB20C3</v>
      </c>
      <c r="C1947" t="s">
        <v>3170</v>
      </c>
      <c r="D1947" t="str">
        <f>VLOOKUP(A1947,Planilha2!B:H,7,0)</f>
        <v>OBSOLETOS DRIVES</v>
      </c>
      <c r="E1947" s="5">
        <v>69100</v>
      </c>
      <c r="F1947" t="str">
        <f>IFERROR(
IF(ISNUMBER(FIND("CFW110",B1947)),
VALUE(MID(B1947,FIND("CFW110",B1947)+6,FIND("T",B1947,FIND("CFW110",B1947))-(FIND("CFW110",B1947)+6))),
IF(ISNUMBER(FIND("D",B1947)),
VALUE(SUBSTITUTE(MID(B1947,FIND("D",B1947)+1,FIND("T",B1947,FIND("D",B1947))-(FIND("D",B1947)+1)),"P",",")),
IF(ISNUMBER(FIND("CFW5",B1947)),
VALUE(MID(B1947,
IF(ISNUMBER(FIND("F",B1947)),FIND("F",B1947)+1,FIND("G",B1947)+1),
FIND("T",B1947)-(IF(ISNUMBER(FIND("F",B1947)),FIND("F",B1947)+1,FIND("G",B1947)+1))
)),
VALUE(MID(B1947,FIND("E0",B1947)+2,FIND("T",B1947,FIND("E0",B1947))-(FIND("E0",B1947)+2)))
))),"")</f>
        <v/>
      </c>
      <c r="G1947">
        <f>IFERROR(
IF(ISNUMBER(FIND("T2",B1947)),220,
IF(ISNUMBER(FIND("T4",B1947)),440,
IF(ISNUMBER(FIND("T5",B1947)),575,
IF(ISNUMBER(FIND("T6",B1947)),690,"")))),
"")</f>
        <v>220</v>
      </c>
    </row>
    <row r="1948" spans="1:7" x14ac:dyDescent="0.25">
      <c r="A1948">
        <v>11802359</v>
      </c>
      <c r="B1948" t="str">
        <f>VLOOKUP(A1948,Planilha2!B:C,2,0)</f>
        <v>INVERSOR CFW701E0142T4NB20C3</v>
      </c>
      <c r="C1948" t="s">
        <v>3170</v>
      </c>
      <c r="D1948" t="str">
        <f>VLOOKUP(A1948,Planilha2!B:H,7,0)</f>
        <v>OBSOLETOS DRIVES</v>
      </c>
      <c r="E1948" s="5">
        <v>69100</v>
      </c>
      <c r="F1948">
        <f>IFERROR(
IF(ISNUMBER(FIND("CFW110",B1948)),
VALUE(MID(B1948,FIND("CFW110",B1948)+6,FIND("T",B1948,FIND("CFW110",B1948))-(FIND("CFW110",B1948)+6))),
IF(ISNUMBER(FIND("D",B1948)),
VALUE(SUBSTITUTE(MID(B1948,FIND("D",B1948)+1,FIND("T",B1948,FIND("D",B1948))-(FIND("D",B1948)+1)),"P",",")),
IF(ISNUMBER(FIND("CFW5",B1948)),
VALUE(MID(B1948,
IF(ISNUMBER(FIND("F",B1948)),FIND("F",B1948)+1,FIND("G",B1948)+1),
FIND("T",B1948)-(IF(ISNUMBER(FIND("F",B1948)),FIND("F",B1948)+1,FIND("G",B1948)+1))
)),
VALUE(MID(B1948,FIND("E0",B1948)+2,FIND("T",B1948,FIND("E0",B1948))-(FIND("E0",B1948)+2)))
))),"")</f>
        <v>142</v>
      </c>
      <c r="G1948">
        <f>IFERROR(
IF(ISNUMBER(FIND("T2",B1948)),220,
IF(ISNUMBER(FIND("T4",B1948)),440,
IF(ISNUMBER(FIND("T5",B1948)),575,
IF(ISNUMBER(FIND("T6",B1948)),690,"")))),
"")</f>
        <v>440</v>
      </c>
    </row>
    <row r="1949" spans="1:7" x14ac:dyDescent="0.25">
      <c r="A1949">
        <v>11802360</v>
      </c>
      <c r="B1949" t="str">
        <f>VLOOKUP(A1949,Planilha2!B:C,2,0)</f>
        <v>INVERSOR CFW701E0180T4NB20C3</v>
      </c>
      <c r="C1949" t="s">
        <v>3170</v>
      </c>
      <c r="D1949" t="str">
        <f>VLOOKUP(A1949,Planilha2!B:H,7,0)</f>
        <v>OBSOLETOS DRIVES</v>
      </c>
      <c r="E1949" s="5">
        <v>69100</v>
      </c>
      <c r="F1949">
        <f>IFERROR(
IF(ISNUMBER(FIND("CFW110",B1949)),
VALUE(MID(B1949,FIND("CFW110",B1949)+6,FIND("T",B1949,FIND("CFW110",B1949))-(FIND("CFW110",B1949)+6))),
IF(ISNUMBER(FIND("D",B1949)),
VALUE(SUBSTITUTE(MID(B1949,FIND("D",B1949)+1,FIND("T",B1949,FIND("D",B1949))-(FIND("D",B1949)+1)),"P",",")),
IF(ISNUMBER(FIND("CFW5",B1949)),
VALUE(MID(B1949,
IF(ISNUMBER(FIND("F",B1949)),FIND("F",B1949)+1,FIND("G",B1949)+1),
FIND("T",B1949)-(IF(ISNUMBER(FIND("F",B1949)),FIND("F",B1949)+1,FIND("G",B1949)+1))
)),
VALUE(MID(B1949,FIND("E0",B1949)+2,FIND("T",B1949,FIND("E0",B1949))-(FIND("E0",B1949)+2)))
))),"")</f>
        <v>180</v>
      </c>
      <c r="G1949">
        <f>IFERROR(
IF(ISNUMBER(FIND("T2",B1949)),220,
IF(ISNUMBER(FIND("T4",B1949)),440,
IF(ISNUMBER(FIND("T5",B1949)),575,
IF(ISNUMBER(FIND("T6",B1949)),690,"")))),
"")</f>
        <v>440</v>
      </c>
    </row>
    <row r="1950" spans="1:7" x14ac:dyDescent="0.25">
      <c r="A1950">
        <v>11802361</v>
      </c>
      <c r="B1950" t="str">
        <f>VLOOKUP(A1950,Planilha2!B:C,2,0)</f>
        <v>INVERSOR CFW701E0211T4NB20C3</v>
      </c>
      <c r="C1950" t="s">
        <v>3170</v>
      </c>
      <c r="D1950" t="str">
        <f>VLOOKUP(A1950,Planilha2!B:H,7,0)</f>
        <v>OBSOLETOS DRIVES</v>
      </c>
      <c r="E1950" s="5">
        <v>69100</v>
      </c>
      <c r="F1950">
        <f>IFERROR(
IF(ISNUMBER(FIND("CFW110",B1950)),
VALUE(MID(B1950,FIND("CFW110",B1950)+6,FIND("T",B1950,FIND("CFW110",B1950))-(FIND("CFW110",B1950)+6))),
IF(ISNUMBER(FIND("D",B1950)),
VALUE(SUBSTITUTE(MID(B1950,FIND("D",B1950)+1,FIND("T",B1950,FIND("D",B1950))-(FIND("D",B1950)+1)),"P",",")),
IF(ISNUMBER(FIND("CFW5",B1950)),
VALUE(MID(B1950,
IF(ISNUMBER(FIND("F",B1950)),FIND("F",B1950)+1,FIND("G",B1950)+1),
FIND("T",B1950)-(IF(ISNUMBER(FIND("F",B1950)),FIND("F",B1950)+1,FIND("G",B1950)+1))
)),
VALUE(MID(B1950,FIND("E0",B1950)+2,FIND("T",B1950,FIND("E0",B1950))-(FIND("E0",B1950)+2)))
))),"")</f>
        <v>211</v>
      </c>
      <c r="G1950">
        <f>IFERROR(
IF(ISNUMBER(FIND("T2",B1950)),220,
IF(ISNUMBER(FIND("T4",B1950)),440,
IF(ISNUMBER(FIND("T5",B1950)),575,
IF(ISNUMBER(FIND("T6",B1950)),690,"")))),
"")</f>
        <v>440</v>
      </c>
    </row>
    <row r="1951" spans="1:7" x14ac:dyDescent="0.25">
      <c r="A1951">
        <v>11802362</v>
      </c>
      <c r="B1951" t="str">
        <f>VLOOKUP(A1951,Planilha2!B:C,2,0)</f>
        <v>INVERSOR CFW701E0105T4DB20C3</v>
      </c>
      <c r="C1951" t="s">
        <v>3170</v>
      </c>
      <c r="D1951" t="str">
        <f>VLOOKUP(A1951,Planilha2!B:H,7,0)</f>
        <v>OBSOLETOS DRIVES</v>
      </c>
      <c r="E1951" s="5">
        <v>69100</v>
      </c>
      <c r="F1951" t="str">
        <f>IFERROR(
IF(ISNUMBER(FIND("CFW110",B1951)),
VALUE(MID(B1951,FIND("CFW110",B1951)+6,FIND("T",B1951,FIND("CFW110",B1951))-(FIND("CFW110",B1951)+6))),
IF(ISNUMBER(FIND("D",B1951)),
VALUE(SUBSTITUTE(MID(B1951,FIND("D",B1951)+1,FIND("T",B1951,FIND("D",B1951))-(FIND("D",B1951)+1)),"P",",")),
IF(ISNUMBER(FIND("CFW5",B1951)),
VALUE(MID(B1951,
IF(ISNUMBER(FIND("F",B1951)),FIND("F",B1951)+1,FIND("G",B1951)+1),
FIND("T",B1951)-(IF(ISNUMBER(FIND("F",B1951)),FIND("F",B1951)+1,FIND("G",B1951)+1))
)),
VALUE(MID(B1951,FIND("E0",B1951)+2,FIND("T",B1951,FIND("E0",B1951))-(FIND("E0",B1951)+2)))
))),"")</f>
        <v/>
      </c>
      <c r="G1951">
        <f>IFERROR(
IF(ISNUMBER(FIND("T2",B1951)),220,
IF(ISNUMBER(FIND("T4",B1951)),440,
IF(ISNUMBER(FIND("T5",B1951)),575,
IF(ISNUMBER(FIND("T6",B1951)),690,"")))),
"")</f>
        <v>440</v>
      </c>
    </row>
    <row r="1952" spans="1:7" x14ac:dyDescent="0.25">
      <c r="A1952">
        <v>11802363</v>
      </c>
      <c r="B1952" t="str">
        <f>VLOOKUP(A1952,Planilha2!B:C,2,0)</f>
        <v>INVERSOR CFW701E0142T4DB20C3</v>
      </c>
      <c r="C1952" t="s">
        <v>3170</v>
      </c>
      <c r="D1952" t="str">
        <f>VLOOKUP(A1952,Planilha2!B:H,7,0)</f>
        <v>OBSOLETOS DRIVES</v>
      </c>
      <c r="E1952" s="5">
        <v>69100</v>
      </c>
      <c r="F1952" t="str">
        <f>IFERROR(
IF(ISNUMBER(FIND("CFW110",B1952)),
VALUE(MID(B1952,FIND("CFW110",B1952)+6,FIND("T",B1952,FIND("CFW110",B1952))-(FIND("CFW110",B1952)+6))),
IF(ISNUMBER(FIND("D",B1952)),
VALUE(SUBSTITUTE(MID(B1952,FIND("D",B1952)+1,FIND("T",B1952,FIND("D",B1952))-(FIND("D",B1952)+1)),"P",",")),
IF(ISNUMBER(FIND("CFW5",B1952)),
VALUE(MID(B1952,
IF(ISNUMBER(FIND("F",B1952)),FIND("F",B1952)+1,FIND("G",B1952)+1),
FIND("T",B1952)-(IF(ISNUMBER(FIND("F",B1952)),FIND("F",B1952)+1,FIND("G",B1952)+1))
)),
VALUE(MID(B1952,FIND("E0",B1952)+2,FIND("T",B1952,FIND("E0",B1952))-(FIND("E0",B1952)+2)))
))),"")</f>
        <v/>
      </c>
      <c r="G1952">
        <f>IFERROR(
IF(ISNUMBER(FIND("T2",B1952)),220,
IF(ISNUMBER(FIND("T4",B1952)),440,
IF(ISNUMBER(FIND("T5",B1952)),575,
IF(ISNUMBER(FIND("T6",B1952)),690,"")))),
"")</f>
        <v>440</v>
      </c>
    </row>
    <row r="1953" spans="1:7" x14ac:dyDescent="0.25">
      <c r="A1953">
        <v>11802364</v>
      </c>
      <c r="B1953" t="str">
        <f>VLOOKUP(A1953,Planilha2!B:C,2,0)</f>
        <v>INVERSOR CFW701E0180T4DB20C3</v>
      </c>
      <c r="C1953" t="s">
        <v>3170</v>
      </c>
      <c r="D1953" t="str">
        <f>VLOOKUP(A1953,Planilha2!B:H,7,0)</f>
        <v>OBSOLETOS DRIVES</v>
      </c>
      <c r="E1953" s="5">
        <v>69100</v>
      </c>
      <c r="F1953" t="str">
        <f>IFERROR(
IF(ISNUMBER(FIND("CFW110",B1953)),
VALUE(MID(B1953,FIND("CFW110",B1953)+6,FIND("T",B1953,FIND("CFW110",B1953))-(FIND("CFW110",B1953)+6))),
IF(ISNUMBER(FIND("D",B1953)),
VALUE(SUBSTITUTE(MID(B1953,FIND("D",B1953)+1,FIND("T",B1953,FIND("D",B1953))-(FIND("D",B1953)+1)),"P",",")),
IF(ISNUMBER(FIND("CFW5",B1953)),
VALUE(MID(B1953,
IF(ISNUMBER(FIND("F",B1953)),FIND("F",B1953)+1,FIND("G",B1953)+1),
FIND("T",B1953)-(IF(ISNUMBER(FIND("F",B1953)),FIND("F",B1953)+1,FIND("G",B1953)+1))
)),
VALUE(MID(B1953,FIND("E0",B1953)+2,FIND("T",B1953,FIND("E0",B1953))-(FIND("E0",B1953)+2)))
))),"")</f>
        <v/>
      </c>
      <c r="G1953">
        <f>IFERROR(
IF(ISNUMBER(FIND("T2",B1953)),220,
IF(ISNUMBER(FIND("T4",B1953)),440,
IF(ISNUMBER(FIND("T5",B1953)),575,
IF(ISNUMBER(FIND("T6",B1953)),690,"")))),
"")</f>
        <v>440</v>
      </c>
    </row>
    <row r="1954" spans="1:7" x14ac:dyDescent="0.25">
      <c r="A1954">
        <v>11802365</v>
      </c>
      <c r="B1954" t="str">
        <f>VLOOKUP(A1954,Planilha2!B:C,2,0)</f>
        <v>INVERSOR CFW701E0211T4DB20C3</v>
      </c>
      <c r="C1954" t="s">
        <v>3170</v>
      </c>
      <c r="D1954" t="str">
        <f>VLOOKUP(A1954,Planilha2!B:H,7,0)</f>
        <v>OBSOLETOS DRIVES</v>
      </c>
      <c r="E1954" s="5">
        <v>69100</v>
      </c>
      <c r="F1954" t="str">
        <f>IFERROR(
IF(ISNUMBER(FIND("CFW110",B1954)),
VALUE(MID(B1954,FIND("CFW110",B1954)+6,FIND("T",B1954,FIND("CFW110",B1954))-(FIND("CFW110",B1954)+6))),
IF(ISNUMBER(FIND("D",B1954)),
VALUE(SUBSTITUTE(MID(B1954,FIND("D",B1954)+1,FIND("T",B1954,FIND("D",B1954))-(FIND("D",B1954)+1)),"P",",")),
IF(ISNUMBER(FIND("CFW5",B1954)),
VALUE(MID(B1954,
IF(ISNUMBER(FIND("F",B1954)),FIND("F",B1954)+1,FIND("G",B1954)+1),
FIND("T",B1954)-(IF(ISNUMBER(FIND("F",B1954)),FIND("F",B1954)+1,FIND("G",B1954)+1))
)),
VALUE(MID(B1954,FIND("E0",B1954)+2,FIND("T",B1954,FIND("E0",B1954))-(FIND("E0",B1954)+2)))
))),"")</f>
        <v/>
      </c>
      <c r="G1954">
        <f>IFERROR(
IF(ISNUMBER(FIND("T2",B1954)),220,
IF(ISNUMBER(FIND("T4",B1954)),440,
IF(ISNUMBER(FIND("T5",B1954)),575,
IF(ISNUMBER(FIND("T6",B1954)),690,"")))),
"")</f>
        <v>440</v>
      </c>
    </row>
    <row r="1955" spans="1:7" x14ac:dyDescent="0.25">
      <c r="A1955">
        <v>11093418</v>
      </c>
      <c r="B1955" t="str">
        <f>VLOOKUP(A1955,Planilha2!B:C,2,0)</f>
        <v>INVERSOR EUCFW110142T4SZ</v>
      </c>
      <c r="C1955" t="s">
        <v>3170</v>
      </c>
      <c r="D1955" t="str">
        <f>VLOOKUP(A1955,Planilha2!B:H,7,0)</f>
        <v>LINHA G1</v>
      </c>
      <c r="E1955" s="5">
        <v>64000</v>
      </c>
      <c r="F1955">
        <f>IFERROR(
IF(ISNUMBER(FIND("CFW110",B1955)),
VALUE(MID(B1955,FIND("CFW110",B1955)+6,FIND("T",B1955,FIND("CFW110",B1955))-(FIND("CFW110",B1955)+6))),
IF(ISNUMBER(FIND("D",B1955)),
VALUE(SUBSTITUTE(MID(B1955,FIND("D",B1955)+1,FIND("T",B1955,FIND("D",B1955))-(FIND("D",B1955)+1)),"P",",")),
IF(ISNUMBER(FIND("CFW5",B1955)),
VALUE(MID(B1955,
IF(ISNUMBER(FIND("F",B1955)),FIND("F",B1955)+1,FIND("G",B1955)+1),
FIND("T",B1955)-(IF(ISNUMBER(FIND("F",B1955)),FIND("F",B1955)+1,FIND("G",B1955)+1))
)),
VALUE(MID(B1955,FIND("E0",B1955)+2,FIND("T",B1955,FIND("E0",B1955))-(FIND("E0",B1955)+2)))
))),"")</f>
        <v>142</v>
      </c>
      <c r="G1955">
        <f>IFERROR(
IF(ISNUMBER(FIND("T2",B1955)),220,
IF(ISNUMBER(FIND("T4",B1955)),440,
IF(ISNUMBER(FIND("T5",B1955)),575,
IF(ISNUMBER(FIND("T6",B1955)),690,"")))),
"")</f>
        <v>440</v>
      </c>
    </row>
    <row r="1956" spans="1:7" x14ac:dyDescent="0.25">
      <c r="A1956">
        <v>11114151</v>
      </c>
      <c r="B1956" t="str">
        <f>VLOOKUP(A1956,Planilha2!B:C,2,0)</f>
        <v>INVERSOR EUCFW110180T4SZ</v>
      </c>
      <c r="C1956" t="s">
        <v>3170</v>
      </c>
      <c r="D1956" t="str">
        <f>VLOOKUP(A1956,Planilha2!B:H,7,0)</f>
        <v>LINHA G1</v>
      </c>
      <c r="E1956" s="5">
        <v>65000</v>
      </c>
      <c r="F1956">
        <f>IFERROR(
IF(ISNUMBER(FIND("CFW110",B1956)),
VALUE(MID(B1956,FIND("CFW110",B1956)+6,FIND("T",B1956,FIND("CFW110",B1956))-(FIND("CFW110",B1956)+6))),
IF(ISNUMBER(FIND("D",B1956)),
VALUE(SUBSTITUTE(MID(B1956,FIND("D",B1956)+1,FIND("T",B1956,FIND("D",B1956))-(FIND("D",B1956)+1)),"P",",")),
IF(ISNUMBER(FIND("CFW5",B1956)),
VALUE(MID(B1956,
IF(ISNUMBER(FIND("F",B1956)),FIND("F",B1956)+1,FIND("G",B1956)+1),
FIND("T",B1956)-(IF(ISNUMBER(FIND("F",B1956)),FIND("F",B1956)+1,FIND("G",B1956)+1))
)),
VALUE(MID(B1956,FIND("E0",B1956)+2,FIND("T",B1956,FIND("E0",B1956))-(FIND("E0",B1956)+2)))
))),"")</f>
        <v>180</v>
      </c>
      <c r="G1956">
        <f>IFERROR(
IF(ISNUMBER(FIND("T2",B1956)),220,
IF(ISNUMBER(FIND("T4",B1956)),440,
IF(ISNUMBER(FIND("T5",B1956)),575,
IF(ISNUMBER(FIND("T6",B1956)),690,"")))),
"")</f>
        <v>440</v>
      </c>
    </row>
    <row r="1957" spans="1:7" x14ac:dyDescent="0.25">
      <c r="A1957">
        <v>11128843</v>
      </c>
      <c r="B1957" t="str">
        <f>VLOOKUP(A1957,Planilha2!B:C,2,0)</f>
        <v>INVERSOR NACFW110180T2SZ</v>
      </c>
      <c r="C1957" t="s">
        <v>3170</v>
      </c>
      <c r="D1957" t="str">
        <f>VLOOKUP(A1957,Planilha2!B:H,7,0)</f>
        <v>LINHA G1</v>
      </c>
      <c r="E1957" s="5">
        <v>65000</v>
      </c>
      <c r="F1957">
        <f>IFERROR(
IF(ISNUMBER(FIND("CFW110",B1957)),
VALUE(MID(B1957,FIND("CFW110",B1957)+6,FIND("T",B1957,FIND("CFW110",B1957))-(FIND("CFW110",B1957)+6))),
IF(ISNUMBER(FIND("D",B1957)),
VALUE(SUBSTITUTE(MID(B1957,FIND("D",B1957)+1,FIND("T",B1957,FIND("D",B1957))-(FIND("D",B1957)+1)),"P",",")),
IF(ISNUMBER(FIND("CFW5",B1957)),
VALUE(MID(B1957,
IF(ISNUMBER(FIND("F",B1957)),FIND("F",B1957)+1,FIND("G",B1957)+1),
FIND("T",B1957)-(IF(ISNUMBER(FIND("F",B1957)),FIND("F",B1957)+1,FIND("G",B1957)+1))
)),
VALUE(MID(B1957,FIND("E0",B1957)+2,FIND("T",B1957,FIND("E0",B1957))-(FIND("E0",B1957)+2)))
))),"")</f>
        <v>180</v>
      </c>
      <c r="G1957">
        <f>IFERROR(
IF(ISNUMBER(FIND("T2",B1957)),220,
IF(ISNUMBER(FIND("T4",B1957)),440,
IF(ISNUMBER(FIND("T5",B1957)),575,
IF(ISNUMBER(FIND("T6",B1957)),690,"")))),
"")</f>
        <v>220</v>
      </c>
    </row>
    <row r="1958" spans="1:7" x14ac:dyDescent="0.25">
      <c r="A1958">
        <v>11128844</v>
      </c>
      <c r="B1958" t="str">
        <f>VLOOKUP(A1958,Planilha2!B:C,2,0)</f>
        <v>INVERSOR NACFW110211T2SZ</v>
      </c>
      <c r="C1958" t="s">
        <v>3170</v>
      </c>
      <c r="D1958" t="str">
        <f>VLOOKUP(A1958,Planilha2!B:H,7,0)</f>
        <v>LINHA G1</v>
      </c>
      <c r="E1958" s="5">
        <v>65000</v>
      </c>
      <c r="F1958">
        <f>IFERROR(
IF(ISNUMBER(FIND("CFW110",B1958)),
VALUE(MID(B1958,FIND("CFW110",B1958)+6,FIND("T",B1958,FIND("CFW110",B1958))-(FIND("CFW110",B1958)+6))),
IF(ISNUMBER(FIND("D",B1958)),
VALUE(SUBSTITUTE(MID(B1958,FIND("D",B1958)+1,FIND("T",B1958,FIND("D",B1958))-(FIND("D",B1958)+1)),"P",",")),
IF(ISNUMBER(FIND("CFW5",B1958)),
VALUE(MID(B1958,
IF(ISNUMBER(FIND("F",B1958)),FIND("F",B1958)+1,FIND("G",B1958)+1),
FIND("T",B1958)-(IF(ISNUMBER(FIND("F",B1958)),FIND("F",B1958)+1,FIND("G",B1958)+1))
)),
VALUE(MID(B1958,FIND("E0",B1958)+2,FIND("T",B1958,FIND("E0",B1958))-(FIND("E0",B1958)+2)))
))),"")</f>
        <v>211</v>
      </c>
      <c r="G1958">
        <f>IFERROR(
IF(ISNUMBER(FIND("T2",B1958)),220,
IF(ISNUMBER(FIND("T4",B1958)),440,
IF(ISNUMBER(FIND("T5",B1958)),575,
IF(ISNUMBER(FIND("T6",B1958)),690,"")))),
"")</f>
        <v>220</v>
      </c>
    </row>
    <row r="1959" spans="1:7" x14ac:dyDescent="0.25">
      <c r="A1959">
        <v>11128846</v>
      </c>
      <c r="B1959" t="str">
        <f>VLOOKUP(A1959,Planilha2!B:C,2,0)</f>
        <v>INVERSOR NACFW110105T4SZ</v>
      </c>
      <c r="C1959" t="s">
        <v>3170</v>
      </c>
      <c r="D1959" t="str">
        <f>VLOOKUP(A1959,Planilha2!B:H,7,0)</f>
        <v>LINHA G1</v>
      </c>
      <c r="E1959" s="5">
        <v>62500</v>
      </c>
      <c r="F1959">
        <f>IFERROR(
IF(ISNUMBER(FIND("CFW110",B1959)),
VALUE(MID(B1959,FIND("CFW110",B1959)+6,FIND("T",B1959,FIND("CFW110",B1959))-(FIND("CFW110",B1959)+6))),
IF(ISNUMBER(FIND("D",B1959)),
VALUE(SUBSTITUTE(MID(B1959,FIND("D",B1959)+1,FIND("T",B1959,FIND("D",B1959))-(FIND("D",B1959)+1)),"P",",")),
IF(ISNUMBER(FIND("CFW5",B1959)),
VALUE(MID(B1959,
IF(ISNUMBER(FIND("F",B1959)),FIND("F",B1959)+1,FIND("G",B1959)+1),
FIND("T",B1959)-(IF(ISNUMBER(FIND("F",B1959)),FIND("F",B1959)+1,FIND("G",B1959)+1))
)),
VALUE(MID(B1959,FIND("E0",B1959)+2,FIND("T",B1959,FIND("E0",B1959))-(FIND("E0",B1959)+2)))
))),"")</f>
        <v>105</v>
      </c>
      <c r="G1959">
        <f>IFERROR(
IF(ISNUMBER(FIND("T2",B1959)),220,
IF(ISNUMBER(FIND("T4",B1959)),440,
IF(ISNUMBER(FIND("T5",B1959)),575,
IF(ISNUMBER(FIND("T6",B1959)),690,"")))),
"")</f>
        <v>440</v>
      </c>
    </row>
    <row r="1960" spans="1:7" x14ac:dyDescent="0.25">
      <c r="A1960">
        <v>11128878</v>
      </c>
      <c r="B1960" t="str">
        <f>VLOOKUP(A1960,Planilha2!B:C,2,0)</f>
        <v>INVERSOR NACFW110142T4SZ</v>
      </c>
      <c r="C1960" t="s">
        <v>3170</v>
      </c>
      <c r="D1960" t="str">
        <f>VLOOKUP(A1960,Planilha2!B:H,7,0)</f>
        <v>LINHA G1</v>
      </c>
      <c r="E1960" s="5">
        <v>64000</v>
      </c>
      <c r="F1960">
        <f>IFERROR(
IF(ISNUMBER(FIND("CFW110",B1960)),
VALUE(MID(B1960,FIND("CFW110",B1960)+6,FIND("T",B1960,FIND("CFW110",B1960))-(FIND("CFW110",B1960)+6))),
IF(ISNUMBER(FIND("D",B1960)),
VALUE(SUBSTITUTE(MID(B1960,FIND("D",B1960)+1,FIND("T",B1960,FIND("D",B1960))-(FIND("D",B1960)+1)),"P",",")),
IF(ISNUMBER(FIND("CFW5",B1960)),
VALUE(MID(B1960,
IF(ISNUMBER(FIND("F",B1960)),FIND("F",B1960)+1,FIND("G",B1960)+1),
FIND("T",B1960)-(IF(ISNUMBER(FIND("F",B1960)),FIND("F",B1960)+1,FIND("G",B1960)+1))
)),
VALUE(MID(B1960,FIND("E0",B1960)+2,FIND("T",B1960,FIND("E0",B1960))-(FIND("E0",B1960)+2)))
))),"")</f>
        <v>142</v>
      </c>
      <c r="G1960">
        <f>IFERROR(
IF(ISNUMBER(FIND("T2",B1960)),220,
IF(ISNUMBER(FIND("T4",B1960)),440,
IF(ISNUMBER(FIND("T5",B1960)),575,
IF(ISNUMBER(FIND("T6",B1960)),690,"")))),
"")</f>
        <v>440</v>
      </c>
    </row>
    <row r="1961" spans="1:7" x14ac:dyDescent="0.25">
      <c r="A1961">
        <v>11128879</v>
      </c>
      <c r="B1961" t="str">
        <f>VLOOKUP(A1961,Planilha2!B:C,2,0)</f>
        <v>INVERSOR NACFW110180T4SZ</v>
      </c>
      <c r="C1961" t="s">
        <v>3170</v>
      </c>
      <c r="D1961" t="str">
        <f>VLOOKUP(A1961,Planilha2!B:H,7,0)</f>
        <v>LINHA G1</v>
      </c>
      <c r="E1961" s="5">
        <v>65000</v>
      </c>
      <c r="F1961">
        <f>IFERROR(
IF(ISNUMBER(FIND("CFW110",B1961)),
VALUE(MID(B1961,FIND("CFW110",B1961)+6,FIND("T",B1961,FIND("CFW110",B1961))-(FIND("CFW110",B1961)+6))),
IF(ISNUMBER(FIND("D",B1961)),
VALUE(SUBSTITUTE(MID(B1961,FIND("D",B1961)+1,FIND("T",B1961,FIND("D",B1961))-(FIND("D",B1961)+1)),"P",",")),
IF(ISNUMBER(FIND("CFW5",B1961)),
VALUE(MID(B1961,
IF(ISNUMBER(FIND("F",B1961)),FIND("F",B1961)+1,FIND("G",B1961)+1),
FIND("T",B1961)-(IF(ISNUMBER(FIND("F",B1961)),FIND("F",B1961)+1,FIND("G",B1961)+1))
)),
VALUE(MID(B1961,FIND("E0",B1961)+2,FIND("T",B1961,FIND("E0",B1961))-(FIND("E0",B1961)+2)))
))),"")</f>
        <v>180</v>
      </c>
      <c r="G1961">
        <f>IFERROR(
IF(ISNUMBER(FIND("T2",B1961)),220,
IF(ISNUMBER(FIND("T4",B1961)),440,
IF(ISNUMBER(FIND("T5",B1961)),575,
IF(ISNUMBER(FIND("T6",B1961)),690,"")))),
"")</f>
        <v>440</v>
      </c>
    </row>
    <row r="1962" spans="1:7" x14ac:dyDescent="0.25">
      <c r="A1962">
        <v>11128880</v>
      </c>
      <c r="B1962" t="str">
        <f>VLOOKUP(A1962,Planilha2!B:C,2,0)</f>
        <v>INVERSOR NACFW110211T4SZ</v>
      </c>
      <c r="C1962" t="s">
        <v>3170</v>
      </c>
      <c r="D1962" t="str">
        <f>VLOOKUP(A1962,Planilha2!B:H,7,0)</f>
        <v>LINHA G1</v>
      </c>
      <c r="E1962" s="5">
        <v>65000</v>
      </c>
      <c r="F1962">
        <f>IFERROR(
IF(ISNUMBER(FIND("CFW110",B1962)),
VALUE(MID(B1962,FIND("CFW110",B1962)+6,FIND("T",B1962,FIND("CFW110",B1962))-(FIND("CFW110",B1962)+6))),
IF(ISNUMBER(FIND("D",B1962)),
VALUE(SUBSTITUTE(MID(B1962,FIND("D",B1962)+1,FIND("T",B1962,FIND("D",B1962))-(FIND("D",B1962)+1)),"P",",")),
IF(ISNUMBER(FIND("CFW5",B1962)),
VALUE(MID(B1962,
IF(ISNUMBER(FIND("F",B1962)),FIND("F",B1962)+1,FIND("G",B1962)+1),
FIND("T",B1962)-(IF(ISNUMBER(FIND("F",B1962)),FIND("F",B1962)+1,FIND("G",B1962)+1))
)),
VALUE(MID(B1962,FIND("E0",B1962)+2,FIND("T",B1962,FIND("E0",B1962))-(FIND("E0",B1962)+2)))
))),"")</f>
        <v>211</v>
      </c>
      <c r="G1962">
        <f>IFERROR(
IF(ISNUMBER(FIND("T2",B1962)),220,
IF(ISNUMBER(FIND("T4",B1962)),440,
IF(ISNUMBER(FIND("T5",B1962)),575,
IF(ISNUMBER(FIND("T6",B1962)),690,"")))),
"")</f>
        <v>440</v>
      </c>
    </row>
    <row r="1963" spans="1:7" x14ac:dyDescent="0.25">
      <c r="A1963">
        <v>11128884</v>
      </c>
      <c r="B1963" t="str">
        <f>VLOOKUP(A1963,Planilha2!B:C,2,0)</f>
        <v>INVERSOR NACFW110180T2ODBZ</v>
      </c>
      <c r="C1963" t="s">
        <v>3170</v>
      </c>
      <c r="D1963" t="str">
        <f>VLOOKUP(A1963,Planilha2!B:H,7,0)</f>
        <v>LINHA G1</v>
      </c>
      <c r="E1963" s="5">
        <v>65000</v>
      </c>
      <c r="F1963">
        <f>IFERROR(
IF(ISNUMBER(FIND("CFW110",B1963)),
VALUE(MID(B1963,FIND("CFW110",B1963)+6,FIND("T",B1963,FIND("CFW110",B1963))-(FIND("CFW110",B1963)+6))),
IF(ISNUMBER(FIND("D",B1963)),
VALUE(SUBSTITUTE(MID(B1963,FIND("D",B1963)+1,FIND("T",B1963,FIND("D",B1963))-(FIND("D",B1963)+1)),"P",",")),
IF(ISNUMBER(FIND("CFW5",B1963)),
VALUE(MID(B1963,
IF(ISNUMBER(FIND("F",B1963)),FIND("F",B1963)+1,FIND("G",B1963)+1),
FIND("T",B1963)-(IF(ISNUMBER(FIND("F",B1963)),FIND("F",B1963)+1,FIND("G",B1963)+1))
)),
VALUE(MID(B1963,FIND("E0",B1963)+2,FIND("T",B1963,FIND("E0",B1963))-(FIND("E0",B1963)+2)))
))),"")</f>
        <v>180</v>
      </c>
      <c r="G1963">
        <f>IFERROR(
IF(ISNUMBER(FIND("T2",B1963)),220,
IF(ISNUMBER(FIND("T4",B1963)),440,
IF(ISNUMBER(FIND("T5",B1963)),575,
IF(ISNUMBER(FIND("T6",B1963)),690,"")))),
"")</f>
        <v>220</v>
      </c>
    </row>
    <row r="1964" spans="1:7" x14ac:dyDescent="0.25">
      <c r="A1964">
        <v>11128885</v>
      </c>
      <c r="B1964" t="str">
        <f>VLOOKUP(A1964,Planilha2!B:C,2,0)</f>
        <v>INVERSOR NACFW110211T2ODBZ</v>
      </c>
      <c r="C1964" t="s">
        <v>3170</v>
      </c>
      <c r="D1964" t="str">
        <f>VLOOKUP(A1964,Planilha2!B:H,7,0)</f>
        <v>LINHA G1</v>
      </c>
      <c r="E1964" s="5">
        <v>65000</v>
      </c>
      <c r="F1964">
        <f>IFERROR(
IF(ISNUMBER(FIND("CFW110",B1964)),
VALUE(MID(B1964,FIND("CFW110",B1964)+6,FIND("T",B1964,FIND("CFW110",B1964))-(FIND("CFW110",B1964)+6))),
IF(ISNUMBER(FIND("D",B1964)),
VALUE(SUBSTITUTE(MID(B1964,FIND("D",B1964)+1,FIND("T",B1964,FIND("D",B1964))-(FIND("D",B1964)+1)),"P",",")),
IF(ISNUMBER(FIND("CFW5",B1964)),
VALUE(MID(B1964,
IF(ISNUMBER(FIND("F",B1964)),FIND("F",B1964)+1,FIND("G",B1964)+1),
FIND("T",B1964)-(IF(ISNUMBER(FIND("F",B1964)),FIND("F",B1964)+1,FIND("G",B1964)+1))
)),
VALUE(MID(B1964,FIND("E0",B1964)+2,FIND("T",B1964,FIND("E0",B1964))-(FIND("E0",B1964)+2)))
))),"")</f>
        <v>211</v>
      </c>
      <c r="G1964">
        <f>IFERROR(
IF(ISNUMBER(FIND("T2",B1964)),220,
IF(ISNUMBER(FIND("T4",B1964)),440,
IF(ISNUMBER(FIND("T5",B1964)),575,
IF(ISNUMBER(FIND("T6",B1964)),690,"")))),
"")</f>
        <v>220</v>
      </c>
    </row>
    <row r="1965" spans="1:7" x14ac:dyDescent="0.25">
      <c r="A1965">
        <v>11128887</v>
      </c>
      <c r="B1965" t="str">
        <f>VLOOKUP(A1965,Planilha2!B:C,2,0)</f>
        <v>INVERSOR NACFW110105T4ODBZ</v>
      </c>
      <c r="C1965" t="s">
        <v>3170</v>
      </c>
      <c r="D1965" t="str">
        <f>VLOOKUP(A1965,Planilha2!B:H,7,0)</f>
        <v>LINHA G1</v>
      </c>
      <c r="E1965" s="5">
        <v>62500</v>
      </c>
      <c r="F1965">
        <f>IFERROR(
IF(ISNUMBER(FIND("CFW110",B1965)),
VALUE(MID(B1965,FIND("CFW110",B1965)+6,FIND("T",B1965,FIND("CFW110",B1965))-(FIND("CFW110",B1965)+6))),
IF(ISNUMBER(FIND("D",B1965)),
VALUE(SUBSTITUTE(MID(B1965,FIND("D",B1965)+1,FIND("T",B1965,FIND("D",B1965))-(FIND("D",B1965)+1)),"P",",")),
IF(ISNUMBER(FIND("CFW5",B1965)),
VALUE(MID(B1965,
IF(ISNUMBER(FIND("F",B1965)),FIND("F",B1965)+1,FIND("G",B1965)+1),
FIND("T",B1965)-(IF(ISNUMBER(FIND("F",B1965)),FIND("F",B1965)+1,FIND("G",B1965)+1))
)),
VALUE(MID(B1965,FIND("E0",B1965)+2,FIND("T",B1965,FIND("E0",B1965))-(FIND("E0",B1965)+2)))
))),"")</f>
        <v>105</v>
      </c>
      <c r="G1965">
        <f>IFERROR(
IF(ISNUMBER(FIND("T2",B1965)),220,
IF(ISNUMBER(FIND("T4",B1965)),440,
IF(ISNUMBER(FIND("T5",B1965)),575,
IF(ISNUMBER(FIND("T6",B1965)),690,"")))),
"")</f>
        <v>440</v>
      </c>
    </row>
    <row r="1966" spans="1:7" x14ac:dyDescent="0.25">
      <c r="A1966">
        <v>11128900</v>
      </c>
      <c r="B1966" t="str">
        <f>VLOOKUP(A1966,Planilha2!B:C,2,0)</f>
        <v>INVERSOR NACFW110142T4ODBZ</v>
      </c>
      <c r="C1966" t="s">
        <v>3170</v>
      </c>
      <c r="D1966" t="str">
        <f>VLOOKUP(A1966,Planilha2!B:H,7,0)</f>
        <v>LINHA G1</v>
      </c>
      <c r="E1966" s="5">
        <v>64000</v>
      </c>
      <c r="F1966">
        <f>IFERROR(
IF(ISNUMBER(FIND("CFW110",B1966)),
VALUE(MID(B1966,FIND("CFW110",B1966)+6,FIND("T",B1966,FIND("CFW110",B1966))-(FIND("CFW110",B1966)+6))),
IF(ISNUMBER(FIND("D",B1966)),
VALUE(SUBSTITUTE(MID(B1966,FIND("D",B1966)+1,FIND("T",B1966,FIND("D",B1966))-(FIND("D",B1966)+1)),"P",",")),
IF(ISNUMBER(FIND("CFW5",B1966)),
VALUE(MID(B1966,
IF(ISNUMBER(FIND("F",B1966)),FIND("F",B1966)+1,FIND("G",B1966)+1),
FIND("T",B1966)-(IF(ISNUMBER(FIND("F",B1966)),FIND("F",B1966)+1,FIND("G",B1966)+1))
)),
VALUE(MID(B1966,FIND("E0",B1966)+2,FIND("T",B1966,FIND("E0",B1966))-(FIND("E0",B1966)+2)))
))),"")</f>
        <v>142</v>
      </c>
      <c r="G1966">
        <f>IFERROR(
IF(ISNUMBER(FIND("T2",B1966)),220,
IF(ISNUMBER(FIND("T4",B1966)),440,
IF(ISNUMBER(FIND("T5",B1966)),575,
IF(ISNUMBER(FIND("T6",B1966)),690,"")))),
"")</f>
        <v>440</v>
      </c>
    </row>
    <row r="1967" spans="1:7" x14ac:dyDescent="0.25">
      <c r="A1967">
        <v>11128901</v>
      </c>
      <c r="B1967" t="str">
        <f>VLOOKUP(A1967,Planilha2!B:C,2,0)</f>
        <v>INVERSOR NACFW110180T4ODBZ</v>
      </c>
      <c r="C1967" t="s">
        <v>3170</v>
      </c>
      <c r="D1967" t="str">
        <f>VLOOKUP(A1967,Planilha2!B:H,7,0)</f>
        <v>LINHA G1</v>
      </c>
      <c r="E1967" s="5">
        <v>65000</v>
      </c>
      <c r="F1967">
        <f>IFERROR(
IF(ISNUMBER(FIND("CFW110",B1967)),
VALUE(MID(B1967,FIND("CFW110",B1967)+6,FIND("T",B1967,FIND("CFW110",B1967))-(FIND("CFW110",B1967)+6))),
IF(ISNUMBER(FIND("D",B1967)),
VALUE(SUBSTITUTE(MID(B1967,FIND("D",B1967)+1,FIND("T",B1967,FIND("D",B1967))-(FIND("D",B1967)+1)),"P",",")),
IF(ISNUMBER(FIND("CFW5",B1967)),
VALUE(MID(B1967,
IF(ISNUMBER(FIND("F",B1967)),FIND("F",B1967)+1,FIND("G",B1967)+1),
FIND("T",B1967)-(IF(ISNUMBER(FIND("F",B1967)),FIND("F",B1967)+1,FIND("G",B1967)+1))
)),
VALUE(MID(B1967,FIND("E0",B1967)+2,FIND("T",B1967,FIND("E0",B1967))-(FIND("E0",B1967)+2)))
))),"")</f>
        <v>180</v>
      </c>
      <c r="G1967">
        <f>IFERROR(
IF(ISNUMBER(FIND("T2",B1967)),220,
IF(ISNUMBER(FIND("T4",B1967)),440,
IF(ISNUMBER(FIND("T5",B1967)),575,
IF(ISNUMBER(FIND("T6",B1967)),690,"")))),
"")</f>
        <v>440</v>
      </c>
    </row>
    <row r="1968" spans="1:7" x14ac:dyDescent="0.25">
      <c r="A1968">
        <v>11128903</v>
      </c>
      <c r="B1968" t="str">
        <f>VLOOKUP(A1968,Planilha2!B:C,2,0)</f>
        <v>INVERSOR NACFW110211T4ODBZ</v>
      </c>
      <c r="C1968" t="s">
        <v>3170</v>
      </c>
      <c r="D1968" t="str">
        <f>VLOOKUP(A1968,Planilha2!B:H,7,0)</f>
        <v>LINHA G1</v>
      </c>
      <c r="E1968" s="5">
        <v>65000</v>
      </c>
      <c r="F1968">
        <f>IFERROR(
IF(ISNUMBER(FIND("CFW110",B1968)),
VALUE(MID(B1968,FIND("CFW110",B1968)+6,FIND("T",B1968,FIND("CFW110",B1968))-(FIND("CFW110",B1968)+6))),
IF(ISNUMBER(FIND("D",B1968)),
VALUE(SUBSTITUTE(MID(B1968,FIND("D",B1968)+1,FIND("T",B1968,FIND("D",B1968))-(FIND("D",B1968)+1)),"P",",")),
IF(ISNUMBER(FIND("CFW5",B1968)),
VALUE(MID(B1968,
IF(ISNUMBER(FIND("F",B1968)),FIND("F",B1968)+1,FIND("G",B1968)+1),
FIND("T",B1968)-(IF(ISNUMBER(FIND("F",B1968)),FIND("F",B1968)+1,FIND("G",B1968)+1))
)),
VALUE(MID(B1968,FIND("E0",B1968)+2,FIND("T",B1968,FIND("E0",B1968))-(FIND("E0",B1968)+2)))
))),"")</f>
        <v>211</v>
      </c>
      <c r="G1968">
        <f>IFERROR(
IF(ISNUMBER(FIND("T2",B1968)),220,
IF(ISNUMBER(FIND("T4",B1968)),440,
IF(ISNUMBER(FIND("T5",B1968)),575,
IF(ISNUMBER(FIND("T6",B1968)),690,"")))),
"")</f>
        <v>440</v>
      </c>
    </row>
    <row r="1969" spans="1:7" x14ac:dyDescent="0.25">
      <c r="A1969">
        <v>11128907</v>
      </c>
      <c r="B1969" t="str">
        <f>VLOOKUP(A1969,Planilha2!B:C,2,0)</f>
        <v>INVERSOR NACFW110180T2ON1Z</v>
      </c>
      <c r="C1969" t="s">
        <v>3170</v>
      </c>
      <c r="D1969" t="str">
        <f>VLOOKUP(A1969,Planilha2!B:H,7,0)</f>
        <v>LINHA G1</v>
      </c>
      <c r="E1969" s="5">
        <v>69300</v>
      </c>
      <c r="F1969">
        <f>IFERROR(
IF(ISNUMBER(FIND("CFW110",B1969)),
VALUE(MID(B1969,FIND("CFW110",B1969)+6,FIND("T",B1969,FIND("CFW110",B1969))-(FIND("CFW110",B1969)+6))),
IF(ISNUMBER(FIND("D",B1969)),
VALUE(SUBSTITUTE(MID(B1969,FIND("D",B1969)+1,FIND("T",B1969,FIND("D",B1969))-(FIND("D",B1969)+1)),"P",",")),
IF(ISNUMBER(FIND("CFW5",B1969)),
VALUE(MID(B1969,
IF(ISNUMBER(FIND("F",B1969)),FIND("F",B1969)+1,FIND("G",B1969)+1),
FIND("T",B1969)-(IF(ISNUMBER(FIND("F",B1969)),FIND("F",B1969)+1,FIND("G",B1969)+1))
)),
VALUE(MID(B1969,FIND("E0",B1969)+2,FIND("T",B1969,FIND("E0",B1969))-(FIND("E0",B1969)+2)))
))),"")</f>
        <v>180</v>
      </c>
      <c r="G1969">
        <f>IFERROR(
IF(ISNUMBER(FIND("T2",B1969)),220,
IF(ISNUMBER(FIND("T4",B1969)),440,
IF(ISNUMBER(FIND("T5",B1969)),575,
IF(ISNUMBER(FIND("T6",B1969)),690,"")))),
"")</f>
        <v>220</v>
      </c>
    </row>
    <row r="1970" spans="1:7" x14ac:dyDescent="0.25">
      <c r="A1970">
        <v>11128946</v>
      </c>
      <c r="B1970" t="str">
        <f>VLOOKUP(A1970,Planilha2!B:C,2,0)</f>
        <v>INVERSOR NACFW110211T2ON1Z</v>
      </c>
      <c r="C1970" t="s">
        <v>3170</v>
      </c>
      <c r="D1970" t="str">
        <f>VLOOKUP(A1970,Planilha2!B:H,7,0)</f>
        <v>LINHA G1</v>
      </c>
      <c r="E1970" s="5">
        <v>69300</v>
      </c>
      <c r="F1970">
        <f>IFERROR(
IF(ISNUMBER(FIND("CFW110",B1970)),
VALUE(MID(B1970,FIND("CFW110",B1970)+6,FIND("T",B1970,FIND("CFW110",B1970))-(FIND("CFW110",B1970)+6))),
IF(ISNUMBER(FIND("D",B1970)),
VALUE(SUBSTITUTE(MID(B1970,FIND("D",B1970)+1,FIND("T",B1970,FIND("D",B1970))-(FIND("D",B1970)+1)),"P",",")),
IF(ISNUMBER(FIND("CFW5",B1970)),
VALUE(MID(B1970,
IF(ISNUMBER(FIND("F",B1970)),FIND("F",B1970)+1,FIND("G",B1970)+1),
FIND("T",B1970)-(IF(ISNUMBER(FIND("F",B1970)),FIND("F",B1970)+1,FIND("G",B1970)+1))
)),
VALUE(MID(B1970,FIND("E0",B1970)+2,FIND("T",B1970,FIND("E0",B1970))-(FIND("E0",B1970)+2)))
))),"")</f>
        <v>211</v>
      </c>
      <c r="G1970">
        <f>IFERROR(
IF(ISNUMBER(FIND("T2",B1970)),220,
IF(ISNUMBER(FIND("T4",B1970)),440,
IF(ISNUMBER(FIND("T5",B1970)),575,
IF(ISNUMBER(FIND("T6",B1970)),690,"")))),
"")</f>
        <v>220</v>
      </c>
    </row>
    <row r="1971" spans="1:7" x14ac:dyDescent="0.25">
      <c r="A1971">
        <v>11128979</v>
      </c>
      <c r="B1971" t="str">
        <f>VLOOKUP(A1971,Planilha2!B:C,2,0)</f>
        <v>INVERSOR NACFW110105T4ON1Z</v>
      </c>
      <c r="C1971" t="s">
        <v>3170</v>
      </c>
      <c r="D1971" t="str">
        <f>VLOOKUP(A1971,Planilha2!B:H,7,0)</f>
        <v>LINHA G1</v>
      </c>
      <c r="E1971" s="5">
        <v>64600</v>
      </c>
      <c r="F1971">
        <f>IFERROR(
IF(ISNUMBER(FIND("CFW110",B1971)),
VALUE(MID(B1971,FIND("CFW110",B1971)+6,FIND("T",B1971,FIND("CFW110",B1971))-(FIND("CFW110",B1971)+6))),
IF(ISNUMBER(FIND("D",B1971)),
VALUE(SUBSTITUTE(MID(B1971,FIND("D",B1971)+1,FIND("T",B1971,FIND("D",B1971))-(FIND("D",B1971)+1)),"P",",")),
IF(ISNUMBER(FIND("CFW5",B1971)),
VALUE(MID(B1971,
IF(ISNUMBER(FIND("F",B1971)),FIND("F",B1971)+1,FIND("G",B1971)+1),
FIND("T",B1971)-(IF(ISNUMBER(FIND("F",B1971)),FIND("F",B1971)+1,FIND("G",B1971)+1))
)),
VALUE(MID(B1971,FIND("E0",B1971)+2,FIND("T",B1971,FIND("E0",B1971))-(FIND("E0",B1971)+2)))
))),"")</f>
        <v>105</v>
      </c>
      <c r="G1971">
        <f>IFERROR(
IF(ISNUMBER(FIND("T2",B1971)),220,
IF(ISNUMBER(FIND("T4",B1971)),440,
IF(ISNUMBER(FIND("T5",B1971)),575,
IF(ISNUMBER(FIND("T6",B1971)),690,"")))),
"")</f>
        <v>440</v>
      </c>
    </row>
    <row r="1972" spans="1:7" x14ac:dyDescent="0.25">
      <c r="A1972">
        <v>11128980</v>
      </c>
      <c r="B1972" t="str">
        <f>VLOOKUP(A1972,Planilha2!B:C,2,0)</f>
        <v>INVERSOR NACFW110142T4ON1Z</v>
      </c>
      <c r="C1972" t="s">
        <v>3170</v>
      </c>
      <c r="D1972" t="str">
        <f>VLOOKUP(A1972,Planilha2!B:H,7,0)</f>
        <v>LINHA G1</v>
      </c>
      <c r="E1972" s="5">
        <v>66100</v>
      </c>
      <c r="F1972">
        <f>IFERROR(
IF(ISNUMBER(FIND("CFW110",B1972)),
VALUE(MID(B1972,FIND("CFW110",B1972)+6,FIND("T",B1972,FIND("CFW110",B1972))-(FIND("CFW110",B1972)+6))),
IF(ISNUMBER(FIND("D",B1972)),
VALUE(SUBSTITUTE(MID(B1972,FIND("D",B1972)+1,FIND("T",B1972,FIND("D",B1972))-(FIND("D",B1972)+1)),"P",",")),
IF(ISNUMBER(FIND("CFW5",B1972)),
VALUE(MID(B1972,
IF(ISNUMBER(FIND("F",B1972)),FIND("F",B1972)+1,FIND("G",B1972)+1),
FIND("T",B1972)-(IF(ISNUMBER(FIND("F",B1972)),FIND("F",B1972)+1,FIND("G",B1972)+1))
)),
VALUE(MID(B1972,FIND("E0",B1972)+2,FIND("T",B1972,FIND("E0",B1972))-(FIND("E0",B1972)+2)))
))),"")</f>
        <v>142</v>
      </c>
      <c r="G1972">
        <f>IFERROR(
IF(ISNUMBER(FIND("T2",B1972)),220,
IF(ISNUMBER(FIND("T4",B1972)),440,
IF(ISNUMBER(FIND("T5",B1972)),575,
IF(ISNUMBER(FIND("T6",B1972)),690,"")))),
"")</f>
        <v>440</v>
      </c>
    </row>
    <row r="1973" spans="1:7" x14ac:dyDescent="0.25">
      <c r="A1973">
        <v>11128981</v>
      </c>
      <c r="B1973" t="str">
        <f>VLOOKUP(A1973,Planilha2!B:C,2,0)</f>
        <v>INVERSOR NACFW110180T4ON1Z</v>
      </c>
      <c r="C1973" t="s">
        <v>3170</v>
      </c>
      <c r="D1973" t="str">
        <f>VLOOKUP(A1973,Planilha2!B:H,7,0)</f>
        <v>LINHA G1</v>
      </c>
      <c r="E1973" s="5">
        <v>69300</v>
      </c>
      <c r="F1973">
        <f>IFERROR(
IF(ISNUMBER(FIND("CFW110",B1973)),
VALUE(MID(B1973,FIND("CFW110",B1973)+6,FIND("T",B1973,FIND("CFW110",B1973))-(FIND("CFW110",B1973)+6))),
IF(ISNUMBER(FIND("D",B1973)),
VALUE(SUBSTITUTE(MID(B1973,FIND("D",B1973)+1,FIND("T",B1973,FIND("D",B1973))-(FIND("D",B1973)+1)),"P",",")),
IF(ISNUMBER(FIND("CFW5",B1973)),
VALUE(MID(B1973,
IF(ISNUMBER(FIND("F",B1973)),FIND("F",B1973)+1,FIND("G",B1973)+1),
FIND("T",B1973)-(IF(ISNUMBER(FIND("F",B1973)),FIND("F",B1973)+1,FIND("G",B1973)+1))
)),
VALUE(MID(B1973,FIND("E0",B1973)+2,FIND("T",B1973,FIND("E0",B1973))-(FIND("E0",B1973)+2)))
))),"")</f>
        <v>180</v>
      </c>
      <c r="G1973">
        <f>IFERROR(
IF(ISNUMBER(FIND("T2",B1973)),220,
IF(ISNUMBER(FIND("T4",B1973)),440,
IF(ISNUMBER(FIND("T5",B1973)),575,
IF(ISNUMBER(FIND("T6",B1973)),690,"")))),
"")</f>
        <v>440</v>
      </c>
    </row>
    <row r="1974" spans="1:7" x14ac:dyDescent="0.25">
      <c r="A1974">
        <v>11128984</v>
      </c>
      <c r="B1974" t="str">
        <f>VLOOKUP(A1974,Planilha2!B:C,2,0)</f>
        <v>INVERSOR NACFW110211T4ON1Z</v>
      </c>
      <c r="C1974" t="s">
        <v>3170</v>
      </c>
      <c r="D1974" t="str">
        <f>VLOOKUP(A1974,Planilha2!B:H,7,0)</f>
        <v>LINHA G1</v>
      </c>
      <c r="E1974" s="5">
        <v>69300</v>
      </c>
      <c r="F1974">
        <f>IFERROR(
IF(ISNUMBER(FIND("CFW110",B1974)),
VALUE(MID(B1974,FIND("CFW110",B1974)+6,FIND("T",B1974,FIND("CFW110",B1974))-(FIND("CFW110",B1974)+6))),
IF(ISNUMBER(FIND("D",B1974)),
VALUE(SUBSTITUTE(MID(B1974,FIND("D",B1974)+1,FIND("T",B1974,FIND("D",B1974))-(FIND("D",B1974)+1)),"P",",")),
IF(ISNUMBER(FIND("CFW5",B1974)),
VALUE(MID(B1974,
IF(ISNUMBER(FIND("F",B1974)),FIND("F",B1974)+1,FIND("G",B1974)+1),
FIND("T",B1974)-(IF(ISNUMBER(FIND("F",B1974)),FIND("F",B1974)+1,FIND("G",B1974)+1))
)),
VALUE(MID(B1974,FIND("E0",B1974)+2,FIND("T",B1974,FIND("E0",B1974))-(FIND("E0",B1974)+2)))
))),"")</f>
        <v>211</v>
      </c>
      <c r="G1974">
        <f>IFERROR(
IF(ISNUMBER(FIND("T2",B1974)),220,
IF(ISNUMBER(FIND("T4",B1974)),440,
IF(ISNUMBER(FIND("T5",B1974)),575,
IF(ISNUMBER(FIND("T6",B1974)),690,"")))),
"")</f>
        <v>440</v>
      </c>
    </row>
    <row r="1975" spans="1:7" x14ac:dyDescent="0.25">
      <c r="A1975">
        <v>11129009</v>
      </c>
      <c r="B1975" t="str">
        <f>VLOOKUP(A1975,Planilha2!B:C,2,0)</f>
        <v>INVERSOR SACFW110180T2SZ</v>
      </c>
      <c r="C1975" t="s">
        <v>3170</v>
      </c>
      <c r="D1975" t="str">
        <f>VLOOKUP(A1975,Planilha2!B:H,7,0)</f>
        <v>LINHA G1</v>
      </c>
      <c r="E1975" s="5">
        <v>65000</v>
      </c>
      <c r="F1975">
        <f>IFERROR(
IF(ISNUMBER(FIND("CFW110",B1975)),
VALUE(MID(B1975,FIND("CFW110",B1975)+6,FIND("T",B1975,FIND("CFW110",B1975))-(FIND("CFW110",B1975)+6))),
IF(ISNUMBER(FIND("D",B1975)),
VALUE(SUBSTITUTE(MID(B1975,FIND("D",B1975)+1,FIND("T",B1975,FIND("D",B1975))-(FIND("D",B1975)+1)),"P",",")),
IF(ISNUMBER(FIND("CFW5",B1975)),
VALUE(MID(B1975,
IF(ISNUMBER(FIND("F",B1975)),FIND("F",B1975)+1,FIND("G",B1975)+1),
FIND("T",B1975)-(IF(ISNUMBER(FIND("F",B1975)),FIND("F",B1975)+1,FIND("G",B1975)+1))
)),
VALUE(MID(B1975,FIND("E0",B1975)+2,FIND("T",B1975,FIND("E0",B1975))-(FIND("E0",B1975)+2)))
))),"")</f>
        <v>180</v>
      </c>
      <c r="G1975">
        <f>IFERROR(
IF(ISNUMBER(FIND("T2",B1975)),220,
IF(ISNUMBER(FIND("T4",B1975)),440,
IF(ISNUMBER(FIND("T5",B1975)),575,
IF(ISNUMBER(FIND("T6",B1975)),690,"")))),
"")</f>
        <v>220</v>
      </c>
    </row>
    <row r="1976" spans="1:7" x14ac:dyDescent="0.25">
      <c r="A1976">
        <v>11129010</v>
      </c>
      <c r="B1976" t="str">
        <f>VLOOKUP(A1976,Planilha2!B:C,2,0)</f>
        <v>INVERSOR SACFW110211T2SZ</v>
      </c>
      <c r="C1976" t="s">
        <v>3170</v>
      </c>
      <c r="D1976" t="str">
        <f>VLOOKUP(A1976,Planilha2!B:H,7,0)</f>
        <v>LINHA G1</v>
      </c>
      <c r="E1976" s="5">
        <v>65000</v>
      </c>
      <c r="F1976">
        <f>IFERROR(
IF(ISNUMBER(FIND("CFW110",B1976)),
VALUE(MID(B1976,FIND("CFW110",B1976)+6,FIND("T",B1976,FIND("CFW110",B1976))-(FIND("CFW110",B1976)+6))),
IF(ISNUMBER(FIND("D",B1976)),
VALUE(SUBSTITUTE(MID(B1976,FIND("D",B1976)+1,FIND("T",B1976,FIND("D",B1976))-(FIND("D",B1976)+1)),"P",",")),
IF(ISNUMBER(FIND("CFW5",B1976)),
VALUE(MID(B1976,
IF(ISNUMBER(FIND("F",B1976)),FIND("F",B1976)+1,FIND("G",B1976)+1),
FIND("T",B1976)-(IF(ISNUMBER(FIND("F",B1976)),FIND("F",B1976)+1,FIND("G",B1976)+1))
)),
VALUE(MID(B1976,FIND("E0",B1976)+2,FIND("T",B1976,FIND("E0",B1976))-(FIND("E0",B1976)+2)))
))),"")</f>
        <v>211</v>
      </c>
      <c r="G1976">
        <f>IFERROR(
IF(ISNUMBER(FIND("T2",B1976)),220,
IF(ISNUMBER(FIND("T4",B1976)),440,
IF(ISNUMBER(FIND("T5",B1976)),575,
IF(ISNUMBER(FIND("T6",B1976)),690,"")))),
"")</f>
        <v>220</v>
      </c>
    </row>
    <row r="1977" spans="1:7" x14ac:dyDescent="0.25">
      <c r="A1977">
        <v>11129011</v>
      </c>
      <c r="B1977" t="str">
        <f>VLOOKUP(A1977,Planilha2!B:C,2,0)</f>
        <v>INVERSOR SACFW110105T4SZ</v>
      </c>
      <c r="C1977" t="s">
        <v>3170</v>
      </c>
      <c r="D1977" t="str">
        <f>VLOOKUP(A1977,Planilha2!B:H,7,0)</f>
        <v>LINHA G1</v>
      </c>
      <c r="E1977" s="5">
        <v>62500</v>
      </c>
      <c r="F1977">
        <f>IFERROR(
IF(ISNUMBER(FIND("CFW110",B1977)),
VALUE(MID(B1977,FIND("CFW110",B1977)+6,FIND("T",B1977,FIND("CFW110",B1977))-(FIND("CFW110",B1977)+6))),
IF(ISNUMBER(FIND("D",B1977)),
VALUE(SUBSTITUTE(MID(B1977,FIND("D",B1977)+1,FIND("T",B1977,FIND("D",B1977))-(FIND("D",B1977)+1)),"P",",")),
IF(ISNUMBER(FIND("CFW5",B1977)),
VALUE(MID(B1977,
IF(ISNUMBER(FIND("F",B1977)),FIND("F",B1977)+1,FIND("G",B1977)+1),
FIND("T",B1977)-(IF(ISNUMBER(FIND("F",B1977)),FIND("F",B1977)+1,FIND("G",B1977)+1))
)),
VALUE(MID(B1977,FIND("E0",B1977)+2,FIND("T",B1977,FIND("E0",B1977))-(FIND("E0",B1977)+2)))
))),"")</f>
        <v>105</v>
      </c>
      <c r="G1977">
        <f>IFERROR(
IF(ISNUMBER(FIND("T2",B1977)),220,
IF(ISNUMBER(FIND("T4",B1977)),440,
IF(ISNUMBER(FIND("T5",B1977)),575,
IF(ISNUMBER(FIND("T6",B1977)),690,"")))),
"")</f>
        <v>440</v>
      </c>
    </row>
    <row r="1978" spans="1:7" x14ac:dyDescent="0.25">
      <c r="A1978">
        <v>11129012</v>
      </c>
      <c r="B1978" t="str">
        <f>VLOOKUP(A1978,Planilha2!B:C,2,0)</f>
        <v>INVERSOR SACFW110142T4SZ</v>
      </c>
      <c r="C1978" t="s">
        <v>3170</v>
      </c>
      <c r="D1978" t="str">
        <f>VLOOKUP(A1978,Planilha2!B:H,7,0)</f>
        <v>LINHA G1</v>
      </c>
      <c r="E1978" s="5">
        <v>64000</v>
      </c>
      <c r="F1978">
        <f>IFERROR(
IF(ISNUMBER(FIND("CFW110",B1978)),
VALUE(MID(B1978,FIND("CFW110",B1978)+6,FIND("T",B1978,FIND("CFW110",B1978))-(FIND("CFW110",B1978)+6))),
IF(ISNUMBER(FIND("D",B1978)),
VALUE(SUBSTITUTE(MID(B1978,FIND("D",B1978)+1,FIND("T",B1978,FIND("D",B1978))-(FIND("D",B1978)+1)),"P",",")),
IF(ISNUMBER(FIND("CFW5",B1978)),
VALUE(MID(B1978,
IF(ISNUMBER(FIND("F",B1978)),FIND("F",B1978)+1,FIND("G",B1978)+1),
FIND("T",B1978)-(IF(ISNUMBER(FIND("F",B1978)),FIND("F",B1978)+1,FIND("G",B1978)+1))
)),
VALUE(MID(B1978,FIND("E0",B1978)+2,FIND("T",B1978,FIND("E0",B1978))-(FIND("E0",B1978)+2)))
))),"")</f>
        <v>142</v>
      </c>
      <c r="G1978">
        <f>IFERROR(
IF(ISNUMBER(FIND("T2",B1978)),220,
IF(ISNUMBER(FIND("T4",B1978)),440,
IF(ISNUMBER(FIND("T5",B1978)),575,
IF(ISNUMBER(FIND("T6",B1978)),690,"")))),
"")</f>
        <v>440</v>
      </c>
    </row>
    <row r="1979" spans="1:7" x14ac:dyDescent="0.25">
      <c r="A1979">
        <v>11129013</v>
      </c>
      <c r="B1979" t="str">
        <f>VLOOKUP(A1979,Planilha2!B:C,2,0)</f>
        <v>INVERSOR SACFW110180T4SZ</v>
      </c>
      <c r="C1979" t="s">
        <v>3170</v>
      </c>
      <c r="D1979" t="str">
        <f>VLOOKUP(A1979,Planilha2!B:H,7,0)</f>
        <v>LINHA G1</v>
      </c>
      <c r="E1979" s="5">
        <v>65000</v>
      </c>
      <c r="F1979">
        <f>IFERROR(
IF(ISNUMBER(FIND("CFW110",B1979)),
VALUE(MID(B1979,FIND("CFW110",B1979)+6,FIND("T",B1979,FIND("CFW110",B1979))-(FIND("CFW110",B1979)+6))),
IF(ISNUMBER(FIND("D",B1979)),
VALUE(SUBSTITUTE(MID(B1979,FIND("D",B1979)+1,FIND("T",B1979,FIND("D",B1979))-(FIND("D",B1979)+1)),"P",",")),
IF(ISNUMBER(FIND("CFW5",B1979)),
VALUE(MID(B1979,
IF(ISNUMBER(FIND("F",B1979)),FIND("F",B1979)+1,FIND("G",B1979)+1),
FIND("T",B1979)-(IF(ISNUMBER(FIND("F",B1979)),FIND("F",B1979)+1,FIND("G",B1979)+1))
)),
VALUE(MID(B1979,FIND("E0",B1979)+2,FIND("T",B1979,FIND("E0",B1979))-(FIND("E0",B1979)+2)))
))),"")</f>
        <v>180</v>
      </c>
      <c r="G1979">
        <f>IFERROR(
IF(ISNUMBER(FIND("T2",B1979)),220,
IF(ISNUMBER(FIND("T4",B1979)),440,
IF(ISNUMBER(FIND("T5",B1979)),575,
IF(ISNUMBER(FIND("T6",B1979)),690,"")))),
"")</f>
        <v>440</v>
      </c>
    </row>
    <row r="1980" spans="1:7" x14ac:dyDescent="0.25">
      <c r="A1980">
        <v>11129014</v>
      </c>
      <c r="B1980" t="str">
        <f>VLOOKUP(A1980,Planilha2!B:C,2,0)</f>
        <v>INVERSOR SACFW110211T4SZ</v>
      </c>
      <c r="C1980" t="s">
        <v>3170</v>
      </c>
      <c r="D1980" t="str">
        <f>VLOOKUP(A1980,Planilha2!B:H,7,0)</f>
        <v>LINHA G1</v>
      </c>
      <c r="E1980" s="5">
        <v>65000</v>
      </c>
      <c r="F1980">
        <f>IFERROR(
IF(ISNUMBER(FIND("CFW110",B1980)),
VALUE(MID(B1980,FIND("CFW110",B1980)+6,FIND("T",B1980,FIND("CFW110",B1980))-(FIND("CFW110",B1980)+6))),
IF(ISNUMBER(FIND("D",B1980)),
VALUE(SUBSTITUTE(MID(B1980,FIND("D",B1980)+1,FIND("T",B1980,FIND("D",B1980))-(FIND("D",B1980)+1)),"P",",")),
IF(ISNUMBER(FIND("CFW5",B1980)),
VALUE(MID(B1980,
IF(ISNUMBER(FIND("F",B1980)),FIND("F",B1980)+1,FIND("G",B1980)+1),
FIND("T",B1980)-(IF(ISNUMBER(FIND("F",B1980)),FIND("F",B1980)+1,FIND("G",B1980)+1))
)),
VALUE(MID(B1980,FIND("E0",B1980)+2,FIND("T",B1980,FIND("E0",B1980))-(FIND("E0",B1980)+2)))
))),"")</f>
        <v>211</v>
      </c>
      <c r="G1980">
        <f>IFERROR(
IF(ISNUMBER(FIND("T2",B1980)),220,
IF(ISNUMBER(FIND("T4",B1980)),440,
IF(ISNUMBER(FIND("T5",B1980)),575,
IF(ISNUMBER(FIND("T6",B1980)),690,"")))),
"")</f>
        <v>440</v>
      </c>
    </row>
    <row r="1981" spans="1:7" x14ac:dyDescent="0.25">
      <c r="A1981">
        <v>11129016</v>
      </c>
      <c r="B1981" t="str">
        <f>VLOOKUP(A1981,Planilha2!B:C,2,0)</f>
        <v>INVERSOR SACFW110180T2ODBZ</v>
      </c>
      <c r="C1981" t="s">
        <v>3170</v>
      </c>
      <c r="D1981" t="str">
        <f>VLOOKUP(A1981,Planilha2!B:H,7,0)</f>
        <v>LINHA G1</v>
      </c>
      <c r="E1981" s="5">
        <v>65000</v>
      </c>
      <c r="F1981">
        <f>IFERROR(
IF(ISNUMBER(FIND("CFW110",B1981)),
VALUE(MID(B1981,FIND("CFW110",B1981)+6,FIND("T",B1981,FIND("CFW110",B1981))-(FIND("CFW110",B1981)+6))),
IF(ISNUMBER(FIND("D",B1981)),
VALUE(SUBSTITUTE(MID(B1981,FIND("D",B1981)+1,FIND("T",B1981,FIND("D",B1981))-(FIND("D",B1981)+1)),"P",",")),
IF(ISNUMBER(FIND("CFW5",B1981)),
VALUE(MID(B1981,
IF(ISNUMBER(FIND("F",B1981)),FIND("F",B1981)+1,FIND("G",B1981)+1),
FIND("T",B1981)-(IF(ISNUMBER(FIND("F",B1981)),FIND("F",B1981)+1,FIND("G",B1981)+1))
)),
VALUE(MID(B1981,FIND("E0",B1981)+2,FIND("T",B1981,FIND("E0",B1981))-(FIND("E0",B1981)+2)))
))),"")</f>
        <v>180</v>
      </c>
      <c r="G1981">
        <f>IFERROR(
IF(ISNUMBER(FIND("T2",B1981)),220,
IF(ISNUMBER(FIND("T4",B1981)),440,
IF(ISNUMBER(FIND("T5",B1981)),575,
IF(ISNUMBER(FIND("T6",B1981)),690,"")))),
"")</f>
        <v>220</v>
      </c>
    </row>
    <row r="1982" spans="1:7" x14ac:dyDescent="0.25">
      <c r="A1982">
        <v>11129017</v>
      </c>
      <c r="B1982" t="str">
        <f>VLOOKUP(A1982,Planilha2!B:C,2,0)</f>
        <v>INVERSOR SACFW110211T2ODBZ</v>
      </c>
      <c r="C1982" t="s">
        <v>3170</v>
      </c>
      <c r="D1982" t="str">
        <f>VLOOKUP(A1982,Planilha2!B:H,7,0)</f>
        <v>LINHA G1</v>
      </c>
      <c r="E1982" s="5">
        <v>65000</v>
      </c>
      <c r="F1982">
        <f>IFERROR(
IF(ISNUMBER(FIND("CFW110",B1982)),
VALUE(MID(B1982,FIND("CFW110",B1982)+6,FIND("T",B1982,FIND("CFW110",B1982))-(FIND("CFW110",B1982)+6))),
IF(ISNUMBER(FIND("D",B1982)),
VALUE(SUBSTITUTE(MID(B1982,FIND("D",B1982)+1,FIND("T",B1982,FIND("D",B1982))-(FIND("D",B1982)+1)),"P",",")),
IF(ISNUMBER(FIND("CFW5",B1982)),
VALUE(MID(B1982,
IF(ISNUMBER(FIND("F",B1982)),FIND("F",B1982)+1,FIND("G",B1982)+1),
FIND("T",B1982)-(IF(ISNUMBER(FIND("F",B1982)),FIND("F",B1982)+1,FIND("G",B1982)+1))
)),
VALUE(MID(B1982,FIND("E0",B1982)+2,FIND("T",B1982,FIND("E0",B1982))-(FIND("E0",B1982)+2)))
))),"")</f>
        <v>211</v>
      </c>
      <c r="G1982">
        <f>IFERROR(
IF(ISNUMBER(FIND("T2",B1982)),220,
IF(ISNUMBER(FIND("T4",B1982)),440,
IF(ISNUMBER(FIND("T5",B1982)),575,
IF(ISNUMBER(FIND("T6",B1982)),690,"")))),
"")</f>
        <v>220</v>
      </c>
    </row>
    <row r="1983" spans="1:7" x14ac:dyDescent="0.25">
      <c r="A1983">
        <v>11129028</v>
      </c>
      <c r="B1983" t="str">
        <f>VLOOKUP(A1983,Planilha2!B:C,2,0)</f>
        <v>INVERSOR SACFW110105T4ODBZ</v>
      </c>
      <c r="C1983" t="s">
        <v>3170</v>
      </c>
      <c r="D1983" t="str">
        <f>VLOOKUP(A1983,Planilha2!B:H,7,0)</f>
        <v>LINHA G1</v>
      </c>
      <c r="E1983" s="5">
        <v>62500</v>
      </c>
      <c r="F1983">
        <f>IFERROR(
IF(ISNUMBER(FIND("CFW110",B1983)),
VALUE(MID(B1983,FIND("CFW110",B1983)+6,FIND("T",B1983,FIND("CFW110",B1983))-(FIND("CFW110",B1983)+6))),
IF(ISNUMBER(FIND("D",B1983)),
VALUE(SUBSTITUTE(MID(B1983,FIND("D",B1983)+1,FIND("T",B1983,FIND("D",B1983))-(FIND("D",B1983)+1)),"P",",")),
IF(ISNUMBER(FIND("CFW5",B1983)),
VALUE(MID(B1983,
IF(ISNUMBER(FIND("F",B1983)),FIND("F",B1983)+1,FIND("G",B1983)+1),
FIND("T",B1983)-(IF(ISNUMBER(FIND("F",B1983)),FIND("F",B1983)+1,FIND("G",B1983)+1))
)),
VALUE(MID(B1983,FIND("E0",B1983)+2,FIND("T",B1983,FIND("E0",B1983))-(FIND("E0",B1983)+2)))
))),"")</f>
        <v>105</v>
      </c>
      <c r="G1983">
        <f>IFERROR(
IF(ISNUMBER(FIND("T2",B1983)),220,
IF(ISNUMBER(FIND("T4",B1983)),440,
IF(ISNUMBER(FIND("T5",B1983)),575,
IF(ISNUMBER(FIND("T6",B1983)),690,"")))),
"")</f>
        <v>440</v>
      </c>
    </row>
    <row r="1984" spans="1:7" x14ac:dyDescent="0.25">
      <c r="A1984">
        <v>11129029</v>
      </c>
      <c r="B1984" t="str">
        <f>VLOOKUP(A1984,Planilha2!B:C,2,0)</f>
        <v>INVERSOR SACFW110142T4ODBZ</v>
      </c>
      <c r="C1984" t="s">
        <v>3170</v>
      </c>
      <c r="D1984" t="str">
        <f>VLOOKUP(A1984,Planilha2!B:H,7,0)</f>
        <v>LINHA G1</v>
      </c>
      <c r="E1984" s="5">
        <v>64000</v>
      </c>
      <c r="F1984">
        <f>IFERROR(
IF(ISNUMBER(FIND("CFW110",B1984)),
VALUE(MID(B1984,FIND("CFW110",B1984)+6,FIND("T",B1984,FIND("CFW110",B1984))-(FIND("CFW110",B1984)+6))),
IF(ISNUMBER(FIND("D",B1984)),
VALUE(SUBSTITUTE(MID(B1984,FIND("D",B1984)+1,FIND("T",B1984,FIND("D",B1984))-(FIND("D",B1984)+1)),"P",",")),
IF(ISNUMBER(FIND("CFW5",B1984)),
VALUE(MID(B1984,
IF(ISNUMBER(FIND("F",B1984)),FIND("F",B1984)+1,FIND("G",B1984)+1),
FIND("T",B1984)-(IF(ISNUMBER(FIND("F",B1984)),FIND("F",B1984)+1,FIND("G",B1984)+1))
)),
VALUE(MID(B1984,FIND("E0",B1984)+2,FIND("T",B1984,FIND("E0",B1984))-(FIND("E0",B1984)+2)))
))),"")</f>
        <v>142</v>
      </c>
      <c r="G1984">
        <f>IFERROR(
IF(ISNUMBER(FIND("T2",B1984)),220,
IF(ISNUMBER(FIND("T4",B1984)),440,
IF(ISNUMBER(FIND("T5",B1984)),575,
IF(ISNUMBER(FIND("T6",B1984)),690,"")))),
"")</f>
        <v>440</v>
      </c>
    </row>
    <row r="1985" spans="1:7" x14ac:dyDescent="0.25">
      <c r="A1985">
        <v>11129030</v>
      </c>
      <c r="B1985" t="str">
        <f>VLOOKUP(A1985,Planilha2!B:C,2,0)</f>
        <v>INVERSOR SACFW110180T4ODBZ</v>
      </c>
      <c r="C1985" t="s">
        <v>3170</v>
      </c>
      <c r="D1985" t="str">
        <f>VLOOKUP(A1985,Planilha2!B:H,7,0)</f>
        <v>LINHA G1</v>
      </c>
      <c r="E1985" s="5">
        <v>65000</v>
      </c>
      <c r="F1985">
        <f>IFERROR(
IF(ISNUMBER(FIND("CFW110",B1985)),
VALUE(MID(B1985,FIND("CFW110",B1985)+6,FIND("T",B1985,FIND("CFW110",B1985))-(FIND("CFW110",B1985)+6))),
IF(ISNUMBER(FIND("D",B1985)),
VALUE(SUBSTITUTE(MID(B1985,FIND("D",B1985)+1,FIND("T",B1985,FIND("D",B1985))-(FIND("D",B1985)+1)),"P",",")),
IF(ISNUMBER(FIND("CFW5",B1985)),
VALUE(MID(B1985,
IF(ISNUMBER(FIND("F",B1985)),FIND("F",B1985)+1,FIND("G",B1985)+1),
FIND("T",B1985)-(IF(ISNUMBER(FIND("F",B1985)),FIND("F",B1985)+1,FIND("G",B1985)+1))
)),
VALUE(MID(B1985,FIND("E0",B1985)+2,FIND("T",B1985,FIND("E0",B1985))-(FIND("E0",B1985)+2)))
))),"")</f>
        <v>180</v>
      </c>
      <c r="G1985">
        <f>IFERROR(
IF(ISNUMBER(FIND("T2",B1985)),220,
IF(ISNUMBER(FIND("T4",B1985)),440,
IF(ISNUMBER(FIND("T5",B1985)),575,
IF(ISNUMBER(FIND("T6",B1985)),690,"")))),
"")</f>
        <v>440</v>
      </c>
    </row>
    <row r="1986" spans="1:7" x14ac:dyDescent="0.25">
      <c r="A1986">
        <v>11129031</v>
      </c>
      <c r="B1986" t="str">
        <f>VLOOKUP(A1986,Planilha2!B:C,2,0)</f>
        <v>INVERSOR SACFW110211T4ODBZ</v>
      </c>
      <c r="C1986" t="s">
        <v>3170</v>
      </c>
      <c r="D1986" t="str">
        <f>VLOOKUP(A1986,Planilha2!B:H,7,0)</f>
        <v>LINHA G1</v>
      </c>
      <c r="E1986" s="5">
        <v>65000</v>
      </c>
      <c r="F1986">
        <f>IFERROR(
IF(ISNUMBER(FIND("CFW110",B1986)),
VALUE(MID(B1986,FIND("CFW110",B1986)+6,FIND("T",B1986,FIND("CFW110",B1986))-(FIND("CFW110",B1986)+6))),
IF(ISNUMBER(FIND("D",B1986)),
VALUE(SUBSTITUTE(MID(B1986,FIND("D",B1986)+1,FIND("T",B1986,FIND("D",B1986))-(FIND("D",B1986)+1)),"P",",")),
IF(ISNUMBER(FIND("CFW5",B1986)),
VALUE(MID(B1986,
IF(ISNUMBER(FIND("F",B1986)),FIND("F",B1986)+1,FIND("G",B1986)+1),
FIND("T",B1986)-(IF(ISNUMBER(FIND("F",B1986)),FIND("F",B1986)+1,FIND("G",B1986)+1))
)),
VALUE(MID(B1986,FIND("E0",B1986)+2,FIND("T",B1986,FIND("E0",B1986))-(FIND("E0",B1986)+2)))
))),"")</f>
        <v>211</v>
      </c>
      <c r="G1986">
        <f>IFERROR(
IF(ISNUMBER(FIND("T2",B1986)),220,
IF(ISNUMBER(FIND("T4",B1986)),440,
IF(ISNUMBER(FIND("T5",B1986)),575,
IF(ISNUMBER(FIND("T6",B1986)),690,"")))),
"")</f>
        <v>440</v>
      </c>
    </row>
    <row r="1987" spans="1:7" x14ac:dyDescent="0.25">
      <c r="A1987">
        <v>11129034</v>
      </c>
      <c r="B1987" t="str">
        <f>VLOOKUP(A1987,Planilha2!B:C,2,0)</f>
        <v>INVERSOR EUCFW110180T2SZ</v>
      </c>
      <c r="C1987" t="s">
        <v>3170</v>
      </c>
      <c r="D1987" t="str">
        <f>VLOOKUP(A1987,Planilha2!B:H,7,0)</f>
        <v>LINHA G1</v>
      </c>
      <c r="E1987" s="5">
        <v>65000</v>
      </c>
      <c r="F1987">
        <f>IFERROR(
IF(ISNUMBER(FIND("CFW110",B1987)),
VALUE(MID(B1987,FIND("CFW110",B1987)+6,FIND("T",B1987,FIND("CFW110",B1987))-(FIND("CFW110",B1987)+6))),
IF(ISNUMBER(FIND("D",B1987)),
VALUE(SUBSTITUTE(MID(B1987,FIND("D",B1987)+1,FIND("T",B1987,FIND("D",B1987))-(FIND("D",B1987)+1)),"P",",")),
IF(ISNUMBER(FIND("CFW5",B1987)),
VALUE(MID(B1987,
IF(ISNUMBER(FIND("F",B1987)),FIND("F",B1987)+1,FIND("G",B1987)+1),
FIND("T",B1987)-(IF(ISNUMBER(FIND("F",B1987)),FIND("F",B1987)+1,FIND("G",B1987)+1))
)),
VALUE(MID(B1987,FIND("E0",B1987)+2,FIND("T",B1987,FIND("E0",B1987))-(FIND("E0",B1987)+2)))
))),"")</f>
        <v>180</v>
      </c>
      <c r="G1987">
        <f>IFERROR(
IF(ISNUMBER(FIND("T2",B1987)),220,
IF(ISNUMBER(FIND("T4",B1987)),440,
IF(ISNUMBER(FIND("T5",B1987)),575,
IF(ISNUMBER(FIND("T6",B1987)),690,"")))),
"")</f>
        <v>220</v>
      </c>
    </row>
    <row r="1988" spans="1:7" x14ac:dyDescent="0.25">
      <c r="A1988">
        <v>11129035</v>
      </c>
      <c r="B1988" t="str">
        <f>VLOOKUP(A1988,Planilha2!B:C,2,0)</f>
        <v>INVERSOR EUCFW110211T2SZ</v>
      </c>
      <c r="C1988" t="s">
        <v>3170</v>
      </c>
      <c r="D1988" t="str">
        <f>VLOOKUP(A1988,Planilha2!B:H,7,0)</f>
        <v>LINHA G1</v>
      </c>
      <c r="E1988" s="5">
        <v>65000</v>
      </c>
      <c r="F1988">
        <f>IFERROR(
IF(ISNUMBER(FIND("CFW110",B1988)),
VALUE(MID(B1988,FIND("CFW110",B1988)+6,FIND("T",B1988,FIND("CFW110",B1988))-(FIND("CFW110",B1988)+6))),
IF(ISNUMBER(FIND("D",B1988)),
VALUE(SUBSTITUTE(MID(B1988,FIND("D",B1988)+1,FIND("T",B1988,FIND("D",B1988))-(FIND("D",B1988)+1)),"P",",")),
IF(ISNUMBER(FIND("CFW5",B1988)),
VALUE(MID(B1988,
IF(ISNUMBER(FIND("F",B1988)),FIND("F",B1988)+1,FIND("G",B1988)+1),
FIND("T",B1988)-(IF(ISNUMBER(FIND("F",B1988)),FIND("F",B1988)+1,FIND("G",B1988)+1))
)),
VALUE(MID(B1988,FIND("E0",B1988)+2,FIND("T",B1988,FIND("E0",B1988))-(FIND("E0",B1988)+2)))
))),"")</f>
        <v>211</v>
      </c>
      <c r="G1988">
        <f>IFERROR(
IF(ISNUMBER(FIND("T2",B1988)),220,
IF(ISNUMBER(FIND("T4",B1988)),440,
IF(ISNUMBER(FIND("T5",B1988)),575,
IF(ISNUMBER(FIND("T6",B1988)),690,"")))),
"")</f>
        <v>220</v>
      </c>
    </row>
    <row r="1989" spans="1:7" x14ac:dyDescent="0.25">
      <c r="A1989">
        <v>11129036</v>
      </c>
      <c r="B1989" t="str">
        <f>VLOOKUP(A1989,Planilha2!B:C,2,0)</f>
        <v>INVERSOR EUCFW110105T4SZ</v>
      </c>
      <c r="C1989" t="s">
        <v>3170</v>
      </c>
      <c r="D1989" t="str">
        <f>VLOOKUP(A1989,Planilha2!B:H,7,0)</f>
        <v>LINHA G1</v>
      </c>
      <c r="E1989" s="5">
        <v>62500</v>
      </c>
      <c r="F1989">
        <f>IFERROR(
IF(ISNUMBER(FIND("CFW110",B1989)),
VALUE(MID(B1989,FIND("CFW110",B1989)+6,FIND("T",B1989,FIND("CFW110",B1989))-(FIND("CFW110",B1989)+6))),
IF(ISNUMBER(FIND("D",B1989)),
VALUE(SUBSTITUTE(MID(B1989,FIND("D",B1989)+1,FIND("T",B1989,FIND("D",B1989))-(FIND("D",B1989)+1)),"P",",")),
IF(ISNUMBER(FIND("CFW5",B1989)),
VALUE(MID(B1989,
IF(ISNUMBER(FIND("F",B1989)),FIND("F",B1989)+1,FIND("G",B1989)+1),
FIND("T",B1989)-(IF(ISNUMBER(FIND("F",B1989)),FIND("F",B1989)+1,FIND("G",B1989)+1))
)),
VALUE(MID(B1989,FIND("E0",B1989)+2,FIND("T",B1989,FIND("E0",B1989))-(FIND("E0",B1989)+2)))
))),"")</f>
        <v>105</v>
      </c>
      <c r="G1989">
        <f>IFERROR(
IF(ISNUMBER(FIND("T2",B1989)),220,
IF(ISNUMBER(FIND("T4",B1989)),440,
IF(ISNUMBER(FIND("T5",B1989)),575,
IF(ISNUMBER(FIND("T6",B1989)),690,"")))),
"")</f>
        <v>440</v>
      </c>
    </row>
    <row r="1990" spans="1:7" x14ac:dyDescent="0.25">
      <c r="A1990">
        <v>11129037</v>
      </c>
      <c r="B1990" t="str">
        <f>VLOOKUP(A1990,Planilha2!B:C,2,0)</f>
        <v>INVERSOR EUCFW110211T4SZ</v>
      </c>
      <c r="C1990" t="s">
        <v>3170</v>
      </c>
      <c r="D1990" t="str">
        <f>VLOOKUP(A1990,Planilha2!B:H,7,0)</f>
        <v>LINHA G1</v>
      </c>
      <c r="E1990" s="5">
        <v>65000</v>
      </c>
      <c r="F1990">
        <f>IFERROR(
IF(ISNUMBER(FIND("CFW110",B1990)),
VALUE(MID(B1990,FIND("CFW110",B1990)+6,FIND("T",B1990,FIND("CFW110",B1990))-(FIND("CFW110",B1990)+6))),
IF(ISNUMBER(FIND("D",B1990)),
VALUE(SUBSTITUTE(MID(B1990,FIND("D",B1990)+1,FIND("T",B1990,FIND("D",B1990))-(FIND("D",B1990)+1)),"P",",")),
IF(ISNUMBER(FIND("CFW5",B1990)),
VALUE(MID(B1990,
IF(ISNUMBER(FIND("F",B1990)),FIND("F",B1990)+1,FIND("G",B1990)+1),
FIND("T",B1990)-(IF(ISNUMBER(FIND("F",B1990)),FIND("F",B1990)+1,FIND("G",B1990)+1))
)),
VALUE(MID(B1990,FIND("E0",B1990)+2,FIND("T",B1990,FIND("E0",B1990))-(FIND("E0",B1990)+2)))
))),"")</f>
        <v>211</v>
      </c>
      <c r="G1990">
        <f>IFERROR(
IF(ISNUMBER(FIND("T2",B1990)),220,
IF(ISNUMBER(FIND("T4",B1990)),440,
IF(ISNUMBER(FIND("T5",B1990)),575,
IF(ISNUMBER(FIND("T6",B1990)),690,"")))),
"")</f>
        <v>440</v>
      </c>
    </row>
    <row r="1991" spans="1:7" x14ac:dyDescent="0.25">
      <c r="A1991">
        <v>11129061</v>
      </c>
      <c r="B1991" t="str">
        <f>VLOOKUP(A1991,Planilha2!B:C,2,0)</f>
        <v>INVERSOR EUCFW110180T2ODBZ</v>
      </c>
      <c r="C1991" t="s">
        <v>3170</v>
      </c>
      <c r="D1991" t="str">
        <f>VLOOKUP(A1991,Planilha2!B:H,7,0)</f>
        <v>LINHA G1</v>
      </c>
      <c r="E1991" s="5">
        <v>65000</v>
      </c>
      <c r="F1991">
        <f>IFERROR(
IF(ISNUMBER(FIND("CFW110",B1991)),
VALUE(MID(B1991,FIND("CFW110",B1991)+6,FIND("T",B1991,FIND("CFW110",B1991))-(FIND("CFW110",B1991)+6))),
IF(ISNUMBER(FIND("D",B1991)),
VALUE(SUBSTITUTE(MID(B1991,FIND("D",B1991)+1,FIND("T",B1991,FIND("D",B1991))-(FIND("D",B1991)+1)),"P",",")),
IF(ISNUMBER(FIND("CFW5",B1991)),
VALUE(MID(B1991,
IF(ISNUMBER(FIND("F",B1991)),FIND("F",B1991)+1,FIND("G",B1991)+1),
FIND("T",B1991)-(IF(ISNUMBER(FIND("F",B1991)),FIND("F",B1991)+1,FIND("G",B1991)+1))
)),
VALUE(MID(B1991,FIND("E0",B1991)+2,FIND("T",B1991,FIND("E0",B1991))-(FIND("E0",B1991)+2)))
))),"")</f>
        <v>180</v>
      </c>
      <c r="G1991">
        <f>IFERROR(
IF(ISNUMBER(FIND("T2",B1991)),220,
IF(ISNUMBER(FIND("T4",B1991)),440,
IF(ISNUMBER(FIND("T5",B1991)),575,
IF(ISNUMBER(FIND("T6",B1991)),690,"")))),
"")</f>
        <v>220</v>
      </c>
    </row>
    <row r="1992" spans="1:7" x14ac:dyDescent="0.25">
      <c r="A1992">
        <v>11129064</v>
      </c>
      <c r="B1992" t="str">
        <f>VLOOKUP(A1992,Planilha2!B:C,2,0)</f>
        <v>INVERSOR EUCFW110211T2ODBZ</v>
      </c>
      <c r="C1992" t="s">
        <v>3170</v>
      </c>
      <c r="D1992" t="str">
        <f>VLOOKUP(A1992,Planilha2!B:H,7,0)</f>
        <v>LINHA G1</v>
      </c>
      <c r="E1992" s="5">
        <v>65000</v>
      </c>
      <c r="F1992">
        <f>IFERROR(
IF(ISNUMBER(FIND("CFW110",B1992)),
VALUE(MID(B1992,FIND("CFW110",B1992)+6,FIND("T",B1992,FIND("CFW110",B1992))-(FIND("CFW110",B1992)+6))),
IF(ISNUMBER(FIND("D",B1992)),
VALUE(SUBSTITUTE(MID(B1992,FIND("D",B1992)+1,FIND("T",B1992,FIND("D",B1992))-(FIND("D",B1992)+1)),"P",",")),
IF(ISNUMBER(FIND("CFW5",B1992)),
VALUE(MID(B1992,
IF(ISNUMBER(FIND("F",B1992)),FIND("F",B1992)+1,FIND("G",B1992)+1),
FIND("T",B1992)-(IF(ISNUMBER(FIND("F",B1992)),FIND("F",B1992)+1,FIND("G",B1992)+1))
)),
VALUE(MID(B1992,FIND("E0",B1992)+2,FIND("T",B1992,FIND("E0",B1992))-(FIND("E0",B1992)+2)))
))),"")</f>
        <v>211</v>
      </c>
      <c r="G1992">
        <f>IFERROR(
IF(ISNUMBER(FIND("T2",B1992)),220,
IF(ISNUMBER(FIND("T4",B1992)),440,
IF(ISNUMBER(FIND("T5",B1992)),575,
IF(ISNUMBER(FIND("T6",B1992)),690,"")))),
"")</f>
        <v>220</v>
      </c>
    </row>
    <row r="1993" spans="1:7" x14ac:dyDescent="0.25">
      <c r="A1993">
        <v>11129066</v>
      </c>
      <c r="B1993" t="str">
        <f>VLOOKUP(A1993,Planilha2!B:C,2,0)</f>
        <v>INVERSOR EUCFW110105T4ODBZ</v>
      </c>
      <c r="C1993" t="s">
        <v>3170</v>
      </c>
      <c r="D1993" t="str">
        <f>VLOOKUP(A1993,Planilha2!B:H,7,0)</f>
        <v>LINHA G1</v>
      </c>
      <c r="E1993" s="5">
        <v>62500</v>
      </c>
      <c r="F1993">
        <f>IFERROR(
IF(ISNUMBER(FIND("CFW110",B1993)),
VALUE(MID(B1993,FIND("CFW110",B1993)+6,FIND("T",B1993,FIND("CFW110",B1993))-(FIND("CFW110",B1993)+6))),
IF(ISNUMBER(FIND("D",B1993)),
VALUE(SUBSTITUTE(MID(B1993,FIND("D",B1993)+1,FIND("T",B1993,FIND("D",B1993))-(FIND("D",B1993)+1)),"P",",")),
IF(ISNUMBER(FIND("CFW5",B1993)),
VALUE(MID(B1993,
IF(ISNUMBER(FIND("F",B1993)),FIND("F",B1993)+1,FIND("G",B1993)+1),
FIND("T",B1993)-(IF(ISNUMBER(FIND("F",B1993)),FIND("F",B1993)+1,FIND("G",B1993)+1))
)),
VALUE(MID(B1993,FIND("E0",B1993)+2,FIND("T",B1993,FIND("E0",B1993))-(FIND("E0",B1993)+2)))
))),"")</f>
        <v>105</v>
      </c>
      <c r="G1993">
        <f>IFERROR(
IF(ISNUMBER(FIND("T2",B1993)),220,
IF(ISNUMBER(FIND("T4",B1993)),440,
IF(ISNUMBER(FIND("T5",B1993)),575,
IF(ISNUMBER(FIND("T6",B1993)),690,"")))),
"")</f>
        <v>440</v>
      </c>
    </row>
    <row r="1994" spans="1:7" x14ac:dyDescent="0.25">
      <c r="A1994">
        <v>11129078</v>
      </c>
      <c r="B1994" t="str">
        <f>VLOOKUP(A1994,Planilha2!B:C,2,0)</f>
        <v>INVERSOR EUCFW110142T4ODBZ</v>
      </c>
      <c r="C1994" t="s">
        <v>3170</v>
      </c>
      <c r="D1994" t="str">
        <f>VLOOKUP(A1994,Planilha2!B:H,7,0)</f>
        <v>LINHA G1</v>
      </c>
      <c r="E1994" s="5">
        <v>64000</v>
      </c>
      <c r="F1994">
        <f>IFERROR(
IF(ISNUMBER(FIND("CFW110",B1994)),
VALUE(MID(B1994,FIND("CFW110",B1994)+6,FIND("T",B1994,FIND("CFW110",B1994))-(FIND("CFW110",B1994)+6))),
IF(ISNUMBER(FIND("D",B1994)),
VALUE(SUBSTITUTE(MID(B1994,FIND("D",B1994)+1,FIND("T",B1994,FIND("D",B1994))-(FIND("D",B1994)+1)),"P",",")),
IF(ISNUMBER(FIND("CFW5",B1994)),
VALUE(MID(B1994,
IF(ISNUMBER(FIND("F",B1994)),FIND("F",B1994)+1,FIND("G",B1994)+1),
FIND("T",B1994)-(IF(ISNUMBER(FIND("F",B1994)),FIND("F",B1994)+1,FIND("G",B1994)+1))
)),
VALUE(MID(B1994,FIND("E0",B1994)+2,FIND("T",B1994,FIND("E0",B1994))-(FIND("E0",B1994)+2)))
))),"")</f>
        <v>142</v>
      </c>
      <c r="G1994">
        <f>IFERROR(
IF(ISNUMBER(FIND("T2",B1994)),220,
IF(ISNUMBER(FIND("T4",B1994)),440,
IF(ISNUMBER(FIND("T5",B1994)),575,
IF(ISNUMBER(FIND("T6",B1994)),690,"")))),
"")</f>
        <v>440</v>
      </c>
    </row>
    <row r="1995" spans="1:7" x14ac:dyDescent="0.25">
      <c r="A1995">
        <v>11129079</v>
      </c>
      <c r="B1995" t="str">
        <f>VLOOKUP(A1995,Planilha2!B:C,2,0)</f>
        <v>INVERSOR EUCFW110180T4ODBZ</v>
      </c>
      <c r="C1995" t="s">
        <v>3170</v>
      </c>
      <c r="D1995" t="str">
        <f>VLOOKUP(A1995,Planilha2!B:H,7,0)</f>
        <v>LINHA G1</v>
      </c>
      <c r="E1995" s="5">
        <v>65000</v>
      </c>
      <c r="F1995">
        <f>IFERROR(
IF(ISNUMBER(FIND("CFW110",B1995)),
VALUE(MID(B1995,FIND("CFW110",B1995)+6,FIND("T",B1995,FIND("CFW110",B1995))-(FIND("CFW110",B1995)+6))),
IF(ISNUMBER(FIND("D",B1995)),
VALUE(SUBSTITUTE(MID(B1995,FIND("D",B1995)+1,FIND("T",B1995,FIND("D",B1995))-(FIND("D",B1995)+1)),"P",",")),
IF(ISNUMBER(FIND("CFW5",B1995)),
VALUE(MID(B1995,
IF(ISNUMBER(FIND("F",B1995)),FIND("F",B1995)+1,FIND("G",B1995)+1),
FIND("T",B1995)-(IF(ISNUMBER(FIND("F",B1995)),FIND("F",B1995)+1,FIND("G",B1995)+1))
)),
VALUE(MID(B1995,FIND("E0",B1995)+2,FIND("T",B1995,FIND("E0",B1995))-(FIND("E0",B1995)+2)))
))),"")</f>
        <v>180</v>
      </c>
      <c r="G1995">
        <f>IFERROR(
IF(ISNUMBER(FIND("T2",B1995)),220,
IF(ISNUMBER(FIND("T4",B1995)),440,
IF(ISNUMBER(FIND("T5",B1995)),575,
IF(ISNUMBER(FIND("T6",B1995)),690,"")))),
"")</f>
        <v>440</v>
      </c>
    </row>
    <row r="1996" spans="1:7" x14ac:dyDescent="0.25">
      <c r="A1996">
        <v>11129336</v>
      </c>
      <c r="B1996" t="str">
        <f>VLOOKUP(A1996,Planilha2!B:C,2,0)</f>
        <v>INVERSOR MSCFW110180T2SZ</v>
      </c>
      <c r="C1996" t="s">
        <v>3170</v>
      </c>
      <c r="D1996" t="str">
        <f>VLOOKUP(A1996,Planilha2!B:H,7,0)</f>
        <v>LINHA G1</v>
      </c>
      <c r="E1996" s="5">
        <v>65000</v>
      </c>
      <c r="F1996">
        <f>IFERROR(
IF(ISNUMBER(FIND("CFW110",B1996)),
VALUE(MID(B1996,FIND("CFW110",B1996)+6,FIND("T",B1996,FIND("CFW110",B1996))-(FIND("CFW110",B1996)+6))),
IF(ISNUMBER(FIND("D",B1996)),
VALUE(SUBSTITUTE(MID(B1996,FIND("D",B1996)+1,FIND("T",B1996,FIND("D",B1996))-(FIND("D",B1996)+1)),"P",",")),
IF(ISNUMBER(FIND("CFW5",B1996)),
VALUE(MID(B1996,
IF(ISNUMBER(FIND("F",B1996)),FIND("F",B1996)+1,FIND("G",B1996)+1),
FIND("T",B1996)-(IF(ISNUMBER(FIND("F",B1996)),FIND("F",B1996)+1,FIND("G",B1996)+1))
)),
VALUE(MID(B1996,FIND("E0",B1996)+2,FIND("T",B1996,FIND("E0",B1996))-(FIND("E0",B1996)+2)))
))),"")</f>
        <v>180</v>
      </c>
      <c r="G1996">
        <f>IFERROR(
IF(ISNUMBER(FIND("T2",B1996)),220,
IF(ISNUMBER(FIND("T4",B1996)),440,
IF(ISNUMBER(FIND("T5",B1996)),575,
IF(ISNUMBER(FIND("T6",B1996)),690,"")))),
"")</f>
        <v>220</v>
      </c>
    </row>
    <row r="1997" spans="1:7" x14ac:dyDescent="0.25">
      <c r="A1997">
        <v>11129368</v>
      </c>
      <c r="B1997" t="str">
        <f>VLOOKUP(A1997,Planilha2!B:C,2,0)</f>
        <v>INVERSOR MSCFW110211T2SZ</v>
      </c>
      <c r="C1997" t="s">
        <v>3170</v>
      </c>
      <c r="D1997" t="str">
        <f>VLOOKUP(A1997,Planilha2!B:H,7,0)</f>
        <v>LINHA G1</v>
      </c>
      <c r="E1997" s="5">
        <v>65000</v>
      </c>
      <c r="F1997">
        <f>IFERROR(
IF(ISNUMBER(FIND("CFW110",B1997)),
VALUE(MID(B1997,FIND("CFW110",B1997)+6,FIND("T",B1997,FIND("CFW110",B1997))-(FIND("CFW110",B1997)+6))),
IF(ISNUMBER(FIND("D",B1997)),
VALUE(SUBSTITUTE(MID(B1997,FIND("D",B1997)+1,FIND("T",B1997,FIND("D",B1997))-(FIND("D",B1997)+1)),"P",",")),
IF(ISNUMBER(FIND("CFW5",B1997)),
VALUE(MID(B1997,
IF(ISNUMBER(FIND("F",B1997)),FIND("F",B1997)+1,FIND("G",B1997)+1),
FIND("T",B1997)-(IF(ISNUMBER(FIND("F",B1997)),FIND("F",B1997)+1,FIND("G",B1997)+1))
)),
VALUE(MID(B1997,FIND("E0",B1997)+2,FIND("T",B1997,FIND("E0",B1997))-(FIND("E0",B1997)+2)))
))),"")</f>
        <v>211</v>
      </c>
      <c r="G1997">
        <f>IFERROR(
IF(ISNUMBER(FIND("T2",B1997)),220,
IF(ISNUMBER(FIND("T4",B1997)),440,
IF(ISNUMBER(FIND("T5",B1997)),575,
IF(ISNUMBER(FIND("T6",B1997)),690,"")))),
"")</f>
        <v>220</v>
      </c>
    </row>
    <row r="1998" spans="1:7" x14ac:dyDescent="0.25">
      <c r="A1998">
        <v>11129370</v>
      </c>
      <c r="B1998" t="str">
        <f>VLOOKUP(A1998,Planilha2!B:C,2,0)</f>
        <v>INVERSOR MSCFW110105T4SZ</v>
      </c>
      <c r="C1998" t="s">
        <v>3170</v>
      </c>
      <c r="D1998" t="str">
        <f>VLOOKUP(A1998,Planilha2!B:H,7,0)</f>
        <v>LINHA G1</v>
      </c>
      <c r="E1998" s="5">
        <v>62500</v>
      </c>
      <c r="F1998">
        <f>IFERROR(
IF(ISNUMBER(FIND("CFW110",B1998)),
VALUE(MID(B1998,FIND("CFW110",B1998)+6,FIND("T",B1998,FIND("CFW110",B1998))-(FIND("CFW110",B1998)+6))),
IF(ISNUMBER(FIND("D",B1998)),
VALUE(SUBSTITUTE(MID(B1998,FIND("D",B1998)+1,FIND("T",B1998,FIND("D",B1998))-(FIND("D",B1998)+1)),"P",",")),
IF(ISNUMBER(FIND("CFW5",B1998)),
VALUE(MID(B1998,
IF(ISNUMBER(FIND("F",B1998)),FIND("F",B1998)+1,FIND("G",B1998)+1),
FIND("T",B1998)-(IF(ISNUMBER(FIND("F",B1998)),FIND("F",B1998)+1,FIND("G",B1998)+1))
)),
VALUE(MID(B1998,FIND("E0",B1998)+2,FIND("T",B1998,FIND("E0",B1998))-(FIND("E0",B1998)+2)))
))),"")</f>
        <v>105</v>
      </c>
      <c r="G1998">
        <f>IFERROR(
IF(ISNUMBER(FIND("T2",B1998)),220,
IF(ISNUMBER(FIND("T4",B1998)),440,
IF(ISNUMBER(FIND("T5",B1998)),575,
IF(ISNUMBER(FIND("T6",B1998)),690,"")))),
"")</f>
        <v>440</v>
      </c>
    </row>
    <row r="1999" spans="1:7" x14ac:dyDescent="0.25">
      <c r="A1999">
        <v>11129373</v>
      </c>
      <c r="B1999" t="str">
        <f>VLOOKUP(A1999,Planilha2!B:C,2,0)</f>
        <v>INVERSOR MSCFW110142T4SZ</v>
      </c>
      <c r="C1999" t="s">
        <v>3170</v>
      </c>
      <c r="D1999" t="str">
        <f>VLOOKUP(A1999,Planilha2!B:H,7,0)</f>
        <v>LINHA G1</v>
      </c>
      <c r="E1999" s="5">
        <v>64000</v>
      </c>
      <c r="F1999">
        <f>IFERROR(
IF(ISNUMBER(FIND("CFW110",B1999)),
VALUE(MID(B1999,FIND("CFW110",B1999)+6,FIND("T",B1999,FIND("CFW110",B1999))-(FIND("CFW110",B1999)+6))),
IF(ISNUMBER(FIND("D",B1999)),
VALUE(SUBSTITUTE(MID(B1999,FIND("D",B1999)+1,FIND("T",B1999,FIND("D",B1999))-(FIND("D",B1999)+1)),"P",",")),
IF(ISNUMBER(FIND("CFW5",B1999)),
VALUE(MID(B1999,
IF(ISNUMBER(FIND("F",B1999)),FIND("F",B1999)+1,FIND("G",B1999)+1),
FIND("T",B1999)-(IF(ISNUMBER(FIND("F",B1999)),FIND("F",B1999)+1,FIND("G",B1999)+1))
)),
VALUE(MID(B1999,FIND("E0",B1999)+2,FIND("T",B1999,FIND("E0",B1999))-(FIND("E0",B1999)+2)))
))),"")</f>
        <v>142</v>
      </c>
      <c r="G1999">
        <f>IFERROR(
IF(ISNUMBER(FIND("T2",B1999)),220,
IF(ISNUMBER(FIND("T4",B1999)),440,
IF(ISNUMBER(FIND("T5",B1999)),575,
IF(ISNUMBER(FIND("T6",B1999)),690,"")))),
"")</f>
        <v>440</v>
      </c>
    </row>
    <row r="2000" spans="1:7" x14ac:dyDescent="0.25">
      <c r="A2000">
        <v>11129375</v>
      </c>
      <c r="B2000" t="str">
        <f>VLOOKUP(A2000,Planilha2!B:C,2,0)</f>
        <v>INVERSOR MSCFW110180T4SZ</v>
      </c>
      <c r="C2000" t="s">
        <v>3170</v>
      </c>
      <c r="D2000" t="str">
        <f>VLOOKUP(A2000,Planilha2!B:H,7,0)</f>
        <v>LINHA G1</v>
      </c>
      <c r="E2000" s="5">
        <v>65000</v>
      </c>
      <c r="F2000">
        <f>IFERROR(
IF(ISNUMBER(FIND("CFW110",B2000)),
VALUE(MID(B2000,FIND("CFW110",B2000)+6,FIND("T",B2000,FIND("CFW110",B2000))-(FIND("CFW110",B2000)+6))),
IF(ISNUMBER(FIND("D",B2000)),
VALUE(SUBSTITUTE(MID(B2000,FIND("D",B2000)+1,FIND("T",B2000,FIND("D",B2000))-(FIND("D",B2000)+1)),"P",",")),
IF(ISNUMBER(FIND("CFW5",B2000)),
VALUE(MID(B2000,
IF(ISNUMBER(FIND("F",B2000)),FIND("F",B2000)+1,FIND("G",B2000)+1),
FIND("T",B2000)-(IF(ISNUMBER(FIND("F",B2000)),FIND("F",B2000)+1,FIND("G",B2000)+1))
)),
VALUE(MID(B2000,FIND("E0",B2000)+2,FIND("T",B2000,FIND("E0",B2000))-(FIND("E0",B2000)+2)))
))),"")</f>
        <v>180</v>
      </c>
      <c r="G2000">
        <f>IFERROR(
IF(ISNUMBER(FIND("T2",B2000)),220,
IF(ISNUMBER(FIND("T4",B2000)),440,
IF(ISNUMBER(FIND("T5",B2000)),575,
IF(ISNUMBER(FIND("T6",B2000)),690,"")))),
"")</f>
        <v>440</v>
      </c>
    </row>
    <row r="2001" spans="1:7" x14ac:dyDescent="0.25">
      <c r="A2001">
        <v>11129376</v>
      </c>
      <c r="B2001" t="str">
        <f>VLOOKUP(A2001,Planilha2!B:C,2,0)</f>
        <v>INVERSOR MSCFW110211T4SZ</v>
      </c>
      <c r="C2001" t="s">
        <v>3170</v>
      </c>
      <c r="D2001" t="str">
        <f>VLOOKUP(A2001,Planilha2!B:H,7,0)</f>
        <v>LINHA G1</v>
      </c>
      <c r="E2001" s="5">
        <v>65000</v>
      </c>
      <c r="F2001">
        <f>IFERROR(
IF(ISNUMBER(FIND("CFW110",B2001)),
VALUE(MID(B2001,FIND("CFW110",B2001)+6,FIND("T",B2001,FIND("CFW110",B2001))-(FIND("CFW110",B2001)+6))),
IF(ISNUMBER(FIND("D",B2001)),
VALUE(SUBSTITUTE(MID(B2001,FIND("D",B2001)+1,FIND("T",B2001,FIND("D",B2001))-(FIND("D",B2001)+1)),"P",",")),
IF(ISNUMBER(FIND("CFW5",B2001)),
VALUE(MID(B2001,
IF(ISNUMBER(FIND("F",B2001)),FIND("F",B2001)+1,FIND("G",B2001)+1),
FIND("T",B2001)-(IF(ISNUMBER(FIND("F",B2001)),FIND("F",B2001)+1,FIND("G",B2001)+1))
)),
VALUE(MID(B2001,FIND("E0",B2001)+2,FIND("T",B2001,FIND("E0",B2001))-(FIND("E0",B2001)+2)))
))),"")</f>
        <v>211</v>
      </c>
      <c r="G2001">
        <f>IFERROR(
IF(ISNUMBER(FIND("T2",B2001)),220,
IF(ISNUMBER(FIND("T4",B2001)),440,
IF(ISNUMBER(FIND("T5",B2001)),575,
IF(ISNUMBER(FIND("T6",B2001)),690,"")))),
"")</f>
        <v>440</v>
      </c>
    </row>
    <row r="2002" spans="1:7" x14ac:dyDescent="0.25">
      <c r="A2002">
        <v>11129390</v>
      </c>
      <c r="B2002" t="str">
        <f>VLOOKUP(A2002,Planilha2!B:C,2,0)</f>
        <v>INVERSOR MSCFW110180T2ODBZ</v>
      </c>
      <c r="C2002" t="s">
        <v>3170</v>
      </c>
      <c r="D2002" t="str">
        <f>VLOOKUP(A2002,Planilha2!B:H,7,0)</f>
        <v>LINHA G1</v>
      </c>
      <c r="E2002" s="5">
        <v>65000</v>
      </c>
      <c r="F2002">
        <f>IFERROR(
IF(ISNUMBER(FIND("CFW110",B2002)),
VALUE(MID(B2002,FIND("CFW110",B2002)+6,FIND("T",B2002,FIND("CFW110",B2002))-(FIND("CFW110",B2002)+6))),
IF(ISNUMBER(FIND("D",B2002)),
VALUE(SUBSTITUTE(MID(B2002,FIND("D",B2002)+1,FIND("T",B2002,FIND("D",B2002))-(FIND("D",B2002)+1)),"P",",")),
IF(ISNUMBER(FIND("CFW5",B2002)),
VALUE(MID(B2002,
IF(ISNUMBER(FIND("F",B2002)),FIND("F",B2002)+1,FIND("G",B2002)+1),
FIND("T",B2002)-(IF(ISNUMBER(FIND("F",B2002)),FIND("F",B2002)+1,FIND("G",B2002)+1))
)),
VALUE(MID(B2002,FIND("E0",B2002)+2,FIND("T",B2002,FIND("E0",B2002))-(FIND("E0",B2002)+2)))
))),"")</f>
        <v>180</v>
      </c>
      <c r="G2002">
        <f>IFERROR(
IF(ISNUMBER(FIND("T2",B2002)),220,
IF(ISNUMBER(FIND("T4",B2002)),440,
IF(ISNUMBER(FIND("T5",B2002)),575,
IF(ISNUMBER(FIND("T6",B2002)),690,"")))),
"")</f>
        <v>220</v>
      </c>
    </row>
    <row r="2003" spans="1:7" x14ac:dyDescent="0.25">
      <c r="A2003">
        <v>11129395</v>
      </c>
      <c r="B2003" t="str">
        <f>VLOOKUP(A2003,Planilha2!B:C,2,0)</f>
        <v>INVERSOR MSCFW110211T2ODBZ</v>
      </c>
      <c r="C2003" t="s">
        <v>3170</v>
      </c>
      <c r="D2003" t="str">
        <f>VLOOKUP(A2003,Planilha2!B:H,7,0)</f>
        <v>LINHA G1</v>
      </c>
      <c r="E2003" s="5">
        <v>65000</v>
      </c>
      <c r="F2003">
        <f>IFERROR(
IF(ISNUMBER(FIND("CFW110",B2003)),
VALUE(MID(B2003,FIND("CFW110",B2003)+6,FIND("T",B2003,FIND("CFW110",B2003))-(FIND("CFW110",B2003)+6))),
IF(ISNUMBER(FIND("D",B2003)),
VALUE(SUBSTITUTE(MID(B2003,FIND("D",B2003)+1,FIND("T",B2003,FIND("D",B2003))-(FIND("D",B2003)+1)),"P",",")),
IF(ISNUMBER(FIND("CFW5",B2003)),
VALUE(MID(B2003,
IF(ISNUMBER(FIND("F",B2003)),FIND("F",B2003)+1,FIND("G",B2003)+1),
FIND("T",B2003)-(IF(ISNUMBER(FIND("F",B2003)),FIND("F",B2003)+1,FIND("G",B2003)+1))
)),
VALUE(MID(B2003,FIND("E0",B2003)+2,FIND("T",B2003,FIND("E0",B2003))-(FIND("E0",B2003)+2)))
))),"")</f>
        <v>211</v>
      </c>
      <c r="G2003">
        <f>IFERROR(
IF(ISNUMBER(FIND("T2",B2003)),220,
IF(ISNUMBER(FIND("T4",B2003)),440,
IF(ISNUMBER(FIND("T5",B2003)),575,
IF(ISNUMBER(FIND("T6",B2003)),690,"")))),
"")</f>
        <v>220</v>
      </c>
    </row>
    <row r="2004" spans="1:7" x14ac:dyDescent="0.25">
      <c r="A2004">
        <v>11129396</v>
      </c>
      <c r="B2004" t="str">
        <f>VLOOKUP(A2004,Planilha2!B:C,2,0)</f>
        <v>INVERSOR MSCFW110105T4ODBZ</v>
      </c>
      <c r="C2004" t="s">
        <v>3170</v>
      </c>
      <c r="D2004" t="str">
        <f>VLOOKUP(A2004,Planilha2!B:H,7,0)</f>
        <v>LINHA G1</v>
      </c>
      <c r="E2004" s="5">
        <v>62500</v>
      </c>
      <c r="F2004">
        <f>IFERROR(
IF(ISNUMBER(FIND("CFW110",B2004)),
VALUE(MID(B2004,FIND("CFW110",B2004)+6,FIND("T",B2004,FIND("CFW110",B2004))-(FIND("CFW110",B2004)+6))),
IF(ISNUMBER(FIND("D",B2004)),
VALUE(SUBSTITUTE(MID(B2004,FIND("D",B2004)+1,FIND("T",B2004,FIND("D",B2004))-(FIND("D",B2004)+1)),"P",",")),
IF(ISNUMBER(FIND("CFW5",B2004)),
VALUE(MID(B2004,
IF(ISNUMBER(FIND("F",B2004)),FIND("F",B2004)+1,FIND("G",B2004)+1),
FIND("T",B2004)-(IF(ISNUMBER(FIND("F",B2004)),FIND("F",B2004)+1,FIND("G",B2004)+1))
)),
VALUE(MID(B2004,FIND("E0",B2004)+2,FIND("T",B2004,FIND("E0",B2004))-(FIND("E0",B2004)+2)))
))),"")</f>
        <v>105</v>
      </c>
      <c r="G2004">
        <f>IFERROR(
IF(ISNUMBER(FIND("T2",B2004)),220,
IF(ISNUMBER(FIND("T4",B2004)),440,
IF(ISNUMBER(FIND("T5",B2004)),575,
IF(ISNUMBER(FIND("T6",B2004)),690,"")))),
"")</f>
        <v>440</v>
      </c>
    </row>
    <row r="2005" spans="1:7" x14ac:dyDescent="0.25">
      <c r="A2005">
        <v>11129408</v>
      </c>
      <c r="B2005" t="str">
        <f>VLOOKUP(A2005,Planilha2!B:C,2,0)</f>
        <v>INVERSOR MSCFW110142T4ODBZ</v>
      </c>
      <c r="C2005" t="s">
        <v>3170</v>
      </c>
      <c r="D2005" t="str">
        <f>VLOOKUP(A2005,Planilha2!B:H,7,0)</f>
        <v>LINHA G1</v>
      </c>
      <c r="E2005" s="5">
        <v>64000</v>
      </c>
      <c r="F2005">
        <f>IFERROR(
IF(ISNUMBER(FIND("CFW110",B2005)),
VALUE(MID(B2005,FIND("CFW110",B2005)+6,FIND("T",B2005,FIND("CFW110",B2005))-(FIND("CFW110",B2005)+6))),
IF(ISNUMBER(FIND("D",B2005)),
VALUE(SUBSTITUTE(MID(B2005,FIND("D",B2005)+1,FIND("T",B2005,FIND("D",B2005))-(FIND("D",B2005)+1)),"P",",")),
IF(ISNUMBER(FIND("CFW5",B2005)),
VALUE(MID(B2005,
IF(ISNUMBER(FIND("F",B2005)),FIND("F",B2005)+1,FIND("G",B2005)+1),
FIND("T",B2005)-(IF(ISNUMBER(FIND("F",B2005)),FIND("F",B2005)+1,FIND("G",B2005)+1))
)),
VALUE(MID(B2005,FIND("E0",B2005)+2,FIND("T",B2005,FIND("E0",B2005))-(FIND("E0",B2005)+2)))
))),"")</f>
        <v>142</v>
      </c>
      <c r="G2005">
        <f>IFERROR(
IF(ISNUMBER(FIND("T2",B2005)),220,
IF(ISNUMBER(FIND("T4",B2005)),440,
IF(ISNUMBER(FIND("T5",B2005)),575,
IF(ISNUMBER(FIND("T6",B2005)),690,"")))),
"")</f>
        <v>440</v>
      </c>
    </row>
    <row r="2006" spans="1:7" x14ac:dyDescent="0.25">
      <c r="A2006">
        <v>11129409</v>
      </c>
      <c r="B2006" t="str">
        <f>VLOOKUP(A2006,Planilha2!B:C,2,0)</f>
        <v>INVERSOR MSCFW110180T4ODBZ</v>
      </c>
      <c r="C2006" t="s">
        <v>3170</v>
      </c>
      <c r="D2006" t="str">
        <f>VLOOKUP(A2006,Planilha2!B:H,7,0)</f>
        <v>LINHA G1</v>
      </c>
      <c r="E2006" s="5">
        <v>65000</v>
      </c>
      <c r="F2006">
        <f>IFERROR(
IF(ISNUMBER(FIND("CFW110",B2006)),
VALUE(MID(B2006,FIND("CFW110",B2006)+6,FIND("T",B2006,FIND("CFW110",B2006))-(FIND("CFW110",B2006)+6))),
IF(ISNUMBER(FIND("D",B2006)),
VALUE(SUBSTITUTE(MID(B2006,FIND("D",B2006)+1,FIND("T",B2006,FIND("D",B2006))-(FIND("D",B2006)+1)),"P",",")),
IF(ISNUMBER(FIND("CFW5",B2006)),
VALUE(MID(B2006,
IF(ISNUMBER(FIND("F",B2006)),FIND("F",B2006)+1,FIND("G",B2006)+1),
FIND("T",B2006)-(IF(ISNUMBER(FIND("F",B2006)),FIND("F",B2006)+1,FIND("G",B2006)+1))
)),
VALUE(MID(B2006,FIND("E0",B2006)+2,FIND("T",B2006,FIND("E0",B2006))-(FIND("E0",B2006)+2)))
))),"")</f>
        <v>180</v>
      </c>
      <c r="G2006">
        <f>IFERROR(
IF(ISNUMBER(FIND("T2",B2006)),220,
IF(ISNUMBER(FIND("T4",B2006)),440,
IF(ISNUMBER(FIND("T5",B2006)),575,
IF(ISNUMBER(FIND("T6",B2006)),690,"")))),
"")</f>
        <v>440</v>
      </c>
    </row>
    <row r="2007" spans="1:7" x14ac:dyDescent="0.25">
      <c r="A2007">
        <v>11129410</v>
      </c>
      <c r="B2007" t="str">
        <f>VLOOKUP(A2007,Planilha2!B:C,2,0)</f>
        <v>INVERSOR MSCFW110211T4ODBZ</v>
      </c>
      <c r="C2007" t="s">
        <v>3170</v>
      </c>
      <c r="D2007" t="str">
        <f>VLOOKUP(A2007,Planilha2!B:H,7,0)</f>
        <v>LINHA G1</v>
      </c>
      <c r="E2007" s="5">
        <v>65000</v>
      </c>
      <c r="F2007">
        <f>IFERROR(
IF(ISNUMBER(FIND("CFW110",B2007)),
VALUE(MID(B2007,FIND("CFW110",B2007)+6,FIND("T",B2007,FIND("CFW110",B2007))-(FIND("CFW110",B2007)+6))),
IF(ISNUMBER(FIND("D",B2007)),
VALUE(SUBSTITUTE(MID(B2007,FIND("D",B2007)+1,FIND("T",B2007,FIND("D",B2007))-(FIND("D",B2007)+1)),"P",",")),
IF(ISNUMBER(FIND("CFW5",B2007)),
VALUE(MID(B2007,
IF(ISNUMBER(FIND("F",B2007)),FIND("F",B2007)+1,FIND("G",B2007)+1),
FIND("T",B2007)-(IF(ISNUMBER(FIND("F",B2007)),FIND("F",B2007)+1,FIND("G",B2007)+1))
)),
VALUE(MID(B2007,FIND("E0",B2007)+2,FIND("T",B2007,FIND("E0",B2007))-(FIND("E0",B2007)+2)))
))),"")</f>
        <v>211</v>
      </c>
      <c r="G2007">
        <f>IFERROR(
IF(ISNUMBER(FIND("T2",B2007)),220,
IF(ISNUMBER(FIND("T4",B2007)),440,
IF(ISNUMBER(FIND("T5",B2007)),575,
IF(ISNUMBER(FIND("T6",B2007)),690,"")))),
"")</f>
        <v>440</v>
      </c>
    </row>
    <row r="2008" spans="1:7" x14ac:dyDescent="0.25">
      <c r="A2008">
        <v>11129588</v>
      </c>
      <c r="B2008" t="str">
        <f>VLOOKUP(A2008,Planilha2!B:C,2,0)</f>
        <v>INVERSOR NACFW110180T2ON1DBZ</v>
      </c>
      <c r="C2008" t="s">
        <v>3170</v>
      </c>
      <c r="D2008" t="str">
        <f>VLOOKUP(A2008,Planilha2!B:H,7,0)</f>
        <v>LINHA G1</v>
      </c>
      <c r="E2008" s="5">
        <v>69300</v>
      </c>
      <c r="F2008">
        <f>IFERROR(
IF(ISNUMBER(FIND("CFW110",B2008)),
VALUE(MID(B2008,FIND("CFW110",B2008)+6,FIND("T",B2008,FIND("CFW110",B2008))-(FIND("CFW110",B2008)+6))),
IF(ISNUMBER(FIND("D",B2008)),
VALUE(SUBSTITUTE(MID(B2008,FIND("D",B2008)+1,FIND("T",B2008,FIND("D",B2008))-(FIND("D",B2008)+1)),"P",",")),
IF(ISNUMBER(FIND("CFW5",B2008)),
VALUE(MID(B2008,
IF(ISNUMBER(FIND("F",B2008)),FIND("F",B2008)+1,FIND("G",B2008)+1),
FIND("T",B2008)-(IF(ISNUMBER(FIND("F",B2008)),FIND("F",B2008)+1,FIND("G",B2008)+1))
)),
VALUE(MID(B2008,FIND("E0",B2008)+2,FIND("T",B2008,FIND("E0",B2008))-(FIND("E0",B2008)+2)))
))),"")</f>
        <v>180</v>
      </c>
      <c r="G2008">
        <f>IFERROR(
IF(ISNUMBER(FIND("T2",B2008)),220,
IF(ISNUMBER(FIND("T4",B2008)),440,
IF(ISNUMBER(FIND("T5",B2008)),575,
IF(ISNUMBER(FIND("T6",B2008)),690,"")))),
"")</f>
        <v>220</v>
      </c>
    </row>
    <row r="2009" spans="1:7" x14ac:dyDescent="0.25">
      <c r="A2009">
        <v>11129589</v>
      </c>
      <c r="B2009" t="str">
        <f>VLOOKUP(A2009,Planilha2!B:C,2,0)</f>
        <v>INVERSOR NACFW110211T2ON1DBZ</v>
      </c>
      <c r="C2009" t="s">
        <v>3170</v>
      </c>
      <c r="D2009" t="str">
        <f>VLOOKUP(A2009,Planilha2!B:H,7,0)</f>
        <v>LINHA G1</v>
      </c>
      <c r="E2009" s="5">
        <v>69300</v>
      </c>
      <c r="F2009">
        <f>IFERROR(
IF(ISNUMBER(FIND("CFW110",B2009)),
VALUE(MID(B2009,FIND("CFW110",B2009)+6,FIND("T",B2009,FIND("CFW110",B2009))-(FIND("CFW110",B2009)+6))),
IF(ISNUMBER(FIND("D",B2009)),
VALUE(SUBSTITUTE(MID(B2009,FIND("D",B2009)+1,FIND("T",B2009,FIND("D",B2009))-(FIND("D",B2009)+1)),"P",",")),
IF(ISNUMBER(FIND("CFW5",B2009)),
VALUE(MID(B2009,
IF(ISNUMBER(FIND("F",B2009)),FIND("F",B2009)+1,FIND("G",B2009)+1),
FIND("T",B2009)-(IF(ISNUMBER(FIND("F",B2009)),FIND("F",B2009)+1,FIND("G",B2009)+1))
)),
VALUE(MID(B2009,FIND("E0",B2009)+2,FIND("T",B2009,FIND("E0",B2009))-(FIND("E0",B2009)+2)))
))),"")</f>
        <v>211</v>
      </c>
      <c r="G2009">
        <f>IFERROR(
IF(ISNUMBER(FIND("T2",B2009)),220,
IF(ISNUMBER(FIND("T4",B2009)),440,
IF(ISNUMBER(FIND("T5",B2009)),575,
IF(ISNUMBER(FIND("T6",B2009)),690,"")))),
"")</f>
        <v>220</v>
      </c>
    </row>
    <row r="2010" spans="1:7" x14ac:dyDescent="0.25">
      <c r="A2010">
        <v>11129590</v>
      </c>
      <c r="B2010" t="str">
        <f>VLOOKUP(A2010,Planilha2!B:C,2,0)</f>
        <v>INVERSOR NACFW110105T4ON1DBZ</v>
      </c>
      <c r="C2010" t="s">
        <v>3170</v>
      </c>
      <c r="D2010" t="str">
        <f>VLOOKUP(A2010,Planilha2!B:H,7,0)</f>
        <v>LINHA G1</v>
      </c>
      <c r="E2010" s="5">
        <v>93300</v>
      </c>
      <c r="F2010">
        <f>IFERROR(
IF(ISNUMBER(FIND("CFW110",B2010)),
VALUE(MID(B2010,FIND("CFW110",B2010)+6,FIND("T",B2010,FIND("CFW110",B2010))-(FIND("CFW110",B2010)+6))),
IF(ISNUMBER(FIND("D",B2010)),
VALUE(SUBSTITUTE(MID(B2010,FIND("D",B2010)+1,FIND("T",B2010,FIND("D",B2010))-(FIND("D",B2010)+1)),"P",",")),
IF(ISNUMBER(FIND("CFW5",B2010)),
VALUE(MID(B2010,
IF(ISNUMBER(FIND("F",B2010)),FIND("F",B2010)+1,FIND("G",B2010)+1),
FIND("T",B2010)-(IF(ISNUMBER(FIND("F",B2010)),FIND("F",B2010)+1,FIND("G",B2010)+1))
)),
VALUE(MID(B2010,FIND("E0",B2010)+2,FIND("T",B2010,FIND("E0",B2010))-(FIND("E0",B2010)+2)))
))),"")</f>
        <v>105</v>
      </c>
      <c r="G2010">
        <f>IFERROR(
IF(ISNUMBER(FIND("T2",B2010)),220,
IF(ISNUMBER(FIND("T4",B2010)),440,
IF(ISNUMBER(FIND("T5",B2010)),575,
IF(ISNUMBER(FIND("T6",B2010)),690,"")))),
"")</f>
        <v>440</v>
      </c>
    </row>
    <row r="2011" spans="1:7" x14ac:dyDescent="0.25">
      <c r="A2011">
        <v>11129591</v>
      </c>
      <c r="B2011" t="str">
        <f>VLOOKUP(A2011,Planilha2!B:C,2,0)</f>
        <v>INVERSOR NACFW110142T4ON1DBZ</v>
      </c>
      <c r="C2011" t="s">
        <v>3170</v>
      </c>
      <c r="D2011" t="str">
        <f>VLOOKUP(A2011,Planilha2!B:H,7,0)</f>
        <v>LINHA G1</v>
      </c>
      <c r="E2011" s="5">
        <v>66100</v>
      </c>
      <c r="F2011">
        <f>IFERROR(
IF(ISNUMBER(FIND("CFW110",B2011)),
VALUE(MID(B2011,FIND("CFW110",B2011)+6,FIND("T",B2011,FIND("CFW110",B2011))-(FIND("CFW110",B2011)+6))),
IF(ISNUMBER(FIND("D",B2011)),
VALUE(SUBSTITUTE(MID(B2011,FIND("D",B2011)+1,FIND("T",B2011,FIND("D",B2011))-(FIND("D",B2011)+1)),"P",",")),
IF(ISNUMBER(FIND("CFW5",B2011)),
VALUE(MID(B2011,
IF(ISNUMBER(FIND("F",B2011)),FIND("F",B2011)+1,FIND("G",B2011)+1),
FIND("T",B2011)-(IF(ISNUMBER(FIND("F",B2011)),FIND("F",B2011)+1,FIND("G",B2011)+1))
)),
VALUE(MID(B2011,FIND("E0",B2011)+2,FIND("T",B2011,FIND("E0",B2011))-(FIND("E0",B2011)+2)))
))),"")</f>
        <v>142</v>
      </c>
      <c r="G2011">
        <f>IFERROR(
IF(ISNUMBER(FIND("T2",B2011)),220,
IF(ISNUMBER(FIND("T4",B2011)),440,
IF(ISNUMBER(FIND("T5",B2011)),575,
IF(ISNUMBER(FIND("T6",B2011)),690,"")))),
"")</f>
        <v>440</v>
      </c>
    </row>
    <row r="2012" spans="1:7" x14ac:dyDescent="0.25">
      <c r="A2012">
        <v>11129595</v>
      </c>
      <c r="B2012" t="str">
        <f>VLOOKUP(A2012,Planilha2!B:C,2,0)</f>
        <v>INVERSOR NACFW110180T4ON1DBZ</v>
      </c>
      <c r="C2012" t="s">
        <v>3170</v>
      </c>
      <c r="D2012" t="str">
        <f>VLOOKUP(A2012,Planilha2!B:H,7,0)</f>
        <v>LINHA G1</v>
      </c>
      <c r="E2012" s="5">
        <v>69300</v>
      </c>
      <c r="F2012">
        <f>IFERROR(
IF(ISNUMBER(FIND("CFW110",B2012)),
VALUE(MID(B2012,FIND("CFW110",B2012)+6,FIND("T",B2012,FIND("CFW110",B2012))-(FIND("CFW110",B2012)+6))),
IF(ISNUMBER(FIND("D",B2012)),
VALUE(SUBSTITUTE(MID(B2012,FIND("D",B2012)+1,FIND("T",B2012,FIND("D",B2012))-(FIND("D",B2012)+1)),"P",",")),
IF(ISNUMBER(FIND("CFW5",B2012)),
VALUE(MID(B2012,
IF(ISNUMBER(FIND("F",B2012)),FIND("F",B2012)+1,FIND("G",B2012)+1),
FIND("T",B2012)-(IF(ISNUMBER(FIND("F",B2012)),FIND("F",B2012)+1,FIND("G",B2012)+1))
)),
VALUE(MID(B2012,FIND("E0",B2012)+2,FIND("T",B2012,FIND("E0",B2012))-(FIND("E0",B2012)+2)))
))),"")</f>
        <v>180</v>
      </c>
      <c r="G2012">
        <f>IFERROR(
IF(ISNUMBER(FIND("T2",B2012)),220,
IF(ISNUMBER(FIND("T4",B2012)),440,
IF(ISNUMBER(FIND("T5",B2012)),575,
IF(ISNUMBER(FIND("T6",B2012)),690,"")))),
"")</f>
        <v>440</v>
      </c>
    </row>
    <row r="2013" spans="1:7" x14ac:dyDescent="0.25">
      <c r="A2013">
        <v>11129596</v>
      </c>
      <c r="B2013" t="str">
        <f>VLOOKUP(A2013,Planilha2!B:C,2,0)</f>
        <v>INVERSOR NACFW110211T4ON1DBZ</v>
      </c>
      <c r="C2013" t="s">
        <v>3170</v>
      </c>
      <c r="D2013" t="str">
        <f>VLOOKUP(A2013,Planilha2!B:H,7,0)</f>
        <v>LINHA G1</v>
      </c>
      <c r="E2013" s="5">
        <v>69300</v>
      </c>
      <c r="F2013">
        <f>IFERROR(
IF(ISNUMBER(FIND("CFW110",B2013)),
VALUE(MID(B2013,FIND("CFW110",B2013)+6,FIND("T",B2013,FIND("CFW110",B2013))-(FIND("CFW110",B2013)+6))),
IF(ISNUMBER(FIND("D",B2013)),
VALUE(SUBSTITUTE(MID(B2013,FIND("D",B2013)+1,FIND("T",B2013,FIND("D",B2013))-(FIND("D",B2013)+1)),"P",",")),
IF(ISNUMBER(FIND("CFW5",B2013)),
VALUE(MID(B2013,
IF(ISNUMBER(FIND("F",B2013)),FIND("F",B2013)+1,FIND("G",B2013)+1),
FIND("T",B2013)-(IF(ISNUMBER(FIND("F",B2013)),FIND("F",B2013)+1,FIND("G",B2013)+1))
)),
VALUE(MID(B2013,FIND("E0",B2013)+2,FIND("T",B2013,FIND("E0",B2013))-(FIND("E0",B2013)+2)))
))),"")</f>
        <v>211</v>
      </c>
      <c r="G2013">
        <f>IFERROR(
IF(ISNUMBER(FIND("T2",B2013)),220,
IF(ISNUMBER(FIND("T4",B2013)),440,
IF(ISNUMBER(FIND("T5",B2013)),575,
IF(ISNUMBER(FIND("T6",B2013)),690,"")))),
"")</f>
        <v>440</v>
      </c>
    </row>
    <row r="2014" spans="1:7" x14ac:dyDescent="0.25">
      <c r="A2014">
        <v>11544123</v>
      </c>
      <c r="B2014" t="str">
        <f>VLOOKUP(A2014,Planilha2!B:C,2,0)</f>
        <v>INVERSOR CFW700E0142T4DB20C3</v>
      </c>
      <c r="C2014" t="s">
        <v>3170</v>
      </c>
      <c r="D2014" t="str">
        <f>VLOOKUP(A2014,Planilha2!B:H,7,0)</f>
        <v>OBSOLETOS DRIVES</v>
      </c>
      <c r="E2014" s="5">
        <v>69100</v>
      </c>
      <c r="F2014" t="str">
        <f>IFERROR(
IF(ISNUMBER(FIND("CFW110",B2014)),
VALUE(MID(B2014,FIND("CFW110",B2014)+6,FIND("T",B2014,FIND("CFW110",B2014))-(FIND("CFW110",B2014)+6))),
IF(ISNUMBER(FIND("D",B2014)),
VALUE(SUBSTITUTE(MID(B2014,FIND("D",B2014)+1,FIND("T",B2014,FIND("D",B2014))-(FIND("D",B2014)+1)),"P",",")),
IF(ISNUMBER(FIND("CFW5",B2014)),
VALUE(MID(B2014,
IF(ISNUMBER(FIND("F",B2014)),FIND("F",B2014)+1,FIND("G",B2014)+1),
FIND("T",B2014)-(IF(ISNUMBER(FIND("F",B2014)),FIND("F",B2014)+1,FIND("G",B2014)+1))
)),
VALUE(MID(B2014,FIND("E0",B2014)+2,FIND("T",B2014,FIND("E0",B2014))-(FIND("E0",B2014)+2)))
))),"")</f>
        <v/>
      </c>
      <c r="G2014">
        <f>IFERROR(
IF(ISNUMBER(FIND("T2",B2014)),220,
IF(ISNUMBER(FIND("T4",B2014)),440,
IF(ISNUMBER(FIND("T5",B2014)),575,
IF(ISNUMBER(FIND("T6",B2014)),690,"")))),
"")</f>
        <v>440</v>
      </c>
    </row>
    <row r="2015" spans="1:7" x14ac:dyDescent="0.25">
      <c r="A2015">
        <v>11544127</v>
      </c>
      <c r="B2015" t="str">
        <f>VLOOKUP(A2015,Planilha2!B:C,2,0)</f>
        <v>INVERSOR CFW700E0180T2DB20C3</v>
      </c>
      <c r="C2015" t="s">
        <v>3170</v>
      </c>
      <c r="D2015" t="str">
        <f>VLOOKUP(A2015,Planilha2!B:H,7,0)</f>
        <v>OBSOLETOS DRIVES</v>
      </c>
      <c r="E2015" s="5">
        <v>69100</v>
      </c>
      <c r="F2015" t="str">
        <f>IFERROR(
IF(ISNUMBER(FIND("CFW110",B2015)),
VALUE(MID(B2015,FIND("CFW110",B2015)+6,FIND("T",B2015,FIND("CFW110",B2015))-(FIND("CFW110",B2015)+6))),
IF(ISNUMBER(FIND("D",B2015)),
VALUE(SUBSTITUTE(MID(B2015,FIND("D",B2015)+1,FIND("T",B2015,FIND("D",B2015))-(FIND("D",B2015)+1)),"P",",")),
IF(ISNUMBER(FIND("CFW5",B2015)),
VALUE(MID(B2015,
IF(ISNUMBER(FIND("F",B2015)),FIND("F",B2015)+1,FIND("G",B2015)+1),
FIND("T",B2015)-(IF(ISNUMBER(FIND("F",B2015)),FIND("F",B2015)+1,FIND("G",B2015)+1))
)),
VALUE(MID(B2015,FIND("E0",B2015)+2,FIND("T",B2015,FIND("E0",B2015))-(FIND("E0",B2015)+2)))
))),"")</f>
        <v/>
      </c>
      <c r="G2015">
        <f>IFERROR(
IF(ISNUMBER(FIND("T2",B2015)),220,
IF(ISNUMBER(FIND("T4",B2015)),440,
IF(ISNUMBER(FIND("T5",B2015)),575,
IF(ISNUMBER(FIND("T6",B2015)),690,"")))),
"")</f>
        <v>220</v>
      </c>
    </row>
    <row r="2016" spans="1:7" x14ac:dyDescent="0.25">
      <c r="A2016">
        <v>11544158</v>
      </c>
      <c r="B2016" t="str">
        <f>VLOOKUP(A2016,Planilha2!B:C,2,0)</f>
        <v>INVERSOR CFW700E0180T4DB20C3</v>
      </c>
      <c r="C2016" t="s">
        <v>3170</v>
      </c>
      <c r="D2016" t="str">
        <f>VLOOKUP(A2016,Planilha2!B:H,7,0)</f>
        <v>OBSOLETOS DRIVES</v>
      </c>
      <c r="E2016" s="5">
        <v>69100</v>
      </c>
      <c r="F2016" t="str">
        <f>IFERROR(
IF(ISNUMBER(FIND("CFW110",B2016)),
VALUE(MID(B2016,FIND("CFW110",B2016)+6,FIND("T",B2016,FIND("CFW110",B2016))-(FIND("CFW110",B2016)+6))),
IF(ISNUMBER(FIND("D",B2016)),
VALUE(SUBSTITUTE(MID(B2016,FIND("D",B2016)+1,FIND("T",B2016,FIND("D",B2016))-(FIND("D",B2016)+1)),"P",",")),
IF(ISNUMBER(FIND("CFW5",B2016)),
VALUE(MID(B2016,
IF(ISNUMBER(FIND("F",B2016)),FIND("F",B2016)+1,FIND("G",B2016)+1),
FIND("T",B2016)-(IF(ISNUMBER(FIND("F",B2016)),FIND("F",B2016)+1,FIND("G",B2016)+1))
)),
VALUE(MID(B2016,FIND("E0",B2016)+2,FIND("T",B2016,FIND("E0",B2016))-(FIND("E0",B2016)+2)))
))),"")</f>
        <v/>
      </c>
      <c r="G2016">
        <f>IFERROR(
IF(ISNUMBER(FIND("T2",B2016)),220,
IF(ISNUMBER(FIND("T4",B2016)),440,
IF(ISNUMBER(FIND("T5",B2016)),575,
IF(ISNUMBER(FIND("T6",B2016)),690,"")))),
"")</f>
        <v>440</v>
      </c>
    </row>
    <row r="2017" spans="1:7" x14ac:dyDescent="0.25">
      <c r="A2017">
        <v>11544231</v>
      </c>
      <c r="B2017" t="str">
        <f>VLOOKUP(A2017,Planilha2!B:C,2,0)</f>
        <v>INVERSOR CFW700E0211T4DB20C3</v>
      </c>
      <c r="C2017" t="s">
        <v>3170</v>
      </c>
      <c r="D2017" t="str">
        <f>VLOOKUP(A2017,Planilha2!B:H,7,0)</f>
        <v>OBSOLETOS DRIVES</v>
      </c>
      <c r="E2017" s="5">
        <v>69100</v>
      </c>
      <c r="F2017" t="str">
        <f>IFERROR(
IF(ISNUMBER(FIND("CFW110",B2017)),
VALUE(MID(B2017,FIND("CFW110",B2017)+6,FIND("T",B2017,FIND("CFW110",B2017))-(FIND("CFW110",B2017)+6))),
IF(ISNUMBER(FIND("D",B2017)),
VALUE(SUBSTITUTE(MID(B2017,FIND("D",B2017)+1,FIND("T",B2017,FIND("D",B2017))-(FIND("D",B2017)+1)),"P",",")),
IF(ISNUMBER(FIND("CFW5",B2017)),
VALUE(MID(B2017,
IF(ISNUMBER(FIND("F",B2017)),FIND("F",B2017)+1,FIND("G",B2017)+1),
FIND("T",B2017)-(IF(ISNUMBER(FIND("F",B2017)),FIND("F",B2017)+1,FIND("G",B2017)+1))
)),
VALUE(MID(B2017,FIND("E0",B2017)+2,FIND("T",B2017,FIND("E0",B2017))-(FIND("E0",B2017)+2)))
))),"")</f>
        <v/>
      </c>
      <c r="G2017">
        <f>IFERROR(
IF(ISNUMBER(FIND("T2",B2017)),220,
IF(ISNUMBER(FIND("T4",B2017)),440,
IF(ISNUMBER(FIND("T5",B2017)),575,
IF(ISNUMBER(FIND("T6",B2017)),690,"")))),
"")</f>
        <v>440</v>
      </c>
    </row>
    <row r="2018" spans="1:7" x14ac:dyDescent="0.25">
      <c r="A2018">
        <v>11545364</v>
      </c>
      <c r="B2018" t="str">
        <f>VLOOKUP(A2018,Planilha2!B:C,2,0)</f>
        <v>INVERSOR CFW700E0180T2NBN1C3</v>
      </c>
      <c r="C2018" t="s">
        <v>3170</v>
      </c>
      <c r="D2018" t="str">
        <f>VLOOKUP(A2018,Planilha2!B:H,7,0)</f>
        <v>OBSOLETOS DRIVES</v>
      </c>
      <c r="E2018" s="5">
        <v>69100</v>
      </c>
      <c r="F2018">
        <f>IFERROR(
IF(ISNUMBER(FIND("CFW110",B2018)),
VALUE(MID(B2018,FIND("CFW110",B2018)+6,FIND("T",B2018,FIND("CFW110",B2018))-(FIND("CFW110",B2018)+6))),
IF(ISNUMBER(FIND("D",B2018)),
VALUE(SUBSTITUTE(MID(B2018,FIND("D",B2018)+1,FIND("T",B2018,FIND("D",B2018))-(FIND("D",B2018)+1)),"P",",")),
IF(ISNUMBER(FIND("CFW5",B2018)),
VALUE(MID(B2018,
IF(ISNUMBER(FIND("F",B2018)),FIND("F",B2018)+1,FIND("G",B2018)+1),
FIND("T",B2018)-(IF(ISNUMBER(FIND("F",B2018)),FIND("F",B2018)+1,FIND("G",B2018)+1))
)),
VALUE(MID(B2018,FIND("E0",B2018)+2,FIND("T",B2018,FIND("E0",B2018))-(FIND("E0",B2018)+2)))
))),"")</f>
        <v>180</v>
      </c>
      <c r="G2018">
        <f>IFERROR(
IF(ISNUMBER(FIND("T2",B2018)),220,
IF(ISNUMBER(FIND("T4",B2018)),440,
IF(ISNUMBER(FIND("T5",B2018)),575,
IF(ISNUMBER(FIND("T6",B2018)),690,"")))),
"")</f>
        <v>220</v>
      </c>
    </row>
    <row r="2019" spans="1:7" x14ac:dyDescent="0.25">
      <c r="A2019">
        <v>11546086</v>
      </c>
      <c r="B2019" t="str">
        <f>VLOOKUP(A2019,Planilha2!B:C,2,0)</f>
        <v>INVERSOR CFW700E0211T4DBN1C3</v>
      </c>
      <c r="C2019" t="s">
        <v>3170</v>
      </c>
      <c r="D2019" t="str">
        <f>VLOOKUP(A2019,Planilha2!B:H,7,0)</f>
        <v>OBSOLETOS DRIVES</v>
      </c>
      <c r="E2019" s="5">
        <v>69100</v>
      </c>
      <c r="F2019" t="str">
        <f>IFERROR(
IF(ISNUMBER(FIND("CFW110",B2019)),
VALUE(MID(B2019,FIND("CFW110",B2019)+6,FIND("T",B2019,FIND("CFW110",B2019))-(FIND("CFW110",B2019)+6))),
IF(ISNUMBER(FIND("D",B2019)),
VALUE(SUBSTITUTE(MID(B2019,FIND("D",B2019)+1,FIND("T",B2019,FIND("D",B2019))-(FIND("D",B2019)+1)),"P",",")),
IF(ISNUMBER(FIND("CFW5",B2019)),
VALUE(MID(B2019,
IF(ISNUMBER(FIND("F",B2019)),FIND("F",B2019)+1,FIND("G",B2019)+1),
FIND("T",B2019)-(IF(ISNUMBER(FIND("F",B2019)),FIND("F",B2019)+1,FIND("G",B2019)+1))
)),
VALUE(MID(B2019,FIND("E0",B2019)+2,FIND("T",B2019,FIND("E0",B2019))-(FIND("E0",B2019)+2)))
))),"")</f>
        <v/>
      </c>
      <c r="G2019">
        <f>IFERROR(
IF(ISNUMBER(FIND("T2",B2019)),220,
IF(ISNUMBER(FIND("T4",B2019)),440,
IF(ISNUMBER(FIND("T5",B2019)),575,
IF(ISNUMBER(FIND("T6",B2019)),690,"")))),
"")</f>
        <v>440</v>
      </c>
    </row>
    <row r="2020" spans="1:7" x14ac:dyDescent="0.25">
      <c r="A2020">
        <v>11427557</v>
      </c>
      <c r="B2020" t="str">
        <f>VLOOKUP(A2020,Planilha2!B:C,2,0)</f>
        <v>INVERSOR BRCFW110720T4ORBZ</v>
      </c>
      <c r="C2020" t="s">
        <v>3170</v>
      </c>
      <c r="D2020" t="str">
        <f>VLOOKUP(A2020,Planilha2!B:H,7,0)</f>
        <v>LINHA G5</v>
      </c>
      <c r="E2020" s="5">
        <v>210368</v>
      </c>
      <c r="F2020">
        <f>IFERROR(
IF(ISNUMBER(FIND("CFW110",B2020)),
VALUE(MID(B2020,FIND("CFW110",B2020)+6,FIND("T",B2020,FIND("CFW110",B2020))-(FIND("CFW110",B2020)+6))),
IF(ISNUMBER(FIND("D",B2020)),
VALUE(SUBSTITUTE(MID(B2020,FIND("D",B2020)+1,FIND("T",B2020,FIND("D",B2020))-(FIND("D",B2020)+1)),"P",",")),
IF(ISNUMBER(FIND("CFW5",B2020)),
VALUE(MID(B2020,
IF(ISNUMBER(FIND("F",B2020)),FIND("F",B2020)+1,FIND("G",B2020)+1),
FIND("T",B2020)-(IF(ISNUMBER(FIND("F",B2020)),FIND("F",B2020)+1,FIND("G",B2020)+1))
)),
VALUE(MID(B2020,FIND("E0",B2020)+2,FIND("T",B2020,FIND("E0",B2020))-(FIND("E0",B2020)+2)))
))),"")</f>
        <v>720</v>
      </c>
      <c r="G2020">
        <f>IFERROR(
IF(ISNUMBER(FIND("T2",B2020)),220,
IF(ISNUMBER(FIND("T4",B2020)),440,
IF(ISNUMBER(FIND("T5",B2020)),575,
IF(ISNUMBER(FIND("T6",B2020)),690,"")))),
"")</f>
        <v>440</v>
      </c>
    </row>
    <row r="2021" spans="1:7" x14ac:dyDescent="0.25">
      <c r="A2021">
        <v>11470512</v>
      </c>
      <c r="B2021" t="str">
        <f>VLOOKUP(A2021,Planilha2!B:C,2,0)</f>
        <v>INVERSOR BRCFW110515T4ORBZ</v>
      </c>
      <c r="C2021" t="s">
        <v>3170</v>
      </c>
      <c r="D2021" t="str">
        <f>VLOOKUP(A2021,Planilha2!B:H,7,0)</f>
        <v>LINHA G5</v>
      </c>
      <c r="E2021" s="5">
        <v>210368</v>
      </c>
      <c r="F2021">
        <f>IFERROR(
IF(ISNUMBER(FIND("CFW110",B2021)),
VALUE(MID(B2021,FIND("CFW110",B2021)+6,FIND("T",B2021,FIND("CFW110",B2021))-(FIND("CFW110",B2021)+6))),
IF(ISNUMBER(FIND("D",B2021)),
VALUE(SUBSTITUTE(MID(B2021,FIND("D",B2021)+1,FIND("T",B2021,FIND("D",B2021))-(FIND("D",B2021)+1)),"P",",")),
IF(ISNUMBER(FIND("CFW5",B2021)),
VALUE(MID(B2021,
IF(ISNUMBER(FIND("F",B2021)),FIND("F",B2021)+1,FIND("G",B2021)+1),
FIND("T",B2021)-(IF(ISNUMBER(FIND("F",B2021)),FIND("F",B2021)+1,FIND("G",B2021)+1))
)),
VALUE(MID(B2021,FIND("E0",B2021)+2,FIND("T",B2021,FIND("E0",B2021))-(FIND("E0",B2021)+2)))
))),"")</f>
        <v>515</v>
      </c>
      <c r="G2021">
        <f>IFERROR(
IF(ISNUMBER(FIND("T2",B2021)),220,
IF(ISNUMBER(FIND("T4",B2021)),440,
IF(ISNUMBER(FIND("T5",B2021)),575,
IF(ISNUMBER(FIND("T6",B2021)),690,"")))),
"")</f>
        <v>440</v>
      </c>
    </row>
    <row r="2022" spans="1:7" x14ac:dyDescent="0.25">
      <c r="A2022">
        <v>11470515</v>
      </c>
      <c r="B2022" t="str">
        <f>VLOOKUP(A2022,Planilha2!B:C,2,0)</f>
        <v>INVERSOR BRCFW110601T4ORBZ</v>
      </c>
      <c r="C2022" t="s">
        <v>3170</v>
      </c>
      <c r="D2022" t="str">
        <f>VLOOKUP(A2022,Planilha2!B:H,7,0)</f>
        <v>LINHA G5</v>
      </c>
      <c r="E2022" s="5">
        <v>210368</v>
      </c>
      <c r="F2022">
        <f>IFERROR(
IF(ISNUMBER(FIND("CFW110",B2022)),
VALUE(MID(B2022,FIND("CFW110",B2022)+6,FIND("T",B2022,FIND("CFW110",B2022))-(FIND("CFW110",B2022)+6))),
IF(ISNUMBER(FIND("D",B2022)),
VALUE(SUBSTITUTE(MID(B2022,FIND("D",B2022)+1,FIND("T",B2022,FIND("D",B2022))-(FIND("D",B2022)+1)),"P",",")),
IF(ISNUMBER(FIND("CFW5",B2022)),
VALUE(MID(B2022,
IF(ISNUMBER(FIND("F",B2022)),FIND("F",B2022)+1,FIND("G",B2022)+1),
FIND("T",B2022)-(IF(ISNUMBER(FIND("F",B2022)),FIND("F",B2022)+1,FIND("G",B2022)+1))
)),
VALUE(MID(B2022,FIND("E0",B2022)+2,FIND("T",B2022,FIND("E0",B2022))-(FIND("E0",B2022)+2)))
))),"")</f>
        <v>601</v>
      </c>
      <c r="G2022">
        <f>IFERROR(
IF(ISNUMBER(FIND("T2",B2022)),220,
IF(ISNUMBER(FIND("T4",B2022)),440,
IF(ISNUMBER(FIND("T5",B2022)),575,
IF(ISNUMBER(FIND("T6",B2022)),690,"")))),
"")</f>
        <v>440</v>
      </c>
    </row>
    <row r="2023" spans="1:7" x14ac:dyDescent="0.25">
      <c r="A2023">
        <v>11312639</v>
      </c>
      <c r="B2023" t="str">
        <f>VLOOKUP(A2023,Planilha2!B:C,2,0)</f>
        <v>INVERSOR CFW700E0105T4NB20C3</v>
      </c>
      <c r="C2023" t="s">
        <v>3170</v>
      </c>
      <c r="D2023" t="str">
        <f>VLOOKUP(A2023,Planilha2!B:H,7,0)</f>
        <v>OBSOLETOS DRIVES</v>
      </c>
      <c r="E2023" s="5">
        <v>69100</v>
      </c>
      <c r="F2023">
        <f>IFERROR(
IF(ISNUMBER(FIND("CFW110",B2023)),
VALUE(MID(B2023,FIND("CFW110",B2023)+6,FIND("T",B2023,FIND("CFW110",B2023))-(FIND("CFW110",B2023)+6))),
IF(ISNUMBER(FIND("D",B2023)),
VALUE(SUBSTITUTE(MID(B2023,FIND("D",B2023)+1,FIND("T",B2023,FIND("D",B2023))-(FIND("D",B2023)+1)),"P",",")),
IF(ISNUMBER(FIND("CFW5",B2023)),
VALUE(MID(B2023,
IF(ISNUMBER(FIND("F",B2023)),FIND("F",B2023)+1,FIND("G",B2023)+1),
FIND("T",B2023)-(IF(ISNUMBER(FIND("F",B2023)),FIND("F",B2023)+1,FIND("G",B2023)+1))
)),
VALUE(MID(B2023,FIND("E0",B2023)+2,FIND("T",B2023,FIND("E0",B2023))-(FIND("E0",B2023)+2)))
))),"")</f>
        <v>105</v>
      </c>
      <c r="G2023">
        <f>IFERROR(
IF(ISNUMBER(FIND("T2",B2023)),220,
IF(ISNUMBER(FIND("T4",B2023)),440,
IF(ISNUMBER(FIND("T5",B2023)),575,
IF(ISNUMBER(FIND("T6",B2023)),690,"")))),
"")</f>
        <v>440</v>
      </c>
    </row>
    <row r="2024" spans="1:7" x14ac:dyDescent="0.25">
      <c r="A2024">
        <v>10858752</v>
      </c>
      <c r="B2024" t="str">
        <f>VLOOKUP(A2024,Planilha2!B:C,2,0)</f>
        <v>INVERSOR BRCFW110180T2SZ</v>
      </c>
      <c r="C2024" t="s">
        <v>3170</v>
      </c>
      <c r="D2024" t="str">
        <f>VLOOKUP(A2024,Planilha2!B:H,7,0)</f>
        <v>LINHA G1</v>
      </c>
      <c r="E2024" s="5">
        <v>69100</v>
      </c>
      <c r="F2024">
        <f>IFERROR(
IF(ISNUMBER(FIND("CFW110",B2024)),
VALUE(MID(B2024,FIND("CFW110",B2024)+6,FIND("T",B2024,FIND("CFW110",B2024))-(FIND("CFW110",B2024)+6))),
IF(ISNUMBER(FIND("D",B2024)),
VALUE(SUBSTITUTE(MID(B2024,FIND("D",B2024)+1,FIND("T",B2024,FIND("D",B2024))-(FIND("D",B2024)+1)),"P",",")),
IF(ISNUMBER(FIND("CFW5",B2024)),
VALUE(MID(B2024,
IF(ISNUMBER(FIND("F",B2024)),FIND("F",B2024)+1,FIND("G",B2024)+1),
FIND("T",B2024)-(IF(ISNUMBER(FIND("F",B2024)),FIND("F",B2024)+1,FIND("G",B2024)+1))
)),
VALUE(MID(B2024,FIND("E0",B2024)+2,FIND("T",B2024,FIND("E0",B2024))-(FIND("E0",B2024)+2)))
))),"")</f>
        <v>180</v>
      </c>
      <c r="G2024">
        <f>IFERROR(
IF(ISNUMBER(FIND("T2",B2024)),220,
IF(ISNUMBER(FIND("T4",B2024)),440,
IF(ISNUMBER(FIND("T5",B2024)),575,
IF(ISNUMBER(FIND("T6",B2024)),690,"")))),
"")</f>
        <v>220</v>
      </c>
    </row>
    <row r="2025" spans="1:7" x14ac:dyDescent="0.25">
      <c r="A2025">
        <v>10858753</v>
      </c>
      <c r="B2025" t="str">
        <f>VLOOKUP(A2025,Planilha2!B:C,2,0)</f>
        <v>INVERSOR BRCFW110211T2SZ</v>
      </c>
      <c r="C2025" t="s">
        <v>3170</v>
      </c>
      <c r="D2025" t="str">
        <f>VLOOKUP(A2025,Planilha2!B:H,7,0)</f>
        <v>LINHA G1</v>
      </c>
      <c r="E2025" s="5">
        <v>59360</v>
      </c>
      <c r="F2025">
        <f>IFERROR(
IF(ISNUMBER(FIND("CFW110",B2025)),
VALUE(MID(B2025,FIND("CFW110",B2025)+6,FIND("T",B2025,FIND("CFW110",B2025))-(FIND("CFW110",B2025)+6))),
IF(ISNUMBER(FIND("D",B2025)),
VALUE(SUBSTITUTE(MID(B2025,FIND("D",B2025)+1,FIND("T",B2025,FIND("D",B2025))-(FIND("D",B2025)+1)),"P",",")),
IF(ISNUMBER(FIND("CFW5",B2025)),
VALUE(MID(B2025,
IF(ISNUMBER(FIND("F",B2025)),FIND("F",B2025)+1,FIND("G",B2025)+1),
FIND("T",B2025)-(IF(ISNUMBER(FIND("F",B2025)),FIND("F",B2025)+1,FIND("G",B2025)+1))
)),
VALUE(MID(B2025,FIND("E0",B2025)+2,FIND("T",B2025,FIND("E0",B2025))-(FIND("E0",B2025)+2)))
))),"")</f>
        <v>211</v>
      </c>
      <c r="G2025">
        <f>IFERROR(
IF(ISNUMBER(FIND("T2",B2025)),220,
IF(ISNUMBER(FIND("T4",B2025)),440,
IF(ISNUMBER(FIND("T5",B2025)),575,
IF(ISNUMBER(FIND("T6",B2025)),690,"")))),
"")</f>
        <v>220</v>
      </c>
    </row>
    <row r="2026" spans="1:7" x14ac:dyDescent="0.25">
      <c r="A2026">
        <v>10858763</v>
      </c>
      <c r="B2026" t="str">
        <f>VLOOKUP(A2026,Planilha2!B:C,2,0)</f>
        <v>INVERSOR BRCFW110142T4ODBZ</v>
      </c>
      <c r="C2026" t="s">
        <v>3170</v>
      </c>
      <c r="D2026" t="str">
        <f>VLOOKUP(A2026,Planilha2!B:H,7,0)</f>
        <v>LINHA G1</v>
      </c>
      <c r="E2026" s="5">
        <v>69100</v>
      </c>
      <c r="F2026">
        <f>IFERROR(
IF(ISNUMBER(FIND("CFW110",B2026)),
VALUE(MID(B2026,FIND("CFW110",B2026)+6,FIND("T",B2026,FIND("CFW110",B2026))-(FIND("CFW110",B2026)+6))),
IF(ISNUMBER(FIND("D",B2026)),
VALUE(SUBSTITUTE(MID(B2026,FIND("D",B2026)+1,FIND("T",B2026,FIND("D",B2026))-(FIND("D",B2026)+1)),"P",",")),
IF(ISNUMBER(FIND("CFW5",B2026)),
VALUE(MID(B2026,
IF(ISNUMBER(FIND("F",B2026)),FIND("F",B2026)+1,FIND("G",B2026)+1),
FIND("T",B2026)-(IF(ISNUMBER(FIND("F",B2026)),FIND("F",B2026)+1,FIND("G",B2026)+1))
)),
VALUE(MID(B2026,FIND("E0",B2026)+2,FIND("T",B2026,FIND("E0",B2026))-(FIND("E0",B2026)+2)))
))),"")</f>
        <v>142</v>
      </c>
      <c r="G2026">
        <f>IFERROR(
IF(ISNUMBER(FIND("T2",B2026)),220,
IF(ISNUMBER(FIND("T4",B2026)),440,
IF(ISNUMBER(FIND("T5",B2026)),575,
IF(ISNUMBER(FIND("T6",B2026)),690,"")))),
"")</f>
        <v>440</v>
      </c>
    </row>
    <row r="2027" spans="1:7" x14ac:dyDescent="0.25">
      <c r="A2027">
        <v>10858767</v>
      </c>
      <c r="B2027" t="str">
        <f>VLOOKUP(A2027,Planilha2!B:C,2,0)</f>
        <v>INVERSOR BRCFW110180T4ODBZ</v>
      </c>
      <c r="C2027" t="s">
        <v>3170</v>
      </c>
      <c r="D2027" t="str">
        <f>VLOOKUP(A2027,Planilha2!B:H,7,0)</f>
        <v>LINHA G1</v>
      </c>
      <c r="E2027" s="5">
        <v>68100</v>
      </c>
      <c r="F2027">
        <f>IFERROR(
IF(ISNUMBER(FIND("CFW110",B2027)),
VALUE(MID(B2027,FIND("CFW110",B2027)+6,FIND("T",B2027,FIND("CFW110",B2027))-(FIND("CFW110",B2027)+6))),
IF(ISNUMBER(FIND("D",B2027)),
VALUE(SUBSTITUTE(MID(B2027,FIND("D",B2027)+1,FIND("T",B2027,FIND("D",B2027))-(FIND("D",B2027)+1)),"P",",")),
IF(ISNUMBER(FIND("CFW5",B2027)),
VALUE(MID(B2027,
IF(ISNUMBER(FIND("F",B2027)),FIND("F",B2027)+1,FIND("G",B2027)+1),
FIND("T",B2027)-(IF(ISNUMBER(FIND("F",B2027)),FIND("F",B2027)+1,FIND("G",B2027)+1))
)),
VALUE(MID(B2027,FIND("E0",B2027)+2,FIND("T",B2027,FIND("E0",B2027))-(FIND("E0",B2027)+2)))
))),"")</f>
        <v>180</v>
      </c>
      <c r="G2027">
        <f>IFERROR(
IF(ISNUMBER(FIND("T2",B2027)),220,
IF(ISNUMBER(FIND("T4",B2027)),440,
IF(ISNUMBER(FIND("T5",B2027)),575,
IF(ISNUMBER(FIND("T6",B2027)),690,"")))),
"")</f>
        <v>440</v>
      </c>
    </row>
    <row r="2028" spans="1:7" x14ac:dyDescent="0.25">
      <c r="A2028">
        <v>10858771</v>
      </c>
      <c r="B2028" t="str">
        <f>VLOOKUP(A2028,Planilha2!B:C,2,0)</f>
        <v>INVERSOR BRCFW110211T4ODBZ</v>
      </c>
      <c r="C2028" t="s">
        <v>3170</v>
      </c>
      <c r="D2028" t="str">
        <f>VLOOKUP(A2028,Planilha2!B:H,7,0)</f>
        <v>LINHA G1</v>
      </c>
      <c r="E2028" s="5">
        <v>59360</v>
      </c>
      <c r="F2028">
        <f>IFERROR(
IF(ISNUMBER(FIND("CFW110",B2028)),
VALUE(MID(B2028,FIND("CFW110",B2028)+6,FIND("T",B2028,FIND("CFW110",B2028))-(FIND("CFW110",B2028)+6))),
IF(ISNUMBER(FIND("D",B2028)),
VALUE(SUBSTITUTE(MID(B2028,FIND("D",B2028)+1,FIND("T",B2028,FIND("D",B2028))-(FIND("D",B2028)+1)),"P",",")),
IF(ISNUMBER(FIND("CFW5",B2028)),
VALUE(MID(B2028,
IF(ISNUMBER(FIND("F",B2028)),FIND("F",B2028)+1,FIND("G",B2028)+1),
FIND("T",B2028)-(IF(ISNUMBER(FIND("F",B2028)),FIND("F",B2028)+1,FIND("G",B2028)+1))
)),
VALUE(MID(B2028,FIND("E0",B2028)+2,FIND("T",B2028,FIND("E0",B2028))-(FIND("E0",B2028)+2)))
))),"")</f>
        <v>211</v>
      </c>
      <c r="G2028">
        <f>IFERROR(
IF(ISNUMBER(FIND("T2",B2028)),220,
IF(ISNUMBER(FIND("T4",B2028)),440,
IF(ISNUMBER(FIND("T5",B2028)),575,
IF(ISNUMBER(FIND("T6",B2028)),690,"")))),
"")</f>
        <v>440</v>
      </c>
    </row>
    <row r="2029" spans="1:7" x14ac:dyDescent="0.25">
      <c r="A2029">
        <v>10858810</v>
      </c>
      <c r="B2029" t="str">
        <f>VLOOKUP(A2029,Planilha2!B:C,2,0)</f>
        <v>INVERSOR BRCFW110180T2ODBZ</v>
      </c>
      <c r="C2029" t="s">
        <v>3170</v>
      </c>
      <c r="D2029" t="str">
        <f>VLOOKUP(A2029,Planilha2!B:H,7,0)</f>
        <v>LINHA G1</v>
      </c>
      <c r="E2029" s="5">
        <v>59360</v>
      </c>
      <c r="F2029">
        <f>IFERROR(
IF(ISNUMBER(FIND("CFW110",B2029)),
VALUE(MID(B2029,FIND("CFW110",B2029)+6,FIND("T",B2029,FIND("CFW110",B2029))-(FIND("CFW110",B2029)+6))),
IF(ISNUMBER(FIND("D",B2029)),
VALUE(SUBSTITUTE(MID(B2029,FIND("D",B2029)+1,FIND("T",B2029,FIND("D",B2029))-(FIND("D",B2029)+1)),"P",",")),
IF(ISNUMBER(FIND("CFW5",B2029)),
VALUE(MID(B2029,
IF(ISNUMBER(FIND("F",B2029)),FIND("F",B2029)+1,FIND("G",B2029)+1),
FIND("T",B2029)-(IF(ISNUMBER(FIND("F",B2029)),FIND("F",B2029)+1,FIND("G",B2029)+1))
)),
VALUE(MID(B2029,FIND("E0",B2029)+2,FIND("T",B2029,FIND("E0",B2029))-(FIND("E0",B2029)+2)))
))),"")</f>
        <v>180</v>
      </c>
      <c r="G2029">
        <f>IFERROR(
IF(ISNUMBER(FIND("T2",B2029)),220,
IF(ISNUMBER(FIND("T4",B2029)),440,
IF(ISNUMBER(FIND("T5",B2029)),575,
IF(ISNUMBER(FIND("T6",B2029)),690,"")))),
"")</f>
        <v>220</v>
      </c>
    </row>
    <row r="2030" spans="1:7" x14ac:dyDescent="0.25">
      <c r="A2030">
        <v>10858812</v>
      </c>
      <c r="B2030" t="str">
        <f>VLOOKUP(A2030,Planilha2!B:C,2,0)</f>
        <v>INVERSOR BRCFW110211T2ODBZ</v>
      </c>
      <c r="C2030" t="s">
        <v>3170</v>
      </c>
      <c r="D2030" t="str">
        <f>VLOOKUP(A2030,Planilha2!B:H,7,0)</f>
        <v>LINHA G1</v>
      </c>
      <c r="E2030" s="5">
        <v>59360</v>
      </c>
      <c r="F2030">
        <f>IFERROR(
IF(ISNUMBER(FIND("CFW110",B2030)),
VALUE(MID(B2030,FIND("CFW110",B2030)+6,FIND("T",B2030,FIND("CFW110",B2030))-(FIND("CFW110",B2030)+6))),
IF(ISNUMBER(FIND("D",B2030)),
VALUE(SUBSTITUTE(MID(B2030,FIND("D",B2030)+1,FIND("T",B2030,FIND("D",B2030))-(FIND("D",B2030)+1)),"P",",")),
IF(ISNUMBER(FIND("CFW5",B2030)),
VALUE(MID(B2030,
IF(ISNUMBER(FIND("F",B2030)),FIND("F",B2030)+1,FIND("G",B2030)+1),
FIND("T",B2030)-(IF(ISNUMBER(FIND("F",B2030)),FIND("F",B2030)+1,FIND("G",B2030)+1))
)),
VALUE(MID(B2030,FIND("E0",B2030)+2,FIND("T",B2030,FIND("E0",B2030))-(FIND("E0",B2030)+2)))
))),"")</f>
        <v>211</v>
      </c>
      <c r="G2030">
        <f>IFERROR(
IF(ISNUMBER(FIND("T2",B2030)),220,
IF(ISNUMBER(FIND("T4",B2030)),440,
IF(ISNUMBER(FIND("T5",B2030)),575,
IF(ISNUMBER(FIND("T6",B2030)),690,"")))),
"")</f>
        <v>220</v>
      </c>
    </row>
    <row r="2031" spans="1:7" x14ac:dyDescent="0.25">
      <c r="A2031">
        <v>10858814</v>
      </c>
      <c r="B2031" t="str">
        <f>VLOOKUP(A2031,Planilha2!B:C,2,0)</f>
        <v>INVERSOR BRCFW110105T4ODBZ</v>
      </c>
      <c r="C2031" t="s">
        <v>3170</v>
      </c>
      <c r="D2031" t="str">
        <f>VLOOKUP(A2031,Planilha2!B:H,7,0)</f>
        <v>LINHA G1</v>
      </c>
      <c r="E2031" s="5">
        <v>31100</v>
      </c>
      <c r="F2031">
        <f>IFERROR(
IF(ISNUMBER(FIND("CFW110",B2031)),
VALUE(MID(B2031,FIND("CFW110",B2031)+6,FIND("T",B2031,FIND("CFW110",B2031))-(FIND("CFW110",B2031)+6))),
IF(ISNUMBER(FIND("D",B2031)),
VALUE(SUBSTITUTE(MID(B2031,FIND("D",B2031)+1,FIND("T",B2031,FIND("D",B2031))-(FIND("D",B2031)+1)),"P",",")),
IF(ISNUMBER(FIND("CFW5",B2031)),
VALUE(MID(B2031,
IF(ISNUMBER(FIND("F",B2031)),FIND("F",B2031)+1,FIND("G",B2031)+1),
FIND("T",B2031)-(IF(ISNUMBER(FIND("F",B2031)),FIND("F",B2031)+1,FIND("G",B2031)+1))
)),
VALUE(MID(B2031,FIND("E0",B2031)+2,FIND("T",B2031,FIND("E0",B2031))-(FIND("E0",B2031)+2)))
))),"")</f>
        <v>105</v>
      </c>
      <c r="G2031">
        <f>IFERROR(
IF(ISNUMBER(FIND("T2",B2031)),220,
IF(ISNUMBER(FIND("T4",B2031)),440,
IF(ISNUMBER(FIND("T5",B2031)),575,
IF(ISNUMBER(FIND("T6",B2031)),690,"")))),
"")</f>
        <v>440</v>
      </c>
    </row>
    <row r="2032" spans="1:7" x14ac:dyDescent="0.25">
      <c r="A2032">
        <v>11312641</v>
      </c>
      <c r="B2032" t="str">
        <f>VLOOKUP(A2032,Planilha2!B:C,2,0)</f>
        <v>INVERSOR CFW700E0142T4NB20C3</v>
      </c>
      <c r="C2032" t="s">
        <v>3170</v>
      </c>
      <c r="D2032" t="str">
        <f>VLOOKUP(A2032,Planilha2!B:H,7,0)</f>
        <v>OBSOLETOS DRIVES</v>
      </c>
      <c r="E2032" s="5">
        <v>62500</v>
      </c>
      <c r="F2032">
        <f>IFERROR(
IF(ISNUMBER(FIND("CFW110",B2032)),
VALUE(MID(B2032,FIND("CFW110",B2032)+6,FIND("T",B2032,FIND("CFW110",B2032))-(FIND("CFW110",B2032)+6))),
IF(ISNUMBER(FIND("D",B2032)),
VALUE(SUBSTITUTE(MID(B2032,FIND("D",B2032)+1,FIND("T",B2032,FIND("D",B2032))-(FIND("D",B2032)+1)),"P",",")),
IF(ISNUMBER(FIND("CFW5",B2032)),
VALUE(MID(B2032,
IF(ISNUMBER(FIND("F",B2032)),FIND("F",B2032)+1,FIND("G",B2032)+1),
FIND("T",B2032)-(IF(ISNUMBER(FIND("F",B2032)),FIND("F",B2032)+1,FIND("G",B2032)+1))
)),
VALUE(MID(B2032,FIND("E0",B2032)+2,FIND("T",B2032,FIND("E0",B2032))-(FIND("E0",B2032)+2)))
))),"")</f>
        <v>142</v>
      </c>
      <c r="G2032">
        <f>IFERROR(
IF(ISNUMBER(FIND("T2",B2032)),220,
IF(ISNUMBER(FIND("T4",B2032)),440,
IF(ISNUMBER(FIND("T5",B2032)),575,
IF(ISNUMBER(FIND("T6",B2032)),690,"")))),
"")</f>
        <v>440</v>
      </c>
    </row>
    <row r="2033" spans="1:7" x14ac:dyDescent="0.25">
      <c r="A2033">
        <v>11312645</v>
      </c>
      <c r="B2033" t="str">
        <f>VLOOKUP(A2033,Planilha2!B:C,2,0)</f>
        <v>INVERSOR CFW700E0180T4NB20C3</v>
      </c>
      <c r="C2033" t="s">
        <v>3170</v>
      </c>
      <c r="D2033" t="str">
        <f>VLOOKUP(A2033,Planilha2!B:H,7,0)</f>
        <v>OBSOLETOS DRIVES</v>
      </c>
      <c r="E2033" s="5">
        <v>65000</v>
      </c>
      <c r="F2033">
        <f>IFERROR(
IF(ISNUMBER(FIND("CFW110",B2033)),
VALUE(MID(B2033,FIND("CFW110",B2033)+6,FIND("T",B2033,FIND("CFW110",B2033))-(FIND("CFW110",B2033)+6))),
IF(ISNUMBER(FIND("D",B2033)),
VALUE(SUBSTITUTE(MID(B2033,FIND("D",B2033)+1,FIND("T",B2033,FIND("D",B2033))-(FIND("D",B2033)+1)),"P",",")),
IF(ISNUMBER(FIND("CFW5",B2033)),
VALUE(MID(B2033,
IF(ISNUMBER(FIND("F",B2033)),FIND("F",B2033)+1,FIND("G",B2033)+1),
FIND("T",B2033)-(IF(ISNUMBER(FIND("F",B2033)),FIND("F",B2033)+1,FIND("G",B2033)+1))
)),
VALUE(MID(B2033,FIND("E0",B2033)+2,FIND("T",B2033,FIND("E0",B2033))-(FIND("E0",B2033)+2)))
))),"")</f>
        <v>180</v>
      </c>
      <c r="G2033">
        <f>IFERROR(
IF(ISNUMBER(FIND("T2",B2033)),220,
IF(ISNUMBER(FIND("T4",B2033)),440,
IF(ISNUMBER(FIND("T5",B2033)),575,
IF(ISNUMBER(FIND("T6",B2033)),690,"")))),
"")</f>
        <v>440</v>
      </c>
    </row>
    <row r="2034" spans="1:7" x14ac:dyDescent="0.25">
      <c r="A2034">
        <v>11312688</v>
      </c>
      <c r="B2034" t="str">
        <f>VLOOKUP(A2034,Planilha2!B:C,2,0)</f>
        <v>INVERSOR CFW700E0211T4NB20C3</v>
      </c>
      <c r="C2034" t="s">
        <v>3170</v>
      </c>
      <c r="D2034" t="str">
        <f>VLOOKUP(A2034,Planilha2!B:H,7,0)</f>
        <v>OBSOLETOS DRIVES</v>
      </c>
      <c r="E2034" s="5">
        <v>69100</v>
      </c>
      <c r="F2034">
        <f>IFERROR(
IF(ISNUMBER(FIND("CFW110",B2034)),
VALUE(MID(B2034,FIND("CFW110",B2034)+6,FIND("T",B2034,FIND("CFW110",B2034))-(FIND("CFW110",B2034)+6))),
IF(ISNUMBER(FIND("D",B2034)),
VALUE(SUBSTITUTE(MID(B2034,FIND("D",B2034)+1,FIND("T",B2034,FIND("D",B2034))-(FIND("D",B2034)+1)),"P",",")),
IF(ISNUMBER(FIND("CFW5",B2034)),
VALUE(MID(B2034,
IF(ISNUMBER(FIND("F",B2034)),FIND("F",B2034)+1,FIND("G",B2034)+1),
FIND("T",B2034)-(IF(ISNUMBER(FIND("F",B2034)),FIND("F",B2034)+1,FIND("G",B2034)+1))
)),
VALUE(MID(B2034,FIND("E0",B2034)+2,FIND("T",B2034,FIND("E0",B2034))-(FIND("E0",B2034)+2)))
))),"")</f>
        <v>211</v>
      </c>
      <c r="G2034">
        <f>IFERROR(
IF(ISNUMBER(FIND("T2",B2034)),220,
IF(ISNUMBER(FIND("T4",B2034)),440,
IF(ISNUMBER(FIND("T5",B2034)),575,
IF(ISNUMBER(FIND("T6",B2034)),690,"")))),
"")</f>
        <v>440</v>
      </c>
    </row>
    <row r="2035" spans="1:7" x14ac:dyDescent="0.25">
      <c r="A2035">
        <v>11312694</v>
      </c>
      <c r="B2035" t="str">
        <f>VLOOKUP(A2035,Planilha2!B:C,2,0)</f>
        <v>INVERSOR CFW700E0180T2NB20C3</v>
      </c>
      <c r="C2035" t="s">
        <v>3170</v>
      </c>
      <c r="D2035" t="str">
        <f>VLOOKUP(A2035,Planilha2!B:H,7,0)</f>
        <v>OBSOLETOS DRIVES</v>
      </c>
      <c r="E2035" s="5">
        <v>69100</v>
      </c>
      <c r="F2035">
        <f>IFERROR(
IF(ISNUMBER(FIND("CFW110",B2035)),
VALUE(MID(B2035,FIND("CFW110",B2035)+6,FIND("T",B2035,FIND("CFW110",B2035))-(FIND("CFW110",B2035)+6))),
IF(ISNUMBER(FIND("D",B2035)),
VALUE(SUBSTITUTE(MID(B2035,FIND("D",B2035)+1,FIND("T",B2035,FIND("D",B2035))-(FIND("D",B2035)+1)),"P",",")),
IF(ISNUMBER(FIND("CFW5",B2035)),
VALUE(MID(B2035,
IF(ISNUMBER(FIND("F",B2035)),FIND("F",B2035)+1,FIND("G",B2035)+1),
FIND("T",B2035)-(IF(ISNUMBER(FIND("F",B2035)),FIND("F",B2035)+1,FIND("G",B2035)+1))
)),
VALUE(MID(B2035,FIND("E0",B2035)+2,FIND("T",B2035,FIND("E0",B2035))-(FIND("E0",B2035)+2)))
))),"")</f>
        <v>180</v>
      </c>
      <c r="G2035">
        <f>IFERROR(
IF(ISNUMBER(FIND("T2",B2035)),220,
IF(ISNUMBER(FIND("T4",B2035)),440,
IF(ISNUMBER(FIND("T5",B2035)),575,
IF(ISNUMBER(FIND("T6",B2035)),690,"")))),
"")</f>
        <v>220</v>
      </c>
    </row>
    <row r="2036" spans="1:7" x14ac:dyDescent="0.25">
      <c r="A2036">
        <v>11312695</v>
      </c>
      <c r="B2036" t="str">
        <f>VLOOKUP(A2036,Planilha2!B:C,2,0)</f>
        <v>INVERSOR CFW700E0211T2NB20C3</v>
      </c>
      <c r="C2036" t="s">
        <v>3170</v>
      </c>
      <c r="D2036" t="str">
        <f>VLOOKUP(A2036,Planilha2!B:H,7,0)</f>
        <v>OBSOLETOS DRIVES</v>
      </c>
      <c r="E2036" s="5">
        <v>65000</v>
      </c>
      <c r="F2036">
        <f>IFERROR(
IF(ISNUMBER(FIND("CFW110",B2036)),
VALUE(MID(B2036,FIND("CFW110",B2036)+6,FIND("T",B2036,FIND("CFW110",B2036))-(FIND("CFW110",B2036)+6))),
IF(ISNUMBER(FIND("D",B2036)),
VALUE(SUBSTITUTE(MID(B2036,FIND("D",B2036)+1,FIND("T",B2036,FIND("D",B2036))-(FIND("D",B2036)+1)),"P",",")),
IF(ISNUMBER(FIND("CFW5",B2036)),
VALUE(MID(B2036,
IF(ISNUMBER(FIND("F",B2036)),FIND("F",B2036)+1,FIND("G",B2036)+1),
FIND("T",B2036)-(IF(ISNUMBER(FIND("F",B2036)),FIND("F",B2036)+1,FIND("G",B2036)+1))
)),
VALUE(MID(B2036,FIND("E0",B2036)+2,FIND("T",B2036,FIND("E0",B2036))-(FIND("E0",B2036)+2)))
))),"")</f>
        <v>211</v>
      </c>
      <c r="G2036">
        <f>IFERROR(
IF(ISNUMBER(FIND("T2",B2036)),220,
IF(ISNUMBER(FIND("T4",B2036)),440,
IF(ISNUMBER(FIND("T5",B2036)),575,
IF(ISNUMBER(FIND("T6",B2036)),690,"")))),
"")</f>
        <v>220</v>
      </c>
    </row>
    <row r="2037" spans="1:7" x14ac:dyDescent="0.25">
      <c r="A2037">
        <v>11987316</v>
      </c>
      <c r="B2037" t="str">
        <f>VLOOKUP(A2037,Planilha2!B:C,2,0)</f>
        <v>INVERSOR EUCFW110180T4OYWZ</v>
      </c>
      <c r="C2037" t="s">
        <v>3170</v>
      </c>
      <c r="D2037" t="str">
        <f>VLOOKUP(A2037,Planilha2!B:H,7,0)</f>
        <v>LINHA G1</v>
      </c>
      <c r="E2037" s="5">
        <v>65000</v>
      </c>
      <c r="F2037">
        <f>IFERROR(
IF(ISNUMBER(FIND("CFW110",B2037)),
VALUE(MID(B2037,FIND("CFW110",B2037)+6,FIND("T",B2037,FIND("CFW110",B2037))-(FIND("CFW110",B2037)+6))),
IF(ISNUMBER(FIND("D",B2037)),
VALUE(SUBSTITUTE(MID(B2037,FIND("D",B2037)+1,FIND("T",B2037,FIND("D",B2037))-(FIND("D",B2037)+1)),"P",",")),
IF(ISNUMBER(FIND("CFW5",B2037)),
VALUE(MID(B2037,
IF(ISNUMBER(FIND("F",B2037)),FIND("F",B2037)+1,FIND("G",B2037)+1),
FIND("T",B2037)-(IF(ISNUMBER(FIND("F",B2037)),FIND("F",B2037)+1,FIND("G",B2037)+1))
)),
VALUE(MID(B2037,FIND("E0",B2037)+2,FIND("T",B2037,FIND("E0",B2037))-(FIND("E0",B2037)+2)))
))),"")</f>
        <v>180</v>
      </c>
      <c r="G2037">
        <f>IFERROR(
IF(ISNUMBER(FIND("T2",B2037)),220,
IF(ISNUMBER(FIND("T4",B2037)),440,
IF(ISNUMBER(FIND("T5",B2037)),575,
IF(ISNUMBER(FIND("T6",B2037)),690,"")))),
"")</f>
        <v>440</v>
      </c>
    </row>
    <row r="2038" spans="1:7" x14ac:dyDescent="0.25">
      <c r="A2038">
        <v>11987312</v>
      </c>
      <c r="B2038" t="str">
        <f>VLOOKUP(A2038,Planilha2!B:C,2,0)</f>
        <v>INVERSOR EUCFW110142T4OYWZ</v>
      </c>
      <c r="C2038" t="s">
        <v>3170</v>
      </c>
      <c r="D2038" t="str">
        <f>VLOOKUP(A2038,Planilha2!B:H,7,0)</f>
        <v>LINHA G1</v>
      </c>
      <c r="E2038" s="5">
        <v>64210</v>
      </c>
      <c r="F2038">
        <f>IFERROR(
IF(ISNUMBER(FIND("CFW110",B2038)),
VALUE(MID(B2038,FIND("CFW110",B2038)+6,FIND("T",B2038,FIND("CFW110",B2038))-(FIND("CFW110",B2038)+6))),
IF(ISNUMBER(FIND("D",B2038)),
VALUE(SUBSTITUTE(MID(B2038,FIND("D",B2038)+1,FIND("T",B2038,FIND("D",B2038))-(FIND("D",B2038)+1)),"P",",")),
IF(ISNUMBER(FIND("CFW5",B2038)),
VALUE(MID(B2038,
IF(ISNUMBER(FIND("F",B2038)),FIND("F",B2038)+1,FIND("G",B2038)+1),
FIND("T",B2038)-(IF(ISNUMBER(FIND("F",B2038)),FIND("F",B2038)+1,FIND("G",B2038)+1))
)),
VALUE(MID(B2038,FIND("E0",B2038)+2,FIND("T",B2038,FIND("E0",B2038))-(FIND("E0",B2038)+2)))
))),"")</f>
        <v>142</v>
      </c>
      <c r="G2038">
        <f>IFERROR(
IF(ISNUMBER(FIND("T2",B2038)),220,
IF(ISNUMBER(FIND("T4",B2038)),440,
IF(ISNUMBER(FIND("T5",B2038)),575,
IF(ISNUMBER(FIND("T6",B2038)),690,"")))),
"")</f>
        <v>440</v>
      </c>
    </row>
    <row r="2039" spans="1:7" x14ac:dyDescent="0.25">
      <c r="A2039">
        <v>11979719</v>
      </c>
      <c r="B2039" t="str">
        <f>VLOOKUP(A2039,Planilha2!B:C,2,0)</f>
        <v>INVERSOR EUCFW110720T4ORBZ</v>
      </c>
      <c r="C2039" t="s">
        <v>3170</v>
      </c>
      <c r="D2039" t="str">
        <f>VLOOKUP(A2039,Planilha2!B:H,7,0)</f>
        <v>LINHA G5</v>
      </c>
      <c r="E2039" s="5">
        <v>215000</v>
      </c>
      <c r="F2039">
        <f>IFERROR(
IF(ISNUMBER(FIND("CFW110",B2039)),
VALUE(MID(B2039,FIND("CFW110",B2039)+6,FIND("T",B2039,FIND("CFW110",B2039))-(FIND("CFW110",B2039)+6))),
IF(ISNUMBER(FIND("D",B2039)),
VALUE(SUBSTITUTE(MID(B2039,FIND("D",B2039)+1,FIND("T",B2039,FIND("D",B2039))-(FIND("D",B2039)+1)),"P",",")),
IF(ISNUMBER(FIND("CFW5",B2039)),
VALUE(MID(B2039,
IF(ISNUMBER(FIND("F",B2039)),FIND("F",B2039)+1,FIND("G",B2039)+1),
FIND("T",B2039)-(IF(ISNUMBER(FIND("F",B2039)),FIND("F",B2039)+1,FIND("G",B2039)+1))
)),
VALUE(MID(B2039,FIND("E0",B2039)+2,FIND("T",B2039,FIND("E0",B2039))-(FIND("E0",B2039)+2)))
))),"")</f>
        <v>720</v>
      </c>
      <c r="G2039">
        <f>IFERROR(
IF(ISNUMBER(FIND("T2",B2039)),220,
IF(ISNUMBER(FIND("T4",B2039)),440,
IF(ISNUMBER(FIND("T5",B2039)),575,
IF(ISNUMBER(FIND("T6",B2039)),690,"")))),
"")</f>
        <v>440</v>
      </c>
    </row>
    <row r="2040" spans="1:7" x14ac:dyDescent="0.25">
      <c r="A2040">
        <v>11470497</v>
      </c>
      <c r="B2040" t="str">
        <f>VLOOKUP(A2040,Planilha2!B:C,2,0)</f>
        <v>INVERSOR BRCFW110477T4ORBZ</v>
      </c>
      <c r="C2040" t="s">
        <v>3170</v>
      </c>
      <c r="D2040" t="str">
        <f>VLOOKUP(A2040,Planilha2!B:H,7,0)</f>
        <v>LINHA G3</v>
      </c>
      <c r="E2040" s="5">
        <v>97000</v>
      </c>
      <c r="F2040">
        <f>IFERROR(
IF(ISNUMBER(FIND("CFW110",B2040)),
VALUE(MID(B2040,FIND("CFW110",B2040)+6,FIND("T",B2040,FIND("CFW110",B2040))-(FIND("CFW110",B2040)+6))),
IF(ISNUMBER(FIND("D",B2040)),
VALUE(SUBSTITUTE(MID(B2040,FIND("D",B2040)+1,FIND("T",B2040,FIND("D",B2040))-(FIND("D",B2040)+1)),"P",",")),
IF(ISNUMBER(FIND("CFW5",B2040)),
VALUE(MID(B2040,
IF(ISNUMBER(FIND("F",B2040)),FIND("F",B2040)+1,FIND("G",B2040)+1),
FIND("T",B2040)-(IF(ISNUMBER(FIND("F",B2040)),FIND("F",B2040)+1,FIND("G",B2040)+1))
)),
VALUE(MID(B2040,FIND("E0",B2040)+2,FIND("T",B2040,FIND("E0",B2040))-(FIND("E0",B2040)+2)))
))),"")</f>
        <v>477</v>
      </c>
      <c r="G2040">
        <f>IFERROR(
IF(ISNUMBER(FIND("T2",B2040)),220,
IF(ISNUMBER(FIND("T4",B2040)),440,
IF(ISNUMBER(FIND("T5",B2040)),575,
IF(ISNUMBER(FIND("T6",B2040)),690,"")))),
"")</f>
        <v>440</v>
      </c>
    </row>
    <row r="2041" spans="1:7" x14ac:dyDescent="0.25">
      <c r="A2041">
        <v>11969560</v>
      </c>
      <c r="B2041" t="str">
        <f>VLOOKUP(A2041,Planilha2!B:C,2,0)</f>
        <v>INVERSOR SACFW110370T4ORBZ</v>
      </c>
      <c r="C2041" t="s">
        <v>3170</v>
      </c>
      <c r="D2041" t="str">
        <f>VLOOKUP(A2041,Planilha2!B:H,7,0)</f>
        <v>LINHA G3</v>
      </c>
      <c r="E2041" s="5">
        <v>135000</v>
      </c>
      <c r="F2041">
        <f>IFERROR(
IF(ISNUMBER(FIND("CFW110",B2041)),
VALUE(MID(B2041,FIND("CFW110",B2041)+6,FIND("T",B2041,FIND("CFW110",B2041))-(FIND("CFW110",B2041)+6))),
IF(ISNUMBER(FIND("D",B2041)),
VALUE(SUBSTITUTE(MID(B2041,FIND("D",B2041)+1,FIND("T",B2041,FIND("D",B2041))-(FIND("D",B2041)+1)),"P",",")),
IF(ISNUMBER(FIND("CFW5",B2041)),
VALUE(MID(B2041,
IF(ISNUMBER(FIND("F",B2041)),FIND("F",B2041)+1,FIND("G",B2041)+1),
FIND("T",B2041)-(IF(ISNUMBER(FIND("F",B2041)),FIND("F",B2041)+1,FIND("G",B2041)+1))
)),
VALUE(MID(B2041,FIND("E0",B2041)+2,FIND("T",B2041,FIND("E0",B2041))-(FIND("E0",B2041)+2)))
))),"")</f>
        <v>370</v>
      </c>
      <c r="G2041">
        <f>IFERROR(
IF(ISNUMBER(FIND("T2",B2041)),220,
IF(ISNUMBER(FIND("T4",B2041)),440,
IF(ISNUMBER(FIND("T5",B2041)),575,
IF(ISNUMBER(FIND("T6",B2041)),690,"")))),
"")</f>
        <v>440</v>
      </c>
    </row>
    <row r="2042" spans="1:7" x14ac:dyDescent="0.25">
      <c r="A2042">
        <v>11981062</v>
      </c>
      <c r="B2042" t="str">
        <f>VLOOKUP(A2042,Planilha2!B:C,2,0)</f>
        <v>INVERSOR EUCFW110720T4ORBWZ</v>
      </c>
      <c r="C2042" t="s">
        <v>3170</v>
      </c>
      <c r="D2042" t="str">
        <f>VLOOKUP(A2042,Planilha2!B:H,7,0)</f>
        <v>LINHA G5</v>
      </c>
      <c r="E2042" s="5">
        <v>215000</v>
      </c>
      <c r="F2042">
        <f>IFERROR(
IF(ISNUMBER(FIND("CFW110",B2042)),
VALUE(MID(B2042,FIND("CFW110",B2042)+6,FIND("T",B2042,FIND("CFW110",B2042))-(FIND("CFW110",B2042)+6))),
IF(ISNUMBER(FIND("D",B2042)),
VALUE(SUBSTITUTE(MID(B2042,FIND("D",B2042)+1,FIND("T",B2042,FIND("D",B2042))-(FIND("D",B2042)+1)),"P",",")),
IF(ISNUMBER(FIND("CFW5",B2042)),
VALUE(MID(B2042,
IF(ISNUMBER(FIND("F",B2042)),FIND("F",B2042)+1,FIND("G",B2042)+1),
FIND("T",B2042)-(IF(ISNUMBER(FIND("F",B2042)),FIND("F",B2042)+1,FIND("G",B2042)+1))
)),
VALUE(MID(B2042,FIND("E0",B2042)+2,FIND("T",B2042,FIND("E0",B2042))-(FIND("E0",B2042)+2)))
))),"")</f>
        <v>720</v>
      </c>
      <c r="G2042">
        <f>IFERROR(
IF(ISNUMBER(FIND("T2",B2042)),220,
IF(ISNUMBER(FIND("T4",B2042)),440,
IF(ISNUMBER(FIND("T5",B2042)),575,
IF(ISNUMBER(FIND("T6",B2042)),690,"")))),
"")</f>
        <v>440</v>
      </c>
    </row>
    <row r="2043" spans="1:7" x14ac:dyDescent="0.25">
      <c r="A2043">
        <v>11873767</v>
      </c>
      <c r="B2043" t="str">
        <f>VLOOKUP(A2043,Planilha2!B:C,2,0)</f>
        <v>INVERSOR MSCFW110211T2OYZ</v>
      </c>
      <c r="C2043" t="s">
        <v>3170</v>
      </c>
      <c r="D2043" t="str">
        <f>VLOOKUP(A2043,Planilha2!B:H,7,0)</f>
        <v>LINHA G1</v>
      </c>
      <c r="E2043" s="5">
        <v>67000</v>
      </c>
      <c r="F2043">
        <f>IFERROR(
IF(ISNUMBER(FIND("CFW110",B2043)),
VALUE(MID(B2043,FIND("CFW110",B2043)+6,FIND("T",B2043,FIND("CFW110",B2043))-(FIND("CFW110",B2043)+6))),
IF(ISNUMBER(FIND("D",B2043)),
VALUE(SUBSTITUTE(MID(B2043,FIND("D",B2043)+1,FIND("T",B2043,FIND("D",B2043))-(FIND("D",B2043)+1)),"P",",")),
IF(ISNUMBER(FIND("CFW5",B2043)),
VALUE(MID(B2043,
IF(ISNUMBER(FIND("F",B2043)),FIND("F",B2043)+1,FIND("G",B2043)+1),
FIND("T",B2043)-(IF(ISNUMBER(FIND("F",B2043)),FIND("F",B2043)+1,FIND("G",B2043)+1))
)),
VALUE(MID(B2043,FIND("E0",B2043)+2,FIND("T",B2043,FIND("E0",B2043))-(FIND("E0",B2043)+2)))
))),"")</f>
        <v>211</v>
      </c>
      <c r="G2043">
        <f>IFERROR(
IF(ISNUMBER(FIND("T2",B2043)),220,
IF(ISNUMBER(FIND("T4",B2043)),440,
IF(ISNUMBER(FIND("T5",B2043)),575,
IF(ISNUMBER(FIND("T6",B2043)),690,"")))),
"")</f>
        <v>220</v>
      </c>
    </row>
    <row r="2044" spans="1:7" x14ac:dyDescent="0.25">
      <c r="A2044">
        <v>12037612</v>
      </c>
      <c r="B2044" t="str">
        <f>VLOOKUP(A2044,Planilha2!B:C,2,0)</f>
        <v>INVERSOR SACFW110080T6ONBYWZ</v>
      </c>
      <c r="C2044" t="s">
        <v>3170</v>
      </c>
      <c r="D2044" t="str">
        <f>VLOOKUP(A2044,Planilha2!B:H,7,0)</f>
        <v>LINHA G1</v>
      </c>
      <c r="E2044" s="5">
        <v>61500</v>
      </c>
      <c r="F2044">
        <f>IFERROR(
IF(ISNUMBER(FIND("CFW110",B2044)),
VALUE(MID(B2044,FIND("CFW110",B2044)+6,FIND("T",B2044,FIND("CFW110",B2044))-(FIND("CFW110",B2044)+6))),
IF(ISNUMBER(FIND("D",B2044)),
VALUE(SUBSTITUTE(MID(B2044,FIND("D",B2044)+1,FIND("T",B2044,FIND("D",B2044))-(FIND("D",B2044)+1)),"P",",")),
IF(ISNUMBER(FIND("CFW5",B2044)),
VALUE(MID(B2044,
IF(ISNUMBER(FIND("F",B2044)),FIND("F",B2044)+1,FIND("G",B2044)+1),
FIND("T",B2044)-(IF(ISNUMBER(FIND("F",B2044)),FIND("F",B2044)+1,FIND("G",B2044)+1))
)),
VALUE(MID(B2044,FIND("E0",B2044)+2,FIND("T",B2044,FIND("E0",B2044))-(FIND("E0",B2044)+2)))
))),"")</f>
        <v>80</v>
      </c>
      <c r="G2044">
        <f>IFERROR(
IF(ISNUMBER(FIND("T2",B2044)),220,
IF(ISNUMBER(FIND("T4",B2044)),440,
IF(ISNUMBER(FIND("T5",B2044)),575,
IF(ISNUMBER(FIND("T6",B2044)),690,"")))),
"")</f>
        <v>690</v>
      </c>
    </row>
    <row r="2045" spans="1:7" x14ac:dyDescent="0.25">
      <c r="A2045">
        <v>11874548</v>
      </c>
      <c r="B2045" t="str">
        <f>VLOOKUP(A2045,Planilha2!B:C,2,0)</f>
        <v>INVERSOR SACFW110105T2OYZ</v>
      </c>
      <c r="C2045" t="s">
        <v>3170</v>
      </c>
      <c r="D2045" t="str">
        <f>VLOOKUP(A2045,Planilha2!B:H,7,0)</f>
        <v>LINHA M3</v>
      </c>
      <c r="E2045" s="5">
        <v>31400</v>
      </c>
      <c r="F2045">
        <f>IFERROR(
IF(ISNUMBER(FIND("CFW110",B2045)),
VALUE(MID(B2045,FIND("CFW110",B2045)+6,FIND("T",B2045,FIND("CFW110",B2045))-(FIND("CFW110",B2045)+6))),
IF(ISNUMBER(FIND("D",B2045)),
VALUE(SUBSTITUTE(MID(B2045,FIND("D",B2045)+1,FIND("T",B2045,FIND("D",B2045))-(FIND("D",B2045)+1)),"P",",")),
IF(ISNUMBER(FIND("CFW5",B2045)),
VALUE(MID(B2045,
IF(ISNUMBER(FIND("F",B2045)),FIND("F",B2045)+1,FIND("G",B2045)+1),
FIND("T",B2045)-(IF(ISNUMBER(FIND("F",B2045)),FIND("F",B2045)+1,FIND("G",B2045)+1))
)),
VALUE(MID(B2045,FIND("E0",B2045)+2,FIND("T",B2045,FIND("E0",B2045))-(FIND("E0",B2045)+2)))
))),"")</f>
        <v>105</v>
      </c>
      <c r="G2045">
        <f>IFERROR(
IF(ISNUMBER(FIND("T2",B2045)),220,
IF(ISNUMBER(FIND("T4",B2045)),440,
IF(ISNUMBER(FIND("T5",B2045)),575,
IF(ISNUMBER(FIND("T6",B2045)),690,"")))),
"")</f>
        <v>220</v>
      </c>
    </row>
    <row r="2046" spans="1:7" x14ac:dyDescent="0.25">
      <c r="A2046">
        <v>11873762</v>
      </c>
      <c r="B2046" t="str">
        <f>VLOOKUP(A2046,Planilha2!B:C,2,0)</f>
        <v>INVERSOR MSCFW110105T2OYZ</v>
      </c>
      <c r="C2046" t="s">
        <v>3170</v>
      </c>
      <c r="D2046" t="str">
        <f>VLOOKUP(A2046,Planilha2!B:H,7,0)</f>
        <v>LINHA M3</v>
      </c>
      <c r="E2046" s="5">
        <v>31400</v>
      </c>
      <c r="F2046">
        <f>IFERROR(
IF(ISNUMBER(FIND("CFW110",B2046)),
VALUE(MID(B2046,FIND("CFW110",B2046)+6,FIND("T",B2046,FIND("CFW110",B2046))-(FIND("CFW110",B2046)+6))),
IF(ISNUMBER(FIND("D",B2046)),
VALUE(SUBSTITUTE(MID(B2046,FIND("D",B2046)+1,FIND("T",B2046,FIND("D",B2046))-(FIND("D",B2046)+1)),"P",",")),
IF(ISNUMBER(FIND("CFW5",B2046)),
VALUE(MID(B2046,
IF(ISNUMBER(FIND("F",B2046)),FIND("F",B2046)+1,FIND("G",B2046)+1),
FIND("T",B2046)-(IF(ISNUMBER(FIND("F",B2046)),FIND("F",B2046)+1,FIND("G",B2046)+1))
)),
VALUE(MID(B2046,FIND("E0",B2046)+2,FIND("T",B2046,FIND("E0",B2046))-(FIND("E0",B2046)+2)))
))),"")</f>
        <v>105</v>
      </c>
      <c r="G2046">
        <f>IFERROR(
IF(ISNUMBER(FIND("T2",B2046)),220,
IF(ISNUMBER(FIND("T4",B2046)),440,
IF(ISNUMBER(FIND("T5",B2046)),575,
IF(ISNUMBER(FIND("T6",B2046)),690,"")))),
"")</f>
        <v>220</v>
      </c>
    </row>
    <row r="2047" spans="1:7" x14ac:dyDescent="0.25">
      <c r="A2047">
        <v>12037609</v>
      </c>
      <c r="B2047" t="str">
        <f>VLOOKUP(A2047,Planilha2!B:C,2,0)</f>
        <v>INVERSOR BRCFW110080T6SZ</v>
      </c>
      <c r="C2047" t="s">
        <v>3170</v>
      </c>
      <c r="D2047" t="str">
        <f>VLOOKUP(A2047,Planilha2!B:H,7,0)</f>
        <v>LINHA G1</v>
      </c>
      <c r="E2047" s="5">
        <v>61500</v>
      </c>
      <c r="F2047">
        <f>IFERROR(
IF(ISNUMBER(FIND("CFW110",B2047)),
VALUE(MID(B2047,FIND("CFW110",B2047)+6,FIND("T",B2047,FIND("CFW110",B2047))-(FIND("CFW110",B2047)+6))),
IF(ISNUMBER(FIND("D",B2047)),
VALUE(SUBSTITUTE(MID(B2047,FIND("D",B2047)+1,FIND("T",B2047,FIND("D",B2047))-(FIND("D",B2047)+1)),"P",",")),
IF(ISNUMBER(FIND("CFW5",B2047)),
VALUE(MID(B2047,
IF(ISNUMBER(FIND("F",B2047)),FIND("F",B2047)+1,FIND("G",B2047)+1),
FIND("T",B2047)-(IF(ISNUMBER(FIND("F",B2047)),FIND("F",B2047)+1,FIND("G",B2047)+1))
)),
VALUE(MID(B2047,FIND("E0",B2047)+2,FIND("T",B2047,FIND("E0",B2047))-(FIND("E0",B2047)+2)))
))),"")</f>
        <v>80</v>
      </c>
      <c r="G2047">
        <f>IFERROR(
IF(ISNUMBER(FIND("T2",B2047)),220,
IF(ISNUMBER(FIND("T4",B2047)),440,
IF(ISNUMBER(FIND("T5",B2047)),575,
IF(ISNUMBER(FIND("T6",B2047)),690,"")))),
"")</f>
        <v>690</v>
      </c>
    </row>
    <row r="2048" spans="1:7" x14ac:dyDescent="0.25">
      <c r="A2048">
        <v>11876982</v>
      </c>
      <c r="B2048" t="str">
        <f>VLOOKUP(A2048,Planilha2!B:C,2,0)</f>
        <v>INVERSOR CFW700E0180T2NB20C3Y1</v>
      </c>
      <c r="C2048" t="s">
        <v>3170</v>
      </c>
      <c r="D2048" t="str">
        <f>VLOOKUP(A2048,Planilha2!B:H,7,0)</f>
        <v>OBSOLETOS DRIVES</v>
      </c>
      <c r="E2048" s="5">
        <v>69100</v>
      </c>
      <c r="F2048">
        <f>IFERROR(
IF(ISNUMBER(FIND("CFW110",B2048)),
VALUE(MID(B2048,FIND("CFW110",B2048)+6,FIND("T",B2048,FIND("CFW110",B2048))-(FIND("CFW110",B2048)+6))),
IF(ISNUMBER(FIND("D",B2048)),
VALUE(SUBSTITUTE(MID(B2048,FIND("D",B2048)+1,FIND("T",B2048,FIND("D",B2048))-(FIND("D",B2048)+1)),"P",",")),
IF(ISNUMBER(FIND("CFW5",B2048)),
VALUE(MID(B2048,
IF(ISNUMBER(FIND("F",B2048)),FIND("F",B2048)+1,FIND("G",B2048)+1),
FIND("T",B2048)-(IF(ISNUMBER(FIND("F",B2048)),FIND("F",B2048)+1,FIND("G",B2048)+1))
)),
VALUE(MID(B2048,FIND("E0",B2048)+2,FIND("T",B2048,FIND("E0",B2048))-(FIND("E0",B2048)+2)))
))),"")</f>
        <v>180</v>
      </c>
      <c r="G2048">
        <f>IFERROR(
IF(ISNUMBER(FIND("T2",B2048)),220,
IF(ISNUMBER(FIND("T4",B2048)),440,
IF(ISNUMBER(FIND("T5",B2048)),575,
IF(ISNUMBER(FIND("T6",B2048)),690,"")))),
"")</f>
        <v>220</v>
      </c>
    </row>
    <row r="2049" spans="1:7" x14ac:dyDescent="0.25">
      <c r="A2049">
        <v>11873818</v>
      </c>
      <c r="B2049" t="str">
        <f>VLOOKUP(A2049,Planilha2!B:C,2,0)</f>
        <v>INVERSOR MSCFW110105T4OYZ</v>
      </c>
      <c r="C2049" t="s">
        <v>3170</v>
      </c>
      <c r="D2049" t="str">
        <f>VLOOKUP(A2049,Planilha2!B:H,7,0)</f>
        <v>LINHA G1</v>
      </c>
      <c r="E2049" s="5">
        <v>64213</v>
      </c>
      <c r="F2049">
        <f>IFERROR(
IF(ISNUMBER(FIND("CFW110",B2049)),
VALUE(MID(B2049,FIND("CFW110",B2049)+6,FIND("T",B2049,FIND("CFW110",B2049))-(FIND("CFW110",B2049)+6))),
IF(ISNUMBER(FIND("D",B2049)),
VALUE(SUBSTITUTE(MID(B2049,FIND("D",B2049)+1,FIND("T",B2049,FIND("D",B2049))-(FIND("D",B2049)+1)),"P",",")),
IF(ISNUMBER(FIND("CFW5",B2049)),
VALUE(MID(B2049,
IF(ISNUMBER(FIND("F",B2049)),FIND("F",B2049)+1,FIND("G",B2049)+1),
FIND("T",B2049)-(IF(ISNUMBER(FIND("F",B2049)),FIND("F",B2049)+1,FIND("G",B2049)+1))
)),
VALUE(MID(B2049,FIND("E0",B2049)+2,FIND("T",B2049,FIND("E0",B2049))-(FIND("E0",B2049)+2)))
))),"")</f>
        <v>105</v>
      </c>
      <c r="G2049">
        <f>IFERROR(
IF(ISNUMBER(FIND("T2",B2049)),220,
IF(ISNUMBER(FIND("T4",B2049)),440,
IF(ISNUMBER(FIND("T5",B2049)),575,
IF(ISNUMBER(FIND("T6",B2049)),690,"")))),
"")</f>
        <v>440</v>
      </c>
    </row>
    <row r="2050" spans="1:7" x14ac:dyDescent="0.25">
      <c r="A2050">
        <v>11873819</v>
      </c>
      <c r="B2050" t="str">
        <f>VLOOKUP(A2050,Planilha2!B:C,2,0)</f>
        <v>INVERSOR MSCFW110142T4OYZ</v>
      </c>
      <c r="C2050" t="s">
        <v>3170</v>
      </c>
      <c r="D2050" t="str">
        <f>VLOOKUP(A2050,Planilha2!B:H,7,0)</f>
        <v>LINHA G1</v>
      </c>
      <c r="E2050" s="5">
        <v>64210</v>
      </c>
      <c r="F2050">
        <f>IFERROR(
IF(ISNUMBER(FIND("CFW110",B2050)),
VALUE(MID(B2050,FIND("CFW110",B2050)+6,FIND("T",B2050,FIND("CFW110",B2050))-(FIND("CFW110",B2050)+6))),
IF(ISNUMBER(FIND("D",B2050)),
VALUE(SUBSTITUTE(MID(B2050,FIND("D",B2050)+1,FIND("T",B2050,FIND("D",B2050))-(FIND("D",B2050)+1)),"P",",")),
IF(ISNUMBER(FIND("CFW5",B2050)),
VALUE(MID(B2050,
IF(ISNUMBER(FIND("F",B2050)),FIND("F",B2050)+1,FIND("G",B2050)+1),
FIND("T",B2050)-(IF(ISNUMBER(FIND("F",B2050)),FIND("F",B2050)+1,FIND("G",B2050)+1))
)),
VALUE(MID(B2050,FIND("E0",B2050)+2,FIND("T",B2050,FIND("E0",B2050))-(FIND("E0",B2050)+2)))
))),"")</f>
        <v>142</v>
      </c>
      <c r="G2050">
        <f>IFERROR(
IF(ISNUMBER(FIND("T2",B2050)),220,
IF(ISNUMBER(FIND("T4",B2050)),440,
IF(ISNUMBER(FIND("T5",B2050)),575,
IF(ISNUMBER(FIND("T6",B2050)),690,"")))),
"")</f>
        <v>440</v>
      </c>
    </row>
    <row r="2051" spans="1:7" x14ac:dyDescent="0.25">
      <c r="A2051">
        <v>11873766</v>
      </c>
      <c r="B2051" t="str">
        <f>VLOOKUP(A2051,Planilha2!B:C,2,0)</f>
        <v>INVERSOR MSCFW110180T2OYZ</v>
      </c>
      <c r="C2051" t="s">
        <v>3170</v>
      </c>
      <c r="D2051" t="str">
        <f>VLOOKUP(A2051,Planilha2!B:H,7,0)</f>
        <v>LINHA G1</v>
      </c>
      <c r="E2051" s="5">
        <v>141000</v>
      </c>
      <c r="F2051">
        <f>IFERROR(
IF(ISNUMBER(FIND("CFW110",B2051)),
VALUE(MID(B2051,FIND("CFW110",B2051)+6,FIND("T",B2051,FIND("CFW110",B2051))-(FIND("CFW110",B2051)+6))),
IF(ISNUMBER(FIND("D",B2051)),
VALUE(SUBSTITUTE(MID(B2051,FIND("D",B2051)+1,FIND("T",B2051,FIND("D",B2051))-(FIND("D",B2051)+1)),"P",",")),
IF(ISNUMBER(FIND("CFW5",B2051)),
VALUE(MID(B2051,
IF(ISNUMBER(FIND("F",B2051)),FIND("F",B2051)+1,FIND("G",B2051)+1),
FIND("T",B2051)-(IF(ISNUMBER(FIND("F",B2051)),FIND("F",B2051)+1,FIND("G",B2051)+1))
)),
VALUE(MID(B2051,FIND("E0",B2051)+2,FIND("T",B2051,FIND("E0",B2051))-(FIND("E0",B2051)+2)))
))),"")</f>
        <v>180</v>
      </c>
      <c r="G2051">
        <f>IFERROR(
IF(ISNUMBER(FIND("T2",B2051)),220,
IF(ISNUMBER(FIND("T4",B2051)),440,
IF(ISNUMBER(FIND("T5",B2051)),575,
IF(ISNUMBER(FIND("T6",B2051)),690,"")))),
"")</f>
        <v>220</v>
      </c>
    </row>
    <row r="2052" spans="1:7" x14ac:dyDescent="0.25">
      <c r="A2052">
        <v>11873822</v>
      </c>
      <c r="B2052" t="str">
        <f>VLOOKUP(A2052,Planilha2!B:C,2,0)</f>
        <v>INVERSOR MSCFW110180T4OYZ</v>
      </c>
      <c r="C2052" t="s">
        <v>3170</v>
      </c>
      <c r="D2052" t="str">
        <f>VLOOKUP(A2052,Planilha2!B:H,7,0)</f>
        <v>LINHA G1</v>
      </c>
      <c r="E2052" s="5">
        <v>65000</v>
      </c>
      <c r="F2052">
        <f>IFERROR(
IF(ISNUMBER(FIND("CFW110",B2052)),
VALUE(MID(B2052,FIND("CFW110",B2052)+6,FIND("T",B2052,FIND("CFW110",B2052))-(FIND("CFW110",B2052)+6))),
IF(ISNUMBER(FIND("D",B2052)),
VALUE(SUBSTITUTE(MID(B2052,FIND("D",B2052)+1,FIND("T",B2052,FIND("D",B2052))-(FIND("D",B2052)+1)),"P",",")),
IF(ISNUMBER(FIND("CFW5",B2052)),
VALUE(MID(B2052,
IF(ISNUMBER(FIND("F",B2052)),FIND("F",B2052)+1,FIND("G",B2052)+1),
FIND("T",B2052)-(IF(ISNUMBER(FIND("F",B2052)),FIND("F",B2052)+1,FIND("G",B2052)+1))
)),
VALUE(MID(B2052,FIND("E0",B2052)+2,FIND("T",B2052,FIND("E0",B2052))-(FIND("E0",B2052)+2)))
))),"")</f>
        <v>180</v>
      </c>
      <c r="G2052">
        <f>IFERROR(
IF(ISNUMBER(FIND("T2",B2052)),220,
IF(ISNUMBER(FIND("T4",B2052)),440,
IF(ISNUMBER(FIND("T5",B2052)),575,
IF(ISNUMBER(FIND("T6",B2052)),690,"")))),
"")</f>
        <v>440</v>
      </c>
    </row>
    <row r="2053" spans="1:7" x14ac:dyDescent="0.25">
      <c r="A2053">
        <v>11873096</v>
      </c>
      <c r="B2053" t="str">
        <f>VLOOKUP(A2053,Planilha2!B:C,2,0)</f>
        <v>INVERSOR EUCFW110211T2OYZ</v>
      </c>
      <c r="C2053" t="s">
        <v>3170</v>
      </c>
      <c r="D2053" t="str">
        <f>VLOOKUP(A2053,Planilha2!B:H,7,0)</f>
        <v>LINHA G1</v>
      </c>
      <c r="E2053" s="5">
        <v>67000</v>
      </c>
      <c r="F2053">
        <f>IFERROR(
IF(ISNUMBER(FIND("CFW110",B2053)),
VALUE(MID(B2053,FIND("CFW110",B2053)+6,FIND("T",B2053,FIND("CFW110",B2053))-(FIND("CFW110",B2053)+6))),
IF(ISNUMBER(FIND("D",B2053)),
VALUE(SUBSTITUTE(MID(B2053,FIND("D",B2053)+1,FIND("T",B2053,FIND("D",B2053))-(FIND("D",B2053)+1)),"P",",")),
IF(ISNUMBER(FIND("CFW5",B2053)),
VALUE(MID(B2053,
IF(ISNUMBER(FIND("F",B2053)),FIND("F",B2053)+1,FIND("G",B2053)+1),
FIND("T",B2053)-(IF(ISNUMBER(FIND("F",B2053)),FIND("F",B2053)+1,FIND("G",B2053)+1))
)),
VALUE(MID(B2053,FIND("E0",B2053)+2,FIND("T",B2053,FIND("E0",B2053))-(FIND("E0",B2053)+2)))
))),"")</f>
        <v>211</v>
      </c>
      <c r="G2053">
        <f>IFERROR(
IF(ISNUMBER(FIND("T2",B2053)),220,
IF(ISNUMBER(FIND("T4",B2053)),440,
IF(ISNUMBER(FIND("T5",B2053)),575,
IF(ISNUMBER(FIND("T6",B2053)),690,"")))),
"")</f>
        <v>220</v>
      </c>
    </row>
    <row r="2054" spans="1:7" x14ac:dyDescent="0.25">
      <c r="A2054">
        <v>11873094</v>
      </c>
      <c r="B2054" t="str">
        <f>VLOOKUP(A2054,Planilha2!B:C,2,0)</f>
        <v>INVERSOR EUCFW110180T2OYZ</v>
      </c>
      <c r="C2054" t="s">
        <v>3170</v>
      </c>
      <c r="D2054" t="str">
        <f>VLOOKUP(A2054,Planilha2!B:H,7,0)</f>
        <v>LINHA G1</v>
      </c>
      <c r="E2054" s="5">
        <v>141000</v>
      </c>
      <c r="F2054">
        <f>IFERROR(
IF(ISNUMBER(FIND("CFW110",B2054)),
VALUE(MID(B2054,FIND("CFW110",B2054)+6,FIND("T",B2054,FIND("CFW110",B2054))-(FIND("CFW110",B2054)+6))),
IF(ISNUMBER(FIND("D",B2054)),
VALUE(SUBSTITUTE(MID(B2054,FIND("D",B2054)+1,FIND("T",B2054,FIND("D",B2054))-(FIND("D",B2054)+1)),"P",",")),
IF(ISNUMBER(FIND("CFW5",B2054)),
VALUE(MID(B2054,
IF(ISNUMBER(FIND("F",B2054)),FIND("F",B2054)+1,FIND("G",B2054)+1),
FIND("T",B2054)-(IF(ISNUMBER(FIND("F",B2054)),FIND("F",B2054)+1,FIND("G",B2054)+1))
)),
VALUE(MID(B2054,FIND("E0",B2054)+2,FIND("T",B2054,FIND("E0",B2054))-(FIND("E0",B2054)+2)))
))),"")</f>
        <v>180</v>
      </c>
      <c r="G2054">
        <f>IFERROR(
IF(ISNUMBER(FIND("T2",B2054)),220,
IF(ISNUMBER(FIND("T4",B2054)),440,
IF(ISNUMBER(FIND("T5",B2054)),575,
IF(ISNUMBER(FIND("T6",B2054)),690,"")))),
"")</f>
        <v>220</v>
      </c>
    </row>
    <row r="2055" spans="1:7" x14ac:dyDescent="0.25">
      <c r="A2055">
        <v>12013844</v>
      </c>
      <c r="B2055" t="str">
        <f>VLOOKUP(A2055,Planilha2!B:C,2,0)</f>
        <v>INVERSOR EUCFW110105T4OYWZ</v>
      </c>
      <c r="C2055" t="s">
        <v>3170</v>
      </c>
      <c r="D2055" t="str">
        <f>VLOOKUP(A2055,Planilha2!B:H,7,0)</f>
        <v>LINHA G1</v>
      </c>
      <c r="E2055" s="5">
        <v>64213</v>
      </c>
      <c r="F2055">
        <f>IFERROR(
IF(ISNUMBER(FIND("CFW110",B2055)),
VALUE(MID(B2055,FIND("CFW110",B2055)+6,FIND("T",B2055,FIND("CFW110",B2055))-(FIND("CFW110",B2055)+6))),
IF(ISNUMBER(FIND("D",B2055)),
VALUE(SUBSTITUTE(MID(B2055,FIND("D",B2055)+1,FIND("T",B2055,FIND("D",B2055))-(FIND("D",B2055)+1)),"P",",")),
IF(ISNUMBER(FIND("CFW5",B2055)),
VALUE(MID(B2055,
IF(ISNUMBER(FIND("F",B2055)),FIND("F",B2055)+1,FIND("G",B2055)+1),
FIND("T",B2055)-(IF(ISNUMBER(FIND("F",B2055)),FIND("F",B2055)+1,FIND("G",B2055)+1))
)),
VALUE(MID(B2055,FIND("E0",B2055)+2,FIND("T",B2055,FIND("E0",B2055))-(FIND("E0",B2055)+2)))
))),"")</f>
        <v>105</v>
      </c>
      <c r="G2055">
        <f>IFERROR(
IF(ISNUMBER(FIND("T2",B2055)),220,
IF(ISNUMBER(FIND("T4",B2055)),440,
IF(ISNUMBER(FIND("T5",B2055)),575,
IF(ISNUMBER(FIND("T6",B2055)),690,"")))),
"")</f>
        <v>440</v>
      </c>
    </row>
    <row r="2056" spans="1:7" x14ac:dyDescent="0.25">
      <c r="A2056">
        <v>11876984</v>
      </c>
      <c r="B2056" t="str">
        <f>VLOOKUP(A2056,Planilha2!B:C,2,0)</f>
        <v>INVERSOR CFW700E0105T4NB20C3Y1</v>
      </c>
      <c r="C2056" t="s">
        <v>3170</v>
      </c>
      <c r="D2056" t="str">
        <f>VLOOKUP(A2056,Planilha2!B:H,7,0)</f>
        <v>OBSOLETOS DRIVES</v>
      </c>
      <c r="E2056" s="5">
        <v>61500</v>
      </c>
      <c r="F2056">
        <f>IFERROR(
IF(ISNUMBER(FIND("CFW110",B2056)),
VALUE(MID(B2056,FIND("CFW110",B2056)+6,FIND("T",B2056,FIND("CFW110",B2056))-(FIND("CFW110",B2056)+6))),
IF(ISNUMBER(FIND("D",B2056)),
VALUE(SUBSTITUTE(MID(B2056,FIND("D",B2056)+1,FIND("T",B2056,FIND("D",B2056))-(FIND("D",B2056)+1)),"P",",")),
IF(ISNUMBER(FIND("CFW5",B2056)),
VALUE(MID(B2056,
IF(ISNUMBER(FIND("F",B2056)),FIND("F",B2056)+1,FIND("G",B2056)+1),
FIND("T",B2056)-(IF(ISNUMBER(FIND("F",B2056)),FIND("F",B2056)+1,FIND("G",B2056)+1))
)),
VALUE(MID(B2056,FIND("E0",B2056)+2,FIND("T",B2056,FIND("E0",B2056))-(FIND("E0",B2056)+2)))
))),"")</f>
        <v>105</v>
      </c>
      <c r="G2056">
        <f>IFERROR(
IF(ISNUMBER(FIND("T2",B2056)),220,
IF(ISNUMBER(FIND("T4",B2056)),440,
IF(ISNUMBER(FIND("T5",B2056)),575,
IF(ISNUMBER(FIND("T6",B2056)),690,"")))),
"")</f>
        <v>440</v>
      </c>
    </row>
    <row r="2057" spans="1:7" x14ac:dyDescent="0.25">
      <c r="A2057">
        <v>11876986</v>
      </c>
      <c r="B2057" t="str">
        <f>VLOOKUP(A2057,Planilha2!B:C,2,0)</f>
        <v>INVERSOR CFW700E0142T4NB20C3Y1</v>
      </c>
      <c r="C2057" t="s">
        <v>3170</v>
      </c>
      <c r="D2057" t="str">
        <f>VLOOKUP(A2057,Planilha2!B:H,7,0)</f>
        <v>OBSOLETOS DRIVES</v>
      </c>
      <c r="E2057" s="5">
        <v>62500</v>
      </c>
      <c r="F2057">
        <f>IFERROR(
IF(ISNUMBER(FIND("CFW110",B2057)),
VALUE(MID(B2057,FIND("CFW110",B2057)+6,FIND("T",B2057,FIND("CFW110",B2057))-(FIND("CFW110",B2057)+6))),
IF(ISNUMBER(FIND("D",B2057)),
VALUE(SUBSTITUTE(MID(B2057,FIND("D",B2057)+1,FIND("T",B2057,FIND("D",B2057))-(FIND("D",B2057)+1)),"P",",")),
IF(ISNUMBER(FIND("CFW5",B2057)),
VALUE(MID(B2057,
IF(ISNUMBER(FIND("F",B2057)),FIND("F",B2057)+1,FIND("G",B2057)+1),
FIND("T",B2057)-(IF(ISNUMBER(FIND("F",B2057)),FIND("F",B2057)+1,FIND("G",B2057)+1))
)),
VALUE(MID(B2057,FIND("E0",B2057)+2,FIND("T",B2057,FIND("E0",B2057))-(FIND("E0",B2057)+2)))
))),"")</f>
        <v>142</v>
      </c>
      <c r="G2057">
        <f>IFERROR(
IF(ISNUMBER(FIND("T2",B2057)),220,
IF(ISNUMBER(FIND("T4",B2057)),440,
IF(ISNUMBER(FIND("T5",B2057)),575,
IF(ISNUMBER(FIND("T6",B2057)),690,"")))),
"")</f>
        <v>440</v>
      </c>
    </row>
    <row r="2058" spans="1:7" x14ac:dyDescent="0.25">
      <c r="A2058">
        <v>11877023</v>
      </c>
      <c r="B2058" t="str">
        <f>VLOOKUP(A2058,Planilha2!B:C,2,0)</f>
        <v>INVERSOR CFW700E0180T4NB20C3Y1</v>
      </c>
      <c r="C2058" t="s">
        <v>3170</v>
      </c>
      <c r="D2058" t="str">
        <f>VLOOKUP(A2058,Planilha2!B:H,7,0)</f>
        <v>OBSOLETOS DRIVES</v>
      </c>
      <c r="E2058" s="5">
        <v>65000</v>
      </c>
      <c r="F2058">
        <f>IFERROR(
IF(ISNUMBER(FIND("CFW110",B2058)),
VALUE(MID(B2058,FIND("CFW110",B2058)+6,FIND("T",B2058,FIND("CFW110",B2058))-(FIND("CFW110",B2058)+6))),
IF(ISNUMBER(FIND("D",B2058)),
VALUE(SUBSTITUTE(MID(B2058,FIND("D",B2058)+1,FIND("T",B2058,FIND("D",B2058))-(FIND("D",B2058)+1)),"P",",")),
IF(ISNUMBER(FIND("CFW5",B2058)),
VALUE(MID(B2058,
IF(ISNUMBER(FIND("F",B2058)),FIND("F",B2058)+1,FIND("G",B2058)+1),
FIND("T",B2058)-(IF(ISNUMBER(FIND("F",B2058)),FIND("F",B2058)+1,FIND("G",B2058)+1))
)),
VALUE(MID(B2058,FIND("E0",B2058)+2,FIND("T",B2058,FIND("E0",B2058))-(FIND("E0",B2058)+2)))
))),"")</f>
        <v>180</v>
      </c>
      <c r="G2058">
        <f>IFERROR(
IF(ISNUMBER(FIND("T2",B2058)),220,
IF(ISNUMBER(FIND("T4",B2058)),440,
IF(ISNUMBER(FIND("T5",B2058)),575,
IF(ISNUMBER(FIND("T6",B2058)),690,"")))),
"")</f>
        <v>440</v>
      </c>
    </row>
    <row r="2059" spans="1:7" x14ac:dyDescent="0.25">
      <c r="A2059">
        <v>11877024</v>
      </c>
      <c r="B2059" t="str">
        <f>VLOOKUP(A2059,Planilha2!B:C,2,0)</f>
        <v>INVERSOR CFW700E0211T4NB20C3Y1</v>
      </c>
      <c r="C2059" t="s">
        <v>3170</v>
      </c>
      <c r="D2059" t="str">
        <f>VLOOKUP(A2059,Planilha2!B:H,7,0)</f>
        <v>OBSOLETOS DRIVES</v>
      </c>
      <c r="E2059" s="5">
        <v>65000</v>
      </c>
      <c r="F2059">
        <f>IFERROR(
IF(ISNUMBER(FIND("CFW110",B2059)),
VALUE(MID(B2059,FIND("CFW110",B2059)+6,FIND("T",B2059,FIND("CFW110",B2059))-(FIND("CFW110",B2059)+6))),
IF(ISNUMBER(FIND("D",B2059)),
VALUE(SUBSTITUTE(MID(B2059,FIND("D",B2059)+1,FIND("T",B2059,FIND("D",B2059))-(FIND("D",B2059)+1)),"P",",")),
IF(ISNUMBER(FIND("CFW5",B2059)),
VALUE(MID(B2059,
IF(ISNUMBER(FIND("F",B2059)),FIND("F",B2059)+1,FIND("G",B2059)+1),
FIND("T",B2059)-(IF(ISNUMBER(FIND("F",B2059)),FIND("F",B2059)+1,FIND("G",B2059)+1))
)),
VALUE(MID(B2059,FIND("E0",B2059)+2,FIND("T",B2059,FIND("E0",B2059))-(FIND("E0",B2059)+2)))
))),"")</f>
        <v>211</v>
      </c>
      <c r="G2059">
        <f>IFERROR(
IF(ISNUMBER(FIND("T2",B2059)),220,
IF(ISNUMBER(FIND("T4",B2059)),440,
IF(ISNUMBER(FIND("T5",B2059)),575,
IF(ISNUMBER(FIND("T6",B2059)),690,"")))),
"")</f>
        <v>440</v>
      </c>
    </row>
    <row r="2060" spans="1:7" x14ac:dyDescent="0.25">
      <c r="A2060">
        <v>11143091</v>
      </c>
      <c r="B2060" t="str">
        <f>VLOOKUP(A2060,Planilha2!B:C,2,0)</f>
        <v>INVERSOR EUCFW110142T4O54Z</v>
      </c>
      <c r="C2060" t="s">
        <v>3170</v>
      </c>
      <c r="D2060" t="str">
        <f>VLOOKUP(A2060,Planilha2!B:H,7,0)</f>
        <v>LINHA E1</v>
      </c>
      <c r="E2060" s="5">
        <v>79300</v>
      </c>
      <c r="F2060">
        <f>IFERROR(
IF(ISNUMBER(FIND("CFW110",B2060)),
VALUE(MID(B2060,FIND("CFW110",B2060)+6,FIND("T",B2060,FIND("CFW110",B2060))-(FIND("CFW110",B2060)+6))),
IF(ISNUMBER(FIND("D",B2060)),
VALUE(SUBSTITUTE(MID(B2060,FIND("D",B2060)+1,FIND("T",B2060,FIND("D",B2060))-(FIND("D",B2060)+1)),"P",",")),
IF(ISNUMBER(FIND("CFW5",B2060)),
VALUE(MID(B2060,
IF(ISNUMBER(FIND("F",B2060)),FIND("F",B2060)+1,FIND("G",B2060)+1),
FIND("T",B2060)-(IF(ISNUMBER(FIND("F",B2060)),FIND("F",B2060)+1,FIND("G",B2060)+1))
)),
VALUE(MID(B2060,FIND("E0",B2060)+2,FIND("T",B2060,FIND("E0",B2060))-(FIND("E0",B2060)+2)))
))),"")</f>
        <v>142</v>
      </c>
      <c r="G2060">
        <f>IFERROR(
IF(ISNUMBER(FIND("T2",B2060)),220,
IF(ISNUMBER(FIND("T4",B2060)),440,
IF(ISNUMBER(FIND("T5",B2060)),575,
IF(ISNUMBER(FIND("T6",B2060)),690,"")))),
"")</f>
        <v>440</v>
      </c>
    </row>
    <row r="2061" spans="1:7" x14ac:dyDescent="0.25">
      <c r="A2061">
        <v>11470494</v>
      </c>
      <c r="B2061" t="str">
        <f>VLOOKUP(A2061,Planilha2!B:C,2,0)</f>
        <v>INVERSOR BRCFW110370T4ORBZ</v>
      </c>
      <c r="C2061" t="s">
        <v>3170</v>
      </c>
      <c r="D2061" t="str">
        <f>VLOOKUP(A2061,Planilha2!B:H,7,0)</f>
        <v>LINHA G3</v>
      </c>
      <c r="E2061" s="5">
        <v>97000</v>
      </c>
      <c r="F2061">
        <f>IFERROR(
IF(ISNUMBER(FIND("CFW110",B2061)),
VALUE(MID(B2061,FIND("CFW110",B2061)+6,FIND("T",B2061,FIND("CFW110",B2061))-(FIND("CFW110",B2061)+6))),
IF(ISNUMBER(FIND("D",B2061)),
VALUE(SUBSTITUTE(MID(B2061,FIND("D",B2061)+1,FIND("T",B2061,FIND("D",B2061))-(FIND("D",B2061)+1)),"P",",")),
IF(ISNUMBER(FIND("CFW5",B2061)),
VALUE(MID(B2061,
IF(ISNUMBER(FIND("F",B2061)),FIND("F",B2061)+1,FIND("G",B2061)+1),
FIND("T",B2061)-(IF(ISNUMBER(FIND("F",B2061)),FIND("F",B2061)+1,FIND("G",B2061)+1))
)),
VALUE(MID(B2061,FIND("E0",B2061)+2,FIND("T",B2061,FIND("E0",B2061))-(FIND("E0",B2061)+2)))
))),"")</f>
        <v>370</v>
      </c>
      <c r="G2061">
        <f>IFERROR(
IF(ISNUMBER(FIND("T2",B2061)),220,
IF(ISNUMBER(FIND("T4",B2061)),440,
IF(ISNUMBER(FIND("T5",B2061)),575,
IF(ISNUMBER(FIND("T6",B2061)),690,"")))),
"")</f>
        <v>440</v>
      </c>
    </row>
    <row r="2062" spans="1:7" x14ac:dyDescent="0.25">
      <c r="A2062">
        <v>11143090</v>
      </c>
      <c r="B2062" t="str">
        <f>VLOOKUP(A2062,Planilha2!B:C,2,0)</f>
        <v>INVERSOR EUCFW110105T4O54Z</v>
      </c>
      <c r="C2062" t="s">
        <v>3170</v>
      </c>
      <c r="D2062" t="str">
        <f>VLOOKUP(A2062,Planilha2!B:H,7,0)</f>
        <v>LINHA E1</v>
      </c>
      <c r="E2062" s="5">
        <v>78700</v>
      </c>
      <c r="F2062">
        <f>IFERROR(
IF(ISNUMBER(FIND("CFW110",B2062)),
VALUE(MID(B2062,FIND("CFW110",B2062)+6,FIND("T",B2062,FIND("CFW110",B2062))-(FIND("CFW110",B2062)+6))),
IF(ISNUMBER(FIND("D",B2062)),
VALUE(SUBSTITUTE(MID(B2062,FIND("D",B2062)+1,FIND("T",B2062,FIND("D",B2062))-(FIND("D",B2062)+1)),"P",",")),
IF(ISNUMBER(FIND("CFW5",B2062)),
VALUE(MID(B2062,
IF(ISNUMBER(FIND("F",B2062)),FIND("F",B2062)+1,FIND("G",B2062)+1),
FIND("T",B2062)-(IF(ISNUMBER(FIND("F",B2062)),FIND("F",B2062)+1,FIND("G",B2062)+1))
)),
VALUE(MID(B2062,FIND("E0",B2062)+2,FIND("T",B2062,FIND("E0",B2062))-(FIND("E0",B2062)+2)))
))),"")</f>
        <v>105</v>
      </c>
      <c r="G2062">
        <f>IFERROR(
IF(ISNUMBER(FIND("T2",B2062)),220,
IF(ISNUMBER(FIND("T4",B2062)),440,
IF(ISNUMBER(FIND("T5",B2062)),575,
IF(ISNUMBER(FIND("T6",B2062)),690,"")))),
"")</f>
        <v>440</v>
      </c>
    </row>
    <row r="2063" spans="1:7" x14ac:dyDescent="0.25">
      <c r="A2063">
        <v>11144423</v>
      </c>
      <c r="B2063" t="str">
        <f>VLOOKUP(A2063,Planilha2!B:C,2,0)</f>
        <v>INVERSOR BRCFW110105T4O54DBZ</v>
      </c>
      <c r="C2063" t="s">
        <v>3170</v>
      </c>
      <c r="D2063" t="str">
        <f>VLOOKUP(A2063,Planilha2!B:H,7,0)</f>
        <v>LINHA E1</v>
      </c>
      <c r="E2063" s="5">
        <v>79700</v>
      </c>
      <c r="F2063">
        <f>IFERROR(
IF(ISNUMBER(FIND("CFW110",B2063)),
VALUE(MID(B2063,FIND("CFW110",B2063)+6,FIND("T",B2063,FIND("CFW110",B2063))-(FIND("CFW110",B2063)+6))),
IF(ISNUMBER(FIND("D",B2063)),
VALUE(SUBSTITUTE(MID(B2063,FIND("D",B2063)+1,FIND("T",B2063,FIND("D",B2063))-(FIND("D",B2063)+1)),"P",",")),
IF(ISNUMBER(FIND("CFW5",B2063)),
VALUE(MID(B2063,
IF(ISNUMBER(FIND("F",B2063)),FIND("F",B2063)+1,FIND("G",B2063)+1),
FIND("T",B2063)-(IF(ISNUMBER(FIND("F",B2063)),FIND("F",B2063)+1,FIND("G",B2063)+1))
)),
VALUE(MID(B2063,FIND("E0",B2063)+2,FIND("T",B2063,FIND("E0",B2063))-(FIND("E0",B2063)+2)))
))),"")</f>
        <v>105</v>
      </c>
      <c r="G2063">
        <f>IFERROR(
IF(ISNUMBER(FIND("T2",B2063)),220,
IF(ISNUMBER(FIND("T4",B2063)),440,
IF(ISNUMBER(FIND("T5",B2063)),575,
IF(ISNUMBER(FIND("T6",B2063)),690,"")))),
"")</f>
        <v>440</v>
      </c>
    </row>
    <row r="2064" spans="1:7" x14ac:dyDescent="0.25">
      <c r="A2064">
        <v>11144213</v>
      </c>
      <c r="B2064" t="str">
        <f>VLOOKUP(A2064,Planilha2!B:C,2,0)</f>
        <v>INVERSOR BRCFW110142T4O54Z</v>
      </c>
      <c r="C2064" t="s">
        <v>3170</v>
      </c>
      <c r="D2064" t="str">
        <f>VLOOKUP(A2064,Planilha2!B:H,7,0)</f>
        <v>LINHA E1</v>
      </c>
      <c r="E2064" s="5">
        <v>79300</v>
      </c>
      <c r="F2064">
        <f>IFERROR(
IF(ISNUMBER(FIND("CFW110",B2064)),
VALUE(MID(B2064,FIND("CFW110",B2064)+6,FIND("T",B2064,FIND("CFW110",B2064))-(FIND("CFW110",B2064)+6))),
IF(ISNUMBER(FIND("D",B2064)),
VALUE(SUBSTITUTE(MID(B2064,FIND("D",B2064)+1,FIND("T",B2064,FIND("D",B2064))-(FIND("D",B2064)+1)),"P",",")),
IF(ISNUMBER(FIND("CFW5",B2064)),
VALUE(MID(B2064,
IF(ISNUMBER(FIND("F",B2064)),FIND("F",B2064)+1,FIND("G",B2064)+1),
FIND("T",B2064)-(IF(ISNUMBER(FIND("F",B2064)),FIND("F",B2064)+1,FIND("G",B2064)+1))
)),
VALUE(MID(B2064,FIND("E0",B2064)+2,FIND("T",B2064,FIND("E0",B2064))-(FIND("E0",B2064)+2)))
))),"")</f>
        <v>142</v>
      </c>
      <c r="G2064">
        <f>IFERROR(
IF(ISNUMBER(FIND("T2",B2064)),220,
IF(ISNUMBER(FIND("T4",B2064)),440,
IF(ISNUMBER(FIND("T5",B2064)),575,
IF(ISNUMBER(FIND("T6",B2064)),690,"")))),
"")</f>
        <v>440</v>
      </c>
    </row>
    <row r="2065" spans="1:7" x14ac:dyDescent="0.25">
      <c r="A2065">
        <v>11144424</v>
      </c>
      <c r="B2065" t="str">
        <f>VLOOKUP(A2065,Planilha2!B:C,2,0)</f>
        <v>INVERSOR BRCFW110142T4O54DBZ</v>
      </c>
      <c r="C2065" t="s">
        <v>3170</v>
      </c>
      <c r="D2065" t="str">
        <f>VLOOKUP(A2065,Planilha2!B:H,7,0)</f>
        <v>LINHA E1</v>
      </c>
      <c r="E2065" s="5">
        <v>81800</v>
      </c>
      <c r="F2065">
        <f>IFERROR(
IF(ISNUMBER(FIND("CFW110",B2065)),
VALUE(MID(B2065,FIND("CFW110",B2065)+6,FIND("T",B2065,FIND("CFW110",B2065))-(FIND("CFW110",B2065)+6))),
IF(ISNUMBER(FIND("D",B2065)),
VALUE(SUBSTITUTE(MID(B2065,FIND("D",B2065)+1,FIND("T",B2065,FIND("D",B2065))-(FIND("D",B2065)+1)),"P",",")),
IF(ISNUMBER(FIND("CFW5",B2065)),
VALUE(MID(B2065,
IF(ISNUMBER(FIND("F",B2065)),FIND("F",B2065)+1,FIND("G",B2065)+1),
FIND("T",B2065)-(IF(ISNUMBER(FIND("F",B2065)),FIND("F",B2065)+1,FIND("G",B2065)+1))
)),
VALUE(MID(B2065,FIND("E0",B2065)+2,FIND("T",B2065,FIND("E0",B2065))-(FIND("E0",B2065)+2)))
))),"")</f>
        <v>142</v>
      </c>
      <c r="G2065">
        <f>IFERROR(
IF(ISNUMBER(FIND("T2",B2065)),220,
IF(ISNUMBER(FIND("T4",B2065)),440,
IF(ISNUMBER(FIND("T5",B2065)),575,
IF(ISNUMBER(FIND("T6",B2065)),690,"")))),
"")</f>
        <v>440</v>
      </c>
    </row>
    <row r="2066" spans="1:7" x14ac:dyDescent="0.25">
      <c r="A2066">
        <v>12117551</v>
      </c>
      <c r="B2066" t="str">
        <f>VLOOKUP(A2066,Planilha2!B:C,2,0)</f>
        <v>INVERSOR BRCFW110211T4OYS4Z</v>
      </c>
      <c r="C2066" t="s">
        <v>3170</v>
      </c>
      <c r="D2066" t="str">
        <f>VLOOKUP(A2066,Planilha2!B:H,7,0)</f>
        <v>LINHA G1</v>
      </c>
      <c r="E2066" s="5">
        <v>67900</v>
      </c>
      <c r="F2066">
        <f>IFERROR(
IF(ISNUMBER(FIND("CFW110",B2066)),
VALUE(MID(B2066,FIND("CFW110",B2066)+6,FIND("T",B2066,FIND("CFW110",B2066))-(FIND("CFW110",B2066)+6))),
IF(ISNUMBER(FIND("D",B2066)),
VALUE(SUBSTITUTE(MID(B2066,FIND("D",B2066)+1,FIND("T",B2066,FIND("D",B2066))-(FIND("D",B2066)+1)),"P",",")),
IF(ISNUMBER(FIND("CFW5",B2066)),
VALUE(MID(B2066,
IF(ISNUMBER(FIND("F",B2066)),FIND("F",B2066)+1,FIND("G",B2066)+1),
FIND("T",B2066)-(IF(ISNUMBER(FIND("F",B2066)),FIND("F",B2066)+1,FIND("G",B2066)+1))
)),
VALUE(MID(B2066,FIND("E0",B2066)+2,FIND("T",B2066,FIND("E0",B2066))-(FIND("E0",B2066)+2)))
))),"")</f>
        <v>211</v>
      </c>
      <c r="G2066">
        <f>IFERROR(
IF(ISNUMBER(FIND("T2",B2066)),220,
IF(ISNUMBER(FIND("T4",B2066)),440,
IF(ISNUMBER(FIND("T5",B2066)),575,
IF(ISNUMBER(FIND("T6",B2066)),690,"")))),
"")</f>
        <v>440</v>
      </c>
    </row>
    <row r="2067" spans="1:7" x14ac:dyDescent="0.25">
      <c r="A2067">
        <v>12176875</v>
      </c>
      <c r="B2067" t="str">
        <f>VLOOKUP(A2067,Planilha2!B:C,2,0)</f>
        <v>INVERSOR EUCFW110142T4O54YZ</v>
      </c>
      <c r="C2067" t="s">
        <v>3170</v>
      </c>
      <c r="D2067" t="str">
        <f>VLOOKUP(A2067,Planilha2!B:H,7,0)</f>
        <v>LINHA E1</v>
      </c>
      <c r="E2067" s="5">
        <v>79300</v>
      </c>
      <c r="F2067">
        <f>IFERROR(
IF(ISNUMBER(FIND("CFW110",B2067)),
VALUE(MID(B2067,FIND("CFW110",B2067)+6,FIND("T",B2067,FIND("CFW110",B2067))-(FIND("CFW110",B2067)+6))),
IF(ISNUMBER(FIND("D",B2067)),
VALUE(SUBSTITUTE(MID(B2067,FIND("D",B2067)+1,FIND("T",B2067,FIND("D",B2067))-(FIND("D",B2067)+1)),"P",",")),
IF(ISNUMBER(FIND("CFW5",B2067)),
VALUE(MID(B2067,
IF(ISNUMBER(FIND("F",B2067)),FIND("F",B2067)+1,FIND("G",B2067)+1),
FIND("T",B2067)-(IF(ISNUMBER(FIND("F",B2067)),FIND("F",B2067)+1,FIND("G",B2067)+1))
)),
VALUE(MID(B2067,FIND("E0",B2067)+2,FIND("T",B2067,FIND("E0",B2067))-(FIND("E0",B2067)+2)))
))),"")</f>
        <v>142</v>
      </c>
      <c r="G2067">
        <f>IFERROR(
IF(ISNUMBER(FIND("T2",B2067)),220,
IF(ISNUMBER(FIND("T4",B2067)),440,
IF(ISNUMBER(FIND("T5",B2067)),575,
IF(ISNUMBER(FIND("T6",B2067)),690,"")))),
"")</f>
        <v>440</v>
      </c>
    </row>
    <row r="2068" spans="1:7" x14ac:dyDescent="0.25">
      <c r="A2068">
        <v>12176817</v>
      </c>
      <c r="B2068" t="str">
        <f>VLOOKUP(A2068,Planilha2!B:C,2,0)</f>
        <v>INVERSOR EUCFW110105T4O54YZ</v>
      </c>
      <c r="C2068" t="s">
        <v>3170</v>
      </c>
      <c r="D2068" t="str">
        <f>VLOOKUP(A2068,Planilha2!B:H,7,0)</f>
        <v>LINHA E1</v>
      </c>
      <c r="E2068" s="5">
        <v>78700</v>
      </c>
      <c r="F2068">
        <f>IFERROR(
IF(ISNUMBER(FIND("CFW110",B2068)),
VALUE(MID(B2068,FIND("CFW110",B2068)+6,FIND("T",B2068,FIND("CFW110",B2068))-(FIND("CFW110",B2068)+6))),
IF(ISNUMBER(FIND("D",B2068)),
VALUE(SUBSTITUTE(MID(B2068,FIND("D",B2068)+1,FIND("T",B2068,FIND("D",B2068))-(FIND("D",B2068)+1)),"P",",")),
IF(ISNUMBER(FIND("CFW5",B2068)),
VALUE(MID(B2068,
IF(ISNUMBER(FIND("F",B2068)),FIND("F",B2068)+1,FIND("G",B2068)+1),
FIND("T",B2068)-(IF(ISNUMBER(FIND("F",B2068)),FIND("F",B2068)+1,FIND("G",B2068)+1))
)),
VALUE(MID(B2068,FIND("E0",B2068)+2,FIND("T",B2068,FIND("E0",B2068))-(FIND("E0",B2068)+2)))
))),"")</f>
        <v>105</v>
      </c>
      <c r="G2068">
        <f>IFERROR(
IF(ISNUMBER(FIND("T2",B2068)),220,
IF(ISNUMBER(FIND("T4",B2068)),440,
IF(ISNUMBER(FIND("T5",B2068)),575,
IF(ISNUMBER(FIND("T6",B2068)),690,"")))),
"")</f>
        <v>440</v>
      </c>
    </row>
    <row r="2069" spans="1:7" x14ac:dyDescent="0.25">
      <c r="A2069">
        <v>12070502</v>
      </c>
      <c r="B2069" t="str">
        <f>VLOOKUP(A2069,Planilha2!B:C,2,0)</f>
        <v>INVERSOR CFW11T0599D4SZ</v>
      </c>
      <c r="C2069" t="s">
        <v>3170</v>
      </c>
      <c r="D2069" t="str">
        <f>VLOOKUP(A2069,Planilha2!B:H,7,0)</f>
        <v>LINHA E5</v>
      </c>
      <c r="E2069" s="5">
        <v>75000</v>
      </c>
      <c r="F2069" t="str">
        <f>IFERROR(
IF(ISNUMBER(FIND("CFW110",B2069)),
VALUE(MID(B2069,FIND("CFW110",B2069)+6,FIND("T",B2069,FIND("CFW110",B2069))-(FIND("CFW110",B2069)+6))),
IF(ISNUMBER(FIND("D",B2069)),
VALUE(SUBSTITUTE(MID(B2069,FIND("D",B2069)+1,FIND("T",B2069,FIND("D",B2069))-(FIND("D",B2069)+1)),"P",",")),
IF(ISNUMBER(FIND("CFW5",B2069)),
VALUE(MID(B2069,
IF(ISNUMBER(FIND("F",B2069)),FIND("F",B2069)+1,FIND("G",B2069)+1),
FIND("T",B2069)-(IF(ISNUMBER(FIND("F",B2069)),FIND("F",B2069)+1,FIND("G",B2069)+1))
)),
VALUE(MID(B2069,FIND("E0",B2069)+2,FIND("T",B2069,FIND("E0",B2069))-(FIND("E0",B2069)+2)))
))),"")</f>
        <v/>
      </c>
      <c r="G2069" t="str">
        <f>IFERROR(
IF(ISNUMBER(FIND("T2",B2069)),220,
IF(ISNUMBER(FIND("T4",B2069)),440,
IF(ISNUMBER(FIND("T5",B2069)),575,
IF(ISNUMBER(FIND("T6",B2069)),690,"")))),
"")</f>
        <v/>
      </c>
    </row>
    <row r="2070" spans="1:7" x14ac:dyDescent="0.25">
      <c r="A2070">
        <v>12254417</v>
      </c>
      <c r="B2070" t="str">
        <f>VLOOKUP(A2070,Planilha2!B:C,2,0)</f>
        <v>INVERSOR CFW11T0599D4OWZ</v>
      </c>
      <c r="C2070" t="s">
        <v>3170</v>
      </c>
      <c r="D2070" t="str">
        <f>VLOOKUP(A2070,Planilha2!B:H,7,0)</f>
        <v>LINHA E5</v>
      </c>
      <c r="E2070" s="5">
        <v>75000</v>
      </c>
      <c r="F2070" t="str">
        <f>IFERROR(
IF(ISNUMBER(FIND("CFW110",B2070)),
VALUE(MID(B2070,FIND("CFW110",B2070)+6,FIND("T",B2070,FIND("CFW110",B2070))-(FIND("CFW110",B2070)+6))),
IF(ISNUMBER(FIND("D",B2070)),
VALUE(SUBSTITUTE(MID(B2070,FIND("D",B2070)+1,FIND("T",B2070,FIND("D",B2070))-(FIND("D",B2070)+1)),"P",",")),
IF(ISNUMBER(FIND("CFW5",B2070)),
VALUE(MID(B2070,
IF(ISNUMBER(FIND("F",B2070)),FIND("F",B2070)+1,FIND("G",B2070)+1),
FIND("T",B2070)-(IF(ISNUMBER(FIND("F",B2070)),FIND("F",B2070)+1,FIND("G",B2070)+1))
)),
VALUE(MID(B2070,FIND("E0",B2070)+2,FIND("T",B2070,FIND("E0",B2070))-(FIND("E0",B2070)+2)))
))),"")</f>
        <v/>
      </c>
      <c r="G2070" t="str">
        <f>IFERROR(
IF(ISNUMBER(FIND("T2",B2070)),220,
IF(ISNUMBER(FIND("T4",B2070)),440,
IF(ISNUMBER(FIND("T5",B2070)),575,
IF(ISNUMBER(FIND("T6",B2070)),690,"")))),
"")</f>
        <v/>
      </c>
    </row>
    <row r="2071" spans="1:7" x14ac:dyDescent="0.25">
      <c r="A2071">
        <v>12263890</v>
      </c>
      <c r="B2071" t="str">
        <f>VLOOKUP(A2071,Planilha2!B:C,2,0)</f>
        <v>INVERSOR CFW701E0125T5NBN1C3</v>
      </c>
      <c r="C2071" t="s">
        <v>3170</v>
      </c>
      <c r="D2071" t="str">
        <f>VLOOKUP(A2071,Planilha2!B:H,7,0)</f>
        <v>OBSOLETOS DRIVES</v>
      </c>
      <c r="E2071" s="5">
        <v>65000</v>
      </c>
      <c r="F2071">
        <f>IFERROR(
IF(ISNUMBER(FIND("CFW110",B2071)),
VALUE(MID(B2071,FIND("CFW110",B2071)+6,FIND("T",B2071,FIND("CFW110",B2071))-(FIND("CFW110",B2071)+6))),
IF(ISNUMBER(FIND("D",B2071)),
VALUE(SUBSTITUTE(MID(B2071,FIND("D",B2071)+1,FIND("T",B2071,FIND("D",B2071))-(FIND("D",B2071)+1)),"P",",")),
IF(ISNUMBER(FIND("CFW5",B2071)),
VALUE(MID(B2071,
IF(ISNUMBER(FIND("F",B2071)),FIND("F",B2071)+1,FIND("G",B2071)+1),
FIND("T",B2071)-(IF(ISNUMBER(FIND("F",B2071)),FIND("F",B2071)+1,FIND("G",B2071)+1))
)),
VALUE(MID(B2071,FIND("E0",B2071)+2,FIND("T",B2071,FIND("E0",B2071))-(FIND("E0",B2071)+2)))
))),"")</f>
        <v>125</v>
      </c>
      <c r="G2071">
        <f>IFERROR(
IF(ISNUMBER(FIND("T2",B2071)),220,
IF(ISNUMBER(FIND("T4",B2071)),440,
IF(ISNUMBER(FIND("T5",B2071)),575,
IF(ISNUMBER(FIND("T6",B2071)),690,"")))),
"")</f>
        <v>575</v>
      </c>
    </row>
    <row r="2072" spans="1:7" x14ac:dyDescent="0.25">
      <c r="A2072">
        <v>12263875</v>
      </c>
      <c r="B2072" t="str">
        <f>VLOOKUP(A2072,Planilha2!B:C,2,0)</f>
        <v>INVERSOR CFW701E63P0T5NBN1C3</v>
      </c>
      <c r="C2072" t="s">
        <v>3170</v>
      </c>
      <c r="D2072" t="str">
        <f>VLOOKUP(A2072,Planilha2!B:H,7,0)</f>
        <v>OBSOLETOS DRIVES</v>
      </c>
      <c r="E2072" s="5">
        <v>65000</v>
      </c>
      <c r="F2072" t="str">
        <f>IFERROR(
IF(ISNUMBER(FIND("CFW110",B2072)),
VALUE(MID(B2072,FIND("CFW110",B2072)+6,FIND("T",B2072,FIND("CFW110",B2072))-(FIND("CFW110",B2072)+6))),
IF(ISNUMBER(FIND("D",B2072)),
VALUE(SUBSTITUTE(MID(B2072,FIND("D",B2072)+1,FIND("T",B2072,FIND("D",B2072))-(FIND("D",B2072)+1)),"P",",")),
IF(ISNUMBER(FIND("CFW5",B2072)),
VALUE(MID(B2072,
IF(ISNUMBER(FIND("F",B2072)),FIND("F",B2072)+1,FIND("G",B2072)+1),
FIND("T",B2072)-(IF(ISNUMBER(FIND("F",B2072)),FIND("F",B2072)+1,FIND("G",B2072)+1))
)),
VALUE(MID(B2072,FIND("E0",B2072)+2,FIND("T",B2072,FIND("E0",B2072))-(FIND("E0",B2072)+2)))
))),"")</f>
        <v/>
      </c>
      <c r="G2072">
        <f>IFERROR(
IF(ISNUMBER(FIND("T2",B2072)),220,
IF(ISNUMBER(FIND("T4",B2072)),440,
IF(ISNUMBER(FIND("T5",B2072)),575,
IF(ISNUMBER(FIND("T6",B2072)),690,"")))),
"")</f>
        <v>575</v>
      </c>
    </row>
    <row r="2073" spans="1:7" x14ac:dyDescent="0.25">
      <c r="A2073">
        <v>12263897</v>
      </c>
      <c r="B2073" t="str">
        <f>VLOOKUP(A2073,Planilha2!B:C,2,0)</f>
        <v>INVERSOR CFW701E63P0T5NB20C3</v>
      </c>
      <c r="C2073" t="s">
        <v>3170</v>
      </c>
      <c r="D2073" t="str">
        <f>VLOOKUP(A2073,Planilha2!B:H,7,0)</f>
        <v>OBSOLETOS DRIVES</v>
      </c>
      <c r="E2073" s="5">
        <v>65000</v>
      </c>
      <c r="F2073" t="str">
        <f>IFERROR(
IF(ISNUMBER(FIND("CFW110",B2073)),
VALUE(MID(B2073,FIND("CFW110",B2073)+6,FIND("T",B2073,FIND("CFW110",B2073))-(FIND("CFW110",B2073)+6))),
IF(ISNUMBER(FIND("D",B2073)),
VALUE(SUBSTITUTE(MID(B2073,FIND("D",B2073)+1,FIND("T",B2073,FIND("D",B2073))-(FIND("D",B2073)+1)),"P",",")),
IF(ISNUMBER(FIND("CFW5",B2073)),
VALUE(MID(B2073,
IF(ISNUMBER(FIND("F",B2073)),FIND("F",B2073)+1,FIND("G",B2073)+1),
FIND("T",B2073)-(IF(ISNUMBER(FIND("F",B2073)),FIND("F",B2073)+1,FIND("G",B2073)+1))
)),
VALUE(MID(B2073,FIND("E0",B2073)+2,FIND("T",B2073,FIND("E0",B2073))-(FIND("E0",B2073)+2)))
))),"")</f>
        <v/>
      </c>
      <c r="G2073">
        <f>IFERROR(
IF(ISNUMBER(FIND("T2",B2073)),220,
IF(ISNUMBER(FIND("T4",B2073)),440,
IF(ISNUMBER(FIND("T5",B2073)),575,
IF(ISNUMBER(FIND("T6",B2073)),690,"")))),
"")</f>
        <v>575</v>
      </c>
    </row>
    <row r="2074" spans="1:7" x14ac:dyDescent="0.25">
      <c r="A2074">
        <v>12263873</v>
      </c>
      <c r="B2074" t="str">
        <f>VLOOKUP(A2074,Planilha2!B:C,2,0)</f>
        <v>INVERSOR CFW701E53P0T5NBN1C3</v>
      </c>
      <c r="C2074" t="s">
        <v>3170</v>
      </c>
      <c r="D2074" t="str">
        <f>VLOOKUP(A2074,Planilha2!B:H,7,0)</f>
        <v>OBSOLETOS DRIVES</v>
      </c>
      <c r="E2074" s="5">
        <v>65000</v>
      </c>
      <c r="F2074" t="str">
        <f>IFERROR(
IF(ISNUMBER(FIND("CFW110",B2074)),
VALUE(MID(B2074,FIND("CFW110",B2074)+6,FIND("T",B2074,FIND("CFW110",B2074))-(FIND("CFW110",B2074)+6))),
IF(ISNUMBER(FIND("D",B2074)),
VALUE(SUBSTITUTE(MID(B2074,FIND("D",B2074)+1,FIND("T",B2074,FIND("D",B2074))-(FIND("D",B2074)+1)),"P",",")),
IF(ISNUMBER(FIND("CFW5",B2074)),
VALUE(MID(B2074,
IF(ISNUMBER(FIND("F",B2074)),FIND("F",B2074)+1,FIND("G",B2074)+1),
FIND("T",B2074)-(IF(ISNUMBER(FIND("F",B2074)),FIND("F",B2074)+1,FIND("G",B2074)+1))
)),
VALUE(MID(B2074,FIND("E0",B2074)+2,FIND("T",B2074,FIND("E0",B2074))-(FIND("E0",B2074)+2)))
))),"")</f>
        <v/>
      </c>
      <c r="G2074">
        <f>IFERROR(
IF(ISNUMBER(FIND("T2",B2074)),220,
IF(ISNUMBER(FIND("T4",B2074)),440,
IF(ISNUMBER(FIND("T5",B2074)),575,
IF(ISNUMBER(FIND("T6",B2074)),690,"")))),
"")</f>
        <v>575</v>
      </c>
    </row>
    <row r="2075" spans="1:7" x14ac:dyDescent="0.25">
      <c r="A2075">
        <v>12263896</v>
      </c>
      <c r="B2075" t="str">
        <f>VLOOKUP(A2075,Planilha2!B:C,2,0)</f>
        <v>INVERSOR CFW701E53P0T5NB20C3</v>
      </c>
      <c r="C2075" t="s">
        <v>3170</v>
      </c>
      <c r="D2075" t="str">
        <f>VLOOKUP(A2075,Planilha2!B:H,7,0)</f>
        <v>OBSOLETOS DRIVES</v>
      </c>
      <c r="E2075" s="5">
        <v>65000</v>
      </c>
      <c r="F2075" t="str">
        <f>IFERROR(
IF(ISNUMBER(FIND("CFW110",B2075)),
VALUE(MID(B2075,FIND("CFW110",B2075)+6,FIND("T",B2075,FIND("CFW110",B2075))-(FIND("CFW110",B2075)+6))),
IF(ISNUMBER(FIND("D",B2075)),
VALUE(SUBSTITUTE(MID(B2075,FIND("D",B2075)+1,FIND("T",B2075,FIND("D",B2075))-(FIND("D",B2075)+1)),"P",",")),
IF(ISNUMBER(FIND("CFW5",B2075)),
VALUE(MID(B2075,
IF(ISNUMBER(FIND("F",B2075)),FIND("F",B2075)+1,FIND("G",B2075)+1),
FIND("T",B2075)-(IF(ISNUMBER(FIND("F",B2075)),FIND("F",B2075)+1,FIND("G",B2075)+1))
)),
VALUE(MID(B2075,FIND("E0",B2075)+2,FIND("T",B2075,FIND("E0",B2075))-(FIND("E0",B2075)+2)))
))),"")</f>
        <v/>
      </c>
      <c r="G2075">
        <f>IFERROR(
IF(ISNUMBER(FIND("T2",B2075)),220,
IF(ISNUMBER(FIND("T4",B2075)),440,
IF(ISNUMBER(FIND("T5",B2075)),575,
IF(ISNUMBER(FIND("T6",B2075)),690,"")))),
"")</f>
        <v>575</v>
      </c>
    </row>
    <row r="2076" spans="1:7" x14ac:dyDescent="0.25">
      <c r="A2076">
        <v>12263895</v>
      </c>
      <c r="B2076" t="str">
        <f>VLOOKUP(A2076,Planilha2!B:C,2,0)</f>
        <v>INVERSOR CFW701E0150T5NBN1C3</v>
      </c>
      <c r="C2076" t="s">
        <v>3170</v>
      </c>
      <c r="D2076" t="str">
        <f>VLOOKUP(A2076,Planilha2!B:H,7,0)</f>
        <v>OBSOLETOS DRIVES</v>
      </c>
      <c r="E2076" s="5">
        <v>65000</v>
      </c>
      <c r="F2076">
        <f>IFERROR(
IF(ISNUMBER(FIND("CFW110",B2076)),
VALUE(MID(B2076,FIND("CFW110",B2076)+6,FIND("T",B2076,FIND("CFW110",B2076))-(FIND("CFW110",B2076)+6))),
IF(ISNUMBER(FIND("D",B2076)),
VALUE(SUBSTITUTE(MID(B2076,FIND("D",B2076)+1,FIND("T",B2076,FIND("D",B2076))-(FIND("D",B2076)+1)),"P",",")),
IF(ISNUMBER(FIND("CFW5",B2076)),
VALUE(MID(B2076,
IF(ISNUMBER(FIND("F",B2076)),FIND("F",B2076)+1,FIND("G",B2076)+1),
FIND("T",B2076)-(IF(ISNUMBER(FIND("F",B2076)),FIND("F",B2076)+1,FIND("G",B2076)+1))
)),
VALUE(MID(B2076,FIND("E0",B2076)+2,FIND("T",B2076,FIND("E0",B2076))-(FIND("E0",B2076)+2)))
))),"")</f>
        <v>150</v>
      </c>
      <c r="G2076">
        <f>IFERROR(
IF(ISNUMBER(FIND("T2",B2076)),220,
IF(ISNUMBER(FIND("T4",B2076)),440,
IF(ISNUMBER(FIND("T5",B2076)),575,
IF(ISNUMBER(FIND("T6",B2076)),690,"")))),
"")</f>
        <v>575</v>
      </c>
    </row>
    <row r="2077" spans="1:7" x14ac:dyDescent="0.25">
      <c r="A2077">
        <v>12263903</v>
      </c>
      <c r="B2077" t="str">
        <f>VLOOKUP(A2077,Planilha2!B:C,2,0)</f>
        <v>INVERSOR CFW701E0150T5NB20C3</v>
      </c>
      <c r="C2077" t="s">
        <v>3170</v>
      </c>
      <c r="D2077" t="str">
        <f>VLOOKUP(A2077,Planilha2!B:H,7,0)</f>
        <v>OBSOLETOS DRIVES</v>
      </c>
      <c r="E2077" s="5">
        <v>65000</v>
      </c>
      <c r="F2077">
        <f>IFERROR(
IF(ISNUMBER(FIND("CFW110",B2077)),
VALUE(MID(B2077,FIND("CFW110",B2077)+6,FIND("T",B2077,FIND("CFW110",B2077))-(FIND("CFW110",B2077)+6))),
IF(ISNUMBER(FIND("D",B2077)),
VALUE(SUBSTITUTE(MID(B2077,FIND("D",B2077)+1,FIND("T",B2077,FIND("D",B2077))-(FIND("D",B2077)+1)),"P",",")),
IF(ISNUMBER(FIND("CFW5",B2077)),
VALUE(MID(B2077,
IF(ISNUMBER(FIND("F",B2077)),FIND("F",B2077)+1,FIND("G",B2077)+1),
FIND("T",B2077)-(IF(ISNUMBER(FIND("F",B2077)),FIND("F",B2077)+1,FIND("G",B2077)+1))
)),
VALUE(MID(B2077,FIND("E0",B2077)+2,FIND("T",B2077,FIND("E0",B2077))-(FIND("E0",B2077)+2)))
))),"")</f>
        <v>150</v>
      </c>
      <c r="G2077">
        <f>IFERROR(
IF(ISNUMBER(FIND("T2",B2077)),220,
IF(ISNUMBER(FIND("T4",B2077)),440,
IF(ISNUMBER(FIND("T5",B2077)),575,
IF(ISNUMBER(FIND("T6",B2077)),690,"")))),
"")</f>
        <v>575</v>
      </c>
    </row>
    <row r="2078" spans="1:7" x14ac:dyDescent="0.25">
      <c r="A2078">
        <v>12263902</v>
      </c>
      <c r="B2078" t="str">
        <f>VLOOKUP(A2078,Planilha2!B:C,2,0)</f>
        <v>INVERSOR CFW701E0125T5NB20C3</v>
      </c>
      <c r="C2078" t="s">
        <v>3170</v>
      </c>
      <c r="D2078" t="str">
        <f>VLOOKUP(A2078,Planilha2!B:H,7,0)</f>
        <v>OBSOLETOS DRIVES</v>
      </c>
      <c r="E2078" s="5">
        <v>65000</v>
      </c>
      <c r="F2078">
        <f>IFERROR(
IF(ISNUMBER(FIND("CFW110",B2078)),
VALUE(MID(B2078,FIND("CFW110",B2078)+6,FIND("T",B2078,FIND("CFW110",B2078))-(FIND("CFW110",B2078)+6))),
IF(ISNUMBER(FIND("D",B2078)),
VALUE(SUBSTITUTE(MID(B2078,FIND("D",B2078)+1,FIND("T",B2078,FIND("D",B2078))-(FIND("D",B2078)+1)),"P",",")),
IF(ISNUMBER(FIND("CFW5",B2078)),
VALUE(MID(B2078,
IF(ISNUMBER(FIND("F",B2078)),FIND("F",B2078)+1,FIND("G",B2078)+1),
FIND("T",B2078)-(IF(ISNUMBER(FIND("F",B2078)),FIND("F",B2078)+1,FIND("G",B2078)+1))
)),
VALUE(MID(B2078,FIND("E0",B2078)+2,FIND("T",B2078,FIND("E0",B2078))-(FIND("E0",B2078)+2)))
))),"")</f>
        <v>125</v>
      </c>
      <c r="G2078">
        <f>IFERROR(
IF(ISNUMBER(FIND("T2",B2078)),220,
IF(ISNUMBER(FIND("T4",B2078)),440,
IF(ISNUMBER(FIND("T5",B2078)),575,
IF(ISNUMBER(FIND("T6",B2078)),690,"")))),
"")</f>
        <v>575</v>
      </c>
    </row>
    <row r="2079" spans="1:7" x14ac:dyDescent="0.25">
      <c r="A2079">
        <v>12263889</v>
      </c>
      <c r="B2079" t="str">
        <f>VLOOKUP(A2079,Planilha2!B:C,2,0)</f>
        <v>INVERSOR CFW701E0107T5NBN1C3</v>
      </c>
      <c r="C2079" t="s">
        <v>3170</v>
      </c>
      <c r="D2079" t="str">
        <f>VLOOKUP(A2079,Planilha2!B:H,7,0)</f>
        <v>OBSOLETOS DRIVES</v>
      </c>
      <c r="E2079" s="5">
        <v>65000</v>
      </c>
      <c r="F2079">
        <f>IFERROR(
IF(ISNUMBER(FIND("CFW110",B2079)),
VALUE(MID(B2079,FIND("CFW110",B2079)+6,FIND("T",B2079,FIND("CFW110",B2079))-(FIND("CFW110",B2079)+6))),
IF(ISNUMBER(FIND("D",B2079)),
VALUE(SUBSTITUTE(MID(B2079,FIND("D",B2079)+1,FIND("T",B2079,FIND("D",B2079))-(FIND("D",B2079)+1)),"P",",")),
IF(ISNUMBER(FIND("CFW5",B2079)),
VALUE(MID(B2079,
IF(ISNUMBER(FIND("F",B2079)),FIND("F",B2079)+1,FIND("G",B2079)+1),
FIND("T",B2079)-(IF(ISNUMBER(FIND("F",B2079)),FIND("F",B2079)+1,FIND("G",B2079)+1))
)),
VALUE(MID(B2079,FIND("E0",B2079)+2,FIND("T",B2079,FIND("E0",B2079))-(FIND("E0",B2079)+2)))
))),"")</f>
        <v>107</v>
      </c>
      <c r="G2079">
        <f>IFERROR(
IF(ISNUMBER(FIND("T2",B2079)),220,
IF(ISNUMBER(FIND("T4",B2079)),440,
IF(ISNUMBER(FIND("T5",B2079)),575,
IF(ISNUMBER(FIND("T6",B2079)),690,"")))),
"")</f>
        <v>575</v>
      </c>
    </row>
    <row r="2080" spans="1:7" x14ac:dyDescent="0.25">
      <c r="A2080">
        <v>12263901</v>
      </c>
      <c r="B2080" t="str">
        <f>VLOOKUP(A2080,Planilha2!B:C,2,0)</f>
        <v>INVERSOR CFW701E0107T5NB20C3</v>
      </c>
      <c r="C2080" t="s">
        <v>3170</v>
      </c>
      <c r="D2080" t="str">
        <f>VLOOKUP(A2080,Planilha2!B:H,7,0)</f>
        <v>OBSOLETOS DRIVES</v>
      </c>
      <c r="E2080" s="5">
        <v>65000</v>
      </c>
      <c r="F2080">
        <f>IFERROR(
IF(ISNUMBER(FIND("CFW110",B2080)),
VALUE(MID(B2080,FIND("CFW110",B2080)+6,FIND("T",B2080,FIND("CFW110",B2080))-(FIND("CFW110",B2080)+6))),
IF(ISNUMBER(FIND("D",B2080)),
VALUE(SUBSTITUTE(MID(B2080,FIND("D",B2080)+1,FIND("T",B2080,FIND("D",B2080))-(FIND("D",B2080)+1)),"P",",")),
IF(ISNUMBER(FIND("CFW5",B2080)),
VALUE(MID(B2080,
IF(ISNUMBER(FIND("F",B2080)),FIND("F",B2080)+1,FIND("G",B2080)+1),
FIND("T",B2080)-(IF(ISNUMBER(FIND("F",B2080)),FIND("F",B2080)+1,FIND("G",B2080)+1))
)),
VALUE(MID(B2080,FIND("E0",B2080)+2,FIND("T",B2080,FIND("E0",B2080))-(FIND("E0",B2080)+2)))
))),"")</f>
        <v>107</v>
      </c>
      <c r="G2080">
        <f>IFERROR(
IF(ISNUMBER(FIND("T2",B2080)),220,
IF(ISNUMBER(FIND("T4",B2080)),440,
IF(ISNUMBER(FIND("T5",B2080)),575,
IF(ISNUMBER(FIND("T6",B2080)),690,"")))),
"")</f>
        <v>575</v>
      </c>
    </row>
    <row r="2081" spans="1:7" x14ac:dyDescent="0.25">
      <c r="A2081">
        <v>12358647</v>
      </c>
      <c r="B2081" t="str">
        <f>VLOOKUP(A2081,Planilha2!B:C,2,0)</f>
        <v>INVERSOR EUCFW110180T4ODBYWZ</v>
      </c>
      <c r="C2081" t="s">
        <v>3170</v>
      </c>
      <c r="D2081" t="str">
        <f>VLOOKUP(A2081,Planilha2!B:H,7,0)</f>
        <v>LINHA G1</v>
      </c>
      <c r="E2081" s="5">
        <v>68000</v>
      </c>
      <c r="F2081">
        <f>IFERROR(
IF(ISNUMBER(FIND("CFW110",B2081)),
VALUE(MID(B2081,FIND("CFW110",B2081)+6,FIND("T",B2081,FIND("CFW110",B2081))-(FIND("CFW110",B2081)+6))),
IF(ISNUMBER(FIND("D",B2081)),
VALUE(SUBSTITUTE(MID(B2081,FIND("D",B2081)+1,FIND("T",B2081,FIND("D",B2081))-(FIND("D",B2081)+1)),"P",",")),
IF(ISNUMBER(FIND("CFW5",B2081)),
VALUE(MID(B2081,
IF(ISNUMBER(FIND("F",B2081)),FIND("F",B2081)+1,FIND("G",B2081)+1),
FIND("T",B2081)-(IF(ISNUMBER(FIND("F",B2081)),FIND("F",B2081)+1,FIND("G",B2081)+1))
)),
VALUE(MID(B2081,FIND("E0",B2081)+2,FIND("T",B2081,FIND("E0",B2081))-(FIND("E0",B2081)+2)))
))),"")</f>
        <v>180</v>
      </c>
      <c r="G2081">
        <f>IFERROR(
IF(ISNUMBER(FIND("T2",B2081)),220,
IF(ISNUMBER(FIND("T4",B2081)),440,
IF(ISNUMBER(FIND("T5",B2081)),575,
IF(ISNUMBER(FIND("T6",B2081)),690,"")))),
"")</f>
        <v>440</v>
      </c>
    </row>
    <row r="2082" spans="1:7" x14ac:dyDescent="0.25">
      <c r="A2082">
        <v>12263899</v>
      </c>
      <c r="B2082" t="str">
        <f>VLOOKUP(A2082,Planilha2!B:C,2,0)</f>
        <v>INVERSOR CFW701E80P0T5NB20C3</v>
      </c>
      <c r="C2082" t="s">
        <v>3170</v>
      </c>
      <c r="D2082" t="str">
        <f>VLOOKUP(A2082,Planilha2!B:H,7,0)</f>
        <v>OBSOLETOS DRIVES</v>
      </c>
      <c r="E2082" s="5">
        <v>65000</v>
      </c>
      <c r="F2082" t="str">
        <f>IFERROR(
IF(ISNUMBER(FIND("CFW110",B2082)),
VALUE(MID(B2082,FIND("CFW110",B2082)+6,FIND("T",B2082,FIND("CFW110",B2082))-(FIND("CFW110",B2082)+6))),
IF(ISNUMBER(FIND("D",B2082)),
VALUE(SUBSTITUTE(MID(B2082,FIND("D",B2082)+1,FIND("T",B2082,FIND("D",B2082))-(FIND("D",B2082)+1)),"P",",")),
IF(ISNUMBER(FIND("CFW5",B2082)),
VALUE(MID(B2082,
IF(ISNUMBER(FIND("F",B2082)),FIND("F",B2082)+1,FIND("G",B2082)+1),
FIND("T",B2082)-(IF(ISNUMBER(FIND("F",B2082)),FIND("F",B2082)+1,FIND("G",B2082)+1))
)),
VALUE(MID(B2082,FIND("E0",B2082)+2,FIND("T",B2082,FIND("E0",B2082))-(FIND("E0",B2082)+2)))
))),"")</f>
        <v/>
      </c>
      <c r="G2082">
        <f>IFERROR(
IF(ISNUMBER(FIND("T2",B2082)),220,
IF(ISNUMBER(FIND("T4",B2082)),440,
IF(ISNUMBER(FIND("T5",B2082)),575,
IF(ISNUMBER(FIND("T6",B2082)),690,"")))),
"")</f>
        <v>575</v>
      </c>
    </row>
    <row r="2083" spans="1:7" x14ac:dyDescent="0.25">
      <c r="A2083">
        <v>12263877</v>
      </c>
      <c r="B2083" t="str">
        <f>VLOOKUP(A2083,Planilha2!B:C,2,0)</f>
        <v>INVERSOR CFW701E80P0T5NBN1C3</v>
      </c>
      <c r="C2083" t="s">
        <v>3170</v>
      </c>
      <c r="D2083" t="str">
        <f>VLOOKUP(A2083,Planilha2!B:H,7,0)</f>
        <v>OBSOLETOS DRIVES</v>
      </c>
      <c r="E2083" s="5">
        <v>65000</v>
      </c>
      <c r="F2083" t="str">
        <f>IFERROR(
IF(ISNUMBER(FIND("CFW110",B2083)),
VALUE(MID(B2083,FIND("CFW110",B2083)+6,FIND("T",B2083,FIND("CFW110",B2083))-(FIND("CFW110",B2083)+6))),
IF(ISNUMBER(FIND("D",B2083)),
VALUE(SUBSTITUTE(MID(B2083,FIND("D",B2083)+1,FIND("T",B2083,FIND("D",B2083))-(FIND("D",B2083)+1)),"P",",")),
IF(ISNUMBER(FIND("CFW5",B2083)),
VALUE(MID(B2083,
IF(ISNUMBER(FIND("F",B2083)),FIND("F",B2083)+1,FIND("G",B2083)+1),
FIND("T",B2083)-(IF(ISNUMBER(FIND("F",B2083)),FIND("F",B2083)+1,FIND("G",B2083)+1))
)),
VALUE(MID(B2083,FIND("E0",B2083)+2,FIND("T",B2083,FIND("E0",B2083))-(FIND("E0",B2083)+2)))
))),"")</f>
        <v/>
      </c>
      <c r="G2083">
        <f>IFERROR(
IF(ISNUMBER(FIND("T2",B2083)),220,
IF(ISNUMBER(FIND("T4",B2083)),440,
IF(ISNUMBER(FIND("T5",B2083)),575,
IF(ISNUMBER(FIND("T6",B2083)),690,"")))),
"")</f>
        <v>575</v>
      </c>
    </row>
    <row r="2084" spans="1:7" x14ac:dyDescent="0.25">
      <c r="A2084">
        <v>11990299</v>
      </c>
      <c r="B2084" t="str">
        <f>VLOOKUP(A2084,Planilha2!B:C,2,0)</f>
        <v>INVERSOR NACFW110150T6ON1NBYZ</v>
      </c>
      <c r="C2084" t="s">
        <v>3170</v>
      </c>
      <c r="D2084" t="str">
        <f>VLOOKUP(A2084,Planilha2!B:H,7,0)</f>
        <v>LINHA G1</v>
      </c>
      <c r="E2084" s="5">
        <v>60860</v>
      </c>
      <c r="F2084">
        <f>IFERROR(
IF(ISNUMBER(FIND("CFW110",B2084)),
VALUE(MID(B2084,FIND("CFW110",B2084)+6,FIND("T",B2084,FIND("CFW110",B2084))-(FIND("CFW110",B2084)+6))),
IF(ISNUMBER(FIND("D",B2084)),
VALUE(SUBSTITUTE(MID(B2084,FIND("D",B2084)+1,FIND("T",B2084,FIND("D",B2084))-(FIND("D",B2084)+1)),"P",",")),
IF(ISNUMBER(FIND("CFW5",B2084)),
VALUE(MID(B2084,
IF(ISNUMBER(FIND("F",B2084)),FIND("F",B2084)+1,FIND("G",B2084)+1),
FIND("T",B2084)-(IF(ISNUMBER(FIND("F",B2084)),FIND("F",B2084)+1,FIND("G",B2084)+1))
)),
VALUE(MID(B2084,FIND("E0",B2084)+2,FIND("T",B2084,FIND("E0",B2084))-(FIND("E0",B2084)+2)))
))),"")</f>
        <v>150</v>
      </c>
      <c r="G2084">
        <f>IFERROR(
IF(ISNUMBER(FIND("T2",B2084)),220,
IF(ISNUMBER(FIND("T4",B2084)),440,
IF(ISNUMBER(FIND("T5",B2084)),575,
IF(ISNUMBER(FIND("T6",B2084)),690,"")))),
"")</f>
        <v>690</v>
      </c>
    </row>
    <row r="2085" spans="1:7" x14ac:dyDescent="0.25">
      <c r="A2085">
        <v>11988650</v>
      </c>
      <c r="B2085" t="str">
        <f>VLOOKUP(A2085,Planilha2!B:C,2,0)</f>
        <v>INVERSOR SACFW110080T6OYZ</v>
      </c>
      <c r="C2085" t="s">
        <v>3170</v>
      </c>
      <c r="D2085" t="str">
        <f>VLOOKUP(A2085,Planilha2!B:H,7,0)</f>
        <v>LINHA G1</v>
      </c>
      <c r="E2085" s="5">
        <v>60360</v>
      </c>
      <c r="F2085">
        <f>IFERROR(
IF(ISNUMBER(FIND("CFW110",B2085)),
VALUE(MID(B2085,FIND("CFW110",B2085)+6,FIND("T",B2085,FIND("CFW110",B2085))-(FIND("CFW110",B2085)+6))),
IF(ISNUMBER(FIND("D",B2085)),
VALUE(SUBSTITUTE(MID(B2085,FIND("D",B2085)+1,FIND("T",B2085,FIND("D",B2085))-(FIND("D",B2085)+1)),"P",",")),
IF(ISNUMBER(FIND("CFW5",B2085)),
VALUE(MID(B2085,
IF(ISNUMBER(FIND("F",B2085)),FIND("F",B2085)+1,FIND("G",B2085)+1),
FIND("T",B2085)-(IF(ISNUMBER(FIND("F",B2085)),FIND("F",B2085)+1,FIND("G",B2085)+1))
)),
VALUE(MID(B2085,FIND("E0",B2085)+2,FIND("T",B2085,FIND("E0",B2085))-(FIND("E0",B2085)+2)))
))),"")</f>
        <v>80</v>
      </c>
      <c r="G2085">
        <f>IFERROR(
IF(ISNUMBER(FIND("T2",B2085)),220,
IF(ISNUMBER(FIND("T4",B2085)),440,
IF(ISNUMBER(FIND("T5",B2085)),575,
IF(ISNUMBER(FIND("T6",B2085)),690,"")))),
"")</f>
        <v>690</v>
      </c>
    </row>
    <row r="2086" spans="1:7" x14ac:dyDescent="0.25">
      <c r="A2086">
        <v>12313132</v>
      </c>
      <c r="B2086" t="str">
        <f>VLOOKUP(A2086,Planilha2!B:C,2,0)</f>
        <v>INVERSOR BRCFW110142T4OYS4Z</v>
      </c>
      <c r="C2086" t="s">
        <v>3170</v>
      </c>
      <c r="D2086" t="str">
        <f>VLOOKUP(A2086,Planilha2!B:H,7,0)</f>
        <v>LINHA G1</v>
      </c>
      <c r="E2086" s="5">
        <v>64210</v>
      </c>
      <c r="F2086">
        <f>IFERROR(
IF(ISNUMBER(FIND("CFW110",B2086)),
VALUE(MID(B2086,FIND("CFW110",B2086)+6,FIND("T",B2086,FIND("CFW110",B2086))-(FIND("CFW110",B2086)+6))),
IF(ISNUMBER(FIND("D",B2086)),
VALUE(SUBSTITUTE(MID(B2086,FIND("D",B2086)+1,FIND("T",B2086,FIND("D",B2086))-(FIND("D",B2086)+1)),"P",",")),
IF(ISNUMBER(FIND("CFW5",B2086)),
VALUE(MID(B2086,
IF(ISNUMBER(FIND("F",B2086)),FIND("F",B2086)+1,FIND("G",B2086)+1),
FIND("T",B2086)-(IF(ISNUMBER(FIND("F",B2086)),FIND("F",B2086)+1,FIND("G",B2086)+1))
)),
VALUE(MID(B2086,FIND("E0",B2086)+2,FIND("T",B2086,FIND("E0",B2086))-(FIND("E0",B2086)+2)))
))),"")</f>
        <v>142</v>
      </c>
      <c r="G2086">
        <f>IFERROR(
IF(ISNUMBER(FIND("T2",B2086)),220,
IF(ISNUMBER(FIND("T4",B2086)),440,
IF(ISNUMBER(FIND("T5",B2086)),575,
IF(ISNUMBER(FIND("T6",B2086)),690,"")))),
"")</f>
        <v>440</v>
      </c>
    </row>
    <row r="2087" spans="1:7" x14ac:dyDescent="0.25">
      <c r="A2087">
        <v>12551189</v>
      </c>
      <c r="B2087" t="str">
        <f>VLOOKUP(A2087,Planilha2!B:C,2,0)</f>
        <v>INVERSOR SACFW110170T6ORBZ</v>
      </c>
      <c r="C2087" t="s">
        <v>3170</v>
      </c>
      <c r="D2087" t="str">
        <f>VLOOKUP(A2087,Planilha2!B:H,7,0)</f>
        <v>LINHA G3</v>
      </c>
      <c r="E2087" s="5">
        <v>130000</v>
      </c>
      <c r="F2087">
        <f>IFERROR(
IF(ISNUMBER(FIND("CFW110",B2087)),
VALUE(MID(B2087,FIND("CFW110",B2087)+6,FIND("T",B2087,FIND("CFW110",B2087))-(FIND("CFW110",B2087)+6))),
IF(ISNUMBER(FIND("D",B2087)),
VALUE(SUBSTITUTE(MID(B2087,FIND("D",B2087)+1,FIND("T",B2087,FIND("D",B2087))-(FIND("D",B2087)+1)),"P",",")),
IF(ISNUMBER(FIND("CFW5",B2087)),
VALUE(MID(B2087,
IF(ISNUMBER(FIND("F",B2087)),FIND("F",B2087)+1,FIND("G",B2087)+1),
FIND("T",B2087)-(IF(ISNUMBER(FIND("F",B2087)),FIND("F",B2087)+1,FIND("G",B2087)+1))
)),
VALUE(MID(B2087,FIND("E0",B2087)+2,FIND("T",B2087,FIND("E0",B2087))-(FIND("E0",B2087)+2)))
))),"")</f>
        <v>170</v>
      </c>
      <c r="G2087">
        <f>IFERROR(
IF(ISNUMBER(FIND("T2",B2087)),220,
IF(ISNUMBER(FIND("T4",B2087)),440,
IF(ISNUMBER(FIND("T5",B2087)),575,
IF(ISNUMBER(FIND("T6",B2087)),690,"")))),
"")</f>
        <v>690</v>
      </c>
    </row>
    <row r="2088" spans="1:7" x14ac:dyDescent="0.25">
      <c r="A2088">
        <v>12551190</v>
      </c>
      <c r="B2088" t="str">
        <f>VLOOKUP(A2088,Planilha2!B:C,2,0)</f>
        <v>INVERSOR SACFW110216T6ORBZ</v>
      </c>
      <c r="C2088" t="s">
        <v>3170</v>
      </c>
      <c r="D2088" t="str">
        <f>VLOOKUP(A2088,Planilha2!B:H,7,0)</f>
        <v>LINHA G3</v>
      </c>
      <c r="E2088" s="5">
        <v>130000</v>
      </c>
      <c r="F2088">
        <f>IFERROR(
IF(ISNUMBER(FIND("CFW110",B2088)),
VALUE(MID(B2088,FIND("CFW110",B2088)+6,FIND("T",B2088,FIND("CFW110",B2088))-(FIND("CFW110",B2088)+6))),
IF(ISNUMBER(FIND("D",B2088)),
VALUE(SUBSTITUTE(MID(B2088,FIND("D",B2088)+1,FIND("T",B2088,FIND("D",B2088))-(FIND("D",B2088)+1)),"P",",")),
IF(ISNUMBER(FIND("CFW5",B2088)),
VALUE(MID(B2088,
IF(ISNUMBER(FIND("F",B2088)),FIND("F",B2088)+1,FIND("G",B2088)+1),
FIND("T",B2088)-(IF(ISNUMBER(FIND("F",B2088)),FIND("F",B2088)+1,FIND("G",B2088)+1))
)),
VALUE(MID(B2088,FIND("E0",B2088)+2,FIND("T",B2088,FIND("E0",B2088))-(FIND("E0",B2088)+2)))
))),"")</f>
        <v>216</v>
      </c>
      <c r="G2088">
        <f>IFERROR(
IF(ISNUMBER(FIND("T2",B2088)),220,
IF(ISNUMBER(FIND("T4",B2088)),440,
IF(ISNUMBER(FIND("T5",B2088)),575,
IF(ISNUMBER(FIND("T6",B2088)),690,"")))),
"")</f>
        <v>690</v>
      </c>
    </row>
    <row r="2089" spans="1:7" x14ac:dyDescent="0.25">
      <c r="A2089">
        <v>12551191</v>
      </c>
      <c r="B2089" t="str">
        <f>VLOOKUP(A2089,Planilha2!B:C,2,0)</f>
        <v>INVERSOR SACFW110289T6ORBZ</v>
      </c>
      <c r="C2089" t="s">
        <v>3170</v>
      </c>
      <c r="D2089" t="str">
        <f>VLOOKUP(A2089,Planilha2!B:H,7,0)</f>
        <v>LINHA G3</v>
      </c>
      <c r="E2089" s="5">
        <v>130000</v>
      </c>
      <c r="F2089">
        <f>IFERROR(
IF(ISNUMBER(FIND("CFW110",B2089)),
VALUE(MID(B2089,FIND("CFW110",B2089)+6,FIND("T",B2089,FIND("CFW110",B2089))-(FIND("CFW110",B2089)+6))),
IF(ISNUMBER(FIND("D",B2089)),
VALUE(SUBSTITUTE(MID(B2089,FIND("D",B2089)+1,FIND("T",B2089,FIND("D",B2089))-(FIND("D",B2089)+1)),"P",",")),
IF(ISNUMBER(FIND("CFW5",B2089)),
VALUE(MID(B2089,
IF(ISNUMBER(FIND("F",B2089)),FIND("F",B2089)+1,FIND("G",B2089)+1),
FIND("T",B2089)-(IF(ISNUMBER(FIND("F",B2089)),FIND("F",B2089)+1,FIND("G",B2089)+1))
)),
VALUE(MID(B2089,FIND("E0",B2089)+2,FIND("T",B2089,FIND("E0",B2089))-(FIND("E0",B2089)+2)))
))),"")</f>
        <v>289</v>
      </c>
      <c r="G2089">
        <f>IFERROR(
IF(ISNUMBER(FIND("T2",B2089)),220,
IF(ISNUMBER(FIND("T4",B2089)),440,
IF(ISNUMBER(FIND("T5",B2089)),575,
IF(ISNUMBER(FIND("T6",B2089)),690,"")))),
"")</f>
        <v>690</v>
      </c>
    </row>
    <row r="2090" spans="1:7" x14ac:dyDescent="0.25">
      <c r="A2090">
        <v>12575636</v>
      </c>
      <c r="B2090" t="str">
        <f>VLOOKUP(A2090,Planilha2!B:C,2,0)</f>
        <v>INVERSOR SACFW110216T6ORBWZ</v>
      </c>
      <c r="C2090" t="s">
        <v>3170</v>
      </c>
      <c r="D2090" t="str">
        <f>VLOOKUP(A2090,Planilha2!B:H,7,0)</f>
        <v>LINHA G3</v>
      </c>
      <c r="E2090" s="5">
        <v>130000</v>
      </c>
      <c r="F2090">
        <f>IFERROR(
IF(ISNUMBER(FIND("CFW110",B2090)),
VALUE(MID(B2090,FIND("CFW110",B2090)+6,FIND("T",B2090,FIND("CFW110",B2090))-(FIND("CFW110",B2090)+6))),
IF(ISNUMBER(FIND("D",B2090)),
VALUE(SUBSTITUTE(MID(B2090,FIND("D",B2090)+1,FIND("T",B2090,FIND("D",B2090))-(FIND("D",B2090)+1)),"P",",")),
IF(ISNUMBER(FIND("CFW5",B2090)),
VALUE(MID(B2090,
IF(ISNUMBER(FIND("F",B2090)),FIND("F",B2090)+1,FIND("G",B2090)+1),
FIND("T",B2090)-(IF(ISNUMBER(FIND("F",B2090)),FIND("F",B2090)+1,FIND("G",B2090)+1))
)),
VALUE(MID(B2090,FIND("E0",B2090)+2,FIND("T",B2090,FIND("E0",B2090))-(FIND("E0",B2090)+2)))
))),"")</f>
        <v>216</v>
      </c>
      <c r="G2090">
        <f>IFERROR(
IF(ISNUMBER(FIND("T2",B2090)),220,
IF(ISNUMBER(FIND("T4",B2090)),440,
IF(ISNUMBER(FIND("T5",B2090)),575,
IF(ISNUMBER(FIND("T6",B2090)),690,"")))),
"")</f>
        <v>690</v>
      </c>
    </row>
    <row r="2091" spans="1:7" x14ac:dyDescent="0.25">
      <c r="A2091">
        <v>11994790</v>
      </c>
      <c r="B2091" t="str">
        <f>VLOOKUP(A2091,Planilha2!B:C,2,0)</f>
        <v>INVERSOR BRCFW110063T6ONBZ</v>
      </c>
      <c r="C2091" t="s">
        <v>3170</v>
      </c>
      <c r="D2091" t="str">
        <f>VLOOKUP(A2091,Planilha2!B:H,7,0)</f>
        <v>LINHA G1</v>
      </c>
      <c r="E2091" s="5">
        <v>65178</v>
      </c>
      <c r="F2091">
        <f>IFERROR(
IF(ISNUMBER(FIND("CFW110",B2091)),
VALUE(MID(B2091,FIND("CFW110",B2091)+6,FIND("T",B2091,FIND("CFW110",B2091))-(FIND("CFW110",B2091)+6))),
IF(ISNUMBER(FIND("D",B2091)),
VALUE(SUBSTITUTE(MID(B2091,FIND("D",B2091)+1,FIND("T",B2091,FIND("D",B2091))-(FIND("D",B2091)+1)),"P",",")),
IF(ISNUMBER(FIND("CFW5",B2091)),
VALUE(MID(B2091,
IF(ISNUMBER(FIND("F",B2091)),FIND("F",B2091)+1,FIND("G",B2091)+1),
FIND("T",B2091)-(IF(ISNUMBER(FIND("F",B2091)),FIND("F",B2091)+1,FIND("G",B2091)+1))
)),
VALUE(MID(B2091,FIND("E0",B2091)+2,FIND("T",B2091,FIND("E0",B2091))-(FIND("E0",B2091)+2)))
))),"")</f>
        <v>63</v>
      </c>
      <c r="G2091">
        <f>IFERROR(
IF(ISNUMBER(FIND("T2",B2091)),220,
IF(ISNUMBER(FIND("T4",B2091)),440,
IF(ISNUMBER(FIND("T5",B2091)),575,
IF(ISNUMBER(FIND("T6",B2091)),690,"")))),
"")</f>
        <v>690</v>
      </c>
    </row>
    <row r="2092" spans="1:7" x14ac:dyDescent="0.25">
      <c r="A2092">
        <v>12646062</v>
      </c>
      <c r="B2092" t="str">
        <f>VLOOKUP(A2092,Planilha2!B:C,2,0)</f>
        <v>INVERSOR BRCFW110105T4OS4Z</v>
      </c>
      <c r="C2092" t="s">
        <v>3170</v>
      </c>
      <c r="D2092" t="str">
        <f>VLOOKUP(A2092,Planilha2!B:H,7,0)</f>
        <v>LINHA G1</v>
      </c>
      <c r="E2092" s="5">
        <v>60360</v>
      </c>
      <c r="F2092">
        <f>IFERROR(
IF(ISNUMBER(FIND("CFW110",B2092)),
VALUE(MID(B2092,FIND("CFW110",B2092)+6,FIND("T",B2092,FIND("CFW110",B2092))-(FIND("CFW110",B2092)+6))),
IF(ISNUMBER(FIND("D",B2092)),
VALUE(SUBSTITUTE(MID(B2092,FIND("D",B2092)+1,FIND("T",B2092,FIND("D",B2092))-(FIND("D",B2092)+1)),"P",",")),
IF(ISNUMBER(FIND("CFW5",B2092)),
VALUE(MID(B2092,
IF(ISNUMBER(FIND("F",B2092)),FIND("F",B2092)+1,FIND("G",B2092)+1),
FIND("T",B2092)-(IF(ISNUMBER(FIND("F",B2092)),FIND("F",B2092)+1,FIND("G",B2092)+1))
)),
VALUE(MID(B2092,FIND("E0",B2092)+2,FIND("T",B2092,FIND("E0",B2092))-(FIND("E0",B2092)+2)))
))),"")</f>
        <v>105</v>
      </c>
      <c r="G2092">
        <f>IFERROR(
IF(ISNUMBER(FIND("T2",B2092)),220,
IF(ISNUMBER(FIND("T4",B2092)),440,
IF(ISNUMBER(FIND("T5",B2092)),575,
IF(ISNUMBER(FIND("T6",B2092)),690,"")))),
"")</f>
        <v>440</v>
      </c>
    </row>
    <row r="2093" spans="1:7" x14ac:dyDescent="0.25">
      <c r="A2093">
        <v>12646707</v>
      </c>
      <c r="B2093" t="str">
        <f>VLOOKUP(A2093,Planilha2!B:C,2,0)</f>
        <v>INVERSOR BRCFW110180T4ODBYZ</v>
      </c>
      <c r="C2093" t="s">
        <v>3170</v>
      </c>
      <c r="D2093" t="str">
        <f>VLOOKUP(A2093,Planilha2!B:H,7,0)</f>
        <v>LINHA G1</v>
      </c>
      <c r="E2093" s="5">
        <v>60360</v>
      </c>
      <c r="F2093">
        <f>IFERROR(
IF(ISNUMBER(FIND("CFW110",B2093)),
VALUE(MID(B2093,FIND("CFW110",B2093)+6,FIND("T",B2093,FIND("CFW110",B2093))-(FIND("CFW110",B2093)+6))),
IF(ISNUMBER(FIND("D",B2093)),
VALUE(SUBSTITUTE(MID(B2093,FIND("D",B2093)+1,FIND("T",B2093,FIND("D",B2093))-(FIND("D",B2093)+1)),"P",",")),
IF(ISNUMBER(FIND("CFW5",B2093)),
VALUE(MID(B2093,
IF(ISNUMBER(FIND("F",B2093)),FIND("F",B2093)+1,FIND("G",B2093)+1),
FIND("T",B2093)-(IF(ISNUMBER(FIND("F",B2093)),FIND("F",B2093)+1,FIND("G",B2093)+1))
)),
VALUE(MID(B2093,FIND("E0",B2093)+2,FIND("T",B2093,FIND("E0",B2093))-(FIND("E0",B2093)+2)))
))),"")</f>
        <v>180</v>
      </c>
      <c r="G2093">
        <f>IFERROR(
IF(ISNUMBER(FIND("T2",B2093)),220,
IF(ISNUMBER(FIND("T4",B2093)),440,
IF(ISNUMBER(FIND("T5",B2093)),575,
IF(ISNUMBER(FIND("T6",B2093)),690,"")))),
"")</f>
        <v>440</v>
      </c>
    </row>
    <row r="2094" spans="1:7" x14ac:dyDescent="0.25">
      <c r="A2094">
        <v>12646705</v>
      </c>
      <c r="B2094" t="str">
        <f>VLOOKUP(A2094,Planilha2!B:C,2,0)</f>
        <v>INVERSOR BRCFW110105T4ODBYZ</v>
      </c>
      <c r="C2094" t="s">
        <v>3170</v>
      </c>
      <c r="D2094" t="str">
        <f>VLOOKUP(A2094,Planilha2!B:H,7,0)</f>
        <v>LINHA G1</v>
      </c>
      <c r="E2094" s="5">
        <v>60360</v>
      </c>
      <c r="F2094">
        <f>IFERROR(
IF(ISNUMBER(FIND("CFW110",B2094)),
VALUE(MID(B2094,FIND("CFW110",B2094)+6,FIND("T",B2094,FIND("CFW110",B2094))-(FIND("CFW110",B2094)+6))),
IF(ISNUMBER(FIND("D",B2094)),
VALUE(SUBSTITUTE(MID(B2094,FIND("D",B2094)+1,FIND("T",B2094,FIND("D",B2094))-(FIND("D",B2094)+1)),"P",",")),
IF(ISNUMBER(FIND("CFW5",B2094)),
VALUE(MID(B2094,
IF(ISNUMBER(FIND("F",B2094)),FIND("F",B2094)+1,FIND("G",B2094)+1),
FIND("T",B2094)-(IF(ISNUMBER(FIND("F",B2094)),FIND("F",B2094)+1,FIND("G",B2094)+1))
)),
VALUE(MID(B2094,FIND("E0",B2094)+2,FIND("T",B2094,FIND("E0",B2094))-(FIND("E0",B2094)+2)))
))),"")</f>
        <v>105</v>
      </c>
      <c r="G2094">
        <f>IFERROR(
IF(ISNUMBER(FIND("T2",B2094)),220,
IF(ISNUMBER(FIND("T4",B2094)),440,
IF(ISNUMBER(FIND("T5",B2094)),575,
IF(ISNUMBER(FIND("T6",B2094)),690,"")))),
"")</f>
        <v>440</v>
      </c>
    </row>
    <row r="2095" spans="1:7" x14ac:dyDescent="0.25">
      <c r="A2095">
        <v>11988619</v>
      </c>
      <c r="B2095" t="str">
        <f>VLOOKUP(A2095,Planilha2!B:C,2,0)</f>
        <v>INVERSOR SACFW110053T6OYZ</v>
      </c>
      <c r="C2095" t="s">
        <v>3170</v>
      </c>
      <c r="D2095" t="str">
        <f>VLOOKUP(A2095,Planilha2!B:H,7,0)</f>
        <v>LINHA G1</v>
      </c>
      <c r="E2095" s="5">
        <v>60360</v>
      </c>
      <c r="F2095">
        <f>IFERROR(
IF(ISNUMBER(FIND("CFW110",B2095)),
VALUE(MID(B2095,FIND("CFW110",B2095)+6,FIND("T",B2095,FIND("CFW110",B2095))-(FIND("CFW110",B2095)+6))),
IF(ISNUMBER(FIND("D",B2095)),
VALUE(SUBSTITUTE(MID(B2095,FIND("D",B2095)+1,FIND("T",B2095,FIND("D",B2095))-(FIND("D",B2095)+1)),"P",",")),
IF(ISNUMBER(FIND("CFW5",B2095)),
VALUE(MID(B2095,
IF(ISNUMBER(FIND("F",B2095)),FIND("F",B2095)+1,FIND("G",B2095)+1),
FIND("T",B2095)-(IF(ISNUMBER(FIND("F",B2095)),FIND("F",B2095)+1,FIND("G",B2095)+1))
)),
VALUE(MID(B2095,FIND("E0",B2095)+2,FIND("T",B2095,FIND("E0",B2095))-(FIND("E0",B2095)+2)))
))),"")</f>
        <v>53</v>
      </c>
      <c r="G2095">
        <f>IFERROR(
IF(ISNUMBER(FIND("T2",B2095)),220,
IF(ISNUMBER(FIND("T4",B2095)),440,
IF(ISNUMBER(FIND("T5",B2095)),575,
IF(ISNUMBER(FIND("T6",B2095)),690,"")))),
"")</f>
        <v>690</v>
      </c>
    </row>
    <row r="2096" spans="1:7" x14ac:dyDescent="0.25">
      <c r="A2096">
        <v>11989348</v>
      </c>
      <c r="B2096" t="str">
        <f>VLOOKUP(A2096,Planilha2!B:C,2,0)</f>
        <v>INVERSOR EUCFW110053T6OYZ</v>
      </c>
      <c r="C2096" t="s">
        <v>3170</v>
      </c>
      <c r="D2096" t="str">
        <f>VLOOKUP(A2096,Planilha2!B:H,7,0)</f>
        <v>LINHA G1</v>
      </c>
      <c r="E2096" s="5">
        <v>65268</v>
      </c>
      <c r="F2096">
        <f>IFERROR(
IF(ISNUMBER(FIND("CFW110",B2096)),
VALUE(MID(B2096,FIND("CFW110",B2096)+6,FIND("T",B2096,FIND("CFW110",B2096))-(FIND("CFW110",B2096)+6))),
IF(ISNUMBER(FIND("D",B2096)),
VALUE(SUBSTITUTE(MID(B2096,FIND("D",B2096)+1,FIND("T",B2096,FIND("D",B2096))-(FIND("D",B2096)+1)),"P",",")),
IF(ISNUMBER(FIND("CFW5",B2096)),
VALUE(MID(B2096,
IF(ISNUMBER(FIND("F",B2096)),FIND("F",B2096)+1,FIND("G",B2096)+1),
FIND("T",B2096)-(IF(ISNUMBER(FIND("F",B2096)),FIND("F",B2096)+1,FIND("G",B2096)+1))
)),
VALUE(MID(B2096,FIND("E0",B2096)+2,FIND("T",B2096,FIND("E0",B2096))-(FIND("E0",B2096)+2)))
))),"")</f>
        <v>53</v>
      </c>
      <c r="G2096">
        <f>IFERROR(
IF(ISNUMBER(FIND("T2",B2096)),220,
IF(ISNUMBER(FIND("T4",B2096)),440,
IF(ISNUMBER(FIND("T5",B2096)),575,
IF(ISNUMBER(FIND("T6",B2096)),690,"")))),
"")</f>
        <v>690</v>
      </c>
    </row>
    <row r="2097" spans="1:7" x14ac:dyDescent="0.25">
      <c r="A2097">
        <v>12697291</v>
      </c>
      <c r="B2097" t="str">
        <f>VLOOKUP(A2097,Planilha2!B:C,2,0)</f>
        <v>INVERSOR BRCFW110142T4OYWZ</v>
      </c>
      <c r="C2097" t="s">
        <v>3170</v>
      </c>
      <c r="D2097" t="str">
        <f>VLOOKUP(A2097,Planilha2!B:H,7,0)</f>
        <v>LINHA G1</v>
      </c>
      <c r="E2097" s="5">
        <v>60360</v>
      </c>
      <c r="F2097">
        <f>IFERROR(
IF(ISNUMBER(FIND("CFW110",B2097)),
VALUE(MID(B2097,FIND("CFW110",B2097)+6,FIND("T",B2097,FIND("CFW110",B2097))-(FIND("CFW110",B2097)+6))),
IF(ISNUMBER(FIND("D",B2097)),
VALUE(SUBSTITUTE(MID(B2097,FIND("D",B2097)+1,FIND("T",B2097,FIND("D",B2097))-(FIND("D",B2097)+1)),"P",",")),
IF(ISNUMBER(FIND("CFW5",B2097)),
VALUE(MID(B2097,
IF(ISNUMBER(FIND("F",B2097)),FIND("F",B2097)+1,FIND("G",B2097)+1),
FIND("T",B2097)-(IF(ISNUMBER(FIND("F",B2097)),FIND("F",B2097)+1,FIND("G",B2097)+1))
)),
VALUE(MID(B2097,FIND("E0",B2097)+2,FIND("T",B2097,FIND("E0",B2097))-(FIND("E0",B2097)+2)))
))),"")</f>
        <v>142</v>
      </c>
      <c r="G2097">
        <f>IFERROR(
IF(ISNUMBER(FIND("T2",B2097)),220,
IF(ISNUMBER(FIND("T4",B2097)),440,
IF(ISNUMBER(FIND("T5",B2097)),575,
IF(ISNUMBER(FIND("T6",B2097)),690,"")))),
"")</f>
        <v>440</v>
      </c>
    </row>
    <row r="2098" spans="1:7" x14ac:dyDescent="0.25">
      <c r="A2098">
        <v>12713555</v>
      </c>
      <c r="B2098" t="str">
        <f>VLOOKUP(A2098,Planilha2!B:C,2,0)</f>
        <v>INVERSOR SACFW110080T6ONBYECZ</v>
      </c>
      <c r="C2098" t="s">
        <v>3170</v>
      </c>
      <c r="D2098" t="str">
        <f>VLOOKUP(A2098,Planilha2!B:H,7,0)</f>
        <v>LINHA G1</v>
      </c>
      <c r="E2098" t="s">
        <v>3172</v>
      </c>
      <c r="F2098">
        <f>IFERROR(
IF(ISNUMBER(FIND("CFW110",B2098)),
VALUE(MID(B2098,FIND("CFW110",B2098)+6,FIND("T",B2098,FIND("CFW110",B2098))-(FIND("CFW110",B2098)+6))),
IF(ISNUMBER(FIND("D",B2098)),
VALUE(SUBSTITUTE(MID(B2098,FIND("D",B2098)+1,FIND("T",B2098,FIND("D",B2098))-(FIND("D",B2098)+1)),"P",",")),
IF(ISNUMBER(FIND("CFW5",B2098)),
VALUE(MID(B2098,
IF(ISNUMBER(FIND("F",B2098)),FIND("F",B2098)+1,FIND("G",B2098)+1),
FIND("T",B2098)-(IF(ISNUMBER(FIND("F",B2098)),FIND("F",B2098)+1,FIND("G",B2098)+1))
)),
VALUE(MID(B2098,FIND("E0",B2098)+2,FIND("T",B2098,FIND("E0",B2098))-(FIND("E0",B2098)+2)))
))),"")</f>
        <v>80</v>
      </c>
      <c r="G2098">
        <f>IFERROR(
IF(ISNUMBER(FIND("T2",B2098)),220,
IF(ISNUMBER(FIND("T4",B2098)),440,
IF(ISNUMBER(FIND("T5",B2098)),575,
IF(ISNUMBER(FIND("T6",B2098)),690,"")))),
"")</f>
        <v>690</v>
      </c>
    </row>
    <row r="2099" spans="1:7" x14ac:dyDescent="0.25">
      <c r="A2099">
        <v>14403368</v>
      </c>
      <c r="B2099" t="str">
        <f>VLOOKUP(A2099,Planilha2!B:C,2,0)</f>
        <v>INVERSOR BRCFW110720T4ORBH1Z-UI</v>
      </c>
      <c r="C2099" t="s">
        <v>3170</v>
      </c>
      <c r="D2099" t="str">
        <f>VLOOKUP(A2099,Planilha2!B:H,7,0)</f>
        <v>LINHA G5</v>
      </c>
      <c r="E2099" s="5">
        <v>210368</v>
      </c>
      <c r="F2099">
        <f>IFERROR(
IF(ISNUMBER(FIND("CFW110",B2099)),
VALUE(MID(B2099,FIND("CFW110",B2099)+6,FIND("T",B2099,FIND("CFW110",B2099))-(FIND("CFW110",B2099)+6))),
IF(ISNUMBER(FIND("D",B2099)),
VALUE(SUBSTITUTE(MID(B2099,FIND("D",B2099)+1,FIND("T",B2099,FIND("D",B2099))-(FIND("D",B2099)+1)),"P",",")),
IF(ISNUMBER(FIND("CFW5",B2099)),
VALUE(MID(B2099,
IF(ISNUMBER(FIND("F",B2099)),FIND("F",B2099)+1,FIND("G",B2099)+1),
FIND("T",B2099)-(IF(ISNUMBER(FIND("F",B2099)),FIND("F",B2099)+1,FIND("G",B2099)+1))
)),
VALUE(MID(B2099,FIND("E0",B2099)+2,FIND("T",B2099,FIND("E0",B2099))-(FIND("E0",B2099)+2)))
))),"")</f>
        <v>720</v>
      </c>
      <c r="G2099">
        <f>IFERROR(
IF(ISNUMBER(FIND("T2",B2099)),220,
IF(ISNUMBER(FIND("T4",B2099)),440,
IF(ISNUMBER(FIND("T5",B2099)),575,
IF(ISNUMBER(FIND("T6",B2099)),690,"")))),
"")</f>
        <v>440</v>
      </c>
    </row>
    <row r="2100" spans="1:7" x14ac:dyDescent="0.25">
      <c r="A2100">
        <v>13541542</v>
      </c>
      <c r="B2100" t="str">
        <f>VLOOKUP(A2100,Planilha2!B:C,2,0)</f>
        <v>INVERSOR BRCFW110180T2O55Z</v>
      </c>
      <c r="C2100" t="s">
        <v>3170</v>
      </c>
      <c r="D2100" t="str">
        <f>VLOOKUP(A2100,Planilha2!B:H,7,0)</f>
        <v>LINHA E1</v>
      </c>
      <c r="E2100" s="5">
        <v>98020</v>
      </c>
      <c r="F2100">
        <f>IFERROR(
IF(ISNUMBER(FIND("CFW110",B2100)),
VALUE(MID(B2100,FIND("CFW110",B2100)+6,FIND("T",B2100,FIND("CFW110",B2100))-(FIND("CFW110",B2100)+6))),
IF(ISNUMBER(FIND("D",B2100)),
VALUE(SUBSTITUTE(MID(B2100,FIND("D",B2100)+1,FIND("T",B2100,FIND("D",B2100))-(FIND("D",B2100)+1)),"P",",")),
IF(ISNUMBER(FIND("CFW5",B2100)),
VALUE(MID(B2100,
IF(ISNUMBER(FIND("F",B2100)),FIND("F",B2100)+1,FIND("G",B2100)+1),
FIND("T",B2100)-(IF(ISNUMBER(FIND("F",B2100)),FIND("F",B2100)+1,FIND("G",B2100)+1))
)),
VALUE(MID(B2100,FIND("E0",B2100)+2,FIND("T",B2100,FIND("E0",B2100))-(FIND("E0",B2100)+2)))
))),"")</f>
        <v>180</v>
      </c>
      <c r="G2100">
        <f>IFERROR(
IF(ISNUMBER(FIND("T2",B2100)),220,
IF(ISNUMBER(FIND("T4",B2100)),440,
IF(ISNUMBER(FIND("T5",B2100)),575,
IF(ISNUMBER(FIND("T6",B2100)),690,"")))),
"")</f>
        <v>220</v>
      </c>
    </row>
    <row r="2101" spans="1:7" x14ac:dyDescent="0.25">
      <c r="A2101">
        <v>13541543</v>
      </c>
      <c r="B2101" t="str">
        <f>VLOOKUP(A2101,Planilha2!B:C,2,0)</f>
        <v>INVERSOR BRCFW110180T2O55DSZ</v>
      </c>
      <c r="C2101" t="s">
        <v>3170</v>
      </c>
      <c r="D2101" t="str">
        <f>VLOOKUP(A2101,Planilha2!B:H,7,0)</f>
        <v>LINHA E1</v>
      </c>
      <c r="E2101" s="5">
        <v>100300</v>
      </c>
      <c r="F2101">
        <f>IFERROR(
IF(ISNUMBER(FIND("CFW110",B2101)),
VALUE(MID(B2101,FIND("CFW110",B2101)+6,FIND("T",B2101,FIND("CFW110",B2101))-(FIND("CFW110",B2101)+6))),
IF(ISNUMBER(FIND("D",B2101)),
VALUE(SUBSTITUTE(MID(B2101,FIND("D",B2101)+1,FIND("T",B2101,FIND("D",B2101))-(FIND("D",B2101)+1)),"P",",")),
IF(ISNUMBER(FIND("CFW5",B2101)),
VALUE(MID(B2101,
IF(ISNUMBER(FIND("F",B2101)),FIND("F",B2101)+1,FIND("G",B2101)+1),
FIND("T",B2101)-(IF(ISNUMBER(FIND("F",B2101)),FIND("F",B2101)+1,FIND("G",B2101)+1))
)),
VALUE(MID(B2101,FIND("E0",B2101)+2,FIND("T",B2101,FIND("E0",B2101))-(FIND("E0",B2101)+2)))
))),"")</f>
        <v>180</v>
      </c>
      <c r="G2101">
        <f>IFERROR(
IF(ISNUMBER(FIND("T2",B2101)),220,
IF(ISNUMBER(FIND("T4",B2101)),440,
IF(ISNUMBER(FIND("T5",B2101)),575,
IF(ISNUMBER(FIND("T6",B2101)),690,"")))),
"")</f>
        <v>220</v>
      </c>
    </row>
    <row r="2102" spans="1:7" x14ac:dyDescent="0.25">
      <c r="A2102">
        <v>13541546</v>
      </c>
      <c r="B2102" t="str">
        <f>VLOOKUP(A2102,Planilha2!B:C,2,0)</f>
        <v>INVERSOR EUCFW110180T2O55Z</v>
      </c>
      <c r="C2102" t="s">
        <v>3170</v>
      </c>
      <c r="D2102" t="str">
        <f>VLOOKUP(A2102,Planilha2!B:H,7,0)</f>
        <v>LINHA E1</v>
      </c>
      <c r="E2102" s="5">
        <v>98200</v>
      </c>
      <c r="F2102">
        <f>IFERROR(
IF(ISNUMBER(FIND("CFW110",B2102)),
VALUE(MID(B2102,FIND("CFW110",B2102)+6,FIND("T",B2102,FIND("CFW110",B2102))-(FIND("CFW110",B2102)+6))),
IF(ISNUMBER(FIND("D",B2102)),
VALUE(SUBSTITUTE(MID(B2102,FIND("D",B2102)+1,FIND("T",B2102,FIND("D",B2102))-(FIND("D",B2102)+1)),"P",",")),
IF(ISNUMBER(FIND("CFW5",B2102)),
VALUE(MID(B2102,
IF(ISNUMBER(FIND("F",B2102)),FIND("F",B2102)+1,FIND("G",B2102)+1),
FIND("T",B2102)-(IF(ISNUMBER(FIND("F",B2102)),FIND("F",B2102)+1,FIND("G",B2102)+1))
)),
VALUE(MID(B2102,FIND("E0",B2102)+2,FIND("T",B2102,FIND("E0",B2102))-(FIND("E0",B2102)+2)))
))),"")</f>
        <v>180</v>
      </c>
      <c r="G2102">
        <f>IFERROR(
IF(ISNUMBER(FIND("T2",B2102)),220,
IF(ISNUMBER(FIND("T4",B2102)),440,
IF(ISNUMBER(FIND("T5",B2102)),575,
IF(ISNUMBER(FIND("T6",B2102)),690,"")))),
"")</f>
        <v>220</v>
      </c>
    </row>
    <row r="2103" spans="1:7" x14ac:dyDescent="0.25">
      <c r="A2103">
        <v>13541547</v>
      </c>
      <c r="B2103" t="str">
        <f>VLOOKUP(A2103,Planilha2!B:C,2,0)</f>
        <v>INVERSOR EUCFW110180T2O55DSZ</v>
      </c>
      <c r="C2103" t="s">
        <v>3170</v>
      </c>
      <c r="D2103" t="str">
        <f>VLOOKUP(A2103,Planilha2!B:H,7,0)</f>
        <v>LINHA E1</v>
      </c>
      <c r="E2103" s="5">
        <v>100300</v>
      </c>
      <c r="F2103">
        <f>IFERROR(
IF(ISNUMBER(FIND("CFW110",B2103)),
VALUE(MID(B2103,FIND("CFW110",B2103)+6,FIND("T",B2103,FIND("CFW110",B2103))-(FIND("CFW110",B2103)+6))),
IF(ISNUMBER(FIND("D",B2103)),
VALUE(SUBSTITUTE(MID(B2103,FIND("D",B2103)+1,FIND("T",B2103,FIND("D",B2103))-(FIND("D",B2103)+1)),"P",",")),
IF(ISNUMBER(FIND("CFW5",B2103)),
VALUE(MID(B2103,
IF(ISNUMBER(FIND("F",B2103)),FIND("F",B2103)+1,FIND("G",B2103)+1),
FIND("T",B2103)-(IF(ISNUMBER(FIND("F",B2103)),FIND("F",B2103)+1,FIND("G",B2103)+1))
)),
VALUE(MID(B2103,FIND("E0",B2103)+2,FIND("T",B2103,FIND("E0",B2103))-(FIND("E0",B2103)+2)))
))),"")</f>
        <v>180</v>
      </c>
      <c r="G2103">
        <f>IFERROR(
IF(ISNUMBER(FIND("T2",B2103)),220,
IF(ISNUMBER(FIND("T4",B2103)),440,
IF(ISNUMBER(FIND("T5",B2103)),575,
IF(ISNUMBER(FIND("T6",B2103)),690,"")))),
"")</f>
        <v>220</v>
      </c>
    </row>
    <row r="2104" spans="1:7" x14ac:dyDescent="0.25">
      <c r="A2104">
        <v>13541551</v>
      </c>
      <c r="B2104" t="str">
        <f>VLOOKUP(A2104,Planilha2!B:C,2,0)</f>
        <v>INVERSOR BRCFW110211T2O55Z</v>
      </c>
      <c r="C2104" t="s">
        <v>3170</v>
      </c>
      <c r="D2104" t="str">
        <f>VLOOKUP(A2104,Planilha2!B:H,7,0)</f>
        <v>LINHA E1</v>
      </c>
      <c r="E2104" s="5">
        <v>98200</v>
      </c>
      <c r="F2104">
        <f>IFERROR(
IF(ISNUMBER(FIND("CFW110",B2104)),
VALUE(MID(B2104,FIND("CFW110",B2104)+6,FIND("T",B2104,FIND("CFW110",B2104))-(FIND("CFW110",B2104)+6))),
IF(ISNUMBER(FIND("D",B2104)),
VALUE(SUBSTITUTE(MID(B2104,FIND("D",B2104)+1,FIND("T",B2104,FIND("D",B2104))-(FIND("D",B2104)+1)),"P",",")),
IF(ISNUMBER(FIND("CFW5",B2104)),
VALUE(MID(B2104,
IF(ISNUMBER(FIND("F",B2104)),FIND("F",B2104)+1,FIND("G",B2104)+1),
FIND("T",B2104)-(IF(ISNUMBER(FIND("F",B2104)),FIND("F",B2104)+1,FIND("G",B2104)+1))
)),
VALUE(MID(B2104,FIND("E0",B2104)+2,FIND("T",B2104,FIND("E0",B2104))-(FIND("E0",B2104)+2)))
))),"")</f>
        <v>211</v>
      </c>
      <c r="G2104">
        <f>IFERROR(
IF(ISNUMBER(FIND("T2",B2104)),220,
IF(ISNUMBER(FIND("T4",B2104)),440,
IF(ISNUMBER(FIND("T5",B2104)),575,
IF(ISNUMBER(FIND("T6",B2104)),690,"")))),
"")</f>
        <v>220</v>
      </c>
    </row>
    <row r="2105" spans="1:7" x14ac:dyDescent="0.25">
      <c r="A2105">
        <v>13541552</v>
      </c>
      <c r="B2105" t="str">
        <f>VLOOKUP(A2105,Planilha2!B:C,2,0)</f>
        <v>INVERSOR BRCFW110211T2O55DSZ</v>
      </c>
      <c r="C2105" t="s">
        <v>3170</v>
      </c>
      <c r="D2105" t="str">
        <f>VLOOKUP(A2105,Planilha2!B:H,7,0)</f>
        <v>LINHA E1</v>
      </c>
      <c r="E2105" s="5">
        <v>100300</v>
      </c>
      <c r="F2105">
        <f>IFERROR(
IF(ISNUMBER(FIND("CFW110",B2105)),
VALUE(MID(B2105,FIND("CFW110",B2105)+6,FIND("T",B2105,FIND("CFW110",B2105))-(FIND("CFW110",B2105)+6))),
IF(ISNUMBER(FIND("D",B2105)),
VALUE(SUBSTITUTE(MID(B2105,FIND("D",B2105)+1,FIND("T",B2105,FIND("D",B2105))-(FIND("D",B2105)+1)),"P",",")),
IF(ISNUMBER(FIND("CFW5",B2105)),
VALUE(MID(B2105,
IF(ISNUMBER(FIND("F",B2105)),FIND("F",B2105)+1,FIND("G",B2105)+1),
FIND("T",B2105)-(IF(ISNUMBER(FIND("F",B2105)),FIND("F",B2105)+1,FIND("G",B2105)+1))
)),
VALUE(MID(B2105,FIND("E0",B2105)+2,FIND("T",B2105,FIND("E0",B2105))-(FIND("E0",B2105)+2)))
))),"")</f>
        <v>211</v>
      </c>
      <c r="G2105">
        <f>IFERROR(
IF(ISNUMBER(FIND("T2",B2105)),220,
IF(ISNUMBER(FIND("T4",B2105)),440,
IF(ISNUMBER(FIND("T5",B2105)),575,
IF(ISNUMBER(FIND("T6",B2105)),690,"")))),
"")</f>
        <v>220</v>
      </c>
    </row>
    <row r="2106" spans="1:7" x14ac:dyDescent="0.25">
      <c r="A2106">
        <v>13541556</v>
      </c>
      <c r="B2106" t="str">
        <f>VLOOKUP(A2106,Planilha2!B:C,2,0)</f>
        <v>INVERSOR EUCFW110211T2O55Z</v>
      </c>
      <c r="C2106" t="s">
        <v>3170</v>
      </c>
      <c r="D2106" t="str">
        <f>VLOOKUP(A2106,Planilha2!B:H,7,0)</f>
        <v>LINHA E1</v>
      </c>
      <c r="E2106" s="5">
        <v>98020</v>
      </c>
      <c r="F2106">
        <f>IFERROR(
IF(ISNUMBER(FIND("CFW110",B2106)),
VALUE(MID(B2106,FIND("CFW110",B2106)+6,FIND("T",B2106,FIND("CFW110",B2106))-(FIND("CFW110",B2106)+6))),
IF(ISNUMBER(FIND("D",B2106)),
VALUE(SUBSTITUTE(MID(B2106,FIND("D",B2106)+1,FIND("T",B2106,FIND("D",B2106))-(FIND("D",B2106)+1)),"P",",")),
IF(ISNUMBER(FIND("CFW5",B2106)),
VALUE(MID(B2106,
IF(ISNUMBER(FIND("F",B2106)),FIND("F",B2106)+1,FIND("G",B2106)+1),
FIND("T",B2106)-(IF(ISNUMBER(FIND("F",B2106)),FIND("F",B2106)+1,FIND("G",B2106)+1))
)),
VALUE(MID(B2106,FIND("E0",B2106)+2,FIND("T",B2106,FIND("E0",B2106))-(FIND("E0",B2106)+2)))
))),"")</f>
        <v>211</v>
      </c>
      <c r="G2106">
        <f>IFERROR(
IF(ISNUMBER(FIND("T2",B2106)),220,
IF(ISNUMBER(FIND("T4",B2106)),440,
IF(ISNUMBER(FIND("T5",B2106)),575,
IF(ISNUMBER(FIND("T6",B2106)),690,"")))),
"")</f>
        <v>220</v>
      </c>
    </row>
    <row r="2107" spans="1:7" x14ac:dyDescent="0.25">
      <c r="A2107">
        <v>13541579</v>
      </c>
      <c r="B2107" t="str">
        <f>VLOOKUP(A2107,Planilha2!B:C,2,0)</f>
        <v>INVERSOR EUCFW110211T2O55DSZ</v>
      </c>
      <c r="C2107" t="s">
        <v>3170</v>
      </c>
      <c r="D2107" t="str">
        <f>VLOOKUP(A2107,Planilha2!B:H,7,0)</f>
        <v>LINHA E1</v>
      </c>
      <c r="E2107" s="5">
        <v>100300</v>
      </c>
      <c r="F2107">
        <f>IFERROR(
IF(ISNUMBER(FIND("CFW110",B2107)),
VALUE(MID(B2107,FIND("CFW110",B2107)+6,FIND("T",B2107,FIND("CFW110",B2107))-(FIND("CFW110",B2107)+6))),
IF(ISNUMBER(FIND("D",B2107)),
VALUE(SUBSTITUTE(MID(B2107,FIND("D",B2107)+1,FIND("T",B2107,FIND("D",B2107))-(FIND("D",B2107)+1)),"P",",")),
IF(ISNUMBER(FIND("CFW5",B2107)),
VALUE(MID(B2107,
IF(ISNUMBER(FIND("F",B2107)),FIND("F",B2107)+1,FIND("G",B2107)+1),
FIND("T",B2107)-(IF(ISNUMBER(FIND("F",B2107)),FIND("F",B2107)+1,FIND("G",B2107)+1))
)),
VALUE(MID(B2107,FIND("E0",B2107)+2,FIND("T",B2107,FIND("E0",B2107))-(FIND("E0",B2107)+2)))
))),"")</f>
        <v>211</v>
      </c>
      <c r="G2107">
        <f>IFERROR(
IF(ISNUMBER(FIND("T2",B2107)),220,
IF(ISNUMBER(FIND("T4",B2107)),440,
IF(ISNUMBER(FIND("T5",B2107)),575,
IF(ISNUMBER(FIND("T6",B2107)),690,"")))),
"")</f>
        <v>220</v>
      </c>
    </row>
    <row r="2108" spans="1:7" x14ac:dyDescent="0.25">
      <c r="A2108">
        <v>13545093</v>
      </c>
      <c r="B2108" t="str">
        <f>VLOOKUP(A2108,Planilha2!B:C,2,0)</f>
        <v>INVERSOR BRCFW110142T4O55DSZ</v>
      </c>
      <c r="C2108" t="s">
        <v>3170</v>
      </c>
      <c r="D2108" t="str">
        <f>VLOOKUP(A2108,Planilha2!B:H,7,0)</f>
        <v>LINHA E1</v>
      </c>
      <c r="E2108" s="5">
        <v>90200</v>
      </c>
      <c r="F2108">
        <f>IFERROR(
IF(ISNUMBER(FIND("CFW110",B2108)),
VALUE(MID(B2108,FIND("CFW110",B2108)+6,FIND("T",B2108,FIND("CFW110",B2108))-(FIND("CFW110",B2108)+6))),
IF(ISNUMBER(FIND("D",B2108)),
VALUE(SUBSTITUTE(MID(B2108,FIND("D",B2108)+1,FIND("T",B2108,FIND("D",B2108))-(FIND("D",B2108)+1)),"P",",")),
IF(ISNUMBER(FIND("CFW5",B2108)),
VALUE(MID(B2108,
IF(ISNUMBER(FIND("F",B2108)),FIND("F",B2108)+1,FIND("G",B2108)+1),
FIND("T",B2108)-(IF(ISNUMBER(FIND("F",B2108)),FIND("F",B2108)+1,FIND("G",B2108)+1))
)),
VALUE(MID(B2108,FIND("E0",B2108)+2,FIND("T",B2108,FIND("E0",B2108))-(FIND("E0",B2108)+2)))
))),"")</f>
        <v>142</v>
      </c>
      <c r="G2108">
        <f>IFERROR(
IF(ISNUMBER(FIND("T2",B2108)),220,
IF(ISNUMBER(FIND("T4",B2108)),440,
IF(ISNUMBER(FIND("T5",B2108)),575,
IF(ISNUMBER(FIND("T6",B2108)),690,"")))),
"")</f>
        <v>440</v>
      </c>
    </row>
    <row r="2109" spans="1:7" x14ac:dyDescent="0.25">
      <c r="A2109">
        <v>13545096</v>
      </c>
      <c r="B2109" t="str">
        <f>VLOOKUP(A2109,Planilha2!B:C,2,0)</f>
        <v>INVERSOR EUCFW110142T4O55Z</v>
      </c>
      <c r="C2109" t="s">
        <v>3170</v>
      </c>
      <c r="D2109" t="str">
        <f>VLOOKUP(A2109,Planilha2!B:H,7,0)</f>
        <v>LINHA E1</v>
      </c>
      <c r="E2109" s="5">
        <v>88100</v>
      </c>
      <c r="F2109">
        <f>IFERROR(
IF(ISNUMBER(FIND("CFW110",B2109)),
VALUE(MID(B2109,FIND("CFW110",B2109)+6,FIND("T",B2109,FIND("CFW110",B2109))-(FIND("CFW110",B2109)+6))),
IF(ISNUMBER(FIND("D",B2109)),
VALUE(SUBSTITUTE(MID(B2109,FIND("D",B2109)+1,FIND("T",B2109,FIND("D",B2109))-(FIND("D",B2109)+1)),"P",",")),
IF(ISNUMBER(FIND("CFW5",B2109)),
VALUE(MID(B2109,
IF(ISNUMBER(FIND("F",B2109)),FIND("F",B2109)+1,FIND("G",B2109)+1),
FIND("T",B2109)-(IF(ISNUMBER(FIND("F",B2109)),FIND("F",B2109)+1,FIND("G",B2109)+1))
)),
VALUE(MID(B2109,FIND("E0",B2109)+2,FIND("T",B2109,FIND("E0",B2109))-(FIND("E0",B2109)+2)))
))),"")</f>
        <v>142</v>
      </c>
      <c r="G2109">
        <f>IFERROR(
IF(ISNUMBER(FIND("T2",B2109)),220,
IF(ISNUMBER(FIND("T4",B2109)),440,
IF(ISNUMBER(FIND("T5",B2109)),575,
IF(ISNUMBER(FIND("T6",B2109)),690,"")))),
"")</f>
        <v>440</v>
      </c>
    </row>
    <row r="2110" spans="1:7" x14ac:dyDescent="0.25">
      <c r="A2110">
        <v>13545097</v>
      </c>
      <c r="B2110" t="str">
        <f>VLOOKUP(A2110,Planilha2!B:C,2,0)</f>
        <v>INVERSOR EUCFW110142T4O55DSZ</v>
      </c>
      <c r="C2110" t="s">
        <v>3170</v>
      </c>
      <c r="D2110" t="str">
        <f>VLOOKUP(A2110,Planilha2!B:H,7,0)</f>
        <v>LINHA E1</v>
      </c>
      <c r="E2110" s="5">
        <v>90200</v>
      </c>
      <c r="F2110">
        <f>IFERROR(
IF(ISNUMBER(FIND("CFW110",B2110)),
VALUE(MID(B2110,FIND("CFW110",B2110)+6,FIND("T",B2110,FIND("CFW110",B2110))-(FIND("CFW110",B2110)+6))),
IF(ISNUMBER(FIND("D",B2110)),
VALUE(SUBSTITUTE(MID(B2110,FIND("D",B2110)+1,FIND("T",B2110,FIND("D",B2110))-(FIND("D",B2110)+1)),"P",",")),
IF(ISNUMBER(FIND("CFW5",B2110)),
VALUE(MID(B2110,
IF(ISNUMBER(FIND("F",B2110)),FIND("F",B2110)+1,FIND("G",B2110)+1),
FIND("T",B2110)-(IF(ISNUMBER(FIND("F",B2110)),FIND("F",B2110)+1,FIND("G",B2110)+1))
)),
VALUE(MID(B2110,FIND("E0",B2110)+2,FIND("T",B2110,FIND("E0",B2110))-(FIND("E0",B2110)+2)))
))),"")</f>
        <v>142</v>
      </c>
      <c r="G2110">
        <f>IFERROR(
IF(ISNUMBER(FIND("T2",B2110)),220,
IF(ISNUMBER(FIND("T4",B2110)),440,
IF(ISNUMBER(FIND("T5",B2110)),575,
IF(ISNUMBER(FIND("T6",B2110)),690,"")))),
"")</f>
        <v>440</v>
      </c>
    </row>
    <row r="2111" spans="1:7" x14ac:dyDescent="0.25">
      <c r="A2111">
        <v>13545188</v>
      </c>
      <c r="B2111" t="str">
        <f>VLOOKUP(A2111,Planilha2!B:C,2,0)</f>
        <v>INVERSOR BRCFW110180T4O55Z</v>
      </c>
      <c r="C2111" t="s">
        <v>3170</v>
      </c>
      <c r="D2111" t="str">
        <f>VLOOKUP(A2111,Planilha2!B:H,7,0)</f>
        <v>LINHA E1</v>
      </c>
      <c r="E2111" s="5">
        <v>98200</v>
      </c>
      <c r="F2111">
        <f>IFERROR(
IF(ISNUMBER(FIND("CFW110",B2111)),
VALUE(MID(B2111,FIND("CFW110",B2111)+6,FIND("T",B2111,FIND("CFW110",B2111))-(FIND("CFW110",B2111)+6))),
IF(ISNUMBER(FIND("D",B2111)),
VALUE(SUBSTITUTE(MID(B2111,FIND("D",B2111)+1,FIND("T",B2111,FIND("D",B2111))-(FIND("D",B2111)+1)),"P",",")),
IF(ISNUMBER(FIND("CFW5",B2111)),
VALUE(MID(B2111,
IF(ISNUMBER(FIND("F",B2111)),FIND("F",B2111)+1,FIND("G",B2111)+1),
FIND("T",B2111)-(IF(ISNUMBER(FIND("F",B2111)),FIND("F",B2111)+1,FIND("G",B2111)+1))
)),
VALUE(MID(B2111,FIND("E0",B2111)+2,FIND("T",B2111,FIND("E0",B2111))-(FIND("E0",B2111)+2)))
))),"")</f>
        <v>180</v>
      </c>
      <c r="G2111">
        <f>IFERROR(
IF(ISNUMBER(FIND("T2",B2111)),220,
IF(ISNUMBER(FIND("T4",B2111)),440,
IF(ISNUMBER(FIND("T5",B2111)),575,
IF(ISNUMBER(FIND("T6",B2111)),690,"")))),
"")</f>
        <v>440</v>
      </c>
    </row>
    <row r="2112" spans="1:7" x14ac:dyDescent="0.25">
      <c r="A2112">
        <v>13545191</v>
      </c>
      <c r="B2112" t="str">
        <f>VLOOKUP(A2112,Planilha2!B:C,2,0)</f>
        <v>INVERSOR BRCFW110180T4O55DSZ</v>
      </c>
      <c r="C2112" t="s">
        <v>3170</v>
      </c>
      <c r="D2112" t="str">
        <f>VLOOKUP(A2112,Planilha2!B:H,7,0)</f>
        <v>LINHA E1</v>
      </c>
      <c r="E2112" t="s">
        <v>3172</v>
      </c>
      <c r="F2112">
        <f>IFERROR(
IF(ISNUMBER(FIND("CFW110",B2112)),
VALUE(MID(B2112,FIND("CFW110",B2112)+6,FIND("T",B2112,FIND("CFW110",B2112))-(FIND("CFW110",B2112)+6))),
IF(ISNUMBER(FIND("D",B2112)),
VALUE(SUBSTITUTE(MID(B2112,FIND("D",B2112)+1,FIND("T",B2112,FIND("D",B2112))-(FIND("D",B2112)+1)),"P",",")),
IF(ISNUMBER(FIND("CFW5",B2112)),
VALUE(MID(B2112,
IF(ISNUMBER(FIND("F",B2112)),FIND("F",B2112)+1,FIND("G",B2112)+1),
FIND("T",B2112)-(IF(ISNUMBER(FIND("F",B2112)),FIND("F",B2112)+1,FIND("G",B2112)+1))
)),
VALUE(MID(B2112,FIND("E0",B2112)+2,FIND("T",B2112,FIND("E0",B2112))-(FIND("E0",B2112)+2)))
))),"")</f>
        <v>180</v>
      </c>
      <c r="G2112">
        <f>IFERROR(
IF(ISNUMBER(FIND("T2",B2112)),220,
IF(ISNUMBER(FIND("T4",B2112)),440,
IF(ISNUMBER(FIND("T5",B2112)),575,
IF(ISNUMBER(FIND("T6",B2112)),690,"")))),
"")</f>
        <v>440</v>
      </c>
    </row>
    <row r="2113" spans="1:7" x14ac:dyDescent="0.25">
      <c r="A2113">
        <v>13545192</v>
      </c>
      <c r="B2113" t="str">
        <f>VLOOKUP(A2113,Planilha2!B:C,2,0)</f>
        <v>INVERSOR EUCFW110180T4O55Z</v>
      </c>
      <c r="C2113" t="s">
        <v>3170</v>
      </c>
      <c r="D2113" t="str">
        <f>VLOOKUP(A2113,Planilha2!B:H,7,0)</f>
        <v>LINHA E1</v>
      </c>
      <c r="E2113" s="5">
        <v>98200</v>
      </c>
      <c r="F2113">
        <f>IFERROR(
IF(ISNUMBER(FIND("CFW110",B2113)),
VALUE(MID(B2113,FIND("CFW110",B2113)+6,FIND("T",B2113,FIND("CFW110",B2113))-(FIND("CFW110",B2113)+6))),
IF(ISNUMBER(FIND("D",B2113)),
VALUE(SUBSTITUTE(MID(B2113,FIND("D",B2113)+1,FIND("T",B2113,FIND("D",B2113))-(FIND("D",B2113)+1)),"P",",")),
IF(ISNUMBER(FIND("CFW5",B2113)),
VALUE(MID(B2113,
IF(ISNUMBER(FIND("F",B2113)),FIND("F",B2113)+1,FIND("G",B2113)+1),
FIND("T",B2113)-(IF(ISNUMBER(FIND("F",B2113)),FIND("F",B2113)+1,FIND("G",B2113)+1))
)),
VALUE(MID(B2113,FIND("E0",B2113)+2,FIND("T",B2113,FIND("E0",B2113))-(FIND("E0",B2113)+2)))
))),"")</f>
        <v>180</v>
      </c>
      <c r="G2113">
        <f>IFERROR(
IF(ISNUMBER(FIND("T2",B2113)),220,
IF(ISNUMBER(FIND("T4",B2113)),440,
IF(ISNUMBER(FIND("T5",B2113)),575,
IF(ISNUMBER(FIND("T6",B2113)),690,"")))),
"")</f>
        <v>440</v>
      </c>
    </row>
    <row r="2114" spans="1:7" x14ac:dyDescent="0.25">
      <c r="A2114">
        <v>13545193</v>
      </c>
      <c r="B2114" t="str">
        <f>VLOOKUP(A2114,Planilha2!B:C,2,0)</f>
        <v>INVERSOR EUCFW110180T4O55DSZ</v>
      </c>
      <c r="C2114" t="s">
        <v>3170</v>
      </c>
      <c r="D2114" t="str">
        <f>VLOOKUP(A2114,Planilha2!B:H,7,0)</f>
        <v>LINHA E1</v>
      </c>
      <c r="E2114" s="5">
        <v>100300</v>
      </c>
      <c r="F2114">
        <f>IFERROR(
IF(ISNUMBER(FIND("CFW110",B2114)),
VALUE(MID(B2114,FIND("CFW110",B2114)+6,FIND("T",B2114,FIND("CFW110",B2114))-(FIND("CFW110",B2114)+6))),
IF(ISNUMBER(FIND("D",B2114)),
VALUE(SUBSTITUTE(MID(B2114,FIND("D",B2114)+1,FIND("T",B2114,FIND("D",B2114))-(FIND("D",B2114)+1)),"P",",")),
IF(ISNUMBER(FIND("CFW5",B2114)),
VALUE(MID(B2114,
IF(ISNUMBER(FIND("F",B2114)),FIND("F",B2114)+1,FIND("G",B2114)+1),
FIND("T",B2114)-(IF(ISNUMBER(FIND("F",B2114)),FIND("F",B2114)+1,FIND("G",B2114)+1))
)),
VALUE(MID(B2114,FIND("E0",B2114)+2,FIND("T",B2114,FIND("E0",B2114))-(FIND("E0",B2114)+2)))
))),"")</f>
        <v>180</v>
      </c>
      <c r="G2114">
        <f>IFERROR(
IF(ISNUMBER(FIND("T2",B2114)),220,
IF(ISNUMBER(FIND("T4",B2114)),440,
IF(ISNUMBER(FIND("T5",B2114)),575,
IF(ISNUMBER(FIND("T6",B2114)),690,"")))),
"")</f>
        <v>440</v>
      </c>
    </row>
    <row r="2115" spans="1:7" x14ac:dyDescent="0.25">
      <c r="A2115">
        <v>13545194</v>
      </c>
      <c r="B2115" t="str">
        <f>VLOOKUP(A2115,Planilha2!B:C,2,0)</f>
        <v>INVERSOR BRCFW110211T4O55Z</v>
      </c>
      <c r="C2115" t="s">
        <v>3170</v>
      </c>
      <c r="D2115" t="str">
        <f>VLOOKUP(A2115,Planilha2!B:H,7,0)</f>
        <v>LINHA E1</v>
      </c>
      <c r="E2115" s="5">
        <v>98200</v>
      </c>
      <c r="F2115">
        <f>IFERROR(
IF(ISNUMBER(FIND("CFW110",B2115)),
VALUE(MID(B2115,FIND("CFW110",B2115)+6,FIND("T",B2115,FIND("CFW110",B2115))-(FIND("CFW110",B2115)+6))),
IF(ISNUMBER(FIND("D",B2115)),
VALUE(SUBSTITUTE(MID(B2115,FIND("D",B2115)+1,FIND("T",B2115,FIND("D",B2115))-(FIND("D",B2115)+1)),"P",",")),
IF(ISNUMBER(FIND("CFW5",B2115)),
VALUE(MID(B2115,
IF(ISNUMBER(FIND("F",B2115)),FIND("F",B2115)+1,FIND("G",B2115)+1),
FIND("T",B2115)-(IF(ISNUMBER(FIND("F",B2115)),FIND("F",B2115)+1,FIND("G",B2115)+1))
)),
VALUE(MID(B2115,FIND("E0",B2115)+2,FIND("T",B2115,FIND("E0",B2115))-(FIND("E0",B2115)+2)))
))),"")</f>
        <v>211</v>
      </c>
      <c r="G2115">
        <f>IFERROR(
IF(ISNUMBER(FIND("T2",B2115)),220,
IF(ISNUMBER(FIND("T4",B2115)),440,
IF(ISNUMBER(FIND("T5",B2115)),575,
IF(ISNUMBER(FIND("T6",B2115)),690,"")))),
"")</f>
        <v>440</v>
      </c>
    </row>
    <row r="2116" spans="1:7" x14ac:dyDescent="0.25">
      <c r="A2116">
        <v>13545195</v>
      </c>
      <c r="B2116" t="str">
        <f>VLOOKUP(A2116,Planilha2!B:C,2,0)</f>
        <v>INVERSOR BRCFW110211T4O55DSZ</v>
      </c>
      <c r="C2116" t="s">
        <v>3170</v>
      </c>
      <c r="D2116" t="str">
        <f>VLOOKUP(A2116,Planilha2!B:H,7,0)</f>
        <v>LINHA E1</v>
      </c>
      <c r="E2116" s="5">
        <v>59360</v>
      </c>
      <c r="F2116">
        <f>IFERROR(
IF(ISNUMBER(FIND("CFW110",B2116)),
VALUE(MID(B2116,FIND("CFW110",B2116)+6,FIND("T",B2116,FIND("CFW110",B2116))-(FIND("CFW110",B2116)+6))),
IF(ISNUMBER(FIND("D",B2116)),
VALUE(SUBSTITUTE(MID(B2116,FIND("D",B2116)+1,FIND("T",B2116,FIND("D",B2116))-(FIND("D",B2116)+1)),"P",",")),
IF(ISNUMBER(FIND("CFW5",B2116)),
VALUE(MID(B2116,
IF(ISNUMBER(FIND("F",B2116)),FIND("F",B2116)+1,FIND("G",B2116)+1),
FIND("T",B2116)-(IF(ISNUMBER(FIND("F",B2116)),FIND("F",B2116)+1,FIND("G",B2116)+1))
)),
VALUE(MID(B2116,FIND("E0",B2116)+2,FIND("T",B2116,FIND("E0",B2116))-(FIND("E0",B2116)+2)))
))),"")</f>
        <v>211</v>
      </c>
      <c r="G2116">
        <f>IFERROR(
IF(ISNUMBER(FIND("T2",B2116)),220,
IF(ISNUMBER(FIND("T4",B2116)),440,
IF(ISNUMBER(FIND("T5",B2116)),575,
IF(ISNUMBER(FIND("T6",B2116)),690,"")))),
"")</f>
        <v>440</v>
      </c>
    </row>
    <row r="2117" spans="1:7" x14ac:dyDescent="0.25">
      <c r="A2117">
        <v>13545196</v>
      </c>
      <c r="B2117" t="str">
        <f>VLOOKUP(A2117,Planilha2!B:C,2,0)</f>
        <v>INVERSOR EUCFW110211T4O55Z</v>
      </c>
      <c r="C2117" t="s">
        <v>3170</v>
      </c>
      <c r="D2117" t="str">
        <f>VLOOKUP(A2117,Planilha2!B:H,7,0)</f>
        <v>LINHA E1</v>
      </c>
      <c r="E2117" s="5">
        <v>98200</v>
      </c>
      <c r="F2117">
        <f>IFERROR(
IF(ISNUMBER(FIND("CFW110",B2117)),
VALUE(MID(B2117,FIND("CFW110",B2117)+6,FIND("T",B2117,FIND("CFW110",B2117))-(FIND("CFW110",B2117)+6))),
IF(ISNUMBER(FIND("D",B2117)),
VALUE(SUBSTITUTE(MID(B2117,FIND("D",B2117)+1,FIND("T",B2117,FIND("D",B2117))-(FIND("D",B2117)+1)),"P",",")),
IF(ISNUMBER(FIND("CFW5",B2117)),
VALUE(MID(B2117,
IF(ISNUMBER(FIND("F",B2117)),FIND("F",B2117)+1,FIND("G",B2117)+1),
FIND("T",B2117)-(IF(ISNUMBER(FIND("F",B2117)),FIND("F",B2117)+1,FIND("G",B2117)+1))
)),
VALUE(MID(B2117,FIND("E0",B2117)+2,FIND("T",B2117,FIND("E0",B2117))-(FIND("E0",B2117)+2)))
))),"")</f>
        <v>211</v>
      </c>
      <c r="G2117">
        <f>IFERROR(
IF(ISNUMBER(FIND("T2",B2117)),220,
IF(ISNUMBER(FIND("T4",B2117)),440,
IF(ISNUMBER(FIND("T5",B2117)),575,
IF(ISNUMBER(FIND("T6",B2117)),690,"")))),
"")</f>
        <v>440</v>
      </c>
    </row>
    <row r="2118" spans="1:7" x14ac:dyDescent="0.25">
      <c r="A2118">
        <v>14007845</v>
      </c>
      <c r="B2118" t="str">
        <f>VLOOKUP(A2118,Planilha2!B:C,2,0)</f>
        <v>INVERSOR BRCFW110370T4ORBH1Z</v>
      </c>
      <c r="C2118" t="s">
        <v>3170</v>
      </c>
      <c r="D2118" t="str">
        <f>VLOOKUP(A2118,Planilha2!B:H,7,0)</f>
        <v>LINHA G3</v>
      </c>
      <c r="E2118" s="5">
        <v>135000</v>
      </c>
      <c r="F2118">
        <f>IFERROR(
IF(ISNUMBER(FIND("CFW110",B2118)),
VALUE(MID(B2118,FIND("CFW110",B2118)+6,FIND("T",B2118,FIND("CFW110",B2118))-(FIND("CFW110",B2118)+6))),
IF(ISNUMBER(FIND("D",B2118)),
VALUE(SUBSTITUTE(MID(B2118,FIND("D",B2118)+1,FIND("T",B2118,FIND("D",B2118))-(FIND("D",B2118)+1)),"P",",")),
IF(ISNUMBER(FIND("CFW5",B2118)),
VALUE(MID(B2118,
IF(ISNUMBER(FIND("F",B2118)),FIND("F",B2118)+1,FIND("G",B2118)+1),
FIND("T",B2118)-(IF(ISNUMBER(FIND("F",B2118)),FIND("F",B2118)+1,FIND("G",B2118)+1))
)),
VALUE(MID(B2118,FIND("E0",B2118)+2,FIND("T",B2118,FIND("E0",B2118))-(FIND("E0",B2118)+2)))
))),"")</f>
        <v>370</v>
      </c>
      <c r="G2118">
        <f>IFERROR(
IF(ISNUMBER(FIND("T2",B2118)),220,
IF(ISNUMBER(FIND("T4",B2118)),440,
IF(ISNUMBER(FIND("T5",B2118)),575,
IF(ISNUMBER(FIND("T6",B2118)),690,"")))),
"")</f>
        <v>440</v>
      </c>
    </row>
    <row r="2119" spans="1:7" x14ac:dyDescent="0.25">
      <c r="A2119">
        <v>14446605</v>
      </c>
      <c r="B2119" t="str">
        <f>VLOOKUP(A2119,Planilha2!B:C,2,0)</f>
        <v>INVERSOR BRCFW110515T4ORBZ-UI</v>
      </c>
      <c r="C2119" t="s">
        <v>3170</v>
      </c>
      <c r="D2119" t="str">
        <f>VLOOKUP(A2119,Planilha2!B:H,7,0)</f>
        <v>LINHA G5</v>
      </c>
      <c r="E2119" s="5">
        <v>210368</v>
      </c>
      <c r="F2119">
        <f>IFERROR(
IF(ISNUMBER(FIND("CFW110",B2119)),
VALUE(MID(B2119,FIND("CFW110",B2119)+6,FIND("T",B2119,FIND("CFW110",B2119))-(FIND("CFW110",B2119)+6))),
IF(ISNUMBER(FIND("D",B2119)),
VALUE(SUBSTITUTE(MID(B2119,FIND("D",B2119)+1,FIND("T",B2119,FIND("D",B2119))-(FIND("D",B2119)+1)),"P",",")),
IF(ISNUMBER(FIND("CFW5",B2119)),
VALUE(MID(B2119,
IF(ISNUMBER(FIND("F",B2119)),FIND("F",B2119)+1,FIND("G",B2119)+1),
FIND("T",B2119)-(IF(ISNUMBER(FIND("F",B2119)),FIND("F",B2119)+1,FIND("G",B2119)+1))
)),
VALUE(MID(B2119,FIND("E0",B2119)+2,FIND("T",B2119,FIND("E0",B2119))-(FIND("E0",B2119)+2)))
))),"")</f>
        <v>515</v>
      </c>
      <c r="G2119">
        <f>IFERROR(
IF(ISNUMBER(FIND("T2",B2119)),220,
IF(ISNUMBER(FIND("T4",B2119)),440,
IF(ISNUMBER(FIND("T5",B2119)),575,
IF(ISNUMBER(FIND("T6",B2119)),690,"")))),
"")</f>
        <v>440</v>
      </c>
    </row>
    <row r="2120" spans="1:7" x14ac:dyDescent="0.25">
      <c r="A2120">
        <v>14432978</v>
      </c>
      <c r="B2120" t="str">
        <f>VLOOKUP(A2120,Planilha2!B:C,2,0)</f>
        <v>INVERSOR BRCFW110211T4OSWZ-UI</v>
      </c>
      <c r="C2120" t="s">
        <v>3170</v>
      </c>
      <c r="D2120" t="str">
        <f>VLOOKUP(A2120,Planilha2!B:H,7,0)</f>
        <v>LINHA G1</v>
      </c>
      <c r="E2120" s="5">
        <v>97000</v>
      </c>
      <c r="F2120">
        <f>IFERROR(
IF(ISNUMBER(FIND("CFW110",B2120)),
VALUE(MID(B2120,FIND("CFW110",B2120)+6,FIND("T",B2120,FIND("CFW110",B2120))-(FIND("CFW110",B2120)+6))),
IF(ISNUMBER(FIND("D",B2120)),
VALUE(SUBSTITUTE(MID(B2120,FIND("D",B2120)+1,FIND("T",B2120,FIND("D",B2120))-(FIND("D",B2120)+1)),"P",",")),
IF(ISNUMBER(FIND("CFW5",B2120)),
VALUE(MID(B2120,
IF(ISNUMBER(FIND("F",B2120)),FIND("F",B2120)+1,FIND("G",B2120)+1),
FIND("T",B2120)-(IF(ISNUMBER(FIND("F",B2120)),FIND("F",B2120)+1,FIND("G",B2120)+1))
)),
VALUE(MID(B2120,FIND("E0",B2120)+2,FIND("T",B2120,FIND("E0",B2120))-(FIND("E0",B2120)+2)))
))),"")</f>
        <v>211</v>
      </c>
      <c r="G2120">
        <f>IFERROR(
IF(ISNUMBER(FIND("T2",B2120)),220,
IF(ISNUMBER(FIND("T4",B2120)),440,
IF(ISNUMBER(FIND("T5",B2120)),575,
IF(ISNUMBER(FIND("T6",B2120)),690,"")))),
"")</f>
        <v>440</v>
      </c>
    </row>
    <row r="2121" spans="1:7" x14ac:dyDescent="0.25">
      <c r="A2121">
        <v>14479911</v>
      </c>
      <c r="B2121" t="str">
        <f>VLOOKUP(A2121,Planilha2!B:C,2,0)</f>
        <v>INVERSOR BRCFW110142T4OYWSIZ</v>
      </c>
      <c r="C2121" t="s">
        <v>3170</v>
      </c>
      <c r="D2121" t="str">
        <f>VLOOKUP(A2121,Planilha2!B:H,7,0)</f>
        <v>LINHA G1</v>
      </c>
      <c r="E2121" t="s">
        <v>3172</v>
      </c>
      <c r="F2121">
        <f>IFERROR(
IF(ISNUMBER(FIND("CFW110",B2121)),
VALUE(MID(B2121,FIND("CFW110",B2121)+6,FIND("T",B2121,FIND("CFW110",B2121))-(FIND("CFW110",B2121)+6))),
IF(ISNUMBER(FIND("D",B2121)),
VALUE(SUBSTITUTE(MID(B2121,FIND("D",B2121)+1,FIND("T",B2121,FIND("D",B2121))-(FIND("D",B2121)+1)),"P",",")),
IF(ISNUMBER(FIND("CFW5",B2121)),
VALUE(MID(B2121,
IF(ISNUMBER(FIND("F",B2121)),FIND("F",B2121)+1,FIND("G",B2121)+1),
FIND("T",B2121)-(IF(ISNUMBER(FIND("F",B2121)),FIND("F",B2121)+1,FIND("G",B2121)+1))
)),
VALUE(MID(B2121,FIND("E0",B2121)+2,FIND("T",B2121,FIND("E0",B2121))-(FIND("E0",B2121)+2)))
))),"")</f>
        <v>142</v>
      </c>
      <c r="G2121">
        <f>IFERROR(
IF(ISNUMBER(FIND("T2",B2121)),220,
IF(ISNUMBER(FIND("T4",B2121)),440,
IF(ISNUMBER(FIND("T5",B2121)),575,
IF(ISNUMBER(FIND("T6",B2121)),690,"")))),
"")</f>
        <v>440</v>
      </c>
    </row>
    <row r="2122" spans="1:7" x14ac:dyDescent="0.25">
      <c r="A2122">
        <v>14452124</v>
      </c>
      <c r="B2122" t="str">
        <f>VLOOKUP(A2122,Planilha2!B:C,2,0)</f>
        <v>INVERSOR EUCFW110211T4O55YZ</v>
      </c>
      <c r="C2122" t="s">
        <v>3170</v>
      </c>
      <c r="D2122" t="str">
        <f>VLOOKUP(A2122,Planilha2!B:H,7,0)</f>
        <v>LINHA E1</v>
      </c>
      <c r="E2122" s="5">
        <v>98588</v>
      </c>
      <c r="F2122">
        <f>IFERROR(
IF(ISNUMBER(FIND("CFW110",B2122)),
VALUE(MID(B2122,FIND("CFW110",B2122)+6,FIND("T",B2122,FIND("CFW110",B2122))-(FIND("CFW110",B2122)+6))),
IF(ISNUMBER(FIND("D",B2122)),
VALUE(SUBSTITUTE(MID(B2122,FIND("D",B2122)+1,FIND("T",B2122,FIND("D",B2122))-(FIND("D",B2122)+1)),"P",",")),
IF(ISNUMBER(FIND("CFW5",B2122)),
VALUE(MID(B2122,
IF(ISNUMBER(FIND("F",B2122)),FIND("F",B2122)+1,FIND("G",B2122)+1),
FIND("T",B2122)-(IF(ISNUMBER(FIND("F",B2122)),FIND("F",B2122)+1,FIND("G",B2122)+1))
)),
VALUE(MID(B2122,FIND("E0",B2122)+2,FIND("T",B2122,FIND("E0",B2122))-(FIND("E0",B2122)+2)))
))),"")</f>
        <v>211</v>
      </c>
      <c r="G2122">
        <f>IFERROR(
IF(ISNUMBER(FIND("T2",B2122)),220,
IF(ISNUMBER(FIND("T4",B2122)),440,
IF(ISNUMBER(FIND("T5",B2122)),575,
IF(ISNUMBER(FIND("T6",B2122)),690,"")))),
"")</f>
        <v>440</v>
      </c>
    </row>
    <row r="2123" spans="1:7" x14ac:dyDescent="0.25">
      <c r="A2123">
        <v>15437967</v>
      </c>
      <c r="B2123" t="str">
        <f>VLOOKUP(A2123,Planilha2!B:C,2,0)</f>
        <v>INVERSOR BRCFW110142T4ODBSSZ</v>
      </c>
      <c r="C2123" t="s">
        <v>3170</v>
      </c>
      <c r="D2123" t="str">
        <f>VLOOKUP(A2123,Planilha2!B:H,7,0)</f>
        <v>LINHA G1</v>
      </c>
      <c r="E2123" s="5">
        <v>65768</v>
      </c>
      <c r="F2123">
        <f>IFERROR(
IF(ISNUMBER(FIND("CFW110",B2123)),
VALUE(MID(B2123,FIND("CFW110",B2123)+6,FIND("T",B2123,FIND("CFW110",B2123))-(FIND("CFW110",B2123)+6))),
IF(ISNUMBER(FIND("D",B2123)),
VALUE(SUBSTITUTE(MID(B2123,FIND("D",B2123)+1,FIND("T",B2123,FIND("D",B2123))-(FIND("D",B2123)+1)),"P",",")),
IF(ISNUMBER(FIND("CFW5",B2123)),
VALUE(MID(B2123,
IF(ISNUMBER(FIND("F",B2123)),FIND("F",B2123)+1,FIND("G",B2123)+1),
FIND("T",B2123)-(IF(ISNUMBER(FIND("F",B2123)),FIND("F",B2123)+1,FIND("G",B2123)+1))
)),
VALUE(MID(B2123,FIND("E0",B2123)+2,FIND("T",B2123,FIND("E0",B2123))-(FIND("E0",B2123)+2)))
))),"")</f>
        <v>142</v>
      </c>
      <c r="G2123">
        <f>IFERROR(
IF(ISNUMBER(FIND("T2",B2123)),220,
IF(ISNUMBER(FIND("T4",B2123)),440,
IF(ISNUMBER(FIND("T5",B2123)),575,
IF(ISNUMBER(FIND("T6",B2123)),690,"")))),
"")</f>
        <v>440</v>
      </c>
    </row>
    <row r="2124" spans="1:7" x14ac:dyDescent="0.25">
      <c r="A2124">
        <v>14526596</v>
      </c>
      <c r="B2124" t="str">
        <f>VLOOKUP(A2124,Planilha2!B:C,2,0)</f>
        <v>INVERSOR BRCFW110180T4OYWSIZ-UI</v>
      </c>
      <c r="C2124" t="s">
        <v>3170</v>
      </c>
      <c r="D2124" t="str">
        <f>VLOOKUP(A2124,Planilha2!B:H,7,0)</f>
        <v>LINHA G1</v>
      </c>
      <c r="E2124" s="5">
        <v>68952</v>
      </c>
      <c r="F2124">
        <f>IFERROR(
IF(ISNUMBER(FIND("CFW110",B2124)),
VALUE(MID(B2124,FIND("CFW110",B2124)+6,FIND("T",B2124,FIND("CFW110",B2124))-(FIND("CFW110",B2124)+6))),
IF(ISNUMBER(FIND("D",B2124)),
VALUE(SUBSTITUTE(MID(B2124,FIND("D",B2124)+1,FIND("T",B2124,FIND("D",B2124))-(FIND("D",B2124)+1)),"P",",")),
IF(ISNUMBER(FIND("CFW5",B2124)),
VALUE(MID(B2124,
IF(ISNUMBER(FIND("F",B2124)),FIND("F",B2124)+1,FIND("G",B2124)+1),
FIND("T",B2124)-(IF(ISNUMBER(FIND("F",B2124)),FIND("F",B2124)+1,FIND("G",B2124)+1))
)),
VALUE(MID(B2124,FIND("E0",B2124)+2,FIND("T",B2124,FIND("E0",B2124))-(FIND("E0",B2124)+2)))
))),"")</f>
        <v>180</v>
      </c>
      <c r="G2124">
        <f>IFERROR(
IF(ISNUMBER(FIND("T2",B2124)),220,
IF(ISNUMBER(FIND("T4",B2124)),440,
IF(ISNUMBER(FIND("T5",B2124)),575,
IF(ISNUMBER(FIND("T6",B2124)),690,"")))),
"")</f>
        <v>440</v>
      </c>
    </row>
    <row r="2125" spans="1:7" x14ac:dyDescent="0.25">
      <c r="A2125">
        <v>14558796</v>
      </c>
      <c r="B2125" t="str">
        <f>VLOOKUP(A2125,Planilha2!B:C,2,0)</f>
        <v>INVERSOR BRCFW110515T4ORBWH1Z-UI</v>
      </c>
      <c r="C2125" t="s">
        <v>3170</v>
      </c>
      <c r="D2125" t="str">
        <f>VLOOKUP(A2125,Planilha2!B:H,7,0)</f>
        <v>LINHA G5</v>
      </c>
      <c r="E2125" s="5">
        <v>210444</v>
      </c>
      <c r="F2125">
        <f>IFERROR(
IF(ISNUMBER(FIND("CFW110",B2125)),
VALUE(MID(B2125,FIND("CFW110",B2125)+6,FIND("T",B2125,FIND("CFW110",B2125))-(FIND("CFW110",B2125)+6))),
IF(ISNUMBER(FIND("D",B2125)),
VALUE(SUBSTITUTE(MID(B2125,FIND("D",B2125)+1,FIND("T",B2125,FIND("D",B2125))-(FIND("D",B2125)+1)),"P",",")),
IF(ISNUMBER(FIND("CFW5",B2125)),
VALUE(MID(B2125,
IF(ISNUMBER(FIND("F",B2125)),FIND("F",B2125)+1,FIND("G",B2125)+1),
FIND("T",B2125)-(IF(ISNUMBER(FIND("F",B2125)),FIND("F",B2125)+1,FIND("G",B2125)+1))
)),
VALUE(MID(B2125,FIND("E0",B2125)+2,FIND("T",B2125,FIND("E0",B2125))-(FIND("E0",B2125)+2)))
))),"")</f>
        <v>515</v>
      </c>
      <c r="G2125">
        <f>IFERROR(
IF(ISNUMBER(FIND("T2",B2125)),220,
IF(ISNUMBER(FIND("T4",B2125)),440,
IF(ISNUMBER(FIND("T5",B2125)),575,
IF(ISNUMBER(FIND("T6",B2125)),690,"")))),
"")</f>
        <v>440</v>
      </c>
    </row>
    <row r="2126" spans="1:7" x14ac:dyDescent="0.25">
      <c r="A2126">
        <v>14557339</v>
      </c>
      <c r="B2126" t="str">
        <f>VLOOKUP(A2126,Planilha2!B:C,2,0)</f>
        <v>INVERSOR BRCFW110105T4OWSWZ-UI</v>
      </c>
      <c r="C2126" t="s">
        <v>3170</v>
      </c>
      <c r="D2126" t="str">
        <f>VLOOKUP(A2126,Planilha2!B:H,7,0)</f>
        <v>LINHA G1</v>
      </c>
      <c r="E2126" s="5">
        <v>64213</v>
      </c>
      <c r="F2126">
        <f>IFERROR(
IF(ISNUMBER(FIND("CFW110",B2126)),
VALUE(MID(B2126,FIND("CFW110",B2126)+6,FIND("T",B2126,FIND("CFW110",B2126))-(FIND("CFW110",B2126)+6))),
IF(ISNUMBER(FIND("D",B2126)),
VALUE(SUBSTITUTE(MID(B2126,FIND("D",B2126)+1,FIND("T",B2126,FIND("D",B2126))-(FIND("D",B2126)+1)),"P",",")),
IF(ISNUMBER(FIND("CFW5",B2126)),
VALUE(MID(B2126,
IF(ISNUMBER(FIND("F",B2126)),FIND("F",B2126)+1,FIND("G",B2126)+1),
FIND("T",B2126)-(IF(ISNUMBER(FIND("F",B2126)),FIND("F",B2126)+1,FIND("G",B2126)+1))
)),
VALUE(MID(B2126,FIND("E0",B2126)+2,FIND("T",B2126,FIND("E0",B2126))-(FIND("E0",B2126)+2)))
))),"")</f>
        <v>105</v>
      </c>
      <c r="G2126">
        <f>IFERROR(
IF(ISNUMBER(FIND("T2",B2126)),220,
IF(ISNUMBER(FIND("T4",B2126)),440,
IF(ISNUMBER(FIND("T5",B2126)),575,
IF(ISNUMBER(FIND("T6",B2126)),690,"")))),
"")</f>
        <v>440</v>
      </c>
    </row>
    <row r="2127" spans="1:7" x14ac:dyDescent="0.25">
      <c r="A2127">
        <v>14623444</v>
      </c>
      <c r="B2127" t="str">
        <f>VLOOKUP(A2127,Planilha2!B:C,2,0)</f>
        <v>INVERSOR BRCFW110180T4ON1Z</v>
      </c>
      <c r="C2127" t="s">
        <v>3170</v>
      </c>
      <c r="D2127" t="str">
        <f>VLOOKUP(A2127,Planilha2!B:H,7,0)</f>
        <v>LINHA G1</v>
      </c>
      <c r="E2127" s="5">
        <v>65000</v>
      </c>
      <c r="F2127">
        <f>IFERROR(
IF(ISNUMBER(FIND("CFW110",B2127)),
VALUE(MID(B2127,FIND("CFW110",B2127)+6,FIND("T",B2127,FIND("CFW110",B2127))-(FIND("CFW110",B2127)+6))),
IF(ISNUMBER(FIND("D",B2127)),
VALUE(SUBSTITUTE(MID(B2127,FIND("D",B2127)+1,FIND("T",B2127,FIND("D",B2127))-(FIND("D",B2127)+1)),"P",",")),
IF(ISNUMBER(FIND("CFW5",B2127)),
VALUE(MID(B2127,
IF(ISNUMBER(FIND("F",B2127)),FIND("F",B2127)+1,FIND("G",B2127)+1),
FIND("T",B2127)-(IF(ISNUMBER(FIND("F",B2127)),FIND("F",B2127)+1,FIND("G",B2127)+1))
)),
VALUE(MID(B2127,FIND("E0",B2127)+2,FIND("T",B2127,FIND("E0",B2127))-(FIND("E0",B2127)+2)))
))),"")</f>
        <v>180</v>
      </c>
      <c r="G2127">
        <f>IFERROR(
IF(ISNUMBER(FIND("T2",B2127)),220,
IF(ISNUMBER(FIND("T4",B2127)),440,
IF(ISNUMBER(FIND("T5",B2127)),575,
IF(ISNUMBER(FIND("T6",B2127)),690,"")))),
"")</f>
        <v>440</v>
      </c>
    </row>
    <row r="2128" spans="1:7" x14ac:dyDescent="0.25">
      <c r="A2128">
        <v>14629341</v>
      </c>
      <c r="B2128" t="str">
        <f>VLOOKUP(A2128,Planilha2!B:C,2,0)</f>
        <v>INVERSOR CFW700E0226T4NB20C3Y1HINS1-UI</v>
      </c>
      <c r="C2128" t="s">
        <v>3170</v>
      </c>
      <c r="D2128" t="str">
        <f>VLOOKUP(A2128,Planilha2!B:H,7,0)</f>
        <v>LINHA G1</v>
      </c>
      <c r="E2128" s="5">
        <v>65608</v>
      </c>
      <c r="F2128">
        <f>IFERROR(
IF(ISNUMBER(FIND("CFW110",B2128)),
VALUE(MID(B2128,FIND("CFW110",B2128)+6,FIND("T",B2128,FIND("CFW110",B2128))-(FIND("CFW110",B2128)+6))),
IF(ISNUMBER(FIND("D",B2128)),
VALUE(SUBSTITUTE(MID(B2128,FIND("D",B2128)+1,FIND("T",B2128,FIND("D",B2128))-(FIND("D",B2128)+1)),"P",",")),
IF(ISNUMBER(FIND("CFW5",B2128)),
VALUE(MID(B2128,
IF(ISNUMBER(FIND("F",B2128)),FIND("F",B2128)+1,FIND("G",B2128)+1),
FIND("T",B2128)-(IF(ISNUMBER(FIND("F",B2128)),FIND("F",B2128)+1,FIND("G",B2128)+1))
)),
VALUE(MID(B2128,FIND("E0",B2128)+2,FIND("T",B2128,FIND("E0",B2128))-(FIND("E0",B2128)+2)))
))),"")</f>
        <v>226</v>
      </c>
      <c r="G2128">
        <f>IFERROR(
IF(ISNUMBER(FIND("T2",B2128)),220,
IF(ISNUMBER(FIND("T4",B2128)),440,
IF(ISNUMBER(FIND("T5",B2128)),575,
IF(ISNUMBER(FIND("T6",B2128)),690,"")))),
"")</f>
        <v>440</v>
      </c>
    </row>
    <row r="2129" spans="1:7" x14ac:dyDescent="0.25">
      <c r="A2129">
        <v>18433456</v>
      </c>
      <c r="B2129" t="str">
        <f>VLOOKUP(A2129,Planilha2!B:C,2,0)</f>
        <v>INVERSOR CFW900E0107T6NB20Y2B</v>
      </c>
      <c r="C2129" t="s">
        <v>3170</v>
      </c>
      <c r="D2129" t="str">
        <f>VLOOKUP(A2129,Planilha2!B:H,7,0)</f>
        <v>PROD. EM LPS/LP</v>
      </c>
      <c r="E2129" s="5">
        <v>63500</v>
      </c>
      <c r="F2129">
        <f>IFERROR(
IF(ISNUMBER(FIND("CFW110",B2129)),
VALUE(MID(B2129,FIND("CFW110",B2129)+6,FIND("T",B2129,FIND("CFW110",B2129))-(FIND("CFW110",B2129)+6))),
IF(ISNUMBER(FIND("D",B2129)),
VALUE(SUBSTITUTE(MID(B2129,FIND("D",B2129)+1,FIND("T",B2129,FIND("D",B2129))-(FIND("D",B2129)+1)),"P",",")),
IF(ISNUMBER(FIND("CFW5",B2129)),
VALUE(MID(B2129,
IF(ISNUMBER(FIND("F",B2129)),FIND("F",B2129)+1,FIND("G",B2129)+1),
FIND("T",B2129)-(IF(ISNUMBER(FIND("F",B2129)),FIND("F",B2129)+1,FIND("G",B2129)+1))
)),
VALUE(MID(B2129,FIND("E0",B2129)+2,FIND("T",B2129,FIND("E0",B2129))-(FIND("E0",B2129)+2)))
))),"")</f>
        <v>107</v>
      </c>
      <c r="G2129">
        <f>IFERROR(
IF(ISNUMBER(FIND("T2",B2129)),220,
IF(ISNUMBER(FIND("T4",B2129)),440,
IF(ISNUMBER(FIND("T5",B2129)),575,
IF(ISNUMBER(FIND("T6",B2129)),690,"")))),
"")</f>
        <v>690</v>
      </c>
    </row>
    <row r="2130" spans="1:7" x14ac:dyDescent="0.25">
      <c r="A2130">
        <v>18433528</v>
      </c>
      <c r="B2130" t="str">
        <f>VLOOKUP(A2130,Planilha2!B:C,2,0)</f>
        <v>INVERSOR CFW900E0107T6DB20Y2B</v>
      </c>
      <c r="C2130" t="s">
        <v>3170</v>
      </c>
      <c r="D2130" t="str">
        <f>VLOOKUP(A2130,Planilha2!B:H,7,0)</f>
        <v>PROD. EM LPS/LP</v>
      </c>
      <c r="E2130" s="5">
        <v>63500</v>
      </c>
      <c r="F2130" t="str">
        <f>IFERROR(
IF(ISNUMBER(FIND("CFW110",B2130)),
VALUE(MID(B2130,FIND("CFW110",B2130)+6,FIND("T",B2130,FIND("CFW110",B2130))-(FIND("CFW110",B2130)+6))),
IF(ISNUMBER(FIND("D",B2130)),
VALUE(SUBSTITUTE(MID(B2130,FIND("D",B2130)+1,FIND("T",B2130,FIND("D",B2130))-(FIND("D",B2130)+1)),"P",",")),
IF(ISNUMBER(FIND("CFW5",B2130)),
VALUE(MID(B2130,
IF(ISNUMBER(FIND("F",B2130)),FIND("F",B2130)+1,FIND("G",B2130)+1),
FIND("T",B2130)-(IF(ISNUMBER(FIND("F",B2130)),FIND("F",B2130)+1,FIND("G",B2130)+1))
)),
VALUE(MID(B2130,FIND("E0",B2130)+2,FIND("T",B2130,FIND("E0",B2130))-(FIND("E0",B2130)+2)))
))),"")</f>
        <v/>
      </c>
      <c r="G2130">
        <f>IFERROR(
IF(ISNUMBER(FIND("T2",B2130)),220,
IF(ISNUMBER(FIND("T4",B2130)),440,
IF(ISNUMBER(FIND("T5",B2130)),575,
IF(ISNUMBER(FIND("T6",B2130)),690,"")))),
"")</f>
        <v>690</v>
      </c>
    </row>
    <row r="2131" spans="1:7" x14ac:dyDescent="0.25">
      <c r="A2131">
        <v>18433628</v>
      </c>
      <c r="B2131" t="str">
        <f>VLOOKUP(A2131,Planilha2!B:C,2,0)</f>
        <v>INVERSOR CFW900E0130T6NB20Y2B</v>
      </c>
      <c r="C2131" t="s">
        <v>3170</v>
      </c>
      <c r="D2131" t="str">
        <f>VLOOKUP(A2131,Planilha2!B:H,7,0)</f>
        <v>PROD. EM LPS/LP</v>
      </c>
      <c r="E2131" s="5">
        <v>63500</v>
      </c>
      <c r="F2131">
        <f>IFERROR(
IF(ISNUMBER(FIND("CFW110",B2131)),
VALUE(MID(B2131,FIND("CFW110",B2131)+6,FIND("T",B2131,FIND("CFW110",B2131))-(FIND("CFW110",B2131)+6))),
IF(ISNUMBER(FIND("D",B2131)),
VALUE(SUBSTITUTE(MID(B2131,FIND("D",B2131)+1,FIND("T",B2131,FIND("D",B2131))-(FIND("D",B2131)+1)),"P",",")),
IF(ISNUMBER(FIND("CFW5",B2131)),
VALUE(MID(B2131,
IF(ISNUMBER(FIND("F",B2131)),FIND("F",B2131)+1,FIND("G",B2131)+1),
FIND("T",B2131)-(IF(ISNUMBER(FIND("F",B2131)),FIND("F",B2131)+1,FIND("G",B2131)+1))
)),
VALUE(MID(B2131,FIND("E0",B2131)+2,FIND("T",B2131,FIND("E0",B2131))-(FIND("E0",B2131)+2)))
))),"")</f>
        <v>130</v>
      </c>
      <c r="G2131">
        <f>IFERROR(
IF(ISNUMBER(FIND("T2",B2131)),220,
IF(ISNUMBER(FIND("T4",B2131)),440,
IF(ISNUMBER(FIND("T5",B2131)),575,
IF(ISNUMBER(FIND("T6",B2131)),690,"")))),
"")</f>
        <v>690</v>
      </c>
    </row>
    <row r="2132" spans="1:7" x14ac:dyDescent="0.25">
      <c r="A2132">
        <v>18433635</v>
      </c>
      <c r="B2132" t="str">
        <f>VLOOKUP(A2132,Planilha2!B:C,2,0)</f>
        <v>INVERSOR CFW900E0150T6NB20Y2B</v>
      </c>
      <c r="C2132" t="s">
        <v>3170</v>
      </c>
      <c r="D2132" t="str">
        <f>VLOOKUP(A2132,Planilha2!B:H,7,0)</f>
        <v>PROD. EM LPS/LP</v>
      </c>
      <c r="E2132" s="5">
        <v>63500</v>
      </c>
      <c r="F2132">
        <f>IFERROR(
IF(ISNUMBER(FIND("CFW110",B2132)),
VALUE(MID(B2132,FIND("CFW110",B2132)+6,FIND("T",B2132,FIND("CFW110",B2132))-(FIND("CFW110",B2132)+6))),
IF(ISNUMBER(FIND("D",B2132)),
VALUE(SUBSTITUTE(MID(B2132,FIND("D",B2132)+1,FIND("T",B2132,FIND("D",B2132))-(FIND("D",B2132)+1)),"P",",")),
IF(ISNUMBER(FIND("CFW5",B2132)),
VALUE(MID(B2132,
IF(ISNUMBER(FIND("F",B2132)),FIND("F",B2132)+1,FIND("G",B2132)+1),
FIND("T",B2132)-(IF(ISNUMBER(FIND("F",B2132)),FIND("F",B2132)+1,FIND("G",B2132)+1))
)),
VALUE(MID(B2132,FIND("E0",B2132)+2,FIND("T",B2132,FIND("E0",B2132))-(FIND("E0",B2132)+2)))
))),"")</f>
        <v>150</v>
      </c>
      <c r="G2132">
        <f>IFERROR(
IF(ISNUMBER(FIND("T2",B2132)),220,
IF(ISNUMBER(FIND("T4",B2132)),440,
IF(ISNUMBER(FIND("T5",B2132)),575,
IF(ISNUMBER(FIND("T6",B2132)),690,"")))),
"")</f>
        <v>690</v>
      </c>
    </row>
    <row r="2133" spans="1:7" x14ac:dyDescent="0.25">
      <c r="A2133">
        <v>18434378</v>
      </c>
      <c r="B2133" t="str">
        <f>VLOOKUP(A2133,Planilha2!B:C,2,0)</f>
        <v>INVERSOR CFW900E0150T6DB20Y2B</v>
      </c>
      <c r="C2133" t="s">
        <v>3170</v>
      </c>
      <c r="D2133" t="str">
        <f>VLOOKUP(A2133,Planilha2!B:H,7,0)</f>
        <v>PROD. EM LPS/LP</v>
      </c>
      <c r="E2133" s="5">
        <v>63500</v>
      </c>
      <c r="F2133" t="str">
        <f>IFERROR(
IF(ISNUMBER(FIND("CFW110",B2133)),
VALUE(MID(B2133,FIND("CFW110",B2133)+6,FIND("T",B2133,FIND("CFW110",B2133))-(FIND("CFW110",B2133)+6))),
IF(ISNUMBER(FIND("D",B2133)),
VALUE(SUBSTITUTE(MID(B2133,FIND("D",B2133)+1,FIND("T",B2133,FIND("D",B2133))-(FIND("D",B2133)+1)),"P",",")),
IF(ISNUMBER(FIND("CFW5",B2133)),
VALUE(MID(B2133,
IF(ISNUMBER(FIND("F",B2133)),FIND("F",B2133)+1,FIND("G",B2133)+1),
FIND("T",B2133)-(IF(ISNUMBER(FIND("F",B2133)),FIND("F",B2133)+1,FIND("G",B2133)+1))
)),
VALUE(MID(B2133,FIND("E0",B2133)+2,FIND("T",B2133,FIND("E0",B2133))-(FIND("E0",B2133)+2)))
))),"")</f>
        <v/>
      </c>
      <c r="G2133">
        <f>IFERROR(
IF(ISNUMBER(FIND("T2",B2133)),220,
IF(ISNUMBER(FIND("T4",B2133)),440,
IF(ISNUMBER(FIND("T5",B2133)),575,
IF(ISNUMBER(FIND("T6",B2133)),690,"")))),
"")</f>
        <v>690</v>
      </c>
    </row>
    <row r="2134" spans="1:7" x14ac:dyDescent="0.25">
      <c r="A2134">
        <v>18434380</v>
      </c>
      <c r="B2134" t="str">
        <f>VLOOKUP(A2134,Planilha2!B:C,2,0)</f>
        <v>INVERSOR CFW900E0176T6NB20Y2B</v>
      </c>
      <c r="C2134" t="s">
        <v>3170</v>
      </c>
      <c r="D2134" t="str">
        <f>VLOOKUP(A2134,Planilha2!B:H,7,0)</f>
        <v>PROD. EM LPS/LP</v>
      </c>
      <c r="E2134" s="5">
        <v>63500</v>
      </c>
      <c r="F2134">
        <f>IFERROR(
IF(ISNUMBER(FIND("CFW110",B2134)),
VALUE(MID(B2134,FIND("CFW110",B2134)+6,FIND("T",B2134,FIND("CFW110",B2134))-(FIND("CFW110",B2134)+6))),
IF(ISNUMBER(FIND("D",B2134)),
VALUE(SUBSTITUTE(MID(B2134,FIND("D",B2134)+1,FIND("T",B2134,FIND("D",B2134))-(FIND("D",B2134)+1)),"P",",")),
IF(ISNUMBER(FIND("CFW5",B2134)),
VALUE(MID(B2134,
IF(ISNUMBER(FIND("F",B2134)),FIND("F",B2134)+1,FIND("G",B2134)+1),
FIND("T",B2134)-(IF(ISNUMBER(FIND("F",B2134)),FIND("F",B2134)+1,FIND("G",B2134)+1))
)),
VALUE(MID(B2134,FIND("E0",B2134)+2,FIND("T",B2134,FIND("E0",B2134))-(FIND("E0",B2134)+2)))
))),"")</f>
        <v>176</v>
      </c>
      <c r="G2134">
        <f>IFERROR(
IF(ISNUMBER(FIND("T2",B2134)),220,
IF(ISNUMBER(FIND("T4",B2134)),440,
IF(ISNUMBER(FIND("T5",B2134)),575,
IF(ISNUMBER(FIND("T6",B2134)),690,"")))),
"")</f>
        <v>690</v>
      </c>
    </row>
    <row r="2135" spans="1:7" x14ac:dyDescent="0.25">
      <c r="A2135">
        <v>18434381</v>
      </c>
      <c r="B2135" t="str">
        <f>VLOOKUP(A2135,Planilha2!B:C,2,0)</f>
        <v>INVERSOR CFW900E0176T6DB20Y2B</v>
      </c>
      <c r="C2135" t="s">
        <v>3170</v>
      </c>
      <c r="D2135" t="str">
        <f>VLOOKUP(A2135,Planilha2!B:H,7,0)</f>
        <v>PROD. EM LPS/LP</v>
      </c>
      <c r="E2135" s="5">
        <v>63500</v>
      </c>
      <c r="F2135" t="str">
        <f>IFERROR(
IF(ISNUMBER(FIND("CFW110",B2135)),
VALUE(MID(B2135,FIND("CFW110",B2135)+6,FIND("T",B2135,FIND("CFW110",B2135))-(FIND("CFW110",B2135)+6))),
IF(ISNUMBER(FIND("D",B2135)),
VALUE(SUBSTITUTE(MID(B2135,FIND("D",B2135)+1,FIND("T",B2135,FIND("D",B2135))-(FIND("D",B2135)+1)),"P",",")),
IF(ISNUMBER(FIND("CFW5",B2135)),
VALUE(MID(B2135,
IF(ISNUMBER(FIND("F",B2135)),FIND("F",B2135)+1,FIND("G",B2135)+1),
FIND("T",B2135)-(IF(ISNUMBER(FIND("F",B2135)),FIND("F",B2135)+1,FIND("G",B2135)+1))
)),
VALUE(MID(B2135,FIND("E0",B2135)+2,FIND("T",B2135,FIND("E0",B2135))-(FIND("E0",B2135)+2)))
))),"")</f>
        <v/>
      </c>
      <c r="G2135">
        <f>IFERROR(
IF(ISNUMBER(FIND("T2",B2135)),220,
IF(ISNUMBER(FIND("T4",B2135)),440,
IF(ISNUMBER(FIND("T5",B2135)),575,
IF(ISNUMBER(FIND("T6",B2135)),690,"")))),
"")</f>
        <v>690</v>
      </c>
    </row>
    <row r="2136" spans="1:7" x14ac:dyDescent="0.25">
      <c r="A2136">
        <v>18434461</v>
      </c>
      <c r="B2136" t="str">
        <f>VLOOKUP(A2136,Planilha2!B:C,2,0)</f>
        <v>INVERSOR CFW900E0192T6NB20Y2B</v>
      </c>
      <c r="C2136" t="s">
        <v>3170</v>
      </c>
      <c r="D2136" t="str">
        <f>VLOOKUP(A2136,Planilha2!B:H,7,0)</f>
        <v>PROD. EM LPS/LP</v>
      </c>
      <c r="E2136" s="5">
        <v>63500</v>
      </c>
      <c r="F2136">
        <f>IFERROR(
IF(ISNUMBER(FIND("CFW110",B2136)),
VALUE(MID(B2136,FIND("CFW110",B2136)+6,FIND("T",B2136,FIND("CFW110",B2136))-(FIND("CFW110",B2136)+6))),
IF(ISNUMBER(FIND("D",B2136)),
VALUE(SUBSTITUTE(MID(B2136,FIND("D",B2136)+1,FIND("T",B2136,FIND("D",B2136))-(FIND("D",B2136)+1)),"P",",")),
IF(ISNUMBER(FIND("CFW5",B2136)),
VALUE(MID(B2136,
IF(ISNUMBER(FIND("F",B2136)),FIND("F",B2136)+1,FIND("G",B2136)+1),
FIND("T",B2136)-(IF(ISNUMBER(FIND("F",B2136)),FIND("F",B2136)+1,FIND("G",B2136)+1))
)),
VALUE(MID(B2136,FIND("E0",B2136)+2,FIND("T",B2136,FIND("E0",B2136))-(FIND("E0",B2136)+2)))
))),"")</f>
        <v>192</v>
      </c>
      <c r="G2136">
        <f>IFERROR(
IF(ISNUMBER(FIND("T2",B2136)),220,
IF(ISNUMBER(FIND("T4",B2136)),440,
IF(ISNUMBER(FIND("T5",B2136)),575,
IF(ISNUMBER(FIND("T6",B2136)),690,"")))),
"")</f>
        <v>690</v>
      </c>
    </row>
    <row r="2137" spans="1:7" x14ac:dyDescent="0.25">
      <c r="A2137">
        <v>18434464</v>
      </c>
      <c r="B2137" t="str">
        <f>VLOOKUP(A2137,Planilha2!B:C,2,0)</f>
        <v>INVERSOR CFW900E0192T6DB20Y2B</v>
      </c>
      <c r="C2137" t="s">
        <v>3170</v>
      </c>
      <c r="D2137" t="str">
        <f>VLOOKUP(A2137,Planilha2!B:H,7,0)</f>
        <v>PROD. EM LPS/LP</v>
      </c>
      <c r="E2137" s="5">
        <v>63500</v>
      </c>
      <c r="F2137" t="str">
        <f>IFERROR(
IF(ISNUMBER(FIND("CFW110",B2137)),
VALUE(MID(B2137,FIND("CFW110",B2137)+6,FIND("T",B2137,FIND("CFW110",B2137))-(FIND("CFW110",B2137)+6))),
IF(ISNUMBER(FIND("D",B2137)),
VALUE(SUBSTITUTE(MID(B2137,FIND("D",B2137)+1,FIND("T",B2137,FIND("D",B2137))-(FIND("D",B2137)+1)),"P",",")),
IF(ISNUMBER(FIND("CFW5",B2137)),
VALUE(MID(B2137,
IF(ISNUMBER(FIND("F",B2137)),FIND("F",B2137)+1,FIND("G",B2137)+1),
FIND("T",B2137)-(IF(ISNUMBER(FIND("F",B2137)),FIND("F",B2137)+1,FIND("G",B2137)+1))
)),
VALUE(MID(B2137,FIND("E0",B2137)+2,FIND("T",B2137,FIND("E0",B2137))-(FIND("E0",B2137)+2)))
))),"")</f>
        <v/>
      </c>
      <c r="G2137">
        <f>IFERROR(
IF(ISNUMBER(FIND("T2",B2137)),220,
IF(ISNUMBER(FIND("T4",B2137)),440,
IF(ISNUMBER(FIND("T5",B2137)),575,
IF(ISNUMBER(FIND("T6",B2137)),690,"")))),
"")</f>
        <v>690</v>
      </c>
    </row>
    <row r="2138" spans="1:7" x14ac:dyDescent="0.25">
      <c r="A2138">
        <v>18434467</v>
      </c>
      <c r="B2138" t="str">
        <f>VLOOKUP(A2138,Planilha2!B:C,2,0)</f>
        <v>INVERSOR CFW900E0107T6NB20Y2</v>
      </c>
      <c r="C2138" t="s">
        <v>3170</v>
      </c>
      <c r="D2138" t="str">
        <f>VLOOKUP(A2138,Planilha2!B:H,7,0)</f>
        <v>PROD. EM LPS/LP</v>
      </c>
      <c r="E2138" s="5">
        <v>63500</v>
      </c>
      <c r="F2138">
        <f>IFERROR(
IF(ISNUMBER(FIND("CFW110",B2138)),
VALUE(MID(B2138,FIND("CFW110",B2138)+6,FIND("T",B2138,FIND("CFW110",B2138))-(FIND("CFW110",B2138)+6))),
IF(ISNUMBER(FIND("D",B2138)),
VALUE(SUBSTITUTE(MID(B2138,FIND("D",B2138)+1,FIND("T",B2138,FIND("D",B2138))-(FIND("D",B2138)+1)),"P",",")),
IF(ISNUMBER(FIND("CFW5",B2138)),
VALUE(MID(B2138,
IF(ISNUMBER(FIND("F",B2138)),FIND("F",B2138)+1,FIND("G",B2138)+1),
FIND("T",B2138)-(IF(ISNUMBER(FIND("F",B2138)),FIND("F",B2138)+1,FIND("G",B2138)+1))
)),
VALUE(MID(B2138,FIND("E0",B2138)+2,FIND("T",B2138,FIND("E0",B2138))-(FIND("E0",B2138)+2)))
))),"")</f>
        <v>107</v>
      </c>
      <c r="G2138">
        <f>IFERROR(
IF(ISNUMBER(FIND("T2",B2138)),220,
IF(ISNUMBER(FIND("T4",B2138)),440,
IF(ISNUMBER(FIND("T5",B2138)),575,
IF(ISNUMBER(FIND("T6",B2138)),690,"")))),
"")</f>
        <v>690</v>
      </c>
    </row>
    <row r="2139" spans="1:7" x14ac:dyDescent="0.25">
      <c r="A2139">
        <v>18434601</v>
      </c>
      <c r="B2139" t="str">
        <f>VLOOKUP(A2139,Planilha2!B:C,2,0)</f>
        <v>INVERSOR CFW900E0107T6DB20Y2</v>
      </c>
      <c r="C2139" t="s">
        <v>3170</v>
      </c>
      <c r="D2139" t="str">
        <f>VLOOKUP(A2139,Planilha2!B:H,7,0)</f>
        <v>PROD. EM LPS/LP</v>
      </c>
      <c r="E2139" s="5">
        <v>63500</v>
      </c>
      <c r="F2139" t="str">
        <f>IFERROR(
IF(ISNUMBER(FIND("CFW110",B2139)),
VALUE(MID(B2139,FIND("CFW110",B2139)+6,FIND("T",B2139,FIND("CFW110",B2139))-(FIND("CFW110",B2139)+6))),
IF(ISNUMBER(FIND("D",B2139)),
VALUE(SUBSTITUTE(MID(B2139,FIND("D",B2139)+1,FIND("T",B2139,FIND("D",B2139))-(FIND("D",B2139)+1)),"P",",")),
IF(ISNUMBER(FIND("CFW5",B2139)),
VALUE(MID(B2139,
IF(ISNUMBER(FIND("F",B2139)),FIND("F",B2139)+1,FIND("G",B2139)+1),
FIND("T",B2139)-(IF(ISNUMBER(FIND("F",B2139)),FIND("F",B2139)+1,FIND("G",B2139)+1))
)),
VALUE(MID(B2139,FIND("E0",B2139)+2,FIND("T",B2139,FIND("E0",B2139))-(FIND("E0",B2139)+2)))
))),"")</f>
        <v/>
      </c>
      <c r="G2139">
        <f>IFERROR(
IF(ISNUMBER(FIND("T2",B2139)),220,
IF(ISNUMBER(FIND("T4",B2139)),440,
IF(ISNUMBER(FIND("T5",B2139)),575,
IF(ISNUMBER(FIND("T6",B2139)),690,"")))),
"")</f>
        <v>690</v>
      </c>
    </row>
    <row r="2140" spans="1:7" x14ac:dyDescent="0.25">
      <c r="A2140">
        <v>18434602</v>
      </c>
      <c r="B2140" t="str">
        <f>VLOOKUP(A2140,Planilha2!B:C,2,0)</f>
        <v>INVERSOR CFW900E0130T6NB20Y2</v>
      </c>
      <c r="C2140" t="s">
        <v>3170</v>
      </c>
      <c r="D2140" t="str">
        <f>VLOOKUP(A2140,Planilha2!B:H,7,0)</f>
        <v>PROD. EM LPS/LP</v>
      </c>
      <c r="E2140" s="5">
        <v>63500</v>
      </c>
      <c r="F2140">
        <f>IFERROR(
IF(ISNUMBER(FIND("CFW110",B2140)),
VALUE(MID(B2140,FIND("CFW110",B2140)+6,FIND("T",B2140,FIND("CFW110",B2140))-(FIND("CFW110",B2140)+6))),
IF(ISNUMBER(FIND("D",B2140)),
VALUE(SUBSTITUTE(MID(B2140,FIND("D",B2140)+1,FIND("T",B2140,FIND("D",B2140))-(FIND("D",B2140)+1)),"P",",")),
IF(ISNUMBER(FIND("CFW5",B2140)),
VALUE(MID(B2140,
IF(ISNUMBER(FIND("F",B2140)),FIND("F",B2140)+1,FIND("G",B2140)+1),
FIND("T",B2140)-(IF(ISNUMBER(FIND("F",B2140)),FIND("F",B2140)+1,FIND("G",B2140)+1))
)),
VALUE(MID(B2140,FIND("E0",B2140)+2,FIND("T",B2140,FIND("E0",B2140))-(FIND("E0",B2140)+2)))
))),"")</f>
        <v>130</v>
      </c>
      <c r="G2140">
        <f>IFERROR(
IF(ISNUMBER(FIND("T2",B2140)),220,
IF(ISNUMBER(FIND("T4",B2140)),440,
IF(ISNUMBER(FIND("T5",B2140)),575,
IF(ISNUMBER(FIND("T6",B2140)),690,"")))),
"")</f>
        <v>690</v>
      </c>
    </row>
    <row r="2141" spans="1:7" x14ac:dyDescent="0.25">
      <c r="A2141">
        <v>18434605</v>
      </c>
      <c r="B2141" t="str">
        <f>VLOOKUP(A2141,Planilha2!B:C,2,0)</f>
        <v>INVERSOR CFW900E0130T6DB20Y2</v>
      </c>
      <c r="C2141" t="s">
        <v>3170</v>
      </c>
      <c r="D2141" t="str">
        <f>VLOOKUP(A2141,Planilha2!B:H,7,0)</f>
        <v>PROD. EM LPS/LP</v>
      </c>
      <c r="E2141" s="5">
        <v>63500</v>
      </c>
      <c r="F2141" t="str">
        <f>IFERROR(
IF(ISNUMBER(FIND("CFW110",B2141)),
VALUE(MID(B2141,FIND("CFW110",B2141)+6,FIND("T",B2141,FIND("CFW110",B2141))-(FIND("CFW110",B2141)+6))),
IF(ISNUMBER(FIND("D",B2141)),
VALUE(SUBSTITUTE(MID(B2141,FIND("D",B2141)+1,FIND("T",B2141,FIND("D",B2141))-(FIND("D",B2141)+1)),"P",",")),
IF(ISNUMBER(FIND("CFW5",B2141)),
VALUE(MID(B2141,
IF(ISNUMBER(FIND("F",B2141)),FIND("F",B2141)+1,FIND("G",B2141)+1),
FIND("T",B2141)-(IF(ISNUMBER(FIND("F",B2141)),FIND("F",B2141)+1,FIND("G",B2141)+1))
)),
VALUE(MID(B2141,FIND("E0",B2141)+2,FIND("T",B2141,FIND("E0",B2141))-(FIND("E0",B2141)+2)))
))),"")</f>
        <v/>
      </c>
      <c r="G2141">
        <f>IFERROR(
IF(ISNUMBER(FIND("T2",B2141)),220,
IF(ISNUMBER(FIND("T4",B2141)),440,
IF(ISNUMBER(FIND("T5",B2141)),575,
IF(ISNUMBER(FIND("T6",B2141)),690,"")))),
"")</f>
        <v>690</v>
      </c>
    </row>
    <row r="2142" spans="1:7" x14ac:dyDescent="0.25">
      <c r="A2142">
        <v>18434663</v>
      </c>
      <c r="B2142" t="str">
        <f>VLOOKUP(A2142,Planilha2!B:C,2,0)</f>
        <v>INVERSOR CFW900E0150T6NB20Y2</v>
      </c>
      <c r="C2142" t="s">
        <v>3170</v>
      </c>
      <c r="D2142" t="str">
        <f>VLOOKUP(A2142,Planilha2!B:H,7,0)</f>
        <v>PROD. EM LPS/LP</v>
      </c>
      <c r="E2142" s="5">
        <v>63500</v>
      </c>
      <c r="F2142">
        <f>IFERROR(
IF(ISNUMBER(FIND("CFW110",B2142)),
VALUE(MID(B2142,FIND("CFW110",B2142)+6,FIND("T",B2142,FIND("CFW110",B2142))-(FIND("CFW110",B2142)+6))),
IF(ISNUMBER(FIND("D",B2142)),
VALUE(SUBSTITUTE(MID(B2142,FIND("D",B2142)+1,FIND("T",B2142,FIND("D",B2142))-(FIND("D",B2142)+1)),"P",",")),
IF(ISNUMBER(FIND("CFW5",B2142)),
VALUE(MID(B2142,
IF(ISNUMBER(FIND("F",B2142)),FIND("F",B2142)+1,FIND("G",B2142)+1),
FIND("T",B2142)-(IF(ISNUMBER(FIND("F",B2142)),FIND("F",B2142)+1,FIND("G",B2142)+1))
)),
VALUE(MID(B2142,FIND("E0",B2142)+2,FIND("T",B2142,FIND("E0",B2142))-(FIND("E0",B2142)+2)))
))),"")</f>
        <v>150</v>
      </c>
      <c r="G2142">
        <f>IFERROR(
IF(ISNUMBER(FIND("T2",B2142)),220,
IF(ISNUMBER(FIND("T4",B2142)),440,
IF(ISNUMBER(FIND("T5",B2142)),575,
IF(ISNUMBER(FIND("T6",B2142)),690,"")))),
"")</f>
        <v>690</v>
      </c>
    </row>
    <row r="2143" spans="1:7" x14ac:dyDescent="0.25">
      <c r="A2143">
        <v>18434805</v>
      </c>
      <c r="B2143" t="str">
        <f>VLOOKUP(A2143,Planilha2!B:C,2,0)</f>
        <v>INVERSOR CFW900E0150T6DB20Y2</v>
      </c>
      <c r="C2143" t="s">
        <v>3170</v>
      </c>
      <c r="D2143" t="str">
        <f>VLOOKUP(A2143,Planilha2!B:H,7,0)</f>
        <v>PROD. EM LPS/LP</v>
      </c>
      <c r="E2143" s="5">
        <v>63500</v>
      </c>
      <c r="F2143" t="str">
        <f>IFERROR(
IF(ISNUMBER(FIND("CFW110",B2143)),
VALUE(MID(B2143,FIND("CFW110",B2143)+6,FIND("T",B2143,FIND("CFW110",B2143))-(FIND("CFW110",B2143)+6))),
IF(ISNUMBER(FIND("D",B2143)),
VALUE(SUBSTITUTE(MID(B2143,FIND("D",B2143)+1,FIND("T",B2143,FIND("D",B2143))-(FIND("D",B2143)+1)),"P",",")),
IF(ISNUMBER(FIND("CFW5",B2143)),
VALUE(MID(B2143,
IF(ISNUMBER(FIND("F",B2143)),FIND("F",B2143)+1,FIND("G",B2143)+1),
FIND("T",B2143)-(IF(ISNUMBER(FIND("F",B2143)),FIND("F",B2143)+1,FIND("G",B2143)+1))
)),
VALUE(MID(B2143,FIND("E0",B2143)+2,FIND("T",B2143,FIND("E0",B2143))-(FIND("E0",B2143)+2)))
))),"")</f>
        <v/>
      </c>
      <c r="G2143">
        <f>IFERROR(
IF(ISNUMBER(FIND("T2",B2143)),220,
IF(ISNUMBER(FIND("T4",B2143)),440,
IF(ISNUMBER(FIND("T5",B2143)),575,
IF(ISNUMBER(FIND("T6",B2143)),690,"")))),
"")</f>
        <v>690</v>
      </c>
    </row>
    <row r="2144" spans="1:7" x14ac:dyDescent="0.25">
      <c r="A2144">
        <v>18434914</v>
      </c>
      <c r="B2144" t="str">
        <f>VLOOKUP(A2144,Planilha2!B:C,2,0)</f>
        <v>INVERSOR CFW900E0176T6NB20Y2</v>
      </c>
      <c r="C2144" t="s">
        <v>3170</v>
      </c>
      <c r="D2144" t="str">
        <f>VLOOKUP(A2144,Planilha2!B:H,7,0)</f>
        <v>PROD. EM LPS/LP</v>
      </c>
      <c r="E2144" s="5">
        <v>63500</v>
      </c>
      <c r="F2144">
        <f>IFERROR(
IF(ISNUMBER(FIND("CFW110",B2144)),
VALUE(MID(B2144,FIND("CFW110",B2144)+6,FIND("T",B2144,FIND("CFW110",B2144))-(FIND("CFW110",B2144)+6))),
IF(ISNUMBER(FIND("D",B2144)),
VALUE(SUBSTITUTE(MID(B2144,FIND("D",B2144)+1,FIND("T",B2144,FIND("D",B2144))-(FIND("D",B2144)+1)),"P",",")),
IF(ISNUMBER(FIND("CFW5",B2144)),
VALUE(MID(B2144,
IF(ISNUMBER(FIND("F",B2144)),FIND("F",B2144)+1,FIND("G",B2144)+1),
FIND("T",B2144)-(IF(ISNUMBER(FIND("F",B2144)),FIND("F",B2144)+1,FIND("G",B2144)+1))
)),
VALUE(MID(B2144,FIND("E0",B2144)+2,FIND("T",B2144,FIND("E0",B2144))-(FIND("E0",B2144)+2)))
))),"")</f>
        <v>176</v>
      </c>
      <c r="G2144">
        <f>IFERROR(
IF(ISNUMBER(FIND("T2",B2144)),220,
IF(ISNUMBER(FIND("T4",B2144)),440,
IF(ISNUMBER(FIND("T5",B2144)),575,
IF(ISNUMBER(FIND("T6",B2144)),690,"")))),
"")</f>
        <v>690</v>
      </c>
    </row>
    <row r="2145" spans="1:7" x14ac:dyDescent="0.25">
      <c r="A2145">
        <v>18435073</v>
      </c>
      <c r="B2145" t="str">
        <f>VLOOKUP(A2145,Planilha2!B:C,2,0)</f>
        <v>INVERSOR CFW900E0176T6DB20Y2</v>
      </c>
      <c r="C2145" t="s">
        <v>3170</v>
      </c>
      <c r="D2145" t="str">
        <f>VLOOKUP(A2145,Planilha2!B:H,7,0)</f>
        <v>PROD. EM LPS/LP</v>
      </c>
      <c r="E2145" s="5">
        <v>63500</v>
      </c>
      <c r="F2145" t="str">
        <f>IFERROR(
IF(ISNUMBER(FIND("CFW110",B2145)),
VALUE(MID(B2145,FIND("CFW110",B2145)+6,FIND("T",B2145,FIND("CFW110",B2145))-(FIND("CFW110",B2145)+6))),
IF(ISNUMBER(FIND("D",B2145)),
VALUE(SUBSTITUTE(MID(B2145,FIND("D",B2145)+1,FIND("T",B2145,FIND("D",B2145))-(FIND("D",B2145)+1)),"P",",")),
IF(ISNUMBER(FIND("CFW5",B2145)),
VALUE(MID(B2145,
IF(ISNUMBER(FIND("F",B2145)),FIND("F",B2145)+1,FIND("G",B2145)+1),
FIND("T",B2145)-(IF(ISNUMBER(FIND("F",B2145)),FIND("F",B2145)+1,FIND("G",B2145)+1))
)),
VALUE(MID(B2145,FIND("E0",B2145)+2,FIND("T",B2145,FIND("E0",B2145))-(FIND("E0",B2145)+2)))
))),"")</f>
        <v/>
      </c>
      <c r="G2145">
        <f>IFERROR(
IF(ISNUMBER(FIND("T2",B2145)),220,
IF(ISNUMBER(FIND("T4",B2145)),440,
IF(ISNUMBER(FIND("T5",B2145)),575,
IF(ISNUMBER(FIND("T6",B2145)),690,"")))),
"")</f>
        <v>690</v>
      </c>
    </row>
    <row r="2146" spans="1:7" x14ac:dyDescent="0.25">
      <c r="A2146">
        <v>18435076</v>
      </c>
      <c r="B2146" t="str">
        <f>VLOOKUP(A2146,Planilha2!B:C,2,0)</f>
        <v>INVERSOR CFW900E0192T6NB20Y2</v>
      </c>
      <c r="C2146" t="s">
        <v>3170</v>
      </c>
      <c r="D2146" t="str">
        <f>VLOOKUP(A2146,Planilha2!B:H,7,0)</f>
        <v>PROD. EM LPS/LP</v>
      </c>
      <c r="E2146" s="5">
        <v>63500</v>
      </c>
      <c r="F2146">
        <f>IFERROR(
IF(ISNUMBER(FIND("CFW110",B2146)),
VALUE(MID(B2146,FIND("CFW110",B2146)+6,FIND("T",B2146,FIND("CFW110",B2146))-(FIND("CFW110",B2146)+6))),
IF(ISNUMBER(FIND("D",B2146)),
VALUE(SUBSTITUTE(MID(B2146,FIND("D",B2146)+1,FIND("T",B2146,FIND("D",B2146))-(FIND("D",B2146)+1)),"P",",")),
IF(ISNUMBER(FIND("CFW5",B2146)),
VALUE(MID(B2146,
IF(ISNUMBER(FIND("F",B2146)),FIND("F",B2146)+1,FIND("G",B2146)+1),
FIND("T",B2146)-(IF(ISNUMBER(FIND("F",B2146)),FIND("F",B2146)+1,FIND("G",B2146)+1))
)),
VALUE(MID(B2146,FIND("E0",B2146)+2,FIND("T",B2146,FIND("E0",B2146))-(FIND("E0",B2146)+2)))
))),"")</f>
        <v>192</v>
      </c>
      <c r="G2146">
        <f>IFERROR(
IF(ISNUMBER(FIND("T2",B2146)),220,
IF(ISNUMBER(FIND("T4",B2146)),440,
IF(ISNUMBER(FIND("T5",B2146)),575,
IF(ISNUMBER(FIND("T6",B2146)),690,"")))),
"")</f>
        <v>690</v>
      </c>
    </row>
    <row r="2147" spans="1:7" x14ac:dyDescent="0.25">
      <c r="A2147">
        <v>18435161</v>
      </c>
      <c r="B2147" t="str">
        <f>VLOOKUP(A2147,Planilha2!B:C,2,0)</f>
        <v>INVERSOR CFW900E0192T6DB20Y2</v>
      </c>
      <c r="C2147" t="s">
        <v>3170</v>
      </c>
      <c r="D2147" t="str">
        <f>VLOOKUP(A2147,Planilha2!B:H,7,0)</f>
        <v>PROD. EM LPS/LP</v>
      </c>
      <c r="E2147" s="5">
        <v>63500</v>
      </c>
      <c r="F2147" t="str">
        <f>IFERROR(
IF(ISNUMBER(FIND("CFW110",B2147)),
VALUE(MID(B2147,FIND("CFW110",B2147)+6,FIND("T",B2147,FIND("CFW110",B2147))-(FIND("CFW110",B2147)+6))),
IF(ISNUMBER(FIND("D",B2147)),
VALUE(SUBSTITUTE(MID(B2147,FIND("D",B2147)+1,FIND("T",B2147,FIND("D",B2147))-(FIND("D",B2147)+1)),"P",",")),
IF(ISNUMBER(FIND("CFW5",B2147)),
VALUE(MID(B2147,
IF(ISNUMBER(FIND("F",B2147)),FIND("F",B2147)+1,FIND("G",B2147)+1),
FIND("T",B2147)-(IF(ISNUMBER(FIND("F",B2147)),FIND("F",B2147)+1,FIND("G",B2147)+1))
)),
VALUE(MID(B2147,FIND("E0",B2147)+2,FIND("T",B2147,FIND("E0",B2147))-(FIND("E0",B2147)+2)))
))),"")</f>
        <v/>
      </c>
      <c r="G2147">
        <f>IFERROR(
IF(ISNUMBER(FIND("T2",B2147)),220,
IF(ISNUMBER(FIND("T4",B2147)),440,
IF(ISNUMBER(FIND("T5",B2147)),575,
IF(ISNUMBER(FIND("T6",B2147)),690,"")))),
"")</f>
        <v>690</v>
      </c>
    </row>
    <row r="2148" spans="1:7" x14ac:dyDescent="0.25">
      <c r="A2148">
        <v>18433633</v>
      </c>
      <c r="B2148" t="str">
        <f>VLOOKUP(A2148,Planilha2!B:C,2,0)</f>
        <v>INVERSOR CFW900E0130T6DB20Y2B</v>
      </c>
      <c r="C2148" t="s">
        <v>3170</v>
      </c>
      <c r="D2148" t="str">
        <f>VLOOKUP(A2148,Planilha2!B:H,7,0)</f>
        <v>LINHA G1</v>
      </c>
      <c r="E2148" s="5">
        <v>63500</v>
      </c>
      <c r="F2148" t="str">
        <f>IFERROR(
IF(ISNUMBER(FIND("CFW110",B2148)),
VALUE(MID(B2148,FIND("CFW110",B2148)+6,FIND("T",B2148,FIND("CFW110",B2148))-(FIND("CFW110",B2148)+6))),
IF(ISNUMBER(FIND("D",B2148)),
VALUE(SUBSTITUTE(MID(B2148,FIND("D",B2148)+1,FIND("T",B2148,FIND("D",B2148))-(FIND("D",B2148)+1)),"P",",")),
IF(ISNUMBER(FIND("CFW5",B2148)),
VALUE(MID(B2148,
IF(ISNUMBER(FIND("F",B2148)),FIND("F",B2148)+1,FIND("G",B2148)+1),
FIND("T",B2148)-(IF(ISNUMBER(FIND("F",B2148)),FIND("F",B2148)+1,FIND("G",B2148)+1))
)),
VALUE(MID(B2148,FIND("E0",B2148)+2,FIND("T",B2148,FIND("E0",B2148))-(FIND("E0",B2148)+2)))
))),"")</f>
        <v/>
      </c>
      <c r="G2148">
        <f>IFERROR(
IF(ISNUMBER(FIND("T2",B2148)),220,
IF(ISNUMBER(FIND("T4",B2148)),440,
IF(ISNUMBER(FIND("T5",B2148)),575,
IF(ISNUMBER(FIND("T6",B2148)),690,"")))),
"")</f>
        <v>690</v>
      </c>
    </row>
    <row r="2149" spans="1:7" x14ac:dyDescent="0.25">
      <c r="A2149">
        <v>15413430</v>
      </c>
      <c r="B2149" t="str">
        <f>VLOOKUP(A2149,Planilha2!B:C,2,0)</f>
        <v>INVERSOR BRCFW110211T4ORBH2SQECZ</v>
      </c>
      <c r="C2149" t="s">
        <v>3170</v>
      </c>
      <c r="D2149" t="str">
        <f>VLOOKUP(A2149,Planilha2!B:H,7,0)</f>
        <v>LINHA G1</v>
      </c>
      <c r="E2149" s="5">
        <v>68288</v>
      </c>
      <c r="F2149">
        <f>IFERROR(
IF(ISNUMBER(FIND("CFW110",B2149)),
VALUE(MID(B2149,FIND("CFW110",B2149)+6,FIND("T",B2149,FIND("CFW110",B2149))-(FIND("CFW110",B2149)+6))),
IF(ISNUMBER(FIND("D",B2149)),
VALUE(SUBSTITUTE(MID(B2149,FIND("D",B2149)+1,FIND("T",B2149,FIND("D",B2149))-(FIND("D",B2149)+1)),"P",",")),
IF(ISNUMBER(FIND("CFW5",B2149)),
VALUE(MID(B2149,
IF(ISNUMBER(FIND("F",B2149)),FIND("F",B2149)+1,FIND("G",B2149)+1),
FIND("T",B2149)-(IF(ISNUMBER(FIND("F",B2149)),FIND("F",B2149)+1,FIND("G",B2149)+1))
)),
VALUE(MID(B2149,FIND("E0",B2149)+2,FIND("T",B2149,FIND("E0",B2149))-(FIND("E0",B2149)+2)))
))),"")</f>
        <v>211</v>
      </c>
      <c r="G2149">
        <f>IFERROR(
IF(ISNUMBER(FIND("T2",B2149)),220,
IF(ISNUMBER(FIND("T4",B2149)),440,
IF(ISNUMBER(FIND("T5",B2149)),575,
IF(ISNUMBER(FIND("T6",B2149)),690,"")))),
"")</f>
        <v>440</v>
      </c>
    </row>
    <row r="2150" spans="1:7" x14ac:dyDescent="0.25">
      <c r="A2150">
        <v>15413435</v>
      </c>
      <c r="B2150" t="str">
        <f>VLOOKUP(A2150,Planilha2!B:C,2,0)</f>
        <v>INVERSOR BRCFW110477T4ORBH1SQECZ</v>
      </c>
      <c r="C2150" t="s">
        <v>3170</v>
      </c>
      <c r="D2150" t="str">
        <f>VLOOKUP(A2150,Planilha2!B:H,7,0)</f>
        <v>LINHA G3</v>
      </c>
      <c r="E2150" s="5">
        <v>140586</v>
      </c>
      <c r="F2150">
        <f>IFERROR(
IF(ISNUMBER(FIND("CFW110",B2150)),
VALUE(MID(B2150,FIND("CFW110",B2150)+6,FIND("T",B2150,FIND("CFW110",B2150))-(FIND("CFW110",B2150)+6))),
IF(ISNUMBER(FIND("D",B2150)),
VALUE(SUBSTITUTE(MID(B2150,FIND("D",B2150)+1,FIND("T",B2150,FIND("D",B2150))-(FIND("D",B2150)+1)),"P",",")),
IF(ISNUMBER(FIND("CFW5",B2150)),
VALUE(MID(B2150,
IF(ISNUMBER(FIND("F",B2150)),FIND("F",B2150)+1,FIND("G",B2150)+1),
FIND("T",B2150)-(IF(ISNUMBER(FIND("F",B2150)),FIND("F",B2150)+1,FIND("G",B2150)+1))
)),
VALUE(MID(B2150,FIND("E0",B2150)+2,FIND("T",B2150,FIND("E0",B2150))-(FIND("E0",B2150)+2)))
))),"")</f>
        <v>477</v>
      </c>
      <c r="G2150">
        <f>IFERROR(
IF(ISNUMBER(FIND("T2",B2150)),220,
IF(ISNUMBER(FIND("T4",B2150)),440,
IF(ISNUMBER(FIND("T5",B2150)),575,
IF(ISNUMBER(FIND("T6",B2150)),690,"")))),
"")</f>
        <v>440</v>
      </c>
    </row>
    <row r="2151" spans="1:7" x14ac:dyDescent="0.25">
      <c r="A2151">
        <v>15416210</v>
      </c>
      <c r="B2151" t="str">
        <f>VLOOKUP(A2151,Planilha2!B:C,2,0)</f>
        <v>INVERSOR BRCFW110211T4OH2DCECZ</v>
      </c>
      <c r="C2151" t="s">
        <v>3170</v>
      </c>
      <c r="D2151" t="str">
        <f>VLOOKUP(A2151,Planilha2!B:H,7,0)</f>
        <v>LINHA G1</v>
      </c>
      <c r="E2151" s="5">
        <v>68288</v>
      </c>
      <c r="F2151">
        <f>IFERROR(
IF(ISNUMBER(FIND("CFW110",B2151)),
VALUE(MID(B2151,FIND("CFW110",B2151)+6,FIND("T",B2151,FIND("CFW110",B2151))-(FIND("CFW110",B2151)+6))),
IF(ISNUMBER(FIND("D",B2151)),
VALUE(SUBSTITUTE(MID(B2151,FIND("D",B2151)+1,FIND("T",B2151,FIND("D",B2151))-(FIND("D",B2151)+1)),"P",",")),
IF(ISNUMBER(FIND("CFW5",B2151)),
VALUE(MID(B2151,
IF(ISNUMBER(FIND("F",B2151)),FIND("F",B2151)+1,FIND("G",B2151)+1),
FIND("T",B2151)-(IF(ISNUMBER(FIND("F",B2151)),FIND("F",B2151)+1,FIND("G",B2151)+1))
)),
VALUE(MID(B2151,FIND("E0",B2151)+2,FIND("T",B2151,FIND("E0",B2151))-(FIND("E0",B2151)+2)))
))),"")</f>
        <v>211</v>
      </c>
      <c r="G2151">
        <f>IFERROR(
IF(ISNUMBER(FIND("T2",B2151)),220,
IF(ISNUMBER(FIND("T4",B2151)),440,
IF(ISNUMBER(FIND("T5",B2151)),575,
IF(ISNUMBER(FIND("T6",B2151)),690,"")))),
"")</f>
        <v>440</v>
      </c>
    </row>
    <row r="2152" spans="1:7" x14ac:dyDescent="0.25">
      <c r="A2152">
        <v>15487671</v>
      </c>
      <c r="B2152" t="str">
        <f>VLOOKUP(A2152,Planilha2!B:C,2,0)</f>
        <v>INVERSOR BRCFW110211T4ORBH2SQECZ-UI</v>
      </c>
      <c r="C2152" t="s">
        <v>3170</v>
      </c>
      <c r="D2152" t="str">
        <f>VLOOKUP(A2152,Planilha2!B:H,7,0)</f>
        <v>LINHA G1</v>
      </c>
      <c r="E2152" s="5">
        <v>68288</v>
      </c>
      <c r="F2152">
        <f>IFERROR(
IF(ISNUMBER(FIND("CFW110",B2152)),
VALUE(MID(B2152,FIND("CFW110",B2152)+6,FIND("T",B2152,FIND("CFW110",B2152))-(FIND("CFW110",B2152)+6))),
IF(ISNUMBER(FIND("D",B2152)),
VALUE(SUBSTITUTE(MID(B2152,FIND("D",B2152)+1,FIND("T",B2152,FIND("D",B2152))-(FIND("D",B2152)+1)),"P",",")),
IF(ISNUMBER(FIND("CFW5",B2152)),
VALUE(MID(B2152,
IF(ISNUMBER(FIND("F",B2152)),FIND("F",B2152)+1,FIND("G",B2152)+1),
FIND("T",B2152)-(IF(ISNUMBER(FIND("F",B2152)),FIND("F",B2152)+1,FIND("G",B2152)+1))
)),
VALUE(MID(B2152,FIND("E0",B2152)+2,FIND("T",B2152,FIND("E0",B2152))-(FIND("E0",B2152)+2)))
))),"")</f>
        <v>211</v>
      </c>
      <c r="G2152">
        <f>IFERROR(
IF(ISNUMBER(FIND("T2",B2152)),220,
IF(ISNUMBER(FIND("T4",B2152)),440,
IF(ISNUMBER(FIND("T5",B2152)),575,
IF(ISNUMBER(FIND("T6",B2152)),690,"")))),
"")</f>
        <v>440</v>
      </c>
    </row>
    <row r="2153" spans="1:7" x14ac:dyDescent="0.25">
      <c r="A2153">
        <v>15488619</v>
      </c>
      <c r="B2153" t="str">
        <f>VLOOKUP(A2153,Planilha2!B:C,2,0)</f>
        <v>INVERSOR BRCFW110211T4OH2DCECZ-UI</v>
      </c>
      <c r="C2153" t="s">
        <v>3170</v>
      </c>
      <c r="D2153" t="str">
        <f>VLOOKUP(A2153,Planilha2!B:H,7,0)</f>
        <v>LINHA G1</v>
      </c>
      <c r="E2153" s="5">
        <v>68288</v>
      </c>
      <c r="F2153">
        <f>IFERROR(
IF(ISNUMBER(FIND("CFW110",B2153)),
VALUE(MID(B2153,FIND("CFW110",B2153)+6,FIND("T",B2153,FIND("CFW110",B2153))-(FIND("CFW110",B2153)+6))),
IF(ISNUMBER(FIND("D",B2153)),
VALUE(SUBSTITUTE(MID(B2153,FIND("D",B2153)+1,FIND("T",B2153,FIND("D",B2153))-(FIND("D",B2153)+1)),"P",",")),
IF(ISNUMBER(FIND("CFW5",B2153)),
VALUE(MID(B2153,
IF(ISNUMBER(FIND("F",B2153)),FIND("F",B2153)+1,FIND("G",B2153)+1),
FIND("T",B2153)-(IF(ISNUMBER(FIND("F",B2153)),FIND("F",B2153)+1,FIND("G",B2153)+1))
)),
VALUE(MID(B2153,FIND("E0",B2153)+2,FIND("T",B2153,FIND("E0",B2153))-(FIND("E0",B2153)+2)))
))),"")</f>
        <v>211</v>
      </c>
      <c r="G2153">
        <f>IFERROR(
IF(ISNUMBER(FIND("T2",B2153)),220,
IF(ISNUMBER(FIND("T4",B2153)),440,
IF(ISNUMBER(FIND("T5",B2153)),575,
IF(ISNUMBER(FIND("T6",B2153)),690,"")))),
"")</f>
        <v>440</v>
      </c>
    </row>
    <row r="2154" spans="1:7" x14ac:dyDescent="0.25">
      <c r="A2154">
        <v>15488624</v>
      </c>
      <c r="B2154" t="str">
        <f>VLOOKUP(A2154,Planilha2!B:C,2,0)</f>
        <v>INVERSOR BRCFW110477T4ORBH1SQECZ-UI</v>
      </c>
      <c r="C2154" t="s">
        <v>3170</v>
      </c>
      <c r="D2154" t="str">
        <f>VLOOKUP(A2154,Planilha2!B:H,7,0)</f>
        <v>LINHA G3</v>
      </c>
      <c r="E2154" s="5">
        <v>140586</v>
      </c>
      <c r="F2154">
        <f>IFERROR(
IF(ISNUMBER(FIND("CFW110",B2154)),
VALUE(MID(B2154,FIND("CFW110",B2154)+6,FIND("T",B2154,FIND("CFW110",B2154))-(FIND("CFW110",B2154)+6))),
IF(ISNUMBER(FIND("D",B2154)),
VALUE(SUBSTITUTE(MID(B2154,FIND("D",B2154)+1,FIND("T",B2154,FIND("D",B2154))-(FIND("D",B2154)+1)),"P",",")),
IF(ISNUMBER(FIND("CFW5",B2154)),
VALUE(MID(B2154,
IF(ISNUMBER(FIND("F",B2154)),FIND("F",B2154)+1,FIND("G",B2154)+1),
FIND("T",B2154)-(IF(ISNUMBER(FIND("F",B2154)),FIND("F",B2154)+1,FIND("G",B2154)+1))
)),
VALUE(MID(B2154,FIND("E0",B2154)+2,FIND("T",B2154,FIND("E0",B2154))-(FIND("E0",B2154)+2)))
))),"")</f>
        <v>477</v>
      </c>
      <c r="G2154">
        <f>IFERROR(
IF(ISNUMBER(FIND("T2",B2154)),220,
IF(ISNUMBER(FIND("T4",B2154)),440,
IF(ISNUMBER(FIND("T5",B2154)),575,
IF(ISNUMBER(FIND("T6",B2154)),690,"")))),
"")</f>
        <v>440</v>
      </c>
    </row>
    <row r="2155" spans="1:7" x14ac:dyDescent="0.25">
      <c r="A2155">
        <v>15005875</v>
      </c>
      <c r="B2155" t="str">
        <f>VLOOKUP(A2155,Planilha2!B:C,2,0)</f>
        <v>INVERSOR CFW900E0195T2DB20Y2B</v>
      </c>
      <c r="C2155" t="s">
        <v>3170</v>
      </c>
      <c r="D2155" t="str">
        <f>VLOOKUP(A2155,Planilha2!B:H,7,0)</f>
        <v>LINHA G1</v>
      </c>
      <c r="E2155" s="5">
        <v>63500</v>
      </c>
      <c r="F2155" t="str">
        <f>IFERROR(
IF(ISNUMBER(FIND("CFW110",B2155)),
VALUE(MID(B2155,FIND("CFW110",B2155)+6,FIND("T",B2155,FIND("CFW110",B2155))-(FIND("CFW110",B2155)+6))),
IF(ISNUMBER(FIND("D",B2155)),
VALUE(SUBSTITUTE(MID(B2155,FIND("D",B2155)+1,FIND("T",B2155,FIND("D",B2155))-(FIND("D",B2155)+1)),"P",",")),
IF(ISNUMBER(FIND("CFW5",B2155)),
VALUE(MID(B2155,
IF(ISNUMBER(FIND("F",B2155)),FIND("F",B2155)+1,FIND("G",B2155)+1),
FIND("T",B2155)-(IF(ISNUMBER(FIND("F",B2155)),FIND("F",B2155)+1,FIND("G",B2155)+1))
)),
VALUE(MID(B2155,FIND("E0",B2155)+2,FIND("T",B2155,FIND("E0",B2155))-(FIND("E0",B2155)+2)))
))),"")</f>
        <v/>
      </c>
      <c r="G2155">
        <f>IFERROR(
IF(ISNUMBER(FIND("T2",B2155)),220,
IF(ISNUMBER(FIND("T4",B2155)),440,
IF(ISNUMBER(FIND("T5",B2155)),575,
IF(ISNUMBER(FIND("T6",B2155)),690,"")))),
"")</f>
        <v>220</v>
      </c>
    </row>
    <row r="2156" spans="1:7" x14ac:dyDescent="0.25">
      <c r="A2156">
        <v>15006038</v>
      </c>
      <c r="B2156" t="str">
        <f>VLOOKUP(A2156,Planilha2!B:C,2,0)</f>
        <v>INVERSOR CFW900E0250T2DB20Y2B</v>
      </c>
      <c r="C2156" t="s">
        <v>3170</v>
      </c>
      <c r="D2156" t="str">
        <f>VLOOKUP(A2156,Planilha2!B:H,7,0)</f>
        <v>LINHA G1</v>
      </c>
      <c r="E2156" s="5">
        <v>63500</v>
      </c>
      <c r="F2156" t="str">
        <f>IFERROR(
IF(ISNUMBER(FIND("CFW110",B2156)),
VALUE(MID(B2156,FIND("CFW110",B2156)+6,FIND("T",B2156,FIND("CFW110",B2156))-(FIND("CFW110",B2156)+6))),
IF(ISNUMBER(FIND("D",B2156)),
VALUE(SUBSTITUTE(MID(B2156,FIND("D",B2156)+1,FIND("T",B2156,FIND("D",B2156))-(FIND("D",B2156)+1)),"P",",")),
IF(ISNUMBER(FIND("CFW5",B2156)),
VALUE(MID(B2156,
IF(ISNUMBER(FIND("F",B2156)),FIND("F",B2156)+1,FIND("G",B2156)+1),
FIND("T",B2156)-(IF(ISNUMBER(FIND("F",B2156)),FIND("F",B2156)+1,FIND("G",B2156)+1))
)),
VALUE(MID(B2156,FIND("E0",B2156)+2,FIND("T",B2156,FIND("E0",B2156))-(FIND("E0",B2156)+2)))
))),"")</f>
        <v/>
      </c>
      <c r="G2156">
        <f>IFERROR(
IF(ISNUMBER(FIND("T2",B2156)),220,
IF(ISNUMBER(FIND("T4",B2156)),440,
IF(ISNUMBER(FIND("T5",B2156)),575,
IF(ISNUMBER(FIND("T6",B2156)),690,"")))),
"")</f>
        <v>220</v>
      </c>
    </row>
    <row r="2157" spans="1:7" x14ac:dyDescent="0.25">
      <c r="A2157">
        <v>15006082</v>
      </c>
      <c r="B2157" t="str">
        <f>VLOOKUP(A2157,Planilha2!B:C,2,0)</f>
        <v>INVERSOR CFW900E0203T4DB20Y2B</v>
      </c>
      <c r="C2157" t="s">
        <v>3170</v>
      </c>
      <c r="D2157" t="str">
        <f>VLOOKUP(A2157,Planilha2!B:H,7,0)</f>
        <v>LINHA G1</v>
      </c>
      <c r="E2157" s="5">
        <v>63500</v>
      </c>
      <c r="F2157" t="str">
        <f>IFERROR(
IF(ISNUMBER(FIND("CFW110",B2157)),
VALUE(MID(B2157,FIND("CFW110",B2157)+6,FIND("T",B2157,FIND("CFW110",B2157))-(FIND("CFW110",B2157)+6))),
IF(ISNUMBER(FIND("D",B2157)),
VALUE(SUBSTITUTE(MID(B2157,FIND("D",B2157)+1,FIND("T",B2157,FIND("D",B2157))-(FIND("D",B2157)+1)),"P",",")),
IF(ISNUMBER(FIND("CFW5",B2157)),
VALUE(MID(B2157,
IF(ISNUMBER(FIND("F",B2157)),FIND("F",B2157)+1,FIND("G",B2157)+1),
FIND("T",B2157)-(IF(ISNUMBER(FIND("F",B2157)),FIND("F",B2157)+1,FIND("G",B2157)+1))
)),
VALUE(MID(B2157,FIND("E0",B2157)+2,FIND("T",B2157,FIND("E0",B2157))-(FIND("E0",B2157)+2)))
))),"")</f>
        <v/>
      </c>
      <c r="G2157">
        <f>IFERROR(
IF(ISNUMBER(FIND("T2",B2157)),220,
IF(ISNUMBER(FIND("T4",B2157)),440,
IF(ISNUMBER(FIND("T5",B2157)),575,
IF(ISNUMBER(FIND("T6",B2157)),690,"")))),
"")</f>
        <v>440</v>
      </c>
    </row>
    <row r="2158" spans="1:7" x14ac:dyDescent="0.25">
      <c r="A2158">
        <v>15006109</v>
      </c>
      <c r="B2158" t="str">
        <f>VLOOKUP(A2158,Planilha2!B:C,2,0)</f>
        <v>INVERSOR CFW900E0242T4DB20Y2B</v>
      </c>
      <c r="C2158" t="s">
        <v>3170</v>
      </c>
      <c r="D2158" t="str">
        <f>VLOOKUP(A2158,Planilha2!B:H,7,0)</f>
        <v>LINHA G1</v>
      </c>
      <c r="E2158" s="5">
        <v>63500</v>
      </c>
      <c r="F2158" t="str">
        <f>IFERROR(
IF(ISNUMBER(FIND("CFW110",B2158)),
VALUE(MID(B2158,FIND("CFW110",B2158)+6,FIND("T",B2158,FIND("CFW110",B2158))-(FIND("CFW110",B2158)+6))),
IF(ISNUMBER(FIND("D",B2158)),
VALUE(SUBSTITUTE(MID(B2158,FIND("D",B2158)+1,FIND("T",B2158,FIND("D",B2158))-(FIND("D",B2158)+1)),"P",",")),
IF(ISNUMBER(FIND("CFW5",B2158)),
VALUE(MID(B2158,
IF(ISNUMBER(FIND("F",B2158)),FIND("F",B2158)+1,FIND("G",B2158)+1),
FIND("T",B2158)-(IF(ISNUMBER(FIND("F",B2158)),FIND("F",B2158)+1,FIND("G",B2158)+1))
)),
VALUE(MID(B2158,FIND("E0",B2158)+2,FIND("T",B2158,FIND("E0",B2158))-(FIND("E0",B2158)+2)))
))),"")</f>
        <v/>
      </c>
      <c r="G2158">
        <f>IFERROR(
IF(ISNUMBER(FIND("T2",B2158)),220,
IF(ISNUMBER(FIND("T4",B2158)),440,
IF(ISNUMBER(FIND("T5",B2158)),575,
IF(ISNUMBER(FIND("T6",B2158)),690,"")))),
"")</f>
        <v>440</v>
      </c>
    </row>
    <row r="2159" spans="1:7" x14ac:dyDescent="0.25">
      <c r="A2159">
        <v>15028874</v>
      </c>
      <c r="B2159" t="str">
        <f>VLOOKUP(A2159,Planilha2!B:C,2,0)</f>
        <v>INVERSOR CFW900E0195T2NB20Y2B</v>
      </c>
      <c r="C2159" t="s">
        <v>3170</v>
      </c>
      <c r="D2159" t="str">
        <f>VLOOKUP(A2159,Planilha2!B:H,7,0)</f>
        <v>LINHA G1</v>
      </c>
      <c r="E2159" s="5">
        <v>63500</v>
      </c>
      <c r="F2159">
        <f>IFERROR(
IF(ISNUMBER(FIND("CFW110",B2159)),
VALUE(MID(B2159,FIND("CFW110",B2159)+6,FIND("T",B2159,FIND("CFW110",B2159))-(FIND("CFW110",B2159)+6))),
IF(ISNUMBER(FIND("D",B2159)),
VALUE(SUBSTITUTE(MID(B2159,FIND("D",B2159)+1,FIND("T",B2159,FIND("D",B2159))-(FIND("D",B2159)+1)),"P",",")),
IF(ISNUMBER(FIND("CFW5",B2159)),
VALUE(MID(B2159,
IF(ISNUMBER(FIND("F",B2159)),FIND("F",B2159)+1,FIND("G",B2159)+1),
FIND("T",B2159)-(IF(ISNUMBER(FIND("F",B2159)),FIND("F",B2159)+1,FIND("G",B2159)+1))
)),
VALUE(MID(B2159,FIND("E0",B2159)+2,FIND("T",B2159,FIND("E0",B2159))-(FIND("E0",B2159)+2)))
))),"")</f>
        <v>195</v>
      </c>
      <c r="G2159">
        <f>IFERROR(
IF(ISNUMBER(FIND("T2",B2159)),220,
IF(ISNUMBER(FIND("T4",B2159)),440,
IF(ISNUMBER(FIND("T5",B2159)),575,
IF(ISNUMBER(FIND("T6",B2159)),690,"")))),
"")</f>
        <v>220</v>
      </c>
    </row>
    <row r="2160" spans="1:7" x14ac:dyDescent="0.25">
      <c r="A2160">
        <v>15028918</v>
      </c>
      <c r="B2160" t="str">
        <f>VLOOKUP(A2160,Planilha2!B:C,2,0)</f>
        <v>INVERSOR CFW900E0250T2NB20Y2B</v>
      </c>
      <c r="C2160" t="s">
        <v>3170</v>
      </c>
      <c r="D2160" t="str">
        <f>VLOOKUP(A2160,Planilha2!B:H,7,0)</f>
        <v>LINHA G1</v>
      </c>
      <c r="E2160" s="5">
        <v>63500</v>
      </c>
      <c r="F2160">
        <f>IFERROR(
IF(ISNUMBER(FIND("CFW110",B2160)),
VALUE(MID(B2160,FIND("CFW110",B2160)+6,FIND("T",B2160,FIND("CFW110",B2160))-(FIND("CFW110",B2160)+6))),
IF(ISNUMBER(FIND("D",B2160)),
VALUE(SUBSTITUTE(MID(B2160,FIND("D",B2160)+1,FIND("T",B2160,FIND("D",B2160))-(FIND("D",B2160)+1)),"P",",")),
IF(ISNUMBER(FIND("CFW5",B2160)),
VALUE(MID(B2160,
IF(ISNUMBER(FIND("F",B2160)),FIND("F",B2160)+1,FIND("G",B2160)+1),
FIND("T",B2160)-(IF(ISNUMBER(FIND("F",B2160)),FIND("F",B2160)+1,FIND("G",B2160)+1))
)),
VALUE(MID(B2160,FIND("E0",B2160)+2,FIND("T",B2160,FIND("E0",B2160))-(FIND("E0",B2160)+2)))
))),"")</f>
        <v>250</v>
      </c>
      <c r="G2160">
        <f>IFERROR(
IF(ISNUMBER(FIND("T2",B2160)),220,
IF(ISNUMBER(FIND("T4",B2160)),440,
IF(ISNUMBER(FIND("T5",B2160)),575,
IF(ISNUMBER(FIND("T6",B2160)),690,"")))),
"")</f>
        <v>220</v>
      </c>
    </row>
    <row r="2161" spans="1:7" x14ac:dyDescent="0.25">
      <c r="A2161">
        <v>15028922</v>
      </c>
      <c r="B2161" t="str">
        <f>VLOOKUP(A2161,Planilha2!B:C,2,0)</f>
        <v>INVERSOR CFW900E0203T4NB20Y2B</v>
      </c>
      <c r="C2161" t="s">
        <v>3170</v>
      </c>
      <c r="D2161" t="str">
        <f>VLOOKUP(A2161,Planilha2!B:H,7,0)</f>
        <v>LINHA G1</v>
      </c>
      <c r="E2161" s="5">
        <v>63500</v>
      </c>
      <c r="F2161">
        <f>IFERROR(
IF(ISNUMBER(FIND("CFW110",B2161)),
VALUE(MID(B2161,FIND("CFW110",B2161)+6,FIND("T",B2161,FIND("CFW110",B2161))-(FIND("CFW110",B2161)+6))),
IF(ISNUMBER(FIND("D",B2161)),
VALUE(SUBSTITUTE(MID(B2161,FIND("D",B2161)+1,FIND("T",B2161,FIND("D",B2161))-(FIND("D",B2161)+1)),"P",",")),
IF(ISNUMBER(FIND("CFW5",B2161)),
VALUE(MID(B2161,
IF(ISNUMBER(FIND("F",B2161)),FIND("F",B2161)+1,FIND("G",B2161)+1),
FIND("T",B2161)-(IF(ISNUMBER(FIND("F",B2161)),FIND("F",B2161)+1,FIND("G",B2161)+1))
)),
VALUE(MID(B2161,FIND("E0",B2161)+2,FIND("T",B2161,FIND("E0",B2161))-(FIND("E0",B2161)+2)))
))),"")</f>
        <v>203</v>
      </c>
      <c r="G2161">
        <f>IFERROR(
IF(ISNUMBER(FIND("T2",B2161)),220,
IF(ISNUMBER(FIND("T4",B2161)),440,
IF(ISNUMBER(FIND("T5",B2161)),575,
IF(ISNUMBER(FIND("T6",B2161)),690,"")))),
"")</f>
        <v>440</v>
      </c>
    </row>
    <row r="2162" spans="1:7" x14ac:dyDescent="0.25">
      <c r="A2162">
        <v>15028939</v>
      </c>
      <c r="B2162" t="str">
        <f>VLOOKUP(A2162,Planilha2!B:C,2,0)</f>
        <v>INVERSOR CFW900E0242T4NB20Y2B</v>
      </c>
      <c r="C2162" t="s">
        <v>3170</v>
      </c>
      <c r="D2162" t="str">
        <f>VLOOKUP(A2162,Planilha2!B:H,7,0)</f>
        <v>LINHA G1</v>
      </c>
      <c r="E2162" s="5">
        <v>63500</v>
      </c>
      <c r="F2162">
        <f>IFERROR(
IF(ISNUMBER(FIND("CFW110",B2162)),
VALUE(MID(B2162,FIND("CFW110",B2162)+6,FIND("T",B2162,FIND("CFW110",B2162))-(FIND("CFW110",B2162)+6))),
IF(ISNUMBER(FIND("D",B2162)),
VALUE(SUBSTITUTE(MID(B2162,FIND("D",B2162)+1,FIND("T",B2162,FIND("D",B2162))-(FIND("D",B2162)+1)),"P",",")),
IF(ISNUMBER(FIND("CFW5",B2162)),
VALUE(MID(B2162,
IF(ISNUMBER(FIND("F",B2162)),FIND("F",B2162)+1,FIND("G",B2162)+1),
FIND("T",B2162)-(IF(ISNUMBER(FIND("F",B2162)),FIND("F",B2162)+1,FIND("G",B2162)+1))
)),
VALUE(MID(B2162,FIND("E0",B2162)+2,FIND("T",B2162,FIND("E0",B2162))-(FIND("E0",B2162)+2)))
))),"")</f>
        <v>242</v>
      </c>
      <c r="G2162">
        <f>IFERROR(
IF(ISNUMBER(FIND("T2",B2162)),220,
IF(ISNUMBER(FIND("T4",B2162)),440,
IF(ISNUMBER(FIND("T5",B2162)),575,
IF(ISNUMBER(FIND("T6",B2162)),690,"")))),
"")</f>
        <v>440</v>
      </c>
    </row>
    <row r="2163" spans="1:7" x14ac:dyDescent="0.25">
      <c r="A2163">
        <v>15697032</v>
      </c>
      <c r="B2163" t="str">
        <f>VLOOKUP(A2163,Planilha2!B:C,2,0)</f>
        <v>INVERSOR CFW900E0172T4DB20Y2B</v>
      </c>
      <c r="C2163" t="s">
        <v>3170</v>
      </c>
      <c r="D2163" t="str">
        <f>VLOOKUP(A2163,Planilha2!B:H,7,0)</f>
        <v>LINHA G1</v>
      </c>
      <c r="E2163" s="5">
        <v>63500</v>
      </c>
      <c r="F2163" t="str">
        <f>IFERROR(
IF(ISNUMBER(FIND("CFW110",B2163)),
VALUE(MID(B2163,FIND("CFW110",B2163)+6,FIND("T",B2163,FIND("CFW110",B2163))-(FIND("CFW110",B2163)+6))),
IF(ISNUMBER(FIND("D",B2163)),
VALUE(SUBSTITUTE(MID(B2163,FIND("D",B2163)+1,FIND("T",B2163,FIND("D",B2163))-(FIND("D",B2163)+1)),"P",",")),
IF(ISNUMBER(FIND("CFW5",B2163)),
VALUE(MID(B2163,
IF(ISNUMBER(FIND("F",B2163)),FIND("F",B2163)+1,FIND("G",B2163)+1),
FIND("T",B2163)-(IF(ISNUMBER(FIND("F",B2163)),FIND("F",B2163)+1,FIND("G",B2163)+1))
)),
VALUE(MID(B2163,FIND("E0",B2163)+2,FIND("T",B2163,FIND("E0",B2163))-(FIND("E0",B2163)+2)))
))),"")</f>
        <v/>
      </c>
      <c r="G2163">
        <f>IFERROR(
IF(ISNUMBER(FIND("T2",B2163)),220,
IF(ISNUMBER(FIND("T4",B2163)),440,
IF(ISNUMBER(FIND("T5",B2163)),575,
IF(ISNUMBER(FIND("T6",B2163)),690,"")))),
"")</f>
        <v>440</v>
      </c>
    </row>
    <row r="2164" spans="1:7" x14ac:dyDescent="0.25">
      <c r="A2164">
        <v>15697033</v>
      </c>
      <c r="B2164" t="str">
        <f>VLOOKUP(A2164,Planilha2!B:C,2,0)</f>
        <v>INVERSOR CFW900E0172T4NB20Y2B</v>
      </c>
      <c r="C2164" t="s">
        <v>3170</v>
      </c>
      <c r="D2164" t="str">
        <f>VLOOKUP(A2164,Planilha2!B:H,7,0)</f>
        <v>LINHA G1</v>
      </c>
      <c r="E2164" s="5">
        <v>63500</v>
      </c>
      <c r="F2164">
        <f>IFERROR(
IF(ISNUMBER(FIND("CFW110",B2164)),
VALUE(MID(B2164,FIND("CFW110",B2164)+6,FIND("T",B2164,FIND("CFW110",B2164))-(FIND("CFW110",B2164)+6))),
IF(ISNUMBER(FIND("D",B2164)),
VALUE(SUBSTITUTE(MID(B2164,FIND("D",B2164)+1,FIND("T",B2164,FIND("D",B2164))-(FIND("D",B2164)+1)),"P",",")),
IF(ISNUMBER(FIND("CFW5",B2164)),
VALUE(MID(B2164,
IF(ISNUMBER(FIND("F",B2164)),FIND("F",B2164)+1,FIND("G",B2164)+1),
FIND("T",B2164)-(IF(ISNUMBER(FIND("F",B2164)),FIND("F",B2164)+1,FIND("G",B2164)+1))
)),
VALUE(MID(B2164,FIND("E0",B2164)+2,FIND("T",B2164,FIND("E0",B2164))-(FIND("E0",B2164)+2)))
))),"")</f>
        <v>172</v>
      </c>
      <c r="G2164">
        <f>IFERROR(
IF(ISNUMBER(FIND("T2",B2164)),220,
IF(ISNUMBER(FIND("T4",B2164)),440,
IF(ISNUMBER(FIND("T5",B2164)),575,
IF(ISNUMBER(FIND("T6",B2164)),690,"")))),
"")</f>
        <v>440</v>
      </c>
    </row>
    <row r="2165" spans="1:7" x14ac:dyDescent="0.25">
      <c r="A2165">
        <v>15697028</v>
      </c>
      <c r="B2165" t="str">
        <f>VLOOKUP(A2165,Planilha2!B:C,2,0)</f>
        <v>INVERSOR CFW900E0172T2NB20Y2B</v>
      </c>
      <c r="C2165" t="s">
        <v>3170</v>
      </c>
      <c r="D2165" t="str">
        <f>VLOOKUP(A2165,Planilha2!B:H,7,0)</f>
        <v>LINHA G1</v>
      </c>
      <c r="E2165" s="5">
        <v>63500</v>
      </c>
      <c r="F2165">
        <f>IFERROR(
IF(ISNUMBER(FIND("CFW110",B2165)),
VALUE(MID(B2165,FIND("CFW110",B2165)+6,FIND("T",B2165,FIND("CFW110",B2165))-(FIND("CFW110",B2165)+6))),
IF(ISNUMBER(FIND("D",B2165)),
VALUE(SUBSTITUTE(MID(B2165,FIND("D",B2165)+1,FIND("T",B2165,FIND("D",B2165))-(FIND("D",B2165)+1)),"P",",")),
IF(ISNUMBER(FIND("CFW5",B2165)),
VALUE(MID(B2165,
IF(ISNUMBER(FIND("F",B2165)),FIND("F",B2165)+1,FIND("G",B2165)+1),
FIND("T",B2165)-(IF(ISNUMBER(FIND("F",B2165)),FIND("F",B2165)+1,FIND("G",B2165)+1))
)),
VALUE(MID(B2165,FIND("E0",B2165)+2,FIND("T",B2165,FIND("E0",B2165))-(FIND("E0",B2165)+2)))
))),"")</f>
        <v>172</v>
      </c>
      <c r="G2165">
        <f>IFERROR(
IF(ISNUMBER(FIND("T2",B2165)),220,
IF(ISNUMBER(FIND("T4",B2165)),440,
IF(ISNUMBER(FIND("T5",B2165)),575,
IF(ISNUMBER(FIND("T6",B2165)),690,"")))),
"")</f>
        <v>220</v>
      </c>
    </row>
    <row r="2166" spans="1:7" x14ac:dyDescent="0.25">
      <c r="A2166">
        <v>15696834</v>
      </c>
      <c r="B2166" t="str">
        <f>VLOOKUP(A2166,Planilha2!B:C,2,0)</f>
        <v>INVERSOR CFW900E0172T2DB20Y2B</v>
      </c>
      <c r="C2166" t="s">
        <v>3170</v>
      </c>
      <c r="D2166" t="str">
        <f>VLOOKUP(A2166,Planilha2!B:H,7,0)</f>
        <v>LINHA G1</v>
      </c>
      <c r="E2166" s="5">
        <v>63500</v>
      </c>
      <c r="F2166" t="str">
        <f>IFERROR(
IF(ISNUMBER(FIND("CFW110",B2166)),
VALUE(MID(B2166,FIND("CFW110",B2166)+6,FIND("T",B2166,FIND("CFW110",B2166))-(FIND("CFW110",B2166)+6))),
IF(ISNUMBER(FIND("D",B2166)),
VALUE(SUBSTITUTE(MID(B2166,FIND("D",B2166)+1,FIND("T",B2166,FIND("D",B2166))-(FIND("D",B2166)+1)),"P",",")),
IF(ISNUMBER(FIND("CFW5",B2166)),
VALUE(MID(B2166,
IF(ISNUMBER(FIND("F",B2166)),FIND("F",B2166)+1,FIND("G",B2166)+1),
FIND("T",B2166)-(IF(ISNUMBER(FIND("F",B2166)),FIND("F",B2166)+1,FIND("G",B2166)+1))
)),
VALUE(MID(B2166,FIND("E0",B2166)+2,FIND("T",B2166,FIND("E0",B2166))-(FIND("E0",B2166)+2)))
))),"")</f>
        <v/>
      </c>
      <c r="G2166">
        <f>IFERROR(
IF(ISNUMBER(FIND("T2",B2166)),220,
IF(ISNUMBER(FIND("T4",B2166)),440,
IF(ISNUMBER(FIND("T5",B2166)),575,
IF(ISNUMBER(FIND("T6",B2166)),690,"")))),
"")</f>
        <v>220</v>
      </c>
    </row>
    <row r="2167" spans="1:7" x14ac:dyDescent="0.25">
      <c r="A2167">
        <v>14541535</v>
      </c>
      <c r="B2167" t="str">
        <f>VLOOKUP(A2167,Planilha2!B:C,2,0)</f>
        <v>INVERSOR BRCFW110211T4OWSWZ-UI</v>
      </c>
      <c r="C2167" t="s">
        <v>3170</v>
      </c>
      <c r="D2167" t="str">
        <f>VLOOKUP(A2167,Planilha2!B:H,7,0)</f>
        <v>LINHA G1</v>
      </c>
      <c r="E2167" s="5">
        <v>68200</v>
      </c>
      <c r="F2167">
        <f>IFERROR(
IF(ISNUMBER(FIND("CFW110",B2167)),
VALUE(MID(B2167,FIND("CFW110",B2167)+6,FIND("T",B2167,FIND("CFW110",B2167))-(FIND("CFW110",B2167)+6))),
IF(ISNUMBER(FIND("D",B2167)),
VALUE(SUBSTITUTE(MID(B2167,FIND("D",B2167)+1,FIND("T",B2167,FIND("D",B2167))-(FIND("D",B2167)+1)),"P",",")),
IF(ISNUMBER(FIND("CFW5",B2167)),
VALUE(MID(B2167,
IF(ISNUMBER(FIND("F",B2167)),FIND("F",B2167)+1,FIND("G",B2167)+1),
FIND("T",B2167)-(IF(ISNUMBER(FIND("F",B2167)),FIND("F",B2167)+1,FIND("G",B2167)+1))
)),
VALUE(MID(B2167,FIND("E0",B2167)+2,FIND("T",B2167,FIND("E0",B2167))-(FIND("E0",B2167)+2)))
))),"")</f>
        <v>211</v>
      </c>
      <c r="G2167">
        <f>IFERROR(
IF(ISNUMBER(FIND("T2",B2167)),220,
IF(ISNUMBER(FIND("T4",B2167)),440,
IF(ISNUMBER(FIND("T5",B2167)),575,
IF(ISNUMBER(FIND("T6",B2167)),690,"")))),
"")</f>
        <v>440</v>
      </c>
    </row>
    <row r="2168" spans="1:7" x14ac:dyDescent="0.25">
      <c r="A2168">
        <v>15737686</v>
      </c>
      <c r="B2168" t="str">
        <f>VLOOKUP(A2168,Planilha2!B:C,2,0)</f>
        <v>INVERSOR CFW900E0172T2DB20Y2</v>
      </c>
      <c r="C2168" t="s">
        <v>3170</v>
      </c>
      <c r="D2168" t="str">
        <f>VLOOKUP(A2168,Planilha2!B:H,7,0)</f>
        <v>LINHA G1</v>
      </c>
      <c r="E2168" s="5">
        <v>63500</v>
      </c>
      <c r="F2168" t="str">
        <f>IFERROR(
IF(ISNUMBER(FIND("CFW110",B2168)),
VALUE(MID(B2168,FIND("CFW110",B2168)+6,FIND("T",B2168,FIND("CFW110",B2168))-(FIND("CFW110",B2168)+6))),
IF(ISNUMBER(FIND("D",B2168)),
VALUE(SUBSTITUTE(MID(B2168,FIND("D",B2168)+1,FIND("T",B2168,FIND("D",B2168))-(FIND("D",B2168)+1)),"P",",")),
IF(ISNUMBER(FIND("CFW5",B2168)),
VALUE(MID(B2168,
IF(ISNUMBER(FIND("F",B2168)),FIND("F",B2168)+1,FIND("G",B2168)+1),
FIND("T",B2168)-(IF(ISNUMBER(FIND("F",B2168)),FIND("F",B2168)+1,FIND("G",B2168)+1))
)),
VALUE(MID(B2168,FIND("E0",B2168)+2,FIND("T",B2168,FIND("E0",B2168))-(FIND("E0",B2168)+2)))
))),"")</f>
        <v/>
      </c>
      <c r="G2168">
        <f>IFERROR(
IF(ISNUMBER(FIND("T2",B2168)),220,
IF(ISNUMBER(FIND("T4",B2168)),440,
IF(ISNUMBER(FIND("T5",B2168)),575,
IF(ISNUMBER(FIND("T6",B2168)),690,"")))),
"")</f>
        <v>220</v>
      </c>
    </row>
    <row r="2169" spans="1:7" x14ac:dyDescent="0.25">
      <c r="A2169">
        <v>15737832</v>
      </c>
      <c r="B2169" t="str">
        <f>VLOOKUP(A2169,Planilha2!B:C,2,0)</f>
        <v>INVERSOR CFW900E0172T2NB20Y2</v>
      </c>
      <c r="C2169" t="s">
        <v>3170</v>
      </c>
      <c r="D2169" t="str">
        <f>VLOOKUP(A2169,Planilha2!B:H,7,0)</f>
        <v>LINHA G1</v>
      </c>
      <c r="E2169" s="5">
        <v>63500</v>
      </c>
      <c r="F2169">
        <f>IFERROR(
IF(ISNUMBER(FIND("CFW110",B2169)),
VALUE(MID(B2169,FIND("CFW110",B2169)+6,FIND("T",B2169,FIND("CFW110",B2169))-(FIND("CFW110",B2169)+6))),
IF(ISNUMBER(FIND("D",B2169)),
VALUE(SUBSTITUTE(MID(B2169,FIND("D",B2169)+1,FIND("T",B2169,FIND("D",B2169))-(FIND("D",B2169)+1)),"P",",")),
IF(ISNUMBER(FIND("CFW5",B2169)),
VALUE(MID(B2169,
IF(ISNUMBER(FIND("F",B2169)),FIND("F",B2169)+1,FIND("G",B2169)+1),
FIND("T",B2169)-(IF(ISNUMBER(FIND("F",B2169)),FIND("F",B2169)+1,FIND("G",B2169)+1))
)),
VALUE(MID(B2169,FIND("E0",B2169)+2,FIND("T",B2169,FIND("E0",B2169))-(FIND("E0",B2169)+2)))
))),"")</f>
        <v>172</v>
      </c>
      <c r="G2169">
        <f>IFERROR(
IF(ISNUMBER(FIND("T2",B2169)),220,
IF(ISNUMBER(FIND("T4",B2169)),440,
IF(ISNUMBER(FIND("T5",B2169)),575,
IF(ISNUMBER(FIND("T6",B2169)),690,"")))),
"")</f>
        <v>220</v>
      </c>
    </row>
    <row r="2170" spans="1:7" x14ac:dyDescent="0.25">
      <c r="A2170">
        <v>15737735</v>
      </c>
      <c r="B2170" t="str">
        <f>VLOOKUP(A2170,Planilha2!B:C,2,0)</f>
        <v>INVERSOR CFW900E0172T4DB20Y2</v>
      </c>
      <c r="C2170" t="s">
        <v>3170</v>
      </c>
      <c r="D2170" t="str">
        <f>VLOOKUP(A2170,Planilha2!B:H,7,0)</f>
        <v>LINHA G1</v>
      </c>
      <c r="E2170" s="5">
        <v>63500</v>
      </c>
      <c r="F2170" t="str">
        <f>IFERROR(
IF(ISNUMBER(FIND("CFW110",B2170)),
VALUE(MID(B2170,FIND("CFW110",B2170)+6,FIND("T",B2170,FIND("CFW110",B2170))-(FIND("CFW110",B2170)+6))),
IF(ISNUMBER(FIND("D",B2170)),
VALUE(SUBSTITUTE(MID(B2170,FIND("D",B2170)+1,FIND("T",B2170,FIND("D",B2170))-(FIND("D",B2170)+1)),"P",",")),
IF(ISNUMBER(FIND("CFW5",B2170)),
VALUE(MID(B2170,
IF(ISNUMBER(FIND("F",B2170)),FIND("F",B2170)+1,FIND("G",B2170)+1),
FIND("T",B2170)-(IF(ISNUMBER(FIND("F",B2170)),FIND("F",B2170)+1,FIND("G",B2170)+1))
)),
VALUE(MID(B2170,FIND("E0",B2170)+2,FIND("T",B2170,FIND("E0",B2170))-(FIND("E0",B2170)+2)))
))),"")</f>
        <v/>
      </c>
      <c r="G2170">
        <f>IFERROR(
IF(ISNUMBER(FIND("T2",B2170)),220,
IF(ISNUMBER(FIND("T4",B2170)),440,
IF(ISNUMBER(FIND("T5",B2170)),575,
IF(ISNUMBER(FIND("T6",B2170)),690,"")))),
"")</f>
        <v>440</v>
      </c>
    </row>
    <row r="2171" spans="1:7" x14ac:dyDescent="0.25">
      <c r="A2171">
        <v>15737888</v>
      </c>
      <c r="B2171" t="str">
        <f>VLOOKUP(A2171,Planilha2!B:C,2,0)</f>
        <v>INVERSOR CFW900E0172T4NB20Y2</v>
      </c>
      <c r="C2171" t="s">
        <v>3170</v>
      </c>
      <c r="D2171" t="str">
        <f>VLOOKUP(A2171,Planilha2!B:H,7,0)</f>
        <v>LINHA G1</v>
      </c>
      <c r="E2171" s="5">
        <v>63500</v>
      </c>
      <c r="F2171">
        <f>IFERROR(
IF(ISNUMBER(FIND("CFW110",B2171)),
VALUE(MID(B2171,FIND("CFW110",B2171)+6,FIND("T",B2171,FIND("CFW110",B2171))-(FIND("CFW110",B2171)+6))),
IF(ISNUMBER(FIND("D",B2171)),
VALUE(SUBSTITUTE(MID(B2171,FIND("D",B2171)+1,FIND("T",B2171,FIND("D",B2171))-(FIND("D",B2171)+1)),"P",",")),
IF(ISNUMBER(FIND("CFW5",B2171)),
VALUE(MID(B2171,
IF(ISNUMBER(FIND("F",B2171)),FIND("F",B2171)+1,FIND("G",B2171)+1),
FIND("T",B2171)-(IF(ISNUMBER(FIND("F",B2171)),FIND("F",B2171)+1,FIND("G",B2171)+1))
)),
VALUE(MID(B2171,FIND("E0",B2171)+2,FIND("T",B2171,FIND("E0",B2171))-(FIND("E0",B2171)+2)))
))),"")</f>
        <v>172</v>
      </c>
      <c r="G2171">
        <f>IFERROR(
IF(ISNUMBER(FIND("T2",B2171)),220,
IF(ISNUMBER(FIND("T4",B2171)),440,
IF(ISNUMBER(FIND("T5",B2171)),575,
IF(ISNUMBER(FIND("T6",B2171)),690,"")))),
"")</f>
        <v>440</v>
      </c>
    </row>
    <row r="2172" spans="1:7" x14ac:dyDescent="0.25">
      <c r="A2172">
        <v>15737734</v>
      </c>
      <c r="B2172" t="str">
        <f>VLOOKUP(A2172,Planilha2!B:C,2,0)</f>
        <v>INVERSOR CFW900E0250T2DB20Y2</v>
      </c>
      <c r="C2172" t="s">
        <v>3170</v>
      </c>
      <c r="D2172" t="str">
        <f>VLOOKUP(A2172,Planilha2!B:H,7,0)</f>
        <v>LINHA G1</v>
      </c>
      <c r="E2172" s="5">
        <v>63500</v>
      </c>
      <c r="F2172" t="str">
        <f>IFERROR(
IF(ISNUMBER(FIND("CFW110",B2172)),
VALUE(MID(B2172,FIND("CFW110",B2172)+6,FIND("T",B2172,FIND("CFW110",B2172))-(FIND("CFW110",B2172)+6))),
IF(ISNUMBER(FIND("D",B2172)),
VALUE(SUBSTITUTE(MID(B2172,FIND("D",B2172)+1,FIND("T",B2172,FIND("D",B2172))-(FIND("D",B2172)+1)),"P",",")),
IF(ISNUMBER(FIND("CFW5",B2172)),
VALUE(MID(B2172,
IF(ISNUMBER(FIND("F",B2172)),FIND("F",B2172)+1,FIND("G",B2172)+1),
FIND("T",B2172)-(IF(ISNUMBER(FIND("F",B2172)),FIND("F",B2172)+1,FIND("G",B2172)+1))
)),
VALUE(MID(B2172,FIND("E0",B2172)+2,FIND("T",B2172,FIND("E0",B2172))-(FIND("E0",B2172)+2)))
))),"")</f>
        <v/>
      </c>
      <c r="G2172">
        <f>IFERROR(
IF(ISNUMBER(FIND("T2",B2172)),220,
IF(ISNUMBER(FIND("T4",B2172)),440,
IF(ISNUMBER(FIND("T5",B2172)),575,
IF(ISNUMBER(FIND("T6",B2172)),690,"")))),
"")</f>
        <v>220</v>
      </c>
    </row>
    <row r="2173" spans="1:7" x14ac:dyDescent="0.25">
      <c r="A2173">
        <v>15737837</v>
      </c>
      <c r="B2173" t="str">
        <f>VLOOKUP(A2173,Planilha2!B:C,2,0)</f>
        <v>INVERSOR CFW900E0250T2NB20Y2</v>
      </c>
      <c r="C2173" t="s">
        <v>3170</v>
      </c>
      <c r="D2173" t="str">
        <f>VLOOKUP(A2173,Planilha2!B:H,7,0)</f>
        <v>LINHA G1</v>
      </c>
      <c r="E2173" s="5">
        <v>63500</v>
      </c>
      <c r="F2173">
        <f>IFERROR(
IF(ISNUMBER(FIND("CFW110",B2173)),
VALUE(MID(B2173,FIND("CFW110",B2173)+6,FIND("T",B2173,FIND("CFW110",B2173))-(FIND("CFW110",B2173)+6))),
IF(ISNUMBER(FIND("D",B2173)),
VALUE(SUBSTITUTE(MID(B2173,FIND("D",B2173)+1,FIND("T",B2173,FIND("D",B2173))-(FIND("D",B2173)+1)),"P",",")),
IF(ISNUMBER(FIND("CFW5",B2173)),
VALUE(MID(B2173,
IF(ISNUMBER(FIND("F",B2173)),FIND("F",B2173)+1,FIND("G",B2173)+1),
FIND("T",B2173)-(IF(ISNUMBER(FIND("F",B2173)),FIND("F",B2173)+1,FIND("G",B2173)+1))
)),
VALUE(MID(B2173,FIND("E0",B2173)+2,FIND("T",B2173,FIND("E0",B2173))-(FIND("E0",B2173)+2)))
))),"")</f>
        <v>250</v>
      </c>
      <c r="G2173">
        <f>IFERROR(
IF(ISNUMBER(FIND("T2",B2173)),220,
IF(ISNUMBER(FIND("T4",B2173)),440,
IF(ISNUMBER(FIND("T5",B2173)),575,
IF(ISNUMBER(FIND("T6",B2173)),690,"")))),
"")</f>
        <v>220</v>
      </c>
    </row>
    <row r="2174" spans="1:7" x14ac:dyDescent="0.25">
      <c r="A2174">
        <v>15737891</v>
      </c>
      <c r="B2174" t="str">
        <f>VLOOKUP(A2174,Planilha2!B:C,2,0)</f>
        <v>INVERSOR CFW900E0242T4NB20Y2</v>
      </c>
      <c r="C2174" t="s">
        <v>3170</v>
      </c>
      <c r="D2174" t="str">
        <f>VLOOKUP(A2174,Planilha2!B:H,7,0)</f>
        <v>LINHA G1</v>
      </c>
      <c r="E2174" s="5">
        <v>63500</v>
      </c>
      <c r="F2174">
        <f>IFERROR(
IF(ISNUMBER(FIND("CFW110",B2174)),
VALUE(MID(B2174,FIND("CFW110",B2174)+6,FIND("T",B2174,FIND("CFW110",B2174))-(FIND("CFW110",B2174)+6))),
IF(ISNUMBER(FIND("D",B2174)),
VALUE(SUBSTITUTE(MID(B2174,FIND("D",B2174)+1,FIND("T",B2174,FIND("D",B2174))-(FIND("D",B2174)+1)),"P",",")),
IF(ISNUMBER(FIND("CFW5",B2174)),
VALUE(MID(B2174,
IF(ISNUMBER(FIND("F",B2174)),FIND("F",B2174)+1,FIND("G",B2174)+1),
FIND("T",B2174)-(IF(ISNUMBER(FIND("F",B2174)),FIND("F",B2174)+1,FIND("G",B2174)+1))
)),
VALUE(MID(B2174,FIND("E0",B2174)+2,FIND("T",B2174,FIND("E0",B2174))-(FIND("E0",B2174)+2)))
))),"")</f>
        <v>242</v>
      </c>
      <c r="G2174">
        <f>IFERROR(
IF(ISNUMBER(FIND("T2",B2174)),220,
IF(ISNUMBER(FIND("T4",B2174)),440,
IF(ISNUMBER(FIND("T5",B2174)),575,
IF(ISNUMBER(FIND("T6",B2174)),690,"")))),
"")</f>
        <v>440</v>
      </c>
    </row>
    <row r="2175" spans="1:7" x14ac:dyDescent="0.25">
      <c r="A2175">
        <v>15737731</v>
      </c>
      <c r="B2175" t="str">
        <f>VLOOKUP(A2175,Planilha2!B:C,2,0)</f>
        <v>INVERSOR CFW900E0195T2DB20Y2</v>
      </c>
      <c r="C2175" t="s">
        <v>3170</v>
      </c>
      <c r="D2175" t="str">
        <f>VLOOKUP(A2175,Planilha2!B:H,7,0)</f>
        <v>LINHA G1</v>
      </c>
      <c r="E2175" s="5">
        <v>63500</v>
      </c>
      <c r="F2175" t="str">
        <f>IFERROR(
IF(ISNUMBER(FIND("CFW110",B2175)),
VALUE(MID(B2175,FIND("CFW110",B2175)+6,FIND("T",B2175,FIND("CFW110",B2175))-(FIND("CFW110",B2175)+6))),
IF(ISNUMBER(FIND("D",B2175)),
VALUE(SUBSTITUTE(MID(B2175,FIND("D",B2175)+1,FIND("T",B2175,FIND("D",B2175))-(FIND("D",B2175)+1)),"P",",")),
IF(ISNUMBER(FIND("CFW5",B2175)),
VALUE(MID(B2175,
IF(ISNUMBER(FIND("F",B2175)),FIND("F",B2175)+1,FIND("G",B2175)+1),
FIND("T",B2175)-(IF(ISNUMBER(FIND("F",B2175)),FIND("F",B2175)+1,FIND("G",B2175)+1))
)),
VALUE(MID(B2175,FIND("E0",B2175)+2,FIND("T",B2175,FIND("E0",B2175))-(FIND("E0",B2175)+2)))
))),"")</f>
        <v/>
      </c>
      <c r="G2175">
        <f>IFERROR(
IF(ISNUMBER(FIND("T2",B2175)),220,
IF(ISNUMBER(FIND("T4",B2175)),440,
IF(ISNUMBER(FIND("T5",B2175)),575,
IF(ISNUMBER(FIND("T6",B2175)),690,"")))),
"")</f>
        <v>220</v>
      </c>
    </row>
    <row r="2176" spans="1:7" x14ac:dyDescent="0.25">
      <c r="A2176">
        <v>15737835</v>
      </c>
      <c r="B2176" t="str">
        <f>VLOOKUP(A2176,Planilha2!B:C,2,0)</f>
        <v>INVERSOR CFW900E0195T2NB20Y2</v>
      </c>
      <c r="C2176" t="s">
        <v>3170</v>
      </c>
      <c r="D2176" t="str">
        <f>VLOOKUP(A2176,Planilha2!B:H,7,0)</f>
        <v>LINHA G1</v>
      </c>
      <c r="E2176" s="5">
        <v>63500</v>
      </c>
      <c r="F2176">
        <f>IFERROR(
IF(ISNUMBER(FIND("CFW110",B2176)),
VALUE(MID(B2176,FIND("CFW110",B2176)+6,FIND("T",B2176,FIND("CFW110",B2176))-(FIND("CFW110",B2176)+6))),
IF(ISNUMBER(FIND("D",B2176)),
VALUE(SUBSTITUTE(MID(B2176,FIND("D",B2176)+1,FIND("T",B2176,FIND("D",B2176))-(FIND("D",B2176)+1)),"P",",")),
IF(ISNUMBER(FIND("CFW5",B2176)),
VALUE(MID(B2176,
IF(ISNUMBER(FIND("F",B2176)),FIND("F",B2176)+1,FIND("G",B2176)+1),
FIND("T",B2176)-(IF(ISNUMBER(FIND("F",B2176)),FIND("F",B2176)+1,FIND("G",B2176)+1))
)),
VALUE(MID(B2176,FIND("E0",B2176)+2,FIND("T",B2176,FIND("E0",B2176))-(FIND("E0",B2176)+2)))
))),"")</f>
        <v>195</v>
      </c>
      <c r="G2176">
        <f>IFERROR(
IF(ISNUMBER(FIND("T2",B2176)),220,
IF(ISNUMBER(FIND("T4",B2176)),440,
IF(ISNUMBER(FIND("T5",B2176)),575,
IF(ISNUMBER(FIND("T6",B2176)),690,"")))),
"")</f>
        <v>220</v>
      </c>
    </row>
    <row r="2177" spans="1:7" x14ac:dyDescent="0.25">
      <c r="A2177">
        <v>15737737</v>
      </c>
      <c r="B2177" t="str">
        <f>VLOOKUP(A2177,Planilha2!B:C,2,0)</f>
        <v>INVERSOR CFW900E0203T4DB20Y2</v>
      </c>
      <c r="C2177" t="s">
        <v>3170</v>
      </c>
      <c r="D2177" t="str">
        <f>VLOOKUP(A2177,Planilha2!B:H,7,0)</f>
        <v>LINHA G1</v>
      </c>
      <c r="E2177" s="5">
        <v>63500</v>
      </c>
      <c r="F2177" t="str">
        <f>IFERROR(
IF(ISNUMBER(FIND("CFW110",B2177)),
VALUE(MID(B2177,FIND("CFW110",B2177)+6,FIND("T",B2177,FIND("CFW110",B2177))-(FIND("CFW110",B2177)+6))),
IF(ISNUMBER(FIND("D",B2177)),
VALUE(SUBSTITUTE(MID(B2177,FIND("D",B2177)+1,FIND("T",B2177,FIND("D",B2177))-(FIND("D",B2177)+1)),"P",",")),
IF(ISNUMBER(FIND("CFW5",B2177)),
VALUE(MID(B2177,
IF(ISNUMBER(FIND("F",B2177)),FIND("F",B2177)+1,FIND("G",B2177)+1),
FIND("T",B2177)-(IF(ISNUMBER(FIND("F",B2177)),FIND("F",B2177)+1,FIND("G",B2177)+1))
)),
VALUE(MID(B2177,FIND("E0",B2177)+2,FIND("T",B2177,FIND("E0",B2177))-(FIND("E0",B2177)+2)))
))),"")</f>
        <v/>
      </c>
      <c r="G2177">
        <f>IFERROR(
IF(ISNUMBER(FIND("T2",B2177)),220,
IF(ISNUMBER(FIND("T4",B2177)),440,
IF(ISNUMBER(FIND("T5",B2177)),575,
IF(ISNUMBER(FIND("T6",B2177)),690,"")))),
"")</f>
        <v>440</v>
      </c>
    </row>
    <row r="2178" spans="1:7" x14ac:dyDescent="0.25">
      <c r="A2178">
        <v>15737889</v>
      </c>
      <c r="B2178" t="str">
        <f>VLOOKUP(A2178,Planilha2!B:C,2,0)</f>
        <v>INVERSOR CFW900E0203T4NB20Y2</v>
      </c>
      <c r="C2178" t="s">
        <v>3170</v>
      </c>
      <c r="D2178" t="str">
        <f>VLOOKUP(A2178,Planilha2!B:H,7,0)</f>
        <v>LINHA G1</v>
      </c>
      <c r="E2178" s="5">
        <v>63500</v>
      </c>
      <c r="F2178">
        <f>IFERROR(
IF(ISNUMBER(FIND("CFW110",B2178)),
VALUE(MID(B2178,FIND("CFW110",B2178)+6,FIND("T",B2178,FIND("CFW110",B2178))-(FIND("CFW110",B2178)+6))),
IF(ISNUMBER(FIND("D",B2178)),
VALUE(SUBSTITUTE(MID(B2178,FIND("D",B2178)+1,FIND("T",B2178,FIND("D",B2178))-(FIND("D",B2178)+1)),"P",",")),
IF(ISNUMBER(FIND("CFW5",B2178)),
VALUE(MID(B2178,
IF(ISNUMBER(FIND("F",B2178)),FIND("F",B2178)+1,FIND("G",B2178)+1),
FIND("T",B2178)-(IF(ISNUMBER(FIND("F",B2178)),FIND("F",B2178)+1,FIND("G",B2178)+1))
)),
VALUE(MID(B2178,FIND("E0",B2178)+2,FIND("T",B2178,FIND("E0",B2178))-(FIND("E0",B2178)+2)))
))),"")</f>
        <v>203</v>
      </c>
      <c r="G2178">
        <f>IFERROR(
IF(ISNUMBER(FIND("T2",B2178)),220,
IF(ISNUMBER(FIND("T4",B2178)),440,
IF(ISNUMBER(FIND("T5",B2178)),575,
IF(ISNUMBER(FIND("T6",B2178)),690,"")))),
"")</f>
        <v>440</v>
      </c>
    </row>
    <row r="2179" spans="1:7" x14ac:dyDescent="0.25">
      <c r="A2179">
        <v>15737831</v>
      </c>
      <c r="B2179" t="str">
        <f>VLOOKUP(A2179,Planilha2!B:C,2,0)</f>
        <v>INVERSOR CFW900E0242T4DB20Y2</v>
      </c>
      <c r="C2179" t="s">
        <v>3170</v>
      </c>
      <c r="D2179" t="str">
        <f>VLOOKUP(A2179,Planilha2!B:H,7,0)</f>
        <v>LINHA G1</v>
      </c>
      <c r="E2179" s="5">
        <v>63500</v>
      </c>
      <c r="F2179" t="str">
        <f>IFERROR(
IF(ISNUMBER(FIND("CFW110",B2179)),
VALUE(MID(B2179,FIND("CFW110",B2179)+6,FIND("T",B2179,FIND("CFW110",B2179))-(FIND("CFW110",B2179)+6))),
IF(ISNUMBER(FIND("D",B2179)),
VALUE(SUBSTITUTE(MID(B2179,FIND("D",B2179)+1,FIND("T",B2179,FIND("D",B2179))-(FIND("D",B2179)+1)),"P",",")),
IF(ISNUMBER(FIND("CFW5",B2179)),
VALUE(MID(B2179,
IF(ISNUMBER(FIND("F",B2179)),FIND("F",B2179)+1,FIND("G",B2179)+1),
FIND("T",B2179)-(IF(ISNUMBER(FIND("F",B2179)),FIND("F",B2179)+1,FIND("G",B2179)+1))
)),
VALUE(MID(B2179,FIND("E0",B2179)+2,FIND("T",B2179,FIND("E0",B2179))-(FIND("E0",B2179)+2)))
))),"")</f>
        <v/>
      </c>
      <c r="G2179">
        <f>IFERROR(
IF(ISNUMBER(FIND("T2",B2179)),220,
IF(ISNUMBER(FIND("T4",B2179)),440,
IF(ISNUMBER(FIND("T5",B2179)),575,
IF(ISNUMBER(FIND("T6",B2179)),690,"")))),
"")</f>
        <v>440</v>
      </c>
    </row>
    <row r="2180" spans="1:7" x14ac:dyDescent="0.25">
      <c r="A2180">
        <v>15697212</v>
      </c>
      <c r="B2180" t="str">
        <f>VLOOKUP(A2180,Planilha2!B:C,2,0)</f>
        <v>INVERSOR CFW900E0242T4DB21Y2B</v>
      </c>
      <c r="C2180" t="s">
        <v>3170</v>
      </c>
      <c r="D2180" t="str">
        <f>VLOOKUP(A2180,Planilha2!B:H,7,0)</f>
        <v>LINHA G1</v>
      </c>
      <c r="E2180" s="5">
        <v>63500</v>
      </c>
      <c r="F2180" t="str">
        <f>IFERROR(
IF(ISNUMBER(FIND("CFW110",B2180)),
VALUE(MID(B2180,FIND("CFW110",B2180)+6,FIND("T",B2180,FIND("CFW110",B2180))-(FIND("CFW110",B2180)+6))),
IF(ISNUMBER(FIND("D",B2180)),
VALUE(SUBSTITUTE(MID(B2180,FIND("D",B2180)+1,FIND("T",B2180,FIND("D",B2180))-(FIND("D",B2180)+1)),"P",",")),
IF(ISNUMBER(FIND("CFW5",B2180)),
VALUE(MID(B2180,
IF(ISNUMBER(FIND("F",B2180)),FIND("F",B2180)+1,FIND("G",B2180)+1),
FIND("T",B2180)-(IF(ISNUMBER(FIND("F",B2180)),FIND("F",B2180)+1,FIND("G",B2180)+1))
)),
VALUE(MID(B2180,FIND("E0",B2180)+2,FIND("T",B2180,FIND("E0",B2180))-(FIND("E0",B2180)+2)))
))),"")</f>
        <v/>
      </c>
      <c r="G2180">
        <f>IFERROR(
IF(ISNUMBER(FIND("T2",B2180)),220,
IF(ISNUMBER(FIND("T4",B2180)),440,
IF(ISNUMBER(FIND("T5",B2180)),575,
IF(ISNUMBER(FIND("T6",B2180)),690,"")))),
"")</f>
        <v>440</v>
      </c>
    </row>
    <row r="2181" spans="1:7" x14ac:dyDescent="0.25">
      <c r="A2181">
        <v>14243701</v>
      </c>
      <c r="B2181" t="str">
        <f>VLOOKUP(A2181,Planilha2!B:C,2,0)</f>
        <v>INVERSOR BRCFW110142T4ODCZ</v>
      </c>
      <c r="C2181" t="s">
        <v>3170</v>
      </c>
      <c r="D2181" t="str">
        <f>VLOOKUP(A2181,Planilha2!B:H,7,0)</f>
        <v>LINHA G1</v>
      </c>
      <c r="E2181" s="5">
        <v>50000</v>
      </c>
      <c r="F2181">
        <f>IFERROR(
IF(ISNUMBER(FIND("CFW110",B2181)),
VALUE(MID(B2181,FIND("CFW110",B2181)+6,FIND("T",B2181,FIND("CFW110",B2181))-(FIND("CFW110",B2181)+6))),
IF(ISNUMBER(FIND("D",B2181)),
VALUE(SUBSTITUTE(MID(B2181,FIND("D",B2181)+1,FIND("T",B2181,FIND("D",B2181))-(FIND("D",B2181)+1)),"P",",")),
IF(ISNUMBER(FIND("CFW5",B2181)),
VALUE(MID(B2181,
IF(ISNUMBER(FIND("F",B2181)),FIND("F",B2181)+1,FIND("G",B2181)+1),
FIND("T",B2181)-(IF(ISNUMBER(FIND("F",B2181)),FIND("F",B2181)+1,FIND("G",B2181)+1))
)),
VALUE(MID(B2181,FIND("E0",B2181)+2,FIND("T",B2181,FIND("E0",B2181))-(FIND("E0",B2181)+2)))
))),"")</f>
        <v>142</v>
      </c>
      <c r="G2181">
        <f>IFERROR(
IF(ISNUMBER(FIND("T2",B2181)),220,
IF(ISNUMBER(FIND("T4",B2181)),440,
IF(ISNUMBER(FIND("T5",B2181)),575,
IF(ISNUMBER(FIND("T6",B2181)),690,"")))),
"")</f>
        <v>440</v>
      </c>
    </row>
    <row r="2182" spans="1:7" x14ac:dyDescent="0.25">
      <c r="A2182">
        <v>11994559</v>
      </c>
      <c r="B2182" t="str">
        <f>VLOOKUP(A2182,Planilha2!B:C,2,0)</f>
        <v>INVERSOR NACFW110063T6ON1YZ</v>
      </c>
      <c r="C2182" t="s">
        <v>3170</v>
      </c>
      <c r="D2182" t="str">
        <f>VLOOKUP(A2182,Planilha2!B:H,7,0)</f>
        <v>LINHA G1</v>
      </c>
      <c r="E2182" s="5">
        <v>60360</v>
      </c>
      <c r="F2182">
        <f>IFERROR(
IF(ISNUMBER(FIND("CFW110",B2182)),
VALUE(MID(B2182,FIND("CFW110",B2182)+6,FIND("T",B2182,FIND("CFW110",B2182))-(FIND("CFW110",B2182)+6))),
IF(ISNUMBER(FIND("D",B2182)),
VALUE(SUBSTITUTE(MID(B2182,FIND("D",B2182)+1,FIND("T",B2182,FIND("D",B2182))-(FIND("D",B2182)+1)),"P",",")),
IF(ISNUMBER(FIND("CFW5",B2182)),
VALUE(MID(B2182,
IF(ISNUMBER(FIND("F",B2182)),FIND("F",B2182)+1,FIND("G",B2182)+1),
FIND("T",B2182)-(IF(ISNUMBER(FIND("F",B2182)),FIND("F",B2182)+1,FIND("G",B2182)+1))
)),
VALUE(MID(B2182,FIND("E0",B2182)+2,FIND("T",B2182,FIND("E0",B2182))-(FIND("E0",B2182)+2)))
))),"")</f>
        <v>63</v>
      </c>
      <c r="G2182">
        <f>IFERROR(
IF(ISNUMBER(FIND("T2",B2182)),220,
IF(ISNUMBER(FIND("T4",B2182)),440,
IF(ISNUMBER(FIND("T5",B2182)),575,
IF(ISNUMBER(FIND("T6",B2182)),690,"")))),
"")</f>
        <v>690</v>
      </c>
    </row>
    <row r="2183" spans="1:7" x14ac:dyDescent="0.25">
      <c r="A2183">
        <v>13504991</v>
      </c>
      <c r="B2183" t="str">
        <f>VLOOKUP(A2183,Planilha2!B:C,2,0)</f>
        <v>INVERSOR BRCFW110016T2OSVZ</v>
      </c>
      <c r="C2183" t="s">
        <v>3169</v>
      </c>
      <c r="D2183" t="str">
        <f>VLOOKUP(A2183,Planilha2!B:H,7,0)</f>
        <v>LINHA P5</v>
      </c>
      <c r="E2183" s="5">
        <v>5550</v>
      </c>
      <c r="F2183">
        <f>IFERROR(
IF(ISNUMBER(FIND("CFW110",B2183)),
VALUE(MID(B2183,FIND("CFW110",B2183)+6,FIND("T",B2183,FIND("CFW110",B2183))-(FIND("CFW110",B2183)+6))),
IF(ISNUMBER(FIND("D",B2183)),
VALUE(SUBSTITUTE(MID(B2183,FIND("D",B2183)+1,FIND("T",B2183,FIND("D",B2183))-(FIND("D",B2183)+1)),"P",",")),
IF(ISNUMBER(FIND("CFW5",B2183)),
VALUE(MID(B2183,
IF(ISNUMBER(FIND("F",B2183)),FIND("F",B2183)+1,FIND("G",B2183)+1),
FIND("T",B2183)-(IF(ISNUMBER(FIND("F",B2183)),FIND("F",B2183)+1,FIND("G",B2183)+1))
)),
VALUE(MID(B2183,FIND("E0",B2183)+2,FIND("T",B2183,FIND("E0",B2183))-(FIND("E0",B2183)+2)))
))),"")</f>
        <v>16</v>
      </c>
      <c r="G2183">
        <f>IFERROR(
IF(ISNUMBER(FIND("T2",B2183)),220,
IF(ISNUMBER(FIND("T4",B2183)),440,
IF(ISNUMBER(FIND("T5",B2183)),575,
IF(ISNUMBER(FIND("T6",B2183)),690,"")))),
"")</f>
        <v>220</v>
      </c>
    </row>
    <row r="2184" spans="1:7" x14ac:dyDescent="0.25">
      <c r="A2184">
        <v>14396994</v>
      </c>
      <c r="B2184" t="str">
        <f>VLOOKUP(A2184,Planilha2!B:C,2,0)</f>
        <v>INVERSOR NACFW110017T4OFAYWZ</v>
      </c>
      <c r="C2184" t="s">
        <v>3169</v>
      </c>
      <c r="D2184" t="str">
        <f>VLOOKUP(A2184,Planilha2!B:H,7,0)</f>
        <v>LINHA P7</v>
      </c>
      <c r="E2184" s="5">
        <v>4500</v>
      </c>
      <c r="F2184">
        <f>IFERROR(
IF(ISNUMBER(FIND("CFW110",B2184)),
VALUE(MID(B2184,FIND("CFW110",B2184)+6,FIND("T",B2184,FIND("CFW110",B2184))-(FIND("CFW110",B2184)+6))),
IF(ISNUMBER(FIND("D",B2184)),
VALUE(SUBSTITUTE(MID(B2184,FIND("D",B2184)+1,FIND("T",B2184,FIND("D",B2184))-(FIND("D",B2184)+1)),"P",",")),
IF(ISNUMBER(FIND("CFW5",B2184)),
VALUE(MID(B2184,
IF(ISNUMBER(FIND("F",B2184)),FIND("F",B2184)+1,FIND("G",B2184)+1),
FIND("T",B2184)-(IF(ISNUMBER(FIND("F",B2184)),FIND("F",B2184)+1,FIND("G",B2184)+1))
)),
VALUE(MID(B2184,FIND("E0",B2184)+2,FIND("T",B2184,FIND("E0",B2184))-(FIND("E0",B2184)+2)))
))),"")</f>
        <v>17</v>
      </c>
      <c r="G2184">
        <f>IFERROR(
IF(ISNUMBER(FIND("T2",B2184)),220,
IF(ISNUMBER(FIND("T4",B2184)),440,
IF(ISNUMBER(FIND("T5",B2184)),575,
IF(ISNUMBER(FIND("T6",B2184)),690,"")))),
"")</f>
        <v>440</v>
      </c>
    </row>
    <row r="2185" spans="1:7" x14ac:dyDescent="0.25">
      <c r="A2185">
        <v>14397278</v>
      </c>
      <c r="B2185" t="str">
        <f>VLOOKUP(A2185,Planilha2!B:C,2,0)</f>
        <v>INVERSOR NACFW110005T4OFAYWZ</v>
      </c>
      <c r="C2185" t="s">
        <v>3169</v>
      </c>
      <c r="D2185" t="str">
        <f>VLOOKUP(A2185,Planilha2!B:H,7,0)</f>
        <v>LINHA P5</v>
      </c>
      <c r="E2185" s="5">
        <v>5900</v>
      </c>
      <c r="F2185">
        <f>IFERROR(
IF(ISNUMBER(FIND("CFW110",B2185)),
VALUE(MID(B2185,FIND("CFW110",B2185)+6,FIND("T",B2185,FIND("CFW110",B2185))-(FIND("CFW110",B2185)+6))),
IF(ISNUMBER(FIND("D",B2185)),
VALUE(SUBSTITUTE(MID(B2185,FIND("D",B2185)+1,FIND("T",B2185,FIND("D",B2185))-(FIND("D",B2185)+1)),"P",",")),
IF(ISNUMBER(FIND("CFW5",B2185)),
VALUE(MID(B2185,
IF(ISNUMBER(FIND("F",B2185)),FIND("F",B2185)+1,FIND("G",B2185)+1),
FIND("T",B2185)-(IF(ISNUMBER(FIND("F",B2185)),FIND("F",B2185)+1,FIND("G",B2185)+1))
)),
VALUE(MID(B2185,FIND("E0",B2185)+2,FIND("T",B2185,FIND("E0",B2185))-(FIND("E0",B2185)+2)))
))),"")</f>
        <v>5</v>
      </c>
      <c r="G2185">
        <f>IFERROR(
IF(ISNUMBER(FIND("T2",B2185)),220,
IF(ISNUMBER(FIND("T4",B2185)),440,
IF(ISNUMBER(FIND("T5",B2185)),575,
IF(ISNUMBER(FIND("T6",B2185)),690,"")))),
"")</f>
        <v>440</v>
      </c>
    </row>
    <row r="2186" spans="1:7" x14ac:dyDescent="0.25">
      <c r="A2186">
        <v>14397280</v>
      </c>
      <c r="B2186" t="str">
        <f>VLOOKUP(A2186,Planilha2!B:C,2,0)</f>
        <v>INVERSOR NACFW110003T4OFAYWZ</v>
      </c>
      <c r="C2186" t="s">
        <v>3169</v>
      </c>
      <c r="D2186" t="str">
        <f>VLOOKUP(A2186,Planilha2!B:H,7,0)</f>
        <v>LINHA P5</v>
      </c>
      <c r="E2186" s="5">
        <v>5700</v>
      </c>
      <c r="F2186">
        <f>IFERROR(
IF(ISNUMBER(FIND("CFW110",B2186)),
VALUE(MID(B2186,FIND("CFW110",B2186)+6,FIND("T",B2186,FIND("CFW110",B2186))-(FIND("CFW110",B2186)+6))),
IF(ISNUMBER(FIND("D",B2186)),
VALUE(SUBSTITUTE(MID(B2186,FIND("D",B2186)+1,FIND("T",B2186,FIND("D",B2186))-(FIND("D",B2186)+1)),"P",",")),
IF(ISNUMBER(FIND("CFW5",B2186)),
VALUE(MID(B2186,
IF(ISNUMBER(FIND("F",B2186)),FIND("F",B2186)+1,FIND("G",B2186)+1),
FIND("T",B2186)-(IF(ISNUMBER(FIND("F",B2186)),FIND("F",B2186)+1,FIND("G",B2186)+1))
)),
VALUE(MID(B2186,FIND("E0",B2186)+2,FIND("T",B2186,FIND("E0",B2186))-(FIND("E0",B2186)+2)))
))),"")</f>
        <v>3</v>
      </c>
      <c r="G2186">
        <f>IFERROR(
IF(ISNUMBER(FIND("T2",B2186)),220,
IF(ISNUMBER(FIND("T4",B2186)),440,
IF(ISNUMBER(FIND("T5",B2186)),575,
IF(ISNUMBER(FIND("T6",B2186)),690,"")))),
"")</f>
        <v>440</v>
      </c>
    </row>
    <row r="2187" spans="1:7" x14ac:dyDescent="0.25">
      <c r="A2187">
        <v>13957530</v>
      </c>
      <c r="B2187" t="str">
        <f>VLOOKUP(A2187,Planilha2!B:C,2,0)</f>
        <v>INVERSOR NACFW110007T4O55DSZ</v>
      </c>
      <c r="C2187" t="s">
        <v>3169</v>
      </c>
      <c r="D2187" t="str">
        <f>VLOOKUP(A2187,Planilha2!B:H,7,0)</f>
        <v>LINHA M3</v>
      </c>
      <c r="E2187" s="5">
        <v>4500</v>
      </c>
      <c r="F2187">
        <f>IFERROR(
IF(ISNUMBER(FIND("CFW110",B2187)),
VALUE(MID(B2187,FIND("CFW110",B2187)+6,FIND("T",B2187,FIND("CFW110",B2187))-(FIND("CFW110",B2187)+6))),
IF(ISNUMBER(FIND("D",B2187)),
VALUE(SUBSTITUTE(MID(B2187,FIND("D",B2187)+1,FIND("T",B2187,FIND("D",B2187))-(FIND("D",B2187)+1)),"P",",")),
IF(ISNUMBER(FIND("CFW5",B2187)),
VALUE(MID(B2187,
IF(ISNUMBER(FIND("F",B2187)),FIND("F",B2187)+1,FIND("G",B2187)+1),
FIND("T",B2187)-(IF(ISNUMBER(FIND("F",B2187)),FIND("F",B2187)+1,FIND("G",B2187)+1))
)),
VALUE(MID(B2187,FIND("E0",B2187)+2,FIND("T",B2187,FIND("E0",B2187))-(FIND("E0",B2187)+2)))
))),"")</f>
        <v>7</v>
      </c>
      <c r="G2187">
        <f>IFERROR(
IF(ISNUMBER(FIND("T2",B2187)),220,
IF(ISNUMBER(FIND("T4",B2187)),440,
IF(ISNUMBER(FIND("T5",B2187)),575,
IF(ISNUMBER(FIND("T6",B2187)),690,"")))),
"")</f>
        <v>440</v>
      </c>
    </row>
    <row r="2188" spans="1:7" x14ac:dyDescent="0.25">
      <c r="A2188">
        <v>17224122</v>
      </c>
      <c r="B2188" t="str">
        <f>VLOOKUP(A2188,Planilha2!B:C,2,0)</f>
        <v>INVERSOR BRCFW110016T2OFAYECZ</v>
      </c>
      <c r="C2188" t="s">
        <v>3169</v>
      </c>
      <c r="D2188" t="str">
        <f>VLOOKUP(A2188,Planilha2!B:H,7,0)</f>
        <v>LINHA P5</v>
      </c>
      <c r="E2188" s="5">
        <v>6300</v>
      </c>
      <c r="F2188">
        <f>IFERROR(
IF(ISNUMBER(FIND("CFW110",B2188)),
VALUE(MID(B2188,FIND("CFW110",B2188)+6,FIND("T",B2188,FIND("CFW110",B2188))-(FIND("CFW110",B2188)+6))),
IF(ISNUMBER(FIND("D",B2188)),
VALUE(SUBSTITUTE(MID(B2188,FIND("D",B2188)+1,FIND("T",B2188,FIND("D",B2188))-(FIND("D",B2188)+1)),"P",",")),
IF(ISNUMBER(FIND("CFW5",B2188)),
VALUE(MID(B2188,
IF(ISNUMBER(FIND("F",B2188)),FIND("F",B2188)+1,FIND("G",B2188)+1),
FIND("T",B2188)-(IF(ISNUMBER(FIND("F",B2188)),FIND("F",B2188)+1,FIND("G",B2188)+1))
)),
VALUE(MID(B2188,FIND("E0",B2188)+2,FIND("T",B2188,FIND("E0",B2188))-(FIND("E0",B2188)+2)))
))),"")</f>
        <v>16</v>
      </c>
      <c r="G2188">
        <f>IFERROR(
IF(ISNUMBER(FIND("T2",B2188)),220,
IF(ISNUMBER(FIND("T4",B2188)),440,
IF(ISNUMBER(FIND("T5",B2188)),575,
IF(ISNUMBER(FIND("T6",B2188)),690,"")))),
"")</f>
        <v>220</v>
      </c>
    </row>
    <row r="2189" spans="1:7" x14ac:dyDescent="0.25">
      <c r="A2189">
        <v>17230118</v>
      </c>
      <c r="B2189" t="str">
        <f>VLOOKUP(A2189,Planilha2!B:C,2,0)</f>
        <v>INVERSOR BRCFW110028T2OFAECZ</v>
      </c>
      <c r="C2189" t="s">
        <v>3169</v>
      </c>
      <c r="D2189" t="str">
        <f>VLOOKUP(A2189,Planilha2!B:H,7,0)</f>
        <v>LINHA P7</v>
      </c>
      <c r="E2189" s="5">
        <v>8800</v>
      </c>
      <c r="F2189">
        <f>IFERROR(
IF(ISNUMBER(FIND("CFW110",B2189)),
VALUE(MID(B2189,FIND("CFW110",B2189)+6,FIND("T",B2189,FIND("CFW110",B2189))-(FIND("CFW110",B2189)+6))),
IF(ISNUMBER(FIND("D",B2189)),
VALUE(SUBSTITUTE(MID(B2189,FIND("D",B2189)+1,FIND("T",B2189,FIND("D",B2189))-(FIND("D",B2189)+1)),"P",",")),
IF(ISNUMBER(FIND("CFW5",B2189)),
VALUE(MID(B2189,
IF(ISNUMBER(FIND("F",B2189)),FIND("F",B2189)+1,FIND("G",B2189)+1),
FIND("T",B2189)-(IF(ISNUMBER(FIND("F",B2189)),FIND("F",B2189)+1,FIND("G",B2189)+1))
)),
VALUE(MID(B2189,FIND("E0",B2189)+2,FIND("T",B2189,FIND("E0",B2189))-(FIND("E0",B2189)+2)))
))),"")</f>
        <v>28</v>
      </c>
      <c r="G2189">
        <f>IFERROR(
IF(ISNUMBER(FIND("T2",B2189)),220,
IF(ISNUMBER(FIND("T4",B2189)),440,
IF(ISNUMBER(FIND("T5",B2189)),575,
IF(ISNUMBER(FIND("T6",B2189)),690,"")))),
"")</f>
        <v>220</v>
      </c>
    </row>
    <row r="2190" spans="1:7" x14ac:dyDescent="0.25">
      <c r="A2190">
        <v>17224125</v>
      </c>
      <c r="B2190" t="str">
        <f>VLOOKUP(A2190,Planilha2!B:C,2,0)</f>
        <v>INVERSOR BRCFW110024T2OFAYECZ</v>
      </c>
      <c r="C2190" t="s">
        <v>3169</v>
      </c>
      <c r="D2190" t="str">
        <f>VLOOKUP(A2190,Planilha2!B:H,7,0)</f>
        <v>LINHA P7</v>
      </c>
      <c r="E2190" s="5">
        <v>9100</v>
      </c>
      <c r="F2190">
        <f>IFERROR(
IF(ISNUMBER(FIND("CFW110",B2190)),
VALUE(MID(B2190,FIND("CFW110",B2190)+6,FIND("T",B2190,FIND("CFW110",B2190))-(FIND("CFW110",B2190)+6))),
IF(ISNUMBER(FIND("D",B2190)),
VALUE(SUBSTITUTE(MID(B2190,FIND("D",B2190)+1,FIND("T",B2190,FIND("D",B2190))-(FIND("D",B2190)+1)),"P",",")),
IF(ISNUMBER(FIND("CFW5",B2190)),
VALUE(MID(B2190,
IF(ISNUMBER(FIND("F",B2190)),FIND("F",B2190)+1,FIND("G",B2190)+1),
FIND("T",B2190)-(IF(ISNUMBER(FIND("F",B2190)),FIND("F",B2190)+1,FIND("G",B2190)+1))
)),
VALUE(MID(B2190,FIND("E0",B2190)+2,FIND("T",B2190,FIND("E0",B2190))-(FIND("E0",B2190)+2)))
))),"")</f>
        <v>24</v>
      </c>
      <c r="G2190">
        <f>IFERROR(
IF(ISNUMBER(FIND("T2",B2190)),220,
IF(ISNUMBER(FIND("T4",B2190)),440,
IF(ISNUMBER(FIND("T5",B2190)),575,
IF(ISNUMBER(FIND("T6",B2190)),690,"")))),
"")</f>
        <v>220</v>
      </c>
    </row>
    <row r="2191" spans="1:7" x14ac:dyDescent="0.25">
      <c r="A2191">
        <v>14677553</v>
      </c>
      <c r="B2191" t="str">
        <f>VLOOKUP(A2191,Planilha2!B:C,2,0)</f>
        <v>INVERSOR BRCFW110033T2O55FASSZ</v>
      </c>
      <c r="C2191" t="s">
        <v>3169</v>
      </c>
      <c r="D2191" t="str">
        <f>VLOOKUP(A2191,Planilha2!B:H,7,0)</f>
        <v>LINHA M3</v>
      </c>
      <c r="E2191" s="5">
        <v>9100</v>
      </c>
      <c r="F2191">
        <f>IFERROR(
IF(ISNUMBER(FIND("CFW110",B2191)),
VALUE(MID(B2191,FIND("CFW110",B2191)+6,FIND("T",B2191,FIND("CFW110",B2191))-(FIND("CFW110",B2191)+6))),
IF(ISNUMBER(FIND("D",B2191)),
VALUE(SUBSTITUTE(MID(B2191,FIND("D",B2191)+1,FIND("T",B2191,FIND("D",B2191))-(FIND("D",B2191)+1)),"P",",")),
IF(ISNUMBER(FIND("CFW5",B2191)),
VALUE(MID(B2191,
IF(ISNUMBER(FIND("F",B2191)),FIND("F",B2191)+1,FIND("G",B2191)+1),
FIND("T",B2191)-(IF(ISNUMBER(FIND("F",B2191)),FIND("F",B2191)+1,FIND("G",B2191)+1))
)),
VALUE(MID(B2191,FIND("E0",B2191)+2,FIND("T",B2191,FIND("E0",B2191))-(FIND("E0",B2191)+2)))
))),"")</f>
        <v>33</v>
      </c>
      <c r="G2191">
        <f>IFERROR(
IF(ISNUMBER(FIND("T2",B2191)),220,
IF(ISNUMBER(FIND("T4",B2191)),440,
IF(ISNUMBER(FIND("T5",B2191)),575,
IF(ISNUMBER(FIND("T6",B2191)),690,"")))),
"")</f>
        <v>220</v>
      </c>
    </row>
    <row r="2192" spans="1:7" x14ac:dyDescent="0.25">
      <c r="A2192">
        <v>14693007</v>
      </c>
      <c r="B2192" t="str">
        <f>VLOOKUP(A2192,Planilha2!B:C,2,0)</f>
        <v>INVERSOR BRCFW110031T4OYSSZ</v>
      </c>
      <c r="C2192" t="s">
        <v>3169</v>
      </c>
      <c r="D2192" t="str">
        <f>VLOOKUP(A2192,Planilha2!B:H,7,0)</f>
        <v>LINHA P7</v>
      </c>
      <c r="E2192" s="5">
        <v>10660</v>
      </c>
      <c r="F2192">
        <f>IFERROR(
IF(ISNUMBER(FIND("CFW110",B2192)),
VALUE(MID(B2192,FIND("CFW110",B2192)+6,FIND("T",B2192,FIND("CFW110",B2192))-(FIND("CFW110",B2192)+6))),
IF(ISNUMBER(FIND("D",B2192)),
VALUE(SUBSTITUTE(MID(B2192,FIND("D",B2192)+1,FIND("T",B2192,FIND("D",B2192))-(FIND("D",B2192)+1)),"P",",")),
IF(ISNUMBER(FIND("CFW5",B2192)),
VALUE(MID(B2192,
IF(ISNUMBER(FIND("F",B2192)),FIND("F",B2192)+1,FIND("G",B2192)+1),
FIND("T",B2192)-(IF(ISNUMBER(FIND("F",B2192)),FIND("F",B2192)+1,FIND("G",B2192)+1))
)),
VALUE(MID(B2192,FIND("E0",B2192)+2,FIND("T",B2192,FIND("E0",B2192))-(FIND("E0",B2192)+2)))
))),"")</f>
        <v>31</v>
      </c>
      <c r="G2192">
        <f>IFERROR(
IF(ISNUMBER(FIND("T2",B2192)),220,
IF(ISNUMBER(FIND("T4",B2192)),440,
IF(ISNUMBER(FIND("T5",B2192)),575,
IF(ISNUMBER(FIND("T6",B2192)),690,"")))),
"")</f>
        <v>440</v>
      </c>
    </row>
    <row r="2193" spans="1:7" x14ac:dyDescent="0.25">
      <c r="A2193">
        <v>14704288</v>
      </c>
      <c r="B2193" t="str">
        <f>VLOOKUP(A2193,Planilha2!B:C,2,0)</f>
        <v>INVERSOR BRCFW110013T4OFAH4Z</v>
      </c>
      <c r="C2193" t="s">
        <v>3169</v>
      </c>
      <c r="D2193" t="str">
        <f>VLOOKUP(A2193,Planilha2!B:H,7,0)</f>
        <v>LINHA P5</v>
      </c>
      <c r="E2193" s="5">
        <v>4500</v>
      </c>
      <c r="F2193">
        <f>IFERROR(
IF(ISNUMBER(FIND("CFW110",B2193)),
VALUE(MID(B2193,FIND("CFW110",B2193)+6,FIND("T",B2193,FIND("CFW110",B2193))-(FIND("CFW110",B2193)+6))),
IF(ISNUMBER(FIND("D",B2193)),
VALUE(SUBSTITUTE(MID(B2193,FIND("D",B2193)+1,FIND("T",B2193,FIND("D",B2193))-(FIND("D",B2193)+1)),"P",",")),
IF(ISNUMBER(FIND("CFW5",B2193)),
VALUE(MID(B2193,
IF(ISNUMBER(FIND("F",B2193)),FIND("F",B2193)+1,FIND("G",B2193)+1),
FIND("T",B2193)-(IF(ISNUMBER(FIND("F",B2193)),FIND("F",B2193)+1,FIND("G",B2193)+1))
)),
VALUE(MID(B2193,FIND("E0",B2193)+2,FIND("T",B2193,FIND("E0",B2193))-(FIND("E0",B2193)+2)))
))),"")</f>
        <v>13</v>
      </c>
      <c r="G2193">
        <f>IFERROR(
IF(ISNUMBER(FIND("T2",B2193)),220,
IF(ISNUMBER(FIND("T4",B2193)),440,
IF(ISNUMBER(FIND("T5",B2193)),575,
IF(ISNUMBER(FIND("T6",B2193)),690,"")))),
"")</f>
        <v>440</v>
      </c>
    </row>
    <row r="2194" spans="1:7" x14ac:dyDescent="0.25">
      <c r="A2194">
        <v>14747077</v>
      </c>
      <c r="B2194" t="str">
        <f>VLOOKUP(A2194,Planilha2!B:C,2,0)</f>
        <v>INVERSOR EUCFW110017T4O55FADSYWZ</v>
      </c>
      <c r="C2194" t="s">
        <v>3169</v>
      </c>
      <c r="D2194" t="str">
        <f>VLOOKUP(A2194,Planilha2!B:H,7,0)</f>
        <v>LINHA M3</v>
      </c>
      <c r="E2194" s="5">
        <v>9422</v>
      </c>
      <c r="F2194">
        <f>IFERROR(
IF(ISNUMBER(FIND("CFW110",B2194)),
VALUE(MID(B2194,FIND("CFW110",B2194)+6,FIND("T",B2194,FIND("CFW110",B2194))-(FIND("CFW110",B2194)+6))),
IF(ISNUMBER(FIND("D",B2194)),
VALUE(SUBSTITUTE(MID(B2194,FIND("D",B2194)+1,FIND("T",B2194,FIND("D",B2194))-(FIND("D",B2194)+1)),"P",",")),
IF(ISNUMBER(FIND("CFW5",B2194)),
VALUE(MID(B2194,
IF(ISNUMBER(FIND("F",B2194)),FIND("F",B2194)+1,FIND("G",B2194)+1),
FIND("T",B2194)-(IF(ISNUMBER(FIND("F",B2194)),FIND("F",B2194)+1,FIND("G",B2194)+1))
)),
VALUE(MID(B2194,FIND("E0",B2194)+2,FIND("T",B2194,FIND("E0",B2194))-(FIND("E0",B2194)+2)))
))),"")</f>
        <v>17</v>
      </c>
      <c r="G2194">
        <f>IFERROR(
IF(ISNUMBER(FIND("T2",B2194)),220,
IF(ISNUMBER(FIND("T4",B2194)),440,
IF(ISNUMBER(FIND("T5",B2194)),575,
IF(ISNUMBER(FIND("T6",B2194)),690,"")))),
"")</f>
        <v>440</v>
      </c>
    </row>
    <row r="2195" spans="1:7" x14ac:dyDescent="0.25">
      <c r="A2195">
        <v>12742658</v>
      </c>
      <c r="B2195" t="str">
        <f>VLOOKUP(A2195,Planilha2!B:C,2,0)</f>
        <v>INVERSOR BRCFW110007T4OFAYWZ</v>
      </c>
      <c r="C2195" t="s">
        <v>3169</v>
      </c>
      <c r="D2195" t="str">
        <f>VLOOKUP(A2195,Planilha2!B:H,7,0)</f>
        <v>LINHA P5</v>
      </c>
      <c r="E2195" s="5">
        <v>5000</v>
      </c>
      <c r="F2195">
        <f>IFERROR(
IF(ISNUMBER(FIND("CFW110",B2195)),
VALUE(MID(B2195,FIND("CFW110",B2195)+6,FIND("T",B2195,FIND("CFW110",B2195))-(FIND("CFW110",B2195)+6))),
IF(ISNUMBER(FIND("D",B2195)),
VALUE(SUBSTITUTE(MID(B2195,FIND("D",B2195)+1,FIND("T",B2195,FIND("D",B2195))-(FIND("D",B2195)+1)),"P",",")),
IF(ISNUMBER(FIND("CFW5",B2195)),
VALUE(MID(B2195,
IF(ISNUMBER(FIND("F",B2195)),FIND("F",B2195)+1,FIND("G",B2195)+1),
FIND("T",B2195)-(IF(ISNUMBER(FIND("F",B2195)),FIND("F",B2195)+1,FIND("G",B2195)+1))
)),
VALUE(MID(B2195,FIND("E0",B2195)+2,FIND("T",B2195,FIND("E0",B2195))-(FIND("E0",B2195)+2)))
))),"")</f>
        <v>7</v>
      </c>
      <c r="G2195">
        <f>IFERROR(
IF(ISNUMBER(FIND("T2",B2195)),220,
IF(ISNUMBER(FIND("T4",B2195)),440,
IF(ISNUMBER(FIND("T5",B2195)),575,
IF(ISNUMBER(FIND("T6",B2195)),690,"")))),
"")</f>
        <v>440</v>
      </c>
    </row>
    <row r="2196" spans="1:7" x14ac:dyDescent="0.25">
      <c r="A2196">
        <v>12623396</v>
      </c>
      <c r="B2196" t="str">
        <f>VLOOKUP(A2196,Planilha2!B:C,2,0)</f>
        <v>INVERSOR BRCFW110013T4OFAYWZ</v>
      </c>
      <c r="C2196" t="s">
        <v>3169</v>
      </c>
      <c r="D2196" t="str">
        <f>VLOOKUP(A2196,Planilha2!B:H,7,0)</f>
        <v>LINHA P5</v>
      </c>
      <c r="E2196" s="5">
        <v>7000</v>
      </c>
      <c r="F2196">
        <f>IFERROR(
IF(ISNUMBER(FIND("CFW110",B2196)),
VALUE(MID(B2196,FIND("CFW110",B2196)+6,FIND("T",B2196,FIND("CFW110",B2196))-(FIND("CFW110",B2196)+6))),
IF(ISNUMBER(FIND("D",B2196)),
VALUE(SUBSTITUTE(MID(B2196,FIND("D",B2196)+1,FIND("T",B2196,FIND("D",B2196))-(FIND("D",B2196)+1)),"P",",")),
IF(ISNUMBER(FIND("CFW5",B2196)),
VALUE(MID(B2196,
IF(ISNUMBER(FIND("F",B2196)),FIND("F",B2196)+1,FIND("G",B2196)+1),
FIND("T",B2196)-(IF(ISNUMBER(FIND("F",B2196)),FIND("F",B2196)+1,FIND("G",B2196)+1))
)),
VALUE(MID(B2196,FIND("E0",B2196)+2,FIND("T",B2196,FIND("E0",B2196))-(FIND("E0",B2196)+2)))
))),"")</f>
        <v>13</v>
      </c>
      <c r="G2196">
        <f>IFERROR(
IF(ISNUMBER(FIND("T2",B2196)),220,
IF(ISNUMBER(FIND("T4",B2196)),440,
IF(ISNUMBER(FIND("T5",B2196)),575,
IF(ISNUMBER(FIND("T6",B2196)),690,"")))),
"")</f>
        <v>440</v>
      </c>
    </row>
    <row r="2197" spans="1:7" x14ac:dyDescent="0.25">
      <c r="A2197">
        <v>13007988</v>
      </c>
      <c r="B2197" t="str">
        <f>VLOOKUP(A2197,Planilha2!B:C,2,0)</f>
        <v>INVERSOR BRCFW110006B2OWZ</v>
      </c>
      <c r="C2197" t="s">
        <v>3169</v>
      </c>
      <c r="D2197" t="str">
        <f>VLOOKUP(A2197,Planilha2!B:H,7,0)</f>
        <v>LINHA P5</v>
      </c>
      <c r="E2197" s="5">
        <v>4500</v>
      </c>
      <c r="F2197" t="str">
        <f>IFERROR(
IF(ISNUMBER(FIND("CFW110",B2197)),
VALUE(MID(B2197,FIND("CFW110",B2197)+6,FIND("T",B2197,FIND("CFW110",B2197))-(FIND("CFW110",B2197)+6))),
IF(ISNUMBER(FIND("D",B2197)),
VALUE(SUBSTITUTE(MID(B2197,FIND("D",B2197)+1,FIND("T",B2197,FIND("D",B2197))-(FIND("D",B2197)+1)),"P",",")),
IF(ISNUMBER(FIND("CFW5",B2197)),
VALUE(MID(B2197,
IF(ISNUMBER(FIND("F",B2197)),FIND("F",B2197)+1,FIND("G",B2197)+1),
FIND("T",B2197)-(IF(ISNUMBER(FIND("F",B2197)),FIND("F",B2197)+1,FIND("G",B2197)+1))
)),
VALUE(MID(B2197,FIND("E0",B2197)+2,FIND("T",B2197,FIND("E0",B2197))-(FIND("E0",B2197)+2)))
))),"")</f>
        <v/>
      </c>
      <c r="G2197" t="str">
        <f>IFERROR(
IF(ISNUMBER(FIND("T2",B2197)),220,
IF(ISNUMBER(FIND("T4",B2197)),440,
IF(ISNUMBER(FIND("T5",B2197)),575,
IF(ISNUMBER(FIND("T6",B2197)),690,"")))),
"")</f>
        <v/>
      </c>
    </row>
    <row r="2198" spans="1:7" x14ac:dyDescent="0.25">
      <c r="A2198">
        <v>12884613</v>
      </c>
      <c r="B2198" t="str">
        <f>VLOOKUP(A2198,Planilha2!B:C,2,0)</f>
        <v>INVERSOR BRCFW110031T4OSWZ</v>
      </c>
      <c r="C2198" t="s">
        <v>3169</v>
      </c>
      <c r="D2198" t="str">
        <f>VLOOKUP(A2198,Planilha2!B:H,7,0)</f>
        <v>LINHA P7</v>
      </c>
      <c r="E2198" s="5">
        <v>10400</v>
      </c>
      <c r="F2198">
        <f>IFERROR(
IF(ISNUMBER(FIND("CFW110",B2198)),
VALUE(MID(B2198,FIND("CFW110",B2198)+6,FIND("T",B2198,FIND("CFW110",B2198))-(FIND("CFW110",B2198)+6))),
IF(ISNUMBER(FIND("D",B2198)),
VALUE(SUBSTITUTE(MID(B2198,FIND("D",B2198)+1,FIND("T",B2198,FIND("D",B2198))-(FIND("D",B2198)+1)),"P",",")),
IF(ISNUMBER(FIND("CFW5",B2198)),
VALUE(MID(B2198,
IF(ISNUMBER(FIND("F",B2198)),FIND("F",B2198)+1,FIND("G",B2198)+1),
FIND("T",B2198)-(IF(ISNUMBER(FIND("F",B2198)),FIND("F",B2198)+1,FIND("G",B2198)+1))
)),
VALUE(MID(B2198,FIND("E0",B2198)+2,FIND("T",B2198,FIND("E0",B2198))-(FIND("E0",B2198)+2)))
))),"")</f>
        <v>31</v>
      </c>
      <c r="G2198">
        <f>IFERROR(
IF(ISNUMBER(FIND("T2",B2198)),220,
IF(ISNUMBER(FIND("T4",B2198)),440,
IF(ISNUMBER(FIND("T5",B2198)),575,
IF(ISNUMBER(FIND("T6",B2198)),690,"")))),
"")</f>
        <v>440</v>
      </c>
    </row>
    <row r="2199" spans="1:7" x14ac:dyDescent="0.25">
      <c r="A2199">
        <v>12884612</v>
      </c>
      <c r="B2199" t="str">
        <f>VLOOKUP(A2199,Planilha2!B:C,2,0)</f>
        <v>INVERSOR BRCFW110024T4OSWZ</v>
      </c>
      <c r="C2199" t="s">
        <v>3169</v>
      </c>
      <c r="D2199" t="str">
        <f>VLOOKUP(A2199,Planilha2!B:H,7,0)</f>
        <v>LINHA P7</v>
      </c>
      <c r="E2199" s="5">
        <v>10000</v>
      </c>
      <c r="F2199">
        <f>IFERROR(
IF(ISNUMBER(FIND("CFW110",B2199)),
VALUE(MID(B2199,FIND("CFW110",B2199)+6,FIND("T",B2199,FIND("CFW110",B2199))-(FIND("CFW110",B2199)+6))),
IF(ISNUMBER(FIND("D",B2199)),
VALUE(SUBSTITUTE(MID(B2199,FIND("D",B2199)+1,FIND("T",B2199,FIND("D",B2199))-(FIND("D",B2199)+1)),"P",",")),
IF(ISNUMBER(FIND("CFW5",B2199)),
VALUE(MID(B2199,
IF(ISNUMBER(FIND("F",B2199)),FIND("F",B2199)+1,FIND("G",B2199)+1),
FIND("T",B2199)-(IF(ISNUMBER(FIND("F",B2199)),FIND("F",B2199)+1,FIND("G",B2199)+1))
)),
VALUE(MID(B2199,FIND("E0",B2199)+2,FIND("T",B2199,FIND("E0",B2199))-(FIND("E0",B2199)+2)))
))),"")</f>
        <v>24</v>
      </c>
      <c r="G2199">
        <f>IFERROR(
IF(ISNUMBER(FIND("T2",B2199)),220,
IF(ISNUMBER(FIND("T4",B2199)),440,
IF(ISNUMBER(FIND("T5",B2199)),575,
IF(ISNUMBER(FIND("T6",B2199)),690,"")))),
"")</f>
        <v>440</v>
      </c>
    </row>
    <row r="2200" spans="1:7" x14ac:dyDescent="0.25">
      <c r="A2200">
        <v>12884609</v>
      </c>
      <c r="B2200" t="str">
        <f>VLOOKUP(A2200,Planilha2!B:C,2,0)</f>
        <v>INVERSOR BRCFW110017T4OSWZ</v>
      </c>
      <c r="C2200" t="s">
        <v>3169</v>
      </c>
      <c r="D2200" t="str">
        <f>VLOOKUP(A2200,Planilha2!B:H,7,0)</f>
        <v>LINHA P7</v>
      </c>
      <c r="E2200" s="5">
        <v>8900</v>
      </c>
      <c r="F2200">
        <f>IFERROR(
IF(ISNUMBER(FIND("CFW110",B2200)),
VALUE(MID(B2200,FIND("CFW110",B2200)+6,FIND("T",B2200,FIND("CFW110",B2200))-(FIND("CFW110",B2200)+6))),
IF(ISNUMBER(FIND("D",B2200)),
VALUE(SUBSTITUTE(MID(B2200,FIND("D",B2200)+1,FIND("T",B2200,FIND("D",B2200))-(FIND("D",B2200)+1)),"P",",")),
IF(ISNUMBER(FIND("CFW5",B2200)),
VALUE(MID(B2200,
IF(ISNUMBER(FIND("F",B2200)),FIND("F",B2200)+1,FIND("G",B2200)+1),
FIND("T",B2200)-(IF(ISNUMBER(FIND("F",B2200)),FIND("F",B2200)+1,FIND("G",B2200)+1))
)),
VALUE(MID(B2200,FIND("E0",B2200)+2,FIND("T",B2200,FIND("E0",B2200))-(FIND("E0",B2200)+2)))
))),"")</f>
        <v>17</v>
      </c>
      <c r="G2200">
        <f>IFERROR(
IF(ISNUMBER(FIND("T2",B2200)),220,
IF(ISNUMBER(FIND("T4",B2200)),440,
IF(ISNUMBER(FIND("T5",B2200)),575,
IF(ISNUMBER(FIND("T6",B2200)),690,"")))),
"")</f>
        <v>440</v>
      </c>
    </row>
    <row r="2201" spans="1:7" x14ac:dyDescent="0.25">
      <c r="A2201">
        <v>13017694</v>
      </c>
      <c r="B2201" t="str">
        <f>VLOOKUP(A2201,Planilha2!B:C,2,0)</f>
        <v>INVERSOR BRCFW110031T4OFAS7Z</v>
      </c>
      <c r="C2201" t="s">
        <v>3169</v>
      </c>
      <c r="D2201" t="str">
        <f>VLOOKUP(A2201,Planilha2!B:H,7,0)</f>
        <v>LINHA P7</v>
      </c>
      <c r="E2201" s="5">
        <v>10500</v>
      </c>
      <c r="F2201">
        <f>IFERROR(
IF(ISNUMBER(FIND("CFW110",B2201)),
VALUE(MID(B2201,FIND("CFW110",B2201)+6,FIND("T",B2201,FIND("CFW110",B2201))-(FIND("CFW110",B2201)+6))),
IF(ISNUMBER(FIND("D",B2201)),
VALUE(SUBSTITUTE(MID(B2201,FIND("D",B2201)+1,FIND("T",B2201,FIND("D",B2201))-(FIND("D",B2201)+1)),"P",",")),
IF(ISNUMBER(FIND("CFW5",B2201)),
VALUE(MID(B2201,
IF(ISNUMBER(FIND("F",B2201)),FIND("F",B2201)+1,FIND("G",B2201)+1),
FIND("T",B2201)-(IF(ISNUMBER(FIND("F",B2201)),FIND("F",B2201)+1,FIND("G",B2201)+1))
)),
VALUE(MID(B2201,FIND("E0",B2201)+2,FIND("T",B2201,FIND("E0",B2201))-(FIND("E0",B2201)+2)))
))),"")</f>
        <v>31</v>
      </c>
      <c r="G2201">
        <f>IFERROR(
IF(ISNUMBER(FIND("T2",B2201)),220,
IF(ISNUMBER(FIND("T4",B2201)),440,
IF(ISNUMBER(FIND("T5",B2201)),575,
IF(ISNUMBER(FIND("T6",B2201)),690,"")))),
"")</f>
        <v>440</v>
      </c>
    </row>
    <row r="2202" spans="1:7" x14ac:dyDescent="0.25">
      <c r="A2202">
        <v>12919168</v>
      </c>
      <c r="B2202" t="str">
        <f>VLOOKUP(A2202,Planilha2!B:C,2,0)</f>
        <v>INVERSOR BRCFW110017T4ON1SPZ</v>
      </c>
      <c r="C2202" t="s">
        <v>3169</v>
      </c>
      <c r="D2202" t="str">
        <f>VLOOKUP(A2202,Planilha2!B:H,7,0)</f>
        <v>LINHA P5</v>
      </c>
      <c r="E2202" s="5">
        <v>10000</v>
      </c>
      <c r="F2202">
        <f>IFERROR(
IF(ISNUMBER(FIND("CFW110",B2202)),
VALUE(MID(B2202,FIND("CFW110",B2202)+6,FIND("T",B2202,FIND("CFW110",B2202))-(FIND("CFW110",B2202)+6))),
IF(ISNUMBER(FIND("D",B2202)),
VALUE(SUBSTITUTE(MID(B2202,FIND("D",B2202)+1,FIND("T",B2202,FIND("D",B2202))-(FIND("D",B2202)+1)),"P",",")),
IF(ISNUMBER(FIND("CFW5",B2202)),
VALUE(MID(B2202,
IF(ISNUMBER(FIND("F",B2202)),FIND("F",B2202)+1,FIND("G",B2202)+1),
FIND("T",B2202)-(IF(ISNUMBER(FIND("F",B2202)),FIND("F",B2202)+1,FIND("G",B2202)+1))
)),
VALUE(MID(B2202,FIND("E0",B2202)+2,FIND("T",B2202,FIND("E0",B2202))-(FIND("E0",B2202)+2)))
))),"")</f>
        <v>17</v>
      </c>
      <c r="G2202">
        <f>IFERROR(
IF(ISNUMBER(FIND("T2",B2202)),220,
IF(ISNUMBER(FIND("T4",B2202)),440,
IF(ISNUMBER(FIND("T5",B2202)),575,
IF(ISNUMBER(FIND("T6",B2202)),690,"")))),
"")</f>
        <v>440</v>
      </c>
    </row>
    <row r="2203" spans="1:7" x14ac:dyDescent="0.25">
      <c r="A2203">
        <v>12919169</v>
      </c>
      <c r="B2203" t="str">
        <f>VLOOKUP(A2203,Planilha2!B:C,2,0)</f>
        <v>INVERSOR BRCFW110024T4ON1SPZ</v>
      </c>
      <c r="C2203" t="s">
        <v>3169</v>
      </c>
      <c r="D2203" t="str">
        <f>VLOOKUP(A2203,Planilha2!B:H,7,0)</f>
        <v>LINHA P5</v>
      </c>
      <c r="E2203" s="5">
        <v>11200</v>
      </c>
      <c r="F2203">
        <f>IFERROR(
IF(ISNUMBER(FIND("CFW110",B2203)),
VALUE(MID(B2203,FIND("CFW110",B2203)+6,FIND("T",B2203,FIND("CFW110",B2203))-(FIND("CFW110",B2203)+6))),
IF(ISNUMBER(FIND("D",B2203)),
VALUE(SUBSTITUTE(MID(B2203,FIND("D",B2203)+1,FIND("T",B2203,FIND("D",B2203))-(FIND("D",B2203)+1)),"P",",")),
IF(ISNUMBER(FIND("CFW5",B2203)),
VALUE(MID(B2203,
IF(ISNUMBER(FIND("F",B2203)),FIND("F",B2203)+1,FIND("G",B2203)+1),
FIND("T",B2203)-(IF(ISNUMBER(FIND("F",B2203)),FIND("F",B2203)+1,FIND("G",B2203)+1))
)),
VALUE(MID(B2203,FIND("E0",B2203)+2,FIND("T",B2203,FIND("E0",B2203))-(FIND("E0",B2203)+2)))
))),"")</f>
        <v>24</v>
      </c>
      <c r="G2203">
        <f>IFERROR(
IF(ISNUMBER(FIND("T2",B2203)),220,
IF(ISNUMBER(FIND("T4",B2203)),440,
IF(ISNUMBER(FIND("T5",B2203)),575,
IF(ISNUMBER(FIND("T6",B2203)),690,"")))),
"")</f>
        <v>440</v>
      </c>
    </row>
    <row r="2204" spans="1:7" x14ac:dyDescent="0.25">
      <c r="A2204">
        <v>12919170</v>
      </c>
      <c r="B2204" t="str">
        <f>VLOOKUP(A2204,Planilha2!B:C,2,0)</f>
        <v>INVERSOR BRCFW110031T4ON1SPZ</v>
      </c>
      <c r="C2204" t="s">
        <v>3169</v>
      </c>
      <c r="D2204" t="str">
        <f>VLOOKUP(A2204,Planilha2!B:H,7,0)</f>
        <v>LINHA P5</v>
      </c>
      <c r="E2204" s="5">
        <v>11500</v>
      </c>
      <c r="F2204">
        <f>IFERROR(
IF(ISNUMBER(FIND("CFW110",B2204)),
VALUE(MID(B2204,FIND("CFW110",B2204)+6,FIND("T",B2204,FIND("CFW110",B2204))-(FIND("CFW110",B2204)+6))),
IF(ISNUMBER(FIND("D",B2204)),
VALUE(SUBSTITUTE(MID(B2204,FIND("D",B2204)+1,FIND("T",B2204,FIND("D",B2204))-(FIND("D",B2204)+1)),"P",",")),
IF(ISNUMBER(FIND("CFW5",B2204)),
VALUE(MID(B2204,
IF(ISNUMBER(FIND("F",B2204)),FIND("F",B2204)+1,FIND("G",B2204)+1),
FIND("T",B2204)-(IF(ISNUMBER(FIND("F",B2204)),FIND("F",B2204)+1,FIND("G",B2204)+1))
)),
VALUE(MID(B2204,FIND("E0",B2204)+2,FIND("T",B2204,FIND("E0",B2204))-(FIND("E0",B2204)+2)))
))),"")</f>
        <v>31</v>
      </c>
      <c r="G2204">
        <f>IFERROR(
IF(ISNUMBER(FIND("T2",B2204)),220,
IF(ISNUMBER(FIND("T4",B2204)),440,
IF(ISNUMBER(FIND("T5",B2204)),575,
IF(ISNUMBER(FIND("T6",B2204)),690,"")))),
"")</f>
        <v>440</v>
      </c>
    </row>
    <row r="2205" spans="1:7" x14ac:dyDescent="0.25">
      <c r="A2205">
        <v>12919063</v>
      </c>
      <c r="B2205" t="str">
        <f>VLOOKUP(A2205,Planilha2!B:C,2,0)</f>
        <v>INVERSOR BRCFW110003T4ON1SPZ</v>
      </c>
      <c r="C2205" t="s">
        <v>3169</v>
      </c>
      <c r="D2205" t="str">
        <f>VLOOKUP(A2205,Planilha2!B:H,7,0)</f>
        <v>LINHA P5</v>
      </c>
      <c r="E2205" s="5">
        <v>6450</v>
      </c>
      <c r="F2205">
        <f>IFERROR(
IF(ISNUMBER(FIND("CFW110",B2205)),
VALUE(MID(B2205,FIND("CFW110",B2205)+6,FIND("T",B2205,FIND("CFW110",B2205))-(FIND("CFW110",B2205)+6))),
IF(ISNUMBER(FIND("D",B2205)),
VALUE(SUBSTITUTE(MID(B2205,FIND("D",B2205)+1,FIND("T",B2205,FIND("D",B2205))-(FIND("D",B2205)+1)),"P",",")),
IF(ISNUMBER(FIND("CFW5",B2205)),
VALUE(MID(B2205,
IF(ISNUMBER(FIND("F",B2205)),FIND("F",B2205)+1,FIND("G",B2205)+1),
FIND("T",B2205)-(IF(ISNUMBER(FIND("F",B2205)),FIND("F",B2205)+1,FIND("G",B2205)+1))
)),
VALUE(MID(B2205,FIND("E0",B2205)+2,FIND("T",B2205,FIND("E0",B2205))-(FIND("E0",B2205)+2)))
))),"")</f>
        <v>3</v>
      </c>
      <c r="G2205">
        <f>IFERROR(
IF(ISNUMBER(FIND("T2",B2205)),220,
IF(ISNUMBER(FIND("T4",B2205)),440,
IF(ISNUMBER(FIND("T5",B2205)),575,
IF(ISNUMBER(FIND("T6",B2205)),690,"")))),
"")</f>
        <v>440</v>
      </c>
    </row>
    <row r="2206" spans="1:7" x14ac:dyDescent="0.25">
      <c r="A2206">
        <v>12919064</v>
      </c>
      <c r="B2206" t="str">
        <f>VLOOKUP(A2206,Planilha2!B:C,2,0)</f>
        <v>INVERSOR BRCFW110005T4ON1SPZ</v>
      </c>
      <c r="C2206" t="s">
        <v>3169</v>
      </c>
      <c r="D2206" t="str">
        <f>VLOOKUP(A2206,Planilha2!B:H,7,0)</f>
        <v>LINHA P5</v>
      </c>
      <c r="E2206" s="5">
        <v>6650</v>
      </c>
      <c r="F2206">
        <f>IFERROR(
IF(ISNUMBER(FIND("CFW110",B2206)),
VALUE(MID(B2206,FIND("CFW110",B2206)+6,FIND("T",B2206,FIND("CFW110",B2206))-(FIND("CFW110",B2206)+6))),
IF(ISNUMBER(FIND("D",B2206)),
VALUE(SUBSTITUTE(MID(B2206,FIND("D",B2206)+1,FIND("T",B2206,FIND("D",B2206))-(FIND("D",B2206)+1)),"P",",")),
IF(ISNUMBER(FIND("CFW5",B2206)),
VALUE(MID(B2206,
IF(ISNUMBER(FIND("F",B2206)),FIND("F",B2206)+1,FIND("G",B2206)+1),
FIND("T",B2206)-(IF(ISNUMBER(FIND("F",B2206)),FIND("F",B2206)+1,FIND("G",B2206)+1))
)),
VALUE(MID(B2206,FIND("E0",B2206)+2,FIND("T",B2206,FIND("E0",B2206))-(FIND("E0",B2206)+2)))
))),"")</f>
        <v>5</v>
      </c>
      <c r="G2206">
        <f>IFERROR(
IF(ISNUMBER(FIND("T2",B2206)),220,
IF(ISNUMBER(FIND("T4",B2206)),440,
IF(ISNUMBER(FIND("T5",B2206)),575,
IF(ISNUMBER(FIND("T6",B2206)),690,"")))),
"")</f>
        <v>440</v>
      </c>
    </row>
    <row r="2207" spans="1:7" x14ac:dyDescent="0.25">
      <c r="A2207">
        <v>12919065</v>
      </c>
      <c r="B2207" t="str">
        <f>VLOOKUP(A2207,Planilha2!B:C,2,0)</f>
        <v>INVERSOR BRCFW110007T4ON1SPZ</v>
      </c>
      <c r="C2207" t="s">
        <v>3169</v>
      </c>
      <c r="D2207" t="str">
        <f>VLOOKUP(A2207,Planilha2!B:H,7,0)</f>
        <v>LINHA P5</v>
      </c>
      <c r="E2207" s="5">
        <v>6650</v>
      </c>
      <c r="F2207">
        <f>IFERROR(
IF(ISNUMBER(FIND("CFW110",B2207)),
VALUE(MID(B2207,FIND("CFW110",B2207)+6,FIND("T",B2207,FIND("CFW110",B2207))-(FIND("CFW110",B2207)+6))),
IF(ISNUMBER(FIND("D",B2207)),
VALUE(SUBSTITUTE(MID(B2207,FIND("D",B2207)+1,FIND("T",B2207,FIND("D",B2207))-(FIND("D",B2207)+1)),"P",",")),
IF(ISNUMBER(FIND("CFW5",B2207)),
VALUE(MID(B2207,
IF(ISNUMBER(FIND("F",B2207)),FIND("F",B2207)+1,FIND("G",B2207)+1),
FIND("T",B2207)-(IF(ISNUMBER(FIND("F",B2207)),FIND("F",B2207)+1,FIND("G",B2207)+1))
)),
VALUE(MID(B2207,FIND("E0",B2207)+2,FIND("T",B2207,FIND("E0",B2207))-(FIND("E0",B2207)+2)))
))),"")</f>
        <v>7</v>
      </c>
      <c r="G2207">
        <f>IFERROR(
IF(ISNUMBER(FIND("T2",B2207)),220,
IF(ISNUMBER(FIND("T4",B2207)),440,
IF(ISNUMBER(FIND("T5",B2207)),575,
IF(ISNUMBER(FIND("T6",B2207)),690,"")))),
"")</f>
        <v>440</v>
      </c>
    </row>
    <row r="2208" spans="1:7" x14ac:dyDescent="0.25">
      <c r="A2208">
        <v>12919014</v>
      </c>
      <c r="B2208" t="str">
        <f>VLOOKUP(A2208,Planilha2!B:C,2,0)</f>
        <v>INVERSOR BRCFW110024T2ON1SPZ</v>
      </c>
      <c r="C2208" t="s">
        <v>3169</v>
      </c>
      <c r="D2208" t="str">
        <f>VLOOKUP(A2208,Planilha2!B:H,7,0)</f>
        <v>LINHA P5</v>
      </c>
      <c r="E2208" s="5">
        <v>9900</v>
      </c>
      <c r="F2208">
        <f>IFERROR(
IF(ISNUMBER(FIND("CFW110",B2208)),
VALUE(MID(B2208,FIND("CFW110",B2208)+6,FIND("T",B2208,FIND("CFW110",B2208))-(FIND("CFW110",B2208)+6))),
IF(ISNUMBER(FIND("D",B2208)),
VALUE(SUBSTITUTE(MID(B2208,FIND("D",B2208)+1,FIND("T",B2208,FIND("D",B2208))-(FIND("D",B2208)+1)),"P",",")),
IF(ISNUMBER(FIND("CFW5",B2208)),
VALUE(MID(B2208,
IF(ISNUMBER(FIND("F",B2208)),FIND("F",B2208)+1,FIND("G",B2208)+1),
FIND("T",B2208)-(IF(ISNUMBER(FIND("F",B2208)),FIND("F",B2208)+1,FIND("G",B2208)+1))
)),
VALUE(MID(B2208,FIND("E0",B2208)+2,FIND("T",B2208,FIND("E0",B2208))-(FIND("E0",B2208)+2)))
))),"")</f>
        <v>24</v>
      </c>
      <c r="G2208">
        <f>IFERROR(
IF(ISNUMBER(FIND("T2",B2208)),220,
IF(ISNUMBER(FIND("T4",B2208)),440,
IF(ISNUMBER(FIND("T5",B2208)),575,
IF(ISNUMBER(FIND("T6",B2208)),690,"")))),
"")</f>
        <v>220</v>
      </c>
    </row>
    <row r="2209" spans="1:7" x14ac:dyDescent="0.25">
      <c r="A2209">
        <v>12919015</v>
      </c>
      <c r="B2209" t="str">
        <f>VLOOKUP(A2209,Planilha2!B:C,2,0)</f>
        <v>INVERSOR BRCFW110033T2ON1SPZ</v>
      </c>
      <c r="C2209" t="s">
        <v>3169</v>
      </c>
      <c r="D2209" t="str">
        <f>VLOOKUP(A2209,Planilha2!B:H,7,0)</f>
        <v>LINHA P5</v>
      </c>
      <c r="E2209" s="5">
        <v>9900</v>
      </c>
      <c r="F2209">
        <f>IFERROR(
IF(ISNUMBER(FIND("CFW110",B2209)),
VALUE(MID(B2209,FIND("CFW110",B2209)+6,FIND("T",B2209,FIND("CFW110",B2209))-(FIND("CFW110",B2209)+6))),
IF(ISNUMBER(FIND("D",B2209)),
VALUE(SUBSTITUTE(MID(B2209,FIND("D",B2209)+1,FIND("T",B2209,FIND("D",B2209))-(FIND("D",B2209)+1)),"P",",")),
IF(ISNUMBER(FIND("CFW5",B2209)),
VALUE(MID(B2209,
IF(ISNUMBER(FIND("F",B2209)),FIND("F",B2209)+1,FIND("G",B2209)+1),
FIND("T",B2209)-(IF(ISNUMBER(FIND("F",B2209)),FIND("F",B2209)+1,FIND("G",B2209)+1))
)),
VALUE(MID(B2209,FIND("E0",B2209)+2,FIND("T",B2209,FIND("E0",B2209))-(FIND("E0",B2209)+2)))
))),"")</f>
        <v>33</v>
      </c>
      <c r="G2209">
        <f>IFERROR(
IF(ISNUMBER(FIND("T2",B2209)),220,
IF(ISNUMBER(FIND("T4",B2209)),440,
IF(ISNUMBER(FIND("T5",B2209)),575,
IF(ISNUMBER(FIND("T6",B2209)),690,"")))),
"")</f>
        <v>220</v>
      </c>
    </row>
    <row r="2210" spans="1:7" x14ac:dyDescent="0.25">
      <c r="A2210">
        <v>12919009</v>
      </c>
      <c r="B2210" t="str">
        <f>VLOOKUP(A2210,Planilha2!B:C,2,0)</f>
        <v>INVERSOR BRCFW110010S2ON1SPZ</v>
      </c>
      <c r="C2210" t="s">
        <v>3169</v>
      </c>
      <c r="D2210" t="str">
        <f>VLOOKUP(A2210,Planilha2!B:H,7,0)</f>
        <v>LINHA P5</v>
      </c>
      <c r="E2210" s="5">
        <v>6750</v>
      </c>
      <c r="F2210" t="str">
        <f>IFERROR(
IF(ISNUMBER(FIND("CFW110",B2210)),
VALUE(MID(B2210,FIND("CFW110",B2210)+6,FIND("T",B2210,FIND("CFW110",B2210))-(FIND("CFW110",B2210)+6))),
IF(ISNUMBER(FIND("D",B2210)),
VALUE(SUBSTITUTE(MID(B2210,FIND("D",B2210)+1,FIND("T",B2210,FIND("D",B2210))-(FIND("D",B2210)+1)),"P",",")),
IF(ISNUMBER(FIND("CFW5",B2210)),
VALUE(MID(B2210,
IF(ISNUMBER(FIND("F",B2210)),FIND("F",B2210)+1,FIND("G",B2210)+1),
FIND("T",B2210)-(IF(ISNUMBER(FIND("F",B2210)),FIND("F",B2210)+1,FIND("G",B2210)+1))
)),
VALUE(MID(B2210,FIND("E0",B2210)+2,FIND("T",B2210,FIND("E0",B2210))-(FIND("E0",B2210)+2)))
))),"")</f>
        <v/>
      </c>
      <c r="G2210" t="str">
        <f>IFERROR(
IF(ISNUMBER(FIND("T2",B2210)),220,
IF(ISNUMBER(FIND("T4",B2210)),440,
IF(ISNUMBER(FIND("T5",B2210)),575,
IF(ISNUMBER(FIND("T6",B2210)),690,"")))),
"")</f>
        <v/>
      </c>
    </row>
    <row r="2211" spans="1:7" x14ac:dyDescent="0.25">
      <c r="A2211">
        <v>12919011</v>
      </c>
      <c r="B2211" t="str">
        <f>VLOOKUP(A2211,Planilha2!B:C,2,0)</f>
        <v>INVERSOR BRCFW110010T2ON1SPZ</v>
      </c>
      <c r="C2211" t="s">
        <v>3169</v>
      </c>
      <c r="D2211" t="str">
        <f>VLOOKUP(A2211,Planilha2!B:H,7,0)</f>
        <v>LINHA P5</v>
      </c>
      <c r="E2211" s="5">
        <v>6750</v>
      </c>
      <c r="F2211">
        <f>IFERROR(
IF(ISNUMBER(FIND("CFW110",B2211)),
VALUE(MID(B2211,FIND("CFW110",B2211)+6,FIND("T",B2211,FIND("CFW110",B2211))-(FIND("CFW110",B2211)+6))),
IF(ISNUMBER(FIND("D",B2211)),
VALUE(SUBSTITUTE(MID(B2211,FIND("D",B2211)+1,FIND("T",B2211,FIND("D",B2211))-(FIND("D",B2211)+1)),"P",",")),
IF(ISNUMBER(FIND("CFW5",B2211)),
VALUE(MID(B2211,
IF(ISNUMBER(FIND("F",B2211)),FIND("F",B2211)+1,FIND("G",B2211)+1),
FIND("T",B2211)-(IF(ISNUMBER(FIND("F",B2211)),FIND("F",B2211)+1,FIND("G",B2211)+1))
)),
VALUE(MID(B2211,FIND("E0",B2211)+2,FIND("T",B2211,FIND("E0",B2211))-(FIND("E0",B2211)+2)))
))),"")</f>
        <v>10</v>
      </c>
      <c r="G2211">
        <f>IFERROR(
IF(ISNUMBER(FIND("T2",B2211)),220,
IF(ISNUMBER(FIND("T4",B2211)),440,
IF(ISNUMBER(FIND("T5",B2211)),575,
IF(ISNUMBER(FIND("T6",B2211)),690,"")))),
"")</f>
        <v>220</v>
      </c>
    </row>
    <row r="2212" spans="1:7" x14ac:dyDescent="0.25">
      <c r="A2212">
        <v>12919010</v>
      </c>
      <c r="B2212" t="str">
        <f>VLOOKUP(A2212,Planilha2!B:C,2,0)</f>
        <v>INVERSOR BRCFW110007T2ON1SPZ</v>
      </c>
      <c r="C2212" t="s">
        <v>3169</v>
      </c>
      <c r="D2212" t="str">
        <f>VLOOKUP(A2212,Planilha2!B:H,7,0)</f>
        <v>LINHA P5</v>
      </c>
      <c r="E2212" s="5">
        <v>6450</v>
      </c>
      <c r="F2212">
        <f>IFERROR(
IF(ISNUMBER(FIND("CFW110",B2212)),
VALUE(MID(B2212,FIND("CFW110",B2212)+6,FIND("T",B2212,FIND("CFW110",B2212))-(FIND("CFW110",B2212)+6))),
IF(ISNUMBER(FIND("D",B2212)),
VALUE(SUBSTITUTE(MID(B2212,FIND("D",B2212)+1,FIND("T",B2212,FIND("D",B2212))-(FIND("D",B2212)+1)),"P",",")),
IF(ISNUMBER(FIND("CFW5",B2212)),
VALUE(MID(B2212,
IF(ISNUMBER(FIND("F",B2212)),FIND("F",B2212)+1,FIND("G",B2212)+1),
FIND("T",B2212)-(IF(ISNUMBER(FIND("F",B2212)),FIND("F",B2212)+1,FIND("G",B2212)+1))
)),
VALUE(MID(B2212,FIND("E0",B2212)+2,FIND("T",B2212,FIND("E0",B2212))-(FIND("E0",B2212)+2)))
))),"")</f>
        <v>7</v>
      </c>
      <c r="G2212">
        <f>IFERROR(
IF(ISNUMBER(FIND("T2",B2212)),220,
IF(ISNUMBER(FIND("T4",B2212)),440,
IF(ISNUMBER(FIND("T5",B2212)),575,
IF(ISNUMBER(FIND("T6",B2212)),690,"")))),
"")</f>
        <v>220</v>
      </c>
    </row>
    <row r="2213" spans="1:7" x14ac:dyDescent="0.25">
      <c r="A2213">
        <v>12918926</v>
      </c>
      <c r="B2213" t="str">
        <f>VLOOKUP(A2213,Planilha2!B:C,2,0)</f>
        <v>INVERSOR BRCFW110006B2ON1SPZ</v>
      </c>
      <c r="C2213" t="s">
        <v>3169</v>
      </c>
      <c r="D2213" t="str">
        <f>VLOOKUP(A2213,Planilha2!B:H,7,0)</f>
        <v>LINHA P5</v>
      </c>
      <c r="E2213" s="5">
        <v>6450</v>
      </c>
      <c r="F2213" t="str">
        <f>IFERROR(
IF(ISNUMBER(FIND("CFW110",B2213)),
VALUE(MID(B2213,FIND("CFW110",B2213)+6,FIND("T",B2213,FIND("CFW110",B2213))-(FIND("CFW110",B2213)+6))),
IF(ISNUMBER(FIND("D",B2213)),
VALUE(SUBSTITUTE(MID(B2213,FIND("D",B2213)+1,FIND("T",B2213,FIND("D",B2213))-(FIND("D",B2213)+1)),"P",",")),
IF(ISNUMBER(FIND("CFW5",B2213)),
VALUE(MID(B2213,
IF(ISNUMBER(FIND("F",B2213)),FIND("F",B2213)+1,FIND("G",B2213)+1),
FIND("T",B2213)-(IF(ISNUMBER(FIND("F",B2213)),FIND("F",B2213)+1,FIND("G",B2213)+1))
)),
VALUE(MID(B2213,FIND("E0",B2213)+2,FIND("T",B2213,FIND("E0",B2213))-(FIND("E0",B2213)+2)))
))),"")</f>
        <v/>
      </c>
      <c r="G2213" t="str">
        <f>IFERROR(
IF(ISNUMBER(FIND("T2",B2213)),220,
IF(ISNUMBER(FIND("T4",B2213)),440,
IF(ISNUMBER(FIND("T5",B2213)),575,
IF(ISNUMBER(FIND("T6",B2213)),690,"")))),
"")</f>
        <v/>
      </c>
    </row>
    <row r="2214" spans="1:7" x14ac:dyDescent="0.25">
      <c r="A2214">
        <v>12919008</v>
      </c>
      <c r="B2214" t="str">
        <f>VLOOKUP(A2214,Planilha2!B:C,2,0)</f>
        <v>INVERSOR BRCFW110007B2ON1SPZ</v>
      </c>
      <c r="C2214" t="s">
        <v>3169</v>
      </c>
      <c r="D2214" t="str">
        <f>VLOOKUP(A2214,Planilha2!B:H,7,0)</f>
        <v>LINHA P5</v>
      </c>
      <c r="E2214" s="5">
        <v>6450</v>
      </c>
      <c r="F2214" t="str">
        <f>IFERROR(
IF(ISNUMBER(FIND("CFW110",B2214)),
VALUE(MID(B2214,FIND("CFW110",B2214)+6,FIND("T",B2214,FIND("CFW110",B2214))-(FIND("CFW110",B2214)+6))),
IF(ISNUMBER(FIND("D",B2214)),
VALUE(SUBSTITUTE(MID(B2214,FIND("D",B2214)+1,FIND("T",B2214,FIND("D",B2214))-(FIND("D",B2214)+1)),"P",",")),
IF(ISNUMBER(FIND("CFW5",B2214)),
VALUE(MID(B2214,
IF(ISNUMBER(FIND("F",B2214)),FIND("F",B2214)+1,FIND("G",B2214)+1),
FIND("T",B2214)-(IF(ISNUMBER(FIND("F",B2214)),FIND("F",B2214)+1,FIND("G",B2214)+1))
)),
VALUE(MID(B2214,FIND("E0",B2214)+2,FIND("T",B2214,FIND("E0",B2214))-(FIND("E0",B2214)+2)))
))),"")</f>
        <v/>
      </c>
      <c r="G2214" t="str">
        <f>IFERROR(
IF(ISNUMBER(FIND("T2",B2214)),220,
IF(ISNUMBER(FIND("T4",B2214)),440,
IF(ISNUMBER(FIND("T5",B2214)),575,
IF(ISNUMBER(FIND("T6",B2214)),690,"")))),
"")</f>
        <v/>
      </c>
    </row>
    <row r="2215" spans="1:7" x14ac:dyDescent="0.25">
      <c r="A2215">
        <v>14175117</v>
      </c>
      <c r="B2215" t="str">
        <f>VLOOKUP(A2215,Planilha2!B:C,2,0)</f>
        <v>INVERSOR CFW700A07P0T4DB20C3Y1W1</v>
      </c>
      <c r="C2215" t="s">
        <v>3169</v>
      </c>
      <c r="D2215" t="str">
        <f>VLOOKUP(A2215,Planilha2!B:H,7,0)</f>
        <v>OBSOLETOS DRIVES</v>
      </c>
      <c r="E2215" s="5">
        <v>5700</v>
      </c>
      <c r="F2215" t="str">
        <f>IFERROR(
IF(ISNUMBER(FIND("CFW110",B2215)),
VALUE(MID(B2215,FIND("CFW110",B2215)+6,FIND("T",B2215,FIND("CFW110",B2215))-(FIND("CFW110",B2215)+6))),
IF(ISNUMBER(FIND("D",B2215)),
VALUE(SUBSTITUTE(MID(B2215,FIND("D",B2215)+1,FIND("T",B2215,FIND("D",B2215))-(FIND("D",B2215)+1)),"P",",")),
IF(ISNUMBER(FIND("CFW5",B2215)),
VALUE(MID(B2215,
IF(ISNUMBER(FIND("F",B2215)),FIND("F",B2215)+1,FIND("G",B2215)+1),
FIND("T",B2215)-(IF(ISNUMBER(FIND("F",B2215)),FIND("F",B2215)+1,FIND("G",B2215)+1))
)),
VALUE(MID(B2215,FIND("E0",B2215)+2,FIND("T",B2215,FIND("E0",B2215))-(FIND("E0",B2215)+2)))
))),"")</f>
        <v/>
      </c>
      <c r="G2215">
        <f>IFERROR(
IF(ISNUMBER(FIND("T2",B2215)),220,
IF(ISNUMBER(FIND("T4",B2215)),440,
IF(ISNUMBER(FIND("T5",B2215)),575,
IF(ISNUMBER(FIND("T6",B2215)),690,"")))),
"")</f>
        <v>440</v>
      </c>
    </row>
    <row r="2216" spans="1:7" x14ac:dyDescent="0.25">
      <c r="A2216">
        <v>13887581</v>
      </c>
      <c r="B2216" t="str">
        <f>VLOOKUP(A2216,Planilha2!B:C,2,0)</f>
        <v>INVERSOR CFW110007T4OHALS9Z</v>
      </c>
      <c r="C2216" t="s">
        <v>3169</v>
      </c>
      <c r="D2216" t="str">
        <f>VLOOKUP(A2216,Planilha2!B:H,7,0)</f>
        <v>LINHA P5</v>
      </c>
      <c r="E2216" s="5">
        <v>4675</v>
      </c>
      <c r="F2216">
        <f>IFERROR(
IF(ISNUMBER(FIND("CFW110",B2216)),
VALUE(MID(B2216,FIND("CFW110",B2216)+6,FIND("T",B2216,FIND("CFW110",B2216))-(FIND("CFW110",B2216)+6))),
IF(ISNUMBER(FIND("D",B2216)),
VALUE(SUBSTITUTE(MID(B2216,FIND("D",B2216)+1,FIND("T",B2216,FIND("D",B2216))-(FIND("D",B2216)+1)),"P",",")),
IF(ISNUMBER(FIND("CFW5",B2216)),
VALUE(MID(B2216,
IF(ISNUMBER(FIND("F",B2216)),FIND("F",B2216)+1,FIND("G",B2216)+1),
FIND("T",B2216)-(IF(ISNUMBER(FIND("F",B2216)),FIND("F",B2216)+1,FIND("G",B2216)+1))
)),
VALUE(MID(B2216,FIND("E0",B2216)+2,FIND("T",B2216,FIND("E0",B2216))-(FIND("E0",B2216)+2)))
))),"")</f>
        <v>7</v>
      </c>
      <c r="G2216">
        <f>IFERROR(
IF(ISNUMBER(FIND("T2",B2216)),220,
IF(ISNUMBER(FIND("T4",B2216)),440,
IF(ISNUMBER(FIND("T5",B2216)),575,
IF(ISNUMBER(FIND("T6",B2216)),690,"")))),
"")</f>
        <v>440</v>
      </c>
    </row>
    <row r="2217" spans="1:7" x14ac:dyDescent="0.25">
      <c r="A2217">
        <v>13887582</v>
      </c>
      <c r="B2217" t="str">
        <f>VLOOKUP(A2217,Planilha2!B:C,2,0)</f>
        <v>INVERSOR CFW110010T4OHALS9Z</v>
      </c>
      <c r="C2217" t="s">
        <v>3169</v>
      </c>
      <c r="D2217" t="str">
        <f>VLOOKUP(A2217,Planilha2!B:H,7,0)</f>
        <v>LINHA P5</v>
      </c>
      <c r="E2217" s="5">
        <v>4675</v>
      </c>
      <c r="F2217">
        <f>IFERROR(
IF(ISNUMBER(FIND("CFW110",B2217)),
VALUE(MID(B2217,FIND("CFW110",B2217)+6,FIND("T",B2217,FIND("CFW110",B2217))-(FIND("CFW110",B2217)+6))),
IF(ISNUMBER(FIND("D",B2217)),
VALUE(SUBSTITUTE(MID(B2217,FIND("D",B2217)+1,FIND("T",B2217,FIND("D",B2217))-(FIND("D",B2217)+1)),"P",",")),
IF(ISNUMBER(FIND("CFW5",B2217)),
VALUE(MID(B2217,
IF(ISNUMBER(FIND("F",B2217)),FIND("F",B2217)+1,FIND("G",B2217)+1),
FIND("T",B2217)-(IF(ISNUMBER(FIND("F",B2217)),FIND("F",B2217)+1,FIND("G",B2217)+1))
)),
VALUE(MID(B2217,FIND("E0",B2217)+2,FIND("T",B2217,FIND("E0",B2217))-(FIND("E0",B2217)+2)))
))),"")</f>
        <v>10</v>
      </c>
      <c r="G2217">
        <f>IFERROR(
IF(ISNUMBER(FIND("T2",B2217)),220,
IF(ISNUMBER(FIND("T4",B2217)),440,
IF(ISNUMBER(FIND("T5",B2217)),575,
IF(ISNUMBER(FIND("T6",B2217)),690,"")))),
"")</f>
        <v>440</v>
      </c>
    </row>
    <row r="2218" spans="1:7" x14ac:dyDescent="0.25">
      <c r="A2218">
        <v>13887583</v>
      </c>
      <c r="B2218" t="str">
        <f>VLOOKUP(A2218,Planilha2!B:C,2,0)</f>
        <v>INVERSOR CFW110013T4OHALS9Z</v>
      </c>
      <c r="C2218" t="s">
        <v>3169</v>
      </c>
      <c r="D2218" t="str">
        <f>VLOOKUP(A2218,Planilha2!B:H,7,0)</f>
        <v>LINHA P5</v>
      </c>
      <c r="E2218" s="5">
        <v>4675</v>
      </c>
      <c r="F2218">
        <f>IFERROR(
IF(ISNUMBER(FIND("CFW110",B2218)),
VALUE(MID(B2218,FIND("CFW110",B2218)+6,FIND("T",B2218,FIND("CFW110",B2218))-(FIND("CFW110",B2218)+6))),
IF(ISNUMBER(FIND("D",B2218)),
VALUE(SUBSTITUTE(MID(B2218,FIND("D",B2218)+1,FIND("T",B2218,FIND("D",B2218))-(FIND("D",B2218)+1)),"P",",")),
IF(ISNUMBER(FIND("CFW5",B2218)),
VALUE(MID(B2218,
IF(ISNUMBER(FIND("F",B2218)),FIND("F",B2218)+1,FIND("G",B2218)+1),
FIND("T",B2218)-(IF(ISNUMBER(FIND("F",B2218)),FIND("F",B2218)+1,FIND("G",B2218)+1))
)),
VALUE(MID(B2218,FIND("E0",B2218)+2,FIND("T",B2218,FIND("E0",B2218))-(FIND("E0",B2218)+2)))
))),"")</f>
        <v>13</v>
      </c>
      <c r="G2218">
        <f>IFERROR(
IF(ISNUMBER(FIND("T2",B2218)),220,
IF(ISNUMBER(FIND("T4",B2218)),440,
IF(ISNUMBER(FIND("T5",B2218)),575,
IF(ISNUMBER(FIND("T6",B2218)),690,"")))),
"")</f>
        <v>440</v>
      </c>
    </row>
    <row r="2219" spans="1:7" x14ac:dyDescent="0.25">
      <c r="A2219">
        <v>13887580</v>
      </c>
      <c r="B2219" t="str">
        <f>VLOOKUP(A2219,Planilha2!B:C,2,0)</f>
        <v>INVERSOR CFW110005T4OHALS9Z</v>
      </c>
      <c r="C2219" t="s">
        <v>3169</v>
      </c>
      <c r="D2219" t="str">
        <f>VLOOKUP(A2219,Planilha2!B:H,7,0)</f>
        <v>LINHA P5</v>
      </c>
      <c r="E2219" s="5">
        <v>4675</v>
      </c>
      <c r="F2219">
        <f>IFERROR(
IF(ISNUMBER(FIND("CFW110",B2219)),
VALUE(MID(B2219,FIND("CFW110",B2219)+6,FIND("T",B2219,FIND("CFW110",B2219))-(FIND("CFW110",B2219)+6))),
IF(ISNUMBER(FIND("D",B2219)),
VALUE(SUBSTITUTE(MID(B2219,FIND("D",B2219)+1,FIND("T",B2219,FIND("D",B2219))-(FIND("D",B2219)+1)),"P",",")),
IF(ISNUMBER(FIND("CFW5",B2219)),
VALUE(MID(B2219,
IF(ISNUMBER(FIND("F",B2219)),FIND("F",B2219)+1,FIND("G",B2219)+1),
FIND("T",B2219)-(IF(ISNUMBER(FIND("F",B2219)),FIND("F",B2219)+1,FIND("G",B2219)+1))
)),
VALUE(MID(B2219,FIND("E0",B2219)+2,FIND("T",B2219,FIND("E0",B2219))-(FIND("E0",B2219)+2)))
))),"")</f>
        <v>5</v>
      </c>
      <c r="G2219">
        <f>IFERROR(
IF(ISNUMBER(FIND("T2",B2219)),220,
IF(ISNUMBER(FIND("T4",B2219)),440,
IF(ISNUMBER(FIND("T5",B2219)),575,
IF(ISNUMBER(FIND("T6",B2219)),690,"")))),
"")</f>
        <v>440</v>
      </c>
    </row>
    <row r="2220" spans="1:7" x14ac:dyDescent="0.25">
      <c r="A2220">
        <v>13226627</v>
      </c>
      <c r="B2220" t="str">
        <f>VLOOKUP(A2220,Planilha2!B:C,2,0)</f>
        <v>INVERSOR CFW700A10P0T4DB20C3EC</v>
      </c>
      <c r="C2220" t="s">
        <v>3169</v>
      </c>
      <c r="D2220" t="str">
        <f>VLOOKUP(A2220,Planilha2!B:H,7,0)</f>
        <v>OBSOLETOS DRIVES</v>
      </c>
      <c r="E2220" s="5">
        <v>5700</v>
      </c>
      <c r="F2220" t="str">
        <f>IFERROR(
IF(ISNUMBER(FIND("CFW110",B2220)),
VALUE(MID(B2220,FIND("CFW110",B2220)+6,FIND("T",B2220,FIND("CFW110",B2220))-(FIND("CFW110",B2220)+6))),
IF(ISNUMBER(FIND("D",B2220)),
VALUE(SUBSTITUTE(MID(B2220,FIND("D",B2220)+1,FIND("T",B2220,FIND("D",B2220))-(FIND("D",B2220)+1)),"P",",")),
IF(ISNUMBER(FIND("CFW5",B2220)),
VALUE(MID(B2220,
IF(ISNUMBER(FIND("F",B2220)),FIND("F",B2220)+1,FIND("G",B2220)+1),
FIND("T",B2220)-(IF(ISNUMBER(FIND("F",B2220)),FIND("F",B2220)+1,FIND("G",B2220)+1))
)),
VALUE(MID(B2220,FIND("E0",B2220)+2,FIND("T",B2220,FIND("E0",B2220))-(FIND("E0",B2220)+2)))
))),"")</f>
        <v/>
      </c>
      <c r="G2220">
        <f>IFERROR(
IF(ISNUMBER(FIND("T2",B2220)),220,
IF(ISNUMBER(FIND("T4",B2220)),440,
IF(ISNUMBER(FIND("T5",B2220)),575,
IF(ISNUMBER(FIND("T6",B2220)),690,"")))),
"")</f>
        <v>440</v>
      </c>
    </row>
    <row r="2221" spans="1:7" x14ac:dyDescent="0.25">
      <c r="A2221">
        <v>13226690</v>
      </c>
      <c r="B2221" t="str">
        <f>VLOOKUP(A2221,Planilha2!B:C,2,0)</f>
        <v>INVERSOR CFW700B24P0T4DB20C3EC</v>
      </c>
      <c r="C2221" t="s">
        <v>3169</v>
      </c>
      <c r="D2221" t="str">
        <f>VLOOKUP(A2221,Planilha2!B:H,7,0)</f>
        <v>OBSOLETOS DRIVES</v>
      </c>
      <c r="E2221" s="5">
        <v>9100</v>
      </c>
      <c r="F2221" t="str">
        <f>IFERROR(
IF(ISNUMBER(FIND("CFW110",B2221)),
VALUE(MID(B2221,FIND("CFW110",B2221)+6,FIND("T",B2221,FIND("CFW110",B2221))-(FIND("CFW110",B2221)+6))),
IF(ISNUMBER(FIND("D",B2221)),
VALUE(SUBSTITUTE(MID(B2221,FIND("D",B2221)+1,FIND("T",B2221,FIND("D",B2221))-(FIND("D",B2221)+1)),"P",",")),
IF(ISNUMBER(FIND("CFW5",B2221)),
VALUE(MID(B2221,
IF(ISNUMBER(FIND("F",B2221)),FIND("F",B2221)+1,FIND("G",B2221)+1),
FIND("T",B2221)-(IF(ISNUMBER(FIND("F",B2221)),FIND("F",B2221)+1,FIND("G",B2221)+1))
)),
VALUE(MID(B2221,FIND("E0",B2221)+2,FIND("T",B2221,FIND("E0",B2221))-(FIND("E0",B2221)+2)))
))),"")</f>
        <v/>
      </c>
      <c r="G2221">
        <f>IFERROR(
IF(ISNUMBER(FIND("T2",B2221)),220,
IF(ISNUMBER(FIND("T4",B2221)),440,
IF(ISNUMBER(FIND("T5",B2221)),575,
IF(ISNUMBER(FIND("T6",B2221)),690,"")))),
"")</f>
        <v>440</v>
      </c>
    </row>
    <row r="2222" spans="1:7" x14ac:dyDescent="0.25">
      <c r="A2222">
        <v>13226557</v>
      </c>
      <c r="B2222" t="str">
        <f>VLOOKUP(A2222,Planilha2!B:C,2,0)</f>
        <v>INVERSOR CFW700B17P0T4DB20C3EC</v>
      </c>
      <c r="C2222" t="s">
        <v>3169</v>
      </c>
      <c r="D2222" t="str">
        <f>VLOOKUP(A2222,Planilha2!B:H,7,0)</f>
        <v>OBSOLETOS DRIVES</v>
      </c>
      <c r="E2222" s="5">
        <v>9100</v>
      </c>
      <c r="F2222" t="str">
        <f>IFERROR(
IF(ISNUMBER(FIND("CFW110",B2222)),
VALUE(MID(B2222,FIND("CFW110",B2222)+6,FIND("T",B2222,FIND("CFW110",B2222))-(FIND("CFW110",B2222)+6))),
IF(ISNUMBER(FIND("D",B2222)),
VALUE(SUBSTITUTE(MID(B2222,FIND("D",B2222)+1,FIND("T",B2222,FIND("D",B2222))-(FIND("D",B2222)+1)),"P",",")),
IF(ISNUMBER(FIND("CFW5",B2222)),
VALUE(MID(B2222,
IF(ISNUMBER(FIND("F",B2222)),FIND("F",B2222)+1,FIND("G",B2222)+1),
FIND("T",B2222)-(IF(ISNUMBER(FIND("F",B2222)),FIND("F",B2222)+1,FIND("G",B2222)+1))
)),
VALUE(MID(B2222,FIND("E0",B2222)+2,FIND("T",B2222,FIND("E0",B2222))-(FIND("E0",B2222)+2)))
))),"")</f>
        <v/>
      </c>
      <c r="G2222">
        <f>IFERROR(
IF(ISNUMBER(FIND("T2",B2222)),220,
IF(ISNUMBER(FIND("T4",B2222)),440,
IF(ISNUMBER(FIND("T5",B2222)),575,
IF(ISNUMBER(FIND("T6",B2222)),690,"")))),
"")</f>
        <v>440</v>
      </c>
    </row>
    <row r="2223" spans="1:7" x14ac:dyDescent="0.25">
      <c r="A2223">
        <v>12784445</v>
      </c>
      <c r="B2223" t="str">
        <f>VLOOKUP(A2223,Planilha2!B:C,2,0)</f>
        <v>INVERSOR BRCFW110024T4O54YZ</v>
      </c>
      <c r="C2223" t="s">
        <v>3169</v>
      </c>
      <c r="D2223" t="str">
        <f>VLOOKUP(A2223,Planilha2!B:H,7,0)</f>
        <v>LINHA M3</v>
      </c>
      <c r="E2223" s="5">
        <v>15000</v>
      </c>
      <c r="F2223">
        <f>IFERROR(
IF(ISNUMBER(FIND("CFW110",B2223)),
VALUE(MID(B2223,FIND("CFW110",B2223)+6,FIND("T",B2223,FIND("CFW110",B2223))-(FIND("CFW110",B2223)+6))),
IF(ISNUMBER(FIND("D",B2223)),
VALUE(SUBSTITUTE(MID(B2223,FIND("D",B2223)+1,FIND("T",B2223,FIND("D",B2223))-(FIND("D",B2223)+1)),"P",",")),
IF(ISNUMBER(FIND("CFW5",B2223)),
VALUE(MID(B2223,
IF(ISNUMBER(FIND("F",B2223)),FIND("F",B2223)+1,FIND("G",B2223)+1),
FIND("T",B2223)-(IF(ISNUMBER(FIND("F",B2223)),FIND("F",B2223)+1,FIND("G",B2223)+1))
)),
VALUE(MID(B2223,FIND("E0",B2223)+2,FIND("T",B2223,FIND("E0",B2223))-(FIND("E0",B2223)+2)))
))),"")</f>
        <v>24</v>
      </c>
      <c r="G2223">
        <f>IFERROR(
IF(ISNUMBER(FIND("T2",B2223)),220,
IF(ISNUMBER(FIND("T4",B2223)),440,
IF(ISNUMBER(FIND("T5",B2223)),575,
IF(ISNUMBER(FIND("T6",B2223)),690,"")))),
"")</f>
        <v>440</v>
      </c>
    </row>
    <row r="2224" spans="1:7" x14ac:dyDescent="0.25">
      <c r="A2224">
        <v>12696559</v>
      </c>
      <c r="B2224" t="str">
        <f>VLOOKUP(A2224,Planilha2!B:C,2,0)</f>
        <v>INVERSOR EUCFW110017T4OFAWZ</v>
      </c>
      <c r="C2224" t="s">
        <v>3169</v>
      </c>
      <c r="D2224" t="str">
        <f>VLOOKUP(A2224,Planilha2!B:H,7,0)</f>
        <v>LINHA P7</v>
      </c>
      <c r="E2224" s="5">
        <v>11940</v>
      </c>
      <c r="F2224">
        <f>IFERROR(
IF(ISNUMBER(FIND("CFW110",B2224)),
VALUE(MID(B2224,FIND("CFW110",B2224)+6,FIND("T",B2224,FIND("CFW110",B2224))-(FIND("CFW110",B2224)+6))),
IF(ISNUMBER(FIND("D",B2224)),
VALUE(SUBSTITUTE(MID(B2224,FIND("D",B2224)+1,FIND("T",B2224,FIND("D",B2224))-(FIND("D",B2224)+1)),"P",",")),
IF(ISNUMBER(FIND("CFW5",B2224)),
VALUE(MID(B2224,
IF(ISNUMBER(FIND("F",B2224)),FIND("F",B2224)+1,FIND("G",B2224)+1),
FIND("T",B2224)-(IF(ISNUMBER(FIND("F",B2224)),FIND("F",B2224)+1,FIND("G",B2224)+1))
)),
VALUE(MID(B2224,FIND("E0",B2224)+2,FIND("T",B2224,FIND("E0",B2224))-(FIND("E0",B2224)+2)))
))),"")</f>
        <v>17</v>
      </c>
      <c r="G2224">
        <f>IFERROR(
IF(ISNUMBER(FIND("T2",B2224)),220,
IF(ISNUMBER(FIND("T4",B2224)),440,
IF(ISNUMBER(FIND("T5",B2224)),575,
IF(ISNUMBER(FIND("T6",B2224)),690,"")))),
"")</f>
        <v>440</v>
      </c>
    </row>
    <row r="2225" spans="1:7" x14ac:dyDescent="0.25">
      <c r="A2225">
        <v>13253823</v>
      </c>
      <c r="B2225" t="str">
        <f>VLOOKUP(A2225,Planilha2!B:C,2,0)</f>
        <v>INVERSOR BRCFW110017T4OFASHZ</v>
      </c>
      <c r="C2225" t="s">
        <v>3169</v>
      </c>
      <c r="D2225" t="str">
        <f>VLOOKUP(A2225,Planilha2!B:H,7,0)</f>
        <v>LINHA P7</v>
      </c>
      <c r="E2225" s="5">
        <v>4760</v>
      </c>
      <c r="F2225">
        <f>IFERROR(
IF(ISNUMBER(FIND("CFW110",B2225)),
VALUE(MID(B2225,FIND("CFW110",B2225)+6,FIND("T",B2225,FIND("CFW110",B2225))-(FIND("CFW110",B2225)+6))),
IF(ISNUMBER(FIND("D",B2225)),
VALUE(SUBSTITUTE(MID(B2225,FIND("D",B2225)+1,FIND("T",B2225,FIND("D",B2225))-(FIND("D",B2225)+1)),"P",",")),
IF(ISNUMBER(FIND("CFW5",B2225)),
VALUE(MID(B2225,
IF(ISNUMBER(FIND("F",B2225)),FIND("F",B2225)+1,FIND("G",B2225)+1),
FIND("T",B2225)-(IF(ISNUMBER(FIND("F",B2225)),FIND("F",B2225)+1,FIND("G",B2225)+1))
)),
VALUE(MID(B2225,FIND("E0",B2225)+2,FIND("T",B2225,FIND("E0",B2225))-(FIND("E0",B2225)+2)))
))),"")</f>
        <v>17</v>
      </c>
      <c r="G2225">
        <f>IFERROR(
IF(ISNUMBER(FIND("T2",B2225)),220,
IF(ISNUMBER(FIND("T4",B2225)),440,
IF(ISNUMBER(FIND("T5",B2225)),575,
IF(ISNUMBER(FIND("T6",B2225)),690,"")))),
"")</f>
        <v>440</v>
      </c>
    </row>
    <row r="2226" spans="1:7" x14ac:dyDescent="0.25">
      <c r="A2226">
        <v>13253824</v>
      </c>
      <c r="B2226" t="str">
        <f>VLOOKUP(A2226,Planilha2!B:C,2,0)</f>
        <v>INVERSOR BRCFW110024T4OFASHZ</v>
      </c>
      <c r="C2226" t="s">
        <v>3169</v>
      </c>
      <c r="D2226" t="str">
        <f>VLOOKUP(A2226,Planilha2!B:H,7,0)</f>
        <v>LINHA P7</v>
      </c>
      <c r="E2226" s="5">
        <v>4760</v>
      </c>
      <c r="F2226">
        <f>IFERROR(
IF(ISNUMBER(FIND("CFW110",B2226)),
VALUE(MID(B2226,FIND("CFW110",B2226)+6,FIND("T",B2226,FIND("CFW110",B2226))-(FIND("CFW110",B2226)+6))),
IF(ISNUMBER(FIND("D",B2226)),
VALUE(SUBSTITUTE(MID(B2226,FIND("D",B2226)+1,FIND("T",B2226,FIND("D",B2226))-(FIND("D",B2226)+1)),"P",",")),
IF(ISNUMBER(FIND("CFW5",B2226)),
VALUE(MID(B2226,
IF(ISNUMBER(FIND("F",B2226)),FIND("F",B2226)+1,FIND("G",B2226)+1),
FIND("T",B2226)-(IF(ISNUMBER(FIND("F",B2226)),FIND("F",B2226)+1,FIND("G",B2226)+1))
)),
VALUE(MID(B2226,FIND("E0",B2226)+2,FIND("T",B2226,FIND("E0",B2226))-(FIND("E0",B2226)+2)))
))),"")</f>
        <v>24</v>
      </c>
      <c r="G2226">
        <f>IFERROR(
IF(ISNUMBER(FIND("T2",B2226)),220,
IF(ISNUMBER(FIND("T4",B2226)),440,
IF(ISNUMBER(FIND("T5",B2226)),575,
IF(ISNUMBER(FIND("T6",B2226)),690,"")))),
"")</f>
        <v>440</v>
      </c>
    </row>
    <row r="2227" spans="1:7" x14ac:dyDescent="0.25">
      <c r="A2227">
        <v>13253825</v>
      </c>
      <c r="B2227" t="str">
        <f>VLOOKUP(A2227,Planilha2!B:C,2,0)</f>
        <v>INVERSOR BRCFW110031T4OFASHZ</v>
      </c>
      <c r="C2227" t="s">
        <v>3169</v>
      </c>
      <c r="D2227" t="str">
        <f>VLOOKUP(A2227,Planilha2!B:H,7,0)</f>
        <v>LINHA P7</v>
      </c>
      <c r="E2227" s="5">
        <v>4760</v>
      </c>
      <c r="F2227">
        <f>IFERROR(
IF(ISNUMBER(FIND("CFW110",B2227)),
VALUE(MID(B2227,FIND("CFW110",B2227)+6,FIND("T",B2227,FIND("CFW110",B2227))-(FIND("CFW110",B2227)+6))),
IF(ISNUMBER(FIND("D",B2227)),
VALUE(SUBSTITUTE(MID(B2227,FIND("D",B2227)+1,FIND("T",B2227,FIND("D",B2227))-(FIND("D",B2227)+1)),"P",",")),
IF(ISNUMBER(FIND("CFW5",B2227)),
VALUE(MID(B2227,
IF(ISNUMBER(FIND("F",B2227)),FIND("F",B2227)+1,FIND("G",B2227)+1),
FIND("T",B2227)-(IF(ISNUMBER(FIND("F",B2227)),FIND("F",B2227)+1,FIND("G",B2227)+1))
)),
VALUE(MID(B2227,FIND("E0",B2227)+2,FIND("T",B2227,FIND("E0",B2227))-(FIND("E0",B2227)+2)))
))),"")</f>
        <v>31</v>
      </c>
      <c r="G2227">
        <f>IFERROR(
IF(ISNUMBER(FIND("T2",B2227)),220,
IF(ISNUMBER(FIND("T4",B2227)),440,
IF(ISNUMBER(FIND("T5",B2227)),575,
IF(ISNUMBER(FIND("T6",B2227)),690,"")))),
"")</f>
        <v>440</v>
      </c>
    </row>
    <row r="2228" spans="1:7" x14ac:dyDescent="0.25">
      <c r="A2228">
        <v>13253822</v>
      </c>
      <c r="B2228" t="str">
        <f>VLOOKUP(A2228,Planilha2!B:C,2,0)</f>
        <v>INVERSOR BRCFW110013T4OFASHZ</v>
      </c>
      <c r="C2228" t="s">
        <v>3169</v>
      </c>
      <c r="D2228" t="str">
        <f>VLOOKUP(A2228,Planilha2!B:H,7,0)</f>
        <v>LINHA P5</v>
      </c>
      <c r="E2228" s="5">
        <v>4760</v>
      </c>
      <c r="F2228">
        <f>IFERROR(
IF(ISNUMBER(FIND("CFW110",B2228)),
VALUE(MID(B2228,FIND("CFW110",B2228)+6,FIND("T",B2228,FIND("CFW110",B2228))-(FIND("CFW110",B2228)+6))),
IF(ISNUMBER(FIND("D",B2228)),
VALUE(SUBSTITUTE(MID(B2228,FIND("D",B2228)+1,FIND("T",B2228,FIND("D",B2228))-(FIND("D",B2228)+1)),"P",",")),
IF(ISNUMBER(FIND("CFW5",B2228)),
VALUE(MID(B2228,
IF(ISNUMBER(FIND("F",B2228)),FIND("F",B2228)+1,FIND("G",B2228)+1),
FIND("T",B2228)-(IF(ISNUMBER(FIND("F",B2228)),FIND("F",B2228)+1,FIND("G",B2228)+1))
)),
VALUE(MID(B2228,FIND("E0",B2228)+2,FIND("T",B2228,FIND("E0",B2228))-(FIND("E0",B2228)+2)))
))),"")</f>
        <v>13</v>
      </c>
      <c r="G2228">
        <f>IFERROR(
IF(ISNUMBER(FIND("T2",B2228)),220,
IF(ISNUMBER(FIND("T4",B2228)),440,
IF(ISNUMBER(FIND("T5",B2228)),575,
IF(ISNUMBER(FIND("T6",B2228)),690,"")))),
"")</f>
        <v>440</v>
      </c>
    </row>
    <row r="2229" spans="1:7" x14ac:dyDescent="0.25">
      <c r="A2229">
        <v>13253821</v>
      </c>
      <c r="B2229" t="str">
        <f>VLOOKUP(A2229,Planilha2!B:C,2,0)</f>
        <v>INVERSOR BRCFW110010T4OFASHZ</v>
      </c>
      <c r="C2229" t="s">
        <v>3169</v>
      </c>
      <c r="D2229" t="str">
        <f>VLOOKUP(A2229,Planilha2!B:H,7,0)</f>
        <v>LINHA P5</v>
      </c>
      <c r="E2229" s="5">
        <v>4760</v>
      </c>
      <c r="F2229">
        <f>IFERROR(
IF(ISNUMBER(FIND("CFW110",B2229)),
VALUE(MID(B2229,FIND("CFW110",B2229)+6,FIND("T",B2229,FIND("CFW110",B2229))-(FIND("CFW110",B2229)+6))),
IF(ISNUMBER(FIND("D",B2229)),
VALUE(SUBSTITUTE(MID(B2229,FIND("D",B2229)+1,FIND("T",B2229,FIND("D",B2229))-(FIND("D",B2229)+1)),"P",",")),
IF(ISNUMBER(FIND("CFW5",B2229)),
VALUE(MID(B2229,
IF(ISNUMBER(FIND("F",B2229)),FIND("F",B2229)+1,FIND("G",B2229)+1),
FIND("T",B2229)-(IF(ISNUMBER(FIND("F",B2229)),FIND("F",B2229)+1,FIND("G",B2229)+1))
)),
VALUE(MID(B2229,FIND("E0",B2229)+2,FIND("T",B2229,FIND("E0",B2229))-(FIND("E0",B2229)+2)))
))),"")</f>
        <v>10</v>
      </c>
      <c r="G2229">
        <f>IFERROR(
IF(ISNUMBER(FIND("T2",B2229)),220,
IF(ISNUMBER(FIND("T4",B2229)),440,
IF(ISNUMBER(FIND("T5",B2229)),575,
IF(ISNUMBER(FIND("T6",B2229)),690,"")))),
"")</f>
        <v>440</v>
      </c>
    </row>
    <row r="2230" spans="1:7" x14ac:dyDescent="0.25">
      <c r="A2230">
        <v>13285447</v>
      </c>
      <c r="B2230" t="str">
        <f>VLOOKUP(A2230,Planilha2!B:C,2,0)</f>
        <v>INVERSOR BRCFW110002B2OWZ</v>
      </c>
      <c r="C2230" t="s">
        <v>3169</v>
      </c>
      <c r="D2230" t="str">
        <f>VLOOKUP(A2230,Planilha2!B:H,7,0)</f>
        <v>LINHA P5</v>
      </c>
      <c r="E2230" s="5">
        <v>2600</v>
      </c>
      <c r="F2230" t="str">
        <f>IFERROR(
IF(ISNUMBER(FIND("CFW110",B2230)),
VALUE(MID(B2230,FIND("CFW110",B2230)+6,FIND("T",B2230,FIND("CFW110",B2230))-(FIND("CFW110",B2230)+6))),
IF(ISNUMBER(FIND("D",B2230)),
VALUE(SUBSTITUTE(MID(B2230,FIND("D",B2230)+1,FIND("T",B2230,FIND("D",B2230))-(FIND("D",B2230)+1)),"P",",")),
IF(ISNUMBER(FIND("CFW5",B2230)),
VALUE(MID(B2230,
IF(ISNUMBER(FIND("F",B2230)),FIND("F",B2230)+1,FIND("G",B2230)+1),
FIND("T",B2230)-(IF(ISNUMBER(FIND("F",B2230)),FIND("F",B2230)+1,FIND("G",B2230)+1))
)),
VALUE(MID(B2230,FIND("E0",B2230)+2,FIND("T",B2230,FIND("E0",B2230))-(FIND("E0",B2230)+2)))
))),"")</f>
        <v/>
      </c>
      <c r="G2230" t="str">
        <f>IFERROR(
IF(ISNUMBER(FIND("T2",B2230)),220,
IF(ISNUMBER(FIND("T4",B2230)),440,
IF(ISNUMBER(FIND("T5",B2230)),575,
IF(ISNUMBER(FIND("T6",B2230)),690,"")))),
"")</f>
        <v/>
      </c>
    </row>
    <row r="2231" spans="1:7" x14ac:dyDescent="0.25">
      <c r="A2231">
        <v>13297667</v>
      </c>
      <c r="B2231" t="str">
        <f>VLOOKUP(A2231,Planilha2!B:C,2,0)</f>
        <v>INVERSOR BRCFW110007B2OWZ</v>
      </c>
      <c r="C2231" t="s">
        <v>3169</v>
      </c>
      <c r="D2231" t="str">
        <f>VLOOKUP(A2231,Planilha2!B:H,7,0)</f>
        <v>LINHA P5</v>
      </c>
      <c r="E2231" s="5">
        <v>5050</v>
      </c>
      <c r="F2231" t="str">
        <f>IFERROR(
IF(ISNUMBER(FIND("CFW110",B2231)),
VALUE(MID(B2231,FIND("CFW110",B2231)+6,FIND("T",B2231,FIND("CFW110",B2231))-(FIND("CFW110",B2231)+6))),
IF(ISNUMBER(FIND("D",B2231)),
VALUE(SUBSTITUTE(MID(B2231,FIND("D",B2231)+1,FIND("T",B2231,FIND("D",B2231))-(FIND("D",B2231)+1)),"P",",")),
IF(ISNUMBER(FIND("CFW5",B2231)),
VALUE(MID(B2231,
IF(ISNUMBER(FIND("F",B2231)),FIND("F",B2231)+1,FIND("G",B2231)+1),
FIND("T",B2231)-(IF(ISNUMBER(FIND("F",B2231)),FIND("F",B2231)+1,FIND("G",B2231)+1))
)),
VALUE(MID(B2231,FIND("E0",B2231)+2,FIND("T",B2231,FIND("E0",B2231))-(FIND("E0",B2231)+2)))
))),"")</f>
        <v/>
      </c>
      <c r="G2231" t="str">
        <f>IFERROR(
IF(ISNUMBER(FIND("T2",B2231)),220,
IF(ISNUMBER(FIND("T4",B2231)),440,
IF(ISNUMBER(FIND("T5",B2231)),575,
IF(ISNUMBER(FIND("T6",B2231)),690,"")))),
"")</f>
        <v/>
      </c>
    </row>
    <row r="2232" spans="1:7" x14ac:dyDescent="0.25">
      <c r="A2232">
        <v>13297547</v>
      </c>
      <c r="B2232" t="str">
        <f>VLOOKUP(A2232,Planilha2!B:C,2,0)</f>
        <v>INVERSOR BRCFW110010T4OSWZ</v>
      </c>
      <c r="C2232" t="s">
        <v>3169</v>
      </c>
      <c r="D2232" t="str">
        <f>VLOOKUP(A2232,Planilha2!B:H,7,0)</f>
        <v>LINHA P5</v>
      </c>
      <c r="E2232" s="5">
        <v>5450</v>
      </c>
      <c r="F2232">
        <f>IFERROR(
IF(ISNUMBER(FIND("CFW110",B2232)),
VALUE(MID(B2232,FIND("CFW110",B2232)+6,FIND("T",B2232,FIND("CFW110",B2232))-(FIND("CFW110",B2232)+6))),
IF(ISNUMBER(FIND("D",B2232)),
VALUE(SUBSTITUTE(MID(B2232,FIND("D",B2232)+1,FIND("T",B2232,FIND("D",B2232))-(FIND("D",B2232)+1)),"P",",")),
IF(ISNUMBER(FIND("CFW5",B2232)),
VALUE(MID(B2232,
IF(ISNUMBER(FIND("F",B2232)),FIND("F",B2232)+1,FIND("G",B2232)+1),
FIND("T",B2232)-(IF(ISNUMBER(FIND("F",B2232)),FIND("F",B2232)+1,FIND("G",B2232)+1))
)),
VALUE(MID(B2232,FIND("E0",B2232)+2,FIND("T",B2232,FIND("E0",B2232))-(FIND("E0",B2232)+2)))
))),"")</f>
        <v>10</v>
      </c>
      <c r="G2232">
        <f>IFERROR(
IF(ISNUMBER(FIND("T2",B2232)),220,
IF(ISNUMBER(FIND("T4",B2232)),440,
IF(ISNUMBER(FIND("T5",B2232)),575,
IF(ISNUMBER(FIND("T6",B2232)),690,"")))),
"")</f>
        <v>440</v>
      </c>
    </row>
    <row r="2233" spans="1:7" x14ac:dyDescent="0.25">
      <c r="A2233">
        <v>11996016</v>
      </c>
      <c r="B2233" t="str">
        <f>VLOOKUP(A2233,Planilha2!B:C,2,0)</f>
        <v>INVERSOR SACFW110010T5ONFYZ</v>
      </c>
      <c r="C2233" t="s">
        <v>3169</v>
      </c>
      <c r="D2233" t="str">
        <f>VLOOKUP(A2233,Planilha2!B:H,7,0)</f>
        <v>LINHA P7</v>
      </c>
      <c r="E2233" s="5">
        <v>26360</v>
      </c>
      <c r="F2233">
        <f>IFERROR(
IF(ISNUMBER(FIND("CFW110",B2233)),
VALUE(MID(B2233,FIND("CFW110",B2233)+6,FIND("T",B2233,FIND("CFW110",B2233))-(FIND("CFW110",B2233)+6))),
IF(ISNUMBER(FIND("D",B2233)),
VALUE(SUBSTITUTE(MID(B2233,FIND("D",B2233)+1,FIND("T",B2233,FIND("D",B2233))-(FIND("D",B2233)+1)),"P",",")),
IF(ISNUMBER(FIND("CFW5",B2233)),
VALUE(MID(B2233,
IF(ISNUMBER(FIND("F",B2233)),FIND("F",B2233)+1,FIND("G",B2233)+1),
FIND("T",B2233)-(IF(ISNUMBER(FIND("F",B2233)),FIND("F",B2233)+1,FIND("G",B2233)+1))
)),
VALUE(MID(B2233,FIND("E0",B2233)+2,FIND("T",B2233,FIND("E0",B2233))-(FIND("E0",B2233)+2)))
))),"")</f>
        <v>10</v>
      </c>
      <c r="G2233">
        <f>IFERROR(
IF(ISNUMBER(FIND("T2",B2233)),220,
IF(ISNUMBER(FIND("T4",B2233)),440,
IF(ISNUMBER(FIND("T5",B2233)),575,
IF(ISNUMBER(FIND("T6",B2233)),690,"")))),
"")</f>
        <v>575</v>
      </c>
    </row>
    <row r="2234" spans="1:7" x14ac:dyDescent="0.25">
      <c r="A2234">
        <v>11996015</v>
      </c>
      <c r="B2234" t="str">
        <f>VLOOKUP(A2234,Planilha2!B:C,2,0)</f>
        <v>INVERSOR SACFW110007T5ONFYZ</v>
      </c>
      <c r="C2234" t="s">
        <v>3169</v>
      </c>
      <c r="D2234" t="str">
        <f>VLOOKUP(A2234,Planilha2!B:H,7,0)</f>
        <v>LINHA P7</v>
      </c>
      <c r="E2234" s="5">
        <v>26360</v>
      </c>
      <c r="F2234">
        <f>IFERROR(
IF(ISNUMBER(FIND("CFW110",B2234)),
VALUE(MID(B2234,FIND("CFW110",B2234)+6,FIND("T",B2234,FIND("CFW110",B2234))-(FIND("CFW110",B2234)+6))),
IF(ISNUMBER(FIND("D",B2234)),
VALUE(SUBSTITUTE(MID(B2234,FIND("D",B2234)+1,FIND("T",B2234,FIND("D",B2234))-(FIND("D",B2234)+1)),"P",",")),
IF(ISNUMBER(FIND("CFW5",B2234)),
VALUE(MID(B2234,
IF(ISNUMBER(FIND("F",B2234)),FIND("F",B2234)+1,FIND("G",B2234)+1),
FIND("T",B2234)-(IF(ISNUMBER(FIND("F",B2234)),FIND("F",B2234)+1,FIND("G",B2234)+1))
)),
VALUE(MID(B2234,FIND("E0",B2234)+2,FIND("T",B2234,FIND("E0",B2234))-(FIND("E0",B2234)+2)))
))),"")</f>
        <v>7</v>
      </c>
      <c r="G2234">
        <f>IFERROR(
IF(ISNUMBER(FIND("T2",B2234)),220,
IF(ISNUMBER(FIND("T4",B2234)),440,
IF(ISNUMBER(FIND("T5",B2234)),575,
IF(ISNUMBER(FIND("T6",B2234)),690,"")))),
"")</f>
        <v>575</v>
      </c>
    </row>
    <row r="2235" spans="1:7" x14ac:dyDescent="0.25">
      <c r="A2235">
        <v>13473377</v>
      </c>
      <c r="B2235" t="str">
        <f>VLOOKUP(A2235,Planilha2!B:C,2,0)</f>
        <v>INVERSOR EUCFW110010T4OFAECZ</v>
      </c>
      <c r="C2235" t="s">
        <v>3169</v>
      </c>
      <c r="D2235" t="str">
        <f>VLOOKUP(A2235,Planilha2!B:H,7,0)</f>
        <v>LINHA P5</v>
      </c>
      <c r="E2235" s="5">
        <v>4861</v>
      </c>
      <c r="F2235">
        <f>IFERROR(
IF(ISNUMBER(FIND("CFW110",B2235)),
VALUE(MID(B2235,FIND("CFW110",B2235)+6,FIND("T",B2235,FIND("CFW110",B2235))-(FIND("CFW110",B2235)+6))),
IF(ISNUMBER(FIND("D",B2235)),
VALUE(SUBSTITUTE(MID(B2235,FIND("D",B2235)+1,FIND("T",B2235,FIND("D",B2235))-(FIND("D",B2235)+1)),"P",",")),
IF(ISNUMBER(FIND("CFW5",B2235)),
VALUE(MID(B2235,
IF(ISNUMBER(FIND("F",B2235)),FIND("F",B2235)+1,FIND("G",B2235)+1),
FIND("T",B2235)-(IF(ISNUMBER(FIND("F",B2235)),FIND("F",B2235)+1,FIND("G",B2235)+1))
)),
VALUE(MID(B2235,FIND("E0",B2235)+2,FIND("T",B2235,FIND("E0",B2235))-(FIND("E0",B2235)+2)))
))),"")</f>
        <v>10</v>
      </c>
      <c r="G2235">
        <f>IFERROR(
IF(ISNUMBER(FIND("T2",B2235)),220,
IF(ISNUMBER(FIND("T4",B2235)),440,
IF(ISNUMBER(FIND("T5",B2235)),575,
IF(ISNUMBER(FIND("T6",B2235)),690,"")))),
"")</f>
        <v>440</v>
      </c>
    </row>
    <row r="2236" spans="1:7" x14ac:dyDescent="0.25">
      <c r="A2236">
        <v>11996052</v>
      </c>
      <c r="B2236" t="str">
        <f>VLOOKUP(A2236,Planilha2!B:C,2,0)</f>
        <v>INVERSOR SACFW110017T5ONFYZ</v>
      </c>
      <c r="C2236" t="s">
        <v>3169</v>
      </c>
      <c r="D2236" t="str">
        <f>VLOOKUP(A2236,Planilha2!B:H,7,0)</f>
        <v>LINHA P7</v>
      </c>
      <c r="E2236" s="5">
        <v>11940</v>
      </c>
      <c r="F2236">
        <f>IFERROR(
IF(ISNUMBER(FIND("CFW110",B2236)),
VALUE(MID(B2236,FIND("CFW110",B2236)+6,FIND("T",B2236,FIND("CFW110",B2236))-(FIND("CFW110",B2236)+6))),
IF(ISNUMBER(FIND("D",B2236)),
VALUE(SUBSTITUTE(MID(B2236,FIND("D",B2236)+1,FIND("T",B2236,FIND("D",B2236))-(FIND("D",B2236)+1)),"P",",")),
IF(ISNUMBER(FIND("CFW5",B2236)),
VALUE(MID(B2236,
IF(ISNUMBER(FIND("F",B2236)),FIND("F",B2236)+1,FIND("G",B2236)+1),
FIND("T",B2236)-(IF(ISNUMBER(FIND("F",B2236)),FIND("F",B2236)+1,FIND("G",B2236)+1))
)),
VALUE(MID(B2236,FIND("E0",B2236)+2,FIND("T",B2236,FIND("E0",B2236))-(FIND("E0",B2236)+2)))
))),"")</f>
        <v>17</v>
      </c>
      <c r="G2236">
        <f>IFERROR(
IF(ISNUMBER(FIND("T2",B2236)),220,
IF(ISNUMBER(FIND("T4",B2236)),440,
IF(ISNUMBER(FIND("T5",B2236)),575,
IF(ISNUMBER(FIND("T6",B2236)),690,"")))),
"")</f>
        <v>575</v>
      </c>
    </row>
    <row r="2237" spans="1:7" x14ac:dyDescent="0.25">
      <c r="A2237">
        <v>13511211</v>
      </c>
      <c r="B2237" t="str">
        <f>VLOOKUP(A2237,Planilha2!B:C,2,0)</f>
        <v>INVERSOR BRCFW110031T4OWS7Z</v>
      </c>
      <c r="C2237" t="s">
        <v>3169</v>
      </c>
      <c r="D2237" t="str">
        <f>VLOOKUP(A2237,Planilha2!B:H,7,0)</f>
        <v>LINHA P7</v>
      </c>
      <c r="E2237" s="5">
        <v>10776</v>
      </c>
      <c r="F2237">
        <f>IFERROR(
IF(ISNUMBER(FIND("CFW110",B2237)),
VALUE(MID(B2237,FIND("CFW110",B2237)+6,FIND("T",B2237,FIND("CFW110",B2237))-(FIND("CFW110",B2237)+6))),
IF(ISNUMBER(FIND("D",B2237)),
VALUE(SUBSTITUTE(MID(B2237,FIND("D",B2237)+1,FIND("T",B2237,FIND("D",B2237))-(FIND("D",B2237)+1)),"P",",")),
IF(ISNUMBER(FIND("CFW5",B2237)),
VALUE(MID(B2237,
IF(ISNUMBER(FIND("F",B2237)),FIND("F",B2237)+1,FIND("G",B2237)+1),
FIND("T",B2237)-(IF(ISNUMBER(FIND("F",B2237)),FIND("F",B2237)+1,FIND("G",B2237)+1))
)),
VALUE(MID(B2237,FIND("E0",B2237)+2,FIND("T",B2237,FIND("E0",B2237))-(FIND("E0",B2237)+2)))
))),"")</f>
        <v>31</v>
      </c>
      <c r="G2237">
        <f>IFERROR(
IF(ISNUMBER(FIND("T2",B2237)),220,
IF(ISNUMBER(FIND("T4",B2237)),440,
IF(ISNUMBER(FIND("T5",B2237)),575,
IF(ISNUMBER(FIND("T6",B2237)),690,"")))),
"")</f>
        <v>440</v>
      </c>
    </row>
    <row r="2238" spans="1:7" x14ac:dyDescent="0.25">
      <c r="A2238">
        <v>13358760</v>
      </c>
      <c r="B2238" t="str">
        <f>VLOOKUP(A2238,Planilha2!B:C,2,0)</f>
        <v>INVERSOR BRCFW110028T2OHUSOZ</v>
      </c>
      <c r="C2238" t="s">
        <v>3169</v>
      </c>
      <c r="D2238" t="str">
        <f>VLOOKUP(A2238,Planilha2!B:H,7,0)</f>
        <v>LINHA P7</v>
      </c>
      <c r="E2238" s="5">
        <v>9700</v>
      </c>
      <c r="F2238">
        <f>IFERROR(
IF(ISNUMBER(FIND("CFW110",B2238)),
VALUE(MID(B2238,FIND("CFW110",B2238)+6,FIND("T",B2238,FIND("CFW110",B2238))-(FIND("CFW110",B2238)+6))),
IF(ISNUMBER(FIND("D",B2238)),
VALUE(SUBSTITUTE(MID(B2238,FIND("D",B2238)+1,FIND("T",B2238,FIND("D",B2238))-(FIND("D",B2238)+1)),"P",",")),
IF(ISNUMBER(FIND("CFW5",B2238)),
VALUE(MID(B2238,
IF(ISNUMBER(FIND("F",B2238)),FIND("F",B2238)+1,FIND("G",B2238)+1),
FIND("T",B2238)-(IF(ISNUMBER(FIND("F",B2238)),FIND("F",B2238)+1,FIND("G",B2238)+1))
)),
VALUE(MID(B2238,FIND("E0",B2238)+2,FIND("T",B2238,FIND("E0",B2238))-(FIND("E0",B2238)+2)))
))),"")</f>
        <v>28</v>
      </c>
      <c r="G2238">
        <f>IFERROR(
IF(ISNUMBER(FIND("T2",B2238)),220,
IF(ISNUMBER(FIND("T4",B2238)),440,
IF(ISNUMBER(FIND("T5",B2238)),575,
IF(ISNUMBER(FIND("T6",B2238)),690,"")))),
"")</f>
        <v>220</v>
      </c>
    </row>
    <row r="2239" spans="1:7" x14ac:dyDescent="0.25">
      <c r="A2239">
        <v>13358820</v>
      </c>
      <c r="B2239" t="str">
        <f>VLOOKUP(A2239,Planilha2!B:C,2,0)</f>
        <v>INVERSOR BRCFW110024T4OHUSOZ</v>
      </c>
      <c r="C2239" t="s">
        <v>3169</v>
      </c>
      <c r="D2239" t="str">
        <f>VLOOKUP(A2239,Planilha2!B:H,7,0)</f>
        <v>LINHA P7</v>
      </c>
      <c r="E2239" s="5">
        <v>10000</v>
      </c>
      <c r="F2239">
        <f>IFERROR(
IF(ISNUMBER(FIND("CFW110",B2239)),
VALUE(MID(B2239,FIND("CFW110",B2239)+6,FIND("T",B2239,FIND("CFW110",B2239))-(FIND("CFW110",B2239)+6))),
IF(ISNUMBER(FIND("D",B2239)),
VALUE(SUBSTITUTE(MID(B2239,FIND("D",B2239)+1,FIND("T",B2239,FIND("D",B2239))-(FIND("D",B2239)+1)),"P",",")),
IF(ISNUMBER(FIND("CFW5",B2239)),
VALUE(MID(B2239,
IF(ISNUMBER(FIND("F",B2239)),FIND("F",B2239)+1,FIND("G",B2239)+1),
FIND("T",B2239)-(IF(ISNUMBER(FIND("F",B2239)),FIND("F",B2239)+1,FIND("G",B2239)+1))
)),
VALUE(MID(B2239,FIND("E0",B2239)+2,FIND("T",B2239,FIND("E0",B2239))-(FIND("E0",B2239)+2)))
))),"")</f>
        <v>24</v>
      </c>
      <c r="G2239">
        <f>IFERROR(
IF(ISNUMBER(FIND("T2",B2239)),220,
IF(ISNUMBER(FIND("T4",B2239)),440,
IF(ISNUMBER(FIND("T5",B2239)),575,
IF(ISNUMBER(FIND("T6",B2239)),690,"")))),
"")</f>
        <v>440</v>
      </c>
    </row>
    <row r="2240" spans="1:7" x14ac:dyDescent="0.25">
      <c r="A2240">
        <v>13358821</v>
      </c>
      <c r="B2240" t="str">
        <f>VLOOKUP(A2240,Planilha2!B:C,2,0)</f>
        <v>INVERSOR BRCFW110031T4OHUSOZ</v>
      </c>
      <c r="C2240" t="s">
        <v>3169</v>
      </c>
      <c r="D2240" t="str">
        <f>VLOOKUP(A2240,Planilha2!B:H,7,0)</f>
        <v>LINHA P7</v>
      </c>
      <c r="E2240" s="5">
        <v>7000</v>
      </c>
      <c r="F2240">
        <f>IFERROR(
IF(ISNUMBER(FIND("CFW110",B2240)),
VALUE(MID(B2240,FIND("CFW110",B2240)+6,FIND("T",B2240,FIND("CFW110",B2240))-(FIND("CFW110",B2240)+6))),
IF(ISNUMBER(FIND("D",B2240)),
VALUE(SUBSTITUTE(MID(B2240,FIND("D",B2240)+1,FIND("T",B2240,FIND("D",B2240))-(FIND("D",B2240)+1)),"P",",")),
IF(ISNUMBER(FIND("CFW5",B2240)),
VALUE(MID(B2240,
IF(ISNUMBER(FIND("F",B2240)),FIND("F",B2240)+1,FIND("G",B2240)+1),
FIND("T",B2240)-(IF(ISNUMBER(FIND("F",B2240)),FIND("F",B2240)+1,FIND("G",B2240)+1))
)),
VALUE(MID(B2240,FIND("E0",B2240)+2,FIND("T",B2240,FIND("E0",B2240))-(FIND("E0",B2240)+2)))
))),"")</f>
        <v>31</v>
      </c>
      <c r="G2240">
        <f>IFERROR(
IF(ISNUMBER(FIND("T2",B2240)),220,
IF(ISNUMBER(FIND("T4",B2240)),440,
IF(ISNUMBER(FIND("T5",B2240)),575,
IF(ISNUMBER(FIND("T6",B2240)),690,"")))),
"")</f>
        <v>440</v>
      </c>
    </row>
    <row r="2241" spans="1:7" x14ac:dyDescent="0.25">
      <c r="A2241">
        <v>13542807</v>
      </c>
      <c r="B2241" t="str">
        <f>VLOOKUP(A2241,Planilha2!B:C,2,0)</f>
        <v>INVERSOR BRCFW110013T4OSWZ</v>
      </c>
      <c r="C2241" t="s">
        <v>3169</v>
      </c>
      <c r="D2241" t="str">
        <f>VLOOKUP(A2241,Planilha2!B:H,7,0)</f>
        <v>LINHA P5</v>
      </c>
      <c r="E2241" s="5">
        <v>4870</v>
      </c>
      <c r="F2241">
        <f>IFERROR(
IF(ISNUMBER(FIND("CFW110",B2241)),
VALUE(MID(B2241,FIND("CFW110",B2241)+6,FIND("T",B2241,FIND("CFW110",B2241))-(FIND("CFW110",B2241)+6))),
IF(ISNUMBER(FIND("D",B2241)),
VALUE(SUBSTITUTE(MID(B2241,FIND("D",B2241)+1,FIND("T",B2241,FIND("D",B2241))-(FIND("D",B2241)+1)),"P",",")),
IF(ISNUMBER(FIND("CFW5",B2241)),
VALUE(MID(B2241,
IF(ISNUMBER(FIND("F",B2241)),FIND("F",B2241)+1,FIND("G",B2241)+1),
FIND("T",B2241)-(IF(ISNUMBER(FIND("F",B2241)),FIND("F",B2241)+1,FIND("G",B2241)+1))
)),
VALUE(MID(B2241,FIND("E0",B2241)+2,FIND("T",B2241,FIND("E0",B2241))-(FIND("E0",B2241)+2)))
))),"")</f>
        <v>13</v>
      </c>
      <c r="G2241">
        <f>IFERROR(
IF(ISNUMBER(FIND("T2",B2241)),220,
IF(ISNUMBER(FIND("T4",B2241)),440,
IF(ISNUMBER(FIND("T5",B2241)),575,
IF(ISNUMBER(FIND("T6",B2241)),690,"")))),
"")</f>
        <v>440</v>
      </c>
    </row>
    <row r="2242" spans="1:7" x14ac:dyDescent="0.25">
      <c r="A2242">
        <v>13572914</v>
      </c>
      <c r="B2242" t="str">
        <f>VLOOKUP(A2242,Planilha2!B:C,2,0)</f>
        <v>INVERSOR BRCFW110033T2O54FAYZ</v>
      </c>
      <c r="C2242" t="s">
        <v>3169</v>
      </c>
      <c r="D2242" t="str">
        <f>VLOOKUP(A2242,Planilha2!B:H,7,0)</f>
        <v>LINHA M1</v>
      </c>
      <c r="E2242" s="5">
        <v>15491</v>
      </c>
      <c r="F2242">
        <f>IFERROR(
IF(ISNUMBER(FIND("CFW110",B2242)),
VALUE(MID(B2242,FIND("CFW110",B2242)+6,FIND("T",B2242,FIND("CFW110",B2242))-(FIND("CFW110",B2242)+6))),
IF(ISNUMBER(FIND("D",B2242)),
VALUE(SUBSTITUTE(MID(B2242,FIND("D",B2242)+1,FIND("T",B2242,FIND("D",B2242))-(FIND("D",B2242)+1)),"P",",")),
IF(ISNUMBER(FIND("CFW5",B2242)),
VALUE(MID(B2242,
IF(ISNUMBER(FIND("F",B2242)),FIND("F",B2242)+1,FIND("G",B2242)+1),
FIND("T",B2242)-(IF(ISNUMBER(FIND("F",B2242)),FIND("F",B2242)+1,FIND("G",B2242)+1))
)),
VALUE(MID(B2242,FIND("E0",B2242)+2,FIND("T",B2242,FIND("E0",B2242))-(FIND("E0",B2242)+2)))
))),"")</f>
        <v>33</v>
      </c>
      <c r="G2242">
        <f>IFERROR(
IF(ISNUMBER(FIND("T2",B2242)),220,
IF(ISNUMBER(FIND("T4",B2242)),440,
IF(ISNUMBER(FIND("T5",B2242)),575,
IF(ISNUMBER(FIND("T6",B2242)),690,"")))),
"")</f>
        <v>220</v>
      </c>
    </row>
    <row r="2243" spans="1:7" x14ac:dyDescent="0.25">
      <c r="A2243">
        <v>13504992</v>
      </c>
      <c r="B2243" t="str">
        <f>VLOOKUP(A2243,Planilha2!B:C,2,0)</f>
        <v>INVERSOR BRCFW110024T2OSVZ</v>
      </c>
      <c r="C2243" t="s">
        <v>3169</v>
      </c>
      <c r="D2243" t="str">
        <f>VLOOKUP(A2243,Planilha2!B:H,7,0)</f>
        <v>LINHA P7</v>
      </c>
      <c r="E2243" s="5">
        <v>8700</v>
      </c>
      <c r="F2243">
        <f>IFERROR(
IF(ISNUMBER(FIND("CFW110",B2243)),
VALUE(MID(B2243,FIND("CFW110",B2243)+6,FIND("T",B2243,FIND("CFW110",B2243))-(FIND("CFW110",B2243)+6))),
IF(ISNUMBER(FIND("D",B2243)),
VALUE(SUBSTITUTE(MID(B2243,FIND("D",B2243)+1,FIND("T",B2243,FIND("D",B2243))-(FIND("D",B2243)+1)),"P",",")),
IF(ISNUMBER(FIND("CFW5",B2243)),
VALUE(MID(B2243,
IF(ISNUMBER(FIND("F",B2243)),FIND("F",B2243)+1,FIND("G",B2243)+1),
FIND("T",B2243)-(IF(ISNUMBER(FIND("F",B2243)),FIND("F",B2243)+1,FIND("G",B2243)+1))
)),
VALUE(MID(B2243,FIND("E0",B2243)+2,FIND("T",B2243,FIND("E0",B2243))-(FIND("E0",B2243)+2)))
))),"")</f>
        <v>24</v>
      </c>
      <c r="G2243">
        <f>IFERROR(
IF(ISNUMBER(FIND("T2",B2243)),220,
IF(ISNUMBER(FIND("T4",B2243)),440,
IF(ISNUMBER(FIND("T5",B2243)),575,
IF(ISNUMBER(FIND("T6",B2243)),690,"")))),
"")</f>
        <v>220</v>
      </c>
    </row>
    <row r="2244" spans="1:7" x14ac:dyDescent="0.25">
      <c r="A2244">
        <v>13504993</v>
      </c>
      <c r="B2244" t="str">
        <f>VLOOKUP(A2244,Planilha2!B:C,2,0)</f>
        <v>INVERSOR BRCFW110028T2OSVZ</v>
      </c>
      <c r="C2244" t="s">
        <v>3169</v>
      </c>
      <c r="D2244" t="str">
        <f>VLOOKUP(A2244,Planilha2!B:H,7,0)</f>
        <v>LINHA P7</v>
      </c>
      <c r="E2244" s="5">
        <v>8700</v>
      </c>
      <c r="F2244">
        <f>IFERROR(
IF(ISNUMBER(FIND("CFW110",B2244)),
VALUE(MID(B2244,FIND("CFW110",B2244)+6,FIND("T",B2244,FIND("CFW110",B2244))-(FIND("CFW110",B2244)+6))),
IF(ISNUMBER(FIND("D",B2244)),
VALUE(SUBSTITUTE(MID(B2244,FIND("D",B2244)+1,FIND("T",B2244,FIND("D",B2244))-(FIND("D",B2244)+1)),"P",",")),
IF(ISNUMBER(FIND("CFW5",B2244)),
VALUE(MID(B2244,
IF(ISNUMBER(FIND("F",B2244)),FIND("F",B2244)+1,FIND("G",B2244)+1),
FIND("T",B2244)-(IF(ISNUMBER(FIND("F",B2244)),FIND("F",B2244)+1,FIND("G",B2244)+1))
)),
VALUE(MID(B2244,FIND("E0",B2244)+2,FIND("T",B2244,FIND("E0",B2244))-(FIND("E0",B2244)+2)))
))),"")</f>
        <v>28</v>
      </c>
      <c r="G2244">
        <f>IFERROR(
IF(ISNUMBER(FIND("T2",B2244)),220,
IF(ISNUMBER(FIND("T4",B2244)),440,
IF(ISNUMBER(FIND("T5",B2244)),575,
IF(ISNUMBER(FIND("T6",B2244)),690,"")))),
"")</f>
        <v>220</v>
      </c>
    </row>
    <row r="2245" spans="1:7" x14ac:dyDescent="0.25">
      <c r="A2245">
        <v>13504994</v>
      </c>
      <c r="B2245" t="str">
        <f>VLOOKUP(A2245,Planilha2!B:C,2,0)</f>
        <v>INVERSOR BRCFW110033T2OSVZ</v>
      </c>
      <c r="C2245" t="s">
        <v>3169</v>
      </c>
      <c r="D2245" t="str">
        <f>VLOOKUP(A2245,Planilha2!B:H,7,0)</f>
        <v>LINHA P7</v>
      </c>
      <c r="E2245" s="5">
        <v>8800</v>
      </c>
      <c r="F2245">
        <f>IFERROR(
IF(ISNUMBER(FIND("CFW110",B2245)),
VALUE(MID(B2245,FIND("CFW110",B2245)+6,FIND("T",B2245,FIND("CFW110",B2245))-(FIND("CFW110",B2245)+6))),
IF(ISNUMBER(FIND("D",B2245)),
VALUE(SUBSTITUTE(MID(B2245,FIND("D",B2245)+1,FIND("T",B2245,FIND("D",B2245))-(FIND("D",B2245)+1)),"P",",")),
IF(ISNUMBER(FIND("CFW5",B2245)),
VALUE(MID(B2245,
IF(ISNUMBER(FIND("F",B2245)),FIND("F",B2245)+1,FIND("G",B2245)+1),
FIND("T",B2245)-(IF(ISNUMBER(FIND("F",B2245)),FIND("F",B2245)+1,FIND("G",B2245)+1))
)),
VALUE(MID(B2245,FIND("E0",B2245)+2,FIND("T",B2245,FIND("E0",B2245))-(FIND("E0",B2245)+2)))
))),"")</f>
        <v>33</v>
      </c>
      <c r="G2245">
        <f>IFERROR(
IF(ISNUMBER(FIND("T2",B2245)),220,
IF(ISNUMBER(FIND("T4",B2245)),440,
IF(ISNUMBER(FIND("T5",B2245)),575,
IF(ISNUMBER(FIND("T6",B2245)),690,"")))),
"")</f>
        <v>220</v>
      </c>
    </row>
    <row r="2246" spans="1:7" x14ac:dyDescent="0.25">
      <c r="A2246">
        <v>13505116</v>
      </c>
      <c r="B2246" t="str">
        <f>VLOOKUP(A2246,Planilha2!B:C,2,0)</f>
        <v>INVERSOR BRCFW110017T4OSVZ</v>
      </c>
      <c r="C2246" t="s">
        <v>3169</v>
      </c>
      <c r="D2246" t="str">
        <f>VLOOKUP(A2246,Planilha2!B:H,7,0)</f>
        <v>LINHA P7</v>
      </c>
      <c r="E2246" s="5">
        <v>8900</v>
      </c>
      <c r="F2246">
        <f>IFERROR(
IF(ISNUMBER(FIND("CFW110",B2246)),
VALUE(MID(B2246,FIND("CFW110",B2246)+6,FIND("T",B2246,FIND("CFW110",B2246))-(FIND("CFW110",B2246)+6))),
IF(ISNUMBER(FIND("D",B2246)),
VALUE(SUBSTITUTE(MID(B2246,FIND("D",B2246)+1,FIND("T",B2246,FIND("D",B2246))-(FIND("D",B2246)+1)),"P",",")),
IF(ISNUMBER(FIND("CFW5",B2246)),
VALUE(MID(B2246,
IF(ISNUMBER(FIND("F",B2246)),FIND("F",B2246)+1,FIND("G",B2246)+1),
FIND("T",B2246)-(IF(ISNUMBER(FIND("F",B2246)),FIND("F",B2246)+1,FIND("G",B2246)+1))
)),
VALUE(MID(B2246,FIND("E0",B2246)+2,FIND("T",B2246,FIND("E0",B2246))-(FIND("E0",B2246)+2)))
))),"")</f>
        <v>17</v>
      </c>
      <c r="G2246">
        <f>IFERROR(
IF(ISNUMBER(FIND("T2",B2246)),220,
IF(ISNUMBER(FIND("T4",B2246)),440,
IF(ISNUMBER(FIND("T5",B2246)),575,
IF(ISNUMBER(FIND("T6",B2246)),690,"")))),
"")</f>
        <v>440</v>
      </c>
    </row>
    <row r="2247" spans="1:7" x14ac:dyDescent="0.25">
      <c r="A2247">
        <v>13505117</v>
      </c>
      <c r="B2247" t="str">
        <f>VLOOKUP(A2247,Planilha2!B:C,2,0)</f>
        <v>INVERSOR BRCFW110024T4OSVZ</v>
      </c>
      <c r="C2247" t="s">
        <v>3169</v>
      </c>
      <c r="D2247" t="str">
        <f>VLOOKUP(A2247,Planilha2!B:H,7,0)</f>
        <v>LINHA P7</v>
      </c>
      <c r="E2247" s="5">
        <v>10000</v>
      </c>
      <c r="F2247">
        <f>IFERROR(
IF(ISNUMBER(FIND("CFW110",B2247)),
VALUE(MID(B2247,FIND("CFW110",B2247)+6,FIND("T",B2247,FIND("CFW110",B2247))-(FIND("CFW110",B2247)+6))),
IF(ISNUMBER(FIND("D",B2247)),
VALUE(SUBSTITUTE(MID(B2247,FIND("D",B2247)+1,FIND("T",B2247,FIND("D",B2247))-(FIND("D",B2247)+1)),"P",",")),
IF(ISNUMBER(FIND("CFW5",B2247)),
VALUE(MID(B2247,
IF(ISNUMBER(FIND("F",B2247)),FIND("F",B2247)+1,FIND("G",B2247)+1),
FIND("T",B2247)-(IF(ISNUMBER(FIND("F",B2247)),FIND("F",B2247)+1,FIND("G",B2247)+1))
)),
VALUE(MID(B2247,FIND("E0",B2247)+2,FIND("T",B2247,FIND("E0",B2247))-(FIND("E0",B2247)+2)))
))),"")</f>
        <v>24</v>
      </c>
      <c r="G2247">
        <f>IFERROR(
IF(ISNUMBER(FIND("T2",B2247)),220,
IF(ISNUMBER(FIND("T4",B2247)),440,
IF(ISNUMBER(FIND("T5",B2247)),575,
IF(ISNUMBER(FIND("T6",B2247)),690,"")))),
"")</f>
        <v>440</v>
      </c>
    </row>
    <row r="2248" spans="1:7" x14ac:dyDescent="0.25">
      <c r="A2248">
        <v>13505148</v>
      </c>
      <c r="B2248" t="str">
        <f>VLOOKUP(A2248,Planilha2!B:C,2,0)</f>
        <v>INVERSOR BRCFW110031T4OSVZ</v>
      </c>
      <c r="C2248" t="s">
        <v>3169</v>
      </c>
      <c r="D2248" t="str">
        <f>VLOOKUP(A2248,Planilha2!B:H,7,0)</f>
        <v>LINHA P7</v>
      </c>
      <c r="E2248" s="5">
        <v>10400</v>
      </c>
      <c r="F2248">
        <f>IFERROR(
IF(ISNUMBER(FIND("CFW110",B2248)),
VALUE(MID(B2248,FIND("CFW110",B2248)+6,FIND("T",B2248,FIND("CFW110",B2248))-(FIND("CFW110",B2248)+6))),
IF(ISNUMBER(FIND("D",B2248)),
VALUE(SUBSTITUTE(MID(B2248,FIND("D",B2248)+1,FIND("T",B2248,FIND("D",B2248))-(FIND("D",B2248)+1)),"P",",")),
IF(ISNUMBER(FIND("CFW5",B2248)),
VALUE(MID(B2248,
IF(ISNUMBER(FIND("F",B2248)),FIND("F",B2248)+1,FIND("G",B2248)+1),
FIND("T",B2248)-(IF(ISNUMBER(FIND("F",B2248)),FIND("F",B2248)+1,FIND("G",B2248)+1))
)),
VALUE(MID(B2248,FIND("E0",B2248)+2,FIND("T",B2248,FIND("E0",B2248))-(FIND("E0",B2248)+2)))
))),"")</f>
        <v>31</v>
      </c>
      <c r="G2248">
        <f>IFERROR(
IF(ISNUMBER(FIND("T2",B2248)),220,
IF(ISNUMBER(FIND("T4",B2248)),440,
IF(ISNUMBER(FIND("T5",B2248)),575,
IF(ISNUMBER(FIND("T6",B2248)),690,"")))),
"")</f>
        <v>440</v>
      </c>
    </row>
    <row r="2249" spans="1:7" x14ac:dyDescent="0.25">
      <c r="A2249">
        <v>11996050</v>
      </c>
      <c r="B2249" t="str">
        <f>VLOOKUP(A2249,Planilha2!B:C,2,0)</f>
        <v>INVERSOR SACFW110012T5ONFYZ</v>
      </c>
      <c r="C2249" t="s">
        <v>3169</v>
      </c>
      <c r="D2249" t="str">
        <f>VLOOKUP(A2249,Planilha2!B:H,7,0)</f>
        <v>LINHA P7</v>
      </c>
      <c r="E2249" s="5">
        <v>11940</v>
      </c>
      <c r="F2249">
        <f>IFERROR(
IF(ISNUMBER(FIND("CFW110",B2249)),
VALUE(MID(B2249,FIND("CFW110",B2249)+6,FIND("T",B2249,FIND("CFW110",B2249))-(FIND("CFW110",B2249)+6))),
IF(ISNUMBER(FIND("D",B2249)),
VALUE(SUBSTITUTE(MID(B2249,FIND("D",B2249)+1,FIND("T",B2249,FIND("D",B2249))-(FIND("D",B2249)+1)),"P",",")),
IF(ISNUMBER(FIND("CFW5",B2249)),
VALUE(MID(B2249,
IF(ISNUMBER(FIND("F",B2249)),FIND("F",B2249)+1,FIND("G",B2249)+1),
FIND("T",B2249)-(IF(ISNUMBER(FIND("F",B2249)),FIND("F",B2249)+1,FIND("G",B2249)+1))
)),
VALUE(MID(B2249,FIND("E0",B2249)+2,FIND("T",B2249,FIND("E0",B2249))-(FIND("E0",B2249)+2)))
))),"")</f>
        <v>12</v>
      </c>
      <c r="G2249">
        <f>IFERROR(
IF(ISNUMBER(FIND("T2",B2249)),220,
IF(ISNUMBER(FIND("T4",B2249)),440,
IF(ISNUMBER(FIND("T5",B2249)),575,
IF(ISNUMBER(FIND("T6",B2249)),690,"")))),
"")</f>
        <v>575</v>
      </c>
    </row>
    <row r="2250" spans="1:7" x14ac:dyDescent="0.25">
      <c r="A2250">
        <v>13888843</v>
      </c>
      <c r="B2250" t="str">
        <f>VLOOKUP(A2250,Planilha2!B:C,2,0)</f>
        <v>INVERSOR EUCFW110024T4O55FAYZ</v>
      </c>
      <c r="C2250" t="s">
        <v>3169</v>
      </c>
      <c r="D2250" t="str">
        <f>VLOOKUP(A2250,Planilha2!B:H,7,0)</f>
        <v>LINHA M3</v>
      </c>
      <c r="E2250" s="5">
        <v>9700</v>
      </c>
      <c r="F2250">
        <f>IFERROR(
IF(ISNUMBER(FIND("CFW110",B2250)),
VALUE(MID(B2250,FIND("CFW110",B2250)+6,FIND("T",B2250,FIND("CFW110",B2250))-(FIND("CFW110",B2250)+6))),
IF(ISNUMBER(FIND("D",B2250)),
VALUE(SUBSTITUTE(MID(B2250,FIND("D",B2250)+1,FIND("T",B2250,FIND("D",B2250))-(FIND("D",B2250)+1)),"P",",")),
IF(ISNUMBER(FIND("CFW5",B2250)),
VALUE(MID(B2250,
IF(ISNUMBER(FIND("F",B2250)),FIND("F",B2250)+1,FIND("G",B2250)+1),
FIND("T",B2250)-(IF(ISNUMBER(FIND("F",B2250)),FIND("F",B2250)+1,FIND("G",B2250)+1))
)),
VALUE(MID(B2250,FIND("E0",B2250)+2,FIND("T",B2250,FIND("E0",B2250))-(FIND("E0",B2250)+2)))
))),"")</f>
        <v>24</v>
      </c>
      <c r="G2250">
        <f>IFERROR(
IF(ISNUMBER(FIND("T2",B2250)),220,
IF(ISNUMBER(FIND("T4",B2250)),440,
IF(ISNUMBER(FIND("T5",B2250)),575,
IF(ISNUMBER(FIND("T6",B2250)),690,"")))),
"")</f>
        <v>440</v>
      </c>
    </row>
    <row r="2251" spans="1:7" x14ac:dyDescent="0.25">
      <c r="A2251">
        <v>14214170</v>
      </c>
      <c r="B2251" t="str">
        <f>VLOOKUP(A2251,Planilha2!B:C,2,0)</f>
        <v>INVERSOR BRCFW110013T4OSIZ</v>
      </c>
      <c r="C2251" t="s">
        <v>3169</v>
      </c>
      <c r="D2251" t="str">
        <f>VLOOKUP(A2251,Planilha2!B:H,7,0)</f>
        <v>LINHA P5</v>
      </c>
      <c r="E2251" t="s">
        <v>3172</v>
      </c>
      <c r="F2251">
        <f>IFERROR(
IF(ISNUMBER(FIND("CFW110",B2251)),
VALUE(MID(B2251,FIND("CFW110",B2251)+6,FIND("T",B2251,FIND("CFW110",B2251))-(FIND("CFW110",B2251)+6))),
IF(ISNUMBER(FIND("D",B2251)),
VALUE(SUBSTITUTE(MID(B2251,FIND("D",B2251)+1,FIND("T",B2251,FIND("D",B2251))-(FIND("D",B2251)+1)),"P",",")),
IF(ISNUMBER(FIND("CFW5",B2251)),
VALUE(MID(B2251,
IF(ISNUMBER(FIND("F",B2251)),FIND("F",B2251)+1,FIND("G",B2251)+1),
FIND("T",B2251)-(IF(ISNUMBER(FIND("F",B2251)),FIND("F",B2251)+1,FIND("G",B2251)+1))
)),
VALUE(MID(B2251,FIND("E0",B2251)+2,FIND("T",B2251,FIND("E0",B2251))-(FIND("E0",B2251)+2)))
))),"")</f>
        <v>13</v>
      </c>
      <c r="G2251">
        <f>IFERROR(
IF(ISNUMBER(FIND("T2",B2251)),220,
IF(ISNUMBER(FIND("T4",B2251)),440,
IF(ISNUMBER(FIND("T5",B2251)),575,
IF(ISNUMBER(FIND("T6",B2251)),690,"")))),
"")</f>
        <v>440</v>
      </c>
    </row>
    <row r="2252" spans="1:7" x14ac:dyDescent="0.25">
      <c r="A2252">
        <v>11876633</v>
      </c>
      <c r="B2252" t="str">
        <f>VLOOKUP(A2252,Planilha2!B:C,2,0)</f>
        <v>INVERSOR CFW700B24P0T4DB20C3Y1</v>
      </c>
      <c r="C2252" t="s">
        <v>3169</v>
      </c>
      <c r="D2252" t="str">
        <f>VLOOKUP(A2252,Planilha2!B:H,7,0)</f>
        <v>OBSOLETOS DRIVES</v>
      </c>
      <c r="E2252" s="5">
        <v>9100</v>
      </c>
      <c r="F2252" t="str">
        <f>IFERROR(
IF(ISNUMBER(FIND("CFW110",B2252)),
VALUE(MID(B2252,FIND("CFW110",B2252)+6,FIND("T",B2252,FIND("CFW110",B2252))-(FIND("CFW110",B2252)+6))),
IF(ISNUMBER(FIND("D",B2252)),
VALUE(SUBSTITUTE(MID(B2252,FIND("D",B2252)+1,FIND("T",B2252,FIND("D",B2252))-(FIND("D",B2252)+1)),"P",",")),
IF(ISNUMBER(FIND("CFW5",B2252)),
VALUE(MID(B2252,
IF(ISNUMBER(FIND("F",B2252)),FIND("F",B2252)+1,FIND("G",B2252)+1),
FIND("T",B2252)-(IF(ISNUMBER(FIND("F",B2252)),FIND("F",B2252)+1,FIND("G",B2252)+1))
)),
VALUE(MID(B2252,FIND("E0",B2252)+2,FIND("T",B2252,FIND("E0",B2252))-(FIND("E0",B2252)+2)))
))),"")</f>
        <v/>
      </c>
      <c r="G2252">
        <f>IFERROR(
IF(ISNUMBER(FIND("T2",B2252)),220,
IF(ISNUMBER(FIND("T4",B2252)),440,
IF(ISNUMBER(FIND("T5",B2252)),575,
IF(ISNUMBER(FIND("T6",B2252)),690,"")))),
"")</f>
        <v>440</v>
      </c>
    </row>
    <row r="2253" spans="1:7" x14ac:dyDescent="0.25">
      <c r="A2253">
        <v>12939942</v>
      </c>
      <c r="B2253" t="str">
        <f>VLOOKUP(A2253,Planilha2!B:C,2,0)</f>
        <v>INVERSOR BRCFW110028T2OYZ</v>
      </c>
      <c r="C2253" t="s">
        <v>3169</v>
      </c>
      <c r="D2253" t="str">
        <f>VLOOKUP(A2253,Planilha2!B:H,7,0)</f>
        <v>LINHA P7</v>
      </c>
      <c r="E2253" s="5">
        <v>4500</v>
      </c>
      <c r="F2253">
        <f>IFERROR(
IF(ISNUMBER(FIND("CFW110",B2253)),
VALUE(MID(B2253,FIND("CFW110",B2253)+6,FIND("T",B2253,FIND("CFW110",B2253))-(FIND("CFW110",B2253)+6))),
IF(ISNUMBER(FIND("D",B2253)),
VALUE(SUBSTITUTE(MID(B2253,FIND("D",B2253)+1,FIND("T",B2253,FIND("D",B2253))-(FIND("D",B2253)+1)),"P",",")),
IF(ISNUMBER(FIND("CFW5",B2253)),
VALUE(MID(B2253,
IF(ISNUMBER(FIND("F",B2253)),FIND("F",B2253)+1,FIND("G",B2253)+1),
FIND("T",B2253)-(IF(ISNUMBER(FIND("F",B2253)),FIND("F",B2253)+1,FIND("G",B2253)+1))
)),
VALUE(MID(B2253,FIND("E0",B2253)+2,FIND("T",B2253,FIND("E0",B2253))-(FIND("E0",B2253)+2)))
))),"")</f>
        <v>28</v>
      </c>
      <c r="G2253">
        <f>IFERROR(
IF(ISNUMBER(FIND("T2",B2253)),220,
IF(ISNUMBER(FIND("T4",B2253)),440,
IF(ISNUMBER(FIND("T5",B2253)),575,
IF(ISNUMBER(FIND("T6",B2253)),690,"")))),
"")</f>
        <v>220</v>
      </c>
    </row>
    <row r="2254" spans="1:7" x14ac:dyDescent="0.25">
      <c r="A2254">
        <v>12919066</v>
      </c>
      <c r="B2254" t="str">
        <f>VLOOKUP(A2254,Planilha2!B:C,2,0)</f>
        <v>INVERSOR BRCFW110010T4ON1SPZ</v>
      </c>
      <c r="C2254" t="s">
        <v>3169</v>
      </c>
      <c r="D2254" t="str">
        <f>VLOOKUP(A2254,Planilha2!B:H,7,0)</f>
        <v>LINHA P5</v>
      </c>
      <c r="E2254" s="5">
        <v>6850</v>
      </c>
      <c r="F2254">
        <f>IFERROR(
IF(ISNUMBER(FIND("CFW110",B2254)),
VALUE(MID(B2254,FIND("CFW110",B2254)+6,FIND("T",B2254,FIND("CFW110",B2254))-(FIND("CFW110",B2254)+6))),
IF(ISNUMBER(FIND("D",B2254)),
VALUE(SUBSTITUTE(MID(B2254,FIND("D",B2254)+1,FIND("T",B2254,FIND("D",B2254))-(FIND("D",B2254)+1)),"P",",")),
IF(ISNUMBER(FIND("CFW5",B2254)),
VALUE(MID(B2254,
IF(ISNUMBER(FIND("F",B2254)),FIND("F",B2254)+1,FIND("G",B2254)+1),
FIND("T",B2254)-(IF(ISNUMBER(FIND("F",B2254)),FIND("F",B2254)+1,FIND("G",B2254)+1))
)),
VALUE(MID(B2254,FIND("E0",B2254)+2,FIND("T",B2254,FIND("E0",B2254))-(FIND("E0",B2254)+2)))
))),"")</f>
        <v>10</v>
      </c>
      <c r="G2254">
        <f>IFERROR(
IF(ISNUMBER(FIND("T2",B2254)),220,
IF(ISNUMBER(FIND("T4",B2254)),440,
IF(ISNUMBER(FIND("T5",B2254)),575,
IF(ISNUMBER(FIND("T6",B2254)),690,"")))),
"")</f>
        <v>440</v>
      </c>
    </row>
    <row r="2255" spans="1:7" x14ac:dyDescent="0.25">
      <c r="A2255">
        <v>12919012</v>
      </c>
      <c r="B2255" t="str">
        <f>VLOOKUP(A2255,Planilha2!B:C,2,0)</f>
        <v>INVERSOR BRCFW110016T2ON1SPZ</v>
      </c>
      <c r="C2255" t="s">
        <v>3169</v>
      </c>
      <c r="D2255" t="str">
        <f>VLOOKUP(A2255,Planilha2!B:H,7,0)</f>
        <v>LINHA P5</v>
      </c>
      <c r="E2255" s="5">
        <v>6950</v>
      </c>
      <c r="F2255">
        <f>IFERROR(
IF(ISNUMBER(FIND("CFW110",B2255)),
VALUE(MID(B2255,FIND("CFW110",B2255)+6,FIND("T",B2255,FIND("CFW110",B2255))-(FIND("CFW110",B2255)+6))),
IF(ISNUMBER(FIND("D",B2255)),
VALUE(SUBSTITUTE(MID(B2255,FIND("D",B2255)+1,FIND("T",B2255,FIND("D",B2255))-(FIND("D",B2255)+1)),"P",",")),
IF(ISNUMBER(FIND("CFW5",B2255)),
VALUE(MID(B2255,
IF(ISNUMBER(FIND("F",B2255)),FIND("F",B2255)+1,FIND("G",B2255)+1),
FIND("T",B2255)-(IF(ISNUMBER(FIND("F",B2255)),FIND("F",B2255)+1,FIND("G",B2255)+1))
)),
VALUE(MID(B2255,FIND("E0",B2255)+2,FIND("T",B2255,FIND("E0",B2255))-(FIND("E0",B2255)+2)))
))),"")</f>
        <v>16</v>
      </c>
      <c r="G2255">
        <f>IFERROR(
IF(ISNUMBER(FIND("T2",B2255)),220,
IF(ISNUMBER(FIND("T4",B2255)),440,
IF(ISNUMBER(FIND("T5",B2255)),575,
IF(ISNUMBER(FIND("T6",B2255)),690,"")))),
"")</f>
        <v>220</v>
      </c>
    </row>
    <row r="2256" spans="1:7" x14ac:dyDescent="0.25">
      <c r="A2256">
        <v>13504927</v>
      </c>
      <c r="B2256" t="str">
        <f>VLOOKUP(A2256,Planilha2!B:C,2,0)</f>
        <v>INVERSOR BRCFW110007T2OSVZ</v>
      </c>
      <c r="C2256" t="s">
        <v>3169</v>
      </c>
      <c r="D2256" t="str">
        <f>VLOOKUP(A2256,Planilha2!B:H,7,0)</f>
        <v>LINHA P5</v>
      </c>
      <c r="E2256" s="5">
        <v>6450</v>
      </c>
      <c r="F2256">
        <f>IFERROR(
IF(ISNUMBER(FIND("CFW110",B2256)),
VALUE(MID(B2256,FIND("CFW110",B2256)+6,FIND("T",B2256,FIND("CFW110",B2256))-(FIND("CFW110",B2256)+6))),
IF(ISNUMBER(FIND("D",B2256)),
VALUE(SUBSTITUTE(MID(B2256,FIND("D",B2256)+1,FIND("T",B2256,FIND("D",B2256))-(FIND("D",B2256)+1)),"P",",")),
IF(ISNUMBER(FIND("CFW5",B2256)),
VALUE(MID(B2256,
IF(ISNUMBER(FIND("F",B2256)),FIND("F",B2256)+1,FIND("G",B2256)+1),
FIND("T",B2256)-(IF(ISNUMBER(FIND("F",B2256)),FIND("F",B2256)+1,FIND("G",B2256)+1))
)),
VALUE(MID(B2256,FIND("E0",B2256)+2,FIND("T",B2256,FIND("E0",B2256))-(FIND("E0",B2256)+2)))
))),"")</f>
        <v>7</v>
      </c>
      <c r="G2256">
        <f>IFERROR(
IF(ISNUMBER(FIND("T2",B2256)),220,
IF(ISNUMBER(FIND("T4",B2256)),440,
IF(ISNUMBER(FIND("T5",B2256)),575,
IF(ISNUMBER(FIND("T6",B2256)),690,"")))),
"")</f>
        <v>220</v>
      </c>
    </row>
    <row r="2257" spans="1:7" x14ac:dyDescent="0.25">
      <c r="A2257">
        <v>12696487</v>
      </c>
      <c r="B2257" t="str">
        <f>VLOOKUP(A2257,Planilha2!B:C,2,0)</f>
        <v>INVERSOR EUCFW110010T4OFAWZ</v>
      </c>
      <c r="C2257" t="s">
        <v>3169</v>
      </c>
      <c r="D2257" t="str">
        <f>VLOOKUP(A2257,Planilha2!B:H,7,0)</f>
        <v>LINHA P5</v>
      </c>
      <c r="E2257" s="5">
        <v>4500</v>
      </c>
      <c r="F2257">
        <f>IFERROR(
IF(ISNUMBER(FIND("CFW110",B2257)),
VALUE(MID(B2257,FIND("CFW110",B2257)+6,FIND("T",B2257,FIND("CFW110",B2257))-(FIND("CFW110",B2257)+6))),
IF(ISNUMBER(FIND("D",B2257)),
VALUE(SUBSTITUTE(MID(B2257,FIND("D",B2257)+1,FIND("T",B2257,FIND("D",B2257))-(FIND("D",B2257)+1)),"P",",")),
IF(ISNUMBER(FIND("CFW5",B2257)),
VALUE(MID(B2257,
IF(ISNUMBER(FIND("F",B2257)),FIND("F",B2257)+1,FIND("G",B2257)+1),
FIND("T",B2257)-(IF(ISNUMBER(FIND("F",B2257)),FIND("F",B2257)+1,FIND("G",B2257)+1))
)),
VALUE(MID(B2257,FIND("E0",B2257)+2,FIND("T",B2257,FIND("E0",B2257))-(FIND("E0",B2257)+2)))
))),"")</f>
        <v>10</v>
      </c>
      <c r="G2257">
        <f>IFERROR(
IF(ISNUMBER(FIND("T2",B2257)),220,
IF(ISNUMBER(FIND("T4",B2257)),440,
IF(ISNUMBER(FIND("T5",B2257)),575,
IF(ISNUMBER(FIND("T6",B2257)),690,"")))),
"")</f>
        <v>440</v>
      </c>
    </row>
    <row r="2258" spans="1:7" x14ac:dyDescent="0.25">
      <c r="A2258">
        <v>13505115</v>
      </c>
      <c r="B2258" t="str">
        <f>VLOOKUP(A2258,Planilha2!B:C,2,0)</f>
        <v>INVERSOR BRCFW110013T4OSVZ</v>
      </c>
      <c r="C2258" t="s">
        <v>3169</v>
      </c>
      <c r="D2258" t="str">
        <f>VLOOKUP(A2258,Planilha2!B:H,7,0)</f>
        <v>LINHA P5</v>
      </c>
      <c r="E2258" s="5">
        <v>5650</v>
      </c>
      <c r="F2258">
        <f>IFERROR(
IF(ISNUMBER(FIND("CFW110",B2258)),
VALUE(MID(B2258,FIND("CFW110",B2258)+6,FIND("T",B2258,FIND("CFW110",B2258))-(FIND("CFW110",B2258)+6))),
IF(ISNUMBER(FIND("D",B2258)),
VALUE(SUBSTITUTE(MID(B2258,FIND("D",B2258)+1,FIND("T",B2258,FIND("D",B2258))-(FIND("D",B2258)+1)),"P",",")),
IF(ISNUMBER(FIND("CFW5",B2258)),
VALUE(MID(B2258,
IF(ISNUMBER(FIND("F",B2258)),FIND("F",B2258)+1,FIND("G",B2258)+1),
FIND("T",B2258)-(IF(ISNUMBER(FIND("F",B2258)),FIND("F",B2258)+1,FIND("G",B2258)+1))
)),
VALUE(MID(B2258,FIND("E0",B2258)+2,FIND("T",B2258,FIND("E0",B2258))-(FIND("E0",B2258)+2)))
))),"")</f>
        <v>13</v>
      </c>
      <c r="G2258">
        <f>IFERROR(
IF(ISNUMBER(FIND("T2",B2258)),220,
IF(ISNUMBER(FIND("T4",B2258)),440,
IF(ISNUMBER(FIND("T5",B2258)),575,
IF(ISNUMBER(FIND("T6",B2258)),690,"")))),
"")</f>
        <v>440</v>
      </c>
    </row>
    <row r="2259" spans="1:7" x14ac:dyDescent="0.25">
      <c r="A2259">
        <v>13417290</v>
      </c>
      <c r="B2259" t="str">
        <f>VLOOKUP(A2259,Planilha2!B:C,2,0)</f>
        <v>INVERSOR EUCFW110017T4OFAYHXZ</v>
      </c>
      <c r="C2259" t="s">
        <v>3169</v>
      </c>
      <c r="D2259" t="str">
        <f>VLOOKUP(A2259,Planilha2!B:H,7,0)</f>
        <v>LINHA P7</v>
      </c>
      <c r="E2259" s="5">
        <v>9366</v>
      </c>
      <c r="F2259">
        <f>IFERROR(
IF(ISNUMBER(FIND("CFW110",B2259)),
VALUE(MID(B2259,FIND("CFW110",B2259)+6,FIND("T",B2259,FIND("CFW110",B2259))-(FIND("CFW110",B2259)+6))),
IF(ISNUMBER(FIND("D",B2259)),
VALUE(SUBSTITUTE(MID(B2259,FIND("D",B2259)+1,FIND("T",B2259,FIND("D",B2259))-(FIND("D",B2259)+1)),"P",",")),
IF(ISNUMBER(FIND("CFW5",B2259)),
VALUE(MID(B2259,
IF(ISNUMBER(FIND("F",B2259)),FIND("F",B2259)+1,FIND("G",B2259)+1),
FIND("T",B2259)-(IF(ISNUMBER(FIND("F",B2259)),FIND("F",B2259)+1,FIND("G",B2259)+1))
)),
VALUE(MID(B2259,FIND("E0",B2259)+2,FIND("T",B2259,FIND("E0",B2259))-(FIND("E0",B2259)+2)))
))),"")</f>
        <v>17</v>
      </c>
      <c r="G2259">
        <f>IFERROR(
IF(ISNUMBER(FIND("T2",B2259)),220,
IF(ISNUMBER(FIND("T4",B2259)),440,
IF(ISNUMBER(FIND("T5",B2259)),575,
IF(ISNUMBER(FIND("T6",B2259)),690,"")))),
"")</f>
        <v>440</v>
      </c>
    </row>
    <row r="2260" spans="1:7" x14ac:dyDescent="0.25">
      <c r="A2260">
        <v>13417289</v>
      </c>
      <c r="B2260" t="str">
        <f>VLOOKUP(A2260,Planilha2!B:C,2,0)</f>
        <v>INVERSOR EUCFW110013T4OFAYHXZ</v>
      </c>
      <c r="C2260" t="s">
        <v>3169</v>
      </c>
      <c r="D2260" t="str">
        <f>VLOOKUP(A2260,Planilha2!B:H,7,0)</f>
        <v>LINHA P5</v>
      </c>
      <c r="E2260" s="5">
        <v>6566</v>
      </c>
      <c r="F2260">
        <f>IFERROR(
IF(ISNUMBER(FIND("CFW110",B2260)),
VALUE(MID(B2260,FIND("CFW110",B2260)+6,FIND("T",B2260,FIND("CFW110",B2260))-(FIND("CFW110",B2260)+6))),
IF(ISNUMBER(FIND("D",B2260)),
VALUE(SUBSTITUTE(MID(B2260,FIND("D",B2260)+1,FIND("T",B2260,FIND("D",B2260))-(FIND("D",B2260)+1)),"P",",")),
IF(ISNUMBER(FIND("CFW5",B2260)),
VALUE(MID(B2260,
IF(ISNUMBER(FIND("F",B2260)),FIND("F",B2260)+1,FIND("G",B2260)+1),
FIND("T",B2260)-(IF(ISNUMBER(FIND("F",B2260)),FIND("F",B2260)+1,FIND("G",B2260)+1))
)),
VALUE(MID(B2260,FIND("E0",B2260)+2,FIND("T",B2260,FIND("E0",B2260))-(FIND("E0",B2260)+2)))
))),"")</f>
        <v>13</v>
      </c>
      <c r="G2260">
        <f>IFERROR(
IF(ISNUMBER(FIND("T2",B2260)),220,
IF(ISNUMBER(FIND("T4",B2260)),440,
IF(ISNUMBER(FIND("T5",B2260)),575,
IF(ISNUMBER(FIND("T6",B2260)),690,"")))),
"")</f>
        <v>440</v>
      </c>
    </row>
    <row r="2261" spans="1:7" x14ac:dyDescent="0.25">
      <c r="A2261">
        <v>13478920</v>
      </c>
      <c r="B2261" t="str">
        <f>VLOOKUP(A2261,Planilha2!B:C,2,0)</f>
        <v>INVERSOR CFW701B13P5T4DB55C3DS</v>
      </c>
      <c r="C2261" t="s">
        <v>3169</v>
      </c>
      <c r="D2261" t="str">
        <f>VLOOKUP(A2261,Planilha2!B:H,7,0)</f>
        <v>OBSOLETOS DRIVES</v>
      </c>
      <c r="E2261" s="5">
        <v>8700</v>
      </c>
      <c r="F2261" t="str">
        <f>IFERROR(
IF(ISNUMBER(FIND("CFW110",B2261)),
VALUE(MID(B2261,FIND("CFW110",B2261)+6,FIND("T",B2261,FIND("CFW110",B2261))-(FIND("CFW110",B2261)+6))),
IF(ISNUMBER(FIND("D",B2261)),
VALUE(SUBSTITUTE(MID(B2261,FIND("D",B2261)+1,FIND("T",B2261,FIND("D",B2261))-(FIND("D",B2261)+1)),"P",",")),
IF(ISNUMBER(FIND("CFW5",B2261)),
VALUE(MID(B2261,
IF(ISNUMBER(FIND("F",B2261)),FIND("F",B2261)+1,FIND("G",B2261)+1),
FIND("T",B2261)-(IF(ISNUMBER(FIND("F",B2261)),FIND("F",B2261)+1,FIND("G",B2261)+1))
)),
VALUE(MID(B2261,FIND("E0",B2261)+2,FIND("T",B2261,FIND("E0",B2261))-(FIND("E0",B2261)+2)))
))),"")</f>
        <v/>
      </c>
      <c r="G2261">
        <f>IFERROR(
IF(ISNUMBER(FIND("T2",B2261)),220,
IF(ISNUMBER(FIND("T4",B2261)),440,
IF(ISNUMBER(FIND("T5",B2261)),575,
IF(ISNUMBER(FIND("T6",B2261)),690,"")))),
"")</f>
        <v>440</v>
      </c>
    </row>
    <row r="2262" spans="1:7" x14ac:dyDescent="0.25">
      <c r="A2262">
        <v>13478900</v>
      </c>
      <c r="B2262" t="str">
        <f>VLOOKUP(A2262,Planilha2!B:C,2,0)</f>
        <v>INVERSOR CFW701B10P0T4DB55C3DS</v>
      </c>
      <c r="C2262" t="s">
        <v>3169</v>
      </c>
      <c r="D2262" t="str">
        <f>VLOOKUP(A2262,Planilha2!B:H,7,0)</f>
        <v>OBSOLETOS DRIVES</v>
      </c>
      <c r="E2262" s="5">
        <v>8700</v>
      </c>
      <c r="F2262" t="str">
        <f>IFERROR(
IF(ISNUMBER(FIND("CFW110",B2262)),
VALUE(MID(B2262,FIND("CFW110",B2262)+6,FIND("T",B2262,FIND("CFW110",B2262))-(FIND("CFW110",B2262)+6))),
IF(ISNUMBER(FIND("D",B2262)),
VALUE(SUBSTITUTE(MID(B2262,FIND("D",B2262)+1,FIND("T",B2262,FIND("D",B2262))-(FIND("D",B2262)+1)),"P",",")),
IF(ISNUMBER(FIND("CFW5",B2262)),
VALUE(MID(B2262,
IF(ISNUMBER(FIND("F",B2262)),FIND("F",B2262)+1,FIND("G",B2262)+1),
FIND("T",B2262)-(IF(ISNUMBER(FIND("F",B2262)),FIND("F",B2262)+1,FIND("G",B2262)+1))
)),
VALUE(MID(B2262,FIND("E0",B2262)+2,FIND("T",B2262,FIND("E0",B2262))-(FIND("E0",B2262)+2)))
))),"")</f>
        <v/>
      </c>
      <c r="G2262">
        <f>IFERROR(
IF(ISNUMBER(FIND("T2",B2262)),220,
IF(ISNUMBER(FIND("T4",B2262)),440,
IF(ISNUMBER(FIND("T5",B2262)),575,
IF(ISNUMBER(FIND("T6",B2262)),690,"")))),
"")</f>
        <v>440</v>
      </c>
    </row>
    <row r="2263" spans="1:7" x14ac:dyDescent="0.25">
      <c r="A2263">
        <v>13478899</v>
      </c>
      <c r="B2263" t="str">
        <f>VLOOKUP(A2263,Planilha2!B:C,2,0)</f>
        <v>INVERSOR CFW701B07P0T4DB55C3DS</v>
      </c>
      <c r="C2263" t="s">
        <v>3169</v>
      </c>
      <c r="D2263" t="str">
        <f>VLOOKUP(A2263,Planilha2!B:H,7,0)</f>
        <v>OBSOLETOS DRIVES</v>
      </c>
      <c r="E2263" s="5">
        <v>8700</v>
      </c>
      <c r="F2263" t="str">
        <f>IFERROR(
IF(ISNUMBER(FIND("CFW110",B2263)),
VALUE(MID(B2263,FIND("CFW110",B2263)+6,FIND("T",B2263,FIND("CFW110",B2263))-(FIND("CFW110",B2263)+6))),
IF(ISNUMBER(FIND("D",B2263)),
VALUE(SUBSTITUTE(MID(B2263,FIND("D",B2263)+1,FIND("T",B2263,FIND("D",B2263))-(FIND("D",B2263)+1)),"P",",")),
IF(ISNUMBER(FIND("CFW5",B2263)),
VALUE(MID(B2263,
IF(ISNUMBER(FIND("F",B2263)),FIND("F",B2263)+1,FIND("G",B2263)+1),
FIND("T",B2263)-(IF(ISNUMBER(FIND("F",B2263)),FIND("F",B2263)+1,FIND("G",B2263)+1))
)),
VALUE(MID(B2263,FIND("E0",B2263)+2,FIND("T",B2263,FIND("E0",B2263))-(FIND("E0",B2263)+2)))
))),"")</f>
        <v/>
      </c>
      <c r="G2263">
        <f>IFERROR(
IF(ISNUMBER(FIND("T2",B2263)),220,
IF(ISNUMBER(FIND("T4",B2263)),440,
IF(ISNUMBER(FIND("T5",B2263)),575,
IF(ISNUMBER(FIND("T6",B2263)),690,"")))),
"")</f>
        <v>440</v>
      </c>
    </row>
    <row r="2264" spans="1:7" x14ac:dyDescent="0.25">
      <c r="A2264">
        <v>13478898</v>
      </c>
      <c r="B2264" t="str">
        <f>VLOOKUP(A2264,Planilha2!B:C,2,0)</f>
        <v>INVERSOR CFW701B05P0T4DB55C3DS</v>
      </c>
      <c r="C2264" t="s">
        <v>3169</v>
      </c>
      <c r="D2264" t="str">
        <f>VLOOKUP(A2264,Planilha2!B:H,7,0)</f>
        <v>OBSOLETOS DRIVES</v>
      </c>
      <c r="E2264" s="5">
        <v>12500</v>
      </c>
      <c r="F2264" t="str">
        <f>IFERROR(
IF(ISNUMBER(FIND("CFW110",B2264)),
VALUE(MID(B2264,FIND("CFW110",B2264)+6,FIND("T",B2264,FIND("CFW110",B2264))-(FIND("CFW110",B2264)+6))),
IF(ISNUMBER(FIND("D",B2264)),
VALUE(SUBSTITUTE(MID(B2264,FIND("D",B2264)+1,FIND("T",B2264,FIND("D",B2264))-(FIND("D",B2264)+1)),"P",",")),
IF(ISNUMBER(FIND("CFW5",B2264)),
VALUE(MID(B2264,
IF(ISNUMBER(FIND("F",B2264)),FIND("F",B2264)+1,FIND("G",B2264)+1),
FIND("T",B2264)-(IF(ISNUMBER(FIND("F",B2264)),FIND("F",B2264)+1,FIND("G",B2264)+1))
)),
VALUE(MID(B2264,FIND("E0",B2264)+2,FIND("T",B2264,FIND("E0",B2264))-(FIND("E0",B2264)+2)))
))),"")</f>
        <v/>
      </c>
      <c r="G2264">
        <f>IFERROR(
IF(ISNUMBER(FIND("T2",B2264)),220,
IF(ISNUMBER(FIND("T4",B2264)),440,
IF(ISNUMBER(FIND("T5",B2264)),575,
IF(ISNUMBER(FIND("T6",B2264)),690,"")))),
"")</f>
        <v>440</v>
      </c>
    </row>
    <row r="2265" spans="1:7" x14ac:dyDescent="0.25">
      <c r="A2265">
        <v>13478835</v>
      </c>
      <c r="B2265" t="str">
        <f>VLOOKUP(A2265,Planilha2!B:C,2,0)</f>
        <v>INVERSOR CFW701B13P0T2DB55C3DS</v>
      </c>
      <c r="C2265" t="s">
        <v>3169</v>
      </c>
      <c r="D2265" t="str">
        <f>VLOOKUP(A2265,Planilha2!B:H,7,0)</f>
        <v>OBSOLETOS DRIVES</v>
      </c>
      <c r="E2265" s="5">
        <v>11000</v>
      </c>
      <c r="F2265" t="str">
        <f>IFERROR(
IF(ISNUMBER(FIND("CFW110",B2265)),
VALUE(MID(B2265,FIND("CFW110",B2265)+6,FIND("T",B2265,FIND("CFW110",B2265))-(FIND("CFW110",B2265)+6))),
IF(ISNUMBER(FIND("D",B2265)),
VALUE(SUBSTITUTE(MID(B2265,FIND("D",B2265)+1,FIND("T",B2265,FIND("D",B2265))-(FIND("D",B2265)+1)),"P",",")),
IF(ISNUMBER(FIND("CFW5",B2265)),
VALUE(MID(B2265,
IF(ISNUMBER(FIND("F",B2265)),FIND("F",B2265)+1,FIND("G",B2265)+1),
FIND("T",B2265)-(IF(ISNUMBER(FIND("F",B2265)),FIND("F",B2265)+1,FIND("G",B2265)+1))
)),
VALUE(MID(B2265,FIND("E0",B2265)+2,FIND("T",B2265,FIND("E0",B2265))-(FIND("E0",B2265)+2)))
))),"")</f>
        <v/>
      </c>
      <c r="G2265">
        <f>IFERROR(
IF(ISNUMBER(FIND("T2",B2265)),220,
IF(ISNUMBER(FIND("T4",B2265)),440,
IF(ISNUMBER(FIND("T5",B2265)),575,
IF(ISNUMBER(FIND("T6",B2265)),690,"")))),
"")</f>
        <v>220</v>
      </c>
    </row>
    <row r="2266" spans="1:7" x14ac:dyDescent="0.25">
      <c r="A2266">
        <v>13478836</v>
      </c>
      <c r="B2266" t="str">
        <f>VLOOKUP(A2266,Planilha2!B:C,2,0)</f>
        <v>INVERSOR CFW701B16P0T2DB55C3DS</v>
      </c>
      <c r="C2266" t="s">
        <v>3169</v>
      </c>
      <c r="D2266" t="str">
        <f>VLOOKUP(A2266,Planilha2!B:H,7,0)</f>
        <v>OBSOLETOS DRIVES</v>
      </c>
      <c r="E2266" s="5">
        <v>11000</v>
      </c>
      <c r="F2266" t="str">
        <f>IFERROR(
IF(ISNUMBER(FIND("CFW110",B2266)),
VALUE(MID(B2266,FIND("CFW110",B2266)+6,FIND("T",B2266,FIND("CFW110",B2266))-(FIND("CFW110",B2266)+6))),
IF(ISNUMBER(FIND("D",B2266)),
VALUE(SUBSTITUTE(MID(B2266,FIND("D",B2266)+1,FIND("T",B2266,FIND("D",B2266))-(FIND("D",B2266)+1)),"P",",")),
IF(ISNUMBER(FIND("CFW5",B2266)),
VALUE(MID(B2266,
IF(ISNUMBER(FIND("F",B2266)),FIND("F",B2266)+1,FIND("G",B2266)+1),
FIND("T",B2266)-(IF(ISNUMBER(FIND("F",B2266)),FIND("F",B2266)+1,FIND("G",B2266)+1))
)),
VALUE(MID(B2266,FIND("E0",B2266)+2,FIND("T",B2266,FIND("E0",B2266))-(FIND("E0",B2266)+2)))
))),"")</f>
        <v/>
      </c>
      <c r="G2266">
        <f>IFERROR(
IF(ISNUMBER(FIND("T2",B2266)),220,
IF(ISNUMBER(FIND("T4",B2266)),440,
IF(ISNUMBER(FIND("T5",B2266)),575,
IF(ISNUMBER(FIND("T6",B2266)),690,"")))),
"")</f>
        <v>220</v>
      </c>
    </row>
    <row r="2267" spans="1:7" x14ac:dyDescent="0.25">
      <c r="A2267">
        <v>13478832</v>
      </c>
      <c r="B2267" t="str">
        <f>VLOOKUP(A2267,Planilha2!B:C,2,0)</f>
        <v>INVERSOR CFW701B10P0T2DB55C3DS</v>
      </c>
      <c r="C2267" t="s">
        <v>3169</v>
      </c>
      <c r="D2267" t="str">
        <f>VLOOKUP(A2267,Planilha2!B:H,7,0)</f>
        <v>OBSOLETOS DRIVES</v>
      </c>
      <c r="E2267" s="5">
        <v>11000</v>
      </c>
      <c r="F2267" t="str">
        <f>IFERROR(
IF(ISNUMBER(FIND("CFW110",B2267)),
VALUE(MID(B2267,FIND("CFW110",B2267)+6,FIND("T",B2267,FIND("CFW110",B2267))-(FIND("CFW110",B2267)+6))),
IF(ISNUMBER(FIND("D",B2267)),
VALUE(SUBSTITUTE(MID(B2267,FIND("D",B2267)+1,FIND("T",B2267,FIND("D",B2267))-(FIND("D",B2267)+1)),"P",",")),
IF(ISNUMBER(FIND("CFW5",B2267)),
VALUE(MID(B2267,
IF(ISNUMBER(FIND("F",B2267)),FIND("F",B2267)+1,FIND("G",B2267)+1),
FIND("T",B2267)-(IF(ISNUMBER(FIND("F",B2267)),FIND("F",B2267)+1,FIND("G",B2267)+1))
)),
VALUE(MID(B2267,FIND("E0",B2267)+2,FIND("T",B2267,FIND("E0",B2267))-(FIND("E0",B2267)+2)))
))),"")</f>
        <v/>
      </c>
      <c r="G2267">
        <f>IFERROR(
IF(ISNUMBER(FIND("T2",B2267)),220,
IF(ISNUMBER(FIND("T4",B2267)),440,
IF(ISNUMBER(FIND("T5",B2267)),575,
IF(ISNUMBER(FIND("T6",B2267)),690,"")))),
"")</f>
        <v>220</v>
      </c>
    </row>
    <row r="2268" spans="1:7" x14ac:dyDescent="0.25">
      <c r="A2268">
        <v>13478830</v>
      </c>
      <c r="B2268" t="str">
        <f>VLOOKUP(A2268,Planilha2!B:C,2,0)</f>
        <v>INVERSOR CFW701B07P0T2DB55C3DS</v>
      </c>
      <c r="C2268" t="s">
        <v>3169</v>
      </c>
      <c r="D2268" t="str">
        <f>VLOOKUP(A2268,Planilha2!B:H,7,0)</f>
        <v>OBSOLETOS DRIVES</v>
      </c>
      <c r="E2268" s="5">
        <v>11000</v>
      </c>
      <c r="F2268" t="str">
        <f>IFERROR(
IF(ISNUMBER(FIND("CFW110",B2268)),
VALUE(MID(B2268,FIND("CFW110",B2268)+6,FIND("T",B2268,FIND("CFW110",B2268))-(FIND("CFW110",B2268)+6))),
IF(ISNUMBER(FIND("D",B2268)),
VALUE(SUBSTITUTE(MID(B2268,FIND("D",B2268)+1,FIND("T",B2268,FIND("D",B2268))-(FIND("D",B2268)+1)),"P",",")),
IF(ISNUMBER(FIND("CFW5",B2268)),
VALUE(MID(B2268,
IF(ISNUMBER(FIND("F",B2268)),FIND("F",B2268)+1,FIND("G",B2268)+1),
FIND("T",B2268)-(IF(ISNUMBER(FIND("F",B2268)),FIND("F",B2268)+1,FIND("G",B2268)+1))
)),
VALUE(MID(B2268,FIND("E0",B2268)+2,FIND("T",B2268,FIND("E0",B2268))-(FIND("E0",B2268)+2)))
))),"")</f>
        <v/>
      </c>
      <c r="G2268">
        <f>IFERROR(
IF(ISNUMBER(FIND("T2",B2268)),220,
IF(ISNUMBER(FIND("T4",B2268)),440,
IF(ISNUMBER(FIND("T5",B2268)),575,
IF(ISNUMBER(FIND("T6",B2268)),690,"")))),
"")</f>
        <v>220</v>
      </c>
    </row>
    <row r="2269" spans="1:7" x14ac:dyDescent="0.25">
      <c r="A2269">
        <v>13478829</v>
      </c>
      <c r="B2269" t="str">
        <f>VLOOKUP(A2269,Planilha2!B:C,2,0)</f>
        <v>INVERSOR CFW701B03P6T4DB55C3DS</v>
      </c>
      <c r="C2269" t="s">
        <v>3169</v>
      </c>
      <c r="D2269" t="str">
        <f>VLOOKUP(A2269,Planilha2!B:H,7,0)</f>
        <v>OBSOLETOS DRIVES</v>
      </c>
      <c r="E2269" s="5">
        <v>11000</v>
      </c>
      <c r="F2269" t="str">
        <f>IFERROR(
IF(ISNUMBER(FIND("CFW110",B2269)),
VALUE(MID(B2269,FIND("CFW110",B2269)+6,FIND("T",B2269,FIND("CFW110",B2269))-(FIND("CFW110",B2269)+6))),
IF(ISNUMBER(FIND("D",B2269)),
VALUE(SUBSTITUTE(MID(B2269,FIND("D",B2269)+1,FIND("T",B2269,FIND("D",B2269))-(FIND("D",B2269)+1)),"P",",")),
IF(ISNUMBER(FIND("CFW5",B2269)),
VALUE(MID(B2269,
IF(ISNUMBER(FIND("F",B2269)),FIND("F",B2269)+1,FIND("G",B2269)+1),
FIND("T",B2269)-(IF(ISNUMBER(FIND("F",B2269)),FIND("F",B2269)+1,FIND("G",B2269)+1))
)),
VALUE(MID(B2269,FIND("E0",B2269)+2,FIND("T",B2269,FIND("E0",B2269))-(FIND("E0",B2269)+2)))
))),"")</f>
        <v/>
      </c>
      <c r="G2269">
        <f>IFERROR(
IF(ISNUMBER(FIND("T2",B2269)),220,
IF(ISNUMBER(FIND("T4",B2269)),440,
IF(ISNUMBER(FIND("T5",B2269)),575,
IF(ISNUMBER(FIND("T6",B2269)),690,"")))),
"")</f>
        <v>440</v>
      </c>
    </row>
    <row r="2270" spans="1:7" x14ac:dyDescent="0.25">
      <c r="A2270">
        <v>13478816</v>
      </c>
      <c r="B2270" t="str">
        <f>VLOOKUP(A2270,Planilha2!B:C,2,0)</f>
        <v>INVERSOR CFW701B10P0S2DB55C3DS</v>
      </c>
      <c r="C2270" t="s">
        <v>3169</v>
      </c>
      <c r="D2270" t="str">
        <f>VLOOKUP(A2270,Planilha2!B:H,7,0)</f>
        <v>OBSOLETOS DRIVES</v>
      </c>
      <c r="E2270" s="5">
        <v>8700</v>
      </c>
      <c r="F2270" t="str">
        <f>IFERROR(
IF(ISNUMBER(FIND("CFW110",B2270)),
VALUE(MID(B2270,FIND("CFW110",B2270)+6,FIND("T",B2270,FIND("CFW110",B2270))-(FIND("CFW110",B2270)+6))),
IF(ISNUMBER(FIND("D",B2270)),
VALUE(SUBSTITUTE(MID(B2270,FIND("D",B2270)+1,FIND("T",B2270,FIND("D",B2270))-(FIND("D",B2270)+1)),"P",",")),
IF(ISNUMBER(FIND("CFW5",B2270)),
VALUE(MID(B2270,
IF(ISNUMBER(FIND("F",B2270)),FIND("F",B2270)+1,FIND("G",B2270)+1),
FIND("T",B2270)-(IF(ISNUMBER(FIND("F",B2270)),FIND("F",B2270)+1,FIND("G",B2270)+1))
)),
VALUE(MID(B2270,FIND("E0",B2270)+2,FIND("T",B2270,FIND("E0",B2270))-(FIND("E0",B2270)+2)))
))),"")</f>
        <v/>
      </c>
      <c r="G2270" t="str">
        <f>IFERROR(
IF(ISNUMBER(FIND("T2",B2270)),220,
IF(ISNUMBER(FIND("T4",B2270)),440,
IF(ISNUMBER(FIND("T5",B2270)),575,
IF(ISNUMBER(FIND("T6",B2270)),690,"")))),
"")</f>
        <v/>
      </c>
    </row>
    <row r="2271" spans="1:7" x14ac:dyDescent="0.25">
      <c r="A2271">
        <v>13478814</v>
      </c>
      <c r="B2271" t="str">
        <f>VLOOKUP(A2271,Planilha2!B:C,2,0)</f>
        <v>INVERSOR CFW701B07P0S2DB55C3DS</v>
      </c>
      <c r="C2271" t="s">
        <v>3169</v>
      </c>
      <c r="D2271" t="str">
        <f>VLOOKUP(A2271,Planilha2!B:H,7,0)</f>
        <v>OBSOLETOS DRIVES</v>
      </c>
      <c r="E2271" s="5">
        <v>5700</v>
      </c>
      <c r="F2271" t="str">
        <f>IFERROR(
IF(ISNUMBER(FIND("CFW110",B2271)),
VALUE(MID(B2271,FIND("CFW110",B2271)+6,FIND("T",B2271,FIND("CFW110",B2271))-(FIND("CFW110",B2271)+6))),
IF(ISNUMBER(FIND("D",B2271)),
VALUE(SUBSTITUTE(MID(B2271,FIND("D",B2271)+1,FIND("T",B2271,FIND("D",B2271))-(FIND("D",B2271)+1)),"P",",")),
IF(ISNUMBER(FIND("CFW5",B2271)),
VALUE(MID(B2271,
IF(ISNUMBER(FIND("F",B2271)),FIND("F",B2271)+1,FIND("G",B2271)+1),
FIND("T",B2271)-(IF(ISNUMBER(FIND("F",B2271)),FIND("F",B2271)+1,FIND("G",B2271)+1))
)),
VALUE(MID(B2271,FIND("E0",B2271)+2,FIND("T",B2271,FIND("E0",B2271))-(FIND("E0",B2271)+2)))
))),"")</f>
        <v/>
      </c>
      <c r="G2271" t="str">
        <f>IFERROR(
IF(ISNUMBER(FIND("T2",B2271)),220,
IF(ISNUMBER(FIND("T4",B2271)),440,
IF(ISNUMBER(FIND("T5",B2271)),575,
IF(ISNUMBER(FIND("T6",B2271)),690,"")))),
"")</f>
        <v/>
      </c>
    </row>
    <row r="2272" spans="1:7" x14ac:dyDescent="0.25">
      <c r="A2272">
        <v>13478522</v>
      </c>
      <c r="B2272" t="str">
        <f>VLOOKUP(A2272,Planilha2!B:C,2,0)</f>
        <v>INVERSOR CFW701B06P0S2DB55C3DS</v>
      </c>
      <c r="C2272" t="s">
        <v>3169</v>
      </c>
      <c r="D2272" t="str">
        <f>VLOOKUP(A2272,Planilha2!B:H,7,0)</f>
        <v>OBSOLETOS DRIVES</v>
      </c>
      <c r="E2272" s="5">
        <v>11000</v>
      </c>
      <c r="F2272" t="str">
        <f>IFERROR(
IF(ISNUMBER(FIND("CFW110",B2272)),
VALUE(MID(B2272,FIND("CFW110",B2272)+6,FIND("T",B2272,FIND("CFW110",B2272))-(FIND("CFW110",B2272)+6))),
IF(ISNUMBER(FIND("D",B2272)),
VALUE(SUBSTITUTE(MID(B2272,FIND("D",B2272)+1,FIND("T",B2272,FIND("D",B2272))-(FIND("D",B2272)+1)),"P",",")),
IF(ISNUMBER(FIND("CFW5",B2272)),
VALUE(MID(B2272,
IF(ISNUMBER(FIND("F",B2272)),FIND("F",B2272)+1,FIND("G",B2272)+1),
FIND("T",B2272)-(IF(ISNUMBER(FIND("F",B2272)),FIND("F",B2272)+1,FIND("G",B2272)+1))
)),
VALUE(MID(B2272,FIND("E0",B2272)+2,FIND("T",B2272,FIND("E0",B2272))-(FIND("E0",B2272)+2)))
))),"")</f>
        <v/>
      </c>
      <c r="G2272" t="str">
        <f>IFERROR(
IF(ISNUMBER(FIND("T2",B2272)),220,
IF(ISNUMBER(FIND("T4",B2272)),440,
IF(ISNUMBER(FIND("T5",B2272)),575,
IF(ISNUMBER(FIND("T6",B2272)),690,"")))),
"")</f>
        <v/>
      </c>
    </row>
    <row r="2273" spans="1:7" x14ac:dyDescent="0.25">
      <c r="A2273">
        <v>13478519</v>
      </c>
      <c r="B2273" t="str">
        <f>VLOOKUP(A2273,Planilha2!B:C,2,0)</f>
        <v>INVERSOR CFW701B10P0T4DB55C3</v>
      </c>
      <c r="C2273" t="s">
        <v>3169</v>
      </c>
      <c r="D2273" t="str">
        <f>VLOOKUP(A2273,Planilha2!B:H,7,0)</f>
        <v>OBSOLETOS DRIVES</v>
      </c>
      <c r="E2273" s="5">
        <v>10800</v>
      </c>
      <c r="F2273" t="str">
        <f>IFERROR(
IF(ISNUMBER(FIND("CFW110",B2273)),
VALUE(MID(B2273,FIND("CFW110",B2273)+6,FIND("T",B2273,FIND("CFW110",B2273))-(FIND("CFW110",B2273)+6))),
IF(ISNUMBER(FIND("D",B2273)),
VALUE(SUBSTITUTE(MID(B2273,FIND("D",B2273)+1,FIND("T",B2273,FIND("D",B2273))-(FIND("D",B2273)+1)),"P",",")),
IF(ISNUMBER(FIND("CFW5",B2273)),
VALUE(MID(B2273,
IF(ISNUMBER(FIND("F",B2273)),FIND("F",B2273)+1,FIND("G",B2273)+1),
FIND("T",B2273)-(IF(ISNUMBER(FIND("F",B2273)),FIND("F",B2273)+1,FIND("G",B2273)+1))
)),
VALUE(MID(B2273,FIND("E0",B2273)+2,FIND("T",B2273,FIND("E0",B2273))-(FIND("E0",B2273)+2)))
))),"")</f>
        <v/>
      </c>
      <c r="G2273">
        <f>IFERROR(
IF(ISNUMBER(FIND("T2",B2273)),220,
IF(ISNUMBER(FIND("T4",B2273)),440,
IF(ISNUMBER(FIND("T5",B2273)),575,
IF(ISNUMBER(FIND("T6",B2273)),690,"")))),
"")</f>
        <v>440</v>
      </c>
    </row>
    <row r="2274" spans="1:7" x14ac:dyDescent="0.25">
      <c r="A2274">
        <v>13478520</v>
      </c>
      <c r="B2274" t="str">
        <f>VLOOKUP(A2274,Planilha2!B:C,2,0)</f>
        <v>INVERSOR CFW701B13P5T4DB55C3</v>
      </c>
      <c r="C2274" t="s">
        <v>3169</v>
      </c>
      <c r="D2274" t="str">
        <f>VLOOKUP(A2274,Planilha2!B:H,7,0)</f>
        <v>OBSOLETOS DRIVES</v>
      </c>
      <c r="E2274" s="5">
        <v>10800</v>
      </c>
      <c r="F2274" t="str">
        <f>IFERROR(
IF(ISNUMBER(FIND("CFW110",B2274)),
VALUE(MID(B2274,FIND("CFW110",B2274)+6,FIND("T",B2274,FIND("CFW110",B2274))-(FIND("CFW110",B2274)+6))),
IF(ISNUMBER(FIND("D",B2274)),
VALUE(SUBSTITUTE(MID(B2274,FIND("D",B2274)+1,FIND("T",B2274,FIND("D",B2274))-(FIND("D",B2274)+1)),"P",",")),
IF(ISNUMBER(FIND("CFW5",B2274)),
VALUE(MID(B2274,
IF(ISNUMBER(FIND("F",B2274)),FIND("F",B2274)+1,FIND("G",B2274)+1),
FIND("T",B2274)-(IF(ISNUMBER(FIND("F",B2274)),FIND("F",B2274)+1,FIND("G",B2274)+1))
)),
VALUE(MID(B2274,FIND("E0",B2274)+2,FIND("T",B2274,FIND("E0",B2274))-(FIND("E0",B2274)+2)))
))),"")</f>
        <v/>
      </c>
      <c r="G2274">
        <f>IFERROR(
IF(ISNUMBER(FIND("T2",B2274)),220,
IF(ISNUMBER(FIND("T4",B2274)),440,
IF(ISNUMBER(FIND("T5",B2274)),575,
IF(ISNUMBER(FIND("T6",B2274)),690,"")))),
"")</f>
        <v>440</v>
      </c>
    </row>
    <row r="2275" spans="1:7" x14ac:dyDescent="0.25">
      <c r="A2275">
        <v>13478518</v>
      </c>
      <c r="B2275" t="str">
        <f>VLOOKUP(A2275,Planilha2!B:C,2,0)</f>
        <v>INVERSOR CFW701B07P0T4DB55C3</v>
      </c>
      <c r="C2275" t="s">
        <v>3169</v>
      </c>
      <c r="D2275" t="str">
        <f>VLOOKUP(A2275,Planilha2!B:H,7,0)</f>
        <v>OBSOLETOS DRIVES</v>
      </c>
      <c r="E2275" s="5">
        <v>10800</v>
      </c>
      <c r="F2275" t="str">
        <f>IFERROR(
IF(ISNUMBER(FIND("CFW110",B2275)),
VALUE(MID(B2275,FIND("CFW110",B2275)+6,FIND("T",B2275,FIND("CFW110",B2275))-(FIND("CFW110",B2275)+6))),
IF(ISNUMBER(FIND("D",B2275)),
VALUE(SUBSTITUTE(MID(B2275,FIND("D",B2275)+1,FIND("T",B2275,FIND("D",B2275))-(FIND("D",B2275)+1)),"P",",")),
IF(ISNUMBER(FIND("CFW5",B2275)),
VALUE(MID(B2275,
IF(ISNUMBER(FIND("F",B2275)),FIND("F",B2275)+1,FIND("G",B2275)+1),
FIND("T",B2275)-(IF(ISNUMBER(FIND("F",B2275)),FIND("F",B2275)+1,FIND("G",B2275)+1))
)),
VALUE(MID(B2275,FIND("E0",B2275)+2,FIND("T",B2275,FIND("E0",B2275))-(FIND("E0",B2275)+2)))
))),"")</f>
        <v/>
      </c>
      <c r="G2275">
        <f>IFERROR(
IF(ISNUMBER(FIND("T2",B2275)),220,
IF(ISNUMBER(FIND("T4",B2275)),440,
IF(ISNUMBER(FIND("T5",B2275)),575,
IF(ISNUMBER(FIND("T6",B2275)),690,"")))),
"")</f>
        <v>440</v>
      </c>
    </row>
    <row r="2276" spans="1:7" x14ac:dyDescent="0.25">
      <c r="A2276">
        <v>13478506</v>
      </c>
      <c r="B2276" t="str">
        <f>VLOOKUP(A2276,Planilha2!B:C,2,0)</f>
        <v>INVERSOR CFW701B05P0T4DB55C3</v>
      </c>
      <c r="C2276" t="s">
        <v>3169</v>
      </c>
      <c r="D2276" t="str">
        <f>VLOOKUP(A2276,Planilha2!B:H,7,0)</f>
        <v>OBSOLETOS DRIVES</v>
      </c>
      <c r="E2276" s="5">
        <v>10800</v>
      </c>
      <c r="F2276" t="str">
        <f>IFERROR(
IF(ISNUMBER(FIND("CFW110",B2276)),
VALUE(MID(B2276,FIND("CFW110",B2276)+6,FIND("T",B2276,FIND("CFW110",B2276))-(FIND("CFW110",B2276)+6))),
IF(ISNUMBER(FIND("D",B2276)),
VALUE(SUBSTITUTE(MID(B2276,FIND("D",B2276)+1,FIND("T",B2276,FIND("D",B2276))-(FIND("D",B2276)+1)),"P",",")),
IF(ISNUMBER(FIND("CFW5",B2276)),
VALUE(MID(B2276,
IF(ISNUMBER(FIND("F",B2276)),FIND("F",B2276)+1,FIND("G",B2276)+1),
FIND("T",B2276)-(IF(ISNUMBER(FIND("F",B2276)),FIND("F",B2276)+1,FIND("G",B2276)+1))
)),
VALUE(MID(B2276,FIND("E0",B2276)+2,FIND("T",B2276,FIND("E0",B2276))-(FIND("E0",B2276)+2)))
))),"")</f>
        <v/>
      </c>
      <c r="G2276">
        <f>IFERROR(
IF(ISNUMBER(FIND("T2",B2276)),220,
IF(ISNUMBER(FIND("T4",B2276)),440,
IF(ISNUMBER(FIND("T5",B2276)),575,
IF(ISNUMBER(FIND("T6",B2276)),690,"")))),
"")</f>
        <v>440</v>
      </c>
    </row>
    <row r="2277" spans="1:7" x14ac:dyDescent="0.25">
      <c r="A2277">
        <v>13478501</v>
      </c>
      <c r="B2277" t="str">
        <f>VLOOKUP(A2277,Planilha2!B:C,2,0)</f>
        <v>INVERSOR CFW701B16P0T2DB55C3</v>
      </c>
      <c r="C2277" t="s">
        <v>3169</v>
      </c>
      <c r="D2277" t="str">
        <f>VLOOKUP(A2277,Planilha2!B:H,7,0)</f>
        <v>OBSOLETOS DRIVES</v>
      </c>
      <c r="E2277" s="5">
        <v>10700</v>
      </c>
      <c r="F2277" t="str">
        <f>IFERROR(
IF(ISNUMBER(FIND("CFW110",B2277)),
VALUE(MID(B2277,FIND("CFW110",B2277)+6,FIND("T",B2277,FIND("CFW110",B2277))-(FIND("CFW110",B2277)+6))),
IF(ISNUMBER(FIND("D",B2277)),
VALUE(SUBSTITUTE(MID(B2277,FIND("D",B2277)+1,FIND("T",B2277,FIND("D",B2277))-(FIND("D",B2277)+1)),"P",",")),
IF(ISNUMBER(FIND("CFW5",B2277)),
VALUE(MID(B2277,
IF(ISNUMBER(FIND("F",B2277)),FIND("F",B2277)+1,FIND("G",B2277)+1),
FIND("T",B2277)-(IF(ISNUMBER(FIND("F",B2277)),FIND("F",B2277)+1,FIND("G",B2277)+1))
)),
VALUE(MID(B2277,FIND("E0",B2277)+2,FIND("T",B2277,FIND("E0",B2277))-(FIND("E0",B2277)+2)))
))),"")</f>
        <v/>
      </c>
      <c r="G2277">
        <f>IFERROR(
IF(ISNUMBER(FIND("T2",B2277)),220,
IF(ISNUMBER(FIND("T4",B2277)),440,
IF(ISNUMBER(FIND("T5",B2277)),575,
IF(ISNUMBER(FIND("T6",B2277)),690,"")))),
"")</f>
        <v>220</v>
      </c>
    </row>
    <row r="2278" spans="1:7" x14ac:dyDescent="0.25">
      <c r="A2278">
        <v>13478486</v>
      </c>
      <c r="B2278" t="str">
        <f>VLOOKUP(A2278,Planilha2!B:C,2,0)</f>
        <v>INVERSOR CFW701B13P0T2DB55C3</v>
      </c>
      <c r="C2278" t="s">
        <v>3169</v>
      </c>
      <c r="D2278" t="str">
        <f>VLOOKUP(A2278,Planilha2!B:H,7,0)</f>
        <v>OBSOLETOS DRIVES</v>
      </c>
      <c r="E2278" s="5">
        <v>10700</v>
      </c>
      <c r="F2278" t="str">
        <f>IFERROR(
IF(ISNUMBER(FIND("CFW110",B2278)),
VALUE(MID(B2278,FIND("CFW110",B2278)+6,FIND("T",B2278,FIND("CFW110",B2278))-(FIND("CFW110",B2278)+6))),
IF(ISNUMBER(FIND("D",B2278)),
VALUE(SUBSTITUTE(MID(B2278,FIND("D",B2278)+1,FIND("T",B2278,FIND("D",B2278))-(FIND("D",B2278)+1)),"P",",")),
IF(ISNUMBER(FIND("CFW5",B2278)),
VALUE(MID(B2278,
IF(ISNUMBER(FIND("F",B2278)),FIND("F",B2278)+1,FIND("G",B2278)+1),
FIND("T",B2278)-(IF(ISNUMBER(FIND("F",B2278)),FIND("F",B2278)+1,FIND("G",B2278)+1))
)),
VALUE(MID(B2278,FIND("E0",B2278)+2,FIND("T",B2278,FIND("E0",B2278))-(FIND("E0",B2278)+2)))
))),"")</f>
        <v/>
      </c>
      <c r="G2278">
        <f>IFERROR(
IF(ISNUMBER(FIND("T2",B2278)),220,
IF(ISNUMBER(FIND("T4",B2278)),440,
IF(ISNUMBER(FIND("T5",B2278)),575,
IF(ISNUMBER(FIND("T6",B2278)),690,"")))),
"")</f>
        <v>220</v>
      </c>
    </row>
    <row r="2279" spans="1:7" x14ac:dyDescent="0.25">
      <c r="A2279">
        <v>13478405</v>
      </c>
      <c r="B2279" t="str">
        <f>VLOOKUP(A2279,Planilha2!B:C,2,0)</f>
        <v>INVERSOR CFW701B10P0T2DB55C3</v>
      </c>
      <c r="C2279" t="s">
        <v>3169</v>
      </c>
      <c r="D2279" t="str">
        <f>VLOOKUP(A2279,Planilha2!B:H,7,0)</f>
        <v>OBSOLETOS DRIVES</v>
      </c>
      <c r="E2279" s="5">
        <v>10700</v>
      </c>
      <c r="F2279" t="str">
        <f>IFERROR(
IF(ISNUMBER(FIND("CFW110",B2279)),
VALUE(MID(B2279,FIND("CFW110",B2279)+6,FIND("T",B2279,FIND("CFW110",B2279))-(FIND("CFW110",B2279)+6))),
IF(ISNUMBER(FIND("D",B2279)),
VALUE(SUBSTITUTE(MID(B2279,FIND("D",B2279)+1,FIND("T",B2279,FIND("D",B2279))-(FIND("D",B2279)+1)),"P",",")),
IF(ISNUMBER(FIND("CFW5",B2279)),
VALUE(MID(B2279,
IF(ISNUMBER(FIND("F",B2279)),FIND("F",B2279)+1,FIND("G",B2279)+1),
FIND("T",B2279)-(IF(ISNUMBER(FIND("F",B2279)),FIND("F",B2279)+1,FIND("G",B2279)+1))
)),
VALUE(MID(B2279,FIND("E0",B2279)+2,FIND("T",B2279,FIND("E0",B2279))-(FIND("E0",B2279)+2)))
))),"")</f>
        <v/>
      </c>
      <c r="G2279">
        <f>IFERROR(
IF(ISNUMBER(FIND("T2",B2279)),220,
IF(ISNUMBER(FIND("T4",B2279)),440,
IF(ISNUMBER(FIND("T5",B2279)),575,
IF(ISNUMBER(FIND("T6",B2279)),690,"")))),
"")</f>
        <v>220</v>
      </c>
    </row>
    <row r="2280" spans="1:7" x14ac:dyDescent="0.25">
      <c r="A2280">
        <v>13478404</v>
      </c>
      <c r="B2280" t="str">
        <f>VLOOKUP(A2280,Planilha2!B:C,2,0)</f>
        <v>INVERSOR CFW701B07P0T2DB55C3</v>
      </c>
      <c r="C2280" t="s">
        <v>3169</v>
      </c>
      <c r="D2280" t="str">
        <f>VLOOKUP(A2280,Planilha2!B:H,7,0)</f>
        <v>OBSOLETOS DRIVES</v>
      </c>
      <c r="E2280" s="5">
        <v>10700</v>
      </c>
      <c r="F2280" t="str">
        <f>IFERROR(
IF(ISNUMBER(FIND("CFW110",B2280)),
VALUE(MID(B2280,FIND("CFW110",B2280)+6,FIND("T",B2280,FIND("CFW110",B2280))-(FIND("CFW110",B2280)+6))),
IF(ISNUMBER(FIND("D",B2280)),
VALUE(SUBSTITUTE(MID(B2280,FIND("D",B2280)+1,FIND("T",B2280,FIND("D",B2280))-(FIND("D",B2280)+1)),"P",",")),
IF(ISNUMBER(FIND("CFW5",B2280)),
VALUE(MID(B2280,
IF(ISNUMBER(FIND("F",B2280)),FIND("F",B2280)+1,FIND("G",B2280)+1),
FIND("T",B2280)-(IF(ISNUMBER(FIND("F",B2280)),FIND("F",B2280)+1,FIND("G",B2280)+1))
)),
VALUE(MID(B2280,FIND("E0",B2280)+2,FIND("T",B2280,FIND("E0",B2280))-(FIND("E0",B2280)+2)))
))),"")</f>
        <v/>
      </c>
      <c r="G2280">
        <f>IFERROR(
IF(ISNUMBER(FIND("T2",B2280)),220,
IF(ISNUMBER(FIND("T4",B2280)),440,
IF(ISNUMBER(FIND("T5",B2280)),575,
IF(ISNUMBER(FIND("T6",B2280)),690,"")))),
"")</f>
        <v>220</v>
      </c>
    </row>
    <row r="2281" spans="1:7" x14ac:dyDescent="0.25">
      <c r="A2281">
        <v>13478403</v>
      </c>
      <c r="B2281" t="str">
        <f>VLOOKUP(A2281,Planilha2!B:C,2,0)</f>
        <v>INVERSOR CFW701B03P6T4DB55C3</v>
      </c>
      <c r="C2281" t="s">
        <v>3169</v>
      </c>
      <c r="D2281" t="str">
        <f>VLOOKUP(A2281,Planilha2!B:H,7,0)</f>
        <v>OBSOLETOS DRIVES</v>
      </c>
      <c r="E2281" s="5">
        <v>10800</v>
      </c>
      <c r="F2281" t="str">
        <f>IFERROR(
IF(ISNUMBER(FIND("CFW110",B2281)),
VALUE(MID(B2281,FIND("CFW110",B2281)+6,FIND("T",B2281,FIND("CFW110",B2281))-(FIND("CFW110",B2281)+6))),
IF(ISNUMBER(FIND("D",B2281)),
VALUE(SUBSTITUTE(MID(B2281,FIND("D",B2281)+1,FIND("T",B2281,FIND("D",B2281))-(FIND("D",B2281)+1)),"P",",")),
IF(ISNUMBER(FIND("CFW5",B2281)),
VALUE(MID(B2281,
IF(ISNUMBER(FIND("F",B2281)),FIND("F",B2281)+1,FIND("G",B2281)+1),
FIND("T",B2281)-(IF(ISNUMBER(FIND("F",B2281)),FIND("F",B2281)+1,FIND("G",B2281)+1))
)),
VALUE(MID(B2281,FIND("E0",B2281)+2,FIND("T",B2281,FIND("E0",B2281))-(FIND("E0",B2281)+2)))
))),"")</f>
        <v/>
      </c>
      <c r="G2281">
        <f>IFERROR(
IF(ISNUMBER(FIND("T2",B2281)),220,
IF(ISNUMBER(FIND("T4",B2281)),440,
IF(ISNUMBER(FIND("T5",B2281)),575,
IF(ISNUMBER(FIND("T6",B2281)),690,"")))),
"")</f>
        <v>440</v>
      </c>
    </row>
    <row r="2282" spans="1:7" x14ac:dyDescent="0.25">
      <c r="A2282">
        <v>13478402</v>
      </c>
      <c r="B2282" t="str">
        <f>VLOOKUP(A2282,Planilha2!B:C,2,0)</f>
        <v>INVERSOR CFW701B10P0S2DB55C3</v>
      </c>
      <c r="C2282" t="s">
        <v>3169</v>
      </c>
      <c r="D2282" t="str">
        <f>VLOOKUP(A2282,Planilha2!B:H,7,0)</f>
        <v>OBSOLETOS DRIVES</v>
      </c>
      <c r="E2282" s="5">
        <v>10700</v>
      </c>
      <c r="F2282" t="str">
        <f>IFERROR(
IF(ISNUMBER(FIND("CFW110",B2282)),
VALUE(MID(B2282,FIND("CFW110",B2282)+6,FIND("T",B2282,FIND("CFW110",B2282))-(FIND("CFW110",B2282)+6))),
IF(ISNUMBER(FIND("D",B2282)),
VALUE(SUBSTITUTE(MID(B2282,FIND("D",B2282)+1,FIND("T",B2282,FIND("D",B2282))-(FIND("D",B2282)+1)),"P",",")),
IF(ISNUMBER(FIND("CFW5",B2282)),
VALUE(MID(B2282,
IF(ISNUMBER(FIND("F",B2282)),FIND("F",B2282)+1,FIND("G",B2282)+1),
FIND("T",B2282)-(IF(ISNUMBER(FIND("F",B2282)),FIND("F",B2282)+1,FIND("G",B2282)+1))
)),
VALUE(MID(B2282,FIND("E0",B2282)+2,FIND("T",B2282,FIND("E0",B2282))-(FIND("E0",B2282)+2)))
))),"")</f>
        <v/>
      </c>
      <c r="G2282" t="str">
        <f>IFERROR(
IF(ISNUMBER(FIND("T2",B2282)),220,
IF(ISNUMBER(FIND("T4",B2282)),440,
IF(ISNUMBER(FIND("T5",B2282)),575,
IF(ISNUMBER(FIND("T6",B2282)),690,"")))),
"")</f>
        <v/>
      </c>
    </row>
    <row r="2283" spans="1:7" x14ac:dyDescent="0.25">
      <c r="A2283">
        <v>13478399</v>
      </c>
      <c r="B2283" t="str">
        <f>VLOOKUP(A2283,Planilha2!B:C,2,0)</f>
        <v>INVERSOR CFW701B07P0S2DB55C3</v>
      </c>
      <c r="C2283" t="s">
        <v>3169</v>
      </c>
      <c r="D2283" t="str">
        <f>VLOOKUP(A2283,Planilha2!B:H,7,0)</f>
        <v>OBSOLETOS DRIVES</v>
      </c>
      <c r="E2283" s="5">
        <v>10700</v>
      </c>
      <c r="F2283" t="str">
        <f>IFERROR(
IF(ISNUMBER(FIND("CFW110",B2283)),
VALUE(MID(B2283,FIND("CFW110",B2283)+6,FIND("T",B2283,FIND("CFW110",B2283))-(FIND("CFW110",B2283)+6))),
IF(ISNUMBER(FIND("D",B2283)),
VALUE(SUBSTITUTE(MID(B2283,FIND("D",B2283)+1,FIND("T",B2283,FIND("D",B2283))-(FIND("D",B2283)+1)),"P",",")),
IF(ISNUMBER(FIND("CFW5",B2283)),
VALUE(MID(B2283,
IF(ISNUMBER(FIND("F",B2283)),FIND("F",B2283)+1,FIND("G",B2283)+1),
FIND("T",B2283)-(IF(ISNUMBER(FIND("F",B2283)),FIND("F",B2283)+1,FIND("G",B2283)+1))
)),
VALUE(MID(B2283,FIND("E0",B2283)+2,FIND("T",B2283,FIND("E0",B2283))-(FIND("E0",B2283)+2)))
))),"")</f>
        <v/>
      </c>
      <c r="G2283" t="str">
        <f>IFERROR(
IF(ISNUMBER(FIND("T2",B2283)),220,
IF(ISNUMBER(FIND("T4",B2283)),440,
IF(ISNUMBER(FIND("T5",B2283)),575,
IF(ISNUMBER(FIND("T6",B2283)),690,"")))),
"")</f>
        <v/>
      </c>
    </row>
    <row r="2284" spans="1:7" x14ac:dyDescent="0.25">
      <c r="A2284">
        <v>13478357</v>
      </c>
      <c r="B2284" t="str">
        <f>VLOOKUP(A2284,Planilha2!B:C,2,0)</f>
        <v>INVERSOR CFW701B06P0S2DB55C3</v>
      </c>
      <c r="C2284" t="s">
        <v>3169</v>
      </c>
      <c r="D2284" t="str">
        <f>VLOOKUP(A2284,Planilha2!B:H,7,0)</f>
        <v>OBSOLETOS DRIVES</v>
      </c>
      <c r="E2284" s="5">
        <v>10700</v>
      </c>
      <c r="F2284" t="str">
        <f>IFERROR(
IF(ISNUMBER(FIND("CFW110",B2284)),
VALUE(MID(B2284,FIND("CFW110",B2284)+6,FIND("T",B2284,FIND("CFW110",B2284))-(FIND("CFW110",B2284)+6))),
IF(ISNUMBER(FIND("D",B2284)),
VALUE(SUBSTITUTE(MID(B2284,FIND("D",B2284)+1,FIND("T",B2284,FIND("D",B2284))-(FIND("D",B2284)+1)),"P",",")),
IF(ISNUMBER(FIND("CFW5",B2284)),
VALUE(MID(B2284,
IF(ISNUMBER(FIND("F",B2284)),FIND("F",B2284)+1,FIND("G",B2284)+1),
FIND("T",B2284)-(IF(ISNUMBER(FIND("F",B2284)),FIND("F",B2284)+1,FIND("G",B2284)+1))
)),
VALUE(MID(B2284,FIND("E0",B2284)+2,FIND("T",B2284,FIND("E0",B2284))-(FIND("E0",B2284)+2)))
))),"")</f>
        <v/>
      </c>
      <c r="G2284" t="str">
        <f>IFERROR(
IF(ISNUMBER(FIND("T2",B2284)),220,
IF(ISNUMBER(FIND("T4",B2284)),440,
IF(ISNUMBER(FIND("T5",B2284)),575,
IF(ISNUMBER(FIND("T6",B2284)),690,"")))),
"")</f>
        <v/>
      </c>
    </row>
    <row r="2285" spans="1:7" x14ac:dyDescent="0.25">
      <c r="A2285">
        <v>13536943</v>
      </c>
      <c r="B2285" t="str">
        <f>VLOOKUP(A2285,Planilha2!B:C,2,0)</f>
        <v>INVERSOR EUCFW110010T4O55FAZ</v>
      </c>
      <c r="C2285" t="s">
        <v>3169</v>
      </c>
      <c r="D2285" t="str">
        <f>VLOOKUP(A2285,Planilha2!B:H,7,0)</f>
        <v>LINHA M3</v>
      </c>
      <c r="E2285" s="5">
        <v>4500</v>
      </c>
      <c r="F2285">
        <f>IFERROR(
IF(ISNUMBER(FIND("CFW110",B2285)),
VALUE(MID(B2285,FIND("CFW110",B2285)+6,FIND("T",B2285,FIND("CFW110",B2285))-(FIND("CFW110",B2285)+6))),
IF(ISNUMBER(FIND("D",B2285)),
VALUE(SUBSTITUTE(MID(B2285,FIND("D",B2285)+1,FIND("T",B2285,FIND("D",B2285))-(FIND("D",B2285)+1)),"P",",")),
IF(ISNUMBER(FIND("CFW5",B2285)),
VALUE(MID(B2285,
IF(ISNUMBER(FIND("F",B2285)),FIND("F",B2285)+1,FIND("G",B2285)+1),
FIND("T",B2285)-(IF(ISNUMBER(FIND("F",B2285)),FIND("F",B2285)+1,FIND("G",B2285)+1))
)),
VALUE(MID(B2285,FIND("E0",B2285)+2,FIND("T",B2285,FIND("E0",B2285))-(FIND("E0",B2285)+2)))
))),"")</f>
        <v>10</v>
      </c>
      <c r="G2285">
        <f>IFERROR(
IF(ISNUMBER(FIND("T2",B2285)),220,
IF(ISNUMBER(FIND("T4",B2285)),440,
IF(ISNUMBER(FIND("T5",B2285)),575,
IF(ISNUMBER(FIND("T6",B2285)),690,"")))),
"")</f>
        <v>440</v>
      </c>
    </row>
    <row r="2286" spans="1:7" x14ac:dyDescent="0.25">
      <c r="A2286">
        <v>13537340</v>
      </c>
      <c r="B2286" t="str">
        <f>VLOOKUP(A2286,Planilha2!B:C,2,0)</f>
        <v>INVERSOR EUCFW110031T4O55FADSZ</v>
      </c>
      <c r="C2286" t="s">
        <v>3169</v>
      </c>
      <c r="D2286" t="str">
        <f>VLOOKUP(A2286,Planilha2!B:H,7,0)</f>
        <v>LINHA M3</v>
      </c>
      <c r="E2286" s="5">
        <v>10400</v>
      </c>
      <c r="F2286">
        <f>IFERROR(
IF(ISNUMBER(FIND("CFW110",B2286)),
VALUE(MID(B2286,FIND("CFW110",B2286)+6,FIND("T",B2286,FIND("CFW110",B2286))-(FIND("CFW110",B2286)+6))),
IF(ISNUMBER(FIND("D",B2286)),
VALUE(SUBSTITUTE(MID(B2286,FIND("D",B2286)+1,FIND("T",B2286,FIND("D",B2286))-(FIND("D",B2286)+1)),"P",",")),
IF(ISNUMBER(FIND("CFW5",B2286)),
VALUE(MID(B2286,
IF(ISNUMBER(FIND("F",B2286)),FIND("F",B2286)+1,FIND("G",B2286)+1),
FIND("T",B2286)-(IF(ISNUMBER(FIND("F",B2286)),FIND("F",B2286)+1,FIND("G",B2286)+1))
)),
VALUE(MID(B2286,FIND("E0",B2286)+2,FIND("T",B2286,FIND("E0",B2286))-(FIND("E0",B2286)+2)))
))),"")</f>
        <v>31</v>
      </c>
      <c r="G2286">
        <f>IFERROR(
IF(ISNUMBER(FIND("T2",B2286)),220,
IF(ISNUMBER(FIND("T4",B2286)),440,
IF(ISNUMBER(FIND("T5",B2286)),575,
IF(ISNUMBER(FIND("T6",B2286)),690,"")))),
"")</f>
        <v>440</v>
      </c>
    </row>
    <row r="2287" spans="1:7" x14ac:dyDescent="0.25">
      <c r="A2287">
        <v>13540827</v>
      </c>
      <c r="B2287" t="str">
        <f>VLOOKUP(A2287,Planilha2!B:C,2,0)</f>
        <v>INVERSOR CFW700B33P5T2DB20H1ACS1</v>
      </c>
      <c r="C2287" t="s">
        <v>3169</v>
      </c>
      <c r="D2287" t="str">
        <f>VLOOKUP(A2287,Planilha2!B:H,7,0)</f>
        <v>OBSOLETOS DRIVES</v>
      </c>
      <c r="E2287" s="5">
        <v>4500</v>
      </c>
      <c r="F2287" t="str">
        <f>IFERROR(
IF(ISNUMBER(FIND("CFW110",B2287)),
VALUE(MID(B2287,FIND("CFW110",B2287)+6,FIND("T",B2287,FIND("CFW110",B2287))-(FIND("CFW110",B2287)+6))),
IF(ISNUMBER(FIND("D",B2287)),
VALUE(SUBSTITUTE(MID(B2287,FIND("D",B2287)+1,FIND("T",B2287,FIND("D",B2287))-(FIND("D",B2287)+1)),"P",",")),
IF(ISNUMBER(FIND("CFW5",B2287)),
VALUE(MID(B2287,
IF(ISNUMBER(FIND("F",B2287)),FIND("F",B2287)+1,FIND("G",B2287)+1),
FIND("T",B2287)-(IF(ISNUMBER(FIND("F",B2287)),FIND("F",B2287)+1,FIND("G",B2287)+1))
)),
VALUE(MID(B2287,FIND("E0",B2287)+2,FIND("T",B2287,FIND("E0",B2287))-(FIND("E0",B2287)+2)))
))),"")</f>
        <v/>
      </c>
      <c r="G2287">
        <f>IFERROR(
IF(ISNUMBER(FIND("T2",B2287)),220,
IF(ISNUMBER(FIND("T4",B2287)),440,
IF(ISNUMBER(FIND("T5",B2287)),575,
IF(ISNUMBER(FIND("T6",B2287)),690,"")))),
"")</f>
        <v>220</v>
      </c>
    </row>
    <row r="2288" spans="1:7" x14ac:dyDescent="0.25">
      <c r="A2288">
        <v>13540823</v>
      </c>
      <c r="B2288" t="str">
        <f>VLOOKUP(A2288,Planilha2!B:C,2,0)</f>
        <v>INVERSOR CFW700B31P0T4DB20H1ACS1</v>
      </c>
      <c r="C2288" t="s">
        <v>3169</v>
      </c>
      <c r="D2288" t="str">
        <f>VLOOKUP(A2288,Planilha2!B:H,7,0)</f>
        <v>OBSOLETOS DRIVES</v>
      </c>
      <c r="E2288" s="5">
        <v>8246</v>
      </c>
      <c r="F2288" t="str">
        <f>IFERROR(
IF(ISNUMBER(FIND("CFW110",B2288)),
VALUE(MID(B2288,FIND("CFW110",B2288)+6,FIND("T",B2288,FIND("CFW110",B2288))-(FIND("CFW110",B2288)+6))),
IF(ISNUMBER(FIND("D",B2288)),
VALUE(SUBSTITUTE(MID(B2288,FIND("D",B2288)+1,FIND("T",B2288,FIND("D",B2288))-(FIND("D",B2288)+1)),"P",",")),
IF(ISNUMBER(FIND("CFW5",B2288)),
VALUE(MID(B2288,
IF(ISNUMBER(FIND("F",B2288)),FIND("F",B2288)+1,FIND("G",B2288)+1),
FIND("T",B2288)-(IF(ISNUMBER(FIND("F",B2288)),FIND("F",B2288)+1,FIND("G",B2288)+1))
)),
VALUE(MID(B2288,FIND("E0",B2288)+2,FIND("T",B2288,FIND("E0",B2288))-(FIND("E0",B2288)+2)))
))),"")</f>
        <v/>
      </c>
      <c r="G2288">
        <f>IFERROR(
IF(ISNUMBER(FIND("T2",B2288)),220,
IF(ISNUMBER(FIND("T4",B2288)),440,
IF(ISNUMBER(FIND("T5",B2288)),575,
IF(ISNUMBER(FIND("T6",B2288)),690,"")))),
"")</f>
        <v>440</v>
      </c>
    </row>
    <row r="2289" spans="1:7" x14ac:dyDescent="0.25">
      <c r="A2289">
        <v>13629224</v>
      </c>
      <c r="B2289" t="str">
        <f>VLOOKUP(A2289,Planilha2!B:C,2,0)</f>
        <v>INVERSOR BRCFW110024T4OSMZ</v>
      </c>
      <c r="C2289" t="s">
        <v>3169</v>
      </c>
      <c r="D2289" t="str">
        <f>VLOOKUP(A2289,Planilha2!B:H,7,0)</f>
        <v>LINHA P7</v>
      </c>
      <c r="E2289" s="5">
        <v>75056</v>
      </c>
      <c r="F2289">
        <f>IFERROR(
IF(ISNUMBER(FIND("CFW110",B2289)),
VALUE(MID(B2289,FIND("CFW110",B2289)+6,FIND("T",B2289,FIND("CFW110",B2289))-(FIND("CFW110",B2289)+6))),
IF(ISNUMBER(FIND("D",B2289)),
VALUE(SUBSTITUTE(MID(B2289,FIND("D",B2289)+1,FIND("T",B2289,FIND("D",B2289))-(FIND("D",B2289)+1)),"P",",")),
IF(ISNUMBER(FIND("CFW5",B2289)),
VALUE(MID(B2289,
IF(ISNUMBER(FIND("F",B2289)),FIND("F",B2289)+1,FIND("G",B2289)+1),
FIND("T",B2289)-(IF(ISNUMBER(FIND("F",B2289)),FIND("F",B2289)+1,FIND("G",B2289)+1))
)),
VALUE(MID(B2289,FIND("E0",B2289)+2,FIND("T",B2289,FIND("E0",B2289))-(FIND("E0",B2289)+2)))
))),"")</f>
        <v>24</v>
      </c>
      <c r="G2289">
        <f>IFERROR(
IF(ISNUMBER(FIND("T2",B2289)),220,
IF(ISNUMBER(FIND("T4",B2289)),440,
IF(ISNUMBER(FIND("T5",B2289)),575,
IF(ISNUMBER(FIND("T6",B2289)),690,"")))),
"")</f>
        <v>440</v>
      </c>
    </row>
    <row r="2290" spans="1:7" x14ac:dyDescent="0.25">
      <c r="A2290">
        <v>13824155</v>
      </c>
      <c r="B2290" t="str">
        <f>VLOOKUP(A2290,Planilha2!B:C,2,0)</f>
        <v>INVERSOR BRCFW110017T4OFAH4SMZ</v>
      </c>
      <c r="C2290" t="s">
        <v>3169</v>
      </c>
      <c r="D2290" t="str">
        <f>VLOOKUP(A2290,Planilha2!B:H,7,0)</f>
        <v>LINHA P5</v>
      </c>
      <c r="E2290" s="5">
        <v>7183</v>
      </c>
      <c r="F2290">
        <f>IFERROR(
IF(ISNUMBER(FIND("CFW110",B2290)),
VALUE(MID(B2290,FIND("CFW110",B2290)+6,FIND("T",B2290,FIND("CFW110",B2290))-(FIND("CFW110",B2290)+6))),
IF(ISNUMBER(FIND("D",B2290)),
VALUE(SUBSTITUTE(MID(B2290,FIND("D",B2290)+1,FIND("T",B2290,FIND("D",B2290))-(FIND("D",B2290)+1)),"P",",")),
IF(ISNUMBER(FIND("CFW5",B2290)),
VALUE(MID(B2290,
IF(ISNUMBER(FIND("F",B2290)),FIND("F",B2290)+1,FIND("G",B2290)+1),
FIND("T",B2290)-(IF(ISNUMBER(FIND("F",B2290)),FIND("F",B2290)+1,FIND("G",B2290)+1))
)),
VALUE(MID(B2290,FIND("E0",B2290)+2,FIND("T",B2290,FIND("E0",B2290))-(FIND("E0",B2290)+2)))
))),"")</f>
        <v>17</v>
      </c>
      <c r="G2290">
        <f>IFERROR(
IF(ISNUMBER(FIND("T2",B2290)),220,
IF(ISNUMBER(FIND("T4",B2290)),440,
IF(ISNUMBER(FIND("T5",B2290)),575,
IF(ISNUMBER(FIND("T6",B2290)),690,"")))),
"")</f>
        <v>440</v>
      </c>
    </row>
    <row r="2291" spans="1:7" x14ac:dyDescent="0.25">
      <c r="A2291">
        <v>13784723</v>
      </c>
      <c r="B2291" t="str">
        <f>VLOOKUP(A2291,Planilha2!B:C,2,0)</f>
        <v>INVERSOR BRCFW110013T4OYWZ</v>
      </c>
      <c r="C2291" t="s">
        <v>3169</v>
      </c>
      <c r="D2291" t="str">
        <f>VLOOKUP(A2291,Planilha2!B:H,7,0)</f>
        <v>LINHA P5</v>
      </c>
      <c r="E2291" s="5">
        <v>6765</v>
      </c>
      <c r="F2291">
        <f>IFERROR(
IF(ISNUMBER(FIND("CFW110",B2291)),
VALUE(MID(B2291,FIND("CFW110",B2291)+6,FIND("T",B2291,FIND("CFW110",B2291))-(FIND("CFW110",B2291)+6))),
IF(ISNUMBER(FIND("D",B2291)),
VALUE(SUBSTITUTE(MID(B2291,FIND("D",B2291)+1,FIND("T",B2291,FIND("D",B2291))-(FIND("D",B2291)+1)),"P",",")),
IF(ISNUMBER(FIND("CFW5",B2291)),
VALUE(MID(B2291,
IF(ISNUMBER(FIND("F",B2291)),FIND("F",B2291)+1,FIND("G",B2291)+1),
FIND("T",B2291)-(IF(ISNUMBER(FIND("F",B2291)),FIND("F",B2291)+1,FIND("G",B2291)+1))
)),
VALUE(MID(B2291,FIND("E0",B2291)+2,FIND("T",B2291,FIND("E0",B2291))-(FIND("E0",B2291)+2)))
))),"")</f>
        <v>13</v>
      </c>
      <c r="G2291">
        <f>IFERROR(
IF(ISNUMBER(FIND("T2",B2291)),220,
IF(ISNUMBER(FIND("T4",B2291)),440,
IF(ISNUMBER(FIND("T5",B2291)),575,
IF(ISNUMBER(FIND("T6",B2291)),690,"")))),
"")</f>
        <v>440</v>
      </c>
    </row>
    <row r="2292" spans="1:7" x14ac:dyDescent="0.25">
      <c r="A2292">
        <v>13826097</v>
      </c>
      <c r="B2292" t="str">
        <f>VLOOKUP(A2292,Planilha2!B:C,2,0)</f>
        <v>INVERSOR BRCFW110024T2OSSZ</v>
      </c>
      <c r="C2292" t="s">
        <v>3169</v>
      </c>
      <c r="D2292" t="str">
        <f>VLOOKUP(A2292,Planilha2!B:H,7,0)</f>
        <v>LINHA P7</v>
      </c>
      <c r="E2292" s="5">
        <v>9900</v>
      </c>
      <c r="F2292">
        <f>IFERROR(
IF(ISNUMBER(FIND("CFW110",B2292)),
VALUE(MID(B2292,FIND("CFW110",B2292)+6,FIND("T",B2292,FIND("CFW110",B2292))-(FIND("CFW110",B2292)+6))),
IF(ISNUMBER(FIND("D",B2292)),
VALUE(SUBSTITUTE(MID(B2292,FIND("D",B2292)+1,FIND("T",B2292,FIND("D",B2292))-(FIND("D",B2292)+1)),"P",",")),
IF(ISNUMBER(FIND("CFW5",B2292)),
VALUE(MID(B2292,
IF(ISNUMBER(FIND("F",B2292)),FIND("F",B2292)+1,FIND("G",B2292)+1),
FIND("T",B2292)-(IF(ISNUMBER(FIND("F",B2292)),FIND("F",B2292)+1,FIND("G",B2292)+1))
)),
VALUE(MID(B2292,FIND("E0",B2292)+2,FIND("T",B2292,FIND("E0",B2292))-(FIND("E0",B2292)+2)))
))),"")</f>
        <v>24</v>
      </c>
      <c r="G2292">
        <f>IFERROR(
IF(ISNUMBER(FIND("T2",B2292)),220,
IF(ISNUMBER(FIND("T4",B2292)),440,
IF(ISNUMBER(FIND("T5",B2292)),575,
IF(ISNUMBER(FIND("T6",B2292)),690,"")))),
"")</f>
        <v>220</v>
      </c>
    </row>
    <row r="2293" spans="1:7" x14ac:dyDescent="0.25">
      <c r="A2293">
        <v>13907273</v>
      </c>
      <c r="B2293" t="str">
        <f>VLOOKUP(A2293,Planilha2!B:C,2,0)</f>
        <v>INVERSOR BRCFW110024T2OFAH4SSZ</v>
      </c>
      <c r="C2293" t="s">
        <v>3169</v>
      </c>
      <c r="D2293" t="str">
        <f>VLOOKUP(A2293,Planilha2!B:H,7,0)</f>
        <v>LINHA P7</v>
      </c>
      <c r="E2293" s="5">
        <v>8800</v>
      </c>
      <c r="F2293">
        <f>IFERROR(
IF(ISNUMBER(FIND("CFW110",B2293)),
VALUE(MID(B2293,FIND("CFW110",B2293)+6,FIND("T",B2293,FIND("CFW110",B2293))-(FIND("CFW110",B2293)+6))),
IF(ISNUMBER(FIND("D",B2293)),
VALUE(SUBSTITUTE(MID(B2293,FIND("D",B2293)+1,FIND("T",B2293,FIND("D",B2293))-(FIND("D",B2293)+1)),"P",",")),
IF(ISNUMBER(FIND("CFW5",B2293)),
VALUE(MID(B2293,
IF(ISNUMBER(FIND("F",B2293)),FIND("F",B2293)+1,FIND("G",B2293)+1),
FIND("T",B2293)-(IF(ISNUMBER(FIND("F",B2293)),FIND("F",B2293)+1,FIND("G",B2293)+1))
)),
VALUE(MID(B2293,FIND("E0",B2293)+2,FIND("T",B2293,FIND("E0",B2293))-(FIND("E0",B2293)+2)))
))),"")</f>
        <v>24</v>
      </c>
      <c r="G2293">
        <f>IFERROR(
IF(ISNUMBER(FIND("T2",B2293)),220,
IF(ISNUMBER(FIND("T4",B2293)),440,
IF(ISNUMBER(FIND("T5",B2293)),575,
IF(ISNUMBER(FIND("T6",B2293)),690,"")))),
"")</f>
        <v>220</v>
      </c>
    </row>
    <row r="2294" spans="1:7" x14ac:dyDescent="0.25">
      <c r="A2294">
        <v>13907181</v>
      </c>
      <c r="B2294" t="str">
        <f>VLOOKUP(A2294,Planilha2!B:C,2,0)</f>
        <v>INVERSOR BRCFW110007T2OFAH4SSZ</v>
      </c>
      <c r="C2294" t="s">
        <v>3169</v>
      </c>
      <c r="D2294" t="str">
        <f>VLOOKUP(A2294,Planilha2!B:H,7,0)</f>
        <v>LINHA P5</v>
      </c>
      <c r="E2294" s="5">
        <v>6200</v>
      </c>
      <c r="F2294">
        <f>IFERROR(
IF(ISNUMBER(FIND("CFW110",B2294)),
VALUE(MID(B2294,FIND("CFW110",B2294)+6,FIND("T",B2294,FIND("CFW110",B2294))-(FIND("CFW110",B2294)+6))),
IF(ISNUMBER(FIND("D",B2294)),
VALUE(SUBSTITUTE(MID(B2294,FIND("D",B2294)+1,FIND("T",B2294,FIND("D",B2294))-(FIND("D",B2294)+1)),"P",",")),
IF(ISNUMBER(FIND("CFW5",B2294)),
VALUE(MID(B2294,
IF(ISNUMBER(FIND("F",B2294)),FIND("F",B2294)+1,FIND("G",B2294)+1),
FIND("T",B2294)-(IF(ISNUMBER(FIND("F",B2294)),FIND("F",B2294)+1,FIND("G",B2294)+1))
)),
VALUE(MID(B2294,FIND("E0",B2294)+2,FIND("T",B2294,FIND("E0",B2294))-(FIND("E0",B2294)+2)))
))),"")</f>
        <v>7</v>
      </c>
      <c r="G2294">
        <f>IFERROR(
IF(ISNUMBER(FIND("T2",B2294)),220,
IF(ISNUMBER(FIND("T4",B2294)),440,
IF(ISNUMBER(FIND("T5",B2294)),575,
IF(ISNUMBER(FIND("T6",B2294)),690,"")))),
"")</f>
        <v>220</v>
      </c>
    </row>
    <row r="2295" spans="1:7" x14ac:dyDescent="0.25">
      <c r="A2295">
        <v>13937051</v>
      </c>
      <c r="B2295" t="str">
        <f>VLOOKUP(A2295,Planilha2!B:C,2,0)</f>
        <v>INVERSOR CFW700A16P0T2DB21</v>
      </c>
      <c r="C2295" t="s">
        <v>3169</v>
      </c>
      <c r="D2295" t="str">
        <f>VLOOKUP(A2295,Planilha2!B:H,7,0)</f>
        <v>OBSOLETOS DRIVES</v>
      </c>
      <c r="E2295" s="5">
        <v>4500</v>
      </c>
      <c r="F2295" t="str">
        <f>IFERROR(
IF(ISNUMBER(FIND("CFW110",B2295)),
VALUE(MID(B2295,FIND("CFW110",B2295)+6,FIND("T",B2295,FIND("CFW110",B2295))-(FIND("CFW110",B2295)+6))),
IF(ISNUMBER(FIND("D",B2295)),
VALUE(SUBSTITUTE(MID(B2295,FIND("D",B2295)+1,FIND("T",B2295,FIND("D",B2295))-(FIND("D",B2295)+1)),"P",",")),
IF(ISNUMBER(FIND("CFW5",B2295)),
VALUE(MID(B2295,
IF(ISNUMBER(FIND("F",B2295)),FIND("F",B2295)+1,FIND("G",B2295)+1),
FIND("T",B2295)-(IF(ISNUMBER(FIND("F",B2295)),FIND("F",B2295)+1,FIND("G",B2295)+1))
)),
VALUE(MID(B2295,FIND("E0",B2295)+2,FIND("T",B2295,FIND("E0",B2295))-(FIND("E0",B2295)+2)))
))),"")</f>
        <v/>
      </c>
      <c r="G2295">
        <f>IFERROR(
IF(ISNUMBER(FIND("T2",B2295)),220,
IF(ISNUMBER(FIND("T4",B2295)),440,
IF(ISNUMBER(FIND("T5",B2295)),575,
IF(ISNUMBER(FIND("T6",B2295)),690,"")))),
"")</f>
        <v>220</v>
      </c>
    </row>
    <row r="2296" spans="1:7" x14ac:dyDescent="0.25">
      <c r="A2296">
        <v>13946816</v>
      </c>
      <c r="B2296" t="str">
        <f>VLOOKUP(A2296,Planilha2!B:C,2,0)</f>
        <v>INVERSOR BRCFW110010T4OH4SPZ</v>
      </c>
      <c r="C2296" t="s">
        <v>3169</v>
      </c>
      <c r="D2296" t="str">
        <f>VLOOKUP(A2296,Planilha2!B:H,7,0)</f>
        <v>LINHA P5</v>
      </c>
      <c r="E2296" s="5">
        <v>5450</v>
      </c>
      <c r="F2296">
        <f>IFERROR(
IF(ISNUMBER(FIND("CFW110",B2296)),
VALUE(MID(B2296,FIND("CFW110",B2296)+6,FIND("T",B2296,FIND("CFW110",B2296))-(FIND("CFW110",B2296)+6))),
IF(ISNUMBER(FIND("D",B2296)),
VALUE(SUBSTITUTE(MID(B2296,FIND("D",B2296)+1,FIND("T",B2296,FIND("D",B2296))-(FIND("D",B2296)+1)),"P",",")),
IF(ISNUMBER(FIND("CFW5",B2296)),
VALUE(MID(B2296,
IF(ISNUMBER(FIND("F",B2296)),FIND("F",B2296)+1,FIND("G",B2296)+1),
FIND("T",B2296)-(IF(ISNUMBER(FIND("F",B2296)),FIND("F",B2296)+1,FIND("G",B2296)+1))
)),
VALUE(MID(B2296,FIND("E0",B2296)+2,FIND("T",B2296,FIND("E0",B2296))-(FIND("E0",B2296)+2)))
))),"")</f>
        <v>10</v>
      </c>
      <c r="G2296">
        <f>IFERROR(
IF(ISNUMBER(FIND("T2",B2296)),220,
IF(ISNUMBER(FIND("T4",B2296)),440,
IF(ISNUMBER(FIND("T5",B2296)),575,
IF(ISNUMBER(FIND("T6",B2296)),690,"")))),
"")</f>
        <v>440</v>
      </c>
    </row>
    <row r="2297" spans="1:7" x14ac:dyDescent="0.25">
      <c r="A2297">
        <v>12975620</v>
      </c>
      <c r="B2297" t="str">
        <f>VLOOKUP(A2297,Planilha2!B:C,2,0)</f>
        <v>INVERSOR MSCFW110017T4OFAZ</v>
      </c>
      <c r="C2297" t="s">
        <v>3169</v>
      </c>
      <c r="D2297" t="str">
        <f>VLOOKUP(A2297,Planilha2!B:H,7,0)</f>
        <v>LINHA P7</v>
      </c>
      <c r="E2297" s="5">
        <v>8900</v>
      </c>
      <c r="F2297">
        <f>IFERROR(
IF(ISNUMBER(FIND("CFW110",B2297)),
VALUE(MID(B2297,FIND("CFW110",B2297)+6,FIND("T",B2297,FIND("CFW110",B2297))-(FIND("CFW110",B2297)+6))),
IF(ISNUMBER(FIND("D",B2297)),
VALUE(SUBSTITUTE(MID(B2297,FIND("D",B2297)+1,FIND("T",B2297,FIND("D",B2297))-(FIND("D",B2297)+1)),"P",",")),
IF(ISNUMBER(FIND("CFW5",B2297)),
VALUE(MID(B2297,
IF(ISNUMBER(FIND("F",B2297)),FIND("F",B2297)+1,FIND("G",B2297)+1),
FIND("T",B2297)-(IF(ISNUMBER(FIND("F",B2297)),FIND("F",B2297)+1,FIND("G",B2297)+1))
)),
VALUE(MID(B2297,FIND("E0",B2297)+2,FIND("T",B2297,FIND("E0",B2297))-(FIND("E0",B2297)+2)))
))),"")</f>
        <v>17</v>
      </c>
      <c r="G2297">
        <f>IFERROR(
IF(ISNUMBER(FIND("T2",B2297)),220,
IF(ISNUMBER(FIND("T4",B2297)),440,
IF(ISNUMBER(FIND("T5",B2297)),575,
IF(ISNUMBER(FIND("T6",B2297)),690,"")))),
"")</f>
        <v>440</v>
      </c>
    </row>
    <row r="2298" spans="1:7" x14ac:dyDescent="0.25">
      <c r="A2298">
        <v>12884708</v>
      </c>
      <c r="B2298" t="str">
        <f>VLOOKUP(A2298,Planilha2!B:C,2,0)</f>
        <v>INVERSOR EUCFW110013T4OFASWZ</v>
      </c>
      <c r="C2298" t="s">
        <v>3169</v>
      </c>
      <c r="D2298" t="str">
        <f>VLOOKUP(A2298,Planilha2!B:H,7,0)</f>
        <v>LINHA P5</v>
      </c>
      <c r="E2298" s="5">
        <v>5750</v>
      </c>
      <c r="F2298">
        <f>IFERROR(
IF(ISNUMBER(FIND("CFW110",B2298)),
VALUE(MID(B2298,FIND("CFW110",B2298)+6,FIND("T",B2298,FIND("CFW110",B2298))-(FIND("CFW110",B2298)+6))),
IF(ISNUMBER(FIND("D",B2298)),
VALUE(SUBSTITUTE(MID(B2298,FIND("D",B2298)+1,FIND("T",B2298,FIND("D",B2298))-(FIND("D",B2298)+1)),"P",",")),
IF(ISNUMBER(FIND("CFW5",B2298)),
VALUE(MID(B2298,
IF(ISNUMBER(FIND("F",B2298)),FIND("F",B2298)+1,FIND("G",B2298)+1),
FIND("T",B2298)-(IF(ISNUMBER(FIND("F",B2298)),FIND("F",B2298)+1,FIND("G",B2298)+1))
)),
VALUE(MID(B2298,FIND("E0",B2298)+2,FIND("T",B2298,FIND("E0",B2298))-(FIND("E0",B2298)+2)))
))),"")</f>
        <v>13</v>
      </c>
      <c r="G2298">
        <f>IFERROR(
IF(ISNUMBER(FIND("T2",B2298)),220,
IF(ISNUMBER(FIND("T4",B2298)),440,
IF(ISNUMBER(FIND("T5",B2298)),575,
IF(ISNUMBER(FIND("T6",B2298)),690,"")))),
"")</f>
        <v>440</v>
      </c>
    </row>
    <row r="2299" spans="1:7" x14ac:dyDescent="0.25">
      <c r="A2299">
        <v>12884710</v>
      </c>
      <c r="B2299" t="str">
        <f>VLOOKUP(A2299,Planilha2!B:C,2,0)</f>
        <v>INVERSOR EUCFW110017T4OFASWZ</v>
      </c>
      <c r="C2299" t="s">
        <v>3169</v>
      </c>
      <c r="D2299" t="str">
        <f>VLOOKUP(A2299,Planilha2!B:H,7,0)</f>
        <v>LINHA P7</v>
      </c>
      <c r="E2299" s="5">
        <v>8900</v>
      </c>
      <c r="F2299">
        <f>IFERROR(
IF(ISNUMBER(FIND("CFW110",B2299)),
VALUE(MID(B2299,FIND("CFW110",B2299)+6,FIND("T",B2299,FIND("CFW110",B2299))-(FIND("CFW110",B2299)+6))),
IF(ISNUMBER(FIND("D",B2299)),
VALUE(SUBSTITUTE(MID(B2299,FIND("D",B2299)+1,FIND("T",B2299,FIND("D",B2299))-(FIND("D",B2299)+1)),"P",",")),
IF(ISNUMBER(FIND("CFW5",B2299)),
VALUE(MID(B2299,
IF(ISNUMBER(FIND("F",B2299)),FIND("F",B2299)+1,FIND("G",B2299)+1),
FIND("T",B2299)-(IF(ISNUMBER(FIND("F",B2299)),FIND("F",B2299)+1,FIND("G",B2299)+1))
)),
VALUE(MID(B2299,FIND("E0",B2299)+2,FIND("T",B2299,FIND("E0",B2299))-(FIND("E0",B2299)+2)))
))),"")</f>
        <v>17</v>
      </c>
      <c r="G2299">
        <f>IFERROR(
IF(ISNUMBER(FIND("T2",B2299)),220,
IF(ISNUMBER(FIND("T4",B2299)),440,
IF(ISNUMBER(FIND("T5",B2299)),575,
IF(ISNUMBER(FIND("T6",B2299)),690,"")))),
"")</f>
        <v>440</v>
      </c>
    </row>
    <row r="2300" spans="1:7" x14ac:dyDescent="0.25">
      <c r="A2300">
        <v>12884716</v>
      </c>
      <c r="B2300" t="str">
        <f>VLOOKUP(A2300,Planilha2!B:C,2,0)</f>
        <v>INVERSOR EUCFW110024T4OFASWZ</v>
      </c>
      <c r="C2300" t="s">
        <v>3169</v>
      </c>
      <c r="D2300" t="str">
        <f>VLOOKUP(A2300,Planilha2!B:H,7,0)</f>
        <v>LINHA P7</v>
      </c>
      <c r="E2300" s="5">
        <v>8900</v>
      </c>
      <c r="F2300">
        <f>IFERROR(
IF(ISNUMBER(FIND("CFW110",B2300)),
VALUE(MID(B2300,FIND("CFW110",B2300)+6,FIND("T",B2300,FIND("CFW110",B2300))-(FIND("CFW110",B2300)+6))),
IF(ISNUMBER(FIND("D",B2300)),
VALUE(SUBSTITUTE(MID(B2300,FIND("D",B2300)+1,FIND("T",B2300,FIND("D",B2300))-(FIND("D",B2300)+1)),"P",",")),
IF(ISNUMBER(FIND("CFW5",B2300)),
VALUE(MID(B2300,
IF(ISNUMBER(FIND("F",B2300)),FIND("F",B2300)+1,FIND("G",B2300)+1),
FIND("T",B2300)-(IF(ISNUMBER(FIND("F",B2300)),FIND("F",B2300)+1,FIND("G",B2300)+1))
)),
VALUE(MID(B2300,FIND("E0",B2300)+2,FIND("T",B2300,FIND("E0",B2300))-(FIND("E0",B2300)+2)))
))),"")</f>
        <v>24</v>
      </c>
      <c r="G2300">
        <f>IFERROR(
IF(ISNUMBER(FIND("T2",B2300)),220,
IF(ISNUMBER(FIND("T4",B2300)),440,
IF(ISNUMBER(FIND("T5",B2300)),575,
IF(ISNUMBER(FIND("T6",B2300)),690,"")))),
"")</f>
        <v>440</v>
      </c>
    </row>
    <row r="2301" spans="1:7" x14ac:dyDescent="0.25">
      <c r="A2301">
        <v>12884738</v>
      </c>
      <c r="B2301" t="str">
        <f>VLOOKUP(A2301,Planilha2!B:C,2,0)</f>
        <v>INVERSOR EUCFW110031T4OFASWZ</v>
      </c>
      <c r="C2301" t="s">
        <v>3169</v>
      </c>
      <c r="D2301" t="str">
        <f>VLOOKUP(A2301,Planilha2!B:H,7,0)</f>
        <v>LINHA P7</v>
      </c>
      <c r="E2301" s="5">
        <v>8900</v>
      </c>
      <c r="F2301">
        <f>IFERROR(
IF(ISNUMBER(FIND("CFW110",B2301)),
VALUE(MID(B2301,FIND("CFW110",B2301)+6,FIND("T",B2301,FIND("CFW110",B2301))-(FIND("CFW110",B2301)+6))),
IF(ISNUMBER(FIND("D",B2301)),
VALUE(SUBSTITUTE(MID(B2301,FIND("D",B2301)+1,FIND("T",B2301,FIND("D",B2301))-(FIND("D",B2301)+1)),"P",",")),
IF(ISNUMBER(FIND("CFW5",B2301)),
VALUE(MID(B2301,
IF(ISNUMBER(FIND("F",B2301)),FIND("F",B2301)+1,FIND("G",B2301)+1),
FIND("T",B2301)-(IF(ISNUMBER(FIND("F",B2301)),FIND("F",B2301)+1,FIND("G",B2301)+1))
)),
VALUE(MID(B2301,FIND("E0",B2301)+2,FIND("T",B2301,FIND("E0",B2301))-(FIND("E0",B2301)+2)))
))),"")</f>
        <v>31</v>
      </c>
      <c r="G2301">
        <f>IFERROR(
IF(ISNUMBER(FIND("T2",B2301)),220,
IF(ISNUMBER(FIND("T4",B2301)),440,
IF(ISNUMBER(FIND("T5",B2301)),575,
IF(ISNUMBER(FIND("T6",B2301)),690,"")))),
"")</f>
        <v>440</v>
      </c>
    </row>
    <row r="2302" spans="1:7" x14ac:dyDescent="0.25">
      <c r="A2302">
        <v>12104585</v>
      </c>
      <c r="B2302" t="str">
        <f>VLOOKUP(A2302,Planilha2!B:C,2,0)</f>
        <v>INVERSOR CFW700A10P0S2DB20Y1</v>
      </c>
      <c r="C2302" t="s">
        <v>3169</v>
      </c>
      <c r="D2302" t="str">
        <f>VLOOKUP(A2302,Planilha2!B:H,7,0)</f>
        <v>OBSOLETOS DRIVES</v>
      </c>
      <c r="E2302" s="5">
        <v>5700</v>
      </c>
      <c r="F2302" t="str">
        <f>IFERROR(
IF(ISNUMBER(FIND("CFW110",B2302)),
VALUE(MID(B2302,FIND("CFW110",B2302)+6,FIND("T",B2302,FIND("CFW110",B2302))-(FIND("CFW110",B2302)+6))),
IF(ISNUMBER(FIND("D",B2302)),
VALUE(SUBSTITUTE(MID(B2302,FIND("D",B2302)+1,FIND("T",B2302,FIND("D",B2302))-(FIND("D",B2302)+1)),"P",",")),
IF(ISNUMBER(FIND("CFW5",B2302)),
VALUE(MID(B2302,
IF(ISNUMBER(FIND("F",B2302)),FIND("F",B2302)+1,FIND("G",B2302)+1),
FIND("T",B2302)-(IF(ISNUMBER(FIND("F",B2302)),FIND("F",B2302)+1,FIND("G",B2302)+1))
)),
VALUE(MID(B2302,FIND("E0",B2302)+2,FIND("T",B2302,FIND("E0",B2302))-(FIND("E0",B2302)+2)))
))),"")</f>
        <v/>
      </c>
      <c r="G2302" t="str">
        <f>IFERROR(
IF(ISNUMBER(FIND("T2",B2302)),220,
IF(ISNUMBER(FIND("T4",B2302)),440,
IF(ISNUMBER(FIND("T5",B2302)),575,
IF(ISNUMBER(FIND("T6",B2302)),690,"")))),
"")</f>
        <v/>
      </c>
    </row>
    <row r="2303" spans="1:7" x14ac:dyDescent="0.25">
      <c r="A2303">
        <v>13871693</v>
      </c>
      <c r="B2303" t="str">
        <f>VLOOKUP(A2303,Planilha2!B:C,2,0)</f>
        <v>INVERSOR EUCFW110010T4O55FADSYZ</v>
      </c>
      <c r="C2303" t="s">
        <v>3169</v>
      </c>
      <c r="D2303" t="str">
        <f>VLOOKUP(A2303,Planilha2!B:H,7,0)</f>
        <v>LINHA M3</v>
      </c>
      <c r="E2303" s="5">
        <v>4822</v>
      </c>
      <c r="F2303">
        <f>IFERROR(
IF(ISNUMBER(FIND("CFW110",B2303)),
VALUE(MID(B2303,FIND("CFW110",B2303)+6,FIND("T",B2303,FIND("CFW110",B2303))-(FIND("CFW110",B2303)+6))),
IF(ISNUMBER(FIND("D",B2303)),
VALUE(SUBSTITUTE(MID(B2303,FIND("D",B2303)+1,FIND("T",B2303,FIND("D",B2303))-(FIND("D",B2303)+1)),"P",",")),
IF(ISNUMBER(FIND("CFW5",B2303)),
VALUE(MID(B2303,
IF(ISNUMBER(FIND("F",B2303)),FIND("F",B2303)+1,FIND("G",B2303)+1),
FIND("T",B2303)-(IF(ISNUMBER(FIND("F",B2303)),FIND("F",B2303)+1,FIND("G",B2303)+1))
)),
VALUE(MID(B2303,FIND("E0",B2303)+2,FIND("T",B2303,FIND("E0",B2303))-(FIND("E0",B2303)+2)))
))),"")</f>
        <v>10</v>
      </c>
      <c r="G2303">
        <f>IFERROR(
IF(ISNUMBER(FIND("T2",B2303)),220,
IF(ISNUMBER(FIND("T4",B2303)),440,
IF(ISNUMBER(FIND("T5",B2303)),575,
IF(ISNUMBER(FIND("T6",B2303)),690,"")))),
"")</f>
        <v>440</v>
      </c>
    </row>
    <row r="2304" spans="1:7" x14ac:dyDescent="0.25">
      <c r="A2304">
        <v>13504989</v>
      </c>
      <c r="B2304" t="str">
        <f>VLOOKUP(A2304,Planilha2!B:C,2,0)</f>
        <v>INVERSOR BRCFW110010T2OSVZ</v>
      </c>
      <c r="C2304" t="s">
        <v>3169</v>
      </c>
      <c r="D2304" t="str">
        <f>VLOOKUP(A2304,Planilha2!B:H,7,0)</f>
        <v>LINHA P5</v>
      </c>
      <c r="E2304" s="5">
        <v>6750</v>
      </c>
      <c r="F2304">
        <f>IFERROR(
IF(ISNUMBER(FIND("CFW110",B2304)),
VALUE(MID(B2304,FIND("CFW110",B2304)+6,FIND("T",B2304,FIND("CFW110",B2304))-(FIND("CFW110",B2304)+6))),
IF(ISNUMBER(FIND("D",B2304)),
VALUE(SUBSTITUTE(MID(B2304,FIND("D",B2304)+1,FIND("T",B2304,FIND("D",B2304))-(FIND("D",B2304)+1)),"P",",")),
IF(ISNUMBER(FIND("CFW5",B2304)),
VALUE(MID(B2304,
IF(ISNUMBER(FIND("F",B2304)),FIND("F",B2304)+1,FIND("G",B2304)+1),
FIND("T",B2304)-(IF(ISNUMBER(FIND("F",B2304)),FIND("F",B2304)+1,FIND("G",B2304)+1))
)),
VALUE(MID(B2304,FIND("E0",B2304)+2,FIND("T",B2304,FIND("E0",B2304))-(FIND("E0",B2304)+2)))
))),"")</f>
        <v>10</v>
      </c>
      <c r="G2304">
        <f>IFERROR(
IF(ISNUMBER(FIND("T2",B2304)),220,
IF(ISNUMBER(FIND("T4",B2304)),440,
IF(ISNUMBER(FIND("T5",B2304)),575,
IF(ISNUMBER(FIND("T6",B2304)),690,"")))),
"")</f>
        <v>220</v>
      </c>
    </row>
    <row r="2305" spans="1:7" x14ac:dyDescent="0.25">
      <c r="A2305">
        <v>13504990</v>
      </c>
      <c r="B2305" t="str">
        <f>VLOOKUP(A2305,Planilha2!B:C,2,0)</f>
        <v>INVERSOR BRCFW110013T2OSVZ</v>
      </c>
      <c r="C2305" t="s">
        <v>3169</v>
      </c>
      <c r="D2305" t="str">
        <f>VLOOKUP(A2305,Planilha2!B:H,7,0)</f>
        <v>LINHA P5</v>
      </c>
      <c r="E2305" s="5">
        <v>5350</v>
      </c>
      <c r="F2305">
        <f>IFERROR(
IF(ISNUMBER(FIND("CFW110",B2305)),
VALUE(MID(B2305,FIND("CFW110",B2305)+6,FIND("T",B2305,FIND("CFW110",B2305))-(FIND("CFW110",B2305)+6))),
IF(ISNUMBER(FIND("D",B2305)),
VALUE(SUBSTITUTE(MID(B2305,FIND("D",B2305)+1,FIND("T",B2305,FIND("D",B2305))-(FIND("D",B2305)+1)),"P",",")),
IF(ISNUMBER(FIND("CFW5",B2305)),
VALUE(MID(B2305,
IF(ISNUMBER(FIND("F",B2305)),FIND("F",B2305)+1,FIND("G",B2305)+1),
FIND("T",B2305)-(IF(ISNUMBER(FIND("F",B2305)),FIND("F",B2305)+1,FIND("G",B2305)+1))
)),
VALUE(MID(B2305,FIND("E0",B2305)+2,FIND("T",B2305,FIND("E0",B2305))-(FIND("E0",B2305)+2)))
))),"")</f>
        <v>13</v>
      </c>
      <c r="G2305">
        <f>IFERROR(
IF(ISNUMBER(FIND("T2",B2305)),220,
IF(ISNUMBER(FIND("T4",B2305)),440,
IF(ISNUMBER(FIND("T5",B2305)),575,
IF(ISNUMBER(FIND("T6",B2305)),690,"")))),
"")</f>
        <v>220</v>
      </c>
    </row>
    <row r="2306" spans="1:7" x14ac:dyDescent="0.25">
      <c r="A2306">
        <v>13505109</v>
      </c>
      <c r="B2306" t="str">
        <f>VLOOKUP(A2306,Planilha2!B:C,2,0)</f>
        <v>INVERSOR BRCFW110003T4OSVZ</v>
      </c>
      <c r="C2306" t="s">
        <v>3169</v>
      </c>
      <c r="D2306" t="str">
        <f>VLOOKUP(A2306,Planilha2!B:H,7,0)</f>
        <v>LINHA P5</v>
      </c>
      <c r="E2306" s="5">
        <v>5050</v>
      </c>
      <c r="F2306">
        <f>IFERROR(
IF(ISNUMBER(FIND("CFW110",B2306)),
VALUE(MID(B2306,FIND("CFW110",B2306)+6,FIND("T",B2306,FIND("CFW110",B2306))-(FIND("CFW110",B2306)+6))),
IF(ISNUMBER(FIND("D",B2306)),
VALUE(SUBSTITUTE(MID(B2306,FIND("D",B2306)+1,FIND("T",B2306,FIND("D",B2306))-(FIND("D",B2306)+1)),"P",",")),
IF(ISNUMBER(FIND("CFW5",B2306)),
VALUE(MID(B2306,
IF(ISNUMBER(FIND("F",B2306)),FIND("F",B2306)+1,FIND("G",B2306)+1),
FIND("T",B2306)-(IF(ISNUMBER(FIND("F",B2306)),FIND("F",B2306)+1,FIND("G",B2306)+1))
)),
VALUE(MID(B2306,FIND("E0",B2306)+2,FIND("T",B2306,FIND("E0",B2306))-(FIND("E0",B2306)+2)))
))),"")</f>
        <v>3</v>
      </c>
      <c r="G2306">
        <f>IFERROR(
IF(ISNUMBER(FIND("T2",B2306)),220,
IF(ISNUMBER(FIND("T4",B2306)),440,
IF(ISNUMBER(FIND("T5",B2306)),575,
IF(ISNUMBER(FIND("T6",B2306)),690,"")))),
"")</f>
        <v>440</v>
      </c>
    </row>
    <row r="2307" spans="1:7" x14ac:dyDescent="0.25">
      <c r="A2307">
        <v>13505111</v>
      </c>
      <c r="B2307" t="str">
        <f>VLOOKUP(A2307,Planilha2!B:C,2,0)</f>
        <v>INVERSOR BRCFW110005T4OSVZ</v>
      </c>
      <c r="C2307" t="s">
        <v>3169</v>
      </c>
      <c r="D2307" t="str">
        <f>VLOOKUP(A2307,Planilha2!B:H,7,0)</f>
        <v>LINHA P5</v>
      </c>
      <c r="E2307" s="5">
        <v>5250</v>
      </c>
      <c r="F2307">
        <f>IFERROR(
IF(ISNUMBER(FIND("CFW110",B2307)),
VALUE(MID(B2307,FIND("CFW110",B2307)+6,FIND("T",B2307,FIND("CFW110",B2307))-(FIND("CFW110",B2307)+6))),
IF(ISNUMBER(FIND("D",B2307)),
VALUE(SUBSTITUTE(MID(B2307,FIND("D",B2307)+1,FIND("T",B2307,FIND("D",B2307))-(FIND("D",B2307)+1)),"P",",")),
IF(ISNUMBER(FIND("CFW5",B2307)),
VALUE(MID(B2307,
IF(ISNUMBER(FIND("F",B2307)),FIND("F",B2307)+1,FIND("G",B2307)+1),
FIND("T",B2307)-(IF(ISNUMBER(FIND("F",B2307)),FIND("F",B2307)+1,FIND("G",B2307)+1))
)),
VALUE(MID(B2307,FIND("E0",B2307)+2,FIND("T",B2307,FIND("E0",B2307))-(FIND("E0",B2307)+2)))
))),"")</f>
        <v>5</v>
      </c>
      <c r="G2307">
        <f>IFERROR(
IF(ISNUMBER(FIND("T2",B2307)),220,
IF(ISNUMBER(FIND("T4",B2307)),440,
IF(ISNUMBER(FIND("T5",B2307)),575,
IF(ISNUMBER(FIND("T6",B2307)),690,"")))),
"")</f>
        <v>440</v>
      </c>
    </row>
    <row r="2308" spans="1:7" x14ac:dyDescent="0.25">
      <c r="A2308">
        <v>13505112</v>
      </c>
      <c r="B2308" t="str">
        <f>VLOOKUP(A2308,Planilha2!B:C,2,0)</f>
        <v>INVERSOR BRCFW110007T4OSVZ</v>
      </c>
      <c r="C2308" t="s">
        <v>3169</v>
      </c>
      <c r="D2308" t="str">
        <f>VLOOKUP(A2308,Planilha2!B:H,7,0)</f>
        <v>LINHA P5</v>
      </c>
      <c r="E2308" s="5">
        <v>5250</v>
      </c>
      <c r="F2308">
        <f>IFERROR(
IF(ISNUMBER(FIND("CFW110",B2308)),
VALUE(MID(B2308,FIND("CFW110",B2308)+6,FIND("T",B2308,FIND("CFW110",B2308))-(FIND("CFW110",B2308)+6))),
IF(ISNUMBER(FIND("D",B2308)),
VALUE(SUBSTITUTE(MID(B2308,FIND("D",B2308)+1,FIND("T",B2308,FIND("D",B2308))-(FIND("D",B2308)+1)),"P",",")),
IF(ISNUMBER(FIND("CFW5",B2308)),
VALUE(MID(B2308,
IF(ISNUMBER(FIND("F",B2308)),FIND("F",B2308)+1,FIND("G",B2308)+1),
FIND("T",B2308)-(IF(ISNUMBER(FIND("F",B2308)),FIND("F",B2308)+1,FIND("G",B2308)+1))
)),
VALUE(MID(B2308,FIND("E0",B2308)+2,FIND("T",B2308,FIND("E0",B2308))-(FIND("E0",B2308)+2)))
))),"")</f>
        <v>7</v>
      </c>
      <c r="G2308">
        <f>IFERROR(
IF(ISNUMBER(FIND("T2",B2308)),220,
IF(ISNUMBER(FIND("T4",B2308)),440,
IF(ISNUMBER(FIND("T5",B2308)),575,
IF(ISNUMBER(FIND("T6",B2308)),690,"")))),
"")</f>
        <v>440</v>
      </c>
    </row>
    <row r="2309" spans="1:7" x14ac:dyDescent="0.25">
      <c r="A2309">
        <v>13505114</v>
      </c>
      <c r="B2309" t="str">
        <f>VLOOKUP(A2309,Planilha2!B:C,2,0)</f>
        <v>INVERSOR BRCFW110010T4OSVZ</v>
      </c>
      <c r="C2309" t="s">
        <v>3169</v>
      </c>
      <c r="D2309" t="str">
        <f>VLOOKUP(A2309,Planilha2!B:H,7,0)</f>
        <v>LINHA P5</v>
      </c>
      <c r="E2309" s="5">
        <v>5450</v>
      </c>
      <c r="F2309">
        <f>IFERROR(
IF(ISNUMBER(FIND("CFW110",B2309)),
VALUE(MID(B2309,FIND("CFW110",B2309)+6,FIND("T",B2309,FIND("CFW110",B2309))-(FIND("CFW110",B2309)+6))),
IF(ISNUMBER(FIND("D",B2309)),
VALUE(SUBSTITUTE(MID(B2309,FIND("D",B2309)+1,FIND("T",B2309,FIND("D",B2309))-(FIND("D",B2309)+1)),"P",",")),
IF(ISNUMBER(FIND("CFW5",B2309)),
VALUE(MID(B2309,
IF(ISNUMBER(FIND("F",B2309)),FIND("F",B2309)+1,FIND("G",B2309)+1),
FIND("T",B2309)-(IF(ISNUMBER(FIND("F",B2309)),FIND("F",B2309)+1,FIND("G",B2309)+1))
)),
VALUE(MID(B2309,FIND("E0",B2309)+2,FIND("T",B2309,FIND("E0",B2309))-(FIND("E0",B2309)+2)))
))),"")</f>
        <v>10</v>
      </c>
      <c r="G2309">
        <f>IFERROR(
IF(ISNUMBER(FIND("T2",B2309)),220,
IF(ISNUMBER(FIND("T4",B2309)),440,
IF(ISNUMBER(FIND("T5",B2309)),575,
IF(ISNUMBER(FIND("T6",B2309)),690,"")))),
"")</f>
        <v>440</v>
      </c>
    </row>
    <row r="2310" spans="1:7" x14ac:dyDescent="0.25">
      <c r="A2310">
        <v>13673009</v>
      </c>
      <c r="B2310" t="str">
        <f>VLOOKUP(A2310,Planilha2!B:C,2,0)</f>
        <v>INVERSOR BRCFW110024T4OFAS7Z</v>
      </c>
      <c r="C2310" t="s">
        <v>3169</v>
      </c>
      <c r="D2310" t="str">
        <f>VLOOKUP(A2310,Planilha2!B:H,7,0)</f>
        <v>LINHA P7</v>
      </c>
      <c r="E2310" t="s">
        <v>3172</v>
      </c>
      <c r="F2310">
        <f>IFERROR(
IF(ISNUMBER(FIND("CFW110",B2310)),
VALUE(MID(B2310,FIND("CFW110",B2310)+6,FIND("T",B2310,FIND("CFW110",B2310))-(FIND("CFW110",B2310)+6))),
IF(ISNUMBER(FIND("D",B2310)),
VALUE(SUBSTITUTE(MID(B2310,FIND("D",B2310)+1,FIND("T",B2310,FIND("D",B2310))-(FIND("D",B2310)+1)),"P",",")),
IF(ISNUMBER(FIND("CFW5",B2310)),
VALUE(MID(B2310,
IF(ISNUMBER(FIND("F",B2310)),FIND("F",B2310)+1,FIND("G",B2310)+1),
FIND("T",B2310)-(IF(ISNUMBER(FIND("F",B2310)),FIND("F",B2310)+1,FIND("G",B2310)+1))
)),
VALUE(MID(B2310,FIND("E0",B2310)+2,FIND("T",B2310,FIND("E0",B2310))-(FIND("E0",B2310)+2)))
))),"")</f>
        <v>24</v>
      </c>
      <c r="G2310">
        <f>IFERROR(
IF(ISNUMBER(FIND("T2",B2310)),220,
IF(ISNUMBER(FIND("T4",B2310)),440,
IF(ISNUMBER(FIND("T5",B2310)),575,
IF(ISNUMBER(FIND("T6",B2310)),690,"")))),
"")</f>
        <v>440</v>
      </c>
    </row>
    <row r="2311" spans="1:7" x14ac:dyDescent="0.25">
      <c r="A2311">
        <v>13707183</v>
      </c>
      <c r="B2311" t="str">
        <f>VLOOKUP(A2311,Planilha2!B:C,2,0)</f>
        <v>INVERSOR BRCFW110033T2OYWZ</v>
      </c>
      <c r="C2311" t="s">
        <v>3169</v>
      </c>
      <c r="D2311" t="str">
        <f>VLOOKUP(A2311,Planilha2!B:H,7,0)</f>
        <v>LINHA P7</v>
      </c>
      <c r="E2311" t="s">
        <v>3172</v>
      </c>
      <c r="F2311">
        <f>IFERROR(
IF(ISNUMBER(FIND("CFW110",B2311)),
VALUE(MID(B2311,FIND("CFW110",B2311)+6,FIND("T",B2311,FIND("CFW110",B2311))-(FIND("CFW110",B2311)+6))),
IF(ISNUMBER(FIND("D",B2311)),
VALUE(SUBSTITUTE(MID(B2311,FIND("D",B2311)+1,FIND("T",B2311,FIND("D",B2311))-(FIND("D",B2311)+1)),"P",",")),
IF(ISNUMBER(FIND("CFW5",B2311)),
VALUE(MID(B2311,
IF(ISNUMBER(FIND("F",B2311)),FIND("F",B2311)+1,FIND("G",B2311)+1),
FIND("T",B2311)-(IF(ISNUMBER(FIND("F",B2311)),FIND("F",B2311)+1,FIND("G",B2311)+1))
)),
VALUE(MID(B2311,FIND("E0",B2311)+2,FIND("T",B2311,FIND("E0",B2311))-(FIND("E0",B2311)+2)))
))),"")</f>
        <v>33</v>
      </c>
      <c r="G2311">
        <f>IFERROR(
IF(ISNUMBER(FIND("T2",B2311)),220,
IF(ISNUMBER(FIND("T4",B2311)),440,
IF(ISNUMBER(FIND("T5",B2311)),575,
IF(ISNUMBER(FIND("T6",B2311)),690,"")))),
"")</f>
        <v>220</v>
      </c>
    </row>
    <row r="2312" spans="1:7" x14ac:dyDescent="0.25">
      <c r="A2312">
        <v>13651195</v>
      </c>
      <c r="B2312" t="str">
        <f>VLOOKUP(A2312,Planilha2!B:C,2,0)</f>
        <v>INVERSOR EUCFW110007T4OFASWZ</v>
      </c>
      <c r="C2312" t="s">
        <v>3169</v>
      </c>
      <c r="D2312" t="str">
        <f>VLOOKUP(A2312,Planilha2!B:H,7,0)</f>
        <v>LINHA P5</v>
      </c>
      <c r="E2312" t="s">
        <v>3172</v>
      </c>
      <c r="F2312">
        <f>IFERROR(
IF(ISNUMBER(FIND("CFW110",B2312)),
VALUE(MID(B2312,FIND("CFW110",B2312)+6,FIND("T",B2312,FIND("CFW110",B2312))-(FIND("CFW110",B2312)+6))),
IF(ISNUMBER(FIND("D",B2312)),
VALUE(SUBSTITUTE(MID(B2312,FIND("D",B2312)+1,FIND("T",B2312,FIND("D",B2312))-(FIND("D",B2312)+1)),"P",",")),
IF(ISNUMBER(FIND("CFW5",B2312)),
VALUE(MID(B2312,
IF(ISNUMBER(FIND("F",B2312)),FIND("F",B2312)+1,FIND("G",B2312)+1),
FIND("T",B2312)-(IF(ISNUMBER(FIND("F",B2312)),FIND("F",B2312)+1,FIND("G",B2312)+1))
)),
VALUE(MID(B2312,FIND("E0",B2312)+2,FIND("T",B2312,FIND("E0",B2312))-(FIND("E0",B2312)+2)))
))),"")</f>
        <v>7</v>
      </c>
      <c r="G2312">
        <f>IFERROR(
IF(ISNUMBER(FIND("T2",B2312)),220,
IF(ISNUMBER(FIND("T4",B2312)),440,
IF(ISNUMBER(FIND("T5",B2312)),575,
IF(ISNUMBER(FIND("T6",B2312)),690,"")))),
"")</f>
        <v>440</v>
      </c>
    </row>
    <row r="2313" spans="1:7" x14ac:dyDescent="0.25">
      <c r="A2313">
        <v>13660103</v>
      </c>
      <c r="B2313" t="str">
        <f>VLOOKUP(A2313,Planilha2!B:C,2,0)</f>
        <v>INVERSOR MSCFW110031T4OFAYWZ</v>
      </c>
      <c r="C2313" t="s">
        <v>3169</v>
      </c>
      <c r="D2313" t="str">
        <f>VLOOKUP(A2313,Planilha2!B:H,7,0)</f>
        <v>LINHA P7</v>
      </c>
      <c r="E2313" s="5">
        <v>10861</v>
      </c>
      <c r="F2313">
        <f>IFERROR(
IF(ISNUMBER(FIND("CFW110",B2313)),
VALUE(MID(B2313,FIND("CFW110",B2313)+6,FIND("T",B2313,FIND("CFW110",B2313))-(FIND("CFW110",B2313)+6))),
IF(ISNUMBER(FIND("D",B2313)),
VALUE(SUBSTITUTE(MID(B2313,FIND("D",B2313)+1,FIND("T",B2313,FIND("D",B2313))-(FIND("D",B2313)+1)),"P",",")),
IF(ISNUMBER(FIND("CFW5",B2313)),
VALUE(MID(B2313,
IF(ISNUMBER(FIND("F",B2313)),FIND("F",B2313)+1,FIND("G",B2313)+1),
FIND("T",B2313)-(IF(ISNUMBER(FIND("F",B2313)),FIND("F",B2313)+1,FIND("G",B2313)+1))
)),
VALUE(MID(B2313,FIND("E0",B2313)+2,FIND("T",B2313,FIND("E0",B2313))-(FIND("E0",B2313)+2)))
))),"")</f>
        <v>31</v>
      </c>
      <c r="G2313">
        <f>IFERROR(
IF(ISNUMBER(FIND("T2",B2313)),220,
IF(ISNUMBER(FIND("T4",B2313)),440,
IF(ISNUMBER(FIND("T5",B2313)),575,
IF(ISNUMBER(FIND("T6",B2313)),690,"")))),
"")</f>
        <v>440</v>
      </c>
    </row>
    <row r="2314" spans="1:7" x14ac:dyDescent="0.25">
      <c r="A2314">
        <v>13660105</v>
      </c>
      <c r="B2314" t="str">
        <f>VLOOKUP(A2314,Planilha2!B:C,2,0)</f>
        <v>INVERSOR MSCFW110017T4OFAYWZ</v>
      </c>
      <c r="C2314" t="s">
        <v>3169</v>
      </c>
      <c r="D2314" t="str">
        <f>VLOOKUP(A2314,Planilha2!B:H,7,0)</f>
        <v>LINHA P7</v>
      </c>
      <c r="E2314" s="5">
        <v>9471</v>
      </c>
      <c r="F2314">
        <f>IFERROR(
IF(ISNUMBER(FIND("CFW110",B2314)),
VALUE(MID(B2314,FIND("CFW110",B2314)+6,FIND("T",B2314,FIND("CFW110",B2314))-(FIND("CFW110",B2314)+6))),
IF(ISNUMBER(FIND("D",B2314)),
VALUE(SUBSTITUTE(MID(B2314,FIND("D",B2314)+1,FIND("T",B2314,FIND("D",B2314))-(FIND("D",B2314)+1)),"P",",")),
IF(ISNUMBER(FIND("CFW5",B2314)),
VALUE(MID(B2314,
IF(ISNUMBER(FIND("F",B2314)),FIND("F",B2314)+1,FIND("G",B2314)+1),
FIND("T",B2314)-(IF(ISNUMBER(FIND("F",B2314)),FIND("F",B2314)+1,FIND("G",B2314)+1))
)),
VALUE(MID(B2314,FIND("E0",B2314)+2,FIND("T",B2314,FIND("E0",B2314))-(FIND("E0",B2314)+2)))
))),"")</f>
        <v>17</v>
      </c>
      <c r="G2314">
        <f>IFERROR(
IF(ISNUMBER(FIND("T2",B2314)),220,
IF(ISNUMBER(FIND("T4",B2314)),440,
IF(ISNUMBER(FIND("T5",B2314)),575,
IF(ISNUMBER(FIND("T6",B2314)),690,"")))),
"")</f>
        <v>440</v>
      </c>
    </row>
    <row r="2315" spans="1:7" x14ac:dyDescent="0.25">
      <c r="A2315">
        <v>13747392</v>
      </c>
      <c r="B2315" t="str">
        <f>VLOOKUP(A2315,Planilha2!B:C,2,0)</f>
        <v>INVERSOR BRCFW110017T4OH4SPZ</v>
      </c>
      <c r="C2315" t="s">
        <v>3169</v>
      </c>
      <c r="D2315" t="str">
        <f>VLOOKUP(A2315,Planilha2!B:H,7,0)</f>
        <v>LINHA P7</v>
      </c>
      <c r="E2315" s="5">
        <v>74841</v>
      </c>
      <c r="F2315">
        <f>IFERROR(
IF(ISNUMBER(FIND("CFW110",B2315)),
VALUE(MID(B2315,FIND("CFW110",B2315)+6,FIND("T",B2315,FIND("CFW110",B2315))-(FIND("CFW110",B2315)+6))),
IF(ISNUMBER(FIND("D",B2315)),
VALUE(SUBSTITUTE(MID(B2315,FIND("D",B2315)+1,FIND("T",B2315,FIND("D",B2315))-(FIND("D",B2315)+1)),"P",",")),
IF(ISNUMBER(FIND("CFW5",B2315)),
VALUE(MID(B2315,
IF(ISNUMBER(FIND("F",B2315)),FIND("F",B2315)+1,FIND("G",B2315)+1),
FIND("T",B2315)-(IF(ISNUMBER(FIND("F",B2315)),FIND("F",B2315)+1,FIND("G",B2315)+1))
)),
VALUE(MID(B2315,FIND("E0",B2315)+2,FIND("T",B2315,FIND("E0",B2315))-(FIND("E0",B2315)+2)))
))),"")</f>
        <v>17</v>
      </c>
      <c r="G2315">
        <f>IFERROR(
IF(ISNUMBER(FIND("T2",B2315)),220,
IF(ISNUMBER(FIND("T4",B2315)),440,
IF(ISNUMBER(FIND("T5",B2315)),575,
IF(ISNUMBER(FIND("T6",B2315)),690,"")))),
"")</f>
        <v>440</v>
      </c>
    </row>
    <row r="2316" spans="1:7" x14ac:dyDescent="0.25">
      <c r="A2316">
        <v>13747397</v>
      </c>
      <c r="B2316" t="str">
        <f>VLOOKUP(A2316,Planilha2!B:C,2,0)</f>
        <v>INVERSOR BRCFW110031T4OFAH4SMZ</v>
      </c>
      <c r="C2316" t="s">
        <v>3169</v>
      </c>
      <c r="D2316" t="str">
        <f>VLOOKUP(A2316,Planilha2!B:H,7,0)</f>
        <v>LINHA P7</v>
      </c>
      <c r="E2316" s="5">
        <v>6881</v>
      </c>
      <c r="F2316">
        <f>IFERROR(
IF(ISNUMBER(FIND("CFW110",B2316)),
VALUE(MID(B2316,FIND("CFW110",B2316)+6,FIND("T",B2316,FIND("CFW110",B2316))-(FIND("CFW110",B2316)+6))),
IF(ISNUMBER(FIND("D",B2316)),
VALUE(SUBSTITUTE(MID(B2316,FIND("D",B2316)+1,FIND("T",B2316,FIND("D",B2316))-(FIND("D",B2316)+1)),"P",",")),
IF(ISNUMBER(FIND("CFW5",B2316)),
VALUE(MID(B2316,
IF(ISNUMBER(FIND("F",B2316)),FIND("F",B2316)+1,FIND("G",B2316)+1),
FIND("T",B2316)-(IF(ISNUMBER(FIND("F",B2316)),FIND("F",B2316)+1,FIND("G",B2316)+1))
)),
VALUE(MID(B2316,FIND("E0",B2316)+2,FIND("T",B2316,FIND("E0",B2316))-(FIND("E0",B2316)+2)))
))),"")</f>
        <v>31</v>
      </c>
      <c r="G2316">
        <f>IFERROR(
IF(ISNUMBER(FIND("T2",B2316)),220,
IF(ISNUMBER(FIND("T4",B2316)),440,
IF(ISNUMBER(FIND("T5",B2316)),575,
IF(ISNUMBER(FIND("T6",B2316)),690,"")))),
"")</f>
        <v>440</v>
      </c>
    </row>
    <row r="2317" spans="1:7" x14ac:dyDescent="0.25">
      <c r="A2317">
        <v>13765023</v>
      </c>
      <c r="B2317" t="str">
        <f>VLOOKUP(A2317,Planilha2!B:C,2,0)</f>
        <v>INVERSOR BRCFW110031T4OH4Z</v>
      </c>
      <c r="C2317" t="s">
        <v>3169</v>
      </c>
      <c r="D2317" t="str">
        <f>VLOOKUP(A2317,Planilha2!B:H,7,0)</f>
        <v>LINHA P7</v>
      </c>
      <c r="E2317" s="5">
        <v>4860</v>
      </c>
      <c r="F2317">
        <f>IFERROR(
IF(ISNUMBER(FIND("CFW110",B2317)),
VALUE(MID(B2317,FIND("CFW110",B2317)+6,FIND("T",B2317,FIND("CFW110",B2317))-(FIND("CFW110",B2317)+6))),
IF(ISNUMBER(FIND("D",B2317)),
VALUE(SUBSTITUTE(MID(B2317,FIND("D",B2317)+1,FIND("T",B2317,FIND("D",B2317))-(FIND("D",B2317)+1)),"P",",")),
IF(ISNUMBER(FIND("CFW5",B2317)),
VALUE(MID(B2317,
IF(ISNUMBER(FIND("F",B2317)),FIND("F",B2317)+1,FIND("G",B2317)+1),
FIND("T",B2317)-(IF(ISNUMBER(FIND("F",B2317)),FIND("F",B2317)+1,FIND("G",B2317)+1))
)),
VALUE(MID(B2317,FIND("E0",B2317)+2,FIND("T",B2317,FIND("E0",B2317))-(FIND("E0",B2317)+2)))
))),"")</f>
        <v>31</v>
      </c>
      <c r="G2317">
        <f>IFERROR(
IF(ISNUMBER(FIND("T2",B2317)),220,
IF(ISNUMBER(FIND("T4",B2317)),440,
IF(ISNUMBER(FIND("T5",B2317)),575,
IF(ISNUMBER(FIND("T6",B2317)),690,"")))),
"")</f>
        <v>440</v>
      </c>
    </row>
    <row r="2318" spans="1:7" x14ac:dyDescent="0.25">
      <c r="A2318">
        <v>13839240</v>
      </c>
      <c r="B2318" t="str">
        <f>VLOOKUP(A2318,Planilha2!B:C,2,0)</f>
        <v>INVERSOR BRCFW110033T2OFAYZ</v>
      </c>
      <c r="C2318" t="s">
        <v>3169</v>
      </c>
      <c r="D2318" t="str">
        <f>VLOOKUP(A2318,Planilha2!B:H,7,0)</f>
        <v>LINHA P7</v>
      </c>
      <c r="E2318" s="5">
        <v>9561</v>
      </c>
      <c r="F2318">
        <f>IFERROR(
IF(ISNUMBER(FIND("CFW110",B2318)),
VALUE(MID(B2318,FIND("CFW110",B2318)+6,FIND("T",B2318,FIND("CFW110",B2318))-(FIND("CFW110",B2318)+6))),
IF(ISNUMBER(FIND("D",B2318)),
VALUE(SUBSTITUTE(MID(B2318,FIND("D",B2318)+1,FIND("T",B2318,FIND("D",B2318))-(FIND("D",B2318)+1)),"P",",")),
IF(ISNUMBER(FIND("CFW5",B2318)),
VALUE(MID(B2318,
IF(ISNUMBER(FIND("F",B2318)),FIND("F",B2318)+1,FIND("G",B2318)+1),
FIND("T",B2318)-(IF(ISNUMBER(FIND("F",B2318)),FIND("F",B2318)+1,FIND("G",B2318)+1))
)),
VALUE(MID(B2318,FIND("E0",B2318)+2,FIND("T",B2318,FIND("E0",B2318))-(FIND("E0",B2318)+2)))
))),"")</f>
        <v>33</v>
      </c>
      <c r="G2318">
        <f>IFERROR(
IF(ISNUMBER(FIND("T2",B2318)),220,
IF(ISNUMBER(FIND("T4",B2318)),440,
IF(ISNUMBER(FIND("T5",B2318)),575,
IF(ISNUMBER(FIND("T6",B2318)),690,"")))),
"")</f>
        <v>220</v>
      </c>
    </row>
    <row r="2319" spans="1:7" x14ac:dyDescent="0.25">
      <c r="A2319">
        <v>13871862</v>
      </c>
      <c r="B2319" t="str">
        <f>VLOOKUP(A2319,Planilha2!B:C,2,0)</f>
        <v>INVERSOR EUCFW110024T4O55FADSYZ</v>
      </c>
      <c r="C2319" t="s">
        <v>3169</v>
      </c>
      <c r="D2319" t="str">
        <f>VLOOKUP(A2319,Planilha2!B:H,7,0)</f>
        <v>LINHA M3</v>
      </c>
      <c r="E2319" s="5">
        <v>10023</v>
      </c>
      <c r="F2319">
        <f>IFERROR(
IF(ISNUMBER(FIND("CFW110",B2319)),
VALUE(MID(B2319,FIND("CFW110",B2319)+6,FIND("T",B2319,FIND("CFW110",B2319))-(FIND("CFW110",B2319)+6))),
IF(ISNUMBER(FIND("D",B2319)),
VALUE(SUBSTITUTE(MID(B2319,FIND("D",B2319)+1,FIND("T",B2319,FIND("D",B2319))-(FIND("D",B2319)+1)),"P",",")),
IF(ISNUMBER(FIND("CFW5",B2319)),
VALUE(MID(B2319,
IF(ISNUMBER(FIND("F",B2319)),FIND("F",B2319)+1,FIND("G",B2319)+1),
FIND("T",B2319)-(IF(ISNUMBER(FIND("F",B2319)),FIND("F",B2319)+1,FIND("G",B2319)+1))
)),
VALUE(MID(B2319,FIND("E0",B2319)+2,FIND("T",B2319,FIND("E0",B2319))-(FIND("E0",B2319)+2)))
))),"")</f>
        <v>24</v>
      </c>
      <c r="G2319">
        <f>IFERROR(
IF(ISNUMBER(FIND("T2",B2319)),220,
IF(ISNUMBER(FIND("T4",B2319)),440,
IF(ISNUMBER(FIND("T5",B2319)),575,
IF(ISNUMBER(FIND("T6",B2319)),690,"")))),
"")</f>
        <v>440</v>
      </c>
    </row>
    <row r="2320" spans="1:7" x14ac:dyDescent="0.25">
      <c r="A2320">
        <v>13920013</v>
      </c>
      <c r="B2320" t="str">
        <f>VLOOKUP(A2320,Planilha2!B:C,2,0)</f>
        <v>INVERSOR CFW700B06P0S2DB55C3DS</v>
      </c>
      <c r="C2320" t="s">
        <v>3169</v>
      </c>
      <c r="D2320" t="str">
        <f>VLOOKUP(A2320,Planilha2!B:H,7,0)</f>
        <v>OBSOLETOS DRIVES</v>
      </c>
      <c r="E2320" s="5">
        <v>4500</v>
      </c>
      <c r="F2320" t="str">
        <f>IFERROR(
IF(ISNUMBER(FIND("CFW110",B2320)),
VALUE(MID(B2320,FIND("CFW110",B2320)+6,FIND("T",B2320,FIND("CFW110",B2320))-(FIND("CFW110",B2320)+6))),
IF(ISNUMBER(FIND("D",B2320)),
VALUE(SUBSTITUTE(MID(B2320,FIND("D",B2320)+1,FIND("T",B2320,FIND("D",B2320))-(FIND("D",B2320)+1)),"P",",")),
IF(ISNUMBER(FIND("CFW5",B2320)),
VALUE(MID(B2320,
IF(ISNUMBER(FIND("F",B2320)),FIND("F",B2320)+1,FIND("G",B2320)+1),
FIND("T",B2320)-(IF(ISNUMBER(FIND("F",B2320)),FIND("F",B2320)+1,FIND("G",B2320)+1))
)),
VALUE(MID(B2320,FIND("E0",B2320)+2,FIND("T",B2320,FIND("E0",B2320))-(FIND("E0",B2320)+2)))
))),"")</f>
        <v/>
      </c>
      <c r="G2320" t="str">
        <f>IFERROR(
IF(ISNUMBER(FIND("T2",B2320)),220,
IF(ISNUMBER(FIND("T4",B2320)),440,
IF(ISNUMBER(FIND("T5",B2320)),575,
IF(ISNUMBER(FIND("T6",B2320)),690,"")))),
"")</f>
        <v/>
      </c>
    </row>
    <row r="2321" spans="1:7" x14ac:dyDescent="0.25">
      <c r="A2321">
        <v>13907184</v>
      </c>
      <c r="B2321" t="str">
        <f>VLOOKUP(A2321,Planilha2!B:C,2,0)</f>
        <v>INVERSOR BRCFW110010T2OFAH4SSZ</v>
      </c>
      <c r="C2321" t="s">
        <v>3169</v>
      </c>
      <c r="D2321" t="str">
        <f>VLOOKUP(A2321,Planilha2!B:H,7,0)</f>
        <v>LINHA P5</v>
      </c>
      <c r="E2321" s="5">
        <v>5450</v>
      </c>
      <c r="F2321">
        <f>IFERROR(
IF(ISNUMBER(FIND("CFW110",B2321)),
VALUE(MID(B2321,FIND("CFW110",B2321)+6,FIND("T",B2321,FIND("CFW110",B2321))-(FIND("CFW110",B2321)+6))),
IF(ISNUMBER(FIND("D",B2321)),
VALUE(SUBSTITUTE(MID(B2321,FIND("D",B2321)+1,FIND("T",B2321,FIND("D",B2321))-(FIND("D",B2321)+1)),"P",",")),
IF(ISNUMBER(FIND("CFW5",B2321)),
VALUE(MID(B2321,
IF(ISNUMBER(FIND("F",B2321)),FIND("F",B2321)+1,FIND("G",B2321)+1),
FIND("T",B2321)-(IF(ISNUMBER(FIND("F",B2321)),FIND("F",B2321)+1,FIND("G",B2321)+1))
)),
VALUE(MID(B2321,FIND("E0",B2321)+2,FIND("T",B2321,FIND("E0",B2321))-(FIND("E0",B2321)+2)))
))),"")</f>
        <v>10</v>
      </c>
      <c r="G2321">
        <f>IFERROR(
IF(ISNUMBER(FIND("T2",B2321)),220,
IF(ISNUMBER(FIND("T4",B2321)),440,
IF(ISNUMBER(FIND("T5",B2321)),575,
IF(ISNUMBER(FIND("T6",B2321)),690,"")))),
"")</f>
        <v>220</v>
      </c>
    </row>
    <row r="2322" spans="1:7" x14ac:dyDescent="0.25">
      <c r="A2322">
        <v>13907187</v>
      </c>
      <c r="B2322" t="str">
        <f>VLOOKUP(A2322,Planilha2!B:C,2,0)</f>
        <v>INVERSOR BRCFW110013T2OFAH4SSZ</v>
      </c>
      <c r="C2322" t="s">
        <v>3169</v>
      </c>
      <c r="D2322" t="str">
        <f>VLOOKUP(A2322,Planilha2!B:H,7,0)</f>
        <v>LINHA P5</v>
      </c>
      <c r="E2322" s="5">
        <v>5450</v>
      </c>
      <c r="F2322">
        <f>IFERROR(
IF(ISNUMBER(FIND("CFW110",B2322)),
VALUE(MID(B2322,FIND("CFW110",B2322)+6,FIND("T",B2322,FIND("CFW110",B2322))-(FIND("CFW110",B2322)+6))),
IF(ISNUMBER(FIND("D",B2322)),
VALUE(SUBSTITUTE(MID(B2322,FIND("D",B2322)+1,FIND("T",B2322,FIND("D",B2322))-(FIND("D",B2322)+1)),"P",",")),
IF(ISNUMBER(FIND("CFW5",B2322)),
VALUE(MID(B2322,
IF(ISNUMBER(FIND("F",B2322)),FIND("F",B2322)+1,FIND("G",B2322)+1),
FIND("T",B2322)-(IF(ISNUMBER(FIND("F",B2322)),FIND("F",B2322)+1,FIND("G",B2322)+1))
)),
VALUE(MID(B2322,FIND("E0",B2322)+2,FIND("T",B2322,FIND("E0",B2322))-(FIND("E0",B2322)+2)))
))),"")</f>
        <v>13</v>
      </c>
      <c r="G2322">
        <f>IFERROR(
IF(ISNUMBER(FIND("T2",B2322)),220,
IF(ISNUMBER(FIND("T4",B2322)),440,
IF(ISNUMBER(FIND("T5",B2322)),575,
IF(ISNUMBER(FIND("T6",B2322)),690,"")))),
"")</f>
        <v>220</v>
      </c>
    </row>
    <row r="2323" spans="1:7" x14ac:dyDescent="0.25">
      <c r="A2323">
        <v>13913660</v>
      </c>
      <c r="B2323" t="str">
        <f>VLOOKUP(A2323,Planilha2!B:C,2,0)</f>
        <v>INVERSOR EUCFW110003T4O55FADSYZ</v>
      </c>
      <c r="C2323" t="s">
        <v>3169</v>
      </c>
      <c r="D2323" t="str">
        <f>VLOOKUP(A2323,Planilha2!B:H,7,0)</f>
        <v>LINHA M3</v>
      </c>
      <c r="E2323" s="5">
        <v>4822</v>
      </c>
      <c r="F2323">
        <f>IFERROR(
IF(ISNUMBER(FIND("CFW110",B2323)),
VALUE(MID(B2323,FIND("CFW110",B2323)+6,FIND("T",B2323,FIND("CFW110",B2323))-(FIND("CFW110",B2323)+6))),
IF(ISNUMBER(FIND("D",B2323)),
VALUE(SUBSTITUTE(MID(B2323,FIND("D",B2323)+1,FIND("T",B2323,FIND("D",B2323))-(FIND("D",B2323)+1)),"P",",")),
IF(ISNUMBER(FIND("CFW5",B2323)),
VALUE(MID(B2323,
IF(ISNUMBER(FIND("F",B2323)),FIND("F",B2323)+1,FIND("G",B2323)+1),
FIND("T",B2323)-(IF(ISNUMBER(FIND("F",B2323)),FIND("F",B2323)+1,FIND("G",B2323)+1))
)),
VALUE(MID(B2323,FIND("E0",B2323)+2,FIND("T",B2323,FIND("E0",B2323))-(FIND("E0",B2323)+2)))
))),"")</f>
        <v>3</v>
      </c>
      <c r="G2323">
        <f>IFERROR(
IF(ISNUMBER(FIND("T2",B2323)),220,
IF(ISNUMBER(FIND("T4",B2323)),440,
IF(ISNUMBER(FIND("T5",B2323)),575,
IF(ISNUMBER(FIND("T6",B2323)),690,"")))),
"")</f>
        <v>440</v>
      </c>
    </row>
    <row r="2324" spans="1:7" x14ac:dyDescent="0.25">
      <c r="A2324">
        <v>13913662</v>
      </c>
      <c r="B2324" t="str">
        <f>VLOOKUP(A2324,Planilha2!B:C,2,0)</f>
        <v>INVERSOR EUCFW110005T4O55FADSYZ</v>
      </c>
      <c r="C2324" t="s">
        <v>3169</v>
      </c>
      <c r="D2324" t="str">
        <f>VLOOKUP(A2324,Planilha2!B:H,7,0)</f>
        <v>LINHA M3</v>
      </c>
      <c r="E2324" s="5">
        <v>4822</v>
      </c>
      <c r="F2324">
        <f>IFERROR(
IF(ISNUMBER(FIND("CFW110",B2324)),
VALUE(MID(B2324,FIND("CFW110",B2324)+6,FIND("T",B2324,FIND("CFW110",B2324))-(FIND("CFW110",B2324)+6))),
IF(ISNUMBER(FIND("D",B2324)),
VALUE(SUBSTITUTE(MID(B2324,FIND("D",B2324)+1,FIND("T",B2324,FIND("D",B2324))-(FIND("D",B2324)+1)),"P",",")),
IF(ISNUMBER(FIND("CFW5",B2324)),
VALUE(MID(B2324,
IF(ISNUMBER(FIND("F",B2324)),FIND("F",B2324)+1,FIND("G",B2324)+1),
FIND("T",B2324)-(IF(ISNUMBER(FIND("F",B2324)),FIND("F",B2324)+1,FIND("G",B2324)+1))
)),
VALUE(MID(B2324,FIND("E0",B2324)+2,FIND("T",B2324,FIND("E0",B2324))-(FIND("E0",B2324)+2)))
))),"")</f>
        <v>5</v>
      </c>
      <c r="G2324">
        <f>IFERROR(
IF(ISNUMBER(FIND("T2",B2324)),220,
IF(ISNUMBER(FIND("T4",B2324)),440,
IF(ISNUMBER(FIND("T5",B2324)),575,
IF(ISNUMBER(FIND("T6",B2324)),690,"")))),
"")</f>
        <v>440</v>
      </c>
    </row>
    <row r="2325" spans="1:7" x14ac:dyDescent="0.25">
      <c r="A2325">
        <v>13913663</v>
      </c>
      <c r="B2325" t="str">
        <f>VLOOKUP(A2325,Planilha2!B:C,2,0)</f>
        <v>INVERSOR EUCFW110007T4O55FADSYZ</v>
      </c>
      <c r="C2325" t="s">
        <v>3169</v>
      </c>
      <c r="D2325" t="str">
        <f>VLOOKUP(A2325,Planilha2!B:H,7,0)</f>
        <v>LINHA M3</v>
      </c>
      <c r="E2325" s="5">
        <v>4822</v>
      </c>
      <c r="F2325">
        <f>IFERROR(
IF(ISNUMBER(FIND("CFW110",B2325)),
VALUE(MID(B2325,FIND("CFW110",B2325)+6,FIND("T",B2325,FIND("CFW110",B2325))-(FIND("CFW110",B2325)+6))),
IF(ISNUMBER(FIND("D",B2325)),
VALUE(SUBSTITUTE(MID(B2325,FIND("D",B2325)+1,FIND("T",B2325,FIND("D",B2325))-(FIND("D",B2325)+1)),"P",",")),
IF(ISNUMBER(FIND("CFW5",B2325)),
VALUE(MID(B2325,
IF(ISNUMBER(FIND("F",B2325)),FIND("F",B2325)+1,FIND("G",B2325)+1),
FIND("T",B2325)-(IF(ISNUMBER(FIND("F",B2325)),FIND("F",B2325)+1,FIND("G",B2325)+1))
)),
VALUE(MID(B2325,FIND("E0",B2325)+2,FIND("T",B2325,FIND("E0",B2325))-(FIND("E0",B2325)+2)))
))),"")</f>
        <v>7</v>
      </c>
      <c r="G2325">
        <f>IFERROR(
IF(ISNUMBER(FIND("T2",B2325)),220,
IF(ISNUMBER(FIND("T4",B2325)),440,
IF(ISNUMBER(FIND("T5",B2325)),575,
IF(ISNUMBER(FIND("T6",B2325)),690,"")))),
"")</f>
        <v>440</v>
      </c>
    </row>
    <row r="2326" spans="1:7" x14ac:dyDescent="0.25">
      <c r="A2326">
        <v>13913665</v>
      </c>
      <c r="B2326" t="str">
        <f>VLOOKUP(A2326,Planilha2!B:C,2,0)</f>
        <v>INVERSOR EUCFW110013T4O55FADSYZ</v>
      </c>
      <c r="C2326" t="s">
        <v>3169</v>
      </c>
      <c r="D2326" t="str">
        <f>VLOOKUP(A2326,Planilha2!B:H,7,0)</f>
        <v>LINHA M3</v>
      </c>
      <c r="E2326" s="5">
        <v>4822</v>
      </c>
      <c r="F2326">
        <f>IFERROR(
IF(ISNUMBER(FIND("CFW110",B2326)),
VALUE(MID(B2326,FIND("CFW110",B2326)+6,FIND("T",B2326,FIND("CFW110",B2326))-(FIND("CFW110",B2326)+6))),
IF(ISNUMBER(FIND("D",B2326)),
VALUE(SUBSTITUTE(MID(B2326,FIND("D",B2326)+1,FIND("T",B2326,FIND("D",B2326))-(FIND("D",B2326)+1)),"P",",")),
IF(ISNUMBER(FIND("CFW5",B2326)),
VALUE(MID(B2326,
IF(ISNUMBER(FIND("F",B2326)),FIND("F",B2326)+1,FIND("G",B2326)+1),
FIND("T",B2326)-(IF(ISNUMBER(FIND("F",B2326)),FIND("F",B2326)+1,FIND("G",B2326)+1))
)),
VALUE(MID(B2326,FIND("E0",B2326)+2,FIND("T",B2326,FIND("E0",B2326))-(FIND("E0",B2326)+2)))
))),"")</f>
        <v>13</v>
      </c>
      <c r="G2326">
        <f>IFERROR(
IF(ISNUMBER(FIND("T2",B2326)),220,
IF(ISNUMBER(FIND("T4",B2326)),440,
IF(ISNUMBER(FIND("T5",B2326)),575,
IF(ISNUMBER(FIND("T6",B2326)),690,"")))),
"")</f>
        <v>440</v>
      </c>
    </row>
    <row r="2327" spans="1:7" x14ac:dyDescent="0.25">
      <c r="A2327">
        <v>13913667</v>
      </c>
      <c r="B2327" t="str">
        <f>VLOOKUP(A2327,Planilha2!B:C,2,0)</f>
        <v>INVERSOR EUCFW110017T4O55FADSYZ</v>
      </c>
      <c r="C2327" t="s">
        <v>3169</v>
      </c>
      <c r="D2327" t="str">
        <f>VLOOKUP(A2327,Planilha2!B:H,7,0)</f>
        <v>LINHA M3</v>
      </c>
      <c r="E2327" s="5">
        <v>9422</v>
      </c>
      <c r="F2327">
        <f>IFERROR(
IF(ISNUMBER(FIND("CFW110",B2327)),
VALUE(MID(B2327,FIND("CFW110",B2327)+6,FIND("T",B2327,FIND("CFW110",B2327))-(FIND("CFW110",B2327)+6))),
IF(ISNUMBER(FIND("D",B2327)),
VALUE(SUBSTITUTE(MID(B2327,FIND("D",B2327)+1,FIND("T",B2327,FIND("D",B2327))-(FIND("D",B2327)+1)),"P",",")),
IF(ISNUMBER(FIND("CFW5",B2327)),
VALUE(MID(B2327,
IF(ISNUMBER(FIND("F",B2327)),FIND("F",B2327)+1,FIND("G",B2327)+1),
FIND("T",B2327)-(IF(ISNUMBER(FIND("F",B2327)),FIND("F",B2327)+1,FIND("G",B2327)+1))
)),
VALUE(MID(B2327,FIND("E0",B2327)+2,FIND("T",B2327,FIND("E0",B2327))-(FIND("E0",B2327)+2)))
))),"")</f>
        <v>17</v>
      </c>
      <c r="G2327">
        <f>IFERROR(
IF(ISNUMBER(FIND("T2",B2327)),220,
IF(ISNUMBER(FIND("T4",B2327)),440,
IF(ISNUMBER(FIND("T5",B2327)),575,
IF(ISNUMBER(FIND("T6",B2327)),690,"")))),
"")</f>
        <v>440</v>
      </c>
    </row>
    <row r="2328" spans="1:7" x14ac:dyDescent="0.25">
      <c r="A2328">
        <v>13957532</v>
      </c>
      <c r="B2328" t="str">
        <f>VLOOKUP(A2328,Planilha2!B:C,2,0)</f>
        <v>INVERSOR NACFW110010T4O55DSZ</v>
      </c>
      <c r="C2328" t="s">
        <v>3169</v>
      </c>
      <c r="D2328" t="str">
        <f>VLOOKUP(A2328,Planilha2!B:H,7,0)</f>
        <v>LINHA M3</v>
      </c>
      <c r="E2328" s="5">
        <v>4500</v>
      </c>
      <c r="F2328">
        <f>IFERROR(
IF(ISNUMBER(FIND("CFW110",B2328)),
VALUE(MID(B2328,FIND("CFW110",B2328)+6,FIND("T",B2328,FIND("CFW110",B2328))-(FIND("CFW110",B2328)+6))),
IF(ISNUMBER(FIND("D",B2328)),
VALUE(SUBSTITUTE(MID(B2328,FIND("D",B2328)+1,FIND("T",B2328,FIND("D",B2328))-(FIND("D",B2328)+1)),"P",",")),
IF(ISNUMBER(FIND("CFW5",B2328)),
VALUE(MID(B2328,
IF(ISNUMBER(FIND("F",B2328)),FIND("F",B2328)+1,FIND("G",B2328)+1),
FIND("T",B2328)-(IF(ISNUMBER(FIND("F",B2328)),FIND("F",B2328)+1,FIND("G",B2328)+1))
)),
VALUE(MID(B2328,FIND("E0",B2328)+2,FIND("T",B2328,FIND("E0",B2328))-(FIND("E0",B2328)+2)))
))),"")</f>
        <v>10</v>
      </c>
      <c r="G2328">
        <f>IFERROR(
IF(ISNUMBER(FIND("T2",B2328)),220,
IF(ISNUMBER(FIND("T4",B2328)),440,
IF(ISNUMBER(FIND("T5",B2328)),575,
IF(ISNUMBER(FIND("T6",B2328)),690,"")))),
"")</f>
        <v>440</v>
      </c>
    </row>
    <row r="2329" spans="1:7" x14ac:dyDescent="0.25">
      <c r="A2329">
        <v>13957534</v>
      </c>
      <c r="B2329" t="str">
        <f>VLOOKUP(A2329,Planilha2!B:C,2,0)</f>
        <v>INVERSOR NACFW110017T4O55DSZ</v>
      </c>
      <c r="C2329" t="s">
        <v>3169</v>
      </c>
      <c r="D2329" t="str">
        <f>VLOOKUP(A2329,Planilha2!B:H,7,0)</f>
        <v>LINHA M3</v>
      </c>
      <c r="E2329" s="5">
        <v>9100</v>
      </c>
      <c r="F2329">
        <f>IFERROR(
IF(ISNUMBER(FIND("CFW110",B2329)),
VALUE(MID(B2329,FIND("CFW110",B2329)+6,FIND("T",B2329,FIND("CFW110",B2329))-(FIND("CFW110",B2329)+6))),
IF(ISNUMBER(FIND("D",B2329)),
VALUE(SUBSTITUTE(MID(B2329,FIND("D",B2329)+1,FIND("T",B2329,FIND("D",B2329))-(FIND("D",B2329)+1)),"P",",")),
IF(ISNUMBER(FIND("CFW5",B2329)),
VALUE(MID(B2329,
IF(ISNUMBER(FIND("F",B2329)),FIND("F",B2329)+1,FIND("G",B2329)+1),
FIND("T",B2329)-(IF(ISNUMBER(FIND("F",B2329)),FIND("F",B2329)+1,FIND("G",B2329)+1))
)),
VALUE(MID(B2329,FIND("E0",B2329)+2,FIND("T",B2329,FIND("E0",B2329))-(FIND("E0",B2329)+2)))
))),"")</f>
        <v>17</v>
      </c>
      <c r="G2329">
        <f>IFERROR(
IF(ISNUMBER(FIND("T2",B2329)),220,
IF(ISNUMBER(FIND("T4",B2329)),440,
IF(ISNUMBER(FIND("T5",B2329)),575,
IF(ISNUMBER(FIND("T6",B2329)),690,"")))),
"")</f>
        <v>440</v>
      </c>
    </row>
    <row r="2330" spans="1:7" x14ac:dyDescent="0.25">
      <c r="A2330">
        <v>13957444</v>
      </c>
      <c r="B2330" t="str">
        <f>VLOOKUP(A2330,Planilha2!B:C,2,0)</f>
        <v>INVERSOR NACFW110017T4O55Z</v>
      </c>
      <c r="C2330" t="s">
        <v>3169</v>
      </c>
      <c r="D2330" t="str">
        <f>VLOOKUP(A2330,Planilha2!B:H,7,0)</f>
        <v>LINHA M3</v>
      </c>
      <c r="E2330" s="5">
        <v>9100</v>
      </c>
      <c r="F2330">
        <f>IFERROR(
IF(ISNUMBER(FIND("CFW110",B2330)),
VALUE(MID(B2330,FIND("CFW110",B2330)+6,FIND("T",B2330,FIND("CFW110",B2330))-(FIND("CFW110",B2330)+6))),
IF(ISNUMBER(FIND("D",B2330)),
VALUE(SUBSTITUTE(MID(B2330,FIND("D",B2330)+1,FIND("T",B2330,FIND("D",B2330))-(FIND("D",B2330)+1)),"P",",")),
IF(ISNUMBER(FIND("CFW5",B2330)),
VALUE(MID(B2330,
IF(ISNUMBER(FIND("F",B2330)),FIND("F",B2330)+1,FIND("G",B2330)+1),
FIND("T",B2330)-(IF(ISNUMBER(FIND("F",B2330)),FIND("F",B2330)+1,FIND("G",B2330)+1))
)),
VALUE(MID(B2330,FIND("E0",B2330)+2,FIND("T",B2330,FIND("E0",B2330))-(FIND("E0",B2330)+2)))
))),"")</f>
        <v>17</v>
      </c>
      <c r="G2330">
        <f>IFERROR(
IF(ISNUMBER(FIND("T2",B2330)),220,
IF(ISNUMBER(FIND("T4",B2330)),440,
IF(ISNUMBER(FIND("T5",B2330)),575,
IF(ISNUMBER(FIND("T6",B2330)),690,"")))),
"")</f>
        <v>440</v>
      </c>
    </row>
    <row r="2331" spans="1:7" x14ac:dyDescent="0.25">
      <c r="A2331">
        <v>13957442</v>
      </c>
      <c r="B2331" t="str">
        <f>VLOOKUP(A2331,Planilha2!B:C,2,0)</f>
        <v>INVERSOR NACFW110010T4O55Z</v>
      </c>
      <c r="C2331" t="s">
        <v>3169</v>
      </c>
      <c r="D2331" t="str">
        <f>VLOOKUP(A2331,Planilha2!B:H,7,0)</f>
        <v>LINHA M3</v>
      </c>
      <c r="E2331" s="5">
        <v>4500</v>
      </c>
      <c r="F2331">
        <f>IFERROR(
IF(ISNUMBER(FIND("CFW110",B2331)),
VALUE(MID(B2331,FIND("CFW110",B2331)+6,FIND("T",B2331,FIND("CFW110",B2331))-(FIND("CFW110",B2331)+6))),
IF(ISNUMBER(FIND("D",B2331)),
VALUE(SUBSTITUTE(MID(B2331,FIND("D",B2331)+1,FIND("T",B2331,FIND("D",B2331))-(FIND("D",B2331)+1)),"P",",")),
IF(ISNUMBER(FIND("CFW5",B2331)),
VALUE(MID(B2331,
IF(ISNUMBER(FIND("F",B2331)),FIND("F",B2331)+1,FIND("G",B2331)+1),
FIND("T",B2331)-(IF(ISNUMBER(FIND("F",B2331)),FIND("F",B2331)+1,FIND("G",B2331)+1))
)),
VALUE(MID(B2331,FIND("E0",B2331)+2,FIND("T",B2331,FIND("E0",B2331))-(FIND("E0",B2331)+2)))
))),"")</f>
        <v>10</v>
      </c>
      <c r="G2331">
        <f>IFERROR(
IF(ISNUMBER(FIND("T2",B2331)),220,
IF(ISNUMBER(FIND("T4",B2331)),440,
IF(ISNUMBER(FIND("T5",B2331)),575,
IF(ISNUMBER(FIND("T6",B2331)),690,"")))),
"")</f>
        <v>440</v>
      </c>
    </row>
    <row r="2332" spans="1:7" x14ac:dyDescent="0.25">
      <c r="A2332">
        <v>13957536</v>
      </c>
      <c r="B2332" t="str">
        <f>VLOOKUP(A2332,Planilha2!B:C,2,0)</f>
        <v>INVERSOR NACFW110024T4O55DSZ</v>
      </c>
      <c r="C2332" t="s">
        <v>3169</v>
      </c>
      <c r="D2332" t="str">
        <f>VLOOKUP(A2332,Planilha2!B:H,7,0)</f>
        <v>LINHA M3</v>
      </c>
      <c r="E2332" s="5">
        <v>4500</v>
      </c>
      <c r="F2332">
        <f>IFERROR(
IF(ISNUMBER(FIND("CFW110",B2332)),
VALUE(MID(B2332,FIND("CFW110",B2332)+6,FIND("T",B2332,FIND("CFW110",B2332))-(FIND("CFW110",B2332)+6))),
IF(ISNUMBER(FIND("D",B2332)),
VALUE(SUBSTITUTE(MID(B2332,FIND("D",B2332)+1,FIND("T",B2332,FIND("D",B2332))-(FIND("D",B2332)+1)),"P",",")),
IF(ISNUMBER(FIND("CFW5",B2332)),
VALUE(MID(B2332,
IF(ISNUMBER(FIND("F",B2332)),FIND("F",B2332)+1,FIND("G",B2332)+1),
FIND("T",B2332)-(IF(ISNUMBER(FIND("F",B2332)),FIND("F",B2332)+1,FIND("G",B2332)+1))
)),
VALUE(MID(B2332,FIND("E0",B2332)+2,FIND("T",B2332,FIND("E0",B2332))-(FIND("E0",B2332)+2)))
))),"")</f>
        <v>24</v>
      </c>
      <c r="G2332">
        <f>IFERROR(
IF(ISNUMBER(FIND("T2",B2332)),220,
IF(ISNUMBER(FIND("T4",B2332)),440,
IF(ISNUMBER(FIND("T5",B2332)),575,
IF(ISNUMBER(FIND("T6",B2332)),690,"")))),
"")</f>
        <v>440</v>
      </c>
    </row>
    <row r="2333" spans="1:7" x14ac:dyDescent="0.25">
      <c r="A2333">
        <v>13957446</v>
      </c>
      <c r="B2333" t="str">
        <f>VLOOKUP(A2333,Planilha2!B:C,2,0)</f>
        <v>INVERSOR NACFW110024T4O55Z</v>
      </c>
      <c r="C2333" t="s">
        <v>3169</v>
      </c>
      <c r="D2333" t="str">
        <f>VLOOKUP(A2333,Planilha2!B:H,7,0)</f>
        <v>LINHA M3</v>
      </c>
      <c r="E2333" s="5">
        <v>4500</v>
      </c>
      <c r="F2333">
        <f>IFERROR(
IF(ISNUMBER(FIND("CFW110",B2333)),
VALUE(MID(B2333,FIND("CFW110",B2333)+6,FIND("T",B2333,FIND("CFW110",B2333))-(FIND("CFW110",B2333)+6))),
IF(ISNUMBER(FIND("D",B2333)),
VALUE(SUBSTITUTE(MID(B2333,FIND("D",B2333)+1,FIND("T",B2333,FIND("D",B2333))-(FIND("D",B2333)+1)),"P",",")),
IF(ISNUMBER(FIND("CFW5",B2333)),
VALUE(MID(B2333,
IF(ISNUMBER(FIND("F",B2333)),FIND("F",B2333)+1,FIND("G",B2333)+1),
FIND("T",B2333)-(IF(ISNUMBER(FIND("F",B2333)),FIND("F",B2333)+1,FIND("G",B2333)+1))
)),
VALUE(MID(B2333,FIND("E0",B2333)+2,FIND("T",B2333,FIND("E0",B2333))-(FIND("E0",B2333)+2)))
))),"")</f>
        <v>24</v>
      </c>
      <c r="G2333">
        <f>IFERROR(
IF(ISNUMBER(FIND("T2",B2333)),220,
IF(ISNUMBER(FIND("T4",B2333)),440,
IF(ISNUMBER(FIND("T5",B2333)),575,
IF(ISNUMBER(FIND("T6",B2333)),690,"")))),
"")</f>
        <v>440</v>
      </c>
    </row>
    <row r="2334" spans="1:7" x14ac:dyDescent="0.25">
      <c r="A2334">
        <v>13957533</v>
      </c>
      <c r="B2334" t="str">
        <f>VLOOKUP(A2334,Planilha2!B:C,2,0)</f>
        <v>INVERSOR NACFW110013T4O55DSZ</v>
      </c>
      <c r="C2334" t="s">
        <v>3169</v>
      </c>
      <c r="D2334" t="str">
        <f>VLOOKUP(A2334,Planilha2!B:H,7,0)</f>
        <v>LINHA M3</v>
      </c>
      <c r="E2334" s="5">
        <v>4500</v>
      </c>
      <c r="F2334">
        <f>IFERROR(
IF(ISNUMBER(FIND("CFW110",B2334)),
VALUE(MID(B2334,FIND("CFW110",B2334)+6,FIND("T",B2334,FIND("CFW110",B2334))-(FIND("CFW110",B2334)+6))),
IF(ISNUMBER(FIND("D",B2334)),
VALUE(SUBSTITUTE(MID(B2334,FIND("D",B2334)+1,FIND("T",B2334,FIND("D",B2334))-(FIND("D",B2334)+1)),"P",",")),
IF(ISNUMBER(FIND("CFW5",B2334)),
VALUE(MID(B2334,
IF(ISNUMBER(FIND("F",B2334)),FIND("F",B2334)+1,FIND("G",B2334)+1),
FIND("T",B2334)-(IF(ISNUMBER(FIND("F",B2334)),FIND("F",B2334)+1,FIND("G",B2334)+1))
)),
VALUE(MID(B2334,FIND("E0",B2334)+2,FIND("T",B2334,FIND("E0",B2334))-(FIND("E0",B2334)+2)))
))),"")</f>
        <v>13</v>
      </c>
      <c r="G2334">
        <f>IFERROR(
IF(ISNUMBER(FIND("T2",B2334)),220,
IF(ISNUMBER(FIND("T4",B2334)),440,
IF(ISNUMBER(FIND("T5",B2334)),575,
IF(ISNUMBER(FIND("T6",B2334)),690,"")))),
"")</f>
        <v>440</v>
      </c>
    </row>
    <row r="2335" spans="1:7" x14ac:dyDescent="0.25">
      <c r="A2335">
        <v>13957443</v>
      </c>
      <c r="B2335" t="str">
        <f>VLOOKUP(A2335,Planilha2!B:C,2,0)</f>
        <v>INVERSOR NACFW110013T4O55Z</v>
      </c>
      <c r="C2335" t="s">
        <v>3169</v>
      </c>
      <c r="D2335" t="str">
        <f>VLOOKUP(A2335,Planilha2!B:H,7,0)</f>
        <v>LINHA M3</v>
      </c>
      <c r="E2335" s="5">
        <v>4500</v>
      </c>
      <c r="F2335">
        <f>IFERROR(
IF(ISNUMBER(FIND("CFW110",B2335)),
VALUE(MID(B2335,FIND("CFW110",B2335)+6,FIND("T",B2335,FIND("CFW110",B2335))-(FIND("CFW110",B2335)+6))),
IF(ISNUMBER(FIND("D",B2335)),
VALUE(SUBSTITUTE(MID(B2335,FIND("D",B2335)+1,FIND("T",B2335,FIND("D",B2335))-(FIND("D",B2335)+1)),"P",",")),
IF(ISNUMBER(FIND("CFW5",B2335)),
VALUE(MID(B2335,
IF(ISNUMBER(FIND("F",B2335)),FIND("F",B2335)+1,FIND("G",B2335)+1),
FIND("T",B2335)-(IF(ISNUMBER(FIND("F",B2335)),FIND("F",B2335)+1,FIND("G",B2335)+1))
)),
VALUE(MID(B2335,FIND("E0",B2335)+2,FIND("T",B2335,FIND("E0",B2335))-(FIND("E0",B2335)+2)))
))),"")</f>
        <v>13</v>
      </c>
      <c r="G2335">
        <f>IFERROR(
IF(ISNUMBER(FIND("T2",B2335)),220,
IF(ISNUMBER(FIND("T4",B2335)),440,
IF(ISNUMBER(FIND("T5",B2335)),575,
IF(ISNUMBER(FIND("T6",B2335)),690,"")))),
"")</f>
        <v>440</v>
      </c>
    </row>
    <row r="2336" spans="1:7" x14ac:dyDescent="0.25">
      <c r="A2336">
        <v>13957529</v>
      </c>
      <c r="B2336" t="str">
        <f>VLOOKUP(A2336,Planilha2!B:C,2,0)</f>
        <v>INVERSOR NACFW110005T4O55DSZ</v>
      </c>
      <c r="C2336" t="s">
        <v>3169</v>
      </c>
      <c r="D2336" t="str">
        <f>VLOOKUP(A2336,Planilha2!B:H,7,0)</f>
        <v>LINHA M3</v>
      </c>
      <c r="E2336" s="5">
        <v>4500</v>
      </c>
      <c r="F2336">
        <f>IFERROR(
IF(ISNUMBER(FIND("CFW110",B2336)),
VALUE(MID(B2336,FIND("CFW110",B2336)+6,FIND("T",B2336,FIND("CFW110",B2336))-(FIND("CFW110",B2336)+6))),
IF(ISNUMBER(FIND("D",B2336)),
VALUE(SUBSTITUTE(MID(B2336,FIND("D",B2336)+1,FIND("T",B2336,FIND("D",B2336))-(FIND("D",B2336)+1)),"P",",")),
IF(ISNUMBER(FIND("CFW5",B2336)),
VALUE(MID(B2336,
IF(ISNUMBER(FIND("F",B2336)),FIND("F",B2336)+1,FIND("G",B2336)+1),
FIND("T",B2336)-(IF(ISNUMBER(FIND("F",B2336)),FIND("F",B2336)+1,FIND("G",B2336)+1))
)),
VALUE(MID(B2336,FIND("E0",B2336)+2,FIND("T",B2336,FIND("E0",B2336))-(FIND("E0",B2336)+2)))
))),"")</f>
        <v>5</v>
      </c>
      <c r="G2336">
        <f>IFERROR(
IF(ISNUMBER(FIND("T2",B2336)),220,
IF(ISNUMBER(FIND("T4",B2336)),440,
IF(ISNUMBER(FIND("T5",B2336)),575,
IF(ISNUMBER(FIND("T6",B2336)),690,"")))),
"")</f>
        <v>440</v>
      </c>
    </row>
    <row r="2337" spans="1:7" x14ac:dyDescent="0.25">
      <c r="A2337">
        <v>13957487</v>
      </c>
      <c r="B2337" t="str">
        <f>VLOOKUP(A2337,Planilha2!B:C,2,0)</f>
        <v>INVERSOR NACFW110003T4O55DSZ</v>
      </c>
      <c r="C2337" t="s">
        <v>3169</v>
      </c>
      <c r="D2337" t="str">
        <f>VLOOKUP(A2337,Planilha2!B:H,7,0)</f>
        <v>LINHA M3</v>
      </c>
      <c r="E2337" s="5">
        <v>4500</v>
      </c>
      <c r="F2337">
        <f>IFERROR(
IF(ISNUMBER(FIND("CFW110",B2337)),
VALUE(MID(B2337,FIND("CFW110",B2337)+6,FIND("T",B2337,FIND("CFW110",B2337))-(FIND("CFW110",B2337)+6))),
IF(ISNUMBER(FIND("D",B2337)),
VALUE(SUBSTITUTE(MID(B2337,FIND("D",B2337)+1,FIND("T",B2337,FIND("D",B2337))-(FIND("D",B2337)+1)),"P",",")),
IF(ISNUMBER(FIND("CFW5",B2337)),
VALUE(MID(B2337,
IF(ISNUMBER(FIND("F",B2337)),FIND("F",B2337)+1,FIND("G",B2337)+1),
FIND("T",B2337)-(IF(ISNUMBER(FIND("F",B2337)),FIND("F",B2337)+1,FIND("G",B2337)+1))
)),
VALUE(MID(B2337,FIND("E0",B2337)+2,FIND("T",B2337,FIND("E0",B2337))-(FIND("E0",B2337)+2)))
))),"")</f>
        <v>3</v>
      </c>
      <c r="G2337">
        <f>IFERROR(
IF(ISNUMBER(FIND("T2",B2337)),220,
IF(ISNUMBER(FIND("T4",B2337)),440,
IF(ISNUMBER(FIND("T5",B2337)),575,
IF(ISNUMBER(FIND("T6",B2337)),690,"")))),
"")</f>
        <v>440</v>
      </c>
    </row>
    <row r="2338" spans="1:7" x14ac:dyDescent="0.25">
      <c r="A2338">
        <v>13957015</v>
      </c>
      <c r="B2338" t="str">
        <f>VLOOKUP(A2338,Planilha2!B:C,2,0)</f>
        <v>INVERSOR NACFW110005T4O55Z</v>
      </c>
      <c r="C2338" t="s">
        <v>3169</v>
      </c>
      <c r="D2338" t="str">
        <f>VLOOKUP(A2338,Planilha2!B:H,7,0)</f>
        <v>LINHA M3</v>
      </c>
      <c r="E2338" s="5">
        <v>4500</v>
      </c>
      <c r="F2338">
        <f>IFERROR(
IF(ISNUMBER(FIND("CFW110",B2338)),
VALUE(MID(B2338,FIND("CFW110",B2338)+6,FIND("T",B2338,FIND("CFW110",B2338))-(FIND("CFW110",B2338)+6))),
IF(ISNUMBER(FIND("D",B2338)),
VALUE(SUBSTITUTE(MID(B2338,FIND("D",B2338)+1,FIND("T",B2338,FIND("D",B2338))-(FIND("D",B2338)+1)),"P",",")),
IF(ISNUMBER(FIND("CFW5",B2338)),
VALUE(MID(B2338,
IF(ISNUMBER(FIND("F",B2338)),FIND("F",B2338)+1,FIND("G",B2338)+1),
FIND("T",B2338)-(IF(ISNUMBER(FIND("F",B2338)),FIND("F",B2338)+1,FIND("G",B2338)+1))
)),
VALUE(MID(B2338,FIND("E0",B2338)+2,FIND("T",B2338,FIND("E0",B2338))-(FIND("E0",B2338)+2)))
))),"")</f>
        <v>5</v>
      </c>
      <c r="G2338">
        <f>IFERROR(
IF(ISNUMBER(FIND("T2",B2338)),220,
IF(ISNUMBER(FIND("T4",B2338)),440,
IF(ISNUMBER(FIND("T5",B2338)),575,
IF(ISNUMBER(FIND("T6",B2338)),690,"")))),
"")</f>
        <v>440</v>
      </c>
    </row>
    <row r="2339" spans="1:7" x14ac:dyDescent="0.25">
      <c r="A2339">
        <v>13957014</v>
      </c>
      <c r="B2339" t="str">
        <f>VLOOKUP(A2339,Planilha2!B:C,2,0)</f>
        <v>INVERSOR NACFW110003T4O55Z</v>
      </c>
      <c r="C2339" t="s">
        <v>3169</v>
      </c>
      <c r="D2339" t="str">
        <f>VLOOKUP(A2339,Planilha2!B:H,7,0)</f>
        <v>LINHA M3</v>
      </c>
      <c r="E2339" s="5">
        <v>4500</v>
      </c>
      <c r="F2339">
        <f>IFERROR(
IF(ISNUMBER(FIND("CFW110",B2339)),
VALUE(MID(B2339,FIND("CFW110",B2339)+6,FIND("T",B2339,FIND("CFW110",B2339))-(FIND("CFW110",B2339)+6))),
IF(ISNUMBER(FIND("D",B2339)),
VALUE(SUBSTITUTE(MID(B2339,FIND("D",B2339)+1,FIND("T",B2339,FIND("D",B2339))-(FIND("D",B2339)+1)),"P",",")),
IF(ISNUMBER(FIND("CFW5",B2339)),
VALUE(MID(B2339,
IF(ISNUMBER(FIND("F",B2339)),FIND("F",B2339)+1,FIND("G",B2339)+1),
FIND("T",B2339)-(IF(ISNUMBER(FIND("F",B2339)),FIND("F",B2339)+1,FIND("G",B2339)+1))
)),
VALUE(MID(B2339,FIND("E0",B2339)+2,FIND("T",B2339,FIND("E0",B2339))-(FIND("E0",B2339)+2)))
))),"")</f>
        <v>3</v>
      </c>
      <c r="G2339">
        <f>IFERROR(
IF(ISNUMBER(FIND("T2",B2339)),220,
IF(ISNUMBER(FIND("T4",B2339)),440,
IF(ISNUMBER(FIND("T5",B2339)),575,
IF(ISNUMBER(FIND("T6",B2339)),690,"")))),
"")</f>
        <v>440</v>
      </c>
    </row>
    <row r="2340" spans="1:7" x14ac:dyDescent="0.25">
      <c r="A2340">
        <v>13957108</v>
      </c>
      <c r="B2340" t="str">
        <f>VLOOKUP(A2340,Planilha2!B:C,2,0)</f>
        <v>INVERSOR NACFW110007T4O55Z</v>
      </c>
      <c r="C2340" t="s">
        <v>3169</v>
      </c>
      <c r="D2340" t="str">
        <f>VLOOKUP(A2340,Planilha2!B:H,7,0)</f>
        <v>LINHA M3</v>
      </c>
      <c r="E2340" s="5">
        <v>4500</v>
      </c>
      <c r="F2340">
        <f>IFERROR(
IF(ISNUMBER(FIND("CFW110",B2340)),
VALUE(MID(B2340,FIND("CFW110",B2340)+6,FIND("T",B2340,FIND("CFW110",B2340))-(FIND("CFW110",B2340)+6))),
IF(ISNUMBER(FIND("D",B2340)),
VALUE(SUBSTITUTE(MID(B2340,FIND("D",B2340)+1,FIND("T",B2340,FIND("D",B2340))-(FIND("D",B2340)+1)),"P",",")),
IF(ISNUMBER(FIND("CFW5",B2340)),
VALUE(MID(B2340,
IF(ISNUMBER(FIND("F",B2340)),FIND("F",B2340)+1,FIND("G",B2340)+1),
FIND("T",B2340)-(IF(ISNUMBER(FIND("F",B2340)),FIND("F",B2340)+1,FIND("G",B2340)+1))
)),
VALUE(MID(B2340,FIND("E0",B2340)+2,FIND("T",B2340,FIND("E0",B2340))-(FIND("E0",B2340)+2)))
))),"")</f>
        <v>7</v>
      </c>
      <c r="G2340">
        <f>IFERROR(
IF(ISNUMBER(FIND("T2",B2340)),220,
IF(ISNUMBER(FIND("T4",B2340)),440,
IF(ISNUMBER(FIND("T5",B2340)),575,
IF(ISNUMBER(FIND("T6",B2340)),690,"")))),
"")</f>
        <v>440</v>
      </c>
    </row>
    <row r="2341" spans="1:7" x14ac:dyDescent="0.25">
      <c r="A2341">
        <v>13957537</v>
      </c>
      <c r="B2341" t="str">
        <f>VLOOKUP(A2341,Planilha2!B:C,2,0)</f>
        <v>INVERSOR NACFW110031T4O55DSZ</v>
      </c>
      <c r="C2341" t="s">
        <v>3169</v>
      </c>
      <c r="D2341" t="str">
        <f>VLOOKUP(A2341,Planilha2!B:H,7,0)</f>
        <v>LINHA M3</v>
      </c>
      <c r="E2341" s="5">
        <v>10400</v>
      </c>
      <c r="F2341">
        <f>IFERROR(
IF(ISNUMBER(FIND("CFW110",B2341)),
VALUE(MID(B2341,FIND("CFW110",B2341)+6,FIND("T",B2341,FIND("CFW110",B2341))-(FIND("CFW110",B2341)+6))),
IF(ISNUMBER(FIND("D",B2341)),
VALUE(SUBSTITUTE(MID(B2341,FIND("D",B2341)+1,FIND("T",B2341,FIND("D",B2341))-(FIND("D",B2341)+1)),"P",",")),
IF(ISNUMBER(FIND("CFW5",B2341)),
VALUE(MID(B2341,
IF(ISNUMBER(FIND("F",B2341)),FIND("F",B2341)+1,FIND("G",B2341)+1),
FIND("T",B2341)-(IF(ISNUMBER(FIND("F",B2341)),FIND("F",B2341)+1,FIND("G",B2341)+1))
)),
VALUE(MID(B2341,FIND("E0",B2341)+2,FIND("T",B2341,FIND("E0",B2341))-(FIND("E0",B2341)+2)))
))),"")</f>
        <v>31</v>
      </c>
      <c r="G2341">
        <f>IFERROR(
IF(ISNUMBER(FIND("T2",B2341)),220,
IF(ISNUMBER(FIND("T4",B2341)),440,
IF(ISNUMBER(FIND("T5",B2341)),575,
IF(ISNUMBER(FIND("T6",B2341)),690,"")))),
"")</f>
        <v>440</v>
      </c>
    </row>
    <row r="2342" spans="1:7" x14ac:dyDescent="0.25">
      <c r="A2342">
        <v>13957447</v>
      </c>
      <c r="B2342" t="str">
        <f>VLOOKUP(A2342,Planilha2!B:C,2,0)</f>
        <v>INVERSOR NACFW110031T4O55Z</v>
      </c>
      <c r="C2342" t="s">
        <v>3169</v>
      </c>
      <c r="D2342" t="str">
        <f>VLOOKUP(A2342,Planilha2!B:H,7,0)</f>
        <v>LINHA M3</v>
      </c>
      <c r="E2342" s="5">
        <v>10400</v>
      </c>
      <c r="F2342">
        <f>IFERROR(
IF(ISNUMBER(FIND("CFW110",B2342)),
VALUE(MID(B2342,FIND("CFW110",B2342)+6,FIND("T",B2342,FIND("CFW110",B2342))-(FIND("CFW110",B2342)+6))),
IF(ISNUMBER(FIND("D",B2342)),
VALUE(SUBSTITUTE(MID(B2342,FIND("D",B2342)+1,FIND("T",B2342,FIND("D",B2342))-(FIND("D",B2342)+1)),"P",",")),
IF(ISNUMBER(FIND("CFW5",B2342)),
VALUE(MID(B2342,
IF(ISNUMBER(FIND("F",B2342)),FIND("F",B2342)+1,FIND("G",B2342)+1),
FIND("T",B2342)-(IF(ISNUMBER(FIND("F",B2342)),FIND("F",B2342)+1,FIND("G",B2342)+1))
)),
VALUE(MID(B2342,FIND("E0",B2342)+2,FIND("T",B2342,FIND("E0",B2342))-(FIND("E0",B2342)+2)))
))),"")</f>
        <v>31</v>
      </c>
      <c r="G2342">
        <f>IFERROR(
IF(ISNUMBER(FIND("T2",B2342)),220,
IF(ISNUMBER(FIND("T4",B2342)),440,
IF(ISNUMBER(FIND("T5",B2342)),575,
IF(ISNUMBER(FIND("T6",B2342)),690,"")))),
"")</f>
        <v>440</v>
      </c>
    </row>
    <row r="2343" spans="1:7" x14ac:dyDescent="0.25">
      <c r="A2343">
        <v>13948533</v>
      </c>
      <c r="B2343" t="str">
        <f>VLOOKUP(A2343,Planilha2!B:C,2,0)</f>
        <v>INVERSOR CFW700B28P0T2DB20HTHST</v>
      </c>
      <c r="C2343" t="s">
        <v>3169</v>
      </c>
      <c r="D2343" t="str">
        <f>VLOOKUP(A2343,Planilha2!B:H,7,0)</f>
        <v>OBSOLETOS DRIVES</v>
      </c>
      <c r="E2343" s="5">
        <v>9100</v>
      </c>
      <c r="F2343" t="str">
        <f>IFERROR(
IF(ISNUMBER(FIND("CFW110",B2343)),
VALUE(MID(B2343,FIND("CFW110",B2343)+6,FIND("T",B2343,FIND("CFW110",B2343))-(FIND("CFW110",B2343)+6))),
IF(ISNUMBER(FIND("D",B2343)),
VALUE(SUBSTITUTE(MID(B2343,FIND("D",B2343)+1,FIND("T",B2343,FIND("D",B2343))-(FIND("D",B2343)+1)),"P",",")),
IF(ISNUMBER(FIND("CFW5",B2343)),
VALUE(MID(B2343,
IF(ISNUMBER(FIND("F",B2343)),FIND("F",B2343)+1,FIND("G",B2343)+1),
FIND("T",B2343)-(IF(ISNUMBER(FIND("F",B2343)),FIND("F",B2343)+1,FIND("G",B2343)+1))
)),
VALUE(MID(B2343,FIND("E0",B2343)+2,FIND("T",B2343,FIND("E0",B2343))-(FIND("E0",B2343)+2)))
))),"")</f>
        <v/>
      </c>
      <c r="G2343">
        <f>IFERROR(
IF(ISNUMBER(FIND("T2",B2343)),220,
IF(ISNUMBER(FIND("T4",B2343)),440,
IF(ISNUMBER(FIND("T5",B2343)),575,
IF(ISNUMBER(FIND("T6",B2343)),690,"")))),
"")</f>
        <v>220</v>
      </c>
    </row>
    <row r="2344" spans="1:7" x14ac:dyDescent="0.25">
      <c r="A2344">
        <v>13948962</v>
      </c>
      <c r="B2344" t="str">
        <f>VLOOKUP(A2344,Planilha2!B:C,2,0)</f>
        <v>INVERSOR CFW700B31P0T4DB20HTHST</v>
      </c>
      <c r="C2344" t="s">
        <v>3169</v>
      </c>
      <c r="D2344" t="str">
        <f>VLOOKUP(A2344,Planilha2!B:H,7,0)</f>
        <v>OBSOLETOS DRIVES</v>
      </c>
      <c r="E2344" s="5">
        <v>5700</v>
      </c>
      <c r="F2344" t="str">
        <f>IFERROR(
IF(ISNUMBER(FIND("CFW110",B2344)),
VALUE(MID(B2344,FIND("CFW110",B2344)+6,FIND("T",B2344,FIND("CFW110",B2344))-(FIND("CFW110",B2344)+6))),
IF(ISNUMBER(FIND("D",B2344)),
VALUE(SUBSTITUTE(MID(B2344,FIND("D",B2344)+1,FIND("T",B2344,FIND("D",B2344))-(FIND("D",B2344)+1)),"P",",")),
IF(ISNUMBER(FIND("CFW5",B2344)),
VALUE(MID(B2344,
IF(ISNUMBER(FIND("F",B2344)),FIND("F",B2344)+1,FIND("G",B2344)+1),
FIND("T",B2344)-(IF(ISNUMBER(FIND("F",B2344)),FIND("F",B2344)+1,FIND("G",B2344)+1))
)),
VALUE(MID(B2344,FIND("E0",B2344)+2,FIND("T",B2344,FIND("E0",B2344))-(FIND("E0",B2344)+2)))
))),"")</f>
        <v/>
      </c>
      <c r="G2344">
        <f>IFERROR(
IF(ISNUMBER(FIND("T2",B2344)),220,
IF(ISNUMBER(FIND("T4",B2344)),440,
IF(ISNUMBER(FIND("T5",B2344)),575,
IF(ISNUMBER(FIND("T6",B2344)),690,"")))),
"")</f>
        <v>440</v>
      </c>
    </row>
    <row r="2345" spans="1:7" x14ac:dyDescent="0.25">
      <c r="A2345">
        <v>13948688</v>
      </c>
      <c r="B2345" t="str">
        <f>VLOOKUP(A2345,Planilha2!B:C,2,0)</f>
        <v>INVERSOR CFW700B24P0T4DB20HTHST</v>
      </c>
      <c r="C2345" t="s">
        <v>3169</v>
      </c>
      <c r="D2345" t="str">
        <f>VLOOKUP(A2345,Planilha2!B:H,7,0)</f>
        <v>OBSOLETOS DRIVES</v>
      </c>
      <c r="E2345" s="5">
        <v>4500</v>
      </c>
      <c r="F2345" t="str">
        <f>IFERROR(
IF(ISNUMBER(FIND("CFW110",B2345)),
VALUE(MID(B2345,FIND("CFW110",B2345)+6,FIND("T",B2345,FIND("CFW110",B2345))-(FIND("CFW110",B2345)+6))),
IF(ISNUMBER(FIND("D",B2345)),
VALUE(SUBSTITUTE(MID(B2345,FIND("D",B2345)+1,FIND("T",B2345,FIND("D",B2345))-(FIND("D",B2345)+1)),"P",",")),
IF(ISNUMBER(FIND("CFW5",B2345)),
VALUE(MID(B2345,
IF(ISNUMBER(FIND("F",B2345)),FIND("F",B2345)+1,FIND("G",B2345)+1),
FIND("T",B2345)-(IF(ISNUMBER(FIND("F",B2345)),FIND("F",B2345)+1,FIND("G",B2345)+1))
)),
VALUE(MID(B2345,FIND("E0",B2345)+2,FIND("T",B2345,FIND("E0",B2345))-(FIND("E0",B2345)+2)))
))),"")</f>
        <v/>
      </c>
      <c r="G2345">
        <f>IFERROR(
IF(ISNUMBER(FIND("T2",B2345)),220,
IF(ISNUMBER(FIND("T4",B2345)),440,
IF(ISNUMBER(FIND("T5",B2345)),575,
IF(ISNUMBER(FIND("T6",B2345)),690,"")))),
"")</f>
        <v>440</v>
      </c>
    </row>
    <row r="2346" spans="1:7" x14ac:dyDescent="0.25">
      <c r="A2346">
        <v>13924475</v>
      </c>
      <c r="B2346" t="str">
        <f>VLOOKUP(A2346,Planilha2!B:C,2,0)</f>
        <v>INVERSOR CFW700B24P0T2DB55</v>
      </c>
      <c r="C2346" t="s">
        <v>3169</v>
      </c>
      <c r="D2346" t="str">
        <f>VLOOKUP(A2346,Planilha2!B:H,7,0)</f>
        <v>OBSOLETOS DRIVES</v>
      </c>
      <c r="E2346" s="5">
        <v>4500</v>
      </c>
      <c r="F2346" t="str">
        <f>IFERROR(
IF(ISNUMBER(FIND("CFW110",B2346)),
VALUE(MID(B2346,FIND("CFW110",B2346)+6,FIND("T",B2346,FIND("CFW110",B2346))-(FIND("CFW110",B2346)+6))),
IF(ISNUMBER(FIND("D",B2346)),
VALUE(SUBSTITUTE(MID(B2346,FIND("D",B2346)+1,FIND("T",B2346,FIND("D",B2346))-(FIND("D",B2346)+1)),"P",",")),
IF(ISNUMBER(FIND("CFW5",B2346)),
VALUE(MID(B2346,
IF(ISNUMBER(FIND("F",B2346)),FIND("F",B2346)+1,FIND("G",B2346)+1),
FIND("T",B2346)-(IF(ISNUMBER(FIND("F",B2346)),FIND("F",B2346)+1,FIND("G",B2346)+1))
)),
VALUE(MID(B2346,FIND("E0",B2346)+2,FIND("T",B2346,FIND("E0",B2346))-(FIND("E0",B2346)+2)))
))),"")</f>
        <v/>
      </c>
      <c r="G2346">
        <f>IFERROR(
IF(ISNUMBER(FIND("T2",B2346)),220,
IF(ISNUMBER(FIND("T4",B2346)),440,
IF(ISNUMBER(FIND("T5",B2346)),575,
IF(ISNUMBER(FIND("T6",B2346)),690,"")))),
"")</f>
        <v>220</v>
      </c>
    </row>
    <row r="2347" spans="1:7" x14ac:dyDescent="0.25">
      <c r="A2347">
        <v>13887584</v>
      </c>
      <c r="B2347" t="str">
        <f>VLOOKUP(A2347,Planilha2!B:C,2,0)</f>
        <v>INVERSOR CFW110017T4OHALS9Z</v>
      </c>
      <c r="C2347" t="s">
        <v>3169</v>
      </c>
      <c r="D2347" t="str">
        <f>VLOOKUP(A2347,Planilha2!B:H,7,0)</f>
        <v>LINHA P7</v>
      </c>
      <c r="E2347" s="5">
        <v>4675</v>
      </c>
      <c r="F2347">
        <f>IFERROR(
IF(ISNUMBER(FIND("CFW110",B2347)),
VALUE(MID(B2347,FIND("CFW110",B2347)+6,FIND("T",B2347,FIND("CFW110",B2347))-(FIND("CFW110",B2347)+6))),
IF(ISNUMBER(FIND("D",B2347)),
VALUE(SUBSTITUTE(MID(B2347,FIND("D",B2347)+1,FIND("T",B2347,FIND("D",B2347))-(FIND("D",B2347)+1)),"P",",")),
IF(ISNUMBER(FIND("CFW5",B2347)),
VALUE(MID(B2347,
IF(ISNUMBER(FIND("F",B2347)),FIND("F",B2347)+1,FIND("G",B2347)+1),
FIND("T",B2347)-(IF(ISNUMBER(FIND("F",B2347)),FIND("F",B2347)+1,FIND("G",B2347)+1))
)),
VALUE(MID(B2347,FIND("E0",B2347)+2,FIND("T",B2347,FIND("E0",B2347))-(FIND("E0",B2347)+2)))
))),"")</f>
        <v>17</v>
      </c>
      <c r="G2347">
        <f>IFERROR(
IF(ISNUMBER(FIND("T2",B2347)),220,
IF(ISNUMBER(FIND("T4",B2347)),440,
IF(ISNUMBER(FIND("T5",B2347)),575,
IF(ISNUMBER(FIND("T6",B2347)),690,"")))),
"")</f>
        <v>440</v>
      </c>
    </row>
    <row r="2348" spans="1:7" x14ac:dyDescent="0.25">
      <c r="A2348">
        <v>13887586</v>
      </c>
      <c r="B2348" t="str">
        <f>VLOOKUP(A2348,Planilha2!B:C,2,0)</f>
        <v>INVERSOR CFW110031T4OHALS9Z</v>
      </c>
      <c r="C2348" t="s">
        <v>3169</v>
      </c>
      <c r="D2348" t="str">
        <f>VLOOKUP(A2348,Planilha2!B:H,7,0)</f>
        <v>LINHA P7</v>
      </c>
      <c r="E2348" s="5">
        <v>4675</v>
      </c>
      <c r="F2348">
        <f>IFERROR(
IF(ISNUMBER(FIND("CFW110",B2348)),
VALUE(MID(B2348,FIND("CFW110",B2348)+6,FIND("T",B2348,FIND("CFW110",B2348))-(FIND("CFW110",B2348)+6))),
IF(ISNUMBER(FIND("D",B2348)),
VALUE(SUBSTITUTE(MID(B2348,FIND("D",B2348)+1,FIND("T",B2348,FIND("D",B2348))-(FIND("D",B2348)+1)),"P",",")),
IF(ISNUMBER(FIND("CFW5",B2348)),
VALUE(MID(B2348,
IF(ISNUMBER(FIND("F",B2348)),FIND("F",B2348)+1,FIND("G",B2348)+1),
FIND("T",B2348)-(IF(ISNUMBER(FIND("F",B2348)),FIND("F",B2348)+1,FIND("G",B2348)+1))
)),
VALUE(MID(B2348,FIND("E0",B2348)+2,FIND("T",B2348,FIND("E0",B2348))-(FIND("E0",B2348)+2)))
))),"")</f>
        <v>31</v>
      </c>
      <c r="G2348">
        <f>IFERROR(
IF(ISNUMBER(FIND("T2",B2348)),220,
IF(ISNUMBER(FIND("T4",B2348)),440,
IF(ISNUMBER(FIND("T5",B2348)),575,
IF(ISNUMBER(FIND("T6",B2348)),690,"")))),
"")</f>
        <v>440</v>
      </c>
    </row>
    <row r="2349" spans="1:7" x14ac:dyDescent="0.25">
      <c r="A2349">
        <v>13887585</v>
      </c>
      <c r="B2349" t="str">
        <f>VLOOKUP(A2349,Planilha2!B:C,2,0)</f>
        <v>INVERSOR CFW110024T4OHALS9Z</v>
      </c>
      <c r="C2349" t="s">
        <v>3169</v>
      </c>
      <c r="D2349" t="str">
        <f>VLOOKUP(A2349,Planilha2!B:H,7,0)</f>
        <v>LINHA P7</v>
      </c>
      <c r="E2349" s="5">
        <v>4675</v>
      </c>
      <c r="F2349">
        <f>IFERROR(
IF(ISNUMBER(FIND("CFW110",B2349)),
VALUE(MID(B2349,FIND("CFW110",B2349)+6,FIND("T",B2349,FIND("CFW110",B2349))-(FIND("CFW110",B2349)+6))),
IF(ISNUMBER(FIND("D",B2349)),
VALUE(SUBSTITUTE(MID(B2349,FIND("D",B2349)+1,FIND("T",B2349,FIND("D",B2349))-(FIND("D",B2349)+1)),"P",",")),
IF(ISNUMBER(FIND("CFW5",B2349)),
VALUE(MID(B2349,
IF(ISNUMBER(FIND("F",B2349)),FIND("F",B2349)+1,FIND("G",B2349)+1),
FIND("T",B2349)-(IF(ISNUMBER(FIND("F",B2349)),FIND("F",B2349)+1,FIND("G",B2349)+1))
)),
VALUE(MID(B2349,FIND("E0",B2349)+2,FIND("T",B2349,FIND("E0",B2349))-(FIND("E0",B2349)+2)))
))),"")</f>
        <v>24</v>
      </c>
      <c r="G2349">
        <f>IFERROR(
IF(ISNUMBER(FIND("T2",B2349)),220,
IF(ISNUMBER(FIND("T4",B2349)),440,
IF(ISNUMBER(FIND("T5",B2349)),575,
IF(ISNUMBER(FIND("T6",B2349)),690,"")))),
"")</f>
        <v>440</v>
      </c>
    </row>
    <row r="2350" spans="1:7" x14ac:dyDescent="0.25">
      <c r="A2350">
        <v>13924995</v>
      </c>
      <c r="B2350" t="str">
        <f>VLOOKUP(A2350,Planilha2!B:C,2,0)</f>
        <v>INVERSOR CFW700B07P0T4DB55</v>
      </c>
      <c r="C2350" t="s">
        <v>3169</v>
      </c>
      <c r="D2350" t="str">
        <f>VLOOKUP(A2350,Planilha2!B:H,7,0)</f>
        <v>OBSOLETOS DRIVES</v>
      </c>
      <c r="E2350" s="5">
        <v>4500</v>
      </c>
      <c r="F2350" t="str">
        <f>IFERROR(
IF(ISNUMBER(FIND("CFW110",B2350)),
VALUE(MID(B2350,FIND("CFW110",B2350)+6,FIND("T",B2350,FIND("CFW110",B2350))-(FIND("CFW110",B2350)+6))),
IF(ISNUMBER(FIND("D",B2350)),
VALUE(SUBSTITUTE(MID(B2350,FIND("D",B2350)+1,FIND("T",B2350,FIND("D",B2350))-(FIND("D",B2350)+1)),"P",",")),
IF(ISNUMBER(FIND("CFW5",B2350)),
VALUE(MID(B2350,
IF(ISNUMBER(FIND("F",B2350)),FIND("F",B2350)+1,FIND("G",B2350)+1),
FIND("T",B2350)-(IF(ISNUMBER(FIND("F",B2350)),FIND("F",B2350)+1,FIND("G",B2350)+1))
)),
VALUE(MID(B2350,FIND("E0",B2350)+2,FIND("T",B2350,FIND("E0",B2350))-(FIND("E0",B2350)+2)))
))),"")</f>
        <v/>
      </c>
      <c r="G2350">
        <f>IFERROR(
IF(ISNUMBER(FIND("T2",B2350)),220,
IF(ISNUMBER(FIND("T4",B2350)),440,
IF(ISNUMBER(FIND("T5",B2350)),575,
IF(ISNUMBER(FIND("T6",B2350)),690,"")))),
"")</f>
        <v>440</v>
      </c>
    </row>
    <row r="2351" spans="1:7" x14ac:dyDescent="0.25">
      <c r="A2351">
        <v>13925080</v>
      </c>
      <c r="B2351" t="str">
        <f>VLOOKUP(A2351,Planilha2!B:C,2,0)</f>
        <v>INVERSOR CFW700B24P0T4DB55</v>
      </c>
      <c r="C2351" t="s">
        <v>3169</v>
      </c>
      <c r="D2351" t="str">
        <f>VLOOKUP(A2351,Planilha2!B:H,7,0)</f>
        <v>OBSOLETOS DRIVES</v>
      </c>
      <c r="E2351" s="5">
        <v>9700</v>
      </c>
      <c r="F2351" t="str">
        <f>IFERROR(
IF(ISNUMBER(FIND("CFW110",B2351)),
VALUE(MID(B2351,FIND("CFW110",B2351)+6,FIND("T",B2351,FIND("CFW110",B2351))-(FIND("CFW110",B2351)+6))),
IF(ISNUMBER(FIND("D",B2351)),
VALUE(SUBSTITUTE(MID(B2351,FIND("D",B2351)+1,FIND("T",B2351,FIND("D",B2351))-(FIND("D",B2351)+1)),"P",",")),
IF(ISNUMBER(FIND("CFW5",B2351)),
VALUE(MID(B2351,
IF(ISNUMBER(FIND("F",B2351)),FIND("F",B2351)+1,FIND("G",B2351)+1),
FIND("T",B2351)-(IF(ISNUMBER(FIND("F",B2351)),FIND("F",B2351)+1,FIND("G",B2351)+1))
)),
VALUE(MID(B2351,FIND("E0",B2351)+2,FIND("T",B2351,FIND("E0",B2351))-(FIND("E0",B2351)+2)))
))),"")</f>
        <v/>
      </c>
      <c r="G2351">
        <f>IFERROR(
IF(ISNUMBER(FIND("T2",B2351)),220,
IF(ISNUMBER(FIND("T4",B2351)),440,
IF(ISNUMBER(FIND("T5",B2351)),575,
IF(ISNUMBER(FIND("T6",B2351)),690,"")))),
"")</f>
        <v>440</v>
      </c>
    </row>
    <row r="2352" spans="1:7" x14ac:dyDescent="0.25">
      <c r="A2352">
        <v>13925081</v>
      </c>
      <c r="B2352" t="str">
        <f>VLOOKUP(A2352,Planilha2!B:C,2,0)</f>
        <v>INVERSOR CFW700B31P0T4DB55</v>
      </c>
      <c r="C2352" t="s">
        <v>3169</v>
      </c>
      <c r="D2352" t="str">
        <f>VLOOKUP(A2352,Planilha2!B:H,7,0)</f>
        <v>OBSOLETOS DRIVES</v>
      </c>
      <c r="E2352" s="5">
        <v>10400</v>
      </c>
      <c r="F2352" t="str">
        <f>IFERROR(
IF(ISNUMBER(FIND("CFW110",B2352)),
VALUE(MID(B2352,FIND("CFW110",B2352)+6,FIND("T",B2352,FIND("CFW110",B2352))-(FIND("CFW110",B2352)+6))),
IF(ISNUMBER(FIND("D",B2352)),
VALUE(SUBSTITUTE(MID(B2352,FIND("D",B2352)+1,FIND("T",B2352,FIND("D",B2352))-(FIND("D",B2352)+1)),"P",",")),
IF(ISNUMBER(FIND("CFW5",B2352)),
VALUE(MID(B2352,
IF(ISNUMBER(FIND("F",B2352)),FIND("F",B2352)+1,FIND("G",B2352)+1),
FIND("T",B2352)-(IF(ISNUMBER(FIND("F",B2352)),FIND("F",B2352)+1,FIND("G",B2352)+1))
)),
VALUE(MID(B2352,FIND("E0",B2352)+2,FIND("T",B2352,FIND("E0",B2352))-(FIND("E0",B2352)+2)))
))),"")</f>
        <v/>
      </c>
      <c r="G2352">
        <f>IFERROR(
IF(ISNUMBER(FIND("T2",B2352)),220,
IF(ISNUMBER(FIND("T4",B2352)),440,
IF(ISNUMBER(FIND("T5",B2352)),575,
IF(ISNUMBER(FIND("T6",B2352)),690,"")))),
"")</f>
        <v>440</v>
      </c>
    </row>
    <row r="2353" spans="1:7" x14ac:dyDescent="0.25">
      <c r="A2353">
        <v>13925079</v>
      </c>
      <c r="B2353" t="str">
        <f>VLOOKUP(A2353,Planilha2!B:C,2,0)</f>
        <v>INVERSOR CFW700B17P0T4DB55</v>
      </c>
      <c r="C2353" t="s">
        <v>3169</v>
      </c>
      <c r="D2353" t="str">
        <f>VLOOKUP(A2353,Planilha2!B:H,7,0)</f>
        <v>OBSOLETOS DRIVES</v>
      </c>
      <c r="E2353" s="5">
        <v>9100</v>
      </c>
      <c r="F2353" t="str">
        <f>IFERROR(
IF(ISNUMBER(FIND("CFW110",B2353)),
VALUE(MID(B2353,FIND("CFW110",B2353)+6,FIND("T",B2353,FIND("CFW110",B2353))-(FIND("CFW110",B2353)+6))),
IF(ISNUMBER(FIND("D",B2353)),
VALUE(SUBSTITUTE(MID(B2353,FIND("D",B2353)+1,FIND("T",B2353,FIND("D",B2353))-(FIND("D",B2353)+1)),"P",",")),
IF(ISNUMBER(FIND("CFW5",B2353)),
VALUE(MID(B2353,
IF(ISNUMBER(FIND("F",B2353)),FIND("F",B2353)+1,FIND("G",B2353)+1),
FIND("T",B2353)-(IF(ISNUMBER(FIND("F",B2353)),FIND("F",B2353)+1,FIND("G",B2353)+1))
)),
VALUE(MID(B2353,FIND("E0",B2353)+2,FIND("T",B2353,FIND("E0",B2353))-(FIND("E0",B2353)+2)))
))),"")</f>
        <v/>
      </c>
      <c r="G2353">
        <f>IFERROR(
IF(ISNUMBER(FIND("T2",B2353)),220,
IF(ISNUMBER(FIND("T4",B2353)),440,
IF(ISNUMBER(FIND("T5",B2353)),575,
IF(ISNUMBER(FIND("T6",B2353)),690,"")))),
"")</f>
        <v>440</v>
      </c>
    </row>
    <row r="2354" spans="1:7" x14ac:dyDescent="0.25">
      <c r="A2354">
        <v>13924997</v>
      </c>
      <c r="B2354" t="str">
        <f>VLOOKUP(A2354,Planilha2!B:C,2,0)</f>
        <v>INVERSOR CFW700B13P5T4DB55</v>
      </c>
      <c r="C2354" t="s">
        <v>3169</v>
      </c>
      <c r="D2354" t="str">
        <f>VLOOKUP(A2354,Planilha2!B:H,7,0)</f>
        <v>OBSOLETOS DRIVES</v>
      </c>
      <c r="E2354" s="5">
        <v>10565</v>
      </c>
      <c r="F2354" t="str">
        <f>IFERROR(
IF(ISNUMBER(FIND("CFW110",B2354)),
VALUE(MID(B2354,FIND("CFW110",B2354)+6,FIND("T",B2354,FIND("CFW110",B2354))-(FIND("CFW110",B2354)+6))),
IF(ISNUMBER(FIND("D",B2354)),
VALUE(SUBSTITUTE(MID(B2354,FIND("D",B2354)+1,FIND("T",B2354,FIND("D",B2354))-(FIND("D",B2354)+1)),"P",",")),
IF(ISNUMBER(FIND("CFW5",B2354)),
VALUE(MID(B2354,
IF(ISNUMBER(FIND("F",B2354)),FIND("F",B2354)+1,FIND("G",B2354)+1),
FIND("T",B2354)-(IF(ISNUMBER(FIND("F",B2354)),FIND("F",B2354)+1,FIND("G",B2354)+1))
)),
VALUE(MID(B2354,FIND("E0",B2354)+2,FIND("T",B2354,FIND("E0",B2354))-(FIND("E0",B2354)+2)))
))),"")</f>
        <v/>
      </c>
      <c r="G2354">
        <f>IFERROR(
IF(ISNUMBER(FIND("T2",B2354)),220,
IF(ISNUMBER(FIND("T4",B2354)),440,
IF(ISNUMBER(FIND("T5",B2354)),575,
IF(ISNUMBER(FIND("T6",B2354)),690,"")))),
"")</f>
        <v>440</v>
      </c>
    </row>
    <row r="2355" spans="1:7" x14ac:dyDescent="0.25">
      <c r="A2355">
        <v>13924996</v>
      </c>
      <c r="B2355" t="str">
        <f>VLOOKUP(A2355,Planilha2!B:C,2,0)</f>
        <v>INVERSOR CFW700B10P0T4DB55</v>
      </c>
      <c r="C2355" t="s">
        <v>3169</v>
      </c>
      <c r="D2355" t="str">
        <f>VLOOKUP(A2355,Planilha2!B:H,7,0)</f>
        <v>OBSOLETOS DRIVES</v>
      </c>
      <c r="E2355" s="5">
        <v>4500</v>
      </c>
      <c r="F2355" t="str">
        <f>IFERROR(
IF(ISNUMBER(FIND("CFW110",B2355)),
VALUE(MID(B2355,FIND("CFW110",B2355)+6,FIND("T",B2355,FIND("CFW110",B2355))-(FIND("CFW110",B2355)+6))),
IF(ISNUMBER(FIND("D",B2355)),
VALUE(SUBSTITUTE(MID(B2355,FIND("D",B2355)+1,FIND("T",B2355,FIND("D",B2355))-(FIND("D",B2355)+1)),"P",",")),
IF(ISNUMBER(FIND("CFW5",B2355)),
VALUE(MID(B2355,
IF(ISNUMBER(FIND("F",B2355)),FIND("F",B2355)+1,FIND("G",B2355)+1),
FIND("T",B2355)-(IF(ISNUMBER(FIND("F",B2355)),FIND("F",B2355)+1,FIND("G",B2355)+1))
)),
VALUE(MID(B2355,FIND("E0",B2355)+2,FIND("T",B2355,FIND("E0",B2355))-(FIND("E0",B2355)+2)))
))),"")</f>
        <v/>
      </c>
      <c r="G2355">
        <f>IFERROR(
IF(ISNUMBER(FIND("T2",B2355)),220,
IF(ISNUMBER(FIND("T4",B2355)),440,
IF(ISNUMBER(FIND("T5",B2355)),575,
IF(ISNUMBER(FIND("T6",B2355)),690,"")))),
"")</f>
        <v>440</v>
      </c>
    </row>
    <row r="2356" spans="1:7" x14ac:dyDescent="0.25">
      <c r="A2356">
        <v>13924940</v>
      </c>
      <c r="B2356" t="str">
        <f>VLOOKUP(A2356,Planilha2!B:C,2,0)</f>
        <v>INVERSOR CFW700B05P0T4DB55</v>
      </c>
      <c r="C2356" t="s">
        <v>3169</v>
      </c>
      <c r="D2356" t="str">
        <f>VLOOKUP(A2356,Planilha2!B:H,7,0)</f>
        <v>OBSOLETOS DRIVES</v>
      </c>
      <c r="E2356" s="5">
        <v>4500</v>
      </c>
      <c r="F2356" t="str">
        <f>IFERROR(
IF(ISNUMBER(FIND("CFW110",B2356)),
VALUE(MID(B2356,FIND("CFW110",B2356)+6,FIND("T",B2356,FIND("CFW110",B2356))-(FIND("CFW110",B2356)+6))),
IF(ISNUMBER(FIND("D",B2356)),
VALUE(SUBSTITUTE(MID(B2356,FIND("D",B2356)+1,FIND("T",B2356,FIND("D",B2356))-(FIND("D",B2356)+1)),"P",",")),
IF(ISNUMBER(FIND("CFW5",B2356)),
VALUE(MID(B2356,
IF(ISNUMBER(FIND("F",B2356)),FIND("F",B2356)+1,FIND("G",B2356)+1),
FIND("T",B2356)-(IF(ISNUMBER(FIND("F",B2356)),FIND("F",B2356)+1,FIND("G",B2356)+1))
)),
VALUE(MID(B2356,FIND("E0",B2356)+2,FIND("T",B2356,FIND("E0",B2356))-(FIND("E0",B2356)+2)))
))),"")</f>
        <v/>
      </c>
      <c r="G2356">
        <f>IFERROR(
IF(ISNUMBER(FIND("T2",B2356)),220,
IF(ISNUMBER(FIND("T4",B2356)),440,
IF(ISNUMBER(FIND("T5",B2356)),575,
IF(ISNUMBER(FIND("T6",B2356)),690,"")))),
"")</f>
        <v>440</v>
      </c>
    </row>
    <row r="2357" spans="1:7" x14ac:dyDescent="0.25">
      <c r="A2357">
        <v>13924857</v>
      </c>
      <c r="B2357" t="str">
        <f>VLOOKUP(A2357,Planilha2!B:C,2,0)</f>
        <v>INVERSOR CFW700B03P6T4DB55</v>
      </c>
      <c r="C2357" t="s">
        <v>3169</v>
      </c>
      <c r="D2357" t="str">
        <f>VLOOKUP(A2357,Planilha2!B:H,7,0)</f>
        <v>OBSOLETOS DRIVES</v>
      </c>
      <c r="E2357" s="5">
        <v>4500</v>
      </c>
      <c r="F2357" t="str">
        <f>IFERROR(
IF(ISNUMBER(FIND("CFW110",B2357)),
VALUE(MID(B2357,FIND("CFW110",B2357)+6,FIND("T",B2357,FIND("CFW110",B2357))-(FIND("CFW110",B2357)+6))),
IF(ISNUMBER(FIND("D",B2357)),
VALUE(SUBSTITUTE(MID(B2357,FIND("D",B2357)+1,FIND("T",B2357,FIND("D",B2357))-(FIND("D",B2357)+1)),"P",",")),
IF(ISNUMBER(FIND("CFW5",B2357)),
VALUE(MID(B2357,
IF(ISNUMBER(FIND("F",B2357)),FIND("F",B2357)+1,FIND("G",B2357)+1),
FIND("T",B2357)-(IF(ISNUMBER(FIND("F",B2357)),FIND("F",B2357)+1,FIND("G",B2357)+1))
)),
VALUE(MID(B2357,FIND("E0",B2357)+2,FIND("T",B2357,FIND("E0",B2357))-(FIND("E0",B2357)+2)))
))),"")</f>
        <v/>
      </c>
      <c r="G2357">
        <f>IFERROR(
IF(ISNUMBER(FIND("T2",B2357)),220,
IF(ISNUMBER(FIND("T4",B2357)),440,
IF(ISNUMBER(FIND("T5",B2357)),575,
IF(ISNUMBER(FIND("T6",B2357)),690,"")))),
"")</f>
        <v>440</v>
      </c>
    </row>
    <row r="2358" spans="1:7" x14ac:dyDescent="0.25">
      <c r="A2358">
        <v>13924581</v>
      </c>
      <c r="B2358" t="str">
        <f>VLOOKUP(A2358,Planilha2!B:C,2,0)</f>
        <v>INVERSOR CFW700B33P5T2DB55</v>
      </c>
      <c r="C2358" t="s">
        <v>3169</v>
      </c>
      <c r="D2358" t="str">
        <f>VLOOKUP(A2358,Planilha2!B:H,7,0)</f>
        <v>OBSOLETOS DRIVES</v>
      </c>
      <c r="E2358" s="5">
        <v>9100</v>
      </c>
      <c r="F2358" t="str">
        <f>IFERROR(
IF(ISNUMBER(FIND("CFW110",B2358)),
VALUE(MID(B2358,FIND("CFW110",B2358)+6,FIND("T",B2358,FIND("CFW110",B2358))-(FIND("CFW110",B2358)+6))),
IF(ISNUMBER(FIND("D",B2358)),
VALUE(SUBSTITUTE(MID(B2358,FIND("D",B2358)+1,FIND("T",B2358,FIND("D",B2358))-(FIND("D",B2358)+1)),"P",",")),
IF(ISNUMBER(FIND("CFW5",B2358)),
VALUE(MID(B2358,
IF(ISNUMBER(FIND("F",B2358)),FIND("F",B2358)+1,FIND("G",B2358)+1),
FIND("T",B2358)-(IF(ISNUMBER(FIND("F",B2358)),FIND("F",B2358)+1,FIND("G",B2358)+1))
)),
VALUE(MID(B2358,FIND("E0",B2358)+2,FIND("T",B2358,FIND("E0",B2358))-(FIND("E0",B2358)+2)))
))),"")</f>
        <v/>
      </c>
      <c r="G2358">
        <f>IFERROR(
IF(ISNUMBER(FIND("T2",B2358)),220,
IF(ISNUMBER(FIND("T4",B2358)),440,
IF(ISNUMBER(FIND("T5",B2358)),575,
IF(ISNUMBER(FIND("T6",B2358)),690,"")))),
"")</f>
        <v>220</v>
      </c>
    </row>
    <row r="2359" spans="1:7" x14ac:dyDescent="0.25">
      <c r="A2359">
        <v>13924474</v>
      </c>
      <c r="B2359" t="str">
        <f>VLOOKUP(A2359,Planilha2!B:C,2,0)</f>
        <v>INVERSOR CFW700B16P0T2DB55</v>
      </c>
      <c r="C2359" t="s">
        <v>3169</v>
      </c>
      <c r="D2359" t="str">
        <f>VLOOKUP(A2359,Planilha2!B:H,7,0)</f>
        <v>OBSOLETOS DRIVES</v>
      </c>
      <c r="E2359" s="5">
        <v>4500</v>
      </c>
      <c r="F2359" t="str">
        <f>IFERROR(
IF(ISNUMBER(FIND("CFW110",B2359)),
VALUE(MID(B2359,FIND("CFW110",B2359)+6,FIND("T",B2359,FIND("CFW110",B2359))-(FIND("CFW110",B2359)+6))),
IF(ISNUMBER(FIND("D",B2359)),
VALUE(SUBSTITUTE(MID(B2359,FIND("D",B2359)+1,FIND("T",B2359,FIND("D",B2359))-(FIND("D",B2359)+1)),"P",",")),
IF(ISNUMBER(FIND("CFW5",B2359)),
VALUE(MID(B2359,
IF(ISNUMBER(FIND("F",B2359)),FIND("F",B2359)+1,FIND("G",B2359)+1),
FIND("T",B2359)-(IF(ISNUMBER(FIND("F",B2359)),FIND("F",B2359)+1,FIND("G",B2359)+1))
)),
VALUE(MID(B2359,FIND("E0",B2359)+2,FIND("T",B2359,FIND("E0",B2359))-(FIND("E0",B2359)+2)))
))),"")</f>
        <v/>
      </c>
      <c r="G2359">
        <f>IFERROR(
IF(ISNUMBER(FIND("T2",B2359)),220,
IF(ISNUMBER(FIND("T4",B2359)),440,
IF(ISNUMBER(FIND("T5",B2359)),575,
IF(ISNUMBER(FIND("T6",B2359)),690,"")))),
"")</f>
        <v>220</v>
      </c>
    </row>
    <row r="2360" spans="1:7" x14ac:dyDescent="0.25">
      <c r="A2360">
        <v>13924477</v>
      </c>
      <c r="B2360" t="str">
        <f>VLOOKUP(A2360,Planilha2!B:C,2,0)</f>
        <v>INVERSOR CFW700B28P0T2DB55</v>
      </c>
      <c r="C2360" t="s">
        <v>3169</v>
      </c>
      <c r="D2360" t="str">
        <f>VLOOKUP(A2360,Planilha2!B:H,7,0)</f>
        <v>OBSOLETOS DRIVES</v>
      </c>
      <c r="E2360" s="5">
        <v>4500</v>
      </c>
      <c r="F2360" t="str">
        <f>IFERROR(
IF(ISNUMBER(FIND("CFW110",B2360)),
VALUE(MID(B2360,FIND("CFW110",B2360)+6,FIND("T",B2360,FIND("CFW110",B2360))-(FIND("CFW110",B2360)+6))),
IF(ISNUMBER(FIND("D",B2360)),
VALUE(SUBSTITUTE(MID(B2360,FIND("D",B2360)+1,FIND("T",B2360,FIND("D",B2360))-(FIND("D",B2360)+1)),"P",",")),
IF(ISNUMBER(FIND("CFW5",B2360)),
VALUE(MID(B2360,
IF(ISNUMBER(FIND("F",B2360)),FIND("F",B2360)+1,FIND("G",B2360)+1),
FIND("T",B2360)-(IF(ISNUMBER(FIND("F",B2360)),FIND("F",B2360)+1,FIND("G",B2360)+1))
)),
VALUE(MID(B2360,FIND("E0",B2360)+2,FIND("T",B2360,FIND("E0",B2360))-(FIND("E0",B2360)+2)))
))),"")</f>
        <v/>
      </c>
      <c r="G2360">
        <f>IFERROR(
IF(ISNUMBER(FIND("T2",B2360)),220,
IF(ISNUMBER(FIND("T4",B2360)),440,
IF(ISNUMBER(FIND("T5",B2360)),575,
IF(ISNUMBER(FIND("T6",B2360)),690,"")))),
"")</f>
        <v>220</v>
      </c>
    </row>
    <row r="2361" spans="1:7" x14ac:dyDescent="0.25">
      <c r="A2361">
        <v>13924472</v>
      </c>
      <c r="B2361" t="str">
        <f>VLOOKUP(A2361,Planilha2!B:C,2,0)</f>
        <v>INVERSOR CFW700B13P0T2DB55</v>
      </c>
      <c r="C2361" t="s">
        <v>3169</v>
      </c>
      <c r="D2361" t="str">
        <f>VLOOKUP(A2361,Planilha2!B:H,7,0)</f>
        <v>OBSOLETOS DRIVES</v>
      </c>
      <c r="E2361" s="5">
        <v>4500</v>
      </c>
      <c r="F2361" t="str">
        <f>IFERROR(
IF(ISNUMBER(FIND("CFW110",B2361)),
VALUE(MID(B2361,FIND("CFW110",B2361)+6,FIND("T",B2361,FIND("CFW110",B2361))-(FIND("CFW110",B2361)+6))),
IF(ISNUMBER(FIND("D",B2361)),
VALUE(SUBSTITUTE(MID(B2361,FIND("D",B2361)+1,FIND("T",B2361,FIND("D",B2361))-(FIND("D",B2361)+1)),"P",",")),
IF(ISNUMBER(FIND("CFW5",B2361)),
VALUE(MID(B2361,
IF(ISNUMBER(FIND("F",B2361)),FIND("F",B2361)+1,FIND("G",B2361)+1),
FIND("T",B2361)-(IF(ISNUMBER(FIND("F",B2361)),FIND("F",B2361)+1,FIND("G",B2361)+1))
)),
VALUE(MID(B2361,FIND("E0",B2361)+2,FIND("T",B2361,FIND("E0",B2361))-(FIND("E0",B2361)+2)))
))),"")</f>
        <v/>
      </c>
      <c r="G2361">
        <f>IFERROR(
IF(ISNUMBER(FIND("T2",B2361)),220,
IF(ISNUMBER(FIND("T4",B2361)),440,
IF(ISNUMBER(FIND("T5",B2361)),575,
IF(ISNUMBER(FIND("T6",B2361)),690,"")))),
"")</f>
        <v>220</v>
      </c>
    </row>
    <row r="2362" spans="1:7" x14ac:dyDescent="0.25">
      <c r="A2362">
        <v>13924471</v>
      </c>
      <c r="B2362" t="str">
        <f>VLOOKUP(A2362,Planilha2!B:C,2,0)</f>
        <v>INVERSOR CFW700B10P0T2DB55</v>
      </c>
      <c r="C2362" t="s">
        <v>3169</v>
      </c>
      <c r="D2362" t="str">
        <f>VLOOKUP(A2362,Planilha2!B:H,7,0)</f>
        <v>OBSOLETOS DRIVES</v>
      </c>
      <c r="E2362" s="5">
        <v>4500</v>
      </c>
      <c r="F2362" t="str">
        <f>IFERROR(
IF(ISNUMBER(FIND("CFW110",B2362)),
VALUE(MID(B2362,FIND("CFW110",B2362)+6,FIND("T",B2362,FIND("CFW110",B2362))-(FIND("CFW110",B2362)+6))),
IF(ISNUMBER(FIND("D",B2362)),
VALUE(SUBSTITUTE(MID(B2362,FIND("D",B2362)+1,FIND("T",B2362,FIND("D",B2362))-(FIND("D",B2362)+1)),"P",",")),
IF(ISNUMBER(FIND("CFW5",B2362)),
VALUE(MID(B2362,
IF(ISNUMBER(FIND("F",B2362)),FIND("F",B2362)+1,FIND("G",B2362)+1),
FIND("T",B2362)-(IF(ISNUMBER(FIND("F",B2362)),FIND("F",B2362)+1,FIND("G",B2362)+1))
)),
VALUE(MID(B2362,FIND("E0",B2362)+2,FIND("T",B2362,FIND("E0",B2362))-(FIND("E0",B2362)+2)))
))),"")</f>
        <v/>
      </c>
      <c r="G2362">
        <f>IFERROR(
IF(ISNUMBER(FIND("T2",B2362)),220,
IF(ISNUMBER(FIND("T4",B2362)),440,
IF(ISNUMBER(FIND("T5",B2362)),575,
IF(ISNUMBER(FIND("T6",B2362)),690,"")))),
"")</f>
        <v>220</v>
      </c>
    </row>
    <row r="2363" spans="1:7" x14ac:dyDescent="0.25">
      <c r="A2363">
        <v>13924470</v>
      </c>
      <c r="B2363" t="str">
        <f>VLOOKUP(A2363,Planilha2!B:C,2,0)</f>
        <v>INVERSOR CFW700B07P0T2DB55</v>
      </c>
      <c r="C2363" t="s">
        <v>3169</v>
      </c>
      <c r="D2363" t="str">
        <f>VLOOKUP(A2363,Planilha2!B:H,7,0)</f>
        <v>OBSOLETOS DRIVES</v>
      </c>
      <c r="E2363" s="5">
        <v>4500</v>
      </c>
      <c r="F2363" t="str">
        <f>IFERROR(
IF(ISNUMBER(FIND("CFW110",B2363)),
VALUE(MID(B2363,FIND("CFW110",B2363)+6,FIND("T",B2363,FIND("CFW110",B2363))-(FIND("CFW110",B2363)+6))),
IF(ISNUMBER(FIND("D",B2363)),
VALUE(SUBSTITUTE(MID(B2363,FIND("D",B2363)+1,FIND("T",B2363,FIND("D",B2363))-(FIND("D",B2363)+1)),"P",",")),
IF(ISNUMBER(FIND("CFW5",B2363)),
VALUE(MID(B2363,
IF(ISNUMBER(FIND("F",B2363)),FIND("F",B2363)+1,FIND("G",B2363)+1),
FIND("T",B2363)-(IF(ISNUMBER(FIND("F",B2363)),FIND("F",B2363)+1,FIND("G",B2363)+1))
)),
VALUE(MID(B2363,FIND("E0",B2363)+2,FIND("T",B2363,FIND("E0",B2363))-(FIND("E0",B2363)+2)))
))),"")</f>
        <v/>
      </c>
      <c r="G2363">
        <f>IFERROR(
IF(ISNUMBER(FIND("T2",B2363)),220,
IF(ISNUMBER(FIND("T4",B2363)),440,
IF(ISNUMBER(FIND("T5",B2363)),575,
IF(ISNUMBER(FIND("T6",B2363)),690,"")))),
"")</f>
        <v>220</v>
      </c>
    </row>
    <row r="2364" spans="1:7" x14ac:dyDescent="0.25">
      <c r="A2364">
        <v>13920626</v>
      </c>
      <c r="B2364" t="str">
        <f>VLOOKUP(A2364,Planilha2!B:C,2,0)</f>
        <v>INVERSOR CFW700B31P0T4DB55C3</v>
      </c>
      <c r="C2364" t="s">
        <v>3169</v>
      </c>
      <c r="D2364" t="str">
        <f>VLOOKUP(A2364,Planilha2!B:H,7,0)</f>
        <v>OBSOLETOS DRIVES</v>
      </c>
      <c r="E2364" s="5">
        <v>10400</v>
      </c>
      <c r="F2364" t="str">
        <f>IFERROR(
IF(ISNUMBER(FIND("CFW110",B2364)),
VALUE(MID(B2364,FIND("CFW110",B2364)+6,FIND("T",B2364,FIND("CFW110",B2364))-(FIND("CFW110",B2364)+6))),
IF(ISNUMBER(FIND("D",B2364)),
VALUE(SUBSTITUTE(MID(B2364,FIND("D",B2364)+1,FIND("T",B2364,FIND("D",B2364))-(FIND("D",B2364)+1)),"P",",")),
IF(ISNUMBER(FIND("CFW5",B2364)),
VALUE(MID(B2364,
IF(ISNUMBER(FIND("F",B2364)),FIND("F",B2364)+1,FIND("G",B2364)+1),
FIND("T",B2364)-(IF(ISNUMBER(FIND("F",B2364)),FIND("F",B2364)+1,FIND("G",B2364)+1))
)),
VALUE(MID(B2364,FIND("E0",B2364)+2,FIND("T",B2364,FIND("E0",B2364))-(FIND("E0",B2364)+2)))
))),"")</f>
        <v/>
      </c>
      <c r="G2364">
        <f>IFERROR(
IF(ISNUMBER(FIND("T2",B2364)),220,
IF(ISNUMBER(FIND("T4",B2364)),440,
IF(ISNUMBER(FIND("T5",B2364)),575,
IF(ISNUMBER(FIND("T6",B2364)),690,"")))),
"")</f>
        <v>440</v>
      </c>
    </row>
    <row r="2365" spans="1:7" x14ac:dyDescent="0.25">
      <c r="A2365">
        <v>13920625</v>
      </c>
      <c r="B2365" t="str">
        <f>VLOOKUP(A2365,Planilha2!B:C,2,0)</f>
        <v>INVERSOR CFW700B24P0T4DB55C3</v>
      </c>
      <c r="C2365" t="s">
        <v>3169</v>
      </c>
      <c r="D2365" t="str">
        <f>VLOOKUP(A2365,Planilha2!B:H,7,0)</f>
        <v>OBSOLETOS DRIVES</v>
      </c>
      <c r="E2365" s="5">
        <v>9700</v>
      </c>
      <c r="F2365" t="str">
        <f>IFERROR(
IF(ISNUMBER(FIND("CFW110",B2365)),
VALUE(MID(B2365,FIND("CFW110",B2365)+6,FIND("T",B2365,FIND("CFW110",B2365))-(FIND("CFW110",B2365)+6))),
IF(ISNUMBER(FIND("D",B2365)),
VALUE(SUBSTITUTE(MID(B2365,FIND("D",B2365)+1,FIND("T",B2365,FIND("D",B2365))-(FIND("D",B2365)+1)),"P",",")),
IF(ISNUMBER(FIND("CFW5",B2365)),
VALUE(MID(B2365,
IF(ISNUMBER(FIND("F",B2365)),FIND("F",B2365)+1,FIND("G",B2365)+1),
FIND("T",B2365)-(IF(ISNUMBER(FIND("F",B2365)),FIND("F",B2365)+1,FIND("G",B2365)+1))
)),
VALUE(MID(B2365,FIND("E0",B2365)+2,FIND("T",B2365,FIND("E0",B2365))-(FIND("E0",B2365)+2)))
))),"")</f>
        <v/>
      </c>
      <c r="G2365">
        <f>IFERROR(
IF(ISNUMBER(FIND("T2",B2365)),220,
IF(ISNUMBER(FIND("T4",B2365)),440,
IF(ISNUMBER(FIND("T5",B2365)),575,
IF(ISNUMBER(FIND("T6",B2365)),690,"")))),
"")</f>
        <v>440</v>
      </c>
    </row>
    <row r="2366" spans="1:7" x14ac:dyDescent="0.25">
      <c r="A2366">
        <v>13920623</v>
      </c>
      <c r="B2366" t="str">
        <f>VLOOKUP(A2366,Planilha2!B:C,2,0)</f>
        <v>INVERSOR CFW700B17P0T4DB55C3</v>
      </c>
      <c r="C2366" t="s">
        <v>3169</v>
      </c>
      <c r="D2366" t="str">
        <f>VLOOKUP(A2366,Planilha2!B:H,7,0)</f>
        <v>OBSOLETOS DRIVES</v>
      </c>
      <c r="E2366" s="5">
        <v>9100</v>
      </c>
      <c r="F2366" t="str">
        <f>IFERROR(
IF(ISNUMBER(FIND("CFW110",B2366)),
VALUE(MID(B2366,FIND("CFW110",B2366)+6,FIND("T",B2366,FIND("CFW110",B2366))-(FIND("CFW110",B2366)+6))),
IF(ISNUMBER(FIND("D",B2366)),
VALUE(SUBSTITUTE(MID(B2366,FIND("D",B2366)+1,FIND("T",B2366,FIND("D",B2366))-(FIND("D",B2366)+1)),"P",",")),
IF(ISNUMBER(FIND("CFW5",B2366)),
VALUE(MID(B2366,
IF(ISNUMBER(FIND("F",B2366)),FIND("F",B2366)+1,FIND("G",B2366)+1),
FIND("T",B2366)-(IF(ISNUMBER(FIND("F",B2366)),FIND("F",B2366)+1,FIND("G",B2366)+1))
)),
VALUE(MID(B2366,FIND("E0",B2366)+2,FIND("T",B2366,FIND("E0",B2366))-(FIND("E0",B2366)+2)))
))),"")</f>
        <v/>
      </c>
      <c r="G2366">
        <f>IFERROR(
IF(ISNUMBER(FIND("T2",B2366)),220,
IF(ISNUMBER(FIND("T4",B2366)),440,
IF(ISNUMBER(FIND("T5",B2366)),575,
IF(ISNUMBER(FIND("T6",B2366)),690,"")))),
"")</f>
        <v>440</v>
      </c>
    </row>
    <row r="2367" spans="1:7" x14ac:dyDescent="0.25">
      <c r="A2367">
        <v>13920621</v>
      </c>
      <c r="B2367" t="str">
        <f>VLOOKUP(A2367,Planilha2!B:C,2,0)</f>
        <v>INVERSOR CFW700B13P5T4DB55C3</v>
      </c>
      <c r="C2367" t="s">
        <v>3169</v>
      </c>
      <c r="D2367" t="str">
        <f>VLOOKUP(A2367,Planilha2!B:H,7,0)</f>
        <v>OBSOLETOS DRIVES</v>
      </c>
      <c r="E2367" s="5">
        <v>10565</v>
      </c>
      <c r="F2367" t="str">
        <f>IFERROR(
IF(ISNUMBER(FIND("CFW110",B2367)),
VALUE(MID(B2367,FIND("CFW110",B2367)+6,FIND("T",B2367,FIND("CFW110",B2367))-(FIND("CFW110",B2367)+6))),
IF(ISNUMBER(FIND("D",B2367)),
VALUE(SUBSTITUTE(MID(B2367,FIND("D",B2367)+1,FIND("T",B2367,FIND("D",B2367))-(FIND("D",B2367)+1)),"P",",")),
IF(ISNUMBER(FIND("CFW5",B2367)),
VALUE(MID(B2367,
IF(ISNUMBER(FIND("F",B2367)),FIND("F",B2367)+1,FIND("G",B2367)+1),
FIND("T",B2367)-(IF(ISNUMBER(FIND("F",B2367)),FIND("F",B2367)+1,FIND("G",B2367)+1))
)),
VALUE(MID(B2367,FIND("E0",B2367)+2,FIND("T",B2367,FIND("E0",B2367))-(FIND("E0",B2367)+2)))
))),"")</f>
        <v/>
      </c>
      <c r="G2367">
        <f>IFERROR(
IF(ISNUMBER(FIND("T2",B2367)),220,
IF(ISNUMBER(FIND("T4",B2367)),440,
IF(ISNUMBER(FIND("T5",B2367)),575,
IF(ISNUMBER(FIND("T6",B2367)),690,"")))),
"")</f>
        <v>440</v>
      </c>
    </row>
    <row r="2368" spans="1:7" x14ac:dyDescent="0.25">
      <c r="A2368">
        <v>13920517</v>
      </c>
      <c r="B2368" t="str">
        <f>VLOOKUP(A2368,Planilha2!B:C,2,0)</f>
        <v>INVERSOR CFW700B10P0T4DB55C3</v>
      </c>
      <c r="C2368" t="s">
        <v>3169</v>
      </c>
      <c r="D2368" t="str">
        <f>VLOOKUP(A2368,Planilha2!B:H,7,0)</f>
        <v>OBSOLETOS DRIVES</v>
      </c>
      <c r="E2368" s="5">
        <v>4500</v>
      </c>
      <c r="F2368" t="str">
        <f>IFERROR(
IF(ISNUMBER(FIND("CFW110",B2368)),
VALUE(MID(B2368,FIND("CFW110",B2368)+6,FIND("T",B2368,FIND("CFW110",B2368))-(FIND("CFW110",B2368)+6))),
IF(ISNUMBER(FIND("D",B2368)),
VALUE(SUBSTITUTE(MID(B2368,FIND("D",B2368)+1,FIND("T",B2368,FIND("D",B2368))-(FIND("D",B2368)+1)),"P",",")),
IF(ISNUMBER(FIND("CFW5",B2368)),
VALUE(MID(B2368,
IF(ISNUMBER(FIND("F",B2368)),FIND("F",B2368)+1,FIND("G",B2368)+1),
FIND("T",B2368)-(IF(ISNUMBER(FIND("F",B2368)),FIND("F",B2368)+1,FIND("G",B2368)+1))
)),
VALUE(MID(B2368,FIND("E0",B2368)+2,FIND("T",B2368,FIND("E0",B2368))-(FIND("E0",B2368)+2)))
))),"")</f>
        <v/>
      </c>
      <c r="G2368">
        <f>IFERROR(
IF(ISNUMBER(FIND("T2",B2368)),220,
IF(ISNUMBER(FIND("T4",B2368)),440,
IF(ISNUMBER(FIND("T5",B2368)),575,
IF(ISNUMBER(FIND("T6",B2368)),690,"")))),
"")</f>
        <v>440</v>
      </c>
    </row>
    <row r="2369" spans="1:7" x14ac:dyDescent="0.25">
      <c r="A2369">
        <v>13920062</v>
      </c>
      <c r="B2369" t="str">
        <f>VLOOKUP(A2369,Planilha2!B:C,2,0)</f>
        <v>INVERSOR CFW700B07P0T4DB55C3</v>
      </c>
      <c r="C2369" t="s">
        <v>3169</v>
      </c>
      <c r="D2369" t="str">
        <f>VLOOKUP(A2369,Planilha2!B:H,7,0)</f>
        <v>OBSOLETOS DRIVES</v>
      </c>
      <c r="E2369" s="5">
        <v>4500</v>
      </c>
      <c r="F2369" t="str">
        <f>IFERROR(
IF(ISNUMBER(FIND("CFW110",B2369)),
VALUE(MID(B2369,FIND("CFW110",B2369)+6,FIND("T",B2369,FIND("CFW110",B2369))-(FIND("CFW110",B2369)+6))),
IF(ISNUMBER(FIND("D",B2369)),
VALUE(SUBSTITUTE(MID(B2369,FIND("D",B2369)+1,FIND("T",B2369,FIND("D",B2369))-(FIND("D",B2369)+1)),"P",",")),
IF(ISNUMBER(FIND("CFW5",B2369)),
VALUE(MID(B2369,
IF(ISNUMBER(FIND("F",B2369)),FIND("F",B2369)+1,FIND("G",B2369)+1),
FIND("T",B2369)-(IF(ISNUMBER(FIND("F",B2369)),FIND("F",B2369)+1,FIND("G",B2369)+1))
)),
VALUE(MID(B2369,FIND("E0",B2369)+2,FIND("T",B2369,FIND("E0",B2369))-(FIND("E0",B2369)+2)))
))),"")</f>
        <v/>
      </c>
      <c r="G2369">
        <f>IFERROR(
IF(ISNUMBER(FIND("T2",B2369)),220,
IF(ISNUMBER(FIND("T4",B2369)),440,
IF(ISNUMBER(FIND("T5",B2369)),575,
IF(ISNUMBER(FIND("T6",B2369)),690,"")))),
"")</f>
        <v>440</v>
      </c>
    </row>
    <row r="2370" spans="1:7" x14ac:dyDescent="0.25">
      <c r="A2370">
        <v>13920061</v>
      </c>
      <c r="B2370" t="str">
        <f>VLOOKUP(A2370,Planilha2!B:C,2,0)</f>
        <v>INVERSOR CFW700B05P0T4DB55C3</v>
      </c>
      <c r="C2370" t="s">
        <v>3169</v>
      </c>
      <c r="D2370" t="str">
        <f>VLOOKUP(A2370,Planilha2!B:H,7,0)</f>
        <v>OBSOLETOS DRIVES</v>
      </c>
      <c r="E2370" s="5">
        <v>4500</v>
      </c>
      <c r="F2370" t="str">
        <f>IFERROR(
IF(ISNUMBER(FIND("CFW110",B2370)),
VALUE(MID(B2370,FIND("CFW110",B2370)+6,FIND("T",B2370,FIND("CFW110",B2370))-(FIND("CFW110",B2370)+6))),
IF(ISNUMBER(FIND("D",B2370)),
VALUE(SUBSTITUTE(MID(B2370,FIND("D",B2370)+1,FIND("T",B2370,FIND("D",B2370))-(FIND("D",B2370)+1)),"P",",")),
IF(ISNUMBER(FIND("CFW5",B2370)),
VALUE(MID(B2370,
IF(ISNUMBER(FIND("F",B2370)),FIND("F",B2370)+1,FIND("G",B2370)+1),
FIND("T",B2370)-(IF(ISNUMBER(FIND("F",B2370)),FIND("F",B2370)+1,FIND("G",B2370)+1))
)),
VALUE(MID(B2370,FIND("E0",B2370)+2,FIND("T",B2370,FIND("E0",B2370))-(FIND("E0",B2370)+2)))
))),"")</f>
        <v/>
      </c>
      <c r="G2370">
        <f>IFERROR(
IF(ISNUMBER(FIND("T2",B2370)),220,
IF(ISNUMBER(FIND("T4",B2370)),440,
IF(ISNUMBER(FIND("T5",B2370)),575,
IF(ISNUMBER(FIND("T6",B2370)),690,"")))),
"")</f>
        <v>440</v>
      </c>
    </row>
    <row r="2371" spans="1:7" x14ac:dyDescent="0.25">
      <c r="A2371">
        <v>13920060</v>
      </c>
      <c r="B2371" t="str">
        <f>VLOOKUP(A2371,Planilha2!B:C,2,0)</f>
        <v>INVERSOR CFW700B03P6T4DB55C3</v>
      </c>
      <c r="C2371" t="s">
        <v>3169</v>
      </c>
      <c r="D2371" t="str">
        <f>VLOOKUP(A2371,Planilha2!B:H,7,0)</f>
        <v>OBSOLETOS DRIVES</v>
      </c>
      <c r="E2371" s="5">
        <v>4500</v>
      </c>
      <c r="F2371" t="str">
        <f>IFERROR(
IF(ISNUMBER(FIND("CFW110",B2371)),
VALUE(MID(B2371,FIND("CFW110",B2371)+6,FIND("T",B2371,FIND("CFW110",B2371))-(FIND("CFW110",B2371)+6))),
IF(ISNUMBER(FIND("D",B2371)),
VALUE(SUBSTITUTE(MID(B2371,FIND("D",B2371)+1,FIND("T",B2371,FIND("D",B2371))-(FIND("D",B2371)+1)),"P",",")),
IF(ISNUMBER(FIND("CFW5",B2371)),
VALUE(MID(B2371,
IF(ISNUMBER(FIND("F",B2371)),FIND("F",B2371)+1,FIND("G",B2371)+1),
FIND("T",B2371)-(IF(ISNUMBER(FIND("F",B2371)),FIND("F",B2371)+1,FIND("G",B2371)+1))
)),
VALUE(MID(B2371,FIND("E0",B2371)+2,FIND("T",B2371,FIND("E0",B2371))-(FIND("E0",B2371)+2)))
))),"")</f>
        <v/>
      </c>
      <c r="G2371">
        <f>IFERROR(
IF(ISNUMBER(FIND("T2",B2371)),220,
IF(ISNUMBER(FIND("T4",B2371)),440,
IF(ISNUMBER(FIND("T5",B2371)),575,
IF(ISNUMBER(FIND("T6",B2371)),690,"")))),
"")</f>
        <v>440</v>
      </c>
    </row>
    <row r="2372" spans="1:7" x14ac:dyDescent="0.25">
      <c r="A2372">
        <v>13917721</v>
      </c>
      <c r="B2372" t="str">
        <f>VLOOKUP(A2372,Planilha2!B:C,2,0)</f>
        <v>INVERSOR CFW700B06P0S2DB55C3</v>
      </c>
      <c r="C2372" t="s">
        <v>3169</v>
      </c>
      <c r="D2372" t="str">
        <f>VLOOKUP(A2372,Planilha2!B:H,7,0)</f>
        <v>OBSOLETOS DRIVES</v>
      </c>
      <c r="E2372" s="5">
        <v>4500</v>
      </c>
      <c r="F2372" t="str">
        <f>IFERROR(
IF(ISNUMBER(FIND("CFW110",B2372)),
VALUE(MID(B2372,FIND("CFW110",B2372)+6,FIND("T",B2372,FIND("CFW110",B2372))-(FIND("CFW110",B2372)+6))),
IF(ISNUMBER(FIND("D",B2372)),
VALUE(SUBSTITUTE(MID(B2372,FIND("D",B2372)+1,FIND("T",B2372,FIND("D",B2372))-(FIND("D",B2372)+1)),"P",",")),
IF(ISNUMBER(FIND("CFW5",B2372)),
VALUE(MID(B2372,
IF(ISNUMBER(FIND("F",B2372)),FIND("F",B2372)+1,FIND("G",B2372)+1),
FIND("T",B2372)-(IF(ISNUMBER(FIND("F",B2372)),FIND("F",B2372)+1,FIND("G",B2372)+1))
)),
VALUE(MID(B2372,FIND("E0",B2372)+2,FIND("T",B2372,FIND("E0",B2372))-(FIND("E0",B2372)+2)))
))),"")</f>
        <v/>
      </c>
      <c r="G2372" t="str">
        <f>IFERROR(
IF(ISNUMBER(FIND("T2",B2372)),220,
IF(ISNUMBER(FIND("T4",B2372)),440,
IF(ISNUMBER(FIND("T5",B2372)),575,
IF(ISNUMBER(FIND("T6",B2372)),690,"")))),
"")</f>
        <v/>
      </c>
    </row>
    <row r="2373" spans="1:7" x14ac:dyDescent="0.25">
      <c r="A2373">
        <v>13918745</v>
      </c>
      <c r="B2373" t="str">
        <f>VLOOKUP(A2373,Planilha2!B:C,2,0)</f>
        <v>INVERSOR CFW700B10P0S2DB55C3</v>
      </c>
      <c r="C2373" t="s">
        <v>3169</v>
      </c>
      <c r="D2373" t="str">
        <f>VLOOKUP(A2373,Planilha2!B:H,7,0)</f>
        <v>OBSOLETOS DRIVES</v>
      </c>
      <c r="E2373" s="5">
        <v>4500</v>
      </c>
      <c r="F2373" t="str">
        <f>IFERROR(
IF(ISNUMBER(FIND("CFW110",B2373)),
VALUE(MID(B2373,FIND("CFW110",B2373)+6,FIND("T",B2373,FIND("CFW110",B2373))-(FIND("CFW110",B2373)+6))),
IF(ISNUMBER(FIND("D",B2373)),
VALUE(SUBSTITUTE(MID(B2373,FIND("D",B2373)+1,FIND("T",B2373,FIND("D",B2373))-(FIND("D",B2373)+1)),"P",",")),
IF(ISNUMBER(FIND("CFW5",B2373)),
VALUE(MID(B2373,
IF(ISNUMBER(FIND("F",B2373)),FIND("F",B2373)+1,FIND("G",B2373)+1),
FIND("T",B2373)-(IF(ISNUMBER(FIND("F",B2373)),FIND("F",B2373)+1,FIND("G",B2373)+1))
)),
VALUE(MID(B2373,FIND("E0",B2373)+2,FIND("T",B2373,FIND("E0",B2373))-(FIND("E0",B2373)+2)))
))),"")</f>
        <v/>
      </c>
      <c r="G2373" t="str">
        <f>IFERROR(
IF(ISNUMBER(FIND("T2",B2373)),220,
IF(ISNUMBER(FIND("T4",B2373)),440,
IF(ISNUMBER(FIND("T5",B2373)),575,
IF(ISNUMBER(FIND("T6",B2373)),690,"")))),
"")</f>
        <v/>
      </c>
    </row>
    <row r="2374" spans="1:7" x14ac:dyDescent="0.25">
      <c r="A2374">
        <v>13920744</v>
      </c>
      <c r="B2374" t="str">
        <f>VLOOKUP(A2374,Planilha2!B:C,2,0)</f>
        <v>INVERSOR CFW700B17P0T4DB55C3DS</v>
      </c>
      <c r="C2374" t="s">
        <v>3169</v>
      </c>
      <c r="D2374" t="str">
        <f>VLOOKUP(A2374,Planilha2!B:H,7,0)</f>
        <v>OBSOLETOS DRIVES</v>
      </c>
      <c r="E2374" s="5">
        <v>9100</v>
      </c>
      <c r="F2374" t="str">
        <f>IFERROR(
IF(ISNUMBER(FIND("CFW110",B2374)),
VALUE(MID(B2374,FIND("CFW110",B2374)+6,FIND("T",B2374,FIND("CFW110",B2374))-(FIND("CFW110",B2374)+6))),
IF(ISNUMBER(FIND("D",B2374)),
VALUE(SUBSTITUTE(MID(B2374,FIND("D",B2374)+1,FIND("T",B2374,FIND("D",B2374))-(FIND("D",B2374)+1)),"P",",")),
IF(ISNUMBER(FIND("CFW5",B2374)),
VALUE(MID(B2374,
IF(ISNUMBER(FIND("F",B2374)),FIND("F",B2374)+1,FIND("G",B2374)+1),
FIND("T",B2374)-(IF(ISNUMBER(FIND("F",B2374)),FIND("F",B2374)+1,FIND("G",B2374)+1))
)),
VALUE(MID(B2374,FIND("E0",B2374)+2,FIND("T",B2374,FIND("E0",B2374))-(FIND("E0",B2374)+2)))
))),"")</f>
        <v/>
      </c>
      <c r="G2374">
        <f>IFERROR(
IF(ISNUMBER(FIND("T2",B2374)),220,
IF(ISNUMBER(FIND("T4",B2374)),440,
IF(ISNUMBER(FIND("T5",B2374)),575,
IF(ISNUMBER(FIND("T6",B2374)),690,"")))),
"")</f>
        <v>440</v>
      </c>
    </row>
    <row r="2375" spans="1:7" x14ac:dyDescent="0.25">
      <c r="A2375">
        <v>14068122</v>
      </c>
      <c r="B2375" t="str">
        <f>VLOOKUP(A2375,Planilha2!B:C,2,0)</f>
        <v>INVERSOR CFW701B10P0T4DB55C3SZ</v>
      </c>
      <c r="C2375" t="s">
        <v>3169</v>
      </c>
      <c r="D2375" t="str">
        <f>VLOOKUP(A2375,Planilha2!B:H,7,0)</f>
        <v>OBSOLETOS DRIVES</v>
      </c>
      <c r="E2375" s="5">
        <v>4742</v>
      </c>
      <c r="F2375" t="str">
        <f>IFERROR(
IF(ISNUMBER(FIND("CFW110",B2375)),
VALUE(MID(B2375,FIND("CFW110",B2375)+6,FIND("T",B2375,FIND("CFW110",B2375))-(FIND("CFW110",B2375)+6))),
IF(ISNUMBER(FIND("D",B2375)),
VALUE(SUBSTITUTE(MID(B2375,FIND("D",B2375)+1,FIND("T",B2375,FIND("D",B2375))-(FIND("D",B2375)+1)),"P",",")),
IF(ISNUMBER(FIND("CFW5",B2375)),
VALUE(MID(B2375,
IF(ISNUMBER(FIND("F",B2375)),FIND("F",B2375)+1,FIND("G",B2375)+1),
FIND("T",B2375)-(IF(ISNUMBER(FIND("F",B2375)),FIND("F",B2375)+1,FIND("G",B2375)+1))
)),
VALUE(MID(B2375,FIND("E0",B2375)+2,FIND("T",B2375,FIND("E0",B2375))-(FIND("E0",B2375)+2)))
))),"")</f>
        <v/>
      </c>
      <c r="G2375">
        <f>IFERROR(
IF(ISNUMBER(FIND("T2",B2375)),220,
IF(ISNUMBER(FIND("T4",B2375)),440,
IF(ISNUMBER(FIND("T5",B2375)),575,
IF(ISNUMBER(FIND("T6",B2375)),690,"")))),
"")</f>
        <v>440</v>
      </c>
    </row>
    <row r="2376" spans="1:7" x14ac:dyDescent="0.25">
      <c r="A2376">
        <v>14068126</v>
      </c>
      <c r="B2376" t="str">
        <f>VLOOKUP(A2376,Planilha2!B:C,2,0)</f>
        <v>INVERSOR CFW701B13P5T4DB55C3SZ</v>
      </c>
      <c r="C2376" t="s">
        <v>3169</v>
      </c>
      <c r="D2376" t="str">
        <f>VLOOKUP(A2376,Planilha2!B:H,7,0)</f>
        <v>OBSOLETOS DRIVES</v>
      </c>
      <c r="E2376" s="5">
        <v>10807</v>
      </c>
      <c r="F2376" t="str">
        <f>IFERROR(
IF(ISNUMBER(FIND("CFW110",B2376)),
VALUE(MID(B2376,FIND("CFW110",B2376)+6,FIND("T",B2376,FIND("CFW110",B2376))-(FIND("CFW110",B2376)+6))),
IF(ISNUMBER(FIND("D",B2376)),
VALUE(SUBSTITUTE(MID(B2376,FIND("D",B2376)+1,FIND("T",B2376,FIND("D",B2376))-(FIND("D",B2376)+1)),"P",",")),
IF(ISNUMBER(FIND("CFW5",B2376)),
VALUE(MID(B2376,
IF(ISNUMBER(FIND("F",B2376)),FIND("F",B2376)+1,FIND("G",B2376)+1),
FIND("T",B2376)-(IF(ISNUMBER(FIND("F",B2376)),FIND("F",B2376)+1,FIND("G",B2376)+1))
)),
VALUE(MID(B2376,FIND("E0",B2376)+2,FIND("T",B2376,FIND("E0",B2376))-(FIND("E0",B2376)+2)))
))),"")</f>
        <v/>
      </c>
      <c r="G2376">
        <f>IFERROR(
IF(ISNUMBER(FIND("T2",B2376)),220,
IF(ISNUMBER(FIND("T4",B2376)),440,
IF(ISNUMBER(FIND("T5",B2376)),575,
IF(ISNUMBER(FIND("T6",B2376)),690,"")))),
"")</f>
        <v>440</v>
      </c>
    </row>
    <row r="2377" spans="1:7" x14ac:dyDescent="0.25">
      <c r="A2377">
        <v>14068224</v>
      </c>
      <c r="B2377" t="str">
        <f>VLOOKUP(A2377,Planilha2!B:C,2,0)</f>
        <v>INVERSOR CFW701B17P0T4DB55C3SZ</v>
      </c>
      <c r="C2377" t="s">
        <v>3169</v>
      </c>
      <c r="D2377" t="str">
        <f>VLOOKUP(A2377,Planilha2!B:H,7,0)</f>
        <v>OBSOLETOS DRIVES</v>
      </c>
      <c r="E2377" s="5">
        <v>9342</v>
      </c>
      <c r="F2377" t="str">
        <f>IFERROR(
IF(ISNUMBER(FIND("CFW110",B2377)),
VALUE(MID(B2377,FIND("CFW110",B2377)+6,FIND("T",B2377,FIND("CFW110",B2377))-(FIND("CFW110",B2377)+6))),
IF(ISNUMBER(FIND("D",B2377)),
VALUE(SUBSTITUTE(MID(B2377,FIND("D",B2377)+1,FIND("T",B2377,FIND("D",B2377))-(FIND("D",B2377)+1)),"P",",")),
IF(ISNUMBER(FIND("CFW5",B2377)),
VALUE(MID(B2377,
IF(ISNUMBER(FIND("F",B2377)),FIND("F",B2377)+1,FIND("G",B2377)+1),
FIND("T",B2377)-(IF(ISNUMBER(FIND("F",B2377)),FIND("F",B2377)+1,FIND("G",B2377)+1))
)),
VALUE(MID(B2377,FIND("E0",B2377)+2,FIND("T",B2377,FIND("E0",B2377))-(FIND("E0",B2377)+2)))
))),"")</f>
        <v/>
      </c>
      <c r="G2377">
        <f>IFERROR(
IF(ISNUMBER(FIND("T2",B2377)),220,
IF(ISNUMBER(FIND("T4",B2377)),440,
IF(ISNUMBER(FIND("T5",B2377)),575,
IF(ISNUMBER(FIND("T6",B2377)),690,"")))),
"")</f>
        <v>440</v>
      </c>
    </row>
    <row r="2378" spans="1:7" x14ac:dyDescent="0.25">
      <c r="A2378">
        <v>14068225</v>
      </c>
      <c r="B2378" t="str">
        <f>VLOOKUP(A2378,Planilha2!B:C,2,0)</f>
        <v>INVERSOR CFW701B24P0T4DB55C3SZ</v>
      </c>
      <c r="C2378" t="s">
        <v>3169</v>
      </c>
      <c r="D2378" t="str">
        <f>VLOOKUP(A2378,Planilha2!B:H,7,0)</f>
        <v>OBSOLETOS DRIVES</v>
      </c>
      <c r="E2378" s="5">
        <v>9942</v>
      </c>
      <c r="F2378" t="str">
        <f>IFERROR(
IF(ISNUMBER(FIND("CFW110",B2378)),
VALUE(MID(B2378,FIND("CFW110",B2378)+6,FIND("T",B2378,FIND("CFW110",B2378))-(FIND("CFW110",B2378)+6))),
IF(ISNUMBER(FIND("D",B2378)),
VALUE(SUBSTITUTE(MID(B2378,FIND("D",B2378)+1,FIND("T",B2378,FIND("D",B2378))-(FIND("D",B2378)+1)),"P",",")),
IF(ISNUMBER(FIND("CFW5",B2378)),
VALUE(MID(B2378,
IF(ISNUMBER(FIND("F",B2378)),FIND("F",B2378)+1,FIND("G",B2378)+1),
FIND("T",B2378)-(IF(ISNUMBER(FIND("F",B2378)),FIND("F",B2378)+1,FIND("G",B2378)+1))
)),
VALUE(MID(B2378,FIND("E0",B2378)+2,FIND("T",B2378,FIND("E0",B2378))-(FIND("E0",B2378)+2)))
))),"")</f>
        <v/>
      </c>
      <c r="G2378">
        <f>IFERROR(
IF(ISNUMBER(FIND("T2",B2378)),220,
IF(ISNUMBER(FIND("T4",B2378)),440,
IF(ISNUMBER(FIND("T5",B2378)),575,
IF(ISNUMBER(FIND("T6",B2378)),690,"")))),
"")</f>
        <v>440</v>
      </c>
    </row>
    <row r="2379" spans="1:7" x14ac:dyDescent="0.25">
      <c r="A2379">
        <v>14068226</v>
      </c>
      <c r="B2379" t="str">
        <f>VLOOKUP(A2379,Planilha2!B:C,2,0)</f>
        <v>INVERSOR CFW701B31P0T4DB55C3SZ</v>
      </c>
      <c r="C2379" t="s">
        <v>3169</v>
      </c>
      <c r="D2379" t="str">
        <f>VLOOKUP(A2379,Planilha2!B:H,7,0)</f>
        <v>OBSOLETOS DRIVES</v>
      </c>
      <c r="E2379" s="5">
        <v>10064</v>
      </c>
      <c r="F2379" t="str">
        <f>IFERROR(
IF(ISNUMBER(FIND("CFW110",B2379)),
VALUE(MID(B2379,FIND("CFW110",B2379)+6,FIND("T",B2379,FIND("CFW110",B2379))-(FIND("CFW110",B2379)+6))),
IF(ISNUMBER(FIND("D",B2379)),
VALUE(SUBSTITUTE(MID(B2379,FIND("D",B2379)+1,FIND("T",B2379,FIND("D",B2379))-(FIND("D",B2379)+1)),"P",",")),
IF(ISNUMBER(FIND("CFW5",B2379)),
VALUE(MID(B2379,
IF(ISNUMBER(FIND("F",B2379)),FIND("F",B2379)+1,FIND("G",B2379)+1),
FIND("T",B2379)-(IF(ISNUMBER(FIND("F",B2379)),FIND("F",B2379)+1,FIND("G",B2379)+1))
)),
VALUE(MID(B2379,FIND("E0",B2379)+2,FIND("T",B2379,FIND("E0",B2379))-(FIND("E0",B2379)+2)))
))),"")</f>
        <v/>
      </c>
      <c r="G2379">
        <f>IFERROR(
IF(ISNUMBER(FIND("T2",B2379)),220,
IF(ISNUMBER(FIND("T4",B2379)),440,
IF(ISNUMBER(FIND("T5",B2379)),575,
IF(ISNUMBER(FIND("T6",B2379)),690,"")))),
"")</f>
        <v>440</v>
      </c>
    </row>
    <row r="2380" spans="1:7" x14ac:dyDescent="0.25">
      <c r="A2380">
        <v>14068087</v>
      </c>
      <c r="B2380" t="str">
        <f>VLOOKUP(A2380,Planilha2!B:C,2,0)</f>
        <v>INVERSOR CFW701B03P6T4DB55C3SZ</v>
      </c>
      <c r="C2380" t="s">
        <v>3169</v>
      </c>
      <c r="D2380" t="str">
        <f>VLOOKUP(A2380,Planilha2!B:H,7,0)</f>
        <v>OBSOLETOS DRIVES</v>
      </c>
      <c r="E2380" s="5">
        <v>4742</v>
      </c>
      <c r="F2380" t="str">
        <f>IFERROR(
IF(ISNUMBER(FIND("CFW110",B2380)),
VALUE(MID(B2380,FIND("CFW110",B2380)+6,FIND("T",B2380,FIND("CFW110",B2380))-(FIND("CFW110",B2380)+6))),
IF(ISNUMBER(FIND("D",B2380)),
VALUE(SUBSTITUTE(MID(B2380,FIND("D",B2380)+1,FIND("T",B2380,FIND("D",B2380))-(FIND("D",B2380)+1)),"P",",")),
IF(ISNUMBER(FIND("CFW5",B2380)),
VALUE(MID(B2380,
IF(ISNUMBER(FIND("F",B2380)),FIND("F",B2380)+1,FIND("G",B2380)+1),
FIND("T",B2380)-(IF(ISNUMBER(FIND("F",B2380)),FIND("F",B2380)+1,FIND("G",B2380)+1))
)),
VALUE(MID(B2380,FIND("E0",B2380)+2,FIND("T",B2380,FIND("E0",B2380))-(FIND("E0",B2380)+2)))
))),"")</f>
        <v/>
      </c>
      <c r="G2380">
        <f>IFERROR(
IF(ISNUMBER(FIND("T2",B2380)),220,
IF(ISNUMBER(FIND("T4",B2380)),440,
IF(ISNUMBER(FIND("T5",B2380)),575,
IF(ISNUMBER(FIND("T6",B2380)),690,"")))),
"")</f>
        <v>440</v>
      </c>
    </row>
    <row r="2381" spans="1:7" x14ac:dyDescent="0.25">
      <c r="A2381">
        <v>14068120</v>
      </c>
      <c r="B2381" t="str">
        <f>VLOOKUP(A2381,Planilha2!B:C,2,0)</f>
        <v>INVERSOR CFW701B05P0T4DB55C3SZ</v>
      </c>
      <c r="C2381" t="s">
        <v>3169</v>
      </c>
      <c r="D2381" t="str">
        <f>VLOOKUP(A2381,Planilha2!B:H,7,0)</f>
        <v>OBSOLETOS DRIVES</v>
      </c>
      <c r="E2381" s="5">
        <v>4742</v>
      </c>
      <c r="F2381" t="str">
        <f>IFERROR(
IF(ISNUMBER(FIND("CFW110",B2381)),
VALUE(MID(B2381,FIND("CFW110",B2381)+6,FIND("T",B2381,FIND("CFW110",B2381))-(FIND("CFW110",B2381)+6))),
IF(ISNUMBER(FIND("D",B2381)),
VALUE(SUBSTITUTE(MID(B2381,FIND("D",B2381)+1,FIND("T",B2381,FIND("D",B2381))-(FIND("D",B2381)+1)),"P",",")),
IF(ISNUMBER(FIND("CFW5",B2381)),
VALUE(MID(B2381,
IF(ISNUMBER(FIND("F",B2381)),FIND("F",B2381)+1,FIND("G",B2381)+1),
FIND("T",B2381)-(IF(ISNUMBER(FIND("F",B2381)),FIND("F",B2381)+1,FIND("G",B2381)+1))
)),
VALUE(MID(B2381,FIND("E0",B2381)+2,FIND("T",B2381,FIND("E0",B2381))-(FIND("E0",B2381)+2)))
))),"")</f>
        <v/>
      </c>
      <c r="G2381">
        <f>IFERROR(
IF(ISNUMBER(FIND("T2",B2381)),220,
IF(ISNUMBER(FIND("T4",B2381)),440,
IF(ISNUMBER(FIND("T5",B2381)),575,
IF(ISNUMBER(FIND("T6",B2381)),690,"")))),
"")</f>
        <v>440</v>
      </c>
    </row>
    <row r="2382" spans="1:7" x14ac:dyDescent="0.25">
      <c r="A2382">
        <v>14068121</v>
      </c>
      <c r="B2382" t="str">
        <f>VLOOKUP(A2382,Planilha2!B:C,2,0)</f>
        <v>INVERSOR CFW701B07P0T4DB55C3SZ</v>
      </c>
      <c r="C2382" t="s">
        <v>3169</v>
      </c>
      <c r="D2382" t="str">
        <f>VLOOKUP(A2382,Planilha2!B:H,7,0)</f>
        <v>OBSOLETOS DRIVES</v>
      </c>
      <c r="E2382" s="5">
        <v>4742</v>
      </c>
      <c r="F2382" t="str">
        <f>IFERROR(
IF(ISNUMBER(FIND("CFW110",B2382)),
VALUE(MID(B2382,FIND("CFW110",B2382)+6,FIND("T",B2382,FIND("CFW110",B2382))-(FIND("CFW110",B2382)+6))),
IF(ISNUMBER(FIND("D",B2382)),
VALUE(SUBSTITUTE(MID(B2382,FIND("D",B2382)+1,FIND("T",B2382,FIND("D",B2382))-(FIND("D",B2382)+1)),"P",",")),
IF(ISNUMBER(FIND("CFW5",B2382)),
VALUE(MID(B2382,
IF(ISNUMBER(FIND("F",B2382)),FIND("F",B2382)+1,FIND("G",B2382)+1),
FIND("T",B2382)-(IF(ISNUMBER(FIND("F",B2382)),FIND("F",B2382)+1,FIND("G",B2382)+1))
)),
VALUE(MID(B2382,FIND("E0",B2382)+2,FIND("T",B2382,FIND("E0",B2382))-(FIND("E0",B2382)+2)))
))),"")</f>
        <v/>
      </c>
      <c r="G2382">
        <f>IFERROR(
IF(ISNUMBER(FIND("T2",B2382)),220,
IF(ISNUMBER(FIND("T4",B2382)),440,
IF(ISNUMBER(FIND("T5",B2382)),575,
IF(ISNUMBER(FIND("T6",B2382)),690,"")))),
"")</f>
        <v>440</v>
      </c>
    </row>
    <row r="2383" spans="1:7" x14ac:dyDescent="0.25">
      <c r="A2383">
        <v>13925342</v>
      </c>
      <c r="B2383" t="str">
        <f>VLOOKUP(A2383,Planilha2!B:C,2,0)</f>
        <v>INVERSOR CFW700B31P0T4DB55DS</v>
      </c>
      <c r="C2383" t="s">
        <v>3169</v>
      </c>
      <c r="D2383" t="str">
        <f>VLOOKUP(A2383,Planilha2!B:H,7,0)</f>
        <v>OBSOLETOS DRIVES</v>
      </c>
      <c r="E2383" s="5">
        <v>10400</v>
      </c>
      <c r="F2383" t="str">
        <f>IFERROR(
IF(ISNUMBER(FIND("CFW110",B2383)),
VALUE(MID(B2383,FIND("CFW110",B2383)+6,FIND("T",B2383,FIND("CFW110",B2383))-(FIND("CFW110",B2383)+6))),
IF(ISNUMBER(FIND("D",B2383)),
VALUE(SUBSTITUTE(MID(B2383,FIND("D",B2383)+1,FIND("T",B2383,FIND("D",B2383))-(FIND("D",B2383)+1)),"P",",")),
IF(ISNUMBER(FIND("CFW5",B2383)),
VALUE(MID(B2383,
IF(ISNUMBER(FIND("F",B2383)),FIND("F",B2383)+1,FIND("G",B2383)+1),
FIND("T",B2383)-(IF(ISNUMBER(FIND("F",B2383)),FIND("F",B2383)+1,FIND("G",B2383)+1))
)),
VALUE(MID(B2383,FIND("E0",B2383)+2,FIND("T",B2383,FIND("E0",B2383))-(FIND("E0",B2383)+2)))
))),"")</f>
        <v/>
      </c>
      <c r="G2383">
        <f>IFERROR(
IF(ISNUMBER(FIND("T2",B2383)),220,
IF(ISNUMBER(FIND("T4",B2383)),440,
IF(ISNUMBER(FIND("T5",B2383)),575,
IF(ISNUMBER(FIND("T6",B2383)),690,"")))),
"")</f>
        <v>440</v>
      </c>
    </row>
    <row r="2384" spans="1:7" x14ac:dyDescent="0.25">
      <c r="A2384">
        <v>13925340</v>
      </c>
      <c r="B2384" t="str">
        <f>VLOOKUP(A2384,Planilha2!B:C,2,0)</f>
        <v>INVERSOR CFW700B24P0T4DB55DS</v>
      </c>
      <c r="C2384" t="s">
        <v>3169</v>
      </c>
      <c r="D2384" t="str">
        <f>VLOOKUP(A2384,Planilha2!B:H,7,0)</f>
        <v>OBSOLETOS DRIVES</v>
      </c>
      <c r="E2384" s="5">
        <v>9700</v>
      </c>
      <c r="F2384" t="str">
        <f>IFERROR(
IF(ISNUMBER(FIND("CFW110",B2384)),
VALUE(MID(B2384,FIND("CFW110",B2384)+6,FIND("T",B2384,FIND("CFW110",B2384))-(FIND("CFW110",B2384)+6))),
IF(ISNUMBER(FIND("D",B2384)),
VALUE(SUBSTITUTE(MID(B2384,FIND("D",B2384)+1,FIND("T",B2384,FIND("D",B2384))-(FIND("D",B2384)+1)),"P",",")),
IF(ISNUMBER(FIND("CFW5",B2384)),
VALUE(MID(B2384,
IF(ISNUMBER(FIND("F",B2384)),FIND("F",B2384)+1,FIND("G",B2384)+1),
FIND("T",B2384)-(IF(ISNUMBER(FIND("F",B2384)),FIND("F",B2384)+1,FIND("G",B2384)+1))
)),
VALUE(MID(B2384,FIND("E0",B2384)+2,FIND("T",B2384,FIND("E0",B2384))-(FIND("E0",B2384)+2)))
))),"")</f>
        <v/>
      </c>
      <c r="G2384">
        <f>IFERROR(
IF(ISNUMBER(FIND("T2",B2384)),220,
IF(ISNUMBER(FIND("T4",B2384)),440,
IF(ISNUMBER(FIND("T5",B2384)),575,
IF(ISNUMBER(FIND("T6",B2384)),690,"")))),
"")</f>
        <v>440</v>
      </c>
    </row>
    <row r="2385" spans="1:7" x14ac:dyDescent="0.25">
      <c r="A2385">
        <v>13925339</v>
      </c>
      <c r="B2385" t="str">
        <f>VLOOKUP(A2385,Planilha2!B:C,2,0)</f>
        <v>INVERSOR CFW700B17P0T4DB55DS</v>
      </c>
      <c r="C2385" t="s">
        <v>3169</v>
      </c>
      <c r="D2385" t="str">
        <f>VLOOKUP(A2385,Planilha2!B:H,7,0)</f>
        <v>OBSOLETOS DRIVES</v>
      </c>
      <c r="E2385" s="5">
        <v>9100</v>
      </c>
      <c r="F2385" t="str">
        <f>IFERROR(
IF(ISNUMBER(FIND("CFW110",B2385)),
VALUE(MID(B2385,FIND("CFW110",B2385)+6,FIND("T",B2385,FIND("CFW110",B2385))-(FIND("CFW110",B2385)+6))),
IF(ISNUMBER(FIND("D",B2385)),
VALUE(SUBSTITUTE(MID(B2385,FIND("D",B2385)+1,FIND("T",B2385,FIND("D",B2385))-(FIND("D",B2385)+1)),"P",",")),
IF(ISNUMBER(FIND("CFW5",B2385)),
VALUE(MID(B2385,
IF(ISNUMBER(FIND("F",B2385)),FIND("F",B2385)+1,FIND("G",B2385)+1),
FIND("T",B2385)-(IF(ISNUMBER(FIND("F",B2385)),FIND("F",B2385)+1,FIND("G",B2385)+1))
)),
VALUE(MID(B2385,FIND("E0",B2385)+2,FIND("T",B2385,FIND("E0",B2385))-(FIND("E0",B2385)+2)))
))),"")</f>
        <v/>
      </c>
      <c r="G2385">
        <f>IFERROR(
IF(ISNUMBER(FIND("T2",B2385)),220,
IF(ISNUMBER(FIND("T4",B2385)),440,
IF(ISNUMBER(FIND("T5",B2385)),575,
IF(ISNUMBER(FIND("T6",B2385)),690,"")))),
"")</f>
        <v>440</v>
      </c>
    </row>
    <row r="2386" spans="1:7" x14ac:dyDescent="0.25">
      <c r="A2386">
        <v>13925338</v>
      </c>
      <c r="B2386" t="str">
        <f>VLOOKUP(A2386,Planilha2!B:C,2,0)</f>
        <v>INVERSOR CFW700B13P5T4DB55DS</v>
      </c>
      <c r="C2386" t="s">
        <v>3169</v>
      </c>
      <c r="D2386" t="str">
        <f>VLOOKUP(A2386,Planilha2!B:H,7,0)</f>
        <v>OBSOLETOS DRIVES</v>
      </c>
      <c r="E2386" s="5">
        <v>11801</v>
      </c>
      <c r="F2386" t="str">
        <f>IFERROR(
IF(ISNUMBER(FIND("CFW110",B2386)),
VALUE(MID(B2386,FIND("CFW110",B2386)+6,FIND("T",B2386,FIND("CFW110",B2386))-(FIND("CFW110",B2386)+6))),
IF(ISNUMBER(FIND("D",B2386)),
VALUE(SUBSTITUTE(MID(B2386,FIND("D",B2386)+1,FIND("T",B2386,FIND("D",B2386))-(FIND("D",B2386)+1)),"P",",")),
IF(ISNUMBER(FIND("CFW5",B2386)),
VALUE(MID(B2386,
IF(ISNUMBER(FIND("F",B2386)),FIND("F",B2386)+1,FIND("G",B2386)+1),
FIND("T",B2386)-(IF(ISNUMBER(FIND("F",B2386)),FIND("F",B2386)+1,FIND("G",B2386)+1))
)),
VALUE(MID(B2386,FIND("E0",B2386)+2,FIND("T",B2386,FIND("E0",B2386))-(FIND("E0",B2386)+2)))
))),"")</f>
        <v/>
      </c>
      <c r="G2386">
        <f>IFERROR(
IF(ISNUMBER(FIND("T2",B2386)),220,
IF(ISNUMBER(FIND("T4",B2386)),440,
IF(ISNUMBER(FIND("T5",B2386)),575,
IF(ISNUMBER(FIND("T6",B2386)),690,"")))),
"")</f>
        <v>440</v>
      </c>
    </row>
    <row r="2387" spans="1:7" x14ac:dyDescent="0.25">
      <c r="A2387">
        <v>13925287</v>
      </c>
      <c r="B2387" t="str">
        <f>VLOOKUP(A2387,Planilha2!B:C,2,0)</f>
        <v>INVERSOR CFW700B10P0T4DB55DS</v>
      </c>
      <c r="C2387" t="s">
        <v>3169</v>
      </c>
      <c r="D2387" t="str">
        <f>VLOOKUP(A2387,Planilha2!B:H,7,0)</f>
        <v>OBSOLETOS DRIVES</v>
      </c>
      <c r="E2387" s="5">
        <v>4500</v>
      </c>
      <c r="F2387" t="str">
        <f>IFERROR(
IF(ISNUMBER(FIND("CFW110",B2387)),
VALUE(MID(B2387,FIND("CFW110",B2387)+6,FIND("T",B2387,FIND("CFW110",B2387))-(FIND("CFW110",B2387)+6))),
IF(ISNUMBER(FIND("D",B2387)),
VALUE(SUBSTITUTE(MID(B2387,FIND("D",B2387)+1,FIND("T",B2387,FIND("D",B2387))-(FIND("D",B2387)+1)),"P",",")),
IF(ISNUMBER(FIND("CFW5",B2387)),
VALUE(MID(B2387,
IF(ISNUMBER(FIND("F",B2387)),FIND("F",B2387)+1,FIND("G",B2387)+1),
FIND("T",B2387)-(IF(ISNUMBER(FIND("F",B2387)),FIND("F",B2387)+1,FIND("G",B2387)+1))
)),
VALUE(MID(B2387,FIND("E0",B2387)+2,FIND("T",B2387,FIND("E0",B2387))-(FIND("E0",B2387)+2)))
))),"")</f>
        <v/>
      </c>
      <c r="G2387">
        <f>IFERROR(
IF(ISNUMBER(FIND("T2",B2387)),220,
IF(ISNUMBER(FIND("T4",B2387)),440,
IF(ISNUMBER(FIND("T5",B2387)),575,
IF(ISNUMBER(FIND("T6",B2387)),690,"")))),
"")</f>
        <v>440</v>
      </c>
    </row>
    <row r="2388" spans="1:7" x14ac:dyDescent="0.25">
      <c r="A2388">
        <v>13925286</v>
      </c>
      <c r="B2388" t="str">
        <f>VLOOKUP(A2388,Planilha2!B:C,2,0)</f>
        <v>INVERSOR CFW700B07P0T4DB55DS</v>
      </c>
      <c r="C2388" t="s">
        <v>3169</v>
      </c>
      <c r="D2388" t="str">
        <f>VLOOKUP(A2388,Planilha2!B:H,7,0)</f>
        <v>OBSOLETOS DRIVES</v>
      </c>
      <c r="E2388" s="5">
        <v>4500</v>
      </c>
      <c r="F2388" t="str">
        <f>IFERROR(
IF(ISNUMBER(FIND("CFW110",B2388)),
VALUE(MID(B2388,FIND("CFW110",B2388)+6,FIND("T",B2388,FIND("CFW110",B2388))-(FIND("CFW110",B2388)+6))),
IF(ISNUMBER(FIND("D",B2388)),
VALUE(SUBSTITUTE(MID(B2388,FIND("D",B2388)+1,FIND("T",B2388,FIND("D",B2388))-(FIND("D",B2388)+1)),"P",",")),
IF(ISNUMBER(FIND("CFW5",B2388)),
VALUE(MID(B2388,
IF(ISNUMBER(FIND("F",B2388)),FIND("F",B2388)+1,FIND("G",B2388)+1),
FIND("T",B2388)-(IF(ISNUMBER(FIND("F",B2388)),FIND("F",B2388)+1,FIND("G",B2388)+1))
)),
VALUE(MID(B2388,FIND("E0",B2388)+2,FIND("T",B2388,FIND("E0",B2388))-(FIND("E0",B2388)+2)))
))),"")</f>
        <v/>
      </c>
      <c r="G2388">
        <f>IFERROR(
IF(ISNUMBER(FIND("T2",B2388)),220,
IF(ISNUMBER(FIND("T4",B2388)),440,
IF(ISNUMBER(FIND("T5",B2388)),575,
IF(ISNUMBER(FIND("T6",B2388)),690,"")))),
"")</f>
        <v>440</v>
      </c>
    </row>
    <row r="2389" spans="1:7" x14ac:dyDescent="0.25">
      <c r="A2389">
        <v>13925285</v>
      </c>
      <c r="B2389" t="str">
        <f>VLOOKUP(A2389,Planilha2!B:C,2,0)</f>
        <v>INVERSOR CFW700B05P0T4DB55DS</v>
      </c>
      <c r="C2389" t="s">
        <v>3169</v>
      </c>
      <c r="D2389" t="str">
        <f>VLOOKUP(A2389,Planilha2!B:H,7,0)</f>
        <v>OBSOLETOS DRIVES</v>
      </c>
      <c r="E2389" s="5">
        <v>4500</v>
      </c>
      <c r="F2389" t="str">
        <f>IFERROR(
IF(ISNUMBER(FIND("CFW110",B2389)),
VALUE(MID(B2389,FIND("CFW110",B2389)+6,FIND("T",B2389,FIND("CFW110",B2389))-(FIND("CFW110",B2389)+6))),
IF(ISNUMBER(FIND("D",B2389)),
VALUE(SUBSTITUTE(MID(B2389,FIND("D",B2389)+1,FIND("T",B2389,FIND("D",B2389))-(FIND("D",B2389)+1)),"P",",")),
IF(ISNUMBER(FIND("CFW5",B2389)),
VALUE(MID(B2389,
IF(ISNUMBER(FIND("F",B2389)),FIND("F",B2389)+1,FIND("G",B2389)+1),
FIND("T",B2389)-(IF(ISNUMBER(FIND("F",B2389)),FIND("F",B2389)+1,FIND("G",B2389)+1))
)),
VALUE(MID(B2389,FIND("E0",B2389)+2,FIND("T",B2389,FIND("E0",B2389))-(FIND("E0",B2389)+2)))
))),"")</f>
        <v/>
      </c>
      <c r="G2389">
        <f>IFERROR(
IF(ISNUMBER(FIND("T2",B2389)),220,
IF(ISNUMBER(FIND("T4",B2389)),440,
IF(ISNUMBER(FIND("T5",B2389)),575,
IF(ISNUMBER(FIND("T6",B2389)),690,"")))),
"")</f>
        <v>440</v>
      </c>
    </row>
    <row r="2390" spans="1:7" x14ac:dyDescent="0.25">
      <c r="A2390">
        <v>13925282</v>
      </c>
      <c r="B2390" t="str">
        <f>VLOOKUP(A2390,Planilha2!B:C,2,0)</f>
        <v>INVERSOR CFW700B03P6T4DB55DS</v>
      </c>
      <c r="C2390" t="s">
        <v>3169</v>
      </c>
      <c r="D2390" t="str">
        <f>VLOOKUP(A2390,Planilha2!B:H,7,0)</f>
        <v>OBSOLETOS DRIVES</v>
      </c>
      <c r="E2390" s="5">
        <v>4500</v>
      </c>
      <c r="F2390" t="str">
        <f>IFERROR(
IF(ISNUMBER(FIND("CFW110",B2390)),
VALUE(MID(B2390,FIND("CFW110",B2390)+6,FIND("T",B2390,FIND("CFW110",B2390))-(FIND("CFW110",B2390)+6))),
IF(ISNUMBER(FIND("D",B2390)),
VALUE(SUBSTITUTE(MID(B2390,FIND("D",B2390)+1,FIND("T",B2390,FIND("D",B2390))-(FIND("D",B2390)+1)),"P",",")),
IF(ISNUMBER(FIND("CFW5",B2390)),
VALUE(MID(B2390,
IF(ISNUMBER(FIND("F",B2390)),FIND("F",B2390)+1,FIND("G",B2390)+1),
FIND("T",B2390)-(IF(ISNUMBER(FIND("F",B2390)),FIND("F",B2390)+1,FIND("G",B2390)+1))
)),
VALUE(MID(B2390,FIND("E0",B2390)+2,FIND("T",B2390,FIND("E0",B2390))-(FIND("E0",B2390)+2)))
))),"")</f>
        <v/>
      </c>
      <c r="G2390">
        <f>IFERROR(
IF(ISNUMBER(FIND("T2",B2390)),220,
IF(ISNUMBER(FIND("T4",B2390)),440,
IF(ISNUMBER(FIND("T5",B2390)),575,
IF(ISNUMBER(FIND("T6",B2390)),690,"")))),
"")</f>
        <v>440</v>
      </c>
    </row>
    <row r="2391" spans="1:7" x14ac:dyDescent="0.25">
      <c r="A2391">
        <v>13924734</v>
      </c>
      <c r="B2391" t="str">
        <f>VLOOKUP(A2391,Planilha2!B:C,2,0)</f>
        <v>INVERSOR CFW700B33P5T2DB55DS</v>
      </c>
      <c r="C2391" t="s">
        <v>3169</v>
      </c>
      <c r="D2391" t="str">
        <f>VLOOKUP(A2391,Planilha2!B:H,7,0)</f>
        <v>OBSOLETOS DRIVES</v>
      </c>
      <c r="E2391" s="5">
        <v>9100</v>
      </c>
      <c r="F2391" t="str">
        <f>IFERROR(
IF(ISNUMBER(FIND("CFW110",B2391)),
VALUE(MID(B2391,FIND("CFW110",B2391)+6,FIND("T",B2391,FIND("CFW110",B2391))-(FIND("CFW110",B2391)+6))),
IF(ISNUMBER(FIND("D",B2391)),
VALUE(SUBSTITUTE(MID(B2391,FIND("D",B2391)+1,FIND("T",B2391,FIND("D",B2391))-(FIND("D",B2391)+1)),"P",",")),
IF(ISNUMBER(FIND("CFW5",B2391)),
VALUE(MID(B2391,
IF(ISNUMBER(FIND("F",B2391)),FIND("F",B2391)+1,FIND("G",B2391)+1),
FIND("T",B2391)-(IF(ISNUMBER(FIND("F",B2391)),FIND("F",B2391)+1,FIND("G",B2391)+1))
)),
VALUE(MID(B2391,FIND("E0",B2391)+2,FIND("T",B2391,FIND("E0",B2391))-(FIND("E0",B2391)+2)))
))),"")</f>
        <v/>
      </c>
      <c r="G2391">
        <f>IFERROR(
IF(ISNUMBER(FIND("T2",B2391)),220,
IF(ISNUMBER(FIND("T4",B2391)),440,
IF(ISNUMBER(FIND("T5",B2391)),575,
IF(ISNUMBER(FIND("T6",B2391)),690,"")))),
"")</f>
        <v>220</v>
      </c>
    </row>
    <row r="2392" spans="1:7" x14ac:dyDescent="0.25">
      <c r="A2392">
        <v>13924733</v>
      </c>
      <c r="B2392" t="str">
        <f>VLOOKUP(A2392,Planilha2!B:C,2,0)</f>
        <v>INVERSOR CFW700B28P0T2DB55DS</v>
      </c>
      <c r="C2392" t="s">
        <v>3169</v>
      </c>
      <c r="D2392" t="str">
        <f>VLOOKUP(A2392,Planilha2!B:H,7,0)</f>
        <v>OBSOLETOS DRIVES</v>
      </c>
      <c r="E2392" s="5">
        <v>4500</v>
      </c>
      <c r="F2392" t="str">
        <f>IFERROR(
IF(ISNUMBER(FIND("CFW110",B2392)),
VALUE(MID(B2392,FIND("CFW110",B2392)+6,FIND("T",B2392,FIND("CFW110",B2392))-(FIND("CFW110",B2392)+6))),
IF(ISNUMBER(FIND("D",B2392)),
VALUE(SUBSTITUTE(MID(B2392,FIND("D",B2392)+1,FIND("T",B2392,FIND("D",B2392))-(FIND("D",B2392)+1)),"P",",")),
IF(ISNUMBER(FIND("CFW5",B2392)),
VALUE(MID(B2392,
IF(ISNUMBER(FIND("F",B2392)),FIND("F",B2392)+1,FIND("G",B2392)+1),
FIND("T",B2392)-(IF(ISNUMBER(FIND("F",B2392)),FIND("F",B2392)+1,FIND("G",B2392)+1))
)),
VALUE(MID(B2392,FIND("E0",B2392)+2,FIND("T",B2392,FIND("E0",B2392))-(FIND("E0",B2392)+2)))
))),"")</f>
        <v/>
      </c>
      <c r="G2392">
        <f>IFERROR(
IF(ISNUMBER(FIND("T2",B2392)),220,
IF(ISNUMBER(FIND("T4",B2392)),440,
IF(ISNUMBER(FIND("T5",B2392)),575,
IF(ISNUMBER(FIND("T6",B2392)),690,"")))),
"")</f>
        <v>220</v>
      </c>
    </row>
    <row r="2393" spans="1:7" x14ac:dyDescent="0.25">
      <c r="A2393">
        <v>13924731</v>
      </c>
      <c r="B2393" t="str">
        <f>VLOOKUP(A2393,Planilha2!B:C,2,0)</f>
        <v>INVERSOR CFW700B24P0T2DB55DS</v>
      </c>
      <c r="C2393" t="s">
        <v>3169</v>
      </c>
      <c r="D2393" t="str">
        <f>VLOOKUP(A2393,Planilha2!B:H,7,0)</f>
        <v>OBSOLETOS DRIVES</v>
      </c>
      <c r="E2393" s="5">
        <v>4500</v>
      </c>
      <c r="F2393" t="str">
        <f>IFERROR(
IF(ISNUMBER(FIND("CFW110",B2393)),
VALUE(MID(B2393,FIND("CFW110",B2393)+6,FIND("T",B2393,FIND("CFW110",B2393))-(FIND("CFW110",B2393)+6))),
IF(ISNUMBER(FIND("D",B2393)),
VALUE(SUBSTITUTE(MID(B2393,FIND("D",B2393)+1,FIND("T",B2393,FIND("D",B2393))-(FIND("D",B2393)+1)),"P",",")),
IF(ISNUMBER(FIND("CFW5",B2393)),
VALUE(MID(B2393,
IF(ISNUMBER(FIND("F",B2393)),FIND("F",B2393)+1,FIND("G",B2393)+1),
FIND("T",B2393)-(IF(ISNUMBER(FIND("F",B2393)),FIND("F",B2393)+1,FIND("G",B2393)+1))
)),
VALUE(MID(B2393,FIND("E0",B2393)+2,FIND("T",B2393,FIND("E0",B2393))-(FIND("E0",B2393)+2)))
))),"")</f>
        <v/>
      </c>
      <c r="G2393">
        <f>IFERROR(
IF(ISNUMBER(FIND("T2",B2393)),220,
IF(ISNUMBER(FIND("T4",B2393)),440,
IF(ISNUMBER(FIND("T5",B2393)),575,
IF(ISNUMBER(FIND("T6",B2393)),690,"")))),
"")</f>
        <v>220</v>
      </c>
    </row>
    <row r="2394" spans="1:7" x14ac:dyDescent="0.25">
      <c r="A2394">
        <v>13924730</v>
      </c>
      <c r="B2394" t="str">
        <f>VLOOKUP(A2394,Planilha2!B:C,2,0)</f>
        <v>INVERSOR CFW700B16P0T2DB55DS</v>
      </c>
      <c r="C2394" t="s">
        <v>3169</v>
      </c>
      <c r="D2394" t="str">
        <f>VLOOKUP(A2394,Planilha2!B:H,7,0)</f>
        <v>OBSOLETOS DRIVES</v>
      </c>
      <c r="E2394" s="5">
        <v>4500</v>
      </c>
      <c r="F2394" t="str">
        <f>IFERROR(
IF(ISNUMBER(FIND("CFW110",B2394)),
VALUE(MID(B2394,FIND("CFW110",B2394)+6,FIND("T",B2394,FIND("CFW110",B2394))-(FIND("CFW110",B2394)+6))),
IF(ISNUMBER(FIND("D",B2394)),
VALUE(SUBSTITUTE(MID(B2394,FIND("D",B2394)+1,FIND("T",B2394,FIND("D",B2394))-(FIND("D",B2394)+1)),"P",",")),
IF(ISNUMBER(FIND("CFW5",B2394)),
VALUE(MID(B2394,
IF(ISNUMBER(FIND("F",B2394)),FIND("F",B2394)+1,FIND("G",B2394)+1),
FIND("T",B2394)-(IF(ISNUMBER(FIND("F",B2394)),FIND("F",B2394)+1,FIND("G",B2394)+1))
)),
VALUE(MID(B2394,FIND("E0",B2394)+2,FIND("T",B2394,FIND("E0",B2394))-(FIND("E0",B2394)+2)))
))),"")</f>
        <v/>
      </c>
      <c r="G2394">
        <f>IFERROR(
IF(ISNUMBER(FIND("T2",B2394)),220,
IF(ISNUMBER(FIND("T4",B2394)),440,
IF(ISNUMBER(FIND("T5",B2394)),575,
IF(ISNUMBER(FIND("T6",B2394)),690,"")))),
"")</f>
        <v>220</v>
      </c>
    </row>
    <row r="2395" spans="1:7" x14ac:dyDescent="0.25">
      <c r="A2395">
        <v>13924728</v>
      </c>
      <c r="B2395" t="str">
        <f>VLOOKUP(A2395,Planilha2!B:C,2,0)</f>
        <v>INVERSOR CFW700B13P0T2DB55DS</v>
      </c>
      <c r="C2395" t="s">
        <v>3169</v>
      </c>
      <c r="D2395" t="str">
        <f>VLOOKUP(A2395,Planilha2!B:H,7,0)</f>
        <v>OBSOLETOS DRIVES</v>
      </c>
      <c r="E2395" s="5">
        <v>4500</v>
      </c>
      <c r="F2395" t="str">
        <f>IFERROR(
IF(ISNUMBER(FIND("CFW110",B2395)),
VALUE(MID(B2395,FIND("CFW110",B2395)+6,FIND("T",B2395,FIND("CFW110",B2395))-(FIND("CFW110",B2395)+6))),
IF(ISNUMBER(FIND("D",B2395)),
VALUE(SUBSTITUTE(MID(B2395,FIND("D",B2395)+1,FIND("T",B2395,FIND("D",B2395))-(FIND("D",B2395)+1)),"P",",")),
IF(ISNUMBER(FIND("CFW5",B2395)),
VALUE(MID(B2395,
IF(ISNUMBER(FIND("F",B2395)),FIND("F",B2395)+1,FIND("G",B2395)+1),
FIND("T",B2395)-(IF(ISNUMBER(FIND("F",B2395)),FIND("F",B2395)+1,FIND("G",B2395)+1))
)),
VALUE(MID(B2395,FIND("E0",B2395)+2,FIND("T",B2395,FIND("E0",B2395))-(FIND("E0",B2395)+2)))
))),"")</f>
        <v/>
      </c>
      <c r="G2395">
        <f>IFERROR(
IF(ISNUMBER(FIND("T2",B2395)),220,
IF(ISNUMBER(FIND("T4",B2395)),440,
IF(ISNUMBER(FIND("T5",B2395)),575,
IF(ISNUMBER(FIND("T6",B2395)),690,"")))),
"")</f>
        <v>220</v>
      </c>
    </row>
    <row r="2396" spans="1:7" x14ac:dyDescent="0.25">
      <c r="A2396">
        <v>13924687</v>
      </c>
      <c r="B2396" t="str">
        <f>VLOOKUP(A2396,Planilha2!B:C,2,0)</f>
        <v>INVERSOR CFW700B10P0T2DB55DS</v>
      </c>
      <c r="C2396" t="s">
        <v>3169</v>
      </c>
      <c r="D2396" t="str">
        <f>VLOOKUP(A2396,Planilha2!B:H,7,0)</f>
        <v>OBSOLETOS DRIVES</v>
      </c>
      <c r="E2396" s="5">
        <v>4500</v>
      </c>
      <c r="F2396" t="str">
        <f>IFERROR(
IF(ISNUMBER(FIND("CFW110",B2396)),
VALUE(MID(B2396,FIND("CFW110",B2396)+6,FIND("T",B2396,FIND("CFW110",B2396))-(FIND("CFW110",B2396)+6))),
IF(ISNUMBER(FIND("D",B2396)),
VALUE(SUBSTITUTE(MID(B2396,FIND("D",B2396)+1,FIND("T",B2396,FIND("D",B2396))-(FIND("D",B2396)+1)),"P",",")),
IF(ISNUMBER(FIND("CFW5",B2396)),
VALUE(MID(B2396,
IF(ISNUMBER(FIND("F",B2396)),FIND("F",B2396)+1,FIND("G",B2396)+1),
FIND("T",B2396)-(IF(ISNUMBER(FIND("F",B2396)),FIND("F",B2396)+1,FIND("G",B2396)+1))
)),
VALUE(MID(B2396,FIND("E0",B2396)+2,FIND("T",B2396,FIND("E0",B2396))-(FIND("E0",B2396)+2)))
))),"")</f>
        <v/>
      </c>
      <c r="G2396">
        <f>IFERROR(
IF(ISNUMBER(FIND("T2",B2396)),220,
IF(ISNUMBER(FIND("T4",B2396)),440,
IF(ISNUMBER(FIND("T5",B2396)),575,
IF(ISNUMBER(FIND("T6",B2396)),690,"")))),
"")</f>
        <v>220</v>
      </c>
    </row>
    <row r="2397" spans="1:7" x14ac:dyDescent="0.25">
      <c r="A2397">
        <v>13924685</v>
      </c>
      <c r="B2397" t="str">
        <f>VLOOKUP(A2397,Planilha2!B:C,2,0)</f>
        <v>INVERSOR CFW700B07P0T2DB55DS</v>
      </c>
      <c r="C2397" t="s">
        <v>3169</v>
      </c>
      <c r="D2397" t="str">
        <f>VLOOKUP(A2397,Planilha2!B:H,7,0)</f>
        <v>OBSOLETOS DRIVES</v>
      </c>
      <c r="E2397" s="5">
        <v>4500</v>
      </c>
      <c r="F2397" t="str">
        <f>IFERROR(
IF(ISNUMBER(FIND("CFW110",B2397)),
VALUE(MID(B2397,FIND("CFW110",B2397)+6,FIND("T",B2397,FIND("CFW110",B2397))-(FIND("CFW110",B2397)+6))),
IF(ISNUMBER(FIND("D",B2397)),
VALUE(SUBSTITUTE(MID(B2397,FIND("D",B2397)+1,FIND("T",B2397,FIND("D",B2397))-(FIND("D",B2397)+1)),"P",",")),
IF(ISNUMBER(FIND("CFW5",B2397)),
VALUE(MID(B2397,
IF(ISNUMBER(FIND("F",B2397)),FIND("F",B2397)+1,FIND("G",B2397)+1),
FIND("T",B2397)-(IF(ISNUMBER(FIND("F",B2397)),FIND("F",B2397)+1,FIND("G",B2397)+1))
)),
VALUE(MID(B2397,FIND("E0",B2397)+2,FIND("T",B2397,FIND("E0",B2397))-(FIND("E0",B2397)+2)))
))),"")</f>
        <v/>
      </c>
      <c r="G2397">
        <f>IFERROR(
IF(ISNUMBER(FIND("T2",B2397)),220,
IF(ISNUMBER(FIND("T4",B2397)),440,
IF(ISNUMBER(FIND("T5",B2397)),575,
IF(ISNUMBER(FIND("T6",B2397)),690,"")))),
"")</f>
        <v>220</v>
      </c>
    </row>
    <row r="2398" spans="1:7" x14ac:dyDescent="0.25">
      <c r="A2398">
        <v>13920809</v>
      </c>
      <c r="B2398" t="str">
        <f>VLOOKUP(A2398,Planilha2!B:C,2,0)</f>
        <v>INVERSOR CFW700B31P0T4DB55C3DS</v>
      </c>
      <c r="C2398" t="s">
        <v>3169</v>
      </c>
      <c r="D2398" t="str">
        <f>VLOOKUP(A2398,Planilha2!B:H,7,0)</f>
        <v>OBSOLETOS DRIVES</v>
      </c>
      <c r="E2398" s="5">
        <v>10400</v>
      </c>
      <c r="F2398" t="str">
        <f>IFERROR(
IF(ISNUMBER(FIND("CFW110",B2398)),
VALUE(MID(B2398,FIND("CFW110",B2398)+6,FIND("T",B2398,FIND("CFW110",B2398))-(FIND("CFW110",B2398)+6))),
IF(ISNUMBER(FIND("D",B2398)),
VALUE(SUBSTITUTE(MID(B2398,FIND("D",B2398)+1,FIND("T",B2398,FIND("D",B2398))-(FIND("D",B2398)+1)),"P",",")),
IF(ISNUMBER(FIND("CFW5",B2398)),
VALUE(MID(B2398,
IF(ISNUMBER(FIND("F",B2398)),FIND("F",B2398)+1,FIND("G",B2398)+1),
FIND("T",B2398)-(IF(ISNUMBER(FIND("F",B2398)),FIND("F",B2398)+1,FIND("G",B2398)+1))
)),
VALUE(MID(B2398,FIND("E0",B2398)+2,FIND("T",B2398,FIND("E0",B2398))-(FIND("E0",B2398)+2)))
))),"")</f>
        <v/>
      </c>
      <c r="G2398">
        <f>IFERROR(
IF(ISNUMBER(FIND("T2",B2398)),220,
IF(ISNUMBER(FIND("T4",B2398)),440,
IF(ISNUMBER(FIND("T5",B2398)),575,
IF(ISNUMBER(FIND("T6",B2398)),690,"")))),
"")</f>
        <v>440</v>
      </c>
    </row>
    <row r="2399" spans="1:7" x14ac:dyDescent="0.25">
      <c r="A2399">
        <v>13920747</v>
      </c>
      <c r="B2399" t="str">
        <f>VLOOKUP(A2399,Planilha2!B:C,2,0)</f>
        <v>INVERSOR CFW700B24P0T4DB55C3DS</v>
      </c>
      <c r="C2399" t="s">
        <v>3169</v>
      </c>
      <c r="D2399" t="str">
        <f>VLOOKUP(A2399,Planilha2!B:H,7,0)</f>
        <v>OBSOLETOS DRIVES</v>
      </c>
      <c r="E2399" s="5">
        <v>9700</v>
      </c>
      <c r="F2399" t="str">
        <f>IFERROR(
IF(ISNUMBER(FIND("CFW110",B2399)),
VALUE(MID(B2399,FIND("CFW110",B2399)+6,FIND("T",B2399,FIND("CFW110",B2399))-(FIND("CFW110",B2399)+6))),
IF(ISNUMBER(FIND("D",B2399)),
VALUE(SUBSTITUTE(MID(B2399,FIND("D",B2399)+1,FIND("T",B2399,FIND("D",B2399))-(FIND("D",B2399)+1)),"P",",")),
IF(ISNUMBER(FIND("CFW5",B2399)),
VALUE(MID(B2399,
IF(ISNUMBER(FIND("F",B2399)),FIND("F",B2399)+1,FIND("G",B2399)+1),
FIND("T",B2399)-(IF(ISNUMBER(FIND("F",B2399)),FIND("F",B2399)+1,FIND("G",B2399)+1))
)),
VALUE(MID(B2399,FIND("E0",B2399)+2,FIND("T",B2399,FIND("E0",B2399))-(FIND("E0",B2399)+2)))
))),"")</f>
        <v/>
      </c>
      <c r="G2399">
        <f>IFERROR(
IF(ISNUMBER(FIND("T2",B2399)),220,
IF(ISNUMBER(FIND("T4",B2399)),440,
IF(ISNUMBER(FIND("T5",B2399)),575,
IF(ISNUMBER(FIND("T6",B2399)),690,"")))),
"")</f>
        <v>440</v>
      </c>
    </row>
    <row r="2400" spans="1:7" x14ac:dyDescent="0.25">
      <c r="A2400">
        <v>13920740</v>
      </c>
      <c r="B2400" t="str">
        <f>VLOOKUP(A2400,Planilha2!B:C,2,0)</f>
        <v>INVERSOR CFW700B13P5T4DB55C3DS</v>
      </c>
      <c r="C2400" t="s">
        <v>3169</v>
      </c>
      <c r="D2400" t="str">
        <f>VLOOKUP(A2400,Planilha2!B:H,7,0)</f>
        <v>OBSOLETOS DRIVES</v>
      </c>
      <c r="E2400" s="5">
        <v>11801</v>
      </c>
      <c r="F2400" t="str">
        <f>IFERROR(
IF(ISNUMBER(FIND("CFW110",B2400)),
VALUE(MID(B2400,FIND("CFW110",B2400)+6,FIND("T",B2400,FIND("CFW110",B2400))-(FIND("CFW110",B2400)+6))),
IF(ISNUMBER(FIND("D",B2400)),
VALUE(SUBSTITUTE(MID(B2400,FIND("D",B2400)+1,FIND("T",B2400,FIND("D",B2400))-(FIND("D",B2400)+1)),"P",",")),
IF(ISNUMBER(FIND("CFW5",B2400)),
VALUE(MID(B2400,
IF(ISNUMBER(FIND("F",B2400)),FIND("F",B2400)+1,FIND("G",B2400)+1),
FIND("T",B2400)-(IF(ISNUMBER(FIND("F",B2400)),FIND("F",B2400)+1,FIND("G",B2400)+1))
)),
VALUE(MID(B2400,FIND("E0",B2400)+2,FIND("T",B2400,FIND("E0",B2400))-(FIND("E0",B2400)+2)))
))),"")</f>
        <v/>
      </c>
      <c r="G2400">
        <f>IFERROR(
IF(ISNUMBER(FIND("T2",B2400)),220,
IF(ISNUMBER(FIND("T4",B2400)),440,
IF(ISNUMBER(FIND("T5",B2400)),575,
IF(ISNUMBER(FIND("T6",B2400)),690,"")))),
"")</f>
        <v>440</v>
      </c>
    </row>
    <row r="2401" spans="1:7" x14ac:dyDescent="0.25">
      <c r="A2401">
        <v>13920739</v>
      </c>
      <c r="B2401" t="str">
        <f>VLOOKUP(A2401,Planilha2!B:C,2,0)</f>
        <v>INVERSOR CFW700B10P0T4DB55C3DS</v>
      </c>
      <c r="C2401" t="s">
        <v>3169</v>
      </c>
      <c r="D2401" t="str">
        <f>VLOOKUP(A2401,Planilha2!B:H,7,0)</f>
        <v>OBSOLETOS DRIVES</v>
      </c>
      <c r="E2401" s="5">
        <v>4500</v>
      </c>
      <c r="F2401" t="str">
        <f>IFERROR(
IF(ISNUMBER(FIND("CFW110",B2401)),
VALUE(MID(B2401,FIND("CFW110",B2401)+6,FIND("T",B2401,FIND("CFW110",B2401))-(FIND("CFW110",B2401)+6))),
IF(ISNUMBER(FIND("D",B2401)),
VALUE(SUBSTITUTE(MID(B2401,FIND("D",B2401)+1,FIND("T",B2401,FIND("D",B2401))-(FIND("D",B2401)+1)),"P",",")),
IF(ISNUMBER(FIND("CFW5",B2401)),
VALUE(MID(B2401,
IF(ISNUMBER(FIND("F",B2401)),FIND("F",B2401)+1,FIND("G",B2401)+1),
FIND("T",B2401)-(IF(ISNUMBER(FIND("F",B2401)),FIND("F",B2401)+1,FIND("G",B2401)+1))
)),
VALUE(MID(B2401,FIND("E0",B2401)+2,FIND("T",B2401,FIND("E0",B2401))-(FIND("E0",B2401)+2)))
))),"")</f>
        <v/>
      </c>
      <c r="G2401">
        <f>IFERROR(
IF(ISNUMBER(FIND("T2",B2401)),220,
IF(ISNUMBER(FIND("T4",B2401)),440,
IF(ISNUMBER(FIND("T5",B2401)),575,
IF(ISNUMBER(FIND("T6",B2401)),690,"")))),
"")</f>
        <v>440</v>
      </c>
    </row>
    <row r="2402" spans="1:7" x14ac:dyDescent="0.25">
      <c r="A2402">
        <v>13920727</v>
      </c>
      <c r="B2402" t="str">
        <f>VLOOKUP(A2402,Planilha2!B:C,2,0)</f>
        <v>INVERSOR CFW700B07P0T4DB55C3DS</v>
      </c>
      <c r="C2402" t="s">
        <v>3169</v>
      </c>
      <c r="D2402" t="str">
        <f>VLOOKUP(A2402,Planilha2!B:H,7,0)</f>
        <v>OBSOLETOS DRIVES</v>
      </c>
      <c r="E2402" s="5">
        <v>4500</v>
      </c>
      <c r="F2402" t="str">
        <f>IFERROR(
IF(ISNUMBER(FIND("CFW110",B2402)),
VALUE(MID(B2402,FIND("CFW110",B2402)+6,FIND("T",B2402,FIND("CFW110",B2402))-(FIND("CFW110",B2402)+6))),
IF(ISNUMBER(FIND("D",B2402)),
VALUE(SUBSTITUTE(MID(B2402,FIND("D",B2402)+1,FIND("T",B2402,FIND("D",B2402))-(FIND("D",B2402)+1)),"P",",")),
IF(ISNUMBER(FIND("CFW5",B2402)),
VALUE(MID(B2402,
IF(ISNUMBER(FIND("F",B2402)),FIND("F",B2402)+1,FIND("G",B2402)+1),
FIND("T",B2402)-(IF(ISNUMBER(FIND("F",B2402)),FIND("F",B2402)+1,FIND("G",B2402)+1))
)),
VALUE(MID(B2402,FIND("E0",B2402)+2,FIND("T",B2402,FIND("E0",B2402))-(FIND("E0",B2402)+2)))
))),"")</f>
        <v/>
      </c>
      <c r="G2402">
        <f>IFERROR(
IF(ISNUMBER(FIND("T2",B2402)),220,
IF(ISNUMBER(FIND("T4",B2402)),440,
IF(ISNUMBER(FIND("T5",B2402)),575,
IF(ISNUMBER(FIND("T6",B2402)),690,"")))),
"")</f>
        <v>440</v>
      </c>
    </row>
    <row r="2403" spans="1:7" x14ac:dyDescent="0.25">
      <c r="A2403">
        <v>13920725</v>
      </c>
      <c r="B2403" t="str">
        <f>VLOOKUP(A2403,Planilha2!B:C,2,0)</f>
        <v>INVERSOR CFW700B05P0T4DB55C3DS</v>
      </c>
      <c r="C2403" t="s">
        <v>3169</v>
      </c>
      <c r="D2403" t="str">
        <f>VLOOKUP(A2403,Planilha2!B:H,7,0)</f>
        <v>OBSOLETOS DRIVES</v>
      </c>
      <c r="E2403" s="5">
        <v>4500</v>
      </c>
      <c r="F2403" t="str">
        <f>IFERROR(
IF(ISNUMBER(FIND("CFW110",B2403)),
VALUE(MID(B2403,FIND("CFW110",B2403)+6,FIND("T",B2403,FIND("CFW110",B2403))-(FIND("CFW110",B2403)+6))),
IF(ISNUMBER(FIND("D",B2403)),
VALUE(SUBSTITUTE(MID(B2403,FIND("D",B2403)+1,FIND("T",B2403,FIND("D",B2403))-(FIND("D",B2403)+1)),"P",",")),
IF(ISNUMBER(FIND("CFW5",B2403)),
VALUE(MID(B2403,
IF(ISNUMBER(FIND("F",B2403)),FIND("F",B2403)+1,FIND("G",B2403)+1),
FIND("T",B2403)-(IF(ISNUMBER(FIND("F",B2403)),FIND("F",B2403)+1,FIND("G",B2403)+1))
)),
VALUE(MID(B2403,FIND("E0",B2403)+2,FIND("T",B2403,FIND("E0",B2403))-(FIND("E0",B2403)+2)))
))),"")</f>
        <v/>
      </c>
      <c r="G2403">
        <f>IFERROR(
IF(ISNUMBER(FIND("T2",B2403)),220,
IF(ISNUMBER(FIND("T4",B2403)),440,
IF(ISNUMBER(FIND("T5",B2403)),575,
IF(ISNUMBER(FIND("T6",B2403)),690,"")))),
"")</f>
        <v>440</v>
      </c>
    </row>
    <row r="2404" spans="1:7" x14ac:dyDescent="0.25">
      <c r="A2404">
        <v>13920723</v>
      </c>
      <c r="B2404" t="str">
        <f>VLOOKUP(A2404,Planilha2!B:C,2,0)</f>
        <v>INVERSOR CFW700B03P6T4DB55C3DS</v>
      </c>
      <c r="C2404" t="s">
        <v>3169</v>
      </c>
      <c r="D2404" t="str">
        <f>VLOOKUP(A2404,Planilha2!B:H,7,0)</f>
        <v>OBSOLETOS DRIVES</v>
      </c>
      <c r="E2404" s="5">
        <v>4500</v>
      </c>
      <c r="F2404" t="str">
        <f>IFERROR(
IF(ISNUMBER(FIND("CFW110",B2404)),
VALUE(MID(B2404,FIND("CFW110",B2404)+6,FIND("T",B2404,FIND("CFW110",B2404))-(FIND("CFW110",B2404)+6))),
IF(ISNUMBER(FIND("D",B2404)),
VALUE(SUBSTITUTE(MID(B2404,FIND("D",B2404)+1,FIND("T",B2404,FIND("D",B2404))-(FIND("D",B2404)+1)),"P",",")),
IF(ISNUMBER(FIND("CFW5",B2404)),
VALUE(MID(B2404,
IF(ISNUMBER(FIND("F",B2404)),FIND("F",B2404)+1,FIND("G",B2404)+1),
FIND("T",B2404)-(IF(ISNUMBER(FIND("F",B2404)),FIND("F",B2404)+1,FIND("G",B2404)+1))
)),
VALUE(MID(B2404,FIND("E0",B2404)+2,FIND("T",B2404,FIND("E0",B2404))-(FIND("E0",B2404)+2)))
))),"")</f>
        <v/>
      </c>
      <c r="G2404">
        <f>IFERROR(
IF(ISNUMBER(FIND("T2",B2404)),220,
IF(ISNUMBER(FIND("T4",B2404)),440,
IF(ISNUMBER(FIND("T5",B2404)),575,
IF(ISNUMBER(FIND("T6",B2404)),690,"")))),
"")</f>
        <v>440</v>
      </c>
    </row>
    <row r="2405" spans="1:7" x14ac:dyDescent="0.25">
      <c r="A2405">
        <v>13920017</v>
      </c>
      <c r="B2405" t="str">
        <f>VLOOKUP(A2405,Planilha2!B:C,2,0)</f>
        <v>INVERSOR CFW700B10P0S2DB55C3DS</v>
      </c>
      <c r="C2405" t="s">
        <v>3169</v>
      </c>
      <c r="D2405" t="str">
        <f>VLOOKUP(A2405,Planilha2!B:H,7,0)</f>
        <v>OBSOLETOS DRIVES</v>
      </c>
      <c r="E2405" s="5">
        <v>4500</v>
      </c>
      <c r="F2405" t="str">
        <f>IFERROR(
IF(ISNUMBER(FIND("CFW110",B2405)),
VALUE(MID(B2405,FIND("CFW110",B2405)+6,FIND("T",B2405,FIND("CFW110",B2405))-(FIND("CFW110",B2405)+6))),
IF(ISNUMBER(FIND("D",B2405)),
VALUE(SUBSTITUTE(MID(B2405,FIND("D",B2405)+1,FIND("T",B2405,FIND("D",B2405))-(FIND("D",B2405)+1)),"P",",")),
IF(ISNUMBER(FIND("CFW5",B2405)),
VALUE(MID(B2405,
IF(ISNUMBER(FIND("F",B2405)),FIND("F",B2405)+1,FIND("G",B2405)+1),
FIND("T",B2405)-(IF(ISNUMBER(FIND("F",B2405)),FIND("F",B2405)+1,FIND("G",B2405)+1))
)),
VALUE(MID(B2405,FIND("E0",B2405)+2,FIND("T",B2405,FIND("E0",B2405))-(FIND("E0",B2405)+2)))
))),"")</f>
        <v/>
      </c>
      <c r="G2405" t="str">
        <f>IFERROR(
IF(ISNUMBER(FIND("T2",B2405)),220,
IF(ISNUMBER(FIND("T4",B2405)),440,
IF(ISNUMBER(FIND("T5",B2405)),575,
IF(ISNUMBER(FIND("T6",B2405)),690,"")))),
"")</f>
        <v/>
      </c>
    </row>
    <row r="2406" spans="1:7" x14ac:dyDescent="0.25">
      <c r="A2406">
        <v>13920014</v>
      </c>
      <c r="B2406" t="str">
        <f>VLOOKUP(A2406,Planilha2!B:C,2,0)</f>
        <v>INVERSOR CFW700B07P0S2DB55C3DS</v>
      </c>
      <c r="C2406" t="s">
        <v>3169</v>
      </c>
      <c r="D2406" t="str">
        <f>VLOOKUP(A2406,Planilha2!B:H,7,0)</f>
        <v>OBSOLETOS DRIVES</v>
      </c>
      <c r="E2406" s="5">
        <v>4500</v>
      </c>
      <c r="F2406" t="str">
        <f>IFERROR(
IF(ISNUMBER(FIND("CFW110",B2406)),
VALUE(MID(B2406,FIND("CFW110",B2406)+6,FIND("T",B2406,FIND("CFW110",B2406))-(FIND("CFW110",B2406)+6))),
IF(ISNUMBER(FIND("D",B2406)),
VALUE(SUBSTITUTE(MID(B2406,FIND("D",B2406)+1,FIND("T",B2406,FIND("D",B2406))-(FIND("D",B2406)+1)),"P",",")),
IF(ISNUMBER(FIND("CFW5",B2406)),
VALUE(MID(B2406,
IF(ISNUMBER(FIND("F",B2406)),FIND("F",B2406)+1,FIND("G",B2406)+1),
FIND("T",B2406)-(IF(ISNUMBER(FIND("F",B2406)),FIND("F",B2406)+1,FIND("G",B2406)+1))
)),
VALUE(MID(B2406,FIND("E0",B2406)+2,FIND("T",B2406,FIND("E0",B2406))-(FIND("E0",B2406)+2)))
))),"")</f>
        <v/>
      </c>
      <c r="G2406" t="str">
        <f>IFERROR(
IF(ISNUMBER(FIND("T2",B2406)),220,
IF(ISNUMBER(FIND("T4",B2406)),440,
IF(ISNUMBER(FIND("T5",B2406)),575,
IF(ISNUMBER(FIND("T6",B2406)),690,"")))),
"")</f>
        <v/>
      </c>
    </row>
    <row r="2407" spans="1:7" x14ac:dyDescent="0.25">
      <c r="A2407">
        <v>13918743</v>
      </c>
      <c r="B2407" t="str">
        <f>VLOOKUP(A2407,Planilha2!B:C,2,0)</f>
        <v>INVERSOR CFW700B07P0S2DB55C3</v>
      </c>
      <c r="C2407" t="s">
        <v>3169</v>
      </c>
      <c r="D2407" t="str">
        <f>VLOOKUP(A2407,Planilha2!B:H,7,0)</f>
        <v>OBSOLETOS DRIVES</v>
      </c>
      <c r="E2407" s="5">
        <v>4500</v>
      </c>
      <c r="F2407" t="str">
        <f>IFERROR(
IF(ISNUMBER(FIND("CFW110",B2407)),
VALUE(MID(B2407,FIND("CFW110",B2407)+6,FIND("T",B2407,FIND("CFW110",B2407))-(FIND("CFW110",B2407)+6))),
IF(ISNUMBER(FIND("D",B2407)),
VALUE(SUBSTITUTE(MID(B2407,FIND("D",B2407)+1,FIND("T",B2407,FIND("D",B2407))-(FIND("D",B2407)+1)),"P",",")),
IF(ISNUMBER(FIND("CFW5",B2407)),
VALUE(MID(B2407,
IF(ISNUMBER(FIND("F",B2407)),FIND("F",B2407)+1,FIND("G",B2407)+1),
FIND("T",B2407)-(IF(ISNUMBER(FIND("F",B2407)),FIND("F",B2407)+1,FIND("G",B2407)+1))
)),
VALUE(MID(B2407,FIND("E0",B2407)+2,FIND("T",B2407,FIND("E0",B2407))-(FIND("E0",B2407)+2)))
))),"")</f>
        <v/>
      </c>
      <c r="G2407" t="str">
        <f>IFERROR(
IF(ISNUMBER(FIND("T2",B2407)),220,
IF(ISNUMBER(FIND("T4",B2407)),440,
IF(ISNUMBER(FIND("T5",B2407)),575,
IF(ISNUMBER(FIND("T6",B2407)),690,"")))),
"")</f>
        <v/>
      </c>
    </row>
    <row r="2408" spans="1:7" x14ac:dyDescent="0.25">
      <c r="A2408">
        <v>14149727</v>
      </c>
      <c r="B2408" t="str">
        <f>VLOOKUP(A2408,Planilha2!B:C,2,0)</f>
        <v>INVERSOR CFW700A03P6T4DB20C3Y1W1</v>
      </c>
      <c r="C2408" t="s">
        <v>3169</v>
      </c>
      <c r="D2408" t="str">
        <f>VLOOKUP(A2408,Planilha2!B:H,7,0)</f>
        <v>OBSOLETOS DRIVES</v>
      </c>
      <c r="E2408" s="5">
        <v>5700</v>
      </c>
      <c r="F2408" t="str">
        <f>IFERROR(
IF(ISNUMBER(FIND("CFW110",B2408)),
VALUE(MID(B2408,FIND("CFW110",B2408)+6,FIND("T",B2408,FIND("CFW110",B2408))-(FIND("CFW110",B2408)+6))),
IF(ISNUMBER(FIND("D",B2408)),
VALUE(SUBSTITUTE(MID(B2408,FIND("D",B2408)+1,FIND("T",B2408,FIND("D",B2408))-(FIND("D",B2408)+1)),"P",",")),
IF(ISNUMBER(FIND("CFW5",B2408)),
VALUE(MID(B2408,
IF(ISNUMBER(FIND("F",B2408)),FIND("F",B2408)+1,FIND("G",B2408)+1),
FIND("T",B2408)-(IF(ISNUMBER(FIND("F",B2408)),FIND("F",B2408)+1,FIND("G",B2408)+1))
)),
VALUE(MID(B2408,FIND("E0",B2408)+2,FIND("T",B2408,FIND("E0",B2408))-(FIND("E0",B2408)+2)))
))),"")</f>
        <v/>
      </c>
      <c r="G2408">
        <f>IFERROR(
IF(ISNUMBER(FIND("T2",B2408)),220,
IF(ISNUMBER(FIND("T4",B2408)),440,
IF(ISNUMBER(FIND("T5",B2408)),575,
IF(ISNUMBER(FIND("T6",B2408)),690,"")))),
"")</f>
        <v>440</v>
      </c>
    </row>
    <row r="2409" spans="1:7" x14ac:dyDescent="0.25">
      <c r="A2409">
        <v>14149029</v>
      </c>
      <c r="B2409" t="str">
        <f>VLOOKUP(A2409,Planilha2!B:C,2,0)</f>
        <v>INVERSOR CFW700B24P0T4DB20C3Y1W1</v>
      </c>
      <c r="C2409" t="s">
        <v>3169</v>
      </c>
      <c r="D2409" t="str">
        <f>VLOOKUP(A2409,Planilha2!B:H,7,0)</f>
        <v>OBSOLETOS DRIVES</v>
      </c>
      <c r="E2409" s="5">
        <v>9100</v>
      </c>
      <c r="F2409" t="str">
        <f>IFERROR(
IF(ISNUMBER(FIND("CFW110",B2409)),
VALUE(MID(B2409,FIND("CFW110",B2409)+6,FIND("T",B2409,FIND("CFW110",B2409))-(FIND("CFW110",B2409)+6))),
IF(ISNUMBER(FIND("D",B2409)),
VALUE(SUBSTITUTE(MID(B2409,FIND("D",B2409)+1,FIND("T",B2409,FIND("D",B2409))-(FIND("D",B2409)+1)),"P",",")),
IF(ISNUMBER(FIND("CFW5",B2409)),
VALUE(MID(B2409,
IF(ISNUMBER(FIND("F",B2409)),FIND("F",B2409)+1,FIND("G",B2409)+1),
FIND("T",B2409)-(IF(ISNUMBER(FIND("F",B2409)),FIND("F",B2409)+1,FIND("G",B2409)+1))
)),
VALUE(MID(B2409,FIND("E0",B2409)+2,FIND("T",B2409,FIND("E0",B2409))-(FIND("E0",B2409)+2)))
))),"")</f>
        <v/>
      </c>
      <c r="G2409">
        <f>IFERROR(
IF(ISNUMBER(FIND("T2",B2409)),220,
IF(ISNUMBER(FIND("T4",B2409)),440,
IF(ISNUMBER(FIND("T5",B2409)),575,
IF(ISNUMBER(FIND("T6",B2409)),690,"")))),
"")</f>
        <v>440</v>
      </c>
    </row>
    <row r="2410" spans="1:7" x14ac:dyDescent="0.25">
      <c r="A2410">
        <v>14196314</v>
      </c>
      <c r="B2410" t="str">
        <f>VLOOKUP(A2410,Planilha2!B:C,2,0)</f>
        <v>INVERSOR CFW700A13P5T4DB20C3W1</v>
      </c>
      <c r="C2410" t="s">
        <v>3169</v>
      </c>
      <c r="D2410" t="str">
        <f>VLOOKUP(A2410,Planilha2!B:H,7,0)</f>
        <v>OBSOLETOS DRIVES</v>
      </c>
      <c r="E2410" s="5">
        <v>5700</v>
      </c>
      <c r="F2410" t="str">
        <f>IFERROR(
IF(ISNUMBER(FIND("CFW110",B2410)),
VALUE(MID(B2410,FIND("CFW110",B2410)+6,FIND("T",B2410,FIND("CFW110",B2410))-(FIND("CFW110",B2410)+6))),
IF(ISNUMBER(FIND("D",B2410)),
VALUE(SUBSTITUTE(MID(B2410,FIND("D",B2410)+1,FIND("T",B2410,FIND("D",B2410))-(FIND("D",B2410)+1)),"P",",")),
IF(ISNUMBER(FIND("CFW5",B2410)),
VALUE(MID(B2410,
IF(ISNUMBER(FIND("F",B2410)),FIND("F",B2410)+1,FIND("G",B2410)+1),
FIND("T",B2410)-(IF(ISNUMBER(FIND("F",B2410)),FIND("F",B2410)+1,FIND("G",B2410)+1))
)),
VALUE(MID(B2410,FIND("E0",B2410)+2,FIND("T",B2410,FIND("E0",B2410))-(FIND("E0",B2410)+2)))
))),"")</f>
        <v/>
      </c>
      <c r="G2410">
        <f>IFERROR(
IF(ISNUMBER(FIND("T2",B2410)),220,
IF(ISNUMBER(FIND("T4",B2410)),440,
IF(ISNUMBER(FIND("T5",B2410)),575,
IF(ISNUMBER(FIND("T6",B2410)),690,"")))),
"")</f>
        <v>440</v>
      </c>
    </row>
    <row r="2411" spans="1:7" x14ac:dyDescent="0.25">
      <c r="A2411">
        <v>14837150</v>
      </c>
      <c r="B2411" t="str">
        <f>VLOOKUP(A2411,Planilha2!B:C,2,0)</f>
        <v>INVERSOR BRCFW110024T2OFAECZ</v>
      </c>
      <c r="C2411" t="s">
        <v>3169</v>
      </c>
      <c r="D2411" t="str">
        <f>VLOOKUP(A2411,Planilha2!B:H,7,0)</f>
        <v>LINHA P7</v>
      </c>
      <c r="E2411" s="5">
        <v>4960</v>
      </c>
      <c r="F2411">
        <f>IFERROR(
IF(ISNUMBER(FIND("CFW110",B2411)),
VALUE(MID(B2411,FIND("CFW110",B2411)+6,FIND("T",B2411,FIND("CFW110",B2411))-(FIND("CFW110",B2411)+6))),
IF(ISNUMBER(FIND("D",B2411)),
VALUE(SUBSTITUTE(MID(B2411,FIND("D",B2411)+1,FIND("T",B2411,FIND("D",B2411))-(FIND("D",B2411)+1)),"P",",")),
IF(ISNUMBER(FIND("CFW5",B2411)),
VALUE(MID(B2411,
IF(ISNUMBER(FIND("F",B2411)),FIND("F",B2411)+1,FIND("G",B2411)+1),
FIND("T",B2411)-(IF(ISNUMBER(FIND("F",B2411)),FIND("F",B2411)+1,FIND("G",B2411)+1))
)),
VALUE(MID(B2411,FIND("E0",B2411)+2,FIND("T",B2411,FIND("E0",B2411))-(FIND("E0",B2411)+2)))
))),"")</f>
        <v>24</v>
      </c>
      <c r="G2411">
        <f>IFERROR(
IF(ISNUMBER(FIND("T2",B2411)),220,
IF(ISNUMBER(FIND("T4",B2411)),440,
IF(ISNUMBER(FIND("T5",B2411)),575,
IF(ISNUMBER(FIND("T6",B2411)),690,"")))),
"")</f>
        <v>220</v>
      </c>
    </row>
    <row r="2412" spans="1:7" x14ac:dyDescent="0.25">
      <c r="A2412">
        <v>14837152</v>
      </c>
      <c r="B2412" t="str">
        <f>VLOOKUP(A2412,Planilha2!B:C,2,0)</f>
        <v>INVERSOR BRCFW110033T2OFAECZ</v>
      </c>
      <c r="C2412" t="s">
        <v>3169</v>
      </c>
      <c r="D2412" t="str">
        <f>VLOOKUP(A2412,Planilha2!B:H,7,0)</f>
        <v>LINHA P7</v>
      </c>
      <c r="E2412" s="5">
        <v>4960</v>
      </c>
      <c r="F2412">
        <f>IFERROR(
IF(ISNUMBER(FIND("CFW110",B2412)),
VALUE(MID(B2412,FIND("CFW110",B2412)+6,FIND("T",B2412,FIND("CFW110",B2412))-(FIND("CFW110",B2412)+6))),
IF(ISNUMBER(FIND("D",B2412)),
VALUE(SUBSTITUTE(MID(B2412,FIND("D",B2412)+1,FIND("T",B2412,FIND("D",B2412))-(FIND("D",B2412)+1)),"P",",")),
IF(ISNUMBER(FIND("CFW5",B2412)),
VALUE(MID(B2412,
IF(ISNUMBER(FIND("F",B2412)),FIND("F",B2412)+1,FIND("G",B2412)+1),
FIND("T",B2412)-(IF(ISNUMBER(FIND("F",B2412)),FIND("F",B2412)+1,FIND("G",B2412)+1))
)),
VALUE(MID(B2412,FIND("E0",B2412)+2,FIND("T",B2412,FIND("E0",B2412))-(FIND("E0",B2412)+2)))
))),"")</f>
        <v>33</v>
      </c>
      <c r="G2412">
        <f>IFERROR(
IF(ISNUMBER(FIND("T2",B2412)),220,
IF(ISNUMBER(FIND("T4",B2412)),440,
IF(ISNUMBER(FIND("T5",B2412)),575,
IF(ISNUMBER(FIND("T6",B2412)),690,"")))),
"")</f>
        <v>220</v>
      </c>
    </row>
    <row r="2413" spans="1:7" x14ac:dyDescent="0.25">
      <c r="A2413">
        <v>14837218</v>
      </c>
      <c r="B2413" t="str">
        <f>VLOOKUP(A2413,Planilha2!B:C,2,0)</f>
        <v>INVERSOR BRCFW110017T4OFAECZ</v>
      </c>
      <c r="C2413" t="s">
        <v>3169</v>
      </c>
      <c r="D2413" t="str">
        <f>VLOOKUP(A2413,Planilha2!B:H,7,0)</f>
        <v>LINHA P7</v>
      </c>
      <c r="E2413" s="5">
        <v>9560</v>
      </c>
      <c r="F2413">
        <f>IFERROR(
IF(ISNUMBER(FIND("CFW110",B2413)),
VALUE(MID(B2413,FIND("CFW110",B2413)+6,FIND("T",B2413,FIND("CFW110",B2413))-(FIND("CFW110",B2413)+6))),
IF(ISNUMBER(FIND("D",B2413)),
VALUE(SUBSTITUTE(MID(B2413,FIND("D",B2413)+1,FIND("T",B2413,FIND("D",B2413))-(FIND("D",B2413)+1)),"P",",")),
IF(ISNUMBER(FIND("CFW5",B2413)),
VALUE(MID(B2413,
IF(ISNUMBER(FIND("F",B2413)),FIND("F",B2413)+1,FIND("G",B2413)+1),
FIND("T",B2413)-(IF(ISNUMBER(FIND("F",B2413)),FIND("F",B2413)+1,FIND("G",B2413)+1))
)),
VALUE(MID(B2413,FIND("E0",B2413)+2,FIND("T",B2413,FIND("E0",B2413))-(FIND("E0",B2413)+2)))
))),"")</f>
        <v>17</v>
      </c>
      <c r="G2413">
        <f>IFERROR(
IF(ISNUMBER(FIND("T2",B2413)),220,
IF(ISNUMBER(FIND("T4",B2413)),440,
IF(ISNUMBER(FIND("T5",B2413)),575,
IF(ISNUMBER(FIND("T6",B2413)),690,"")))),
"")</f>
        <v>440</v>
      </c>
    </row>
    <row r="2414" spans="1:7" x14ac:dyDescent="0.25">
      <c r="A2414">
        <v>14864806</v>
      </c>
      <c r="B2414" t="str">
        <f>VLOOKUP(A2414,Planilha2!B:C,2,0)</f>
        <v>INVERSOR BRCFW110017T4OYSIZ</v>
      </c>
      <c r="C2414" t="s">
        <v>3169</v>
      </c>
      <c r="D2414" t="str">
        <f>VLOOKUP(A2414,Planilha2!B:H,7,0)</f>
        <v>LINHA P7</v>
      </c>
      <c r="E2414" s="5">
        <v>8600</v>
      </c>
      <c r="F2414">
        <f>IFERROR(
IF(ISNUMBER(FIND("CFW110",B2414)),
VALUE(MID(B2414,FIND("CFW110",B2414)+6,FIND("T",B2414,FIND("CFW110",B2414))-(FIND("CFW110",B2414)+6))),
IF(ISNUMBER(FIND("D",B2414)),
VALUE(SUBSTITUTE(MID(B2414,FIND("D",B2414)+1,FIND("T",B2414,FIND("D",B2414))-(FIND("D",B2414)+1)),"P",",")),
IF(ISNUMBER(FIND("CFW5",B2414)),
VALUE(MID(B2414,
IF(ISNUMBER(FIND("F",B2414)),FIND("F",B2414)+1,FIND("G",B2414)+1),
FIND("T",B2414)-(IF(ISNUMBER(FIND("F",B2414)),FIND("F",B2414)+1,FIND("G",B2414)+1))
)),
VALUE(MID(B2414,FIND("E0",B2414)+2,FIND("T",B2414,FIND("E0",B2414))-(FIND("E0",B2414)+2)))
))),"")</f>
        <v>17</v>
      </c>
      <c r="G2414">
        <f>IFERROR(
IF(ISNUMBER(FIND("T2",B2414)),220,
IF(ISNUMBER(FIND("T4",B2414)),440,
IF(ISNUMBER(FIND("T5",B2414)),575,
IF(ISNUMBER(FIND("T6",B2414)),690,"")))),
"")</f>
        <v>440</v>
      </c>
    </row>
    <row r="2415" spans="1:7" x14ac:dyDescent="0.25">
      <c r="A2415">
        <v>11876613</v>
      </c>
      <c r="B2415" t="str">
        <f>VLOOKUP(A2415,Planilha2!B:C,2,0)</f>
        <v>INVERSOR CFW700B24P0T2DB20C3Y1</v>
      </c>
      <c r="C2415" t="s">
        <v>3169</v>
      </c>
      <c r="D2415" t="str">
        <f>VLOOKUP(A2415,Planilha2!B:H,7,0)</f>
        <v>OBSOLETOS DRIVES</v>
      </c>
      <c r="E2415" s="5">
        <v>4880</v>
      </c>
      <c r="F2415" t="str">
        <f>IFERROR(
IF(ISNUMBER(FIND("CFW110",B2415)),
VALUE(MID(B2415,FIND("CFW110",B2415)+6,FIND("T",B2415,FIND("CFW110",B2415))-(FIND("CFW110",B2415)+6))),
IF(ISNUMBER(FIND("D",B2415)),
VALUE(SUBSTITUTE(MID(B2415,FIND("D",B2415)+1,FIND("T",B2415,FIND("D",B2415))-(FIND("D",B2415)+1)),"P",",")),
IF(ISNUMBER(FIND("CFW5",B2415)),
VALUE(MID(B2415,
IF(ISNUMBER(FIND("F",B2415)),FIND("F",B2415)+1,FIND("G",B2415)+1),
FIND("T",B2415)-(IF(ISNUMBER(FIND("F",B2415)),FIND("F",B2415)+1,FIND("G",B2415)+1))
)),
VALUE(MID(B2415,FIND("E0",B2415)+2,FIND("T",B2415,FIND("E0",B2415))-(FIND("E0",B2415)+2)))
))),"")</f>
        <v/>
      </c>
      <c r="G2415">
        <f>IFERROR(
IF(ISNUMBER(FIND("T2",B2415)),220,
IF(ISNUMBER(FIND("T4",B2415)),440,
IF(ISNUMBER(FIND("T5",B2415)),575,
IF(ISNUMBER(FIND("T6",B2415)),690,"")))),
"")</f>
        <v>220</v>
      </c>
    </row>
    <row r="2416" spans="1:7" x14ac:dyDescent="0.25">
      <c r="A2416">
        <v>14888368</v>
      </c>
      <c r="B2416" t="str">
        <f>VLOOKUP(A2416,Planilha2!B:C,2,0)</f>
        <v>INVERSOR CFW701A07P0T2DB20C3W1</v>
      </c>
      <c r="C2416" t="s">
        <v>3169</v>
      </c>
      <c r="D2416" t="str">
        <f>VLOOKUP(A2416,Planilha2!B:H,7,0)</f>
        <v>OBSOLETOS DRIVES</v>
      </c>
      <c r="E2416" s="5">
        <v>4781</v>
      </c>
      <c r="F2416" t="str">
        <f>IFERROR(
IF(ISNUMBER(FIND("CFW110",B2416)),
VALUE(MID(B2416,FIND("CFW110",B2416)+6,FIND("T",B2416,FIND("CFW110",B2416))-(FIND("CFW110",B2416)+6))),
IF(ISNUMBER(FIND("D",B2416)),
VALUE(SUBSTITUTE(MID(B2416,FIND("D",B2416)+1,FIND("T",B2416,FIND("D",B2416))-(FIND("D",B2416)+1)),"P",",")),
IF(ISNUMBER(FIND("CFW5",B2416)),
VALUE(MID(B2416,
IF(ISNUMBER(FIND("F",B2416)),FIND("F",B2416)+1,FIND("G",B2416)+1),
FIND("T",B2416)-(IF(ISNUMBER(FIND("F",B2416)),FIND("F",B2416)+1,FIND("G",B2416)+1))
)),
VALUE(MID(B2416,FIND("E0",B2416)+2,FIND("T",B2416,FIND("E0",B2416))-(FIND("E0",B2416)+2)))
))),"")</f>
        <v/>
      </c>
      <c r="G2416">
        <f>IFERROR(
IF(ISNUMBER(FIND("T2",B2416)),220,
IF(ISNUMBER(FIND("T4",B2416)),440,
IF(ISNUMBER(FIND("T5",B2416)),575,
IF(ISNUMBER(FIND("T6",B2416)),690,"")))),
"")</f>
        <v>220</v>
      </c>
    </row>
    <row r="2417" spans="1:7" x14ac:dyDescent="0.25">
      <c r="A2417">
        <v>14995485</v>
      </c>
      <c r="B2417" t="str">
        <f>VLOOKUP(A2417,Planilha2!B:C,2,0)</f>
        <v>INVERSOR EUCFW110010T4OFAYWSUZ</v>
      </c>
      <c r="C2417" t="s">
        <v>3169</v>
      </c>
      <c r="D2417" t="str">
        <f>VLOOKUP(A2417,Planilha2!B:H,7,0)</f>
        <v>LINHA P5</v>
      </c>
      <c r="E2417" s="5">
        <v>8536</v>
      </c>
      <c r="F2417">
        <f>IFERROR(
IF(ISNUMBER(FIND("CFW110",B2417)),
VALUE(MID(B2417,FIND("CFW110",B2417)+6,FIND("T",B2417,FIND("CFW110",B2417))-(FIND("CFW110",B2417)+6))),
IF(ISNUMBER(FIND("D",B2417)),
VALUE(SUBSTITUTE(MID(B2417,FIND("D",B2417)+1,FIND("T",B2417,FIND("D",B2417))-(FIND("D",B2417)+1)),"P",",")),
IF(ISNUMBER(FIND("CFW5",B2417)),
VALUE(MID(B2417,
IF(ISNUMBER(FIND("F",B2417)),FIND("F",B2417)+1,FIND("G",B2417)+1),
FIND("T",B2417)-(IF(ISNUMBER(FIND("F",B2417)),FIND("F",B2417)+1,FIND("G",B2417)+1))
)),
VALUE(MID(B2417,FIND("E0",B2417)+2,FIND("T",B2417,FIND("E0",B2417))-(FIND("E0",B2417)+2)))
))),"")</f>
        <v>10</v>
      </c>
      <c r="G2417">
        <f>IFERROR(
IF(ISNUMBER(FIND("T2",B2417)),220,
IF(ISNUMBER(FIND("T4",B2417)),440,
IF(ISNUMBER(FIND("T5",B2417)),575,
IF(ISNUMBER(FIND("T6",B2417)),690,"")))),
"")</f>
        <v>440</v>
      </c>
    </row>
    <row r="2418" spans="1:7" x14ac:dyDescent="0.25">
      <c r="A2418">
        <v>14995487</v>
      </c>
      <c r="B2418" t="str">
        <f>VLOOKUP(A2418,Planilha2!B:C,2,0)</f>
        <v>INVERSOR EUCFW110013T4OFAYWSUZ</v>
      </c>
      <c r="C2418" t="s">
        <v>3169</v>
      </c>
      <c r="D2418" t="str">
        <f>VLOOKUP(A2418,Planilha2!B:H,7,0)</f>
        <v>LINHA P5</v>
      </c>
      <c r="E2418" s="5">
        <v>4500</v>
      </c>
      <c r="F2418">
        <f>IFERROR(
IF(ISNUMBER(FIND("CFW110",B2418)),
VALUE(MID(B2418,FIND("CFW110",B2418)+6,FIND("T",B2418,FIND("CFW110",B2418))-(FIND("CFW110",B2418)+6))),
IF(ISNUMBER(FIND("D",B2418)),
VALUE(SUBSTITUTE(MID(B2418,FIND("D",B2418)+1,FIND("T",B2418,FIND("D",B2418))-(FIND("D",B2418)+1)),"P",",")),
IF(ISNUMBER(FIND("CFW5",B2418)),
VALUE(MID(B2418,
IF(ISNUMBER(FIND("F",B2418)),FIND("F",B2418)+1,FIND("G",B2418)+1),
FIND("T",B2418)-(IF(ISNUMBER(FIND("F",B2418)),FIND("F",B2418)+1,FIND("G",B2418)+1))
)),
VALUE(MID(B2418,FIND("E0",B2418)+2,FIND("T",B2418,FIND("E0",B2418))-(FIND("E0",B2418)+2)))
))),"")</f>
        <v>13</v>
      </c>
      <c r="G2418">
        <f>IFERROR(
IF(ISNUMBER(FIND("T2",B2418)),220,
IF(ISNUMBER(FIND("T4",B2418)),440,
IF(ISNUMBER(FIND("T5",B2418)),575,
IF(ISNUMBER(FIND("T6",B2418)),690,"")))),
"")</f>
        <v>440</v>
      </c>
    </row>
    <row r="2419" spans="1:7" x14ac:dyDescent="0.25">
      <c r="A2419">
        <v>14995659</v>
      </c>
      <c r="B2419" t="str">
        <f>VLOOKUP(A2419,Planilha2!B:C,2,0)</f>
        <v>INVERSOR EUCFW110017T4OFAYWSUZ</v>
      </c>
      <c r="C2419" t="s">
        <v>3169</v>
      </c>
      <c r="D2419" t="str">
        <f>VLOOKUP(A2419,Planilha2!B:H,7,0)</f>
        <v>LINHA P7</v>
      </c>
      <c r="E2419" s="5">
        <v>4500</v>
      </c>
      <c r="F2419">
        <f>IFERROR(
IF(ISNUMBER(FIND("CFW110",B2419)),
VALUE(MID(B2419,FIND("CFW110",B2419)+6,FIND("T",B2419,FIND("CFW110",B2419))-(FIND("CFW110",B2419)+6))),
IF(ISNUMBER(FIND("D",B2419)),
VALUE(SUBSTITUTE(MID(B2419,FIND("D",B2419)+1,FIND("T",B2419,FIND("D",B2419))-(FIND("D",B2419)+1)),"P",",")),
IF(ISNUMBER(FIND("CFW5",B2419)),
VALUE(MID(B2419,
IF(ISNUMBER(FIND("F",B2419)),FIND("F",B2419)+1,FIND("G",B2419)+1),
FIND("T",B2419)-(IF(ISNUMBER(FIND("F",B2419)),FIND("F",B2419)+1,FIND("G",B2419)+1))
)),
VALUE(MID(B2419,FIND("E0",B2419)+2,FIND("T",B2419,FIND("E0",B2419))-(FIND("E0",B2419)+2)))
))),"")</f>
        <v>17</v>
      </c>
      <c r="G2419">
        <f>IFERROR(
IF(ISNUMBER(FIND("T2",B2419)),220,
IF(ISNUMBER(FIND("T4",B2419)),440,
IF(ISNUMBER(FIND("T5",B2419)),575,
IF(ISNUMBER(FIND("T6",B2419)),690,"")))),
"")</f>
        <v>440</v>
      </c>
    </row>
    <row r="2420" spans="1:7" x14ac:dyDescent="0.25">
      <c r="A2420">
        <v>14995661</v>
      </c>
      <c r="B2420" t="str">
        <f>VLOOKUP(A2420,Planilha2!B:C,2,0)</f>
        <v>INVERSOR EUCFW110024T4OFAYWSUZ</v>
      </c>
      <c r="C2420" t="s">
        <v>3169</v>
      </c>
      <c r="D2420" t="str">
        <f>VLOOKUP(A2420,Planilha2!B:H,7,0)</f>
        <v>LINHA P7</v>
      </c>
      <c r="E2420" s="5">
        <v>8568</v>
      </c>
      <c r="F2420">
        <f>IFERROR(
IF(ISNUMBER(FIND("CFW110",B2420)),
VALUE(MID(B2420,FIND("CFW110",B2420)+6,FIND("T",B2420,FIND("CFW110",B2420))-(FIND("CFW110",B2420)+6))),
IF(ISNUMBER(FIND("D",B2420)),
VALUE(SUBSTITUTE(MID(B2420,FIND("D",B2420)+1,FIND("T",B2420,FIND("D",B2420))-(FIND("D",B2420)+1)),"P",",")),
IF(ISNUMBER(FIND("CFW5",B2420)),
VALUE(MID(B2420,
IF(ISNUMBER(FIND("F",B2420)),FIND("F",B2420)+1,FIND("G",B2420)+1),
FIND("T",B2420)-(IF(ISNUMBER(FIND("F",B2420)),FIND("F",B2420)+1,FIND("G",B2420)+1))
)),
VALUE(MID(B2420,FIND("E0",B2420)+2,FIND("T",B2420,FIND("E0",B2420))-(FIND("E0",B2420)+2)))
))),"")</f>
        <v>24</v>
      </c>
      <c r="G2420">
        <f>IFERROR(
IF(ISNUMBER(FIND("T2",B2420)),220,
IF(ISNUMBER(FIND("T4",B2420)),440,
IF(ISNUMBER(FIND("T5",B2420)),575,
IF(ISNUMBER(FIND("T6",B2420)),690,"")))),
"")</f>
        <v>440</v>
      </c>
    </row>
    <row r="2421" spans="1:7" x14ac:dyDescent="0.25">
      <c r="A2421">
        <v>12104874</v>
      </c>
      <c r="B2421" t="str">
        <f>VLOOKUP(A2421,Planilha2!B:C,2,0)</f>
        <v>INVERSOR NACFW110007B2OYZ</v>
      </c>
      <c r="C2421" t="s">
        <v>3169</v>
      </c>
      <c r="D2421" t="str">
        <f>VLOOKUP(A2421,Planilha2!B:H,7,0)</f>
        <v>LINHA P5</v>
      </c>
      <c r="E2421" s="5">
        <v>4500</v>
      </c>
      <c r="F2421" t="str">
        <f>IFERROR(
IF(ISNUMBER(FIND("CFW110",B2421)),
VALUE(MID(B2421,FIND("CFW110",B2421)+6,FIND("T",B2421,FIND("CFW110",B2421))-(FIND("CFW110",B2421)+6))),
IF(ISNUMBER(FIND("D",B2421)),
VALUE(SUBSTITUTE(MID(B2421,FIND("D",B2421)+1,FIND("T",B2421,FIND("D",B2421))-(FIND("D",B2421)+1)),"P",",")),
IF(ISNUMBER(FIND("CFW5",B2421)),
VALUE(MID(B2421,
IF(ISNUMBER(FIND("F",B2421)),FIND("F",B2421)+1,FIND("G",B2421)+1),
FIND("T",B2421)-(IF(ISNUMBER(FIND("F",B2421)),FIND("F",B2421)+1,FIND("G",B2421)+1))
)),
VALUE(MID(B2421,FIND("E0",B2421)+2,FIND("T",B2421,FIND("E0",B2421))-(FIND("E0",B2421)+2)))
))),"")</f>
        <v/>
      </c>
      <c r="G2421" t="str">
        <f>IFERROR(
IF(ISNUMBER(FIND("T2",B2421)),220,
IF(ISNUMBER(FIND("T4",B2421)),440,
IF(ISNUMBER(FIND("T5",B2421)),575,
IF(ISNUMBER(FIND("T6",B2421)),690,"")))),
"")</f>
        <v/>
      </c>
    </row>
    <row r="2422" spans="1:7" x14ac:dyDescent="0.25">
      <c r="A2422">
        <v>15070913</v>
      </c>
      <c r="B2422" t="str">
        <f>VLOOKUP(A2422,Planilha2!B:C,2,0)</f>
        <v>INVERSOR MSCFW110005T4OWZ</v>
      </c>
      <c r="C2422" t="s">
        <v>3169</v>
      </c>
      <c r="D2422" t="str">
        <f>VLOOKUP(A2422,Planilha2!B:H,7,0)</f>
        <v>LINHA P5</v>
      </c>
      <c r="E2422" s="5">
        <v>6250</v>
      </c>
      <c r="F2422">
        <f>IFERROR(
IF(ISNUMBER(FIND("CFW110",B2422)),
VALUE(MID(B2422,FIND("CFW110",B2422)+6,FIND("T",B2422,FIND("CFW110",B2422))-(FIND("CFW110",B2422)+6))),
IF(ISNUMBER(FIND("D",B2422)),
VALUE(SUBSTITUTE(MID(B2422,FIND("D",B2422)+1,FIND("T",B2422,FIND("D",B2422))-(FIND("D",B2422)+1)),"P",",")),
IF(ISNUMBER(FIND("CFW5",B2422)),
VALUE(MID(B2422,
IF(ISNUMBER(FIND("F",B2422)),FIND("F",B2422)+1,FIND("G",B2422)+1),
FIND("T",B2422)-(IF(ISNUMBER(FIND("F",B2422)),FIND("F",B2422)+1,FIND("G",B2422)+1))
)),
VALUE(MID(B2422,FIND("E0",B2422)+2,FIND("T",B2422,FIND("E0",B2422))-(FIND("E0",B2422)+2)))
))),"")</f>
        <v>5</v>
      </c>
      <c r="G2422">
        <f>IFERROR(
IF(ISNUMBER(FIND("T2",B2422)),220,
IF(ISNUMBER(FIND("T4",B2422)),440,
IF(ISNUMBER(FIND("T5",B2422)),575,
IF(ISNUMBER(FIND("T6",B2422)),690,"")))),
"")</f>
        <v>440</v>
      </c>
    </row>
    <row r="2423" spans="1:7" x14ac:dyDescent="0.25">
      <c r="A2423">
        <v>15070914</v>
      </c>
      <c r="B2423" t="str">
        <f>VLOOKUP(A2423,Planilha2!B:C,2,0)</f>
        <v>INVERSOR MSCFW110010T4OWZ</v>
      </c>
      <c r="C2423" t="s">
        <v>3169</v>
      </c>
      <c r="D2423" t="str">
        <f>VLOOKUP(A2423,Planilha2!B:H,7,0)</f>
        <v>LINHA P5</v>
      </c>
      <c r="E2423" s="5">
        <v>4500</v>
      </c>
      <c r="F2423">
        <f>IFERROR(
IF(ISNUMBER(FIND("CFW110",B2423)),
VALUE(MID(B2423,FIND("CFW110",B2423)+6,FIND("T",B2423,FIND("CFW110",B2423))-(FIND("CFW110",B2423)+6))),
IF(ISNUMBER(FIND("D",B2423)),
VALUE(SUBSTITUTE(MID(B2423,FIND("D",B2423)+1,FIND("T",B2423,FIND("D",B2423))-(FIND("D",B2423)+1)),"P",",")),
IF(ISNUMBER(FIND("CFW5",B2423)),
VALUE(MID(B2423,
IF(ISNUMBER(FIND("F",B2423)),FIND("F",B2423)+1,FIND("G",B2423)+1),
FIND("T",B2423)-(IF(ISNUMBER(FIND("F",B2423)),FIND("F",B2423)+1,FIND("G",B2423)+1))
)),
VALUE(MID(B2423,FIND("E0",B2423)+2,FIND("T",B2423,FIND("E0",B2423))-(FIND("E0",B2423)+2)))
))),"")</f>
        <v>10</v>
      </c>
      <c r="G2423">
        <f>IFERROR(
IF(ISNUMBER(FIND("T2",B2423)),220,
IF(ISNUMBER(FIND("T4",B2423)),440,
IF(ISNUMBER(FIND("T5",B2423)),575,
IF(ISNUMBER(FIND("T6",B2423)),690,"")))),
"")</f>
        <v>440</v>
      </c>
    </row>
    <row r="2424" spans="1:7" x14ac:dyDescent="0.25">
      <c r="A2424">
        <v>15070911</v>
      </c>
      <c r="B2424" t="str">
        <f>VLOOKUP(A2424,Planilha2!B:C,2,0)</f>
        <v>INVERSOR MSCFW110003T4OWZ</v>
      </c>
      <c r="C2424" t="s">
        <v>3169</v>
      </c>
      <c r="D2424" t="str">
        <f>VLOOKUP(A2424,Planilha2!B:H,7,0)</f>
        <v>LINHA P5</v>
      </c>
      <c r="E2424" s="5">
        <v>4500</v>
      </c>
      <c r="F2424">
        <f>IFERROR(
IF(ISNUMBER(FIND("CFW110",B2424)),
VALUE(MID(B2424,FIND("CFW110",B2424)+6,FIND("T",B2424,FIND("CFW110",B2424))-(FIND("CFW110",B2424)+6))),
IF(ISNUMBER(FIND("D",B2424)),
VALUE(SUBSTITUTE(MID(B2424,FIND("D",B2424)+1,FIND("T",B2424,FIND("D",B2424))-(FIND("D",B2424)+1)),"P",",")),
IF(ISNUMBER(FIND("CFW5",B2424)),
VALUE(MID(B2424,
IF(ISNUMBER(FIND("F",B2424)),FIND("F",B2424)+1,FIND("G",B2424)+1),
FIND("T",B2424)-(IF(ISNUMBER(FIND("F",B2424)),FIND("F",B2424)+1,FIND("G",B2424)+1))
)),
VALUE(MID(B2424,FIND("E0",B2424)+2,FIND("T",B2424,FIND("E0",B2424))-(FIND("E0",B2424)+2)))
))),"")</f>
        <v>3</v>
      </c>
      <c r="G2424">
        <f>IFERROR(
IF(ISNUMBER(FIND("T2",B2424)),220,
IF(ISNUMBER(FIND("T4",B2424)),440,
IF(ISNUMBER(FIND("T5",B2424)),575,
IF(ISNUMBER(FIND("T6",B2424)),690,"")))),
"")</f>
        <v>440</v>
      </c>
    </row>
    <row r="2425" spans="1:7" x14ac:dyDescent="0.25">
      <c r="A2425">
        <v>15207178</v>
      </c>
      <c r="B2425" t="str">
        <f>VLOOKUP(A2425,Planilha2!B:C,2,0)</f>
        <v>INVERSOR BRCFW110031T4OWHALS9Z</v>
      </c>
      <c r="C2425" t="s">
        <v>3169</v>
      </c>
      <c r="D2425" t="str">
        <f>VLOOKUP(A2425,Planilha2!B:H,7,0)</f>
        <v>LINHA P7</v>
      </c>
      <c r="E2425" s="5">
        <v>4675</v>
      </c>
      <c r="F2425">
        <f>IFERROR(
IF(ISNUMBER(FIND("CFW110",B2425)),
VALUE(MID(B2425,FIND("CFW110",B2425)+6,FIND("T",B2425,FIND("CFW110",B2425))-(FIND("CFW110",B2425)+6))),
IF(ISNUMBER(FIND("D",B2425)),
VALUE(SUBSTITUTE(MID(B2425,FIND("D",B2425)+1,FIND("T",B2425,FIND("D",B2425))-(FIND("D",B2425)+1)),"P",",")),
IF(ISNUMBER(FIND("CFW5",B2425)),
VALUE(MID(B2425,
IF(ISNUMBER(FIND("F",B2425)),FIND("F",B2425)+1,FIND("G",B2425)+1),
FIND("T",B2425)-(IF(ISNUMBER(FIND("F",B2425)),FIND("F",B2425)+1,FIND("G",B2425)+1))
)),
VALUE(MID(B2425,FIND("E0",B2425)+2,FIND("T",B2425,FIND("E0",B2425))-(FIND("E0",B2425)+2)))
))),"")</f>
        <v>31</v>
      </c>
      <c r="G2425">
        <f>IFERROR(
IF(ISNUMBER(FIND("T2",B2425)),220,
IF(ISNUMBER(FIND("T4",B2425)),440,
IF(ISNUMBER(FIND("T5",B2425)),575,
IF(ISNUMBER(FIND("T6",B2425)),690,"")))),
"")</f>
        <v>440</v>
      </c>
    </row>
    <row r="2426" spans="1:7" x14ac:dyDescent="0.25">
      <c r="A2426">
        <v>15185774</v>
      </c>
      <c r="B2426" t="str">
        <f>VLOOKUP(A2426,Planilha2!B:C,2,0)</f>
        <v>INVERSOR EUCFW110005T4OFAYWSUZ</v>
      </c>
      <c r="C2426" t="s">
        <v>3169</v>
      </c>
      <c r="D2426" t="str">
        <f>VLOOKUP(A2426,Planilha2!B:H,7,0)</f>
        <v>LINHA P5</v>
      </c>
      <c r="E2426" s="5">
        <v>5900</v>
      </c>
      <c r="F2426">
        <f>IFERROR(
IF(ISNUMBER(FIND("CFW110",B2426)),
VALUE(MID(B2426,FIND("CFW110",B2426)+6,FIND("T",B2426,FIND("CFW110",B2426))-(FIND("CFW110",B2426)+6))),
IF(ISNUMBER(FIND("D",B2426)),
VALUE(SUBSTITUTE(MID(B2426,FIND("D",B2426)+1,FIND("T",B2426,FIND("D",B2426))-(FIND("D",B2426)+1)),"P",",")),
IF(ISNUMBER(FIND("CFW5",B2426)),
VALUE(MID(B2426,
IF(ISNUMBER(FIND("F",B2426)),FIND("F",B2426)+1,FIND("G",B2426)+1),
FIND("T",B2426)-(IF(ISNUMBER(FIND("F",B2426)),FIND("F",B2426)+1,FIND("G",B2426)+1))
)),
VALUE(MID(B2426,FIND("E0",B2426)+2,FIND("T",B2426,FIND("E0",B2426))-(FIND("E0",B2426)+2)))
))),"")</f>
        <v>5</v>
      </c>
      <c r="G2426">
        <f>IFERROR(
IF(ISNUMBER(FIND("T2",B2426)),220,
IF(ISNUMBER(FIND("T4",B2426)),440,
IF(ISNUMBER(FIND("T5",B2426)),575,
IF(ISNUMBER(FIND("T6",B2426)),690,"")))),
"")</f>
        <v>440</v>
      </c>
    </row>
    <row r="2427" spans="1:7" x14ac:dyDescent="0.25">
      <c r="A2427">
        <v>15240751</v>
      </c>
      <c r="B2427" t="str">
        <f>VLOOKUP(A2427,Planilha2!B:C,2,0)</f>
        <v>INVERSOR BRCFW110031T4OHALS9Z</v>
      </c>
      <c r="C2427" t="s">
        <v>3169</v>
      </c>
      <c r="D2427" t="str">
        <f>VLOOKUP(A2427,Planilha2!B:H,7,0)</f>
        <v>LINHA P7</v>
      </c>
      <c r="E2427" s="5">
        <v>6500</v>
      </c>
      <c r="F2427">
        <f>IFERROR(
IF(ISNUMBER(FIND("CFW110",B2427)),
VALUE(MID(B2427,FIND("CFW110",B2427)+6,FIND("T",B2427,FIND("CFW110",B2427))-(FIND("CFW110",B2427)+6))),
IF(ISNUMBER(FIND("D",B2427)),
VALUE(SUBSTITUTE(MID(B2427,FIND("D",B2427)+1,FIND("T",B2427,FIND("D",B2427))-(FIND("D",B2427)+1)),"P",",")),
IF(ISNUMBER(FIND("CFW5",B2427)),
VALUE(MID(B2427,
IF(ISNUMBER(FIND("F",B2427)),FIND("F",B2427)+1,FIND("G",B2427)+1),
FIND("T",B2427)-(IF(ISNUMBER(FIND("F",B2427)),FIND("F",B2427)+1,FIND("G",B2427)+1))
)),
VALUE(MID(B2427,FIND("E0",B2427)+2,FIND("T",B2427,FIND("E0",B2427))-(FIND("E0",B2427)+2)))
))),"")</f>
        <v>31</v>
      </c>
      <c r="G2427">
        <f>IFERROR(
IF(ISNUMBER(FIND("T2",B2427)),220,
IF(ISNUMBER(FIND("T4",B2427)),440,
IF(ISNUMBER(FIND("T5",B2427)),575,
IF(ISNUMBER(FIND("T6",B2427)),690,"")))),
"")</f>
        <v>440</v>
      </c>
    </row>
    <row r="2428" spans="1:7" x14ac:dyDescent="0.25">
      <c r="A2428">
        <v>15208464</v>
      </c>
      <c r="B2428" t="str">
        <f>VLOOKUP(A2428,Planilha2!B:C,2,0)</f>
        <v>INVERSOR BRCFW110024T4OWHALS9Z</v>
      </c>
      <c r="C2428" t="s">
        <v>3169</v>
      </c>
      <c r="D2428" t="str">
        <f>VLOOKUP(A2428,Planilha2!B:H,7,0)</f>
        <v>LINHA P7</v>
      </c>
      <c r="E2428" s="5">
        <v>4675</v>
      </c>
      <c r="F2428">
        <f>IFERROR(
IF(ISNUMBER(FIND("CFW110",B2428)),
VALUE(MID(B2428,FIND("CFW110",B2428)+6,FIND("T",B2428,FIND("CFW110",B2428))-(FIND("CFW110",B2428)+6))),
IF(ISNUMBER(FIND("D",B2428)),
VALUE(SUBSTITUTE(MID(B2428,FIND("D",B2428)+1,FIND("T",B2428,FIND("D",B2428))-(FIND("D",B2428)+1)),"P",",")),
IF(ISNUMBER(FIND("CFW5",B2428)),
VALUE(MID(B2428,
IF(ISNUMBER(FIND("F",B2428)),FIND("F",B2428)+1,FIND("G",B2428)+1),
FIND("T",B2428)-(IF(ISNUMBER(FIND("F",B2428)),FIND("F",B2428)+1,FIND("G",B2428)+1))
)),
VALUE(MID(B2428,FIND("E0",B2428)+2,FIND("T",B2428,FIND("E0",B2428))-(FIND("E0",B2428)+2)))
))),"")</f>
        <v>24</v>
      </c>
      <c r="G2428">
        <f>IFERROR(
IF(ISNUMBER(FIND("T2",B2428)),220,
IF(ISNUMBER(FIND("T4",B2428)),440,
IF(ISNUMBER(FIND("T5",B2428)),575,
IF(ISNUMBER(FIND("T6",B2428)),690,"")))),
"")</f>
        <v>440</v>
      </c>
    </row>
    <row r="2429" spans="1:7" x14ac:dyDescent="0.25">
      <c r="A2429">
        <v>15240750</v>
      </c>
      <c r="B2429" t="str">
        <f>VLOOKUP(A2429,Planilha2!B:C,2,0)</f>
        <v>INVERSOR BRCFW110024T4OHALS9Z</v>
      </c>
      <c r="C2429" t="s">
        <v>3169</v>
      </c>
      <c r="D2429" t="str">
        <f>VLOOKUP(A2429,Planilha2!B:H,7,0)</f>
        <v>LINHA P7</v>
      </c>
      <c r="E2429" t="s">
        <v>3172</v>
      </c>
      <c r="F2429">
        <f>IFERROR(
IF(ISNUMBER(FIND("CFW110",B2429)),
VALUE(MID(B2429,FIND("CFW110",B2429)+6,FIND("T",B2429,FIND("CFW110",B2429))-(FIND("CFW110",B2429)+6))),
IF(ISNUMBER(FIND("D",B2429)),
VALUE(SUBSTITUTE(MID(B2429,FIND("D",B2429)+1,FIND("T",B2429,FIND("D",B2429))-(FIND("D",B2429)+1)),"P",",")),
IF(ISNUMBER(FIND("CFW5",B2429)),
VALUE(MID(B2429,
IF(ISNUMBER(FIND("F",B2429)),FIND("F",B2429)+1,FIND("G",B2429)+1),
FIND("T",B2429)-(IF(ISNUMBER(FIND("F",B2429)),FIND("F",B2429)+1,FIND("G",B2429)+1))
)),
VALUE(MID(B2429,FIND("E0",B2429)+2,FIND("T",B2429,FIND("E0",B2429))-(FIND("E0",B2429)+2)))
))),"")</f>
        <v>24</v>
      </c>
      <c r="G2429">
        <f>IFERROR(
IF(ISNUMBER(FIND("T2",B2429)),220,
IF(ISNUMBER(FIND("T4",B2429)),440,
IF(ISNUMBER(FIND("T5",B2429)),575,
IF(ISNUMBER(FIND("T6",B2429)),690,"")))),
"")</f>
        <v>440</v>
      </c>
    </row>
    <row r="2430" spans="1:7" x14ac:dyDescent="0.25">
      <c r="A2430">
        <v>15363753</v>
      </c>
      <c r="B2430" t="str">
        <f>VLOOKUP(A2430,Planilha2!B:C,2,0)</f>
        <v>INVERSOR BRCFW110010S2OYZ</v>
      </c>
      <c r="C2430" t="s">
        <v>3169</v>
      </c>
      <c r="D2430" t="str">
        <f>VLOOKUP(A2430,Planilha2!B:H,7,0)</f>
        <v>LINHA P5</v>
      </c>
      <c r="E2430" s="5">
        <v>5350</v>
      </c>
      <c r="F2430" t="str">
        <f>IFERROR(
IF(ISNUMBER(FIND("CFW110",B2430)),
VALUE(MID(B2430,FIND("CFW110",B2430)+6,FIND("T",B2430,FIND("CFW110",B2430))-(FIND("CFW110",B2430)+6))),
IF(ISNUMBER(FIND("D",B2430)),
VALUE(SUBSTITUTE(MID(B2430,FIND("D",B2430)+1,FIND("T",B2430,FIND("D",B2430))-(FIND("D",B2430)+1)),"P",",")),
IF(ISNUMBER(FIND("CFW5",B2430)),
VALUE(MID(B2430,
IF(ISNUMBER(FIND("F",B2430)),FIND("F",B2430)+1,FIND("G",B2430)+1),
FIND("T",B2430)-(IF(ISNUMBER(FIND("F",B2430)),FIND("F",B2430)+1,FIND("G",B2430)+1))
)),
VALUE(MID(B2430,FIND("E0",B2430)+2,FIND("T",B2430,FIND("E0",B2430))-(FIND("E0",B2430)+2)))
))),"")</f>
        <v/>
      </c>
      <c r="G2430" t="str">
        <f>IFERROR(
IF(ISNUMBER(FIND("T2",B2430)),220,
IF(ISNUMBER(FIND("T4",B2430)),440,
IF(ISNUMBER(FIND("T5",B2430)),575,
IF(ISNUMBER(FIND("T6",B2430)),690,"")))),
"")</f>
        <v/>
      </c>
    </row>
    <row r="2431" spans="1:7" x14ac:dyDescent="0.25">
      <c r="A2431">
        <v>14292969</v>
      </c>
      <c r="B2431" t="str">
        <f>VLOOKUP(A2431,Planilha2!B:C,2,0)</f>
        <v>INVERSOR BRCFW110024T4OFASSZ</v>
      </c>
      <c r="C2431" t="s">
        <v>3169</v>
      </c>
      <c r="D2431" t="str">
        <f>VLOOKUP(A2431,Planilha2!B:H,7,0)</f>
        <v>LINHA P7</v>
      </c>
      <c r="E2431" s="5">
        <v>10100</v>
      </c>
      <c r="F2431">
        <f>IFERROR(
IF(ISNUMBER(FIND("CFW110",B2431)),
VALUE(MID(B2431,FIND("CFW110",B2431)+6,FIND("T",B2431,FIND("CFW110",B2431))-(FIND("CFW110",B2431)+6))),
IF(ISNUMBER(FIND("D",B2431)),
VALUE(SUBSTITUTE(MID(B2431,FIND("D",B2431)+1,FIND("T",B2431,FIND("D",B2431))-(FIND("D",B2431)+1)),"P",",")),
IF(ISNUMBER(FIND("CFW5",B2431)),
VALUE(MID(B2431,
IF(ISNUMBER(FIND("F",B2431)),FIND("F",B2431)+1,FIND("G",B2431)+1),
FIND("T",B2431)-(IF(ISNUMBER(FIND("F",B2431)),FIND("F",B2431)+1,FIND("G",B2431)+1))
)),
VALUE(MID(B2431,FIND("E0",B2431)+2,FIND("T",B2431,FIND("E0",B2431))-(FIND("E0",B2431)+2)))
))),"")</f>
        <v>24</v>
      </c>
      <c r="G2431">
        <f>IFERROR(
IF(ISNUMBER(FIND("T2",B2431)),220,
IF(ISNUMBER(FIND("T4",B2431)),440,
IF(ISNUMBER(FIND("T5",B2431)),575,
IF(ISNUMBER(FIND("T6",B2431)),690,"")))),
"")</f>
        <v>440</v>
      </c>
    </row>
    <row r="2432" spans="1:7" x14ac:dyDescent="0.25">
      <c r="A2432">
        <v>15542290</v>
      </c>
      <c r="B2432" t="str">
        <f>VLOOKUP(A2432,Planilha2!B:C,2,0)</f>
        <v>INVERSOR BRCFW110013T4OFAYZ</v>
      </c>
      <c r="C2432" t="s">
        <v>3169</v>
      </c>
      <c r="D2432" t="str">
        <f>VLOOKUP(A2432,Planilha2!B:H,7,0)</f>
        <v>LINHA P5</v>
      </c>
      <c r="E2432" s="5">
        <v>6765</v>
      </c>
      <c r="F2432">
        <f>IFERROR(
IF(ISNUMBER(FIND("CFW110",B2432)),
VALUE(MID(B2432,FIND("CFW110",B2432)+6,FIND("T",B2432,FIND("CFW110",B2432))-(FIND("CFW110",B2432)+6))),
IF(ISNUMBER(FIND("D",B2432)),
VALUE(SUBSTITUTE(MID(B2432,FIND("D",B2432)+1,FIND("T",B2432,FIND("D",B2432))-(FIND("D",B2432)+1)),"P",",")),
IF(ISNUMBER(FIND("CFW5",B2432)),
VALUE(MID(B2432,
IF(ISNUMBER(FIND("F",B2432)),FIND("F",B2432)+1,FIND("G",B2432)+1),
FIND("T",B2432)-(IF(ISNUMBER(FIND("F",B2432)),FIND("F",B2432)+1,FIND("G",B2432)+1))
)),
VALUE(MID(B2432,FIND("E0",B2432)+2,FIND("T",B2432,FIND("E0",B2432))-(FIND("E0",B2432)+2)))
))),"")</f>
        <v>13</v>
      </c>
      <c r="G2432">
        <f>IFERROR(
IF(ISNUMBER(FIND("T2",B2432)),220,
IF(ISNUMBER(FIND("T4",B2432)),440,
IF(ISNUMBER(FIND("T5",B2432)),575,
IF(ISNUMBER(FIND("T6",B2432)),690,"")))),
"")</f>
        <v>440</v>
      </c>
    </row>
    <row r="2433" spans="1:7" x14ac:dyDescent="0.25">
      <c r="A2433">
        <v>15580663</v>
      </c>
      <c r="B2433" t="str">
        <f>VLOOKUP(A2433,Planilha2!B:C,2,0)</f>
        <v>INVERSOR BRCFW110013T4OECZ</v>
      </c>
      <c r="C2433" t="s">
        <v>3169</v>
      </c>
      <c r="D2433" t="str">
        <f>VLOOKUP(A2433,Planilha2!B:H,7,0)</f>
        <v>LINHA P5</v>
      </c>
      <c r="E2433" s="5">
        <v>4500</v>
      </c>
      <c r="F2433">
        <f>IFERROR(
IF(ISNUMBER(FIND("CFW110",B2433)),
VALUE(MID(B2433,FIND("CFW110",B2433)+6,FIND("T",B2433,FIND("CFW110",B2433))-(FIND("CFW110",B2433)+6))),
IF(ISNUMBER(FIND("D",B2433)),
VALUE(SUBSTITUTE(MID(B2433,FIND("D",B2433)+1,FIND("T",B2433,FIND("D",B2433))-(FIND("D",B2433)+1)),"P",",")),
IF(ISNUMBER(FIND("CFW5",B2433)),
VALUE(MID(B2433,
IF(ISNUMBER(FIND("F",B2433)),FIND("F",B2433)+1,FIND("G",B2433)+1),
FIND("T",B2433)-(IF(ISNUMBER(FIND("F",B2433)),FIND("F",B2433)+1,FIND("G",B2433)+1))
)),
VALUE(MID(B2433,FIND("E0",B2433)+2,FIND("T",B2433,FIND("E0",B2433))-(FIND("E0",B2433)+2)))
))),"")</f>
        <v>13</v>
      </c>
      <c r="G2433">
        <f>IFERROR(
IF(ISNUMBER(FIND("T2",B2433)),220,
IF(ISNUMBER(FIND("T4",B2433)),440,
IF(ISNUMBER(FIND("T5",B2433)),575,
IF(ISNUMBER(FIND("T6",B2433)),690,"")))),
"")</f>
        <v>440</v>
      </c>
    </row>
    <row r="2434" spans="1:7" x14ac:dyDescent="0.25">
      <c r="A2434">
        <v>15698155</v>
      </c>
      <c r="B2434" t="str">
        <f>VLOOKUP(A2434,Planilha2!B:C,2,0)</f>
        <v>INVERSOR BRCFW110013T2OWZ</v>
      </c>
      <c r="C2434" t="s">
        <v>3169</v>
      </c>
      <c r="D2434" t="str">
        <f>VLOOKUP(A2434,Planilha2!B:H,7,0)</f>
        <v>LINHA P5</v>
      </c>
      <c r="E2434" s="5">
        <v>5350</v>
      </c>
      <c r="F2434">
        <f>IFERROR(
IF(ISNUMBER(FIND("CFW110",B2434)),
VALUE(MID(B2434,FIND("CFW110",B2434)+6,FIND("T",B2434,FIND("CFW110",B2434))-(FIND("CFW110",B2434)+6))),
IF(ISNUMBER(FIND("D",B2434)),
VALUE(SUBSTITUTE(MID(B2434,FIND("D",B2434)+1,FIND("T",B2434,FIND("D",B2434))-(FIND("D",B2434)+1)),"P",",")),
IF(ISNUMBER(FIND("CFW5",B2434)),
VALUE(MID(B2434,
IF(ISNUMBER(FIND("F",B2434)),FIND("F",B2434)+1,FIND("G",B2434)+1),
FIND("T",B2434)-(IF(ISNUMBER(FIND("F",B2434)),FIND("F",B2434)+1,FIND("G",B2434)+1))
)),
VALUE(MID(B2434,FIND("E0",B2434)+2,FIND("T",B2434,FIND("E0",B2434))-(FIND("E0",B2434)+2)))
))),"")</f>
        <v>13</v>
      </c>
      <c r="G2434">
        <f>IFERROR(
IF(ISNUMBER(FIND("T2",B2434)),220,
IF(ISNUMBER(FIND("T4",B2434)),440,
IF(ISNUMBER(FIND("T5",B2434)),575,
IF(ISNUMBER(FIND("T6",B2434)),690,"")))),
"")</f>
        <v>220</v>
      </c>
    </row>
    <row r="2435" spans="1:7" x14ac:dyDescent="0.25">
      <c r="A2435">
        <v>15701092</v>
      </c>
      <c r="B2435" t="str">
        <f>VLOOKUP(A2435,Planilha2!B:C,2,0)</f>
        <v>INVERSOR BRCFW110031T4OTVZ</v>
      </c>
      <c r="C2435" t="s">
        <v>3169</v>
      </c>
      <c r="D2435" t="str">
        <f>VLOOKUP(A2435,Planilha2!B:H,7,0)</f>
        <v>LINHA P7</v>
      </c>
      <c r="E2435" s="5">
        <v>10400</v>
      </c>
      <c r="F2435">
        <f>IFERROR(
IF(ISNUMBER(FIND("CFW110",B2435)),
VALUE(MID(B2435,FIND("CFW110",B2435)+6,FIND("T",B2435,FIND("CFW110",B2435))-(FIND("CFW110",B2435)+6))),
IF(ISNUMBER(FIND("D",B2435)),
VALUE(SUBSTITUTE(MID(B2435,FIND("D",B2435)+1,FIND("T",B2435,FIND("D",B2435))-(FIND("D",B2435)+1)),"P",",")),
IF(ISNUMBER(FIND("CFW5",B2435)),
VALUE(MID(B2435,
IF(ISNUMBER(FIND("F",B2435)),FIND("F",B2435)+1,FIND("G",B2435)+1),
FIND("T",B2435)-(IF(ISNUMBER(FIND("F",B2435)),FIND("F",B2435)+1,FIND("G",B2435)+1))
)),
VALUE(MID(B2435,FIND("E0",B2435)+2,FIND("T",B2435,FIND("E0",B2435))-(FIND("E0",B2435)+2)))
))),"")</f>
        <v>31</v>
      </c>
      <c r="G2435">
        <f>IFERROR(
IF(ISNUMBER(FIND("T2",B2435)),220,
IF(ISNUMBER(FIND("T4",B2435)),440,
IF(ISNUMBER(FIND("T5",B2435)),575,
IF(ISNUMBER(FIND("T6",B2435)),690,"")))),
"")</f>
        <v>440</v>
      </c>
    </row>
    <row r="2436" spans="1:7" x14ac:dyDescent="0.25">
      <c r="A2436">
        <v>15701091</v>
      </c>
      <c r="B2436" t="str">
        <f>VLOOKUP(A2436,Planilha2!B:C,2,0)</f>
        <v>INVERSOR BRCFW110024T4OTVZ</v>
      </c>
      <c r="C2436" t="s">
        <v>3169</v>
      </c>
      <c r="D2436" t="str">
        <f>VLOOKUP(A2436,Planilha2!B:H,7,0)</f>
        <v>LINHA P7</v>
      </c>
      <c r="E2436" s="5">
        <v>10000</v>
      </c>
      <c r="F2436">
        <f>IFERROR(
IF(ISNUMBER(FIND("CFW110",B2436)),
VALUE(MID(B2436,FIND("CFW110",B2436)+6,FIND("T",B2436,FIND("CFW110",B2436))-(FIND("CFW110",B2436)+6))),
IF(ISNUMBER(FIND("D",B2436)),
VALUE(SUBSTITUTE(MID(B2436,FIND("D",B2436)+1,FIND("T",B2436,FIND("D",B2436))-(FIND("D",B2436)+1)),"P",",")),
IF(ISNUMBER(FIND("CFW5",B2436)),
VALUE(MID(B2436,
IF(ISNUMBER(FIND("F",B2436)),FIND("F",B2436)+1,FIND("G",B2436)+1),
FIND("T",B2436)-(IF(ISNUMBER(FIND("F",B2436)),FIND("F",B2436)+1,FIND("G",B2436)+1))
)),
VALUE(MID(B2436,FIND("E0",B2436)+2,FIND("T",B2436,FIND("E0",B2436))-(FIND("E0",B2436)+2)))
))),"")</f>
        <v>24</v>
      </c>
      <c r="G2436">
        <f>IFERROR(
IF(ISNUMBER(FIND("T2",B2436)),220,
IF(ISNUMBER(FIND("T4",B2436)),440,
IF(ISNUMBER(FIND("T5",B2436)),575,
IF(ISNUMBER(FIND("T6",B2436)),690,"")))),
"")</f>
        <v>440</v>
      </c>
    </row>
    <row r="2437" spans="1:7" x14ac:dyDescent="0.25">
      <c r="A2437">
        <v>15701088</v>
      </c>
      <c r="B2437" t="str">
        <f>VLOOKUP(A2437,Planilha2!B:C,2,0)</f>
        <v>INVERSOR BRCFW110017T4OTVZ</v>
      </c>
      <c r="C2437" t="s">
        <v>3169</v>
      </c>
      <c r="D2437" t="str">
        <f>VLOOKUP(A2437,Planilha2!B:H,7,0)</f>
        <v>LINHA P7</v>
      </c>
      <c r="E2437" s="5">
        <v>8900</v>
      </c>
      <c r="F2437">
        <f>IFERROR(
IF(ISNUMBER(FIND("CFW110",B2437)),
VALUE(MID(B2437,FIND("CFW110",B2437)+6,FIND("T",B2437,FIND("CFW110",B2437))-(FIND("CFW110",B2437)+6))),
IF(ISNUMBER(FIND("D",B2437)),
VALUE(SUBSTITUTE(MID(B2437,FIND("D",B2437)+1,FIND("T",B2437,FIND("D",B2437))-(FIND("D",B2437)+1)),"P",",")),
IF(ISNUMBER(FIND("CFW5",B2437)),
VALUE(MID(B2437,
IF(ISNUMBER(FIND("F",B2437)),FIND("F",B2437)+1,FIND("G",B2437)+1),
FIND("T",B2437)-(IF(ISNUMBER(FIND("F",B2437)),FIND("F",B2437)+1,FIND("G",B2437)+1))
)),
VALUE(MID(B2437,FIND("E0",B2437)+2,FIND("T",B2437,FIND("E0",B2437))-(FIND("E0",B2437)+2)))
))),"")</f>
        <v>17</v>
      </c>
      <c r="G2437">
        <f>IFERROR(
IF(ISNUMBER(FIND("T2",B2437)),220,
IF(ISNUMBER(FIND("T4",B2437)),440,
IF(ISNUMBER(FIND("T5",B2437)),575,
IF(ISNUMBER(FIND("T6",B2437)),690,"")))),
"")</f>
        <v>440</v>
      </c>
    </row>
    <row r="2438" spans="1:7" x14ac:dyDescent="0.25">
      <c r="A2438">
        <v>15700897</v>
      </c>
      <c r="B2438" t="str">
        <f>VLOOKUP(A2438,Planilha2!B:C,2,0)</f>
        <v>INVERSOR BRCFW110013T4OTVZ</v>
      </c>
      <c r="C2438" t="s">
        <v>3169</v>
      </c>
      <c r="D2438" t="str">
        <f>VLOOKUP(A2438,Planilha2!B:H,7,0)</f>
        <v>LINHA P5</v>
      </c>
      <c r="E2438" s="5">
        <v>5650</v>
      </c>
      <c r="F2438">
        <f>IFERROR(
IF(ISNUMBER(FIND("CFW110",B2438)),
VALUE(MID(B2438,FIND("CFW110",B2438)+6,FIND("T",B2438,FIND("CFW110",B2438))-(FIND("CFW110",B2438)+6))),
IF(ISNUMBER(FIND("D",B2438)),
VALUE(SUBSTITUTE(MID(B2438,FIND("D",B2438)+1,FIND("T",B2438,FIND("D",B2438))-(FIND("D",B2438)+1)),"P",",")),
IF(ISNUMBER(FIND("CFW5",B2438)),
VALUE(MID(B2438,
IF(ISNUMBER(FIND("F",B2438)),FIND("F",B2438)+1,FIND("G",B2438)+1),
FIND("T",B2438)-(IF(ISNUMBER(FIND("F",B2438)),FIND("F",B2438)+1,FIND("G",B2438)+1))
)),
VALUE(MID(B2438,FIND("E0",B2438)+2,FIND("T",B2438,FIND("E0",B2438))-(FIND("E0",B2438)+2)))
))),"")</f>
        <v>13</v>
      </c>
      <c r="G2438">
        <f>IFERROR(
IF(ISNUMBER(FIND("T2",B2438)),220,
IF(ISNUMBER(FIND("T4",B2438)),440,
IF(ISNUMBER(FIND("T5",B2438)),575,
IF(ISNUMBER(FIND("T6",B2438)),690,"")))),
"")</f>
        <v>440</v>
      </c>
    </row>
    <row r="2439" spans="1:7" x14ac:dyDescent="0.25">
      <c r="A2439">
        <v>15700844</v>
      </c>
      <c r="B2439" t="str">
        <f>VLOOKUP(A2439,Planilha2!B:C,2,0)</f>
        <v>INVERSOR BRCFW110010T4OTVZ</v>
      </c>
      <c r="C2439" t="s">
        <v>3169</v>
      </c>
      <c r="D2439" t="str">
        <f>VLOOKUP(A2439,Planilha2!B:H,7,0)</f>
        <v>LINHA P5</v>
      </c>
      <c r="E2439" s="5">
        <v>5450</v>
      </c>
      <c r="F2439">
        <f>IFERROR(
IF(ISNUMBER(FIND("CFW110",B2439)),
VALUE(MID(B2439,FIND("CFW110",B2439)+6,FIND("T",B2439,FIND("CFW110",B2439))-(FIND("CFW110",B2439)+6))),
IF(ISNUMBER(FIND("D",B2439)),
VALUE(SUBSTITUTE(MID(B2439,FIND("D",B2439)+1,FIND("T",B2439,FIND("D",B2439))-(FIND("D",B2439)+1)),"P",",")),
IF(ISNUMBER(FIND("CFW5",B2439)),
VALUE(MID(B2439,
IF(ISNUMBER(FIND("F",B2439)),FIND("F",B2439)+1,FIND("G",B2439)+1),
FIND("T",B2439)-(IF(ISNUMBER(FIND("F",B2439)),FIND("F",B2439)+1,FIND("G",B2439)+1))
)),
VALUE(MID(B2439,FIND("E0",B2439)+2,FIND("T",B2439,FIND("E0",B2439))-(FIND("E0",B2439)+2)))
))),"")</f>
        <v>10</v>
      </c>
      <c r="G2439">
        <f>IFERROR(
IF(ISNUMBER(FIND("T2",B2439)),220,
IF(ISNUMBER(FIND("T4",B2439)),440,
IF(ISNUMBER(FIND("T5",B2439)),575,
IF(ISNUMBER(FIND("T6",B2439)),690,"")))),
"")</f>
        <v>440</v>
      </c>
    </row>
    <row r="2440" spans="1:7" x14ac:dyDescent="0.25">
      <c r="A2440">
        <v>15700842</v>
      </c>
      <c r="B2440" t="str">
        <f>VLOOKUP(A2440,Planilha2!B:C,2,0)</f>
        <v>INVERSOR BRCFW110007T4OTVZ</v>
      </c>
      <c r="C2440" t="s">
        <v>3169</v>
      </c>
      <c r="D2440" t="str">
        <f>VLOOKUP(A2440,Planilha2!B:H,7,0)</f>
        <v>LINHA P5</v>
      </c>
      <c r="E2440" s="5">
        <v>5250</v>
      </c>
      <c r="F2440">
        <f>IFERROR(
IF(ISNUMBER(FIND("CFW110",B2440)),
VALUE(MID(B2440,FIND("CFW110",B2440)+6,FIND("T",B2440,FIND("CFW110",B2440))-(FIND("CFW110",B2440)+6))),
IF(ISNUMBER(FIND("D",B2440)),
VALUE(SUBSTITUTE(MID(B2440,FIND("D",B2440)+1,FIND("T",B2440,FIND("D",B2440))-(FIND("D",B2440)+1)),"P",",")),
IF(ISNUMBER(FIND("CFW5",B2440)),
VALUE(MID(B2440,
IF(ISNUMBER(FIND("F",B2440)),FIND("F",B2440)+1,FIND("G",B2440)+1),
FIND("T",B2440)-(IF(ISNUMBER(FIND("F",B2440)),FIND("F",B2440)+1,FIND("G",B2440)+1))
)),
VALUE(MID(B2440,FIND("E0",B2440)+2,FIND("T",B2440,FIND("E0",B2440))-(FIND("E0",B2440)+2)))
))),"")</f>
        <v>7</v>
      </c>
      <c r="G2440">
        <f>IFERROR(
IF(ISNUMBER(FIND("T2",B2440)),220,
IF(ISNUMBER(FIND("T4",B2440)),440,
IF(ISNUMBER(FIND("T5",B2440)),575,
IF(ISNUMBER(FIND("T6",B2440)),690,"")))),
"")</f>
        <v>440</v>
      </c>
    </row>
    <row r="2441" spans="1:7" x14ac:dyDescent="0.25">
      <c r="A2441">
        <v>15700841</v>
      </c>
      <c r="B2441" t="str">
        <f>VLOOKUP(A2441,Planilha2!B:C,2,0)</f>
        <v>INVERSOR BRCFW110005T4OTVZ</v>
      </c>
      <c r="C2441" t="s">
        <v>3169</v>
      </c>
      <c r="D2441" t="str">
        <f>VLOOKUP(A2441,Planilha2!B:H,7,0)</f>
        <v>LINHA P5</v>
      </c>
      <c r="E2441" s="5">
        <v>5250</v>
      </c>
      <c r="F2441">
        <f>IFERROR(
IF(ISNUMBER(FIND("CFW110",B2441)),
VALUE(MID(B2441,FIND("CFW110",B2441)+6,FIND("T",B2441,FIND("CFW110",B2441))-(FIND("CFW110",B2441)+6))),
IF(ISNUMBER(FIND("D",B2441)),
VALUE(SUBSTITUTE(MID(B2441,FIND("D",B2441)+1,FIND("T",B2441,FIND("D",B2441))-(FIND("D",B2441)+1)),"P",",")),
IF(ISNUMBER(FIND("CFW5",B2441)),
VALUE(MID(B2441,
IF(ISNUMBER(FIND("F",B2441)),FIND("F",B2441)+1,FIND("G",B2441)+1),
FIND("T",B2441)-(IF(ISNUMBER(FIND("F",B2441)),FIND("F",B2441)+1,FIND("G",B2441)+1))
)),
VALUE(MID(B2441,FIND("E0",B2441)+2,FIND("T",B2441,FIND("E0",B2441))-(FIND("E0",B2441)+2)))
))),"")</f>
        <v>5</v>
      </c>
      <c r="G2441">
        <f>IFERROR(
IF(ISNUMBER(FIND("T2",B2441)),220,
IF(ISNUMBER(FIND("T4",B2441)),440,
IF(ISNUMBER(FIND("T5",B2441)),575,
IF(ISNUMBER(FIND("T6",B2441)),690,"")))),
"")</f>
        <v>440</v>
      </c>
    </row>
    <row r="2442" spans="1:7" x14ac:dyDescent="0.25">
      <c r="A2442">
        <v>15700840</v>
      </c>
      <c r="B2442" t="str">
        <f>VLOOKUP(A2442,Planilha2!B:C,2,0)</f>
        <v>INVERSOR BRCFW110003T4OTVZ</v>
      </c>
      <c r="C2442" t="s">
        <v>3169</v>
      </c>
      <c r="D2442" t="str">
        <f>VLOOKUP(A2442,Planilha2!B:H,7,0)</f>
        <v>LINHA P5</v>
      </c>
      <c r="E2442" s="5">
        <v>5050</v>
      </c>
      <c r="F2442">
        <f>IFERROR(
IF(ISNUMBER(FIND("CFW110",B2442)),
VALUE(MID(B2442,FIND("CFW110",B2442)+6,FIND("T",B2442,FIND("CFW110",B2442))-(FIND("CFW110",B2442)+6))),
IF(ISNUMBER(FIND("D",B2442)),
VALUE(SUBSTITUTE(MID(B2442,FIND("D",B2442)+1,FIND("T",B2442,FIND("D",B2442))-(FIND("D",B2442)+1)),"P",",")),
IF(ISNUMBER(FIND("CFW5",B2442)),
VALUE(MID(B2442,
IF(ISNUMBER(FIND("F",B2442)),FIND("F",B2442)+1,FIND("G",B2442)+1),
FIND("T",B2442)-(IF(ISNUMBER(FIND("F",B2442)),FIND("F",B2442)+1,FIND("G",B2442)+1))
)),
VALUE(MID(B2442,FIND("E0",B2442)+2,FIND("T",B2442,FIND("E0",B2442))-(FIND("E0",B2442)+2)))
))),"")</f>
        <v>3</v>
      </c>
      <c r="G2442">
        <f>IFERROR(
IF(ISNUMBER(FIND("T2",B2442)),220,
IF(ISNUMBER(FIND("T4",B2442)),440,
IF(ISNUMBER(FIND("T5",B2442)),575,
IF(ISNUMBER(FIND("T6",B2442)),690,"")))),
"")</f>
        <v>440</v>
      </c>
    </row>
    <row r="2443" spans="1:7" x14ac:dyDescent="0.25">
      <c r="A2443">
        <v>15700693</v>
      </c>
      <c r="B2443" t="str">
        <f>VLOOKUP(A2443,Planilha2!B:C,2,0)</f>
        <v>INVERSOR BRCFW110033T2OTVZ</v>
      </c>
      <c r="C2443" t="s">
        <v>3169</v>
      </c>
      <c r="D2443" t="str">
        <f>VLOOKUP(A2443,Planilha2!B:H,7,0)</f>
        <v>LINHA P7</v>
      </c>
      <c r="E2443" s="5">
        <v>8800</v>
      </c>
      <c r="F2443">
        <f>IFERROR(
IF(ISNUMBER(FIND("CFW110",B2443)),
VALUE(MID(B2443,FIND("CFW110",B2443)+6,FIND("T",B2443,FIND("CFW110",B2443))-(FIND("CFW110",B2443)+6))),
IF(ISNUMBER(FIND("D",B2443)),
VALUE(SUBSTITUTE(MID(B2443,FIND("D",B2443)+1,FIND("T",B2443,FIND("D",B2443))-(FIND("D",B2443)+1)),"P",",")),
IF(ISNUMBER(FIND("CFW5",B2443)),
VALUE(MID(B2443,
IF(ISNUMBER(FIND("F",B2443)),FIND("F",B2443)+1,FIND("G",B2443)+1),
FIND("T",B2443)-(IF(ISNUMBER(FIND("F",B2443)),FIND("F",B2443)+1,FIND("G",B2443)+1))
)),
VALUE(MID(B2443,FIND("E0",B2443)+2,FIND("T",B2443,FIND("E0",B2443))-(FIND("E0",B2443)+2)))
))),"")</f>
        <v>33</v>
      </c>
      <c r="G2443">
        <f>IFERROR(
IF(ISNUMBER(FIND("T2",B2443)),220,
IF(ISNUMBER(FIND("T4",B2443)),440,
IF(ISNUMBER(FIND("T5",B2443)),575,
IF(ISNUMBER(FIND("T6",B2443)),690,"")))),
"")</f>
        <v>220</v>
      </c>
    </row>
    <row r="2444" spans="1:7" x14ac:dyDescent="0.25">
      <c r="A2444">
        <v>15700692</v>
      </c>
      <c r="B2444" t="str">
        <f>VLOOKUP(A2444,Planilha2!B:C,2,0)</f>
        <v>INVERSOR BRCFW110028T2OTVZ</v>
      </c>
      <c r="C2444" t="s">
        <v>3169</v>
      </c>
      <c r="D2444" t="str">
        <f>VLOOKUP(A2444,Planilha2!B:H,7,0)</f>
        <v>LINHA P7</v>
      </c>
      <c r="E2444" s="5">
        <v>8700</v>
      </c>
      <c r="F2444">
        <f>IFERROR(
IF(ISNUMBER(FIND("CFW110",B2444)),
VALUE(MID(B2444,FIND("CFW110",B2444)+6,FIND("T",B2444,FIND("CFW110",B2444))-(FIND("CFW110",B2444)+6))),
IF(ISNUMBER(FIND("D",B2444)),
VALUE(SUBSTITUTE(MID(B2444,FIND("D",B2444)+1,FIND("T",B2444,FIND("D",B2444))-(FIND("D",B2444)+1)),"P",",")),
IF(ISNUMBER(FIND("CFW5",B2444)),
VALUE(MID(B2444,
IF(ISNUMBER(FIND("F",B2444)),FIND("F",B2444)+1,FIND("G",B2444)+1),
FIND("T",B2444)-(IF(ISNUMBER(FIND("F",B2444)),FIND("F",B2444)+1,FIND("G",B2444)+1))
)),
VALUE(MID(B2444,FIND("E0",B2444)+2,FIND("T",B2444,FIND("E0",B2444))-(FIND("E0",B2444)+2)))
))),"")</f>
        <v>28</v>
      </c>
      <c r="G2444">
        <f>IFERROR(
IF(ISNUMBER(FIND("T2",B2444)),220,
IF(ISNUMBER(FIND("T4",B2444)),440,
IF(ISNUMBER(FIND("T5",B2444)),575,
IF(ISNUMBER(FIND("T6",B2444)),690,"")))),
"")</f>
        <v>220</v>
      </c>
    </row>
    <row r="2445" spans="1:7" x14ac:dyDescent="0.25">
      <c r="A2445">
        <v>15700690</v>
      </c>
      <c r="B2445" t="str">
        <f>VLOOKUP(A2445,Planilha2!B:C,2,0)</f>
        <v>INVERSOR BRCFW110024T2OTVZ</v>
      </c>
      <c r="C2445" t="s">
        <v>3169</v>
      </c>
      <c r="D2445" t="str">
        <f>VLOOKUP(A2445,Planilha2!B:H,7,0)</f>
        <v>LINHA P7</v>
      </c>
      <c r="E2445" s="5">
        <v>8700</v>
      </c>
      <c r="F2445">
        <f>IFERROR(
IF(ISNUMBER(FIND("CFW110",B2445)),
VALUE(MID(B2445,FIND("CFW110",B2445)+6,FIND("T",B2445,FIND("CFW110",B2445))-(FIND("CFW110",B2445)+6))),
IF(ISNUMBER(FIND("D",B2445)),
VALUE(SUBSTITUTE(MID(B2445,FIND("D",B2445)+1,FIND("T",B2445,FIND("D",B2445))-(FIND("D",B2445)+1)),"P",",")),
IF(ISNUMBER(FIND("CFW5",B2445)),
VALUE(MID(B2445,
IF(ISNUMBER(FIND("F",B2445)),FIND("F",B2445)+1,FIND("G",B2445)+1),
FIND("T",B2445)-(IF(ISNUMBER(FIND("F",B2445)),FIND("F",B2445)+1,FIND("G",B2445)+1))
)),
VALUE(MID(B2445,FIND("E0",B2445)+2,FIND("T",B2445,FIND("E0",B2445))-(FIND("E0",B2445)+2)))
))),"")</f>
        <v>24</v>
      </c>
      <c r="G2445">
        <f>IFERROR(
IF(ISNUMBER(FIND("T2",B2445)),220,
IF(ISNUMBER(FIND("T4",B2445)),440,
IF(ISNUMBER(FIND("T5",B2445)),575,
IF(ISNUMBER(FIND("T6",B2445)),690,"")))),
"")</f>
        <v>220</v>
      </c>
    </row>
    <row r="2446" spans="1:7" x14ac:dyDescent="0.25">
      <c r="A2446">
        <v>15700689</v>
      </c>
      <c r="B2446" t="str">
        <f>VLOOKUP(A2446,Planilha2!B:C,2,0)</f>
        <v>INVERSOR BRCFW110016T2OTVZ</v>
      </c>
      <c r="C2446" t="s">
        <v>3169</v>
      </c>
      <c r="D2446" t="str">
        <f>VLOOKUP(A2446,Planilha2!B:H,7,0)</f>
        <v>LINHA P5</v>
      </c>
      <c r="E2446" s="5">
        <v>5550</v>
      </c>
      <c r="F2446">
        <f>IFERROR(
IF(ISNUMBER(FIND("CFW110",B2446)),
VALUE(MID(B2446,FIND("CFW110",B2446)+6,FIND("T",B2446,FIND("CFW110",B2446))-(FIND("CFW110",B2446)+6))),
IF(ISNUMBER(FIND("D",B2446)),
VALUE(SUBSTITUTE(MID(B2446,FIND("D",B2446)+1,FIND("T",B2446,FIND("D",B2446))-(FIND("D",B2446)+1)),"P",",")),
IF(ISNUMBER(FIND("CFW5",B2446)),
VALUE(MID(B2446,
IF(ISNUMBER(FIND("F",B2446)),FIND("F",B2446)+1,FIND("G",B2446)+1),
FIND("T",B2446)-(IF(ISNUMBER(FIND("F",B2446)),FIND("F",B2446)+1,FIND("G",B2446)+1))
)),
VALUE(MID(B2446,FIND("E0",B2446)+2,FIND("T",B2446,FIND("E0",B2446))-(FIND("E0",B2446)+2)))
))),"")</f>
        <v>16</v>
      </c>
      <c r="G2446">
        <f>IFERROR(
IF(ISNUMBER(FIND("T2",B2446)),220,
IF(ISNUMBER(FIND("T4",B2446)),440,
IF(ISNUMBER(FIND("T5",B2446)),575,
IF(ISNUMBER(FIND("T6",B2446)),690,"")))),
"")</f>
        <v>220</v>
      </c>
    </row>
    <row r="2447" spans="1:7" x14ac:dyDescent="0.25">
      <c r="A2447">
        <v>15700688</v>
      </c>
      <c r="B2447" t="str">
        <f>VLOOKUP(A2447,Planilha2!B:C,2,0)</f>
        <v>INVERSOR BRCFW110013T2OTVZ</v>
      </c>
      <c r="C2447" t="s">
        <v>3169</v>
      </c>
      <c r="D2447" t="str">
        <f>VLOOKUP(A2447,Planilha2!B:H,7,0)</f>
        <v>LINHA P5</v>
      </c>
      <c r="E2447" s="5">
        <v>5350</v>
      </c>
      <c r="F2447">
        <f>IFERROR(
IF(ISNUMBER(FIND("CFW110",B2447)),
VALUE(MID(B2447,FIND("CFW110",B2447)+6,FIND("T",B2447,FIND("CFW110",B2447))-(FIND("CFW110",B2447)+6))),
IF(ISNUMBER(FIND("D",B2447)),
VALUE(SUBSTITUTE(MID(B2447,FIND("D",B2447)+1,FIND("T",B2447,FIND("D",B2447))-(FIND("D",B2447)+1)),"P",",")),
IF(ISNUMBER(FIND("CFW5",B2447)),
VALUE(MID(B2447,
IF(ISNUMBER(FIND("F",B2447)),FIND("F",B2447)+1,FIND("G",B2447)+1),
FIND("T",B2447)-(IF(ISNUMBER(FIND("F",B2447)),FIND("F",B2447)+1,FIND("G",B2447)+1))
)),
VALUE(MID(B2447,FIND("E0",B2447)+2,FIND("T",B2447,FIND("E0",B2447))-(FIND("E0",B2447)+2)))
))),"")</f>
        <v>13</v>
      </c>
      <c r="G2447">
        <f>IFERROR(
IF(ISNUMBER(FIND("T2",B2447)),220,
IF(ISNUMBER(FIND("T4",B2447)),440,
IF(ISNUMBER(FIND("T5",B2447)),575,
IF(ISNUMBER(FIND("T6",B2447)),690,"")))),
"")</f>
        <v>220</v>
      </c>
    </row>
    <row r="2448" spans="1:7" x14ac:dyDescent="0.25">
      <c r="A2448">
        <v>15700657</v>
      </c>
      <c r="B2448" t="str">
        <f>VLOOKUP(A2448,Planilha2!B:C,2,0)</f>
        <v>INVERSOR BRCFW110010T2OTVZ</v>
      </c>
      <c r="C2448" t="s">
        <v>3169</v>
      </c>
      <c r="D2448" t="str">
        <f>VLOOKUP(A2448,Planilha2!B:H,7,0)</f>
        <v>LINHA P5</v>
      </c>
      <c r="E2448" s="5">
        <v>6750</v>
      </c>
      <c r="F2448">
        <f>IFERROR(
IF(ISNUMBER(FIND("CFW110",B2448)),
VALUE(MID(B2448,FIND("CFW110",B2448)+6,FIND("T",B2448,FIND("CFW110",B2448))-(FIND("CFW110",B2448)+6))),
IF(ISNUMBER(FIND("D",B2448)),
VALUE(SUBSTITUTE(MID(B2448,FIND("D",B2448)+1,FIND("T",B2448,FIND("D",B2448))-(FIND("D",B2448)+1)),"P",",")),
IF(ISNUMBER(FIND("CFW5",B2448)),
VALUE(MID(B2448,
IF(ISNUMBER(FIND("F",B2448)),FIND("F",B2448)+1,FIND("G",B2448)+1),
FIND("T",B2448)-(IF(ISNUMBER(FIND("F",B2448)),FIND("F",B2448)+1,FIND("G",B2448)+1))
)),
VALUE(MID(B2448,FIND("E0",B2448)+2,FIND("T",B2448,FIND("E0",B2448))-(FIND("E0",B2448)+2)))
))),"")</f>
        <v>10</v>
      </c>
      <c r="G2448">
        <f>IFERROR(
IF(ISNUMBER(FIND("T2",B2448)),220,
IF(ISNUMBER(FIND("T4",B2448)),440,
IF(ISNUMBER(FIND("T5",B2448)),575,
IF(ISNUMBER(FIND("T6",B2448)),690,"")))),
"")</f>
        <v>220</v>
      </c>
    </row>
    <row r="2449" spans="1:7" x14ac:dyDescent="0.25">
      <c r="A2449">
        <v>15700654</v>
      </c>
      <c r="B2449" t="str">
        <f>VLOOKUP(A2449,Planilha2!B:C,2,0)</f>
        <v>INVERSOR BRCFW110007T2OTVZ</v>
      </c>
      <c r="C2449" t="s">
        <v>3169</v>
      </c>
      <c r="D2449" t="str">
        <f>VLOOKUP(A2449,Planilha2!B:H,7,0)</f>
        <v>LINHA P5</v>
      </c>
      <c r="E2449" s="5">
        <v>5050</v>
      </c>
      <c r="F2449">
        <f>IFERROR(
IF(ISNUMBER(FIND("CFW110",B2449)),
VALUE(MID(B2449,FIND("CFW110",B2449)+6,FIND("T",B2449,FIND("CFW110",B2449))-(FIND("CFW110",B2449)+6))),
IF(ISNUMBER(FIND("D",B2449)),
VALUE(SUBSTITUTE(MID(B2449,FIND("D",B2449)+1,FIND("T",B2449,FIND("D",B2449))-(FIND("D",B2449)+1)),"P",",")),
IF(ISNUMBER(FIND("CFW5",B2449)),
VALUE(MID(B2449,
IF(ISNUMBER(FIND("F",B2449)),FIND("F",B2449)+1,FIND("G",B2449)+1),
FIND("T",B2449)-(IF(ISNUMBER(FIND("F",B2449)),FIND("F",B2449)+1,FIND("G",B2449)+1))
)),
VALUE(MID(B2449,FIND("E0",B2449)+2,FIND("T",B2449,FIND("E0",B2449))-(FIND("E0",B2449)+2)))
))),"")</f>
        <v>7</v>
      </c>
      <c r="G2449">
        <f>IFERROR(
IF(ISNUMBER(FIND("T2",B2449)),220,
IF(ISNUMBER(FIND("T4",B2449)),440,
IF(ISNUMBER(FIND("T5",B2449)),575,
IF(ISNUMBER(FIND("T6",B2449)),690,"")))),
"")</f>
        <v>220</v>
      </c>
    </row>
    <row r="2450" spans="1:7" x14ac:dyDescent="0.25">
      <c r="A2450">
        <v>15645768</v>
      </c>
      <c r="B2450" t="str">
        <f>VLOOKUP(A2450,Planilha2!B:C,2,0)</f>
        <v>INVERSOR BRCFW110010T2OYZ</v>
      </c>
      <c r="C2450" t="s">
        <v>3169</v>
      </c>
      <c r="D2450" t="str">
        <f>VLOOKUP(A2450,Planilha2!B:H,7,0)</f>
        <v>LINHA P5</v>
      </c>
      <c r="E2450" s="5">
        <v>4500</v>
      </c>
      <c r="F2450">
        <f>IFERROR(
IF(ISNUMBER(FIND("CFW110",B2450)),
VALUE(MID(B2450,FIND("CFW110",B2450)+6,FIND("T",B2450,FIND("CFW110",B2450))-(FIND("CFW110",B2450)+6))),
IF(ISNUMBER(FIND("D",B2450)),
VALUE(SUBSTITUTE(MID(B2450,FIND("D",B2450)+1,FIND("T",B2450,FIND("D",B2450))-(FIND("D",B2450)+1)),"P",",")),
IF(ISNUMBER(FIND("CFW5",B2450)),
VALUE(MID(B2450,
IF(ISNUMBER(FIND("F",B2450)),FIND("F",B2450)+1,FIND("G",B2450)+1),
FIND("T",B2450)-(IF(ISNUMBER(FIND("F",B2450)),FIND("F",B2450)+1,FIND("G",B2450)+1))
)),
VALUE(MID(B2450,FIND("E0",B2450)+2,FIND("T",B2450,FIND("E0",B2450))-(FIND("E0",B2450)+2)))
))),"")</f>
        <v>10</v>
      </c>
      <c r="G2450">
        <f>IFERROR(
IF(ISNUMBER(FIND("T2",B2450)),220,
IF(ISNUMBER(FIND("T4",B2450)),440,
IF(ISNUMBER(FIND("T5",B2450)),575,
IF(ISNUMBER(FIND("T6",B2450)),690,"")))),
"")</f>
        <v>220</v>
      </c>
    </row>
    <row r="2451" spans="1:7" x14ac:dyDescent="0.25">
      <c r="A2451">
        <v>15728097</v>
      </c>
      <c r="B2451" t="str">
        <f>VLOOKUP(A2451,Planilha2!B:C,2,0)</f>
        <v>INVERSOR EUCFW110013T4OWZ</v>
      </c>
      <c r="C2451" t="s">
        <v>3169</v>
      </c>
      <c r="D2451" t="str">
        <f>VLOOKUP(A2451,Planilha2!B:H,7,0)</f>
        <v>LINHA P5</v>
      </c>
      <c r="E2451" s="5">
        <v>4500</v>
      </c>
      <c r="F2451">
        <f>IFERROR(
IF(ISNUMBER(FIND("CFW110",B2451)),
VALUE(MID(B2451,FIND("CFW110",B2451)+6,FIND("T",B2451,FIND("CFW110",B2451))-(FIND("CFW110",B2451)+6))),
IF(ISNUMBER(FIND("D",B2451)),
VALUE(SUBSTITUTE(MID(B2451,FIND("D",B2451)+1,FIND("T",B2451,FIND("D",B2451))-(FIND("D",B2451)+1)),"P",",")),
IF(ISNUMBER(FIND("CFW5",B2451)),
VALUE(MID(B2451,
IF(ISNUMBER(FIND("F",B2451)),FIND("F",B2451)+1,FIND("G",B2451)+1),
FIND("T",B2451)-(IF(ISNUMBER(FIND("F",B2451)),FIND("F",B2451)+1,FIND("G",B2451)+1))
)),
VALUE(MID(B2451,FIND("E0",B2451)+2,FIND("T",B2451,FIND("E0",B2451))-(FIND("E0",B2451)+2)))
))),"")</f>
        <v>13</v>
      </c>
      <c r="G2451">
        <f>IFERROR(
IF(ISNUMBER(FIND("T2",B2451)),220,
IF(ISNUMBER(FIND("T4",B2451)),440,
IF(ISNUMBER(FIND("T5",B2451)),575,
IF(ISNUMBER(FIND("T6",B2451)),690,"")))),
"")</f>
        <v>440</v>
      </c>
    </row>
    <row r="2452" spans="1:7" x14ac:dyDescent="0.25">
      <c r="A2452">
        <v>15728096</v>
      </c>
      <c r="B2452" t="str">
        <f>VLOOKUP(A2452,Planilha2!B:C,2,0)</f>
        <v>INVERSOR EUCFW110005T4OWZ</v>
      </c>
      <c r="C2452" t="s">
        <v>3169</v>
      </c>
      <c r="D2452" t="str">
        <f>VLOOKUP(A2452,Planilha2!B:H,7,0)</f>
        <v>LINHA P5</v>
      </c>
      <c r="E2452" s="5">
        <v>6250</v>
      </c>
      <c r="F2452">
        <f>IFERROR(
IF(ISNUMBER(FIND("CFW110",B2452)),
VALUE(MID(B2452,FIND("CFW110",B2452)+6,FIND("T",B2452,FIND("CFW110",B2452))-(FIND("CFW110",B2452)+6))),
IF(ISNUMBER(FIND("D",B2452)),
VALUE(SUBSTITUTE(MID(B2452,FIND("D",B2452)+1,FIND("T",B2452,FIND("D",B2452))-(FIND("D",B2452)+1)),"P",",")),
IF(ISNUMBER(FIND("CFW5",B2452)),
VALUE(MID(B2452,
IF(ISNUMBER(FIND("F",B2452)),FIND("F",B2452)+1,FIND("G",B2452)+1),
FIND("T",B2452)-(IF(ISNUMBER(FIND("F",B2452)),FIND("F",B2452)+1,FIND("G",B2452)+1))
)),
VALUE(MID(B2452,FIND("E0",B2452)+2,FIND("T",B2452,FIND("E0",B2452))-(FIND("E0",B2452)+2)))
))),"")</f>
        <v>5</v>
      </c>
      <c r="G2452">
        <f>IFERROR(
IF(ISNUMBER(FIND("T2",B2452)),220,
IF(ISNUMBER(FIND("T4",B2452)),440,
IF(ISNUMBER(FIND("T5",B2452)),575,
IF(ISNUMBER(FIND("T6",B2452)),690,"")))),
"")</f>
        <v>440</v>
      </c>
    </row>
    <row r="2453" spans="1:7" x14ac:dyDescent="0.25">
      <c r="A2453">
        <v>15785009</v>
      </c>
      <c r="B2453" t="str">
        <f>VLOOKUP(A2453,Planilha2!B:C,2,0)</f>
        <v>INVERSOR BRCFW110013T4OWHMSJZ</v>
      </c>
      <c r="C2453" t="s">
        <v>3169</v>
      </c>
      <c r="D2453" t="str">
        <f>VLOOKUP(A2453,Planilha2!B:H,7,0)</f>
        <v>LINHA P5</v>
      </c>
      <c r="E2453" s="5">
        <v>2520</v>
      </c>
      <c r="F2453">
        <f>IFERROR(
IF(ISNUMBER(FIND("CFW110",B2453)),
VALUE(MID(B2453,FIND("CFW110",B2453)+6,FIND("T",B2453,FIND("CFW110",B2453))-(FIND("CFW110",B2453)+6))),
IF(ISNUMBER(FIND("D",B2453)),
VALUE(SUBSTITUTE(MID(B2453,FIND("D",B2453)+1,FIND("T",B2453,FIND("D",B2453))-(FIND("D",B2453)+1)),"P",",")),
IF(ISNUMBER(FIND("CFW5",B2453)),
VALUE(MID(B2453,
IF(ISNUMBER(FIND("F",B2453)),FIND("F",B2453)+1,FIND("G",B2453)+1),
FIND("T",B2453)-(IF(ISNUMBER(FIND("F",B2453)),FIND("F",B2453)+1,FIND("G",B2453)+1))
)),
VALUE(MID(B2453,FIND("E0",B2453)+2,FIND("T",B2453,FIND("E0",B2453))-(FIND("E0",B2453)+2)))
))),"")</f>
        <v>13</v>
      </c>
      <c r="G2453">
        <f>IFERROR(
IF(ISNUMBER(FIND("T2",B2453)),220,
IF(ISNUMBER(FIND("T4",B2453)),440,
IF(ISNUMBER(FIND("T5",B2453)),575,
IF(ISNUMBER(FIND("T6",B2453)),690,"")))),
"")</f>
        <v>440</v>
      </c>
    </row>
    <row r="2454" spans="1:7" x14ac:dyDescent="0.25">
      <c r="A2454">
        <v>15779843</v>
      </c>
      <c r="B2454" t="str">
        <f>VLOOKUP(A2454,Planilha2!B:C,2,0)</f>
        <v>INVERSOR MSCFW110024T4O55YZ</v>
      </c>
      <c r="C2454" t="s">
        <v>3169</v>
      </c>
      <c r="D2454" t="str">
        <f>VLOOKUP(A2454,Planilha2!B:H,7,0)</f>
        <v>LINHA M3</v>
      </c>
      <c r="E2454" s="5">
        <v>4500</v>
      </c>
      <c r="F2454">
        <f>IFERROR(
IF(ISNUMBER(FIND("CFW110",B2454)),
VALUE(MID(B2454,FIND("CFW110",B2454)+6,FIND("T",B2454,FIND("CFW110",B2454))-(FIND("CFW110",B2454)+6))),
IF(ISNUMBER(FIND("D",B2454)),
VALUE(SUBSTITUTE(MID(B2454,FIND("D",B2454)+1,FIND("T",B2454,FIND("D",B2454))-(FIND("D",B2454)+1)),"P",",")),
IF(ISNUMBER(FIND("CFW5",B2454)),
VALUE(MID(B2454,
IF(ISNUMBER(FIND("F",B2454)),FIND("F",B2454)+1,FIND("G",B2454)+1),
FIND("T",B2454)-(IF(ISNUMBER(FIND("F",B2454)),FIND("F",B2454)+1,FIND("G",B2454)+1))
)),
VALUE(MID(B2454,FIND("E0",B2454)+2,FIND("T",B2454,FIND("E0",B2454))-(FIND("E0",B2454)+2)))
))),"")</f>
        <v>24</v>
      </c>
      <c r="G2454">
        <f>IFERROR(
IF(ISNUMBER(FIND("T2",B2454)),220,
IF(ISNUMBER(FIND("T4",B2454)),440,
IF(ISNUMBER(FIND("T5",B2454)),575,
IF(ISNUMBER(FIND("T6",B2454)),690,"")))),
"")</f>
        <v>440</v>
      </c>
    </row>
    <row r="2455" spans="1:7" x14ac:dyDescent="0.25">
      <c r="A2455">
        <v>15779842</v>
      </c>
      <c r="B2455" t="str">
        <f>VLOOKUP(A2455,Planilha2!B:C,2,0)</f>
        <v>INVERSOR MSCFW110017T4O55YZ</v>
      </c>
      <c r="C2455" t="s">
        <v>3169</v>
      </c>
      <c r="D2455" t="str">
        <f>VLOOKUP(A2455,Planilha2!B:H,7,0)</f>
        <v>LINHA M3</v>
      </c>
      <c r="E2455" s="5">
        <v>14000</v>
      </c>
      <c r="F2455">
        <f>IFERROR(
IF(ISNUMBER(FIND("CFW110",B2455)),
VALUE(MID(B2455,FIND("CFW110",B2455)+6,FIND("T",B2455,FIND("CFW110",B2455))-(FIND("CFW110",B2455)+6))),
IF(ISNUMBER(FIND("D",B2455)),
VALUE(SUBSTITUTE(MID(B2455,FIND("D",B2455)+1,FIND("T",B2455,FIND("D",B2455))-(FIND("D",B2455)+1)),"P",",")),
IF(ISNUMBER(FIND("CFW5",B2455)),
VALUE(MID(B2455,
IF(ISNUMBER(FIND("F",B2455)),FIND("F",B2455)+1,FIND("G",B2455)+1),
FIND("T",B2455)-(IF(ISNUMBER(FIND("F",B2455)),FIND("F",B2455)+1,FIND("G",B2455)+1))
)),
VALUE(MID(B2455,FIND("E0",B2455)+2,FIND("T",B2455,FIND("E0",B2455))-(FIND("E0",B2455)+2)))
))),"")</f>
        <v>17</v>
      </c>
      <c r="G2455">
        <f>IFERROR(
IF(ISNUMBER(FIND("T2",B2455)),220,
IF(ISNUMBER(FIND("T4",B2455)),440,
IF(ISNUMBER(FIND("T5",B2455)),575,
IF(ISNUMBER(FIND("T6",B2455)),690,"")))),
"")</f>
        <v>440</v>
      </c>
    </row>
    <row r="2456" spans="1:7" x14ac:dyDescent="0.25">
      <c r="A2456">
        <v>15779841</v>
      </c>
      <c r="B2456" t="str">
        <f>VLOOKUP(A2456,Planilha2!B:C,2,0)</f>
        <v>INVERSOR MSCFW110007T4O55YZ</v>
      </c>
      <c r="C2456" t="s">
        <v>3169</v>
      </c>
      <c r="D2456" t="str">
        <f>VLOOKUP(A2456,Planilha2!B:H,7,0)</f>
        <v>LINHA M3</v>
      </c>
      <c r="E2456" s="5">
        <v>4500</v>
      </c>
      <c r="F2456">
        <f>IFERROR(
IF(ISNUMBER(FIND("CFW110",B2456)),
VALUE(MID(B2456,FIND("CFW110",B2456)+6,FIND("T",B2456,FIND("CFW110",B2456))-(FIND("CFW110",B2456)+6))),
IF(ISNUMBER(FIND("D",B2456)),
VALUE(SUBSTITUTE(MID(B2456,FIND("D",B2456)+1,FIND("T",B2456,FIND("D",B2456))-(FIND("D",B2456)+1)),"P",",")),
IF(ISNUMBER(FIND("CFW5",B2456)),
VALUE(MID(B2456,
IF(ISNUMBER(FIND("F",B2456)),FIND("F",B2456)+1,FIND("G",B2456)+1),
FIND("T",B2456)-(IF(ISNUMBER(FIND("F",B2456)),FIND("F",B2456)+1,FIND("G",B2456)+1))
)),
VALUE(MID(B2456,FIND("E0",B2456)+2,FIND("T",B2456,FIND("E0",B2456))-(FIND("E0",B2456)+2)))
))),"")</f>
        <v>7</v>
      </c>
      <c r="G2456">
        <f>IFERROR(
IF(ISNUMBER(FIND("T2",B2456)),220,
IF(ISNUMBER(FIND("T4",B2456)),440,
IF(ISNUMBER(FIND("T5",B2456)),575,
IF(ISNUMBER(FIND("T6",B2456)),690,"")))),
"")</f>
        <v>440</v>
      </c>
    </row>
    <row r="2457" spans="1:7" x14ac:dyDescent="0.25">
      <c r="A2457">
        <v>15779807</v>
      </c>
      <c r="B2457" t="str">
        <f>VLOOKUP(A2457,Planilha2!B:C,2,0)</f>
        <v>INVERSOR MSCFW110005T4O55YZ</v>
      </c>
      <c r="C2457" t="s">
        <v>3169</v>
      </c>
      <c r="D2457" t="str">
        <f>VLOOKUP(A2457,Planilha2!B:H,7,0)</f>
        <v>LINHA M3</v>
      </c>
      <c r="E2457" s="5">
        <v>4500</v>
      </c>
      <c r="F2457">
        <f>IFERROR(
IF(ISNUMBER(FIND("CFW110",B2457)),
VALUE(MID(B2457,FIND("CFW110",B2457)+6,FIND("T",B2457,FIND("CFW110",B2457))-(FIND("CFW110",B2457)+6))),
IF(ISNUMBER(FIND("D",B2457)),
VALUE(SUBSTITUTE(MID(B2457,FIND("D",B2457)+1,FIND("T",B2457,FIND("D",B2457))-(FIND("D",B2457)+1)),"P",",")),
IF(ISNUMBER(FIND("CFW5",B2457)),
VALUE(MID(B2457,
IF(ISNUMBER(FIND("F",B2457)),FIND("F",B2457)+1,FIND("G",B2457)+1),
FIND("T",B2457)-(IF(ISNUMBER(FIND("F",B2457)),FIND("F",B2457)+1,FIND("G",B2457)+1))
)),
VALUE(MID(B2457,FIND("E0",B2457)+2,FIND("T",B2457,FIND("E0",B2457))-(FIND("E0",B2457)+2)))
))),"")</f>
        <v>5</v>
      </c>
      <c r="G2457">
        <f>IFERROR(
IF(ISNUMBER(FIND("T2",B2457)),220,
IF(ISNUMBER(FIND("T4",B2457)),440,
IF(ISNUMBER(FIND("T5",B2457)),575,
IF(ISNUMBER(FIND("T6",B2457)),690,"")))),
"")</f>
        <v>440</v>
      </c>
    </row>
    <row r="2458" spans="1:7" x14ac:dyDescent="0.25">
      <c r="A2458">
        <v>15883455</v>
      </c>
      <c r="B2458" t="str">
        <f>VLOOKUP(A2458,Planilha2!B:C,2,0)</f>
        <v>INVERSOR EUCFW110024T4OFAYSUZ</v>
      </c>
      <c r="C2458" t="s">
        <v>3169</v>
      </c>
      <c r="D2458" t="str">
        <f>VLOOKUP(A2458,Planilha2!B:H,7,0)</f>
        <v>LINHA P7</v>
      </c>
      <c r="E2458" s="5">
        <v>9700</v>
      </c>
      <c r="F2458">
        <f>IFERROR(
IF(ISNUMBER(FIND("CFW110",B2458)),
VALUE(MID(B2458,FIND("CFW110",B2458)+6,FIND("T",B2458,FIND("CFW110",B2458))-(FIND("CFW110",B2458)+6))),
IF(ISNUMBER(FIND("D",B2458)),
VALUE(SUBSTITUTE(MID(B2458,FIND("D",B2458)+1,FIND("T",B2458,FIND("D",B2458))-(FIND("D",B2458)+1)),"P",",")),
IF(ISNUMBER(FIND("CFW5",B2458)),
VALUE(MID(B2458,
IF(ISNUMBER(FIND("F",B2458)),FIND("F",B2458)+1,FIND("G",B2458)+1),
FIND("T",B2458)-(IF(ISNUMBER(FIND("F",B2458)),FIND("F",B2458)+1,FIND("G",B2458)+1))
)),
VALUE(MID(B2458,FIND("E0",B2458)+2,FIND("T",B2458,FIND("E0",B2458))-(FIND("E0",B2458)+2)))
))),"")</f>
        <v>24</v>
      </c>
      <c r="G2458">
        <f>IFERROR(
IF(ISNUMBER(FIND("T2",B2458)),220,
IF(ISNUMBER(FIND("T4",B2458)),440,
IF(ISNUMBER(FIND("T5",B2458)),575,
IF(ISNUMBER(FIND("T6",B2458)),690,"")))),
"")</f>
        <v>440</v>
      </c>
    </row>
    <row r="2459" spans="1:7" x14ac:dyDescent="0.25">
      <c r="A2459">
        <v>15753222</v>
      </c>
      <c r="B2459" t="str">
        <f>VLOOKUP(A2459,Planilha2!B:C,2,0)</f>
        <v>INVERSOR BRCFW110010T4ON1Z</v>
      </c>
      <c r="C2459" t="s">
        <v>3169</v>
      </c>
      <c r="D2459" t="str">
        <f>VLOOKUP(A2459,Planilha2!B:H,7,0)</f>
        <v>LINHA P5</v>
      </c>
      <c r="E2459" s="5">
        <v>5450</v>
      </c>
      <c r="F2459">
        <f>IFERROR(
IF(ISNUMBER(FIND("CFW110",B2459)),
VALUE(MID(B2459,FIND("CFW110",B2459)+6,FIND("T",B2459,FIND("CFW110",B2459))-(FIND("CFW110",B2459)+6))),
IF(ISNUMBER(FIND("D",B2459)),
VALUE(SUBSTITUTE(MID(B2459,FIND("D",B2459)+1,FIND("T",B2459,FIND("D",B2459))-(FIND("D",B2459)+1)),"P",",")),
IF(ISNUMBER(FIND("CFW5",B2459)),
VALUE(MID(B2459,
IF(ISNUMBER(FIND("F",B2459)),FIND("F",B2459)+1,FIND("G",B2459)+1),
FIND("T",B2459)-(IF(ISNUMBER(FIND("F",B2459)),FIND("F",B2459)+1,FIND("G",B2459)+1))
)),
VALUE(MID(B2459,FIND("E0",B2459)+2,FIND("T",B2459,FIND("E0",B2459))-(FIND("E0",B2459)+2)))
))),"")</f>
        <v>10</v>
      </c>
      <c r="G2459">
        <f>IFERROR(
IF(ISNUMBER(FIND("T2",B2459)),220,
IF(ISNUMBER(FIND("T4",B2459)),440,
IF(ISNUMBER(FIND("T5",B2459)),575,
IF(ISNUMBER(FIND("T6",B2459)),690,"")))),
"")</f>
        <v>440</v>
      </c>
    </row>
    <row r="2460" spans="1:7" x14ac:dyDescent="0.25">
      <c r="A2460">
        <v>15950583</v>
      </c>
      <c r="B2460" t="str">
        <f>VLOOKUP(A2460,Planilha2!B:C,2,0)</f>
        <v>INVERSOR CFW700B24P0T2DB20C3Y1W1</v>
      </c>
      <c r="C2460" t="s">
        <v>3169</v>
      </c>
      <c r="D2460" t="str">
        <f>VLOOKUP(A2460,Planilha2!B:H,7,0)</f>
        <v>OBSOLETOS DRIVES</v>
      </c>
      <c r="E2460" s="5">
        <v>4880</v>
      </c>
      <c r="F2460" t="str">
        <f>IFERROR(
IF(ISNUMBER(FIND("CFW110",B2460)),
VALUE(MID(B2460,FIND("CFW110",B2460)+6,FIND("T",B2460,FIND("CFW110",B2460))-(FIND("CFW110",B2460)+6))),
IF(ISNUMBER(FIND("D",B2460)),
VALUE(SUBSTITUTE(MID(B2460,FIND("D",B2460)+1,FIND("T",B2460,FIND("D",B2460))-(FIND("D",B2460)+1)),"P",",")),
IF(ISNUMBER(FIND("CFW5",B2460)),
VALUE(MID(B2460,
IF(ISNUMBER(FIND("F",B2460)),FIND("F",B2460)+1,FIND("G",B2460)+1),
FIND("T",B2460)-(IF(ISNUMBER(FIND("F",B2460)),FIND("F",B2460)+1,FIND("G",B2460)+1))
)),
VALUE(MID(B2460,FIND("E0",B2460)+2,FIND("T",B2460,FIND("E0",B2460))-(FIND("E0",B2460)+2)))
))),"")</f>
        <v/>
      </c>
      <c r="G2460">
        <f>IFERROR(
IF(ISNUMBER(FIND("T2",B2460)),220,
IF(ISNUMBER(FIND("T4",B2460)),440,
IF(ISNUMBER(FIND("T5",B2460)),575,
IF(ISNUMBER(FIND("T6",B2460)),690,"")))),
"")</f>
        <v>220</v>
      </c>
    </row>
    <row r="2461" spans="1:7" x14ac:dyDescent="0.25">
      <c r="A2461">
        <v>16024204</v>
      </c>
      <c r="B2461" t="str">
        <f>VLOOKUP(A2461,Planilha2!B:C,2,0)</f>
        <v>INVERSOR MPW090016T3848G2H4Z</v>
      </c>
      <c r="C2461" t="s">
        <v>3169</v>
      </c>
      <c r="D2461" t="str">
        <f>VLOOKUP(A2461,Planilha2!B:H,7,0)</f>
        <v>LINHA P4</v>
      </c>
      <c r="E2461" s="5">
        <v>6408</v>
      </c>
      <c r="F2461" t="str">
        <f>IFERROR(
IF(ISNUMBER(FIND("CFW110",B2461)),
VALUE(MID(B2461,FIND("CFW110",B2461)+6,FIND("T",B2461,FIND("CFW110",B2461))-(FIND("CFW110",B2461)+6))),
IF(ISNUMBER(FIND("D",B2461)),
VALUE(SUBSTITUTE(MID(B2461,FIND("D",B2461)+1,FIND("T",B2461,FIND("D",B2461))-(FIND("D",B2461)+1)),"P",",")),
IF(ISNUMBER(FIND("CFW5",B2461)),
VALUE(MID(B2461,
IF(ISNUMBER(FIND("F",B2461)),FIND("F",B2461)+1,FIND("G",B2461)+1),
FIND("T",B2461)-(IF(ISNUMBER(FIND("F",B2461)),FIND("F",B2461)+1,FIND("G",B2461)+1))
)),
VALUE(MID(B2461,FIND("E0",B2461)+2,FIND("T",B2461,FIND("E0",B2461))-(FIND("E0",B2461)+2)))
))),"")</f>
        <v/>
      </c>
      <c r="G2461" t="str">
        <f>IFERROR(
IF(ISNUMBER(FIND("T2",B2461)),220,
IF(ISNUMBER(FIND("T4",B2461)),440,
IF(ISNUMBER(FIND("T5",B2461)),575,
IF(ISNUMBER(FIND("T6",B2461)),690,"")))),
"")</f>
        <v/>
      </c>
    </row>
    <row r="2462" spans="1:7" x14ac:dyDescent="0.25">
      <c r="A2462">
        <v>16038904</v>
      </c>
      <c r="B2462" t="str">
        <f>VLOOKUP(A2462,Planilha2!B:C,2,0)</f>
        <v>INVERSOR BRCFW110024T4OFAYWTVZ</v>
      </c>
      <c r="C2462" t="s">
        <v>3169</v>
      </c>
      <c r="D2462" t="str">
        <f>VLOOKUP(A2462,Planilha2!B:H,7,0)</f>
        <v>LINHA P7</v>
      </c>
      <c r="E2462" t="s">
        <v>3172</v>
      </c>
      <c r="F2462">
        <f>IFERROR(
IF(ISNUMBER(FIND("CFW110",B2462)),
VALUE(MID(B2462,FIND("CFW110",B2462)+6,FIND("T",B2462,FIND("CFW110",B2462))-(FIND("CFW110",B2462)+6))),
IF(ISNUMBER(FIND("D",B2462)),
VALUE(SUBSTITUTE(MID(B2462,FIND("D",B2462)+1,FIND("T",B2462,FIND("D",B2462))-(FIND("D",B2462)+1)),"P",",")),
IF(ISNUMBER(FIND("CFW5",B2462)),
VALUE(MID(B2462,
IF(ISNUMBER(FIND("F",B2462)),FIND("F",B2462)+1,FIND("G",B2462)+1),
FIND("T",B2462)-(IF(ISNUMBER(FIND("F",B2462)),FIND("F",B2462)+1,FIND("G",B2462)+1))
)),
VALUE(MID(B2462,FIND("E0",B2462)+2,FIND("T",B2462,FIND("E0",B2462))-(FIND("E0",B2462)+2)))
))),"")</f>
        <v>24</v>
      </c>
      <c r="G2462">
        <f>IFERROR(
IF(ISNUMBER(FIND("T2",B2462)),220,
IF(ISNUMBER(FIND("T4",B2462)),440,
IF(ISNUMBER(FIND("T5",B2462)),575,
IF(ISNUMBER(FIND("T6",B2462)),690,"")))),
"")</f>
        <v>440</v>
      </c>
    </row>
    <row r="2463" spans="1:7" x14ac:dyDescent="0.25">
      <c r="A2463">
        <v>15759304</v>
      </c>
      <c r="B2463" t="str">
        <f>VLOOKUP(A2463,Planilha2!B:C,2,0)</f>
        <v>INVERSOR EUCFW110003T4OFATVZ</v>
      </c>
      <c r="C2463" t="s">
        <v>3169</v>
      </c>
      <c r="D2463" t="str">
        <f>VLOOKUP(A2463,Planilha2!B:H,7,0)</f>
        <v>LINHA P5</v>
      </c>
      <c r="E2463" s="5">
        <v>5150</v>
      </c>
      <c r="F2463">
        <f>IFERROR(
IF(ISNUMBER(FIND("CFW110",B2463)),
VALUE(MID(B2463,FIND("CFW110",B2463)+6,FIND("T",B2463,FIND("CFW110",B2463))-(FIND("CFW110",B2463)+6))),
IF(ISNUMBER(FIND("D",B2463)),
VALUE(SUBSTITUTE(MID(B2463,FIND("D",B2463)+1,FIND("T",B2463,FIND("D",B2463))-(FIND("D",B2463)+1)),"P",",")),
IF(ISNUMBER(FIND("CFW5",B2463)),
VALUE(MID(B2463,
IF(ISNUMBER(FIND("F",B2463)),FIND("F",B2463)+1,FIND("G",B2463)+1),
FIND("T",B2463)-(IF(ISNUMBER(FIND("F",B2463)),FIND("F",B2463)+1,FIND("G",B2463)+1))
)),
VALUE(MID(B2463,FIND("E0",B2463)+2,FIND("T",B2463,FIND("E0",B2463))-(FIND("E0",B2463)+2)))
))),"")</f>
        <v>3</v>
      </c>
      <c r="G2463">
        <f>IFERROR(
IF(ISNUMBER(FIND("T2",B2463)),220,
IF(ISNUMBER(FIND("T4",B2463)),440,
IF(ISNUMBER(FIND("T5",B2463)),575,
IF(ISNUMBER(FIND("T6",B2463)),690,"")))),
"")</f>
        <v>440</v>
      </c>
    </row>
    <row r="2464" spans="1:7" x14ac:dyDescent="0.25">
      <c r="A2464">
        <v>15759498</v>
      </c>
      <c r="B2464" t="str">
        <f>VLOOKUP(A2464,Planilha2!B:C,2,0)</f>
        <v>INVERSOR EUCFW110007T4OFATVZ</v>
      </c>
      <c r="C2464" t="s">
        <v>3169</v>
      </c>
      <c r="D2464" t="str">
        <f>VLOOKUP(A2464,Planilha2!B:H,7,0)</f>
        <v>LINHA P5</v>
      </c>
      <c r="E2464" s="5">
        <v>5350</v>
      </c>
      <c r="F2464">
        <f>IFERROR(
IF(ISNUMBER(FIND("CFW110",B2464)),
VALUE(MID(B2464,FIND("CFW110",B2464)+6,FIND("T",B2464,FIND("CFW110",B2464))-(FIND("CFW110",B2464)+6))),
IF(ISNUMBER(FIND("D",B2464)),
VALUE(SUBSTITUTE(MID(B2464,FIND("D",B2464)+1,FIND("T",B2464,FIND("D",B2464))-(FIND("D",B2464)+1)),"P",",")),
IF(ISNUMBER(FIND("CFW5",B2464)),
VALUE(MID(B2464,
IF(ISNUMBER(FIND("F",B2464)),FIND("F",B2464)+1,FIND("G",B2464)+1),
FIND("T",B2464)-(IF(ISNUMBER(FIND("F",B2464)),FIND("F",B2464)+1,FIND("G",B2464)+1))
)),
VALUE(MID(B2464,FIND("E0",B2464)+2,FIND("T",B2464,FIND("E0",B2464))-(FIND("E0",B2464)+2)))
))),"")</f>
        <v>7</v>
      </c>
      <c r="G2464">
        <f>IFERROR(
IF(ISNUMBER(FIND("T2",B2464)),220,
IF(ISNUMBER(FIND("T4",B2464)),440,
IF(ISNUMBER(FIND("T5",B2464)),575,
IF(ISNUMBER(FIND("T6",B2464)),690,"")))),
"")</f>
        <v>440</v>
      </c>
    </row>
    <row r="2465" spans="1:7" x14ac:dyDescent="0.25">
      <c r="A2465">
        <v>16001176</v>
      </c>
      <c r="B2465" t="str">
        <f>VLOOKUP(A2465,Planilha2!B:C,2,0)</f>
        <v>INVERSOR NACFW110007T2OTVZ</v>
      </c>
      <c r="C2465" t="s">
        <v>3169</v>
      </c>
      <c r="D2465" t="str">
        <f>VLOOKUP(A2465,Planilha2!B:H,7,0)</f>
        <v>LINHA P5</v>
      </c>
      <c r="E2465" s="5">
        <v>5050</v>
      </c>
      <c r="F2465">
        <f>IFERROR(
IF(ISNUMBER(FIND("CFW110",B2465)),
VALUE(MID(B2465,FIND("CFW110",B2465)+6,FIND("T",B2465,FIND("CFW110",B2465))-(FIND("CFW110",B2465)+6))),
IF(ISNUMBER(FIND("D",B2465)),
VALUE(SUBSTITUTE(MID(B2465,FIND("D",B2465)+1,FIND("T",B2465,FIND("D",B2465))-(FIND("D",B2465)+1)),"P",",")),
IF(ISNUMBER(FIND("CFW5",B2465)),
VALUE(MID(B2465,
IF(ISNUMBER(FIND("F",B2465)),FIND("F",B2465)+1,FIND("G",B2465)+1),
FIND("T",B2465)-(IF(ISNUMBER(FIND("F",B2465)),FIND("F",B2465)+1,FIND("G",B2465)+1))
)),
VALUE(MID(B2465,FIND("E0",B2465)+2,FIND("T",B2465,FIND("E0",B2465))-(FIND("E0",B2465)+2)))
))),"")</f>
        <v>7</v>
      </c>
      <c r="G2465">
        <f>IFERROR(
IF(ISNUMBER(FIND("T2",B2465)),220,
IF(ISNUMBER(FIND("T4",B2465)),440,
IF(ISNUMBER(FIND("T5",B2465)),575,
IF(ISNUMBER(FIND("T6",B2465)),690,"")))),
"")</f>
        <v>220</v>
      </c>
    </row>
    <row r="2466" spans="1:7" x14ac:dyDescent="0.25">
      <c r="A2466">
        <v>16001353</v>
      </c>
      <c r="B2466" t="str">
        <f>VLOOKUP(A2466,Planilha2!B:C,2,0)</f>
        <v>INVERSOR NACFW110007T4OTVZ</v>
      </c>
      <c r="C2466" t="s">
        <v>3169</v>
      </c>
      <c r="D2466" t="str">
        <f>VLOOKUP(A2466,Planilha2!B:H,7,0)</f>
        <v>LINHA P5</v>
      </c>
      <c r="E2466" s="5">
        <v>5250</v>
      </c>
      <c r="F2466">
        <f>IFERROR(
IF(ISNUMBER(FIND("CFW110",B2466)),
VALUE(MID(B2466,FIND("CFW110",B2466)+6,FIND("T",B2466,FIND("CFW110",B2466))-(FIND("CFW110",B2466)+6))),
IF(ISNUMBER(FIND("D",B2466)),
VALUE(SUBSTITUTE(MID(B2466,FIND("D",B2466)+1,FIND("T",B2466,FIND("D",B2466))-(FIND("D",B2466)+1)),"P",",")),
IF(ISNUMBER(FIND("CFW5",B2466)),
VALUE(MID(B2466,
IF(ISNUMBER(FIND("F",B2466)),FIND("F",B2466)+1,FIND("G",B2466)+1),
FIND("T",B2466)-(IF(ISNUMBER(FIND("F",B2466)),FIND("F",B2466)+1,FIND("G",B2466)+1))
)),
VALUE(MID(B2466,FIND("E0",B2466)+2,FIND("T",B2466,FIND("E0",B2466))-(FIND("E0",B2466)+2)))
))),"")</f>
        <v>7</v>
      </c>
      <c r="G2466">
        <f>IFERROR(
IF(ISNUMBER(FIND("T2",B2466)),220,
IF(ISNUMBER(FIND("T4",B2466)),440,
IF(ISNUMBER(FIND("T5",B2466)),575,
IF(ISNUMBER(FIND("T6",B2466)),690,"")))),
"")</f>
        <v>440</v>
      </c>
    </row>
    <row r="2467" spans="1:7" x14ac:dyDescent="0.25">
      <c r="A2467">
        <v>15752354</v>
      </c>
      <c r="B2467" t="str">
        <f>VLOOKUP(A2467,Planilha2!B:C,2,0)</f>
        <v>INVERSOR EUCFW110010T2OFATVZ</v>
      </c>
      <c r="C2467" t="s">
        <v>3169</v>
      </c>
      <c r="D2467" t="str">
        <f>VLOOKUP(A2467,Planilha2!B:H,7,0)</f>
        <v>LINHA P5</v>
      </c>
      <c r="E2467" s="5">
        <v>5450</v>
      </c>
      <c r="F2467">
        <f>IFERROR(
IF(ISNUMBER(FIND("CFW110",B2467)),
VALUE(MID(B2467,FIND("CFW110",B2467)+6,FIND("T",B2467,FIND("CFW110",B2467))-(FIND("CFW110",B2467)+6))),
IF(ISNUMBER(FIND("D",B2467)),
VALUE(SUBSTITUTE(MID(B2467,FIND("D",B2467)+1,FIND("T",B2467,FIND("D",B2467))-(FIND("D",B2467)+1)),"P",",")),
IF(ISNUMBER(FIND("CFW5",B2467)),
VALUE(MID(B2467,
IF(ISNUMBER(FIND("F",B2467)),FIND("F",B2467)+1,FIND("G",B2467)+1),
FIND("T",B2467)-(IF(ISNUMBER(FIND("F",B2467)),FIND("F",B2467)+1,FIND("G",B2467)+1))
)),
VALUE(MID(B2467,FIND("E0",B2467)+2,FIND("T",B2467,FIND("E0",B2467))-(FIND("E0",B2467)+2)))
))),"")</f>
        <v>10</v>
      </c>
      <c r="G2467">
        <f>IFERROR(
IF(ISNUMBER(FIND("T2",B2467)),220,
IF(ISNUMBER(FIND("T4",B2467)),440,
IF(ISNUMBER(FIND("T5",B2467)),575,
IF(ISNUMBER(FIND("T6",B2467)),690,"")))),
"")</f>
        <v>220</v>
      </c>
    </row>
    <row r="2468" spans="1:7" x14ac:dyDescent="0.25">
      <c r="A2468">
        <v>15759499</v>
      </c>
      <c r="B2468" t="str">
        <f>VLOOKUP(A2468,Planilha2!B:C,2,0)</f>
        <v>INVERSOR EUCFW110010T4OFATVZ</v>
      </c>
      <c r="C2468" t="s">
        <v>3169</v>
      </c>
      <c r="D2468" t="str">
        <f>VLOOKUP(A2468,Planilha2!B:H,7,0)</f>
        <v>LINHA P5</v>
      </c>
      <c r="E2468" s="5">
        <v>5650</v>
      </c>
      <c r="F2468">
        <f>IFERROR(
IF(ISNUMBER(FIND("CFW110",B2468)),
VALUE(MID(B2468,FIND("CFW110",B2468)+6,FIND("T",B2468,FIND("CFW110",B2468))-(FIND("CFW110",B2468)+6))),
IF(ISNUMBER(FIND("D",B2468)),
VALUE(SUBSTITUTE(MID(B2468,FIND("D",B2468)+1,FIND("T",B2468,FIND("D",B2468))-(FIND("D",B2468)+1)),"P",",")),
IF(ISNUMBER(FIND("CFW5",B2468)),
VALUE(MID(B2468,
IF(ISNUMBER(FIND("F",B2468)),FIND("F",B2468)+1,FIND("G",B2468)+1),
FIND("T",B2468)-(IF(ISNUMBER(FIND("F",B2468)),FIND("F",B2468)+1,FIND("G",B2468)+1))
)),
VALUE(MID(B2468,FIND("E0",B2468)+2,FIND("T",B2468,FIND("E0",B2468))-(FIND("E0",B2468)+2)))
))),"")</f>
        <v>10</v>
      </c>
      <c r="G2468">
        <f>IFERROR(
IF(ISNUMBER(FIND("T2",B2468)),220,
IF(ISNUMBER(FIND("T4",B2468)),440,
IF(ISNUMBER(FIND("T5",B2468)),575,
IF(ISNUMBER(FIND("T6",B2468)),690,"")))),
"")</f>
        <v>440</v>
      </c>
    </row>
    <row r="2469" spans="1:7" x14ac:dyDescent="0.25">
      <c r="A2469">
        <v>16001218</v>
      </c>
      <c r="B2469" t="str">
        <f>VLOOKUP(A2469,Planilha2!B:C,2,0)</f>
        <v>INVERSOR NACFW110010T2OTVZ</v>
      </c>
      <c r="C2469" t="s">
        <v>3169</v>
      </c>
      <c r="D2469" t="str">
        <f>VLOOKUP(A2469,Planilha2!B:H,7,0)</f>
        <v>LINHA P5</v>
      </c>
      <c r="E2469" s="5">
        <v>5350</v>
      </c>
      <c r="F2469">
        <f>IFERROR(
IF(ISNUMBER(FIND("CFW110",B2469)),
VALUE(MID(B2469,FIND("CFW110",B2469)+6,FIND("T",B2469,FIND("CFW110",B2469))-(FIND("CFW110",B2469)+6))),
IF(ISNUMBER(FIND("D",B2469)),
VALUE(SUBSTITUTE(MID(B2469,FIND("D",B2469)+1,FIND("T",B2469,FIND("D",B2469))-(FIND("D",B2469)+1)),"P",",")),
IF(ISNUMBER(FIND("CFW5",B2469)),
VALUE(MID(B2469,
IF(ISNUMBER(FIND("F",B2469)),FIND("F",B2469)+1,FIND("G",B2469)+1),
FIND("T",B2469)-(IF(ISNUMBER(FIND("F",B2469)),FIND("F",B2469)+1,FIND("G",B2469)+1))
)),
VALUE(MID(B2469,FIND("E0",B2469)+2,FIND("T",B2469,FIND("E0",B2469))-(FIND("E0",B2469)+2)))
))),"")</f>
        <v>10</v>
      </c>
      <c r="G2469">
        <f>IFERROR(
IF(ISNUMBER(FIND("T2",B2469)),220,
IF(ISNUMBER(FIND("T4",B2469)),440,
IF(ISNUMBER(FIND("T5",B2469)),575,
IF(ISNUMBER(FIND("T6",B2469)),690,"")))),
"")</f>
        <v>220</v>
      </c>
    </row>
    <row r="2470" spans="1:7" x14ac:dyDescent="0.25">
      <c r="A2470">
        <v>16001354</v>
      </c>
      <c r="B2470" t="str">
        <f>VLOOKUP(A2470,Planilha2!B:C,2,0)</f>
        <v>INVERSOR NACFW110010T4OTVZ</v>
      </c>
      <c r="C2470" t="s">
        <v>3169</v>
      </c>
      <c r="D2470" t="str">
        <f>VLOOKUP(A2470,Planilha2!B:H,7,0)</f>
        <v>LINHA P5</v>
      </c>
      <c r="E2470" s="5">
        <v>5450</v>
      </c>
      <c r="F2470">
        <f>IFERROR(
IF(ISNUMBER(FIND("CFW110",B2470)),
VALUE(MID(B2470,FIND("CFW110",B2470)+6,FIND("T",B2470,FIND("CFW110",B2470))-(FIND("CFW110",B2470)+6))),
IF(ISNUMBER(FIND("D",B2470)),
VALUE(SUBSTITUTE(MID(B2470,FIND("D",B2470)+1,FIND("T",B2470,FIND("D",B2470))-(FIND("D",B2470)+1)),"P",",")),
IF(ISNUMBER(FIND("CFW5",B2470)),
VALUE(MID(B2470,
IF(ISNUMBER(FIND("F",B2470)),FIND("F",B2470)+1,FIND("G",B2470)+1),
FIND("T",B2470)-(IF(ISNUMBER(FIND("F",B2470)),FIND("F",B2470)+1,FIND("G",B2470)+1))
)),
VALUE(MID(B2470,FIND("E0",B2470)+2,FIND("T",B2470,FIND("E0",B2470))-(FIND("E0",B2470)+2)))
))),"")</f>
        <v>10</v>
      </c>
      <c r="G2470">
        <f>IFERROR(
IF(ISNUMBER(FIND("T2",B2470)),220,
IF(ISNUMBER(FIND("T4",B2470)),440,
IF(ISNUMBER(FIND("T5",B2470)),575,
IF(ISNUMBER(FIND("T6",B2470)),690,"")))),
"")</f>
        <v>440</v>
      </c>
    </row>
    <row r="2471" spans="1:7" x14ac:dyDescent="0.25">
      <c r="A2471">
        <v>15752355</v>
      </c>
      <c r="B2471" t="str">
        <f>VLOOKUP(A2471,Planilha2!B:C,2,0)</f>
        <v>INVERSOR EUCFW110013T2OFATVZ</v>
      </c>
      <c r="C2471" t="s">
        <v>3169</v>
      </c>
      <c r="D2471" t="str">
        <f>VLOOKUP(A2471,Planilha2!B:H,7,0)</f>
        <v>LINHA P5</v>
      </c>
      <c r="E2471" s="5">
        <v>5450</v>
      </c>
      <c r="F2471">
        <f>IFERROR(
IF(ISNUMBER(FIND("CFW110",B2471)),
VALUE(MID(B2471,FIND("CFW110",B2471)+6,FIND("T",B2471,FIND("CFW110",B2471))-(FIND("CFW110",B2471)+6))),
IF(ISNUMBER(FIND("D",B2471)),
VALUE(SUBSTITUTE(MID(B2471,FIND("D",B2471)+1,FIND("T",B2471,FIND("D",B2471))-(FIND("D",B2471)+1)),"P",",")),
IF(ISNUMBER(FIND("CFW5",B2471)),
VALUE(MID(B2471,
IF(ISNUMBER(FIND("F",B2471)),FIND("F",B2471)+1,FIND("G",B2471)+1),
FIND("T",B2471)-(IF(ISNUMBER(FIND("F",B2471)),FIND("F",B2471)+1,FIND("G",B2471)+1))
)),
VALUE(MID(B2471,FIND("E0",B2471)+2,FIND("T",B2471,FIND("E0",B2471))-(FIND("E0",B2471)+2)))
))),"")</f>
        <v>13</v>
      </c>
      <c r="G2471">
        <f>IFERROR(
IF(ISNUMBER(FIND("T2",B2471)),220,
IF(ISNUMBER(FIND("T4",B2471)),440,
IF(ISNUMBER(FIND("T5",B2471)),575,
IF(ISNUMBER(FIND("T6",B2471)),690,"")))),
"")</f>
        <v>220</v>
      </c>
    </row>
    <row r="2472" spans="1:7" x14ac:dyDescent="0.25">
      <c r="A2472">
        <v>15759500</v>
      </c>
      <c r="B2472" t="str">
        <f>VLOOKUP(A2472,Planilha2!B:C,2,0)</f>
        <v>INVERSOR EUCFW110013T4OFATVZ</v>
      </c>
      <c r="C2472" t="s">
        <v>3169</v>
      </c>
      <c r="D2472" t="str">
        <f>VLOOKUP(A2472,Planilha2!B:H,7,0)</f>
        <v>LINHA P5</v>
      </c>
      <c r="E2472" s="5">
        <v>5750</v>
      </c>
      <c r="F2472">
        <f>IFERROR(
IF(ISNUMBER(FIND("CFW110",B2472)),
VALUE(MID(B2472,FIND("CFW110",B2472)+6,FIND("T",B2472,FIND("CFW110",B2472))-(FIND("CFW110",B2472)+6))),
IF(ISNUMBER(FIND("D",B2472)),
VALUE(SUBSTITUTE(MID(B2472,FIND("D",B2472)+1,FIND("T",B2472,FIND("D",B2472))-(FIND("D",B2472)+1)),"P",",")),
IF(ISNUMBER(FIND("CFW5",B2472)),
VALUE(MID(B2472,
IF(ISNUMBER(FIND("F",B2472)),FIND("F",B2472)+1,FIND("G",B2472)+1),
FIND("T",B2472)-(IF(ISNUMBER(FIND("F",B2472)),FIND("F",B2472)+1,FIND("G",B2472)+1))
)),
VALUE(MID(B2472,FIND("E0",B2472)+2,FIND("T",B2472,FIND("E0",B2472))-(FIND("E0",B2472)+2)))
))),"")</f>
        <v>13</v>
      </c>
      <c r="G2472">
        <f>IFERROR(
IF(ISNUMBER(FIND("T2",B2472)),220,
IF(ISNUMBER(FIND("T4",B2472)),440,
IF(ISNUMBER(FIND("T5",B2472)),575,
IF(ISNUMBER(FIND("T6",B2472)),690,"")))),
"")</f>
        <v>440</v>
      </c>
    </row>
    <row r="2473" spans="1:7" x14ac:dyDescent="0.25">
      <c r="A2473">
        <v>16001219</v>
      </c>
      <c r="B2473" t="str">
        <f>VLOOKUP(A2473,Planilha2!B:C,2,0)</f>
        <v>INVERSOR NACFW110013T2OTVZ</v>
      </c>
      <c r="C2473" t="s">
        <v>3169</v>
      </c>
      <c r="D2473" t="str">
        <f>VLOOKUP(A2473,Planilha2!B:H,7,0)</f>
        <v>LINHA P5</v>
      </c>
      <c r="E2473" s="5">
        <v>5350</v>
      </c>
      <c r="F2473">
        <f>IFERROR(
IF(ISNUMBER(FIND("CFW110",B2473)),
VALUE(MID(B2473,FIND("CFW110",B2473)+6,FIND("T",B2473,FIND("CFW110",B2473))-(FIND("CFW110",B2473)+6))),
IF(ISNUMBER(FIND("D",B2473)),
VALUE(SUBSTITUTE(MID(B2473,FIND("D",B2473)+1,FIND("T",B2473,FIND("D",B2473))-(FIND("D",B2473)+1)),"P",",")),
IF(ISNUMBER(FIND("CFW5",B2473)),
VALUE(MID(B2473,
IF(ISNUMBER(FIND("F",B2473)),FIND("F",B2473)+1,FIND("G",B2473)+1),
FIND("T",B2473)-(IF(ISNUMBER(FIND("F",B2473)),FIND("F",B2473)+1,FIND("G",B2473)+1))
)),
VALUE(MID(B2473,FIND("E0",B2473)+2,FIND("T",B2473,FIND("E0",B2473))-(FIND("E0",B2473)+2)))
))),"")</f>
        <v>13</v>
      </c>
      <c r="G2473">
        <f>IFERROR(
IF(ISNUMBER(FIND("T2",B2473)),220,
IF(ISNUMBER(FIND("T4",B2473)),440,
IF(ISNUMBER(FIND("T5",B2473)),575,
IF(ISNUMBER(FIND("T6",B2473)),690,"")))),
"")</f>
        <v>220</v>
      </c>
    </row>
    <row r="2474" spans="1:7" x14ac:dyDescent="0.25">
      <c r="A2474">
        <v>16001355</v>
      </c>
      <c r="B2474" t="str">
        <f>VLOOKUP(A2474,Planilha2!B:C,2,0)</f>
        <v>INVERSOR NACFW110013T4OTVZ</v>
      </c>
      <c r="C2474" t="s">
        <v>3169</v>
      </c>
      <c r="D2474" t="str">
        <f>VLOOKUP(A2474,Planilha2!B:H,7,0)</f>
        <v>LINHA P5</v>
      </c>
      <c r="E2474" s="5">
        <v>5650</v>
      </c>
      <c r="F2474">
        <f>IFERROR(
IF(ISNUMBER(FIND("CFW110",B2474)),
VALUE(MID(B2474,FIND("CFW110",B2474)+6,FIND("T",B2474,FIND("CFW110",B2474))-(FIND("CFW110",B2474)+6))),
IF(ISNUMBER(FIND("D",B2474)),
VALUE(SUBSTITUTE(MID(B2474,FIND("D",B2474)+1,FIND("T",B2474,FIND("D",B2474))-(FIND("D",B2474)+1)),"P",",")),
IF(ISNUMBER(FIND("CFW5",B2474)),
VALUE(MID(B2474,
IF(ISNUMBER(FIND("F",B2474)),FIND("F",B2474)+1,FIND("G",B2474)+1),
FIND("T",B2474)-(IF(ISNUMBER(FIND("F",B2474)),FIND("F",B2474)+1,FIND("G",B2474)+1))
)),
VALUE(MID(B2474,FIND("E0",B2474)+2,FIND("T",B2474,FIND("E0",B2474))-(FIND("E0",B2474)+2)))
))),"")</f>
        <v>13</v>
      </c>
      <c r="G2474">
        <f>IFERROR(
IF(ISNUMBER(FIND("T2",B2474)),220,
IF(ISNUMBER(FIND("T4",B2474)),440,
IF(ISNUMBER(FIND("T5",B2474)),575,
IF(ISNUMBER(FIND("T6",B2474)),690,"")))),
"")</f>
        <v>440</v>
      </c>
    </row>
    <row r="2475" spans="1:7" x14ac:dyDescent="0.25">
      <c r="A2475">
        <v>15752409</v>
      </c>
      <c r="B2475" t="str">
        <f>VLOOKUP(A2475,Planilha2!B:C,2,0)</f>
        <v>INVERSOR EUCFW110016T2OFATVZ</v>
      </c>
      <c r="C2475" t="s">
        <v>3169</v>
      </c>
      <c r="D2475" t="str">
        <f>VLOOKUP(A2475,Planilha2!B:H,7,0)</f>
        <v>LINHA P5</v>
      </c>
      <c r="E2475" s="5">
        <v>5650</v>
      </c>
      <c r="F2475">
        <f>IFERROR(
IF(ISNUMBER(FIND("CFW110",B2475)),
VALUE(MID(B2475,FIND("CFW110",B2475)+6,FIND("T",B2475,FIND("CFW110",B2475))-(FIND("CFW110",B2475)+6))),
IF(ISNUMBER(FIND("D",B2475)),
VALUE(SUBSTITUTE(MID(B2475,FIND("D",B2475)+1,FIND("T",B2475,FIND("D",B2475))-(FIND("D",B2475)+1)),"P",",")),
IF(ISNUMBER(FIND("CFW5",B2475)),
VALUE(MID(B2475,
IF(ISNUMBER(FIND("F",B2475)),FIND("F",B2475)+1,FIND("G",B2475)+1),
FIND("T",B2475)-(IF(ISNUMBER(FIND("F",B2475)),FIND("F",B2475)+1,FIND("G",B2475)+1))
)),
VALUE(MID(B2475,FIND("E0",B2475)+2,FIND("T",B2475,FIND("E0",B2475))-(FIND("E0",B2475)+2)))
))),"")</f>
        <v>16</v>
      </c>
      <c r="G2475">
        <f>IFERROR(
IF(ISNUMBER(FIND("T2",B2475)),220,
IF(ISNUMBER(FIND("T4",B2475)),440,
IF(ISNUMBER(FIND("T5",B2475)),575,
IF(ISNUMBER(FIND("T6",B2475)),690,"")))),
"")</f>
        <v>220</v>
      </c>
    </row>
    <row r="2476" spans="1:7" x14ac:dyDescent="0.25">
      <c r="A2476">
        <v>16001220</v>
      </c>
      <c r="B2476" t="str">
        <f>VLOOKUP(A2476,Planilha2!B:C,2,0)</f>
        <v>INVERSOR NACFW110016T2OTVZ</v>
      </c>
      <c r="C2476" t="s">
        <v>3169</v>
      </c>
      <c r="D2476" t="str">
        <f>VLOOKUP(A2476,Planilha2!B:H,7,0)</f>
        <v>LINHA P5</v>
      </c>
      <c r="E2476" s="5">
        <v>5550</v>
      </c>
      <c r="F2476">
        <f>IFERROR(
IF(ISNUMBER(FIND("CFW110",B2476)),
VALUE(MID(B2476,FIND("CFW110",B2476)+6,FIND("T",B2476,FIND("CFW110",B2476))-(FIND("CFW110",B2476)+6))),
IF(ISNUMBER(FIND("D",B2476)),
VALUE(SUBSTITUTE(MID(B2476,FIND("D",B2476)+1,FIND("T",B2476,FIND("D",B2476))-(FIND("D",B2476)+1)),"P",",")),
IF(ISNUMBER(FIND("CFW5",B2476)),
VALUE(MID(B2476,
IF(ISNUMBER(FIND("F",B2476)),FIND("F",B2476)+1,FIND("G",B2476)+1),
FIND("T",B2476)-(IF(ISNUMBER(FIND("F",B2476)),FIND("F",B2476)+1,FIND("G",B2476)+1))
)),
VALUE(MID(B2476,FIND("E0",B2476)+2,FIND("T",B2476,FIND("E0",B2476))-(FIND("E0",B2476)+2)))
))),"")</f>
        <v>16</v>
      </c>
      <c r="G2476">
        <f>IFERROR(
IF(ISNUMBER(FIND("T2",B2476)),220,
IF(ISNUMBER(FIND("T4",B2476)),440,
IF(ISNUMBER(FIND("T5",B2476)),575,
IF(ISNUMBER(FIND("T6",B2476)),690,"")))),
"")</f>
        <v>220</v>
      </c>
    </row>
    <row r="2477" spans="1:7" x14ac:dyDescent="0.25">
      <c r="A2477">
        <v>16001349</v>
      </c>
      <c r="B2477" t="str">
        <f>VLOOKUP(A2477,Planilha2!B:C,2,0)</f>
        <v>INVERSOR NACFW110003T4OTVZ</v>
      </c>
      <c r="C2477" t="s">
        <v>3169</v>
      </c>
      <c r="D2477" t="str">
        <f>VLOOKUP(A2477,Planilha2!B:H,7,0)</f>
        <v>LINHA P5</v>
      </c>
      <c r="E2477" s="5">
        <v>5050</v>
      </c>
      <c r="F2477">
        <f>IFERROR(
IF(ISNUMBER(FIND("CFW110",B2477)),
VALUE(MID(B2477,FIND("CFW110",B2477)+6,FIND("T",B2477,FIND("CFW110",B2477))-(FIND("CFW110",B2477)+6))),
IF(ISNUMBER(FIND("D",B2477)),
VALUE(SUBSTITUTE(MID(B2477,FIND("D",B2477)+1,FIND("T",B2477,FIND("D",B2477))-(FIND("D",B2477)+1)),"P",",")),
IF(ISNUMBER(FIND("CFW5",B2477)),
VALUE(MID(B2477,
IF(ISNUMBER(FIND("F",B2477)),FIND("F",B2477)+1,FIND("G",B2477)+1),
FIND("T",B2477)-(IF(ISNUMBER(FIND("F",B2477)),FIND("F",B2477)+1,FIND("G",B2477)+1))
)),
VALUE(MID(B2477,FIND("E0",B2477)+2,FIND("T",B2477,FIND("E0",B2477))-(FIND("E0",B2477)+2)))
))),"")</f>
        <v>3</v>
      </c>
      <c r="G2477">
        <f>IFERROR(
IF(ISNUMBER(FIND("T2",B2477)),220,
IF(ISNUMBER(FIND("T4",B2477)),440,
IF(ISNUMBER(FIND("T5",B2477)),575,
IF(ISNUMBER(FIND("T6",B2477)),690,"")))),
"")</f>
        <v>440</v>
      </c>
    </row>
    <row r="2478" spans="1:7" x14ac:dyDescent="0.25">
      <c r="A2478">
        <v>15759305</v>
      </c>
      <c r="B2478" t="str">
        <f>VLOOKUP(A2478,Planilha2!B:C,2,0)</f>
        <v>INVERSOR EUCFW110005T4OFATVZ</v>
      </c>
      <c r="C2478" t="s">
        <v>3169</v>
      </c>
      <c r="D2478" t="str">
        <f>VLOOKUP(A2478,Planilha2!B:H,7,0)</f>
        <v>LINHA P5</v>
      </c>
      <c r="E2478" s="5">
        <v>5350</v>
      </c>
      <c r="F2478">
        <f>IFERROR(
IF(ISNUMBER(FIND("CFW110",B2478)),
VALUE(MID(B2478,FIND("CFW110",B2478)+6,FIND("T",B2478,FIND("CFW110",B2478))-(FIND("CFW110",B2478)+6))),
IF(ISNUMBER(FIND("D",B2478)),
VALUE(SUBSTITUTE(MID(B2478,FIND("D",B2478)+1,FIND("T",B2478,FIND("D",B2478))-(FIND("D",B2478)+1)),"P",",")),
IF(ISNUMBER(FIND("CFW5",B2478)),
VALUE(MID(B2478,
IF(ISNUMBER(FIND("F",B2478)),FIND("F",B2478)+1,FIND("G",B2478)+1),
FIND("T",B2478)-(IF(ISNUMBER(FIND("F",B2478)),FIND("F",B2478)+1,FIND("G",B2478)+1))
)),
VALUE(MID(B2478,FIND("E0",B2478)+2,FIND("T",B2478,FIND("E0",B2478))-(FIND("E0",B2478)+2)))
))),"")</f>
        <v>5</v>
      </c>
      <c r="G2478">
        <f>IFERROR(
IF(ISNUMBER(FIND("T2",B2478)),220,
IF(ISNUMBER(FIND("T4",B2478)),440,
IF(ISNUMBER(FIND("T5",B2478)),575,
IF(ISNUMBER(FIND("T6",B2478)),690,"")))),
"")</f>
        <v>440</v>
      </c>
    </row>
    <row r="2479" spans="1:7" x14ac:dyDescent="0.25">
      <c r="A2479">
        <v>16001352</v>
      </c>
      <c r="B2479" t="str">
        <f>VLOOKUP(A2479,Planilha2!B:C,2,0)</f>
        <v>INVERSOR NACFW110005T4OTVZ</v>
      </c>
      <c r="C2479" t="s">
        <v>3169</v>
      </c>
      <c r="D2479" t="str">
        <f>VLOOKUP(A2479,Planilha2!B:H,7,0)</f>
        <v>LINHA P5</v>
      </c>
      <c r="E2479" s="5">
        <v>5250</v>
      </c>
      <c r="F2479">
        <f>IFERROR(
IF(ISNUMBER(FIND("CFW110",B2479)),
VALUE(MID(B2479,FIND("CFW110",B2479)+6,FIND("T",B2479,FIND("CFW110",B2479))-(FIND("CFW110",B2479)+6))),
IF(ISNUMBER(FIND("D",B2479)),
VALUE(SUBSTITUTE(MID(B2479,FIND("D",B2479)+1,FIND("T",B2479,FIND("D",B2479))-(FIND("D",B2479)+1)),"P",",")),
IF(ISNUMBER(FIND("CFW5",B2479)),
VALUE(MID(B2479,
IF(ISNUMBER(FIND("F",B2479)),FIND("F",B2479)+1,FIND("G",B2479)+1),
FIND("T",B2479)-(IF(ISNUMBER(FIND("F",B2479)),FIND("F",B2479)+1,FIND("G",B2479)+1))
)),
VALUE(MID(B2479,FIND("E0",B2479)+2,FIND("T",B2479,FIND("E0",B2479))-(FIND("E0",B2479)+2)))
))),"")</f>
        <v>5</v>
      </c>
      <c r="G2479">
        <f>IFERROR(
IF(ISNUMBER(FIND("T2",B2479)),220,
IF(ISNUMBER(FIND("T4",B2479)),440,
IF(ISNUMBER(FIND("T5",B2479)),575,
IF(ISNUMBER(FIND("T6",B2479)),690,"")))),
"")</f>
        <v>440</v>
      </c>
    </row>
    <row r="2480" spans="1:7" x14ac:dyDescent="0.25">
      <c r="A2480">
        <v>15752353</v>
      </c>
      <c r="B2480" t="str">
        <f>VLOOKUP(A2480,Planilha2!B:C,2,0)</f>
        <v>INVERSOR EUCFW110007T2OFATVZ</v>
      </c>
      <c r="C2480" t="s">
        <v>3169</v>
      </c>
      <c r="D2480" t="str">
        <f>VLOOKUP(A2480,Planilha2!B:H,7,0)</f>
        <v>LINHA P5</v>
      </c>
      <c r="E2480" s="5">
        <v>5150</v>
      </c>
      <c r="F2480">
        <f>IFERROR(
IF(ISNUMBER(FIND("CFW110",B2480)),
VALUE(MID(B2480,FIND("CFW110",B2480)+6,FIND("T",B2480,FIND("CFW110",B2480))-(FIND("CFW110",B2480)+6))),
IF(ISNUMBER(FIND("D",B2480)),
VALUE(SUBSTITUTE(MID(B2480,FIND("D",B2480)+1,FIND("T",B2480,FIND("D",B2480))-(FIND("D",B2480)+1)),"P",",")),
IF(ISNUMBER(FIND("CFW5",B2480)),
VALUE(MID(B2480,
IF(ISNUMBER(FIND("F",B2480)),FIND("F",B2480)+1,FIND("G",B2480)+1),
FIND("T",B2480)-(IF(ISNUMBER(FIND("F",B2480)),FIND("F",B2480)+1,FIND("G",B2480)+1))
)),
VALUE(MID(B2480,FIND("E0",B2480)+2,FIND("T",B2480,FIND("E0",B2480))-(FIND("E0",B2480)+2)))
))),"")</f>
        <v>7</v>
      </c>
      <c r="G2480">
        <f>IFERROR(
IF(ISNUMBER(FIND("T2",B2480)),220,
IF(ISNUMBER(FIND("T4",B2480)),440,
IF(ISNUMBER(FIND("T5",B2480)),575,
IF(ISNUMBER(FIND("T6",B2480)),690,"")))),
"")</f>
        <v>220</v>
      </c>
    </row>
    <row r="2481" spans="1:7" x14ac:dyDescent="0.25">
      <c r="A2481">
        <v>15759501</v>
      </c>
      <c r="B2481" t="str">
        <f>VLOOKUP(A2481,Planilha2!B:C,2,0)</f>
        <v>INVERSOR EUCFW110017T4OFATVZ</v>
      </c>
      <c r="C2481" t="s">
        <v>3169</v>
      </c>
      <c r="D2481" t="str">
        <f>VLOOKUP(A2481,Planilha2!B:H,7,0)</f>
        <v>LINHA P7</v>
      </c>
      <c r="E2481" s="5">
        <v>8900</v>
      </c>
      <c r="F2481">
        <f>IFERROR(
IF(ISNUMBER(FIND("CFW110",B2481)),
VALUE(MID(B2481,FIND("CFW110",B2481)+6,FIND("T",B2481,FIND("CFW110",B2481))-(FIND("CFW110",B2481)+6))),
IF(ISNUMBER(FIND("D",B2481)),
VALUE(SUBSTITUTE(MID(B2481,FIND("D",B2481)+1,FIND("T",B2481,FIND("D",B2481))-(FIND("D",B2481)+1)),"P",",")),
IF(ISNUMBER(FIND("CFW5",B2481)),
VALUE(MID(B2481,
IF(ISNUMBER(FIND("F",B2481)),FIND("F",B2481)+1,FIND("G",B2481)+1),
FIND("T",B2481)-(IF(ISNUMBER(FIND("F",B2481)),FIND("F",B2481)+1,FIND("G",B2481)+1))
)),
VALUE(MID(B2481,FIND("E0",B2481)+2,FIND("T",B2481,FIND("E0",B2481))-(FIND("E0",B2481)+2)))
))),"")</f>
        <v>17</v>
      </c>
      <c r="G2481">
        <f>IFERROR(
IF(ISNUMBER(FIND("T2",B2481)),220,
IF(ISNUMBER(FIND("T4",B2481)),440,
IF(ISNUMBER(FIND("T5",B2481)),575,
IF(ISNUMBER(FIND("T6",B2481)),690,"")))),
"")</f>
        <v>440</v>
      </c>
    </row>
    <row r="2482" spans="1:7" x14ac:dyDescent="0.25">
      <c r="A2482">
        <v>16001356</v>
      </c>
      <c r="B2482" t="str">
        <f>VLOOKUP(A2482,Planilha2!B:C,2,0)</f>
        <v>INVERSOR NACFW110017T4OTVZ</v>
      </c>
      <c r="C2482" t="s">
        <v>3169</v>
      </c>
      <c r="D2482" t="str">
        <f>VLOOKUP(A2482,Planilha2!B:H,7,0)</f>
        <v>LINHA P7</v>
      </c>
      <c r="E2482" s="5">
        <v>8900</v>
      </c>
      <c r="F2482">
        <f>IFERROR(
IF(ISNUMBER(FIND("CFW110",B2482)),
VALUE(MID(B2482,FIND("CFW110",B2482)+6,FIND("T",B2482,FIND("CFW110",B2482))-(FIND("CFW110",B2482)+6))),
IF(ISNUMBER(FIND("D",B2482)),
VALUE(SUBSTITUTE(MID(B2482,FIND("D",B2482)+1,FIND("T",B2482,FIND("D",B2482))-(FIND("D",B2482)+1)),"P",",")),
IF(ISNUMBER(FIND("CFW5",B2482)),
VALUE(MID(B2482,
IF(ISNUMBER(FIND("F",B2482)),FIND("F",B2482)+1,FIND("G",B2482)+1),
FIND("T",B2482)-(IF(ISNUMBER(FIND("F",B2482)),FIND("F",B2482)+1,FIND("G",B2482)+1))
)),
VALUE(MID(B2482,FIND("E0",B2482)+2,FIND("T",B2482,FIND("E0",B2482))-(FIND("E0",B2482)+2)))
))),"")</f>
        <v>17</v>
      </c>
      <c r="G2482">
        <f>IFERROR(
IF(ISNUMBER(FIND("T2",B2482)),220,
IF(ISNUMBER(FIND("T4",B2482)),440,
IF(ISNUMBER(FIND("T5",B2482)),575,
IF(ISNUMBER(FIND("T6",B2482)),690,"")))),
"")</f>
        <v>440</v>
      </c>
    </row>
    <row r="2483" spans="1:7" x14ac:dyDescent="0.25">
      <c r="A2483">
        <v>15752410</v>
      </c>
      <c r="B2483" t="str">
        <f>VLOOKUP(A2483,Planilha2!B:C,2,0)</f>
        <v>INVERSOR EUCFW110024T2OFATVZ</v>
      </c>
      <c r="C2483" t="s">
        <v>3169</v>
      </c>
      <c r="D2483" t="str">
        <f>VLOOKUP(A2483,Planilha2!B:H,7,0)</f>
        <v>LINHA P7</v>
      </c>
      <c r="E2483" s="5">
        <v>8800</v>
      </c>
      <c r="F2483">
        <f>IFERROR(
IF(ISNUMBER(FIND("CFW110",B2483)),
VALUE(MID(B2483,FIND("CFW110",B2483)+6,FIND("T",B2483,FIND("CFW110",B2483))-(FIND("CFW110",B2483)+6))),
IF(ISNUMBER(FIND("D",B2483)),
VALUE(SUBSTITUTE(MID(B2483,FIND("D",B2483)+1,FIND("T",B2483,FIND("D",B2483))-(FIND("D",B2483)+1)),"P",",")),
IF(ISNUMBER(FIND("CFW5",B2483)),
VALUE(MID(B2483,
IF(ISNUMBER(FIND("F",B2483)),FIND("F",B2483)+1,FIND("G",B2483)+1),
FIND("T",B2483)-(IF(ISNUMBER(FIND("F",B2483)),FIND("F",B2483)+1,FIND("G",B2483)+1))
)),
VALUE(MID(B2483,FIND("E0",B2483)+2,FIND("T",B2483,FIND("E0",B2483))-(FIND("E0",B2483)+2)))
))),"")</f>
        <v>24</v>
      </c>
      <c r="G2483">
        <f>IFERROR(
IF(ISNUMBER(FIND("T2",B2483)),220,
IF(ISNUMBER(FIND("T4",B2483)),440,
IF(ISNUMBER(FIND("T5",B2483)),575,
IF(ISNUMBER(FIND("T6",B2483)),690,"")))),
"")</f>
        <v>220</v>
      </c>
    </row>
    <row r="2484" spans="1:7" x14ac:dyDescent="0.25">
      <c r="A2484">
        <v>15759502</v>
      </c>
      <c r="B2484" t="str">
        <f>VLOOKUP(A2484,Planilha2!B:C,2,0)</f>
        <v>INVERSOR EUCFW110024T4OFATVZ</v>
      </c>
      <c r="C2484" t="s">
        <v>3169</v>
      </c>
      <c r="D2484" t="str">
        <f>VLOOKUP(A2484,Planilha2!B:H,7,0)</f>
        <v>LINHA P7</v>
      </c>
      <c r="E2484" s="5">
        <v>10100</v>
      </c>
      <c r="F2484">
        <f>IFERROR(
IF(ISNUMBER(FIND("CFW110",B2484)),
VALUE(MID(B2484,FIND("CFW110",B2484)+6,FIND("T",B2484,FIND("CFW110",B2484))-(FIND("CFW110",B2484)+6))),
IF(ISNUMBER(FIND("D",B2484)),
VALUE(SUBSTITUTE(MID(B2484,FIND("D",B2484)+1,FIND("T",B2484,FIND("D",B2484))-(FIND("D",B2484)+1)),"P",",")),
IF(ISNUMBER(FIND("CFW5",B2484)),
VALUE(MID(B2484,
IF(ISNUMBER(FIND("F",B2484)),FIND("F",B2484)+1,FIND("G",B2484)+1),
FIND("T",B2484)-(IF(ISNUMBER(FIND("F",B2484)),FIND("F",B2484)+1,FIND("G",B2484)+1))
)),
VALUE(MID(B2484,FIND("E0",B2484)+2,FIND("T",B2484,FIND("E0",B2484))-(FIND("E0",B2484)+2)))
))),"")</f>
        <v>24</v>
      </c>
      <c r="G2484">
        <f>IFERROR(
IF(ISNUMBER(FIND("T2",B2484)),220,
IF(ISNUMBER(FIND("T4",B2484)),440,
IF(ISNUMBER(FIND("T5",B2484)),575,
IF(ISNUMBER(FIND("T6",B2484)),690,"")))),
"")</f>
        <v>440</v>
      </c>
    </row>
    <row r="2485" spans="1:7" x14ac:dyDescent="0.25">
      <c r="A2485">
        <v>16001221</v>
      </c>
      <c r="B2485" t="str">
        <f>VLOOKUP(A2485,Planilha2!B:C,2,0)</f>
        <v>INVERSOR NACFW110024T2OTVZ</v>
      </c>
      <c r="C2485" t="s">
        <v>3169</v>
      </c>
      <c r="D2485" t="str">
        <f>VLOOKUP(A2485,Planilha2!B:H,7,0)</f>
        <v>LINHA P7</v>
      </c>
      <c r="E2485" s="5">
        <v>8700</v>
      </c>
      <c r="F2485">
        <f>IFERROR(
IF(ISNUMBER(FIND("CFW110",B2485)),
VALUE(MID(B2485,FIND("CFW110",B2485)+6,FIND("T",B2485,FIND("CFW110",B2485))-(FIND("CFW110",B2485)+6))),
IF(ISNUMBER(FIND("D",B2485)),
VALUE(SUBSTITUTE(MID(B2485,FIND("D",B2485)+1,FIND("T",B2485,FIND("D",B2485))-(FIND("D",B2485)+1)),"P",",")),
IF(ISNUMBER(FIND("CFW5",B2485)),
VALUE(MID(B2485,
IF(ISNUMBER(FIND("F",B2485)),FIND("F",B2485)+1,FIND("G",B2485)+1),
FIND("T",B2485)-(IF(ISNUMBER(FIND("F",B2485)),FIND("F",B2485)+1,FIND("G",B2485)+1))
)),
VALUE(MID(B2485,FIND("E0",B2485)+2,FIND("T",B2485,FIND("E0",B2485))-(FIND("E0",B2485)+2)))
))),"")</f>
        <v>24</v>
      </c>
      <c r="G2485">
        <f>IFERROR(
IF(ISNUMBER(FIND("T2",B2485)),220,
IF(ISNUMBER(FIND("T4",B2485)),440,
IF(ISNUMBER(FIND("T5",B2485)),575,
IF(ISNUMBER(FIND("T6",B2485)),690,"")))),
"")</f>
        <v>220</v>
      </c>
    </row>
    <row r="2486" spans="1:7" x14ac:dyDescent="0.25">
      <c r="A2486">
        <v>16001402</v>
      </c>
      <c r="B2486" t="str">
        <f>VLOOKUP(A2486,Planilha2!B:C,2,0)</f>
        <v>INVERSOR NACFW110024T4OTVZ</v>
      </c>
      <c r="C2486" t="s">
        <v>3169</v>
      </c>
      <c r="D2486" t="str">
        <f>VLOOKUP(A2486,Planilha2!B:H,7,0)</f>
        <v>LINHA P7</v>
      </c>
      <c r="E2486" s="5">
        <v>10000</v>
      </c>
      <c r="F2486">
        <f>IFERROR(
IF(ISNUMBER(FIND("CFW110",B2486)),
VALUE(MID(B2486,FIND("CFW110",B2486)+6,FIND("T",B2486,FIND("CFW110",B2486))-(FIND("CFW110",B2486)+6))),
IF(ISNUMBER(FIND("D",B2486)),
VALUE(SUBSTITUTE(MID(B2486,FIND("D",B2486)+1,FIND("T",B2486,FIND("D",B2486))-(FIND("D",B2486)+1)),"P",",")),
IF(ISNUMBER(FIND("CFW5",B2486)),
VALUE(MID(B2486,
IF(ISNUMBER(FIND("F",B2486)),FIND("F",B2486)+1,FIND("G",B2486)+1),
FIND("T",B2486)-(IF(ISNUMBER(FIND("F",B2486)),FIND("F",B2486)+1,FIND("G",B2486)+1))
)),
VALUE(MID(B2486,FIND("E0",B2486)+2,FIND("T",B2486,FIND("E0",B2486))-(FIND("E0",B2486)+2)))
))),"")</f>
        <v>24</v>
      </c>
      <c r="G2486">
        <f>IFERROR(
IF(ISNUMBER(FIND("T2",B2486)),220,
IF(ISNUMBER(FIND("T4",B2486)),440,
IF(ISNUMBER(FIND("T5",B2486)),575,
IF(ISNUMBER(FIND("T6",B2486)),690,"")))),
"")</f>
        <v>440</v>
      </c>
    </row>
    <row r="2487" spans="1:7" x14ac:dyDescent="0.25">
      <c r="A2487">
        <v>15752411</v>
      </c>
      <c r="B2487" t="str">
        <f>VLOOKUP(A2487,Planilha2!B:C,2,0)</f>
        <v>INVERSOR EUCFW110028T2OFATVZ</v>
      </c>
      <c r="C2487" t="s">
        <v>3169</v>
      </c>
      <c r="D2487" t="str">
        <f>VLOOKUP(A2487,Planilha2!B:H,7,0)</f>
        <v>LINHA P7</v>
      </c>
      <c r="E2487" s="5">
        <v>8800</v>
      </c>
      <c r="F2487">
        <f>IFERROR(
IF(ISNUMBER(FIND("CFW110",B2487)),
VALUE(MID(B2487,FIND("CFW110",B2487)+6,FIND("T",B2487,FIND("CFW110",B2487))-(FIND("CFW110",B2487)+6))),
IF(ISNUMBER(FIND("D",B2487)),
VALUE(SUBSTITUTE(MID(B2487,FIND("D",B2487)+1,FIND("T",B2487,FIND("D",B2487))-(FIND("D",B2487)+1)),"P",",")),
IF(ISNUMBER(FIND("CFW5",B2487)),
VALUE(MID(B2487,
IF(ISNUMBER(FIND("F",B2487)),FIND("F",B2487)+1,FIND("G",B2487)+1),
FIND("T",B2487)-(IF(ISNUMBER(FIND("F",B2487)),FIND("F",B2487)+1,FIND("G",B2487)+1))
)),
VALUE(MID(B2487,FIND("E0",B2487)+2,FIND("T",B2487,FIND("E0",B2487))-(FIND("E0",B2487)+2)))
))),"")</f>
        <v>28</v>
      </c>
      <c r="G2487">
        <f>IFERROR(
IF(ISNUMBER(FIND("T2",B2487)),220,
IF(ISNUMBER(FIND("T4",B2487)),440,
IF(ISNUMBER(FIND("T5",B2487)),575,
IF(ISNUMBER(FIND("T6",B2487)),690,"")))),
"")</f>
        <v>220</v>
      </c>
    </row>
    <row r="2488" spans="1:7" x14ac:dyDescent="0.25">
      <c r="A2488">
        <v>16001223</v>
      </c>
      <c r="B2488" t="str">
        <f>VLOOKUP(A2488,Planilha2!B:C,2,0)</f>
        <v>INVERSOR NACFW110028T2OTVZ</v>
      </c>
      <c r="C2488" t="s">
        <v>3169</v>
      </c>
      <c r="D2488" t="str">
        <f>VLOOKUP(A2488,Planilha2!B:H,7,0)</f>
        <v>LINHA P7</v>
      </c>
      <c r="E2488" s="5">
        <v>8700</v>
      </c>
      <c r="F2488">
        <f>IFERROR(
IF(ISNUMBER(FIND("CFW110",B2488)),
VALUE(MID(B2488,FIND("CFW110",B2488)+6,FIND("T",B2488,FIND("CFW110",B2488))-(FIND("CFW110",B2488)+6))),
IF(ISNUMBER(FIND("D",B2488)),
VALUE(SUBSTITUTE(MID(B2488,FIND("D",B2488)+1,FIND("T",B2488,FIND("D",B2488))-(FIND("D",B2488)+1)),"P",",")),
IF(ISNUMBER(FIND("CFW5",B2488)),
VALUE(MID(B2488,
IF(ISNUMBER(FIND("F",B2488)),FIND("F",B2488)+1,FIND("G",B2488)+1),
FIND("T",B2488)-(IF(ISNUMBER(FIND("F",B2488)),FIND("F",B2488)+1,FIND("G",B2488)+1))
)),
VALUE(MID(B2488,FIND("E0",B2488)+2,FIND("T",B2488,FIND("E0",B2488))-(FIND("E0",B2488)+2)))
))),"")</f>
        <v>28</v>
      </c>
      <c r="G2488">
        <f>IFERROR(
IF(ISNUMBER(FIND("T2",B2488)),220,
IF(ISNUMBER(FIND("T4",B2488)),440,
IF(ISNUMBER(FIND("T5",B2488)),575,
IF(ISNUMBER(FIND("T6",B2488)),690,"")))),
"")</f>
        <v>220</v>
      </c>
    </row>
    <row r="2489" spans="1:7" x14ac:dyDescent="0.25">
      <c r="A2489">
        <v>15759506</v>
      </c>
      <c r="B2489" t="str">
        <f>VLOOKUP(A2489,Planilha2!B:C,2,0)</f>
        <v>INVERSOR EUCFW110031T4OFATVZ</v>
      </c>
      <c r="C2489" t="s">
        <v>3169</v>
      </c>
      <c r="D2489" t="str">
        <f>VLOOKUP(A2489,Planilha2!B:H,7,0)</f>
        <v>LINHA P7</v>
      </c>
      <c r="E2489" s="5">
        <v>10500</v>
      </c>
      <c r="F2489">
        <f>IFERROR(
IF(ISNUMBER(FIND("CFW110",B2489)),
VALUE(MID(B2489,FIND("CFW110",B2489)+6,FIND("T",B2489,FIND("CFW110",B2489))-(FIND("CFW110",B2489)+6))),
IF(ISNUMBER(FIND("D",B2489)),
VALUE(SUBSTITUTE(MID(B2489,FIND("D",B2489)+1,FIND("T",B2489,FIND("D",B2489))-(FIND("D",B2489)+1)),"P",",")),
IF(ISNUMBER(FIND("CFW5",B2489)),
VALUE(MID(B2489,
IF(ISNUMBER(FIND("F",B2489)),FIND("F",B2489)+1,FIND("G",B2489)+1),
FIND("T",B2489)-(IF(ISNUMBER(FIND("F",B2489)),FIND("F",B2489)+1,FIND("G",B2489)+1))
)),
VALUE(MID(B2489,FIND("E0",B2489)+2,FIND("T",B2489,FIND("E0",B2489))-(FIND("E0",B2489)+2)))
))),"")</f>
        <v>31</v>
      </c>
      <c r="G2489">
        <f>IFERROR(
IF(ISNUMBER(FIND("T2",B2489)),220,
IF(ISNUMBER(FIND("T4",B2489)),440,
IF(ISNUMBER(FIND("T5",B2489)),575,
IF(ISNUMBER(FIND("T6",B2489)),690,"")))),
"")</f>
        <v>440</v>
      </c>
    </row>
    <row r="2490" spans="1:7" x14ac:dyDescent="0.25">
      <c r="A2490">
        <v>16001404</v>
      </c>
      <c r="B2490" t="str">
        <f>VLOOKUP(A2490,Planilha2!B:C,2,0)</f>
        <v>INVERSOR NACFW110031T4OTVZ</v>
      </c>
      <c r="C2490" t="s">
        <v>3169</v>
      </c>
      <c r="D2490" t="str">
        <f>VLOOKUP(A2490,Planilha2!B:H,7,0)</f>
        <v>LINHA P7</v>
      </c>
      <c r="E2490" s="5">
        <v>10400</v>
      </c>
      <c r="F2490">
        <f>IFERROR(
IF(ISNUMBER(FIND("CFW110",B2490)),
VALUE(MID(B2490,FIND("CFW110",B2490)+6,FIND("T",B2490,FIND("CFW110",B2490))-(FIND("CFW110",B2490)+6))),
IF(ISNUMBER(FIND("D",B2490)),
VALUE(SUBSTITUTE(MID(B2490,FIND("D",B2490)+1,FIND("T",B2490,FIND("D",B2490))-(FIND("D",B2490)+1)),"P",",")),
IF(ISNUMBER(FIND("CFW5",B2490)),
VALUE(MID(B2490,
IF(ISNUMBER(FIND("F",B2490)),FIND("F",B2490)+1,FIND("G",B2490)+1),
FIND("T",B2490)-(IF(ISNUMBER(FIND("F",B2490)),FIND("F",B2490)+1,FIND("G",B2490)+1))
)),
VALUE(MID(B2490,FIND("E0",B2490)+2,FIND("T",B2490,FIND("E0",B2490))-(FIND("E0",B2490)+2)))
))),"")</f>
        <v>31</v>
      </c>
      <c r="G2490">
        <f>IFERROR(
IF(ISNUMBER(FIND("T2",B2490)),220,
IF(ISNUMBER(FIND("T4",B2490)),440,
IF(ISNUMBER(FIND("T5",B2490)),575,
IF(ISNUMBER(FIND("T6",B2490)),690,"")))),
"")</f>
        <v>440</v>
      </c>
    </row>
    <row r="2491" spans="1:7" x14ac:dyDescent="0.25">
      <c r="A2491">
        <v>15752412</v>
      </c>
      <c r="B2491" t="str">
        <f>VLOOKUP(A2491,Planilha2!B:C,2,0)</f>
        <v>INVERSOR EUCFW110033T2OFATVZ</v>
      </c>
      <c r="C2491" t="s">
        <v>3169</v>
      </c>
      <c r="D2491" t="str">
        <f>VLOOKUP(A2491,Planilha2!B:H,7,0)</f>
        <v>LINHA P7</v>
      </c>
      <c r="E2491" s="5">
        <v>8900</v>
      </c>
      <c r="F2491">
        <f>IFERROR(
IF(ISNUMBER(FIND("CFW110",B2491)),
VALUE(MID(B2491,FIND("CFW110",B2491)+6,FIND("T",B2491,FIND("CFW110",B2491))-(FIND("CFW110",B2491)+6))),
IF(ISNUMBER(FIND("D",B2491)),
VALUE(SUBSTITUTE(MID(B2491,FIND("D",B2491)+1,FIND("T",B2491,FIND("D",B2491))-(FIND("D",B2491)+1)),"P",",")),
IF(ISNUMBER(FIND("CFW5",B2491)),
VALUE(MID(B2491,
IF(ISNUMBER(FIND("F",B2491)),FIND("F",B2491)+1,FIND("G",B2491)+1),
FIND("T",B2491)-(IF(ISNUMBER(FIND("F",B2491)),FIND("F",B2491)+1,FIND("G",B2491)+1))
)),
VALUE(MID(B2491,FIND("E0",B2491)+2,FIND("T",B2491,FIND("E0",B2491))-(FIND("E0",B2491)+2)))
))),"")</f>
        <v>33</v>
      </c>
      <c r="G2491">
        <f>IFERROR(
IF(ISNUMBER(FIND("T2",B2491)),220,
IF(ISNUMBER(FIND("T4",B2491)),440,
IF(ISNUMBER(FIND("T5",B2491)),575,
IF(ISNUMBER(FIND("T6",B2491)),690,"")))),
"")</f>
        <v>220</v>
      </c>
    </row>
    <row r="2492" spans="1:7" x14ac:dyDescent="0.25">
      <c r="A2492">
        <v>16001226</v>
      </c>
      <c r="B2492" t="str">
        <f>VLOOKUP(A2492,Planilha2!B:C,2,0)</f>
        <v>INVERSOR NACFW110033T2OTVZ</v>
      </c>
      <c r="C2492" t="s">
        <v>3169</v>
      </c>
      <c r="D2492" t="str">
        <f>VLOOKUP(A2492,Planilha2!B:H,7,0)</f>
        <v>LINHA P7</v>
      </c>
      <c r="E2492" s="5">
        <v>8800</v>
      </c>
      <c r="F2492">
        <f>IFERROR(
IF(ISNUMBER(FIND("CFW110",B2492)),
VALUE(MID(B2492,FIND("CFW110",B2492)+6,FIND("T",B2492,FIND("CFW110",B2492))-(FIND("CFW110",B2492)+6))),
IF(ISNUMBER(FIND("D",B2492)),
VALUE(SUBSTITUTE(MID(B2492,FIND("D",B2492)+1,FIND("T",B2492,FIND("D",B2492))-(FIND("D",B2492)+1)),"P",",")),
IF(ISNUMBER(FIND("CFW5",B2492)),
VALUE(MID(B2492,
IF(ISNUMBER(FIND("F",B2492)),FIND("F",B2492)+1,FIND("G",B2492)+1),
FIND("T",B2492)-(IF(ISNUMBER(FIND("F",B2492)),FIND("F",B2492)+1,FIND("G",B2492)+1))
)),
VALUE(MID(B2492,FIND("E0",B2492)+2,FIND("T",B2492,FIND("E0",B2492))-(FIND("E0",B2492)+2)))
))),"")</f>
        <v>33</v>
      </c>
      <c r="G2492">
        <f>IFERROR(
IF(ISNUMBER(FIND("T2",B2492)),220,
IF(ISNUMBER(FIND("T4",B2492)),440,
IF(ISNUMBER(FIND("T5",B2492)),575,
IF(ISNUMBER(FIND("T6",B2492)),690,"")))),
"")</f>
        <v>220</v>
      </c>
    </row>
    <row r="2493" spans="1:7" x14ac:dyDescent="0.25">
      <c r="A2493">
        <v>15939278</v>
      </c>
      <c r="B2493" t="str">
        <f>VLOOKUP(A2493,Planilha2!B:C,2,0)</f>
        <v>INVERSOR BRCFW110013T4OWHMT7Z</v>
      </c>
      <c r="C2493" t="s">
        <v>3169</v>
      </c>
      <c r="D2493" t="str">
        <f>VLOOKUP(A2493,Planilha2!B:H,7,0)</f>
        <v>LINHA P5</v>
      </c>
      <c r="E2493" s="5">
        <v>2520</v>
      </c>
      <c r="F2493">
        <f>IFERROR(
IF(ISNUMBER(FIND("CFW110",B2493)),
VALUE(MID(B2493,FIND("CFW110",B2493)+6,FIND("T",B2493,FIND("CFW110",B2493))-(FIND("CFW110",B2493)+6))),
IF(ISNUMBER(FIND("D",B2493)),
VALUE(SUBSTITUTE(MID(B2493,FIND("D",B2493)+1,FIND("T",B2493,FIND("D",B2493))-(FIND("D",B2493)+1)),"P",",")),
IF(ISNUMBER(FIND("CFW5",B2493)),
VALUE(MID(B2493,
IF(ISNUMBER(FIND("F",B2493)),FIND("F",B2493)+1,FIND("G",B2493)+1),
FIND("T",B2493)-(IF(ISNUMBER(FIND("F",B2493)),FIND("F",B2493)+1,FIND("G",B2493)+1))
)),
VALUE(MID(B2493,FIND("E0",B2493)+2,FIND("T",B2493,FIND("E0",B2493))-(FIND("E0",B2493)+2)))
))),"")</f>
        <v>13</v>
      </c>
      <c r="G2493">
        <f>IFERROR(
IF(ISNUMBER(FIND("T2",B2493)),220,
IF(ISNUMBER(FIND("T4",B2493)),440,
IF(ISNUMBER(FIND("T5",B2493)),575,
IF(ISNUMBER(FIND("T6",B2493)),690,"")))),
"")</f>
        <v>440</v>
      </c>
    </row>
    <row r="2494" spans="1:7" x14ac:dyDescent="0.25">
      <c r="A2494">
        <v>16122161</v>
      </c>
      <c r="B2494" t="str">
        <f>VLOOKUP(A2494,Planilha2!B:C,2,0)</f>
        <v>INVERSOR EUCFW110017T4OFAYSUZ</v>
      </c>
      <c r="C2494" t="s">
        <v>3169</v>
      </c>
      <c r="D2494" t="str">
        <f>VLOOKUP(A2494,Planilha2!B:H,7,0)</f>
        <v>LINHA P7</v>
      </c>
      <c r="E2494" s="5">
        <v>7280</v>
      </c>
      <c r="F2494">
        <f>IFERROR(
IF(ISNUMBER(FIND("CFW110",B2494)),
VALUE(MID(B2494,FIND("CFW110",B2494)+6,FIND("T",B2494,FIND("CFW110",B2494))-(FIND("CFW110",B2494)+6))),
IF(ISNUMBER(FIND("D",B2494)),
VALUE(SUBSTITUTE(MID(B2494,FIND("D",B2494)+1,FIND("T",B2494,FIND("D",B2494))-(FIND("D",B2494)+1)),"P",",")),
IF(ISNUMBER(FIND("CFW5",B2494)),
VALUE(MID(B2494,
IF(ISNUMBER(FIND("F",B2494)),FIND("F",B2494)+1,FIND("G",B2494)+1),
FIND("T",B2494)-(IF(ISNUMBER(FIND("F",B2494)),FIND("F",B2494)+1,FIND("G",B2494)+1))
)),
VALUE(MID(B2494,FIND("E0",B2494)+2,FIND("T",B2494,FIND("E0",B2494))-(FIND("E0",B2494)+2)))
))),"")</f>
        <v>17</v>
      </c>
      <c r="G2494">
        <f>IFERROR(
IF(ISNUMBER(FIND("T2",B2494)),220,
IF(ISNUMBER(FIND("T4",B2494)),440,
IF(ISNUMBER(FIND("T5",B2494)),575,
IF(ISNUMBER(FIND("T6",B2494)),690,"")))),
"")</f>
        <v>440</v>
      </c>
    </row>
    <row r="2495" spans="1:7" x14ac:dyDescent="0.25">
      <c r="A2495">
        <v>14538792</v>
      </c>
      <c r="B2495" t="str">
        <f>VLOOKUP(A2495,Planilha2!B:C,2,0)</f>
        <v>INVERSOR EUCFW110003T4O55FAYZ</v>
      </c>
      <c r="C2495" t="s">
        <v>3169</v>
      </c>
      <c r="D2495" t="str">
        <f>VLOOKUP(A2495,Planilha2!B:H,7,0)</f>
        <v>LINHA M3</v>
      </c>
      <c r="E2495" s="5">
        <v>10400</v>
      </c>
      <c r="F2495">
        <f>IFERROR(
IF(ISNUMBER(FIND("CFW110",B2495)),
VALUE(MID(B2495,FIND("CFW110",B2495)+6,FIND("T",B2495,FIND("CFW110",B2495))-(FIND("CFW110",B2495)+6))),
IF(ISNUMBER(FIND("D",B2495)),
VALUE(SUBSTITUTE(MID(B2495,FIND("D",B2495)+1,FIND("T",B2495,FIND("D",B2495))-(FIND("D",B2495)+1)),"P",",")),
IF(ISNUMBER(FIND("CFW5",B2495)),
VALUE(MID(B2495,
IF(ISNUMBER(FIND("F",B2495)),FIND("F",B2495)+1,FIND("G",B2495)+1),
FIND("T",B2495)-(IF(ISNUMBER(FIND("F",B2495)),FIND("F",B2495)+1,FIND("G",B2495)+1))
)),
VALUE(MID(B2495,FIND("E0",B2495)+2,FIND("T",B2495,FIND("E0",B2495))-(FIND("E0",B2495)+2)))
))),"")</f>
        <v>3</v>
      </c>
      <c r="G2495">
        <f>IFERROR(
IF(ISNUMBER(FIND("T2",B2495)),220,
IF(ISNUMBER(FIND("T4",B2495)),440,
IF(ISNUMBER(FIND("T5",B2495)),575,
IF(ISNUMBER(FIND("T6",B2495)),690,"")))),
"")</f>
        <v>440</v>
      </c>
    </row>
    <row r="2496" spans="1:7" x14ac:dyDescent="0.25">
      <c r="A2496">
        <v>16209705</v>
      </c>
      <c r="B2496" t="str">
        <f>VLOOKUP(A2496,Planilha2!B:C,2,0)</f>
        <v>INVERSOR MSCFW110024T4OFAZ</v>
      </c>
      <c r="C2496" t="s">
        <v>3169</v>
      </c>
      <c r="D2496" t="str">
        <f>VLOOKUP(A2496,Planilha2!B:H,7,0)</f>
        <v>LINHA P7</v>
      </c>
      <c r="E2496" s="5">
        <v>10100</v>
      </c>
      <c r="F2496">
        <f>IFERROR(
IF(ISNUMBER(FIND("CFW110",B2496)),
VALUE(MID(B2496,FIND("CFW110",B2496)+6,FIND("T",B2496,FIND("CFW110",B2496))-(FIND("CFW110",B2496)+6))),
IF(ISNUMBER(FIND("D",B2496)),
VALUE(SUBSTITUTE(MID(B2496,FIND("D",B2496)+1,FIND("T",B2496,FIND("D",B2496))-(FIND("D",B2496)+1)),"P",",")),
IF(ISNUMBER(FIND("CFW5",B2496)),
VALUE(MID(B2496,
IF(ISNUMBER(FIND("F",B2496)),FIND("F",B2496)+1,FIND("G",B2496)+1),
FIND("T",B2496)-(IF(ISNUMBER(FIND("F",B2496)),FIND("F",B2496)+1,FIND("G",B2496)+1))
)),
VALUE(MID(B2496,FIND("E0",B2496)+2,FIND("T",B2496,FIND("E0",B2496))-(FIND("E0",B2496)+2)))
))),"")</f>
        <v>24</v>
      </c>
      <c r="G2496">
        <f>IFERROR(
IF(ISNUMBER(FIND("T2",B2496)),220,
IF(ISNUMBER(FIND("T4",B2496)),440,
IF(ISNUMBER(FIND("T5",B2496)),575,
IF(ISNUMBER(FIND("T6",B2496)),690,"")))),
"")</f>
        <v>440</v>
      </c>
    </row>
    <row r="2497" spans="1:7" x14ac:dyDescent="0.25">
      <c r="A2497">
        <v>16237208</v>
      </c>
      <c r="B2497" t="str">
        <f>VLOOKUP(A2497,Planilha2!B:C,2,0)</f>
        <v>INVERSOR CFW700B31P0T4DB20C3S2</v>
      </c>
      <c r="C2497" t="s">
        <v>3169</v>
      </c>
      <c r="D2497" t="str">
        <f>VLOOKUP(A2497,Planilha2!B:H,7,0)</f>
        <v>OBSOLETOS DRIVES</v>
      </c>
      <c r="E2497" s="5">
        <v>9100</v>
      </c>
      <c r="F2497" t="str">
        <f>IFERROR(
IF(ISNUMBER(FIND("CFW110",B2497)),
VALUE(MID(B2497,FIND("CFW110",B2497)+6,FIND("T",B2497,FIND("CFW110",B2497))-(FIND("CFW110",B2497)+6))),
IF(ISNUMBER(FIND("D",B2497)),
VALUE(SUBSTITUTE(MID(B2497,FIND("D",B2497)+1,FIND("T",B2497,FIND("D",B2497))-(FIND("D",B2497)+1)),"P",",")),
IF(ISNUMBER(FIND("CFW5",B2497)),
VALUE(MID(B2497,
IF(ISNUMBER(FIND("F",B2497)),FIND("F",B2497)+1,FIND("G",B2497)+1),
FIND("T",B2497)-(IF(ISNUMBER(FIND("F",B2497)),FIND("F",B2497)+1,FIND("G",B2497)+1))
)),
VALUE(MID(B2497,FIND("E0",B2497)+2,FIND("T",B2497,FIND("E0",B2497))-(FIND("E0",B2497)+2)))
))),"")</f>
        <v/>
      </c>
      <c r="G2497">
        <f>IFERROR(
IF(ISNUMBER(FIND("T2",B2497)),220,
IF(ISNUMBER(FIND("T4",B2497)),440,
IF(ISNUMBER(FIND("T5",B2497)),575,
IF(ISNUMBER(FIND("T6",B2497)),690,"")))),
"")</f>
        <v>440</v>
      </c>
    </row>
    <row r="2498" spans="1:7" x14ac:dyDescent="0.25">
      <c r="A2498">
        <v>16237210</v>
      </c>
      <c r="B2498" t="str">
        <f>VLOOKUP(A2498,Planilha2!B:C,2,0)</f>
        <v>INVERSOR CFW700B17P0T4DB20C3S2</v>
      </c>
      <c r="C2498" t="s">
        <v>3169</v>
      </c>
      <c r="D2498" t="str">
        <f>VLOOKUP(A2498,Planilha2!B:H,7,0)</f>
        <v>OBSOLETOS DRIVES</v>
      </c>
      <c r="E2498" s="5">
        <v>9100</v>
      </c>
      <c r="F2498" t="str">
        <f>IFERROR(
IF(ISNUMBER(FIND("CFW110",B2498)),
VALUE(MID(B2498,FIND("CFW110",B2498)+6,FIND("T",B2498,FIND("CFW110",B2498))-(FIND("CFW110",B2498)+6))),
IF(ISNUMBER(FIND("D",B2498)),
VALUE(SUBSTITUTE(MID(B2498,FIND("D",B2498)+1,FIND("T",B2498,FIND("D",B2498))-(FIND("D",B2498)+1)),"P",",")),
IF(ISNUMBER(FIND("CFW5",B2498)),
VALUE(MID(B2498,
IF(ISNUMBER(FIND("F",B2498)),FIND("F",B2498)+1,FIND("G",B2498)+1),
FIND("T",B2498)-(IF(ISNUMBER(FIND("F",B2498)),FIND("F",B2498)+1,FIND("G",B2498)+1))
)),
VALUE(MID(B2498,FIND("E0",B2498)+2,FIND("T",B2498,FIND("E0",B2498))-(FIND("E0",B2498)+2)))
))),"")</f>
        <v/>
      </c>
      <c r="G2498">
        <f>IFERROR(
IF(ISNUMBER(FIND("T2",B2498)),220,
IF(ISNUMBER(FIND("T4",B2498)),440,
IF(ISNUMBER(FIND("T5",B2498)),575,
IF(ISNUMBER(FIND("T6",B2498)),690,"")))),
"")</f>
        <v>440</v>
      </c>
    </row>
    <row r="2499" spans="1:7" x14ac:dyDescent="0.25">
      <c r="A2499">
        <v>16237209</v>
      </c>
      <c r="B2499" t="str">
        <f>VLOOKUP(A2499,Planilha2!B:C,2,0)</f>
        <v>INVERSOR CFW700B24P0T4DB20C3S2</v>
      </c>
      <c r="C2499" t="s">
        <v>3169</v>
      </c>
      <c r="D2499" t="str">
        <f>VLOOKUP(A2499,Planilha2!B:H,7,0)</f>
        <v>OBSOLETOS DRIVES</v>
      </c>
      <c r="E2499" s="5">
        <v>9100</v>
      </c>
      <c r="F2499" t="str">
        <f>IFERROR(
IF(ISNUMBER(FIND("CFW110",B2499)),
VALUE(MID(B2499,FIND("CFW110",B2499)+6,FIND("T",B2499,FIND("CFW110",B2499))-(FIND("CFW110",B2499)+6))),
IF(ISNUMBER(FIND("D",B2499)),
VALUE(SUBSTITUTE(MID(B2499,FIND("D",B2499)+1,FIND("T",B2499,FIND("D",B2499))-(FIND("D",B2499)+1)),"P",",")),
IF(ISNUMBER(FIND("CFW5",B2499)),
VALUE(MID(B2499,
IF(ISNUMBER(FIND("F",B2499)),FIND("F",B2499)+1,FIND("G",B2499)+1),
FIND("T",B2499)-(IF(ISNUMBER(FIND("F",B2499)),FIND("F",B2499)+1,FIND("G",B2499)+1))
)),
VALUE(MID(B2499,FIND("E0",B2499)+2,FIND("T",B2499,FIND("E0",B2499))-(FIND("E0",B2499)+2)))
))),"")</f>
        <v/>
      </c>
      <c r="G2499">
        <f>IFERROR(
IF(ISNUMBER(FIND("T2",B2499)),220,
IF(ISNUMBER(FIND("T4",B2499)),440,
IF(ISNUMBER(FIND("T5",B2499)),575,
IF(ISNUMBER(FIND("T6",B2499)),690,"")))),
"")</f>
        <v>440</v>
      </c>
    </row>
    <row r="2500" spans="1:7" x14ac:dyDescent="0.25">
      <c r="A2500">
        <v>16237211</v>
      </c>
      <c r="B2500" t="str">
        <f>VLOOKUP(A2500,Planilha2!B:C,2,0)</f>
        <v>INVERSOR CFW700A13P5T4DB20C3S2</v>
      </c>
      <c r="C2500" t="s">
        <v>3169</v>
      </c>
      <c r="D2500" t="str">
        <f>VLOOKUP(A2500,Planilha2!B:H,7,0)</f>
        <v>OBSOLETOS DRIVES</v>
      </c>
      <c r="E2500" s="5">
        <v>5700</v>
      </c>
      <c r="F2500" t="str">
        <f>IFERROR(
IF(ISNUMBER(FIND("CFW110",B2500)),
VALUE(MID(B2500,FIND("CFW110",B2500)+6,FIND("T",B2500,FIND("CFW110",B2500))-(FIND("CFW110",B2500)+6))),
IF(ISNUMBER(FIND("D",B2500)),
VALUE(SUBSTITUTE(MID(B2500,FIND("D",B2500)+1,FIND("T",B2500,FIND("D",B2500))-(FIND("D",B2500)+1)),"P",",")),
IF(ISNUMBER(FIND("CFW5",B2500)),
VALUE(MID(B2500,
IF(ISNUMBER(FIND("F",B2500)),FIND("F",B2500)+1,FIND("G",B2500)+1),
FIND("T",B2500)-(IF(ISNUMBER(FIND("F",B2500)),FIND("F",B2500)+1,FIND("G",B2500)+1))
)),
VALUE(MID(B2500,FIND("E0",B2500)+2,FIND("T",B2500,FIND("E0",B2500))-(FIND("E0",B2500)+2)))
))),"")</f>
        <v/>
      </c>
      <c r="G2500">
        <f>IFERROR(
IF(ISNUMBER(FIND("T2",B2500)),220,
IF(ISNUMBER(FIND("T4",B2500)),440,
IF(ISNUMBER(FIND("T5",B2500)),575,
IF(ISNUMBER(FIND("T6",B2500)),690,"")))),
"")</f>
        <v>440</v>
      </c>
    </row>
    <row r="2501" spans="1:7" x14ac:dyDescent="0.25">
      <c r="A2501">
        <v>16237008</v>
      </c>
      <c r="B2501" t="str">
        <f>VLOOKUP(A2501,Planilha2!B:C,2,0)</f>
        <v>INVERSOR CFW700B31P0T4DB55C3DSS2</v>
      </c>
      <c r="C2501" t="s">
        <v>3169</v>
      </c>
      <c r="D2501" t="str">
        <f>VLOOKUP(A2501,Planilha2!B:H,7,0)</f>
        <v>OBSOLETOS DRIVES</v>
      </c>
      <c r="E2501" s="5">
        <v>10400</v>
      </c>
      <c r="F2501" t="str">
        <f>IFERROR(
IF(ISNUMBER(FIND("CFW110",B2501)),
VALUE(MID(B2501,FIND("CFW110",B2501)+6,FIND("T",B2501,FIND("CFW110",B2501))-(FIND("CFW110",B2501)+6))),
IF(ISNUMBER(FIND("D",B2501)),
VALUE(SUBSTITUTE(MID(B2501,FIND("D",B2501)+1,FIND("T",B2501,FIND("D",B2501))-(FIND("D",B2501)+1)),"P",",")),
IF(ISNUMBER(FIND("CFW5",B2501)),
VALUE(MID(B2501,
IF(ISNUMBER(FIND("F",B2501)),FIND("F",B2501)+1,FIND("G",B2501)+1),
FIND("T",B2501)-(IF(ISNUMBER(FIND("F",B2501)),FIND("F",B2501)+1,FIND("G",B2501)+1))
)),
VALUE(MID(B2501,FIND("E0",B2501)+2,FIND("T",B2501,FIND("E0",B2501))-(FIND("E0",B2501)+2)))
))),"")</f>
        <v/>
      </c>
      <c r="G2501">
        <f>IFERROR(
IF(ISNUMBER(FIND("T2",B2501)),220,
IF(ISNUMBER(FIND("T4",B2501)),440,
IF(ISNUMBER(FIND("T5",B2501)),575,
IF(ISNUMBER(FIND("T6",B2501)),690,"")))),
"")</f>
        <v>440</v>
      </c>
    </row>
    <row r="2502" spans="1:7" x14ac:dyDescent="0.25">
      <c r="A2502">
        <v>16237010</v>
      </c>
      <c r="B2502" t="str">
        <f>VLOOKUP(A2502,Planilha2!B:C,2,0)</f>
        <v>INVERSOR CFW700B17P0T4DB55C3DSS2</v>
      </c>
      <c r="C2502" t="s">
        <v>3169</v>
      </c>
      <c r="D2502" t="str">
        <f>VLOOKUP(A2502,Planilha2!B:H,7,0)</f>
        <v>OBSOLETOS DRIVES</v>
      </c>
      <c r="E2502" s="5">
        <v>9100</v>
      </c>
      <c r="F2502" t="str">
        <f>IFERROR(
IF(ISNUMBER(FIND("CFW110",B2502)),
VALUE(MID(B2502,FIND("CFW110",B2502)+6,FIND("T",B2502,FIND("CFW110",B2502))-(FIND("CFW110",B2502)+6))),
IF(ISNUMBER(FIND("D",B2502)),
VALUE(SUBSTITUTE(MID(B2502,FIND("D",B2502)+1,FIND("T",B2502,FIND("D",B2502))-(FIND("D",B2502)+1)),"P",",")),
IF(ISNUMBER(FIND("CFW5",B2502)),
VALUE(MID(B2502,
IF(ISNUMBER(FIND("F",B2502)),FIND("F",B2502)+1,FIND("G",B2502)+1),
FIND("T",B2502)-(IF(ISNUMBER(FIND("F",B2502)),FIND("F",B2502)+1,FIND("G",B2502)+1))
)),
VALUE(MID(B2502,FIND("E0",B2502)+2,FIND("T",B2502,FIND("E0",B2502))-(FIND("E0",B2502)+2)))
))),"")</f>
        <v/>
      </c>
      <c r="G2502">
        <f>IFERROR(
IF(ISNUMBER(FIND("T2",B2502)),220,
IF(ISNUMBER(FIND("T4",B2502)),440,
IF(ISNUMBER(FIND("T5",B2502)),575,
IF(ISNUMBER(FIND("T6",B2502)),690,"")))),
"")</f>
        <v>440</v>
      </c>
    </row>
    <row r="2503" spans="1:7" x14ac:dyDescent="0.25">
      <c r="A2503">
        <v>16237009</v>
      </c>
      <c r="B2503" t="str">
        <f>VLOOKUP(A2503,Planilha2!B:C,2,0)</f>
        <v>INVERSOR CFW700B24P0T4DB55C3DSS2</v>
      </c>
      <c r="C2503" t="s">
        <v>3169</v>
      </c>
      <c r="D2503" t="str">
        <f>VLOOKUP(A2503,Planilha2!B:H,7,0)</f>
        <v>OBSOLETOS DRIVES</v>
      </c>
      <c r="E2503" s="5">
        <v>9700</v>
      </c>
      <c r="F2503" t="str">
        <f>IFERROR(
IF(ISNUMBER(FIND("CFW110",B2503)),
VALUE(MID(B2503,FIND("CFW110",B2503)+6,FIND("T",B2503,FIND("CFW110",B2503))-(FIND("CFW110",B2503)+6))),
IF(ISNUMBER(FIND("D",B2503)),
VALUE(SUBSTITUTE(MID(B2503,FIND("D",B2503)+1,FIND("T",B2503,FIND("D",B2503))-(FIND("D",B2503)+1)),"P",",")),
IF(ISNUMBER(FIND("CFW5",B2503)),
VALUE(MID(B2503,
IF(ISNUMBER(FIND("F",B2503)),FIND("F",B2503)+1,FIND("G",B2503)+1),
FIND("T",B2503)-(IF(ISNUMBER(FIND("F",B2503)),FIND("F",B2503)+1,FIND("G",B2503)+1))
)),
VALUE(MID(B2503,FIND("E0",B2503)+2,FIND("T",B2503,FIND("E0",B2503))-(FIND("E0",B2503)+2)))
))),"")</f>
        <v/>
      </c>
      <c r="G2503">
        <f>IFERROR(
IF(ISNUMBER(FIND("T2",B2503)),220,
IF(ISNUMBER(FIND("T4",B2503)),440,
IF(ISNUMBER(FIND("T5",B2503)),575,
IF(ISNUMBER(FIND("T6",B2503)),690,"")))),
"")</f>
        <v>440</v>
      </c>
    </row>
    <row r="2504" spans="1:7" x14ac:dyDescent="0.25">
      <c r="A2504">
        <v>15658521</v>
      </c>
      <c r="B2504" t="str">
        <f>VLOOKUP(A2504,Planilha2!B:C,2,0)</f>
        <v>INVERSOR BRCFW110017T4OWECZ</v>
      </c>
      <c r="C2504" t="s">
        <v>3169</v>
      </c>
      <c r="D2504" t="str">
        <f>VLOOKUP(A2504,Planilha2!B:H,7,0)</f>
        <v>LINHA P7</v>
      </c>
      <c r="E2504" s="5">
        <v>9100</v>
      </c>
      <c r="F2504">
        <f>IFERROR(
IF(ISNUMBER(FIND("CFW110",B2504)),
VALUE(MID(B2504,FIND("CFW110",B2504)+6,FIND("T",B2504,FIND("CFW110",B2504))-(FIND("CFW110",B2504)+6))),
IF(ISNUMBER(FIND("D",B2504)),
VALUE(SUBSTITUTE(MID(B2504,FIND("D",B2504)+1,FIND("T",B2504,FIND("D",B2504))-(FIND("D",B2504)+1)),"P",",")),
IF(ISNUMBER(FIND("CFW5",B2504)),
VALUE(MID(B2504,
IF(ISNUMBER(FIND("F",B2504)),FIND("F",B2504)+1,FIND("G",B2504)+1),
FIND("T",B2504)-(IF(ISNUMBER(FIND("F",B2504)),FIND("F",B2504)+1,FIND("G",B2504)+1))
)),
VALUE(MID(B2504,FIND("E0",B2504)+2,FIND("T",B2504,FIND("E0",B2504))-(FIND("E0",B2504)+2)))
))),"")</f>
        <v>17</v>
      </c>
      <c r="G2504">
        <f>IFERROR(
IF(ISNUMBER(FIND("T2",B2504)),220,
IF(ISNUMBER(FIND("T4",B2504)),440,
IF(ISNUMBER(FIND("T5",B2504)),575,
IF(ISNUMBER(FIND("T6",B2504)),690,"")))),
"")</f>
        <v>440</v>
      </c>
    </row>
    <row r="2505" spans="1:7" x14ac:dyDescent="0.25">
      <c r="A2505">
        <v>16337484</v>
      </c>
      <c r="B2505" t="str">
        <f>VLOOKUP(A2505,Planilha2!B:C,2,0)</f>
        <v>INVERSOR BRCFW110024T4ON1Z</v>
      </c>
      <c r="C2505" t="s">
        <v>3169</v>
      </c>
      <c r="D2505" t="str">
        <f>VLOOKUP(A2505,Planilha2!B:H,7,0)</f>
        <v>LINHA P7</v>
      </c>
      <c r="E2505" s="5">
        <v>4500</v>
      </c>
      <c r="F2505">
        <f>IFERROR(
IF(ISNUMBER(FIND("CFW110",B2505)),
VALUE(MID(B2505,FIND("CFW110",B2505)+6,FIND("T",B2505,FIND("CFW110",B2505))-(FIND("CFW110",B2505)+6))),
IF(ISNUMBER(FIND("D",B2505)),
VALUE(SUBSTITUTE(MID(B2505,FIND("D",B2505)+1,FIND("T",B2505,FIND("D",B2505))-(FIND("D",B2505)+1)),"P",",")),
IF(ISNUMBER(FIND("CFW5",B2505)),
VALUE(MID(B2505,
IF(ISNUMBER(FIND("F",B2505)),FIND("F",B2505)+1,FIND("G",B2505)+1),
FIND("T",B2505)-(IF(ISNUMBER(FIND("F",B2505)),FIND("F",B2505)+1,FIND("G",B2505)+1))
)),
VALUE(MID(B2505,FIND("E0",B2505)+2,FIND("T",B2505,FIND("E0",B2505))-(FIND("E0",B2505)+2)))
))),"")</f>
        <v>24</v>
      </c>
      <c r="G2505">
        <f>IFERROR(
IF(ISNUMBER(FIND("T2",B2505)),220,
IF(ISNUMBER(FIND("T4",B2505)),440,
IF(ISNUMBER(FIND("T5",B2505)),575,
IF(ISNUMBER(FIND("T6",B2505)),690,"")))),
"")</f>
        <v>440</v>
      </c>
    </row>
    <row r="2506" spans="1:7" x14ac:dyDescent="0.25">
      <c r="A2506">
        <v>16337483</v>
      </c>
      <c r="B2506" t="str">
        <f>VLOOKUP(A2506,Planilha2!B:C,2,0)</f>
        <v>INVERSOR BRCFW110017T4ON1Z</v>
      </c>
      <c r="C2506" t="s">
        <v>3169</v>
      </c>
      <c r="D2506" t="str">
        <f>VLOOKUP(A2506,Planilha2!B:H,7,0)</f>
        <v>LINHA P7</v>
      </c>
      <c r="E2506" s="5">
        <v>4500</v>
      </c>
      <c r="F2506">
        <f>IFERROR(
IF(ISNUMBER(FIND("CFW110",B2506)),
VALUE(MID(B2506,FIND("CFW110",B2506)+6,FIND("T",B2506,FIND("CFW110",B2506))-(FIND("CFW110",B2506)+6))),
IF(ISNUMBER(FIND("D",B2506)),
VALUE(SUBSTITUTE(MID(B2506,FIND("D",B2506)+1,FIND("T",B2506,FIND("D",B2506))-(FIND("D",B2506)+1)),"P",",")),
IF(ISNUMBER(FIND("CFW5",B2506)),
VALUE(MID(B2506,
IF(ISNUMBER(FIND("F",B2506)),FIND("F",B2506)+1,FIND("G",B2506)+1),
FIND("T",B2506)-(IF(ISNUMBER(FIND("F",B2506)),FIND("F",B2506)+1,FIND("G",B2506)+1))
)),
VALUE(MID(B2506,FIND("E0",B2506)+2,FIND("T",B2506,FIND("E0",B2506))-(FIND("E0",B2506)+2)))
))),"")</f>
        <v>17</v>
      </c>
      <c r="G2506">
        <f>IFERROR(
IF(ISNUMBER(FIND("T2",B2506)),220,
IF(ISNUMBER(FIND("T4",B2506)),440,
IF(ISNUMBER(FIND("T5",B2506)),575,
IF(ISNUMBER(FIND("T6",B2506)),690,"")))),
"")</f>
        <v>440</v>
      </c>
    </row>
    <row r="2507" spans="1:7" x14ac:dyDescent="0.25">
      <c r="A2507">
        <v>16337481</v>
      </c>
      <c r="B2507" t="str">
        <f>VLOOKUP(A2507,Planilha2!B:C,2,0)</f>
        <v>INVERSOR BRCFW110013T4ON1Z</v>
      </c>
      <c r="C2507" t="s">
        <v>3169</v>
      </c>
      <c r="D2507" t="str">
        <f>VLOOKUP(A2507,Planilha2!B:H,7,0)</f>
        <v>LINHA P5</v>
      </c>
      <c r="E2507" s="5">
        <v>4500</v>
      </c>
      <c r="F2507">
        <f>IFERROR(
IF(ISNUMBER(FIND("CFW110",B2507)),
VALUE(MID(B2507,FIND("CFW110",B2507)+6,FIND("T",B2507,FIND("CFW110",B2507))-(FIND("CFW110",B2507)+6))),
IF(ISNUMBER(FIND("D",B2507)),
VALUE(SUBSTITUTE(MID(B2507,FIND("D",B2507)+1,FIND("T",B2507,FIND("D",B2507))-(FIND("D",B2507)+1)),"P",",")),
IF(ISNUMBER(FIND("CFW5",B2507)),
VALUE(MID(B2507,
IF(ISNUMBER(FIND("F",B2507)),FIND("F",B2507)+1,FIND("G",B2507)+1),
FIND("T",B2507)-(IF(ISNUMBER(FIND("F",B2507)),FIND("F",B2507)+1,FIND("G",B2507)+1))
)),
VALUE(MID(B2507,FIND("E0",B2507)+2,FIND("T",B2507,FIND("E0",B2507))-(FIND("E0",B2507)+2)))
))),"")</f>
        <v>13</v>
      </c>
      <c r="G2507">
        <f>IFERROR(
IF(ISNUMBER(FIND("T2",B2507)),220,
IF(ISNUMBER(FIND("T4",B2507)),440,
IF(ISNUMBER(FIND("T5",B2507)),575,
IF(ISNUMBER(FIND("T6",B2507)),690,"")))),
"")</f>
        <v>440</v>
      </c>
    </row>
    <row r="2508" spans="1:7" x14ac:dyDescent="0.25">
      <c r="A2508">
        <v>16381151</v>
      </c>
      <c r="B2508" t="str">
        <f>VLOOKUP(A2508,Planilha2!B:C,2,0)</f>
        <v>INVERSOR BRCFW110028T2OFAYZ</v>
      </c>
      <c r="C2508" t="s">
        <v>3169</v>
      </c>
      <c r="D2508" t="str">
        <f>VLOOKUP(A2508,Planilha2!B:H,7,0)</f>
        <v>LINHA P7</v>
      </c>
      <c r="E2508" s="5">
        <v>9100</v>
      </c>
      <c r="F2508">
        <f>IFERROR(
IF(ISNUMBER(FIND("CFW110",B2508)),
VALUE(MID(B2508,FIND("CFW110",B2508)+6,FIND("T",B2508,FIND("CFW110",B2508))-(FIND("CFW110",B2508)+6))),
IF(ISNUMBER(FIND("D",B2508)),
VALUE(SUBSTITUTE(MID(B2508,FIND("D",B2508)+1,FIND("T",B2508,FIND("D",B2508))-(FIND("D",B2508)+1)),"P",",")),
IF(ISNUMBER(FIND("CFW5",B2508)),
VALUE(MID(B2508,
IF(ISNUMBER(FIND("F",B2508)),FIND("F",B2508)+1,FIND("G",B2508)+1),
FIND("T",B2508)-(IF(ISNUMBER(FIND("F",B2508)),FIND("F",B2508)+1,FIND("G",B2508)+1))
)),
VALUE(MID(B2508,FIND("E0",B2508)+2,FIND("T",B2508,FIND("E0",B2508))-(FIND("E0",B2508)+2)))
))),"")</f>
        <v>28</v>
      </c>
      <c r="G2508">
        <f>IFERROR(
IF(ISNUMBER(FIND("T2",B2508)),220,
IF(ISNUMBER(FIND("T4",B2508)),440,
IF(ISNUMBER(FIND("T5",B2508)),575,
IF(ISNUMBER(FIND("T6",B2508)),690,"")))),
"")</f>
        <v>220</v>
      </c>
    </row>
    <row r="2509" spans="1:7" x14ac:dyDescent="0.25">
      <c r="A2509">
        <v>16341217</v>
      </c>
      <c r="B2509" t="str">
        <f>VLOOKUP(A2509,Planilha2!B:C,2,0)</f>
        <v>INVERSOR MSCFW110024T4O55YHIZ</v>
      </c>
      <c r="C2509" t="s">
        <v>3169</v>
      </c>
      <c r="D2509" t="str">
        <f>VLOOKUP(A2509,Planilha2!B:H,7,0)</f>
        <v>LINHA M3</v>
      </c>
      <c r="E2509" s="5">
        <v>4500</v>
      </c>
      <c r="F2509">
        <f>IFERROR(
IF(ISNUMBER(FIND("CFW110",B2509)),
VALUE(MID(B2509,FIND("CFW110",B2509)+6,FIND("T",B2509,FIND("CFW110",B2509))-(FIND("CFW110",B2509)+6))),
IF(ISNUMBER(FIND("D",B2509)),
VALUE(SUBSTITUTE(MID(B2509,FIND("D",B2509)+1,FIND("T",B2509,FIND("D",B2509))-(FIND("D",B2509)+1)),"P",",")),
IF(ISNUMBER(FIND("CFW5",B2509)),
VALUE(MID(B2509,
IF(ISNUMBER(FIND("F",B2509)),FIND("F",B2509)+1,FIND("G",B2509)+1),
FIND("T",B2509)-(IF(ISNUMBER(FIND("F",B2509)),FIND("F",B2509)+1,FIND("G",B2509)+1))
)),
VALUE(MID(B2509,FIND("E0",B2509)+2,FIND("T",B2509,FIND("E0",B2509))-(FIND("E0",B2509)+2)))
))),"")</f>
        <v>24</v>
      </c>
      <c r="G2509">
        <f>IFERROR(
IF(ISNUMBER(FIND("T2",B2509)),220,
IF(ISNUMBER(FIND("T4",B2509)),440,
IF(ISNUMBER(FIND("T5",B2509)),575,
IF(ISNUMBER(FIND("T6",B2509)),690,"")))),
"")</f>
        <v>440</v>
      </c>
    </row>
    <row r="2510" spans="1:7" x14ac:dyDescent="0.25">
      <c r="A2510">
        <v>16341216</v>
      </c>
      <c r="B2510" t="str">
        <f>VLOOKUP(A2510,Planilha2!B:C,2,0)</f>
        <v>INVERSOR MSCFW110017T4O55YHIZ</v>
      </c>
      <c r="C2510" t="s">
        <v>3169</v>
      </c>
      <c r="D2510" t="str">
        <f>VLOOKUP(A2510,Planilha2!B:H,7,0)</f>
        <v>LINHA M3</v>
      </c>
      <c r="E2510" s="5">
        <v>14000</v>
      </c>
      <c r="F2510">
        <f>IFERROR(
IF(ISNUMBER(FIND("CFW110",B2510)),
VALUE(MID(B2510,FIND("CFW110",B2510)+6,FIND("T",B2510,FIND("CFW110",B2510))-(FIND("CFW110",B2510)+6))),
IF(ISNUMBER(FIND("D",B2510)),
VALUE(SUBSTITUTE(MID(B2510,FIND("D",B2510)+1,FIND("T",B2510,FIND("D",B2510))-(FIND("D",B2510)+1)),"P",",")),
IF(ISNUMBER(FIND("CFW5",B2510)),
VALUE(MID(B2510,
IF(ISNUMBER(FIND("F",B2510)),FIND("F",B2510)+1,FIND("G",B2510)+1),
FIND("T",B2510)-(IF(ISNUMBER(FIND("F",B2510)),FIND("F",B2510)+1,FIND("G",B2510)+1))
)),
VALUE(MID(B2510,FIND("E0",B2510)+2,FIND("T",B2510,FIND("E0",B2510))-(FIND("E0",B2510)+2)))
))),"")</f>
        <v>17</v>
      </c>
      <c r="G2510">
        <f>IFERROR(
IF(ISNUMBER(FIND("T2",B2510)),220,
IF(ISNUMBER(FIND("T4",B2510)),440,
IF(ISNUMBER(FIND("T5",B2510)),575,
IF(ISNUMBER(FIND("T6",B2510)),690,"")))),
"")</f>
        <v>440</v>
      </c>
    </row>
    <row r="2511" spans="1:7" x14ac:dyDescent="0.25">
      <c r="A2511">
        <v>16341215</v>
      </c>
      <c r="B2511" t="str">
        <f>VLOOKUP(A2511,Planilha2!B:C,2,0)</f>
        <v>INVERSOR MSCFW110007T4O55YHIZ</v>
      </c>
      <c r="C2511" t="s">
        <v>3169</v>
      </c>
      <c r="D2511" t="str">
        <f>VLOOKUP(A2511,Planilha2!B:H,7,0)</f>
        <v>LINHA M3</v>
      </c>
      <c r="E2511" s="5">
        <v>4500</v>
      </c>
      <c r="F2511">
        <f>IFERROR(
IF(ISNUMBER(FIND("CFW110",B2511)),
VALUE(MID(B2511,FIND("CFW110",B2511)+6,FIND("T",B2511,FIND("CFW110",B2511))-(FIND("CFW110",B2511)+6))),
IF(ISNUMBER(FIND("D",B2511)),
VALUE(SUBSTITUTE(MID(B2511,FIND("D",B2511)+1,FIND("T",B2511,FIND("D",B2511))-(FIND("D",B2511)+1)),"P",",")),
IF(ISNUMBER(FIND("CFW5",B2511)),
VALUE(MID(B2511,
IF(ISNUMBER(FIND("F",B2511)),FIND("F",B2511)+1,FIND("G",B2511)+1),
FIND("T",B2511)-(IF(ISNUMBER(FIND("F",B2511)),FIND("F",B2511)+1,FIND("G",B2511)+1))
)),
VALUE(MID(B2511,FIND("E0",B2511)+2,FIND("T",B2511,FIND("E0",B2511))-(FIND("E0",B2511)+2)))
))),"")</f>
        <v>7</v>
      </c>
      <c r="G2511">
        <f>IFERROR(
IF(ISNUMBER(FIND("T2",B2511)),220,
IF(ISNUMBER(FIND("T4",B2511)),440,
IF(ISNUMBER(FIND("T5",B2511)),575,
IF(ISNUMBER(FIND("T6",B2511)),690,"")))),
"")</f>
        <v>440</v>
      </c>
    </row>
    <row r="2512" spans="1:7" x14ac:dyDescent="0.25">
      <c r="A2512">
        <v>16341213</v>
      </c>
      <c r="B2512" t="str">
        <f>VLOOKUP(A2512,Planilha2!B:C,2,0)</f>
        <v>INVERSOR MSCFW110005T4O55YHIZ</v>
      </c>
      <c r="C2512" t="s">
        <v>3169</v>
      </c>
      <c r="D2512" t="str">
        <f>VLOOKUP(A2512,Planilha2!B:H,7,0)</f>
        <v>LINHA M3</v>
      </c>
      <c r="E2512" s="5">
        <v>4500</v>
      </c>
      <c r="F2512">
        <f>IFERROR(
IF(ISNUMBER(FIND("CFW110",B2512)),
VALUE(MID(B2512,FIND("CFW110",B2512)+6,FIND("T",B2512,FIND("CFW110",B2512))-(FIND("CFW110",B2512)+6))),
IF(ISNUMBER(FIND("D",B2512)),
VALUE(SUBSTITUTE(MID(B2512,FIND("D",B2512)+1,FIND("T",B2512,FIND("D",B2512))-(FIND("D",B2512)+1)),"P",",")),
IF(ISNUMBER(FIND("CFW5",B2512)),
VALUE(MID(B2512,
IF(ISNUMBER(FIND("F",B2512)),FIND("F",B2512)+1,FIND("G",B2512)+1),
FIND("T",B2512)-(IF(ISNUMBER(FIND("F",B2512)),FIND("F",B2512)+1,FIND("G",B2512)+1))
)),
VALUE(MID(B2512,FIND("E0",B2512)+2,FIND("T",B2512,FIND("E0",B2512))-(FIND("E0",B2512)+2)))
))),"")</f>
        <v>5</v>
      </c>
      <c r="G2512">
        <f>IFERROR(
IF(ISNUMBER(FIND("T2",B2512)),220,
IF(ISNUMBER(FIND("T4",B2512)),440,
IF(ISNUMBER(FIND("T5",B2512)),575,
IF(ISNUMBER(FIND("T6",B2512)),690,"")))),
"")</f>
        <v>440</v>
      </c>
    </row>
    <row r="2513" spans="1:7" x14ac:dyDescent="0.25">
      <c r="A2513">
        <v>16445558</v>
      </c>
      <c r="B2513" t="str">
        <f>VLOOKUP(A2513,Planilha2!B:C,2,0)</f>
        <v>INVERSOR BRCFW110010T4OFAECZ</v>
      </c>
      <c r="C2513" t="s">
        <v>3169</v>
      </c>
      <c r="D2513" t="str">
        <f>VLOOKUP(A2513,Planilha2!B:H,7,0)</f>
        <v>LINHA P5</v>
      </c>
      <c r="E2513" s="5">
        <v>6000</v>
      </c>
      <c r="F2513">
        <f>IFERROR(
IF(ISNUMBER(FIND("CFW110",B2513)),
VALUE(MID(B2513,FIND("CFW110",B2513)+6,FIND("T",B2513,FIND("CFW110",B2513))-(FIND("CFW110",B2513)+6))),
IF(ISNUMBER(FIND("D",B2513)),
VALUE(SUBSTITUTE(MID(B2513,FIND("D",B2513)+1,FIND("T",B2513,FIND("D",B2513))-(FIND("D",B2513)+1)),"P",",")),
IF(ISNUMBER(FIND("CFW5",B2513)),
VALUE(MID(B2513,
IF(ISNUMBER(FIND("F",B2513)),FIND("F",B2513)+1,FIND("G",B2513)+1),
FIND("T",B2513)-(IF(ISNUMBER(FIND("F",B2513)),FIND("F",B2513)+1,FIND("G",B2513)+1))
)),
VALUE(MID(B2513,FIND("E0",B2513)+2,FIND("T",B2513,FIND("E0",B2513))-(FIND("E0",B2513)+2)))
))),"")</f>
        <v>10</v>
      </c>
      <c r="G2513">
        <f>IFERROR(
IF(ISNUMBER(FIND("T2",B2513)),220,
IF(ISNUMBER(FIND("T4",B2513)),440,
IF(ISNUMBER(FIND("T5",B2513)),575,
IF(ISNUMBER(FIND("T6",B2513)),690,"")))),
"")</f>
        <v>440</v>
      </c>
    </row>
    <row r="2514" spans="1:7" x14ac:dyDescent="0.25">
      <c r="A2514">
        <v>16445559</v>
      </c>
      <c r="B2514" t="str">
        <f>VLOOKUP(A2514,Planilha2!B:C,2,0)</f>
        <v>INVERSOR BRCFW110013T4OFAECZ</v>
      </c>
      <c r="C2514" t="s">
        <v>3169</v>
      </c>
      <c r="D2514" t="str">
        <f>VLOOKUP(A2514,Planilha2!B:H,7,0)</f>
        <v>LINHA P5</v>
      </c>
      <c r="E2514" s="5">
        <v>5750</v>
      </c>
      <c r="F2514">
        <f>IFERROR(
IF(ISNUMBER(FIND("CFW110",B2514)),
VALUE(MID(B2514,FIND("CFW110",B2514)+6,FIND("T",B2514,FIND("CFW110",B2514))-(FIND("CFW110",B2514)+6))),
IF(ISNUMBER(FIND("D",B2514)),
VALUE(SUBSTITUTE(MID(B2514,FIND("D",B2514)+1,FIND("T",B2514,FIND("D",B2514))-(FIND("D",B2514)+1)),"P",",")),
IF(ISNUMBER(FIND("CFW5",B2514)),
VALUE(MID(B2514,
IF(ISNUMBER(FIND("F",B2514)),FIND("F",B2514)+1,FIND("G",B2514)+1),
FIND("T",B2514)-(IF(ISNUMBER(FIND("F",B2514)),FIND("F",B2514)+1,FIND("G",B2514)+1))
)),
VALUE(MID(B2514,FIND("E0",B2514)+2,FIND("T",B2514,FIND("E0",B2514))-(FIND("E0",B2514)+2)))
))),"")</f>
        <v>13</v>
      </c>
      <c r="G2514">
        <f>IFERROR(
IF(ISNUMBER(FIND("T2",B2514)),220,
IF(ISNUMBER(FIND("T4",B2514)),440,
IF(ISNUMBER(FIND("T5",B2514)),575,
IF(ISNUMBER(FIND("T6",B2514)),690,"")))),
"")</f>
        <v>440</v>
      </c>
    </row>
    <row r="2515" spans="1:7" x14ac:dyDescent="0.25">
      <c r="A2515">
        <v>16539463</v>
      </c>
      <c r="B2515" t="str">
        <f>VLOOKUP(A2515,Planilha2!B:C,2,0)</f>
        <v>INVERSOR BRCFW110028T2ON1Z</v>
      </c>
      <c r="C2515" t="s">
        <v>3169</v>
      </c>
      <c r="D2515" t="str">
        <f>VLOOKUP(A2515,Planilha2!B:H,7,0)</f>
        <v>LINHA P7</v>
      </c>
      <c r="E2515" s="5">
        <v>5900</v>
      </c>
      <c r="F2515">
        <f>IFERROR(
IF(ISNUMBER(FIND("CFW110",B2515)),
VALUE(MID(B2515,FIND("CFW110",B2515)+6,FIND("T",B2515,FIND("CFW110",B2515))-(FIND("CFW110",B2515)+6))),
IF(ISNUMBER(FIND("D",B2515)),
VALUE(SUBSTITUTE(MID(B2515,FIND("D",B2515)+1,FIND("T",B2515,FIND("D",B2515))-(FIND("D",B2515)+1)),"P",",")),
IF(ISNUMBER(FIND("CFW5",B2515)),
VALUE(MID(B2515,
IF(ISNUMBER(FIND("F",B2515)),FIND("F",B2515)+1,FIND("G",B2515)+1),
FIND("T",B2515)-(IF(ISNUMBER(FIND("F",B2515)),FIND("F",B2515)+1,FIND("G",B2515)+1))
)),
VALUE(MID(B2515,FIND("E0",B2515)+2,FIND("T",B2515,FIND("E0",B2515))-(FIND("E0",B2515)+2)))
))),"")</f>
        <v>28</v>
      </c>
      <c r="G2515">
        <f>IFERROR(
IF(ISNUMBER(FIND("T2",B2515)),220,
IF(ISNUMBER(FIND("T4",B2515)),440,
IF(ISNUMBER(FIND("T5",B2515)),575,
IF(ISNUMBER(FIND("T6",B2515)),690,"")))),
"")</f>
        <v>220</v>
      </c>
    </row>
    <row r="2516" spans="1:7" x14ac:dyDescent="0.25">
      <c r="A2516">
        <v>16538368</v>
      </c>
      <c r="B2516" t="str">
        <f>VLOOKUP(A2516,Planilha2!B:C,2,0)</f>
        <v>INVERSOR BRCFW110028T2OWZ</v>
      </c>
      <c r="C2516" t="s">
        <v>3169</v>
      </c>
      <c r="D2516" t="str">
        <f>VLOOKUP(A2516,Planilha2!B:H,7,0)</f>
        <v>LINHA P7</v>
      </c>
      <c r="E2516" s="5">
        <v>4960</v>
      </c>
      <c r="F2516">
        <f>IFERROR(
IF(ISNUMBER(FIND("CFW110",B2516)),
VALUE(MID(B2516,FIND("CFW110",B2516)+6,FIND("T",B2516,FIND("CFW110",B2516))-(FIND("CFW110",B2516)+6))),
IF(ISNUMBER(FIND("D",B2516)),
VALUE(SUBSTITUTE(MID(B2516,FIND("D",B2516)+1,FIND("T",B2516,FIND("D",B2516))-(FIND("D",B2516)+1)),"P",",")),
IF(ISNUMBER(FIND("CFW5",B2516)),
VALUE(MID(B2516,
IF(ISNUMBER(FIND("F",B2516)),FIND("F",B2516)+1,FIND("G",B2516)+1),
FIND("T",B2516)-(IF(ISNUMBER(FIND("F",B2516)),FIND("F",B2516)+1,FIND("G",B2516)+1))
)),
VALUE(MID(B2516,FIND("E0",B2516)+2,FIND("T",B2516,FIND("E0",B2516))-(FIND("E0",B2516)+2)))
))),"")</f>
        <v>28</v>
      </c>
      <c r="G2516">
        <f>IFERROR(
IF(ISNUMBER(FIND("T2",B2516)),220,
IF(ISNUMBER(FIND("T4",B2516)),440,
IF(ISNUMBER(FIND("T5",B2516)),575,
IF(ISNUMBER(FIND("T6",B2516)),690,"")))),
"")</f>
        <v>220</v>
      </c>
    </row>
    <row r="2517" spans="1:7" x14ac:dyDescent="0.25">
      <c r="A2517">
        <v>16494928</v>
      </c>
      <c r="B2517" t="str">
        <f>VLOOKUP(A2517,Planilha2!B:C,2,0)</f>
        <v>INVERSOR BRCFW110033T2OH4Z</v>
      </c>
      <c r="C2517" t="s">
        <v>3169</v>
      </c>
      <c r="D2517" t="str">
        <f>VLOOKUP(A2517,Planilha2!B:H,7,0)</f>
        <v>LINHA P7</v>
      </c>
      <c r="E2517" s="5">
        <v>4860</v>
      </c>
      <c r="F2517">
        <f>IFERROR(
IF(ISNUMBER(FIND("CFW110",B2517)),
VALUE(MID(B2517,FIND("CFW110",B2517)+6,FIND("T",B2517,FIND("CFW110",B2517))-(FIND("CFW110",B2517)+6))),
IF(ISNUMBER(FIND("D",B2517)),
VALUE(SUBSTITUTE(MID(B2517,FIND("D",B2517)+1,FIND("T",B2517,FIND("D",B2517))-(FIND("D",B2517)+1)),"P",",")),
IF(ISNUMBER(FIND("CFW5",B2517)),
VALUE(MID(B2517,
IF(ISNUMBER(FIND("F",B2517)),FIND("F",B2517)+1,FIND("G",B2517)+1),
FIND("T",B2517)-(IF(ISNUMBER(FIND("F",B2517)),FIND("F",B2517)+1,FIND("G",B2517)+1))
)),
VALUE(MID(B2517,FIND("E0",B2517)+2,FIND("T",B2517,FIND("E0",B2517))-(FIND("E0",B2517)+2)))
))),"")</f>
        <v>33</v>
      </c>
      <c r="G2517">
        <f>IFERROR(
IF(ISNUMBER(FIND("T2",B2517)),220,
IF(ISNUMBER(FIND("T4",B2517)),440,
IF(ISNUMBER(FIND("T5",B2517)),575,
IF(ISNUMBER(FIND("T6",B2517)),690,"")))),
"")</f>
        <v>220</v>
      </c>
    </row>
    <row r="2518" spans="1:7" x14ac:dyDescent="0.25">
      <c r="A2518">
        <v>16494882</v>
      </c>
      <c r="B2518" t="str">
        <f>VLOOKUP(A2518,Planilha2!B:C,2,0)</f>
        <v>INVERSOR BRCFW110016T2OH4Z</v>
      </c>
      <c r="C2518" t="s">
        <v>3169</v>
      </c>
      <c r="D2518" t="str">
        <f>VLOOKUP(A2518,Planilha2!B:H,7,0)</f>
        <v>LINHA P5</v>
      </c>
      <c r="E2518" s="5">
        <v>4860</v>
      </c>
      <c r="F2518">
        <f>IFERROR(
IF(ISNUMBER(FIND("CFW110",B2518)),
VALUE(MID(B2518,FIND("CFW110",B2518)+6,FIND("T",B2518,FIND("CFW110",B2518))-(FIND("CFW110",B2518)+6))),
IF(ISNUMBER(FIND("D",B2518)),
VALUE(SUBSTITUTE(MID(B2518,FIND("D",B2518)+1,FIND("T",B2518,FIND("D",B2518))-(FIND("D",B2518)+1)),"P",",")),
IF(ISNUMBER(FIND("CFW5",B2518)),
VALUE(MID(B2518,
IF(ISNUMBER(FIND("F",B2518)),FIND("F",B2518)+1,FIND("G",B2518)+1),
FIND("T",B2518)-(IF(ISNUMBER(FIND("F",B2518)),FIND("F",B2518)+1,FIND("G",B2518)+1))
)),
VALUE(MID(B2518,FIND("E0",B2518)+2,FIND("T",B2518,FIND("E0",B2518))-(FIND("E0",B2518)+2)))
))),"")</f>
        <v>16</v>
      </c>
      <c r="G2518">
        <f>IFERROR(
IF(ISNUMBER(FIND("T2",B2518)),220,
IF(ISNUMBER(FIND("T4",B2518)),440,
IF(ISNUMBER(FIND("T5",B2518)),575,
IF(ISNUMBER(FIND("T6",B2518)),690,"")))),
"")</f>
        <v>220</v>
      </c>
    </row>
    <row r="2519" spans="1:7" x14ac:dyDescent="0.25">
      <c r="A2519">
        <v>16573343</v>
      </c>
      <c r="B2519" t="str">
        <f>VLOOKUP(A2519,Planilha2!B:C,2,0)</f>
        <v>INVERSOR BRCFW110016T2OFAECZ</v>
      </c>
      <c r="C2519" t="s">
        <v>3169</v>
      </c>
      <c r="D2519" t="str">
        <f>VLOOKUP(A2519,Planilha2!B:H,7,0)</f>
        <v>LINHA P5</v>
      </c>
      <c r="E2519" s="5">
        <v>4960</v>
      </c>
      <c r="F2519">
        <f>IFERROR(
IF(ISNUMBER(FIND("CFW110",B2519)),
VALUE(MID(B2519,FIND("CFW110",B2519)+6,FIND("T",B2519,FIND("CFW110",B2519))-(FIND("CFW110",B2519)+6))),
IF(ISNUMBER(FIND("D",B2519)),
VALUE(SUBSTITUTE(MID(B2519,FIND("D",B2519)+1,FIND("T",B2519,FIND("D",B2519))-(FIND("D",B2519)+1)),"P",",")),
IF(ISNUMBER(FIND("CFW5",B2519)),
VALUE(MID(B2519,
IF(ISNUMBER(FIND("F",B2519)),FIND("F",B2519)+1,FIND("G",B2519)+1),
FIND("T",B2519)-(IF(ISNUMBER(FIND("F",B2519)),FIND("F",B2519)+1,FIND("G",B2519)+1))
)),
VALUE(MID(B2519,FIND("E0",B2519)+2,FIND("T",B2519,FIND("E0",B2519))-(FIND("E0",B2519)+2)))
))),"")</f>
        <v>16</v>
      </c>
      <c r="G2519">
        <f>IFERROR(
IF(ISNUMBER(FIND("T2",B2519)),220,
IF(ISNUMBER(FIND("T4",B2519)),440,
IF(ISNUMBER(FIND("T5",B2519)),575,
IF(ISNUMBER(FIND("T6",B2519)),690,"")))),
"")</f>
        <v>220</v>
      </c>
    </row>
    <row r="2520" spans="1:7" x14ac:dyDescent="0.25">
      <c r="A2520">
        <v>16645438</v>
      </c>
      <c r="B2520" t="str">
        <f>VLOOKUP(A2520,Planilha2!B:C,2,0)</f>
        <v>INVERSOR BRCFW110010T4OFAYECZ</v>
      </c>
      <c r="C2520" t="s">
        <v>3169</v>
      </c>
      <c r="D2520" t="str">
        <f>VLOOKUP(A2520,Planilha2!B:H,7,0)</f>
        <v>LINHA P5</v>
      </c>
      <c r="E2520" s="5">
        <v>4500</v>
      </c>
      <c r="F2520">
        <f>IFERROR(
IF(ISNUMBER(FIND("CFW110",B2520)),
VALUE(MID(B2520,FIND("CFW110",B2520)+6,FIND("T",B2520,FIND("CFW110",B2520))-(FIND("CFW110",B2520)+6))),
IF(ISNUMBER(FIND("D",B2520)),
VALUE(SUBSTITUTE(MID(B2520,FIND("D",B2520)+1,FIND("T",B2520,FIND("D",B2520))-(FIND("D",B2520)+1)),"P",",")),
IF(ISNUMBER(FIND("CFW5",B2520)),
VALUE(MID(B2520,
IF(ISNUMBER(FIND("F",B2520)),FIND("F",B2520)+1,FIND("G",B2520)+1),
FIND("T",B2520)-(IF(ISNUMBER(FIND("F",B2520)),FIND("F",B2520)+1,FIND("G",B2520)+1))
)),
VALUE(MID(B2520,FIND("E0",B2520)+2,FIND("T",B2520,FIND("E0",B2520))-(FIND("E0",B2520)+2)))
))),"")</f>
        <v>10</v>
      </c>
      <c r="G2520">
        <f>IFERROR(
IF(ISNUMBER(FIND("T2",B2520)),220,
IF(ISNUMBER(FIND("T4",B2520)),440,
IF(ISNUMBER(FIND("T5",B2520)),575,
IF(ISNUMBER(FIND("T6",B2520)),690,"")))),
"")</f>
        <v>440</v>
      </c>
    </row>
    <row r="2521" spans="1:7" x14ac:dyDescent="0.25">
      <c r="A2521">
        <v>16645442</v>
      </c>
      <c r="B2521" t="str">
        <f>VLOOKUP(A2521,Planilha2!B:C,2,0)</f>
        <v>INVERSOR BRCFW110003T4OFAYECZ</v>
      </c>
      <c r="C2521" t="s">
        <v>3169</v>
      </c>
      <c r="D2521" t="str">
        <f>VLOOKUP(A2521,Planilha2!B:H,7,0)</f>
        <v>LINHA P5</v>
      </c>
      <c r="E2521" s="5">
        <v>4500</v>
      </c>
      <c r="F2521">
        <f>IFERROR(
IF(ISNUMBER(FIND("CFW110",B2521)),
VALUE(MID(B2521,FIND("CFW110",B2521)+6,FIND("T",B2521,FIND("CFW110",B2521))-(FIND("CFW110",B2521)+6))),
IF(ISNUMBER(FIND("D",B2521)),
VALUE(SUBSTITUTE(MID(B2521,FIND("D",B2521)+1,FIND("T",B2521,FIND("D",B2521))-(FIND("D",B2521)+1)),"P",",")),
IF(ISNUMBER(FIND("CFW5",B2521)),
VALUE(MID(B2521,
IF(ISNUMBER(FIND("F",B2521)),FIND("F",B2521)+1,FIND("G",B2521)+1),
FIND("T",B2521)-(IF(ISNUMBER(FIND("F",B2521)),FIND("F",B2521)+1,FIND("G",B2521)+1))
)),
VALUE(MID(B2521,FIND("E0",B2521)+2,FIND("T",B2521,FIND("E0",B2521))-(FIND("E0",B2521)+2)))
))),"")</f>
        <v>3</v>
      </c>
      <c r="G2521">
        <f>IFERROR(
IF(ISNUMBER(FIND("T2",B2521)),220,
IF(ISNUMBER(FIND("T4",B2521)),440,
IF(ISNUMBER(FIND("T5",B2521)),575,
IF(ISNUMBER(FIND("T6",B2521)),690,"")))),
"")</f>
        <v>440</v>
      </c>
    </row>
    <row r="2522" spans="1:7" x14ac:dyDescent="0.25">
      <c r="A2522">
        <v>16643858</v>
      </c>
      <c r="B2522" t="str">
        <f>VLOOKUP(A2522,Planilha2!B:C,2,0)</f>
        <v>INVERSOR CFW700B31P0T4DB20C3HWEN</v>
      </c>
      <c r="C2522" t="s">
        <v>3169</v>
      </c>
      <c r="D2522" t="str">
        <f>VLOOKUP(A2522,Planilha2!B:H,7,0)</f>
        <v>OBSOLETOS DRIVES</v>
      </c>
      <c r="E2522" s="5">
        <v>9100</v>
      </c>
      <c r="F2522" t="str">
        <f>IFERROR(
IF(ISNUMBER(FIND("CFW110",B2522)),
VALUE(MID(B2522,FIND("CFW110",B2522)+6,FIND("T",B2522,FIND("CFW110",B2522))-(FIND("CFW110",B2522)+6))),
IF(ISNUMBER(FIND("D",B2522)),
VALUE(SUBSTITUTE(MID(B2522,FIND("D",B2522)+1,FIND("T",B2522,FIND("D",B2522))-(FIND("D",B2522)+1)),"P",",")),
IF(ISNUMBER(FIND("CFW5",B2522)),
VALUE(MID(B2522,
IF(ISNUMBER(FIND("F",B2522)),FIND("F",B2522)+1,FIND("G",B2522)+1),
FIND("T",B2522)-(IF(ISNUMBER(FIND("F",B2522)),FIND("F",B2522)+1,FIND("G",B2522)+1))
)),
VALUE(MID(B2522,FIND("E0",B2522)+2,FIND("T",B2522,FIND("E0",B2522))-(FIND("E0",B2522)+2)))
))),"")</f>
        <v/>
      </c>
      <c r="G2522">
        <f>IFERROR(
IF(ISNUMBER(FIND("T2",B2522)),220,
IF(ISNUMBER(FIND("T4",B2522)),440,
IF(ISNUMBER(FIND("T5",B2522)),575,
IF(ISNUMBER(FIND("T6",B2522)),690,"")))),
"")</f>
        <v>440</v>
      </c>
    </row>
    <row r="2523" spans="1:7" x14ac:dyDescent="0.25">
      <c r="A2523">
        <v>16643727</v>
      </c>
      <c r="B2523" t="str">
        <f>VLOOKUP(A2523,Planilha2!B:C,2,0)</f>
        <v>INVERSOR CFW700B17P0T4DB20C3HWEN</v>
      </c>
      <c r="C2523" t="s">
        <v>3169</v>
      </c>
      <c r="D2523" t="str">
        <f>VLOOKUP(A2523,Planilha2!B:H,7,0)</f>
        <v>OBSOLETOS DRIVES</v>
      </c>
      <c r="E2523" s="5">
        <v>4500</v>
      </c>
      <c r="F2523" t="str">
        <f>IFERROR(
IF(ISNUMBER(FIND("CFW110",B2523)),
VALUE(MID(B2523,FIND("CFW110",B2523)+6,FIND("T",B2523,FIND("CFW110",B2523))-(FIND("CFW110",B2523)+6))),
IF(ISNUMBER(FIND("D",B2523)),
VALUE(SUBSTITUTE(MID(B2523,FIND("D",B2523)+1,FIND("T",B2523,FIND("D",B2523))-(FIND("D",B2523)+1)),"P",",")),
IF(ISNUMBER(FIND("CFW5",B2523)),
VALUE(MID(B2523,
IF(ISNUMBER(FIND("F",B2523)),FIND("F",B2523)+1,FIND("G",B2523)+1),
FIND("T",B2523)-(IF(ISNUMBER(FIND("F",B2523)),FIND("F",B2523)+1,FIND("G",B2523)+1))
)),
VALUE(MID(B2523,FIND("E0",B2523)+2,FIND("T",B2523,FIND("E0",B2523))-(FIND("E0",B2523)+2)))
))),"")</f>
        <v/>
      </c>
      <c r="G2523">
        <f>IFERROR(
IF(ISNUMBER(FIND("T2",B2523)),220,
IF(ISNUMBER(FIND("T4",B2523)),440,
IF(ISNUMBER(FIND("T5",B2523)),575,
IF(ISNUMBER(FIND("T6",B2523)),690,"")))),
"")</f>
        <v>440</v>
      </c>
    </row>
    <row r="2524" spans="1:7" x14ac:dyDescent="0.25">
      <c r="A2524">
        <v>16641542</v>
      </c>
      <c r="B2524" t="str">
        <f>VLOOKUP(A2524,Planilha2!B:C,2,0)</f>
        <v>INVERSOR CFW700B24P0T4DB20C3HWEN</v>
      </c>
      <c r="C2524" t="s">
        <v>3169</v>
      </c>
      <c r="D2524" t="str">
        <f>VLOOKUP(A2524,Planilha2!B:H,7,0)</f>
        <v>OBSOLETOS DRIVES</v>
      </c>
      <c r="E2524" s="5">
        <v>9100</v>
      </c>
      <c r="F2524" t="str">
        <f>IFERROR(
IF(ISNUMBER(FIND("CFW110",B2524)),
VALUE(MID(B2524,FIND("CFW110",B2524)+6,FIND("T",B2524,FIND("CFW110",B2524))-(FIND("CFW110",B2524)+6))),
IF(ISNUMBER(FIND("D",B2524)),
VALUE(SUBSTITUTE(MID(B2524,FIND("D",B2524)+1,FIND("T",B2524,FIND("D",B2524))-(FIND("D",B2524)+1)),"P",",")),
IF(ISNUMBER(FIND("CFW5",B2524)),
VALUE(MID(B2524,
IF(ISNUMBER(FIND("F",B2524)),FIND("F",B2524)+1,FIND("G",B2524)+1),
FIND("T",B2524)-(IF(ISNUMBER(FIND("F",B2524)),FIND("F",B2524)+1,FIND("G",B2524)+1))
)),
VALUE(MID(B2524,FIND("E0",B2524)+2,FIND("T",B2524,FIND("E0",B2524))-(FIND("E0",B2524)+2)))
))),"")</f>
        <v/>
      </c>
      <c r="G2524">
        <f>IFERROR(
IF(ISNUMBER(FIND("T2",B2524)),220,
IF(ISNUMBER(FIND("T4",B2524)),440,
IF(ISNUMBER(FIND("T5",B2524)),575,
IF(ISNUMBER(FIND("T6",B2524)),690,"")))),
"")</f>
        <v>440</v>
      </c>
    </row>
    <row r="2525" spans="1:7" x14ac:dyDescent="0.25">
      <c r="A2525">
        <v>16757331</v>
      </c>
      <c r="B2525" t="str">
        <f>VLOOKUP(A2525,Planilha2!B:C,2,0)</f>
        <v>INVERSOR EUCFW110031T4OFAYSUZ</v>
      </c>
      <c r="C2525" t="s">
        <v>3169</v>
      </c>
      <c r="D2525" t="str">
        <f>VLOOKUP(A2525,Planilha2!B:H,7,0)</f>
        <v>LINHA P7</v>
      </c>
      <c r="E2525" s="5">
        <v>9100</v>
      </c>
      <c r="F2525">
        <f>IFERROR(
IF(ISNUMBER(FIND("CFW110",B2525)),
VALUE(MID(B2525,FIND("CFW110",B2525)+6,FIND("T",B2525,FIND("CFW110",B2525))-(FIND("CFW110",B2525)+6))),
IF(ISNUMBER(FIND("D",B2525)),
VALUE(SUBSTITUTE(MID(B2525,FIND("D",B2525)+1,FIND("T",B2525,FIND("D",B2525))-(FIND("D",B2525)+1)),"P",",")),
IF(ISNUMBER(FIND("CFW5",B2525)),
VALUE(MID(B2525,
IF(ISNUMBER(FIND("F",B2525)),FIND("F",B2525)+1,FIND("G",B2525)+1),
FIND("T",B2525)-(IF(ISNUMBER(FIND("F",B2525)),FIND("F",B2525)+1,FIND("G",B2525)+1))
)),
VALUE(MID(B2525,FIND("E0",B2525)+2,FIND("T",B2525,FIND("E0",B2525))-(FIND("E0",B2525)+2)))
))),"")</f>
        <v>31</v>
      </c>
      <c r="G2525">
        <f>IFERROR(
IF(ISNUMBER(FIND("T2",B2525)),220,
IF(ISNUMBER(FIND("T4",B2525)),440,
IF(ISNUMBER(FIND("T5",B2525)),575,
IF(ISNUMBER(FIND("T6",B2525)),690,"")))),
"")</f>
        <v>440</v>
      </c>
    </row>
    <row r="2526" spans="1:7" x14ac:dyDescent="0.25">
      <c r="A2526">
        <v>16756855</v>
      </c>
      <c r="B2526" t="str">
        <f>VLOOKUP(A2526,Planilha2!B:C,2,0)</f>
        <v>INVERSOR EUCFW110024T4OWZ</v>
      </c>
      <c r="C2526" t="s">
        <v>3169</v>
      </c>
      <c r="D2526" t="str">
        <f>VLOOKUP(A2526,Planilha2!B:H,7,0)</f>
        <v>LINHA P7</v>
      </c>
      <c r="E2526" s="5">
        <v>11940</v>
      </c>
      <c r="F2526">
        <f>IFERROR(
IF(ISNUMBER(FIND("CFW110",B2526)),
VALUE(MID(B2526,FIND("CFW110",B2526)+6,FIND("T",B2526,FIND("CFW110",B2526))-(FIND("CFW110",B2526)+6))),
IF(ISNUMBER(FIND("D",B2526)),
VALUE(SUBSTITUTE(MID(B2526,FIND("D",B2526)+1,FIND("T",B2526,FIND("D",B2526))-(FIND("D",B2526)+1)),"P",",")),
IF(ISNUMBER(FIND("CFW5",B2526)),
VALUE(MID(B2526,
IF(ISNUMBER(FIND("F",B2526)),FIND("F",B2526)+1,FIND("G",B2526)+1),
FIND("T",B2526)-(IF(ISNUMBER(FIND("F",B2526)),FIND("F",B2526)+1,FIND("G",B2526)+1))
)),
VALUE(MID(B2526,FIND("E0",B2526)+2,FIND("T",B2526,FIND("E0",B2526))-(FIND("E0",B2526)+2)))
))),"")</f>
        <v>24</v>
      </c>
      <c r="G2526">
        <f>IFERROR(
IF(ISNUMBER(FIND("T2",B2526)),220,
IF(ISNUMBER(FIND("T4",B2526)),440,
IF(ISNUMBER(FIND("T5",B2526)),575,
IF(ISNUMBER(FIND("T6",B2526)),690,"")))),
"")</f>
        <v>440</v>
      </c>
    </row>
    <row r="2527" spans="1:7" x14ac:dyDescent="0.25">
      <c r="A2527">
        <v>16736520</v>
      </c>
      <c r="B2527" t="str">
        <f>VLOOKUP(A2527,Planilha2!B:C,2,0)</f>
        <v>INVERSOR BRCFW110024T2ON1Z</v>
      </c>
      <c r="C2527" t="s">
        <v>3169</v>
      </c>
      <c r="D2527" t="str">
        <f>VLOOKUP(A2527,Planilha2!B:H,7,0)</f>
        <v>LINHA P7</v>
      </c>
      <c r="E2527" s="5">
        <v>8700</v>
      </c>
      <c r="F2527">
        <f>IFERROR(
IF(ISNUMBER(FIND("CFW110",B2527)),
VALUE(MID(B2527,FIND("CFW110",B2527)+6,FIND("T",B2527,FIND("CFW110",B2527))-(FIND("CFW110",B2527)+6))),
IF(ISNUMBER(FIND("D",B2527)),
VALUE(SUBSTITUTE(MID(B2527,FIND("D",B2527)+1,FIND("T",B2527,FIND("D",B2527))-(FIND("D",B2527)+1)),"P",",")),
IF(ISNUMBER(FIND("CFW5",B2527)),
VALUE(MID(B2527,
IF(ISNUMBER(FIND("F",B2527)),FIND("F",B2527)+1,FIND("G",B2527)+1),
FIND("T",B2527)-(IF(ISNUMBER(FIND("F",B2527)),FIND("F",B2527)+1,FIND("G",B2527)+1))
)),
VALUE(MID(B2527,FIND("E0",B2527)+2,FIND("T",B2527,FIND("E0",B2527))-(FIND("E0",B2527)+2)))
))),"")</f>
        <v>24</v>
      </c>
      <c r="G2527">
        <f>IFERROR(
IF(ISNUMBER(FIND("T2",B2527)),220,
IF(ISNUMBER(FIND("T4",B2527)),440,
IF(ISNUMBER(FIND("T5",B2527)),575,
IF(ISNUMBER(FIND("T6",B2527)),690,"")))),
"")</f>
        <v>220</v>
      </c>
    </row>
    <row r="2528" spans="1:7" x14ac:dyDescent="0.25">
      <c r="A2528">
        <v>16834731</v>
      </c>
      <c r="B2528" t="str">
        <f>VLOOKUP(A2528,Planilha2!B:C,2,0)</f>
        <v>INVERSOR BRCFW110024T4OFAYSSZ</v>
      </c>
      <c r="C2528" t="s">
        <v>3169</v>
      </c>
      <c r="D2528" t="str">
        <f>VLOOKUP(A2528,Planilha2!B:H,7,0)</f>
        <v>LINHA P7</v>
      </c>
      <c r="E2528" s="5">
        <v>81507</v>
      </c>
      <c r="F2528">
        <f>IFERROR(
IF(ISNUMBER(FIND("CFW110",B2528)),
VALUE(MID(B2528,FIND("CFW110",B2528)+6,FIND("T",B2528,FIND("CFW110",B2528))-(FIND("CFW110",B2528)+6))),
IF(ISNUMBER(FIND("D",B2528)),
VALUE(SUBSTITUTE(MID(B2528,FIND("D",B2528)+1,FIND("T",B2528,FIND("D",B2528))-(FIND("D",B2528)+1)),"P",",")),
IF(ISNUMBER(FIND("CFW5",B2528)),
VALUE(MID(B2528,
IF(ISNUMBER(FIND("F",B2528)),FIND("F",B2528)+1,FIND("G",B2528)+1),
FIND("T",B2528)-(IF(ISNUMBER(FIND("F",B2528)),FIND("F",B2528)+1,FIND("G",B2528)+1))
)),
VALUE(MID(B2528,FIND("E0",B2528)+2,FIND("T",B2528,FIND("E0",B2528))-(FIND("E0",B2528)+2)))
))),"")</f>
        <v>24</v>
      </c>
      <c r="G2528">
        <f>IFERROR(
IF(ISNUMBER(FIND("T2",B2528)),220,
IF(ISNUMBER(FIND("T4",B2528)),440,
IF(ISNUMBER(FIND("T5",B2528)),575,
IF(ISNUMBER(FIND("T6",B2528)),690,"")))),
"")</f>
        <v>440</v>
      </c>
    </row>
    <row r="2529" spans="1:7" x14ac:dyDescent="0.25">
      <c r="A2529">
        <v>16834687</v>
      </c>
      <c r="B2529" t="str">
        <f>VLOOKUP(A2529,Planilha2!B:C,2,0)</f>
        <v>INVERSOR BRCFW110017T4OFAYSSZ</v>
      </c>
      <c r="C2529" t="s">
        <v>3169</v>
      </c>
      <c r="D2529" t="str">
        <f>VLOOKUP(A2529,Planilha2!B:H,7,0)</f>
        <v>LINHA P7</v>
      </c>
      <c r="E2529" s="5">
        <v>7280</v>
      </c>
      <c r="F2529">
        <f>IFERROR(
IF(ISNUMBER(FIND("CFW110",B2529)),
VALUE(MID(B2529,FIND("CFW110",B2529)+6,FIND("T",B2529,FIND("CFW110",B2529))-(FIND("CFW110",B2529)+6))),
IF(ISNUMBER(FIND("D",B2529)),
VALUE(SUBSTITUTE(MID(B2529,FIND("D",B2529)+1,FIND("T",B2529,FIND("D",B2529))-(FIND("D",B2529)+1)),"P",",")),
IF(ISNUMBER(FIND("CFW5",B2529)),
VALUE(MID(B2529,
IF(ISNUMBER(FIND("F",B2529)),FIND("F",B2529)+1,FIND("G",B2529)+1),
FIND("T",B2529)-(IF(ISNUMBER(FIND("F",B2529)),FIND("F",B2529)+1,FIND("G",B2529)+1))
)),
VALUE(MID(B2529,FIND("E0",B2529)+2,FIND("T",B2529,FIND("E0",B2529))-(FIND("E0",B2529)+2)))
))),"")</f>
        <v>17</v>
      </c>
      <c r="G2529">
        <f>IFERROR(
IF(ISNUMBER(FIND("T2",B2529)),220,
IF(ISNUMBER(FIND("T4",B2529)),440,
IF(ISNUMBER(FIND("T5",B2529)),575,
IF(ISNUMBER(FIND("T6",B2529)),690,"")))),
"")</f>
        <v>440</v>
      </c>
    </row>
    <row r="2530" spans="1:7" x14ac:dyDescent="0.25">
      <c r="A2530">
        <v>16834685</v>
      </c>
      <c r="B2530" t="str">
        <f>VLOOKUP(A2530,Planilha2!B:C,2,0)</f>
        <v>INVERSOR BRCFW110010T4OFAYSSZ</v>
      </c>
      <c r="C2530" t="s">
        <v>3169</v>
      </c>
      <c r="D2530" t="str">
        <f>VLOOKUP(A2530,Planilha2!B:H,7,0)</f>
        <v>LINHA P5</v>
      </c>
      <c r="E2530" s="5">
        <v>6100</v>
      </c>
      <c r="F2530">
        <f>IFERROR(
IF(ISNUMBER(FIND("CFW110",B2530)),
VALUE(MID(B2530,FIND("CFW110",B2530)+6,FIND("T",B2530,FIND("CFW110",B2530))-(FIND("CFW110",B2530)+6))),
IF(ISNUMBER(FIND("D",B2530)),
VALUE(SUBSTITUTE(MID(B2530,FIND("D",B2530)+1,FIND("T",B2530,FIND("D",B2530))-(FIND("D",B2530)+1)),"P",",")),
IF(ISNUMBER(FIND("CFW5",B2530)),
VALUE(MID(B2530,
IF(ISNUMBER(FIND("F",B2530)),FIND("F",B2530)+1,FIND("G",B2530)+1),
FIND("T",B2530)-(IF(ISNUMBER(FIND("F",B2530)),FIND("F",B2530)+1,FIND("G",B2530)+1))
)),
VALUE(MID(B2530,FIND("E0",B2530)+2,FIND("T",B2530,FIND("E0",B2530))-(FIND("E0",B2530)+2)))
))),"")</f>
        <v>10</v>
      </c>
      <c r="G2530">
        <f>IFERROR(
IF(ISNUMBER(FIND("T2",B2530)),220,
IF(ISNUMBER(FIND("T4",B2530)),440,
IF(ISNUMBER(FIND("T5",B2530)),575,
IF(ISNUMBER(FIND("T6",B2530)),690,"")))),
"")</f>
        <v>440</v>
      </c>
    </row>
    <row r="2531" spans="1:7" x14ac:dyDescent="0.25">
      <c r="A2531">
        <v>16834683</v>
      </c>
      <c r="B2531" t="str">
        <f>VLOOKUP(A2531,Planilha2!B:C,2,0)</f>
        <v>INVERSOR BRCFW110005T4OFAYSSZ</v>
      </c>
      <c r="C2531" t="s">
        <v>3169</v>
      </c>
      <c r="D2531" t="str">
        <f>VLOOKUP(A2531,Planilha2!B:H,7,0)</f>
        <v>LINHA P5</v>
      </c>
      <c r="E2531" s="5">
        <v>4500</v>
      </c>
      <c r="F2531">
        <f>IFERROR(
IF(ISNUMBER(FIND("CFW110",B2531)),
VALUE(MID(B2531,FIND("CFW110",B2531)+6,FIND("T",B2531,FIND("CFW110",B2531))-(FIND("CFW110",B2531)+6))),
IF(ISNUMBER(FIND("D",B2531)),
VALUE(SUBSTITUTE(MID(B2531,FIND("D",B2531)+1,FIND("T",B2531,FIND("D",B2531))-(FIND("D",B2531)+1)),"P",",")),
IF(ISNUMBER(FIND("CFW5",B2531)),
VALUE(MID(B2531,
IF(ISNUMBER(FIND("F",B2531)),FIND("F",B2531)+1,FIND("G",B2531)+1),
FIND("T",B2531)-(IF(ISNUMBER(FIND("F",B2531)),FIND("F",B2531)+1,FIND("G",B2531)+1))
)),
VALUE(MID(B2531,FIND("E0",B2531)+2,FIND("T",B2531,FIND("E0",B2531))-(FIND("E0",B2531)+2)))
))),"")</f>
        <v>5</v>
      </c>
      <c r="G2531">
        <f>IFERROR(
IF(ISNUMBER(FIND("T2",B2531)),220,
IF(ISNUMBER(FIND("T4",B2531)),440,
IF(ISNUMBER(FIND("T5",B2531)),575,
IF(ISNUMBER(FIND("T6",B2531)),690,"")))),
"")</f>
        <v>440</v>
      </c>
    </row>
    <row r="2532" spans="1:7" x14ac:dyDescent="0.25">
      <c r="A2532">
        <v>16834681</v>
      </c>
      <c r="B2532" t="str">
        <f>VLOOKUP(A2532,Planilha2!B:C,2,0)</f>
        <v>INVERSOR BRCFW110003T4OFAYSSZ</v>
      </c>
      <c r="C2532" t="s">
        <v>3169</v>
      </c>
      <c r="D2532" t="str">
        <f>VLOOKUP(A2532,Planilha2!B:H,7,0)</f>
        <v>LINHA P5</v>
      </c>
      <c r="E2532" s="5">
        <v>4500</v>
      </c>
      <c r="F2532">
        <f>IFERROR(
IF(ISNUMBER(FIND("CFW110",B2532)),
VALUE(MID(B2532,FIND("CFW110",B2532)+6,FIND("T",B2532,FIND("CFW110",B2532))-(FIND("CFW110",B2532)+6))),
IF(ISNUMBER(FIND("D",B2532)),
VALUE(SUBSTITUTE(MID(B2532,FIND("D",B2532)+1,FIND("T",B2532,FIND("D",B2532))-(FIND("D",B2532)+1)),"P",",")),
IF(ISNUMBER(FIND("CFW5",B2532)),
VALUE(MID(B2532,
IF(ISNUMBER(FIND("F",B2532)),FIND("F",B2532)+1,FIND("G",B2532)+1),
FIND("T",B2532)-(IF(ISNUMBER(FIND("F",B2532)),FIND("F",B2532)+1,FIND("G",B2532)+1))
)),
VALUE(MID(B2532,FIND("E0",B2532)+2,FIND("T",B2532,FIND("E0",B2532))-(FIND("E0",B2532)+2)))
))),"")</f>
        <v>3</v>
      </c>
      <c r="G2532">
        <f>IFERROR(
IF(ISNUMBER(FIND("T2",B2532)),220,
IF(ISNUMBER(FIND("T4",B2532)),440,
IF(ISNUMBER(FIND("T5",B2532)),575,
IF(ISNUMBER(FIND("T6",B2532)),690,"")))),
"")</f>
        <v>440</v>
      </c>
    </row>
    <row r="2533" spans="1:7" x14ac:dyDescent="0.25">
      <c r="A2533">
        <v>16853430</v>
      </c>
      <c r="B2533" t="str">
        <f>VLOOKUP(A2533,Planilha2!B:C,2,0)</f>
        <v>INVERSOR BRCFW110003T4OFAECZ</v>
      </c>
      <c r="C2533" t="s">
        <v>3169</v>
      </c>
      <c r="D2533" t="str">
        <f>VLOOKUP(A2533,Planilha2!B:H,7,0)</f>
        <v>LINHA P5</v>
      </c>
      <c r="E2533" s="5">
        <v>5201</v>
      </c>
      <c r="F2533">
        <f>IFERROR(
IF(ISNUMBER(FIND("CFW110",B2533)),
VALUE(MID(B2533,FIND("CFW110",B2533)+6,FIND("T",B2533,FIND("CFW110",B2533))-(FIND("CFW110",B2533)+6))),
IF(ISNUMBER(FIND("D",B2533)),
VALUE(SUBSTITUTE(MID(B2533,FIND("D",B2533)+1,FIND("T",B2533,FIND("D",B2533))-(FIND("D",B2533)+1)),"P",",")),
IF(ISNUMBER(FIND("CFW5",B2533)),
VALUE(MID(B2533,
IF(ISNUMBER(FIND("F",B2533)),FIND("F",B2533)+1,FIND("G",B2533)+1),
FIND("T",B2533)-(IF(ISNUMBER(FIND("F",B2533)),FIND("F",B2533)+1,FIND("G",B2533)+1))
)),
VALUE(MID(B2533,FIND("E0",B2533)+2,FIND("T",B2533,FIND("E0",B2533))-(FIND("E0",B2533)+2)))
))),"")</f>
        <v>3</v>
      </c>
      <c r="G2533">
        <f>IFERROR(
IF(ISNUMBER(FIND("T2",B2533)),220,
IF(ISNUMBER(FIND("T4",B2533)),440,
IF(ISNUMBER(FIND("T5",B2533)),575,
IF(ISNUMBER(FIND("T6",B2533)),690,"")))),
"")</f>
        <v>440</v>
      </c>
    </row>
    <row r="2534" spans="1:7" x14ac:dyDescent="0.25">
      <c r="A2534">
        <v>16857858</v>
      </c>
      <c r="B2534" t="str">
        <f>VLOOKUP(A2534,Planilha2!B:C,2,0)</f>
        <v>INVERSOR BRCFW110033T2OFAWZ</v>
      </c>
      <c r="C2534" t="s">
        <v>3169</v>
      </c>
      <c r="D2534" t="str">
        <f>VLOOKUP(A2534,Planilha2!B:H,7,0)</f>
        <v>LINHA P7</v>
      </c>
      <c r="E2534" s="5">
        <v>8800</v>
      </c>
      <c r="F2534">
        <f>IFERROR(
IF(ISNUMBER(FIND("CFW110",B2534)),
VALUE(MID(B2534,FIND("CFW110",B2534)+6,FIND("T",B2534,FIND("CFW110",B2534))-(FIND("CFW110",B2534)+6))),
IF(ISNUMBER(FIND("D",B2534)),
VALUE(SUBSTITUTE(MID(B2534,FIND("D",B2534)+1,FIND("T",B2534,FIND("D",B2534))-(FIND("D",B2534)+1)),"P",",")),
IF(ISNUMBER(FIND("CFW5",B2534)),
VALUE(MID(B2534,
IF(ISNUMBER(FIND("F",B2534)),FIND("F",B2534)+1,FIND("G",B2534)+1),
FIND("T",B2534)-(IF(ISNUMBER(FIND("F",B2534)),FIND("F",B2534)+1,FIND("G",B2534)+1))
)),
VALUE(MID(B2534,FIND("E0",B2534)+2,FIND("T",B2534,FIND("E0",B2534))-(FIND("E0",B2534)+2)))
))),"")</f>
        <v>33</v>
      </c>
      <c r="G2534">
        <f>IFERROR(
IF(ISNUMBER(FIND("T2",B2534)),220,
IF(ISNUMBER(FIND("T4",B2534)),440,
IF(ISNUMBER(FIND("T5",B2534)),575,
IF(ISNUMBER(FIND("T6",B2534)),690,"")))),
"")</f>
        <v>220</v>
      </c>
    </row>
    <row r="2535" spans="1:7" x14ac:dyDescent="0.25">
      <c r="A2535">
        <v>14538838</v>
      </c>
      <c r="B2535" t="str">
        <f>VLOOKUP(A2535,Planilha2!B:C,2,0)</f>
        <v>INVERSOR EUCFW110017T4O55FAYZ</v>
      </c>
      <c r="C2535" t="s">
        <v>3169</v>
      </c>
      <c r="D2535" t="str">
        <f>VLOOKUP(A2535,Planilha2!B:H,7,0)</f>
        <v>LINHA M3</v>
      </c>
      <c r="E2535" s="5">
        <v>9100</v>
      </c>
      <c r="F2535">
        <f>IFERROR(
IF(ISNUMBER(FIND("CFW110",B2535)),
VALUE(MID(B2535,FIND("CFW110",B2535)+6,FIND("T",B2535,FIND("CFW110",B2535))-(FIND("CFW110",B2535)+6))),
IF(ISNUMBER(FIND("D",B2535)),
VALUE(SUBSTITUTE(MID(B2535,FIND("D",B2535)+1,FIND("T",B2535,FIND("D",B2535))-(FIND("D",B2535)+1)),"P",",")),
IF(ISNUMBER(FIND("CFW5",B2535)),
VALUE(MID(B2535,
IF(ISNUMBER(FIND("F",B2535)),FIND("F",B2535)+1,FIND("G",B2535)+1),
FIND("T",B2535)-(IF(ISNUMBER(FIND("F",B2535)),FIND("F",B2535)+1,FIND("G",B2535)+1))
)),
VALUE(MID(B2535,FIND("E0",B2535)+2,FIND("T",B2535,FIND("E0",B2535))-(FIND("E0",B2535)+2)))
))),"")</f>
        <v>17</v>
      </c>
      <c r="G2535">
        <f>IFERROR(
IF(ISNUMBER(FIND("T2",B2535)),220,
IF(ISNUMBER(FIND("T4",B2535)),440,
IF(ISNUMBER(FIND("T5",B2535)),575,
IF(ISNUMBER(FIND("T6",B2535)),690,"")))),
"")</f>
        <v>440</v>
      </c>
    </row>
    <row r="2536" spans="1:7" x14ac:dyDescent="0.25">
      <c r="A2536">
        <v>16893735</v>
      </c>
      <c r="B2536" t="str">
        <f>VLOOKUP(A2536,Planilha2!B:C,2,0)</f>
        <v>INVERSOR BRCFW110007T4OFAYSMZ</v>
      </c>
      <c r="C2536" t="s">
        <v>3169</v>
      </c>
      <c r="D2536" t="str">
        <f>VLOOKUP(A2536,Planilha2!B:H,7,0)</f>
        <v>LINHA P5</v>
      </c>
      <c r="E2536" s="5">
        <v>4500</v>
      </c>
      <c r="F2536">
        <f>IFERROR(
IF(ISNUMBER(FIND("CFW110",B2536)),
VALUE(MID(B2536,FIND("CFW110",B2536)+6,FIND("T",B2536,FIND("CFW110",B2536))-(FIND("CFW110",B2536)+6))),
IF(ISNUMBER(FIND("D",B2536)),
VALUE(SUBSTITUTE(MID(B2536,FIND("D",B2536)+1,FIND("T",B2536,FIND("D",B2536))-(FIND("D",B2536)+1)),"P",",")),
IF(ISNUMBER(FIND("CFW5",B2536)),
VALUE(MID(B2536,
IF(ISNUMBER(FIND("F",B2536)),FIND("F",B2536)+1,FIND("G",B2536)+1),
FIND("T",B2536)-(IF(ISNUMBER(FIND("F",B2536)),FIND("F",B2536)+1,FIND("G",B2536)+1))
)),
VALUE(MID(B2536,FIND("E0",B2536)+2,FIND("T",B2536,FIND("E0",B2536))-(FIND("E0",B2536)+2)))
))),"")</f>
        <v>7</v>
      </c>
      <c r="G2536">
        <f>IFERROR(
IF(ISNUMBER(FIND("T2",B2536)),220,
IF(ISNUMBER(FIND("T4",B2536)),440,
IF(ISNUMBER(FIND("T5",B2536)),575,
IF(ISNUMBER(FIND("T6",B2536)),690,"")))),
"")</f>
        <v>440</v>
      </c>
    </row>
    <row r="2537" spans="1:7" x14ac:dyDescent="0.25">
      <c r="A2537">
        <v>16942680</v>
      </c>
      <c r="B2537" t="str">
        <f>VLOOKUP(A2537,Planilha2!B:C,2,0)</f>
        <v>INVERSOR BRCFW110010T2OFAYZ</v>
      </c>
      <c r="C2537" t="s">
        <v>3169</v>
      </c>
      <c r="D2537" t="str">
        <f>VLOOKUP(A2537,Planilha2!B:H,7,0)</f>
        <v>LINHA P5</v>
      </c>
      <c r="E2537" s="5">
        <v>5700</v>
      </c>
      <c r="F2537">
        <f>IFERROR(
IF(ISNUMBER(FIND("CFW110",B2537)),
VALUE(MID(B2537,FIND("CFW110",B2537)+6,FIND("T",B2537,FIND("CFW110",B2537))-(FIND("CFW110",B2537)+6))),
IF(ISNUMBER(FIND("D",B2537)),
VALUE(SUBSTITUTE(MID(B2537,FIND("D",B2537)+1,FIND("T",B2537,FIND("D",B2537))-(FIND("D",B2537)+1)),"P",",")),
IF(ISNUMBER(FIND("CFW5",B2537)),
VALUE(MID(B2537,
IF(ISNUMBER(FIND("F",B2537)),FIND("F",B2537)+1,FIND("G",B2537)+1),
FIND("T",B2537)-(IF(ISNUMBER(FIND("F",B2537)),FIND("F",B2537)+1,FIND("G",B2537)+1))
)),
VALUE(MID(B2537,FIND("E0",B2537)+2,FIND("T",B2537,FIND("E0",B2537))-(FIND("E0",B2537)+2)))
))),"")</f>
        <v>10</v>
      </c>
      <c r="G2537">
        <f>IFERROR(
IF(ISNUMBER(FIND("T2",B2537)),220,
IF(ISNUMBER(FIND("T4",B2537)),440,
IF(ISNUMBER(FIND("T5",B2537)),575,
IF(ISNUMBER(FIND("T6",B2537)),690,"")))),
"")</f>
        <v>220</v>
      </c>
    </row>
    <row r="2538" spans="1:7" x14ac:dyDescent="0.25">
      <c r="A2538">
        <v>15658287</v>
      </c>
      <c r="B2538" t="str">
        <f>VLOOKUP(A2538,Planilha2!B:C,2,0)</f>
        <v>INVERSOR BRCFW110033T2OFASMECZ</v>
      </c>
      <c r="C2538" t="s">
        <v>3169</v>
      </c>
      <c r="D2538" t="str">
        <f>VLOOKUP(A2538,Planilha2!B:H,7,0)</f>
        <v>LINHA P7</v>
      </c>
      <c r="E2538" s="5">
        <v>4960</v>
      </c>
      <c r="F2538">
        <f>IFERROR(
IF(ISNUMBER(FIND("CFW110",B2538)),
VALUE(MID(B2538,FIND("CFW110",B2538)+6,FIND("T",B2538,FIND("CFW110",B2538))-(FIND("CFW110",B2538)+6))),
IF(ISNUMBER(FIND("D",B2538)),
VALUE(SUBSTITUTE(MID(B2538,FIND("D",B2538)+1,FIND("T",B2538,FIND("D",B2538))-(FIND("D",B2538)+1)),"P",",")),
IF(ISNUMBER(FIND("CFW5",B2538)),
VALUE(MID(B2538,
IF(ISNUMBER(FIND("F",B2538)),FIND("F",B2538)+1,FIND("G",B2538)+1),
FIND("T",B2538)-(IF(ISNUMBER(FIND("F",B2538)),FIND("F",B2538)+1,FIND("G",B2538)+1))
)),
VALUE(MID(B2538,FIND("E0",B2538)+2,FIND("T",B2538,FIND("E0",B2538))-(FIND("E0",B2538)+2)))
))),"")</f>
        <v>33</v>
      </c>
      <c r="G2538">
        <f>IFERROR(
IF(ISNUMBER(FIND("T2",B2538)),220,
IF(ISNUMBER(FIND("T4",B2538)),440,
IF(ISNUMBER(FIND("T5",B2538)),575,
IF(ISNUMBER(FIND("T6",B2538)),690,"")))),
"")</f>
        <v>220</v>
      </c>
    </row>
    <row r="2539" spans="1:7" x14ac:dyDescent="0.25">
      <c r="A2539">
        <v>16943092</v>
      </c>
      <c r="B2539" t="str">
        <f>VLOOKUP(A2539,Planilha2!B:C,2,0)</f>
        <v>INVERSOR BRCFW110007T2OFAYZ</v>
      </c>
      <c r="C2539" t="s">
        <v>3169</v>
      </c>
      <c r="D2539" t="str">
        <f>VLOOKUP(A2539,Planilha2!B:H,7,0)</f>
        <v>LINHA P5</v>
      </c>
      <c r="E2539" s="5">
        <v>5700</v>
      </c>
      <c r="F2539">
        <f>IFERROR(
IF(ISNUMBER(FIND("CFW110",B2539)),
VALUE(MID(B2539,FIND("CFW110",B2539)+6,FIND("T",B2539,FIND("CFW110",B2539))-(FIND("CFW110",B2539)+6))),
IF(ISNUMBER(FIND("D",B2539)),
VALUE(SUBSTITUTE(MID(B2539,FIND("D",B2539)+1,FIND("T",B2539,FIND("D",B2539))-(FIND("D",B2539)+1)),"P",",")),
IF(ISNUMBER(FIND("CFW5",B2539)),
VALUE(MID(B2539,
IF(ISNUMBER(FIND("F",B2539)),FIND("F",B2539)+1,FIND("G",B2539)+1),
FIND("T",B2539)-(IF(ISNUMBER(FIND("F",B2539)),FIND("F",B2539)+1,FIND("G",B2539)+1))
)),
VALUE(MID(B2539,FIND("E0",B2539)+2,FIND("T",B2539,FIND("E0",B2539))-(FIND("E0",B2539)+2)))
))),"")</f>
        <v>7</v>
      </c>
      <c r="G2539">
        <f>IFERROR(
IF(ISNUMBER(FIND("T2",B2539)),220,
IF(ISNUMBER(FIND("T4",B2539)),440,
IF(ISNUMBER(FIND("T5",B2539)),575,
IF(ISNUMBER(FIND("T6",B2539)),690,"")))),
"")</f>
        <v>220</v>
      </c>
    </row>
    <row r="2540" spans="1:7" x14ac:dyDescent="0.25">
      <c r="A2540">
        <v>16996698</v>
      </c>
      <c r="B2540" t="str">
        <f>VLOOKUP(A2540,Planilha2!B:C,2,0)</f>
        <v>INVERSOR BRCFW110017T4OSMZ</v>
      </c>
      <c r="C2540" t="s">
        <v>3169</v>
      </c>
      <c r="D2540" t="str">
        <f>VLOOKUP(A2540,Planilha2!B:H,7,0)</f>
        <v>LINHA P7</v>
      </c>
      <c r="E2540" s="5">
        <v>8900</v>
      </c>
      <c r="F2540">
        <f>IFERROR(
IF(ISNUMBER(FIND("CFW110",B2540)),
VALUE(MID(B2540,FIND("CFW110",B2540)+6,FIND("T",B2540,FIND("CFW110",B2540))-(FIND("CFW110",B2540)+6))),
IF(ISNUMBER(FIND("D",B2540)),
VALUE(SUBSTITUTE(MID(B2540,FIND("D",B2540)+1,FIND("T",B2540,FIND("D",B2540))-(FIND("D",B2540)+1)),"P",",")),
IF(ISNUMBER(FIND("CFW5",B2540)),
VALUE(MID(B2540,
IF(ISNUMBER(FIND("F",B2540)),FIND("F",B2540)+1,FIND("G",B2540)+1),
FIND("T",B2540)-(IF(ISNUMBER(FIND("F",B2540)),FIND("F",B2540)+1,FIND("G",B2540)+1))
)),
VALUE(MID(B2540,FIND("E0",B2540)+2,FIND("T",B2540,FIND("E0",B2540))-(FIND("E0",B2540)+2)))
))),"")</f>
        <v>17</v>
      </c>
      <c r="G2540">
        <f>IFERROR(
IF(ISNUMBER(FIND("T2",B2540)),220,
IF(ISNUMBER(FIND("T4",B2540)),440,
IF(ISNUMBER(FIND("T5",B2540)),575,
IF(ISNUMBER(FIND("T6",B2540)),690,"")))),
"")</f>
        <v>440</v>
      </c>
    </row>
    <row r="2541" spans="1:7" x14ac:dyDescent="0.25">
      <c r="A2541">
        <v>17096014</v>
      </c>
      <c r="B2541" t="str">
        <f>VLOOKUP(A2541,Planilha2!B:C,2,0)</f>
        <v>INVERSOR BRCFW110007T2OFAWZ</v>
      </c>
      <c r="C2541" t="s">
        <v>3169</v>
      </c>
      <c r="D2541" t="str">
        <f>VLOOKUP(A2541,Planilha2!B:H,7,0)</f>
        <v>LINHA P5</v>
      </c>
      <c r="E2541" s="5">
        <v>5201</v>
      </c>
      <c r="F2541">
        <f>IFERROR(
IF(ISNUMBER(FIND("CFW110",B2541)),
VALUE(MID(B2541,FIND("CFW110",B2541)+6,FIND("T",B2541,FIND("CFW110",B2541))-(FIND("CFW110",B2541)+6))),
IF(ISNUMBER(FIND("D",B2541)),
VALUE(SUBSTITUTE(MID(B2541,FIND("D",B2541)+1,FIND("T",B2541,FIND("D",B2541))-(FIND("D",B2541)+1)),"P",",")),
IF(ISNUMBER(FIND("CFW5",B2541)),
VALUE(MID(B2541,
IF(ISNUMBER(FIND("F",B2541)),FIND("F",B2541)+1,FIND("G",B2541)+1),
FIND("T",B2541)-(IF(ISNUMBER(FIND("F",B2541)),FIND("F",B2541)+1,FIND("G",B2541)+1))
)),
VALUE(MID(B2541,FIND("E0",B2541)+2,FIND("T",B2541,FIND("E0",B2541))-(FIND("E0",B2541)+2)))
))),"")</f>
        <v>7</v>
      </c>
      <c r="G2541">
        <f>IFERROR(
IF(ISNUMBER(FIND("T2",B2541)),220,
IF(ISNUMBER(FIND("T4",B2541)),440,
IF(ISNUMBER(FIND("T5",B2541)),575,
IF(ISNUMBER(FIND("T6",B2541)),690,"")))),
"")</f>
        <v>220</v>
      </c>
    </row>
    <row r="2542" spans="1:7" x14ac:dyDescent="0.25">
      <c r="A2542">
        <v>17096015</v>
      </c>
      <c r="B2542" t="str">
        <f>VLOOKUP(A2542,Planilha2!B:C,2,0)</f>
        <v>INVERSOR BRCFW110010T2OFAWZ</v>
      </c>
      <c r="C2542" t="s">
        <v>3169</v>
      </c>
      <c r="D2542" t="str">
        <f>VLOOKUP(A2542,Planilha2!B:H,7,0)</f>
        <v>LINHA P5</v>
      </c>
      <c r="E2542" s="5">
        <v>5450</v>
      </c>
      <c r="F2542">
        <f>IFERROR(
IF(ISNUMBER(FIND("CFW110",B2542)),
VALUE(MID(B2542,FIND("CFW110",B2542)+6,FIND("T",B2542,FIND("CFW110",B2542))-(FIND("CFW110",B2542)+6))),
IF(ISNUMBER(FIND("D",B2542)),
VALUE(SUBSTITUTE(MID(B2542,FIND("D",B2542)+1,FIND("T",B2542,FIND("D",B2542))-(FIND("D",B2542)+1)),"P",",")),
IF(ISNUMBER(FIND("CFW5",B2542)),
VALUE(MID(B2542,
IF(ISNUMBER(FIND("F",B2542)),FIND("F",B2542)+1,FIND("G",B2542)+1),
FIND("T",B2542)-(IF(ISNUMBER(FIND("F",B2542)),FIND("F",B2542)+1,FIND("G",B2542)+1))
)),
VALUE(MID(B2542,FIND("E0",B2542)+2,FIND("T",B2542,FIND("E0",B2542))-(FIND("E0",B2542)+2)))
))),"")</f>
        <v>10</v>
      </c>
      <c r="G2542">
        <f>IFERROR(
IF(ISNUMBER(FIND("T2",B2542)),220,
IF(ISNUMBER(FIND("T4",B2542)),440,
IF(ISNUMBER(FIND("T5",B2542)),575,
IF(ISNUMBER(FIND("T6",B2542)),690,"")))),
"")</f>
        <v>220</v>
      </c>
    </row>
    <row r="2543" spans="1:7" x14ac:dyDescent="0.25">
      <c r="A2543">
        <v>17079323</v>
      </c>
      <c r="B2543" t="str">
        <f>VLOOKUP(A2543,Planilha2!B:C,2,0)</f>
        <v>INVERSOR EUCFW110002B2OYZ</v>
      </c>
      <c r="C2543" t="s">
        <v>3169</v>
      </c>
      <c r="D2543" t="str">
        <f>VLOOKUP(A2543,Planilha2!B:H,7,0)</f>
        <v>LINHA P5</v>
      </c>
      <c r="E2543" s="5">
        <v>2600</v>
      </c>
      <c r="F2543" t="str">
        <f>IFERROR(
IF(ISNUMBER(FIND("CFW110",B2543)),
VALUE(MID(B2543,FIND("CFW110",B2543)+6,FIND("T",B2543,FIND("CFW110",B2543))-(FIND("CFW110",B2543)+6))),
IF(ISNUMBER(FIND("D",B2543)),
VALUE(SUBSTITUTE(MID(B2543,FIND("D",B2543)+1,FIND("T",B2543,FIND("D",B2543))-(FIND("D",B2543)+1)),"P",",")),
IF(ISNUMBER(FIND("CFW5",B2543)),
VALUE(MID(B2543,
IF(ISNUMBER(FIND("F",B2543)),FIND("F",B2543)+1,FIND("G",B2543)+1),
FIND("T",B2543)-(IF(ISNUMBER(FIND("F",B2543)),FIND("F",B2543)+1,FIND("G",B2543)+1))
)),
VALUE(MID(B2543,FIND("E0",B2543)+2,FIND("T",B2543,FIND("E0",B2543))-(FIND("E0",B2543)+2)))
))),"")</f>
        <v/>
      </c>
      <c r="G2543" t="str">
        <f>IFERROR(
IF(ISNUMBER(FIND("T2",B2543)),220,
IF(ISNUMBER(FIND("T4",B2543)),440,
IF(ISNUMBER(FIND("T5",B2543)),575,
IF(ISNUMBER(FIND("T6",B2543)),690,"")))),
"")</f>
        <v/>
      </c>
    </row>
    <row r="2544" spans="1:7" x14ac:dyDescent="0.25">
      <c r="A2544">
        <v>17112913</v>
      </c>
      <c r="B2544" t="str">
        <f>VLOOKUP(A2544,Planilha2!B:C,2,0)</f>
        <v>INVERSOR BRCFW110024T2OFAWZ</v>
      </c>
      <c r="C2544" t="s">
        <v>3169</v>
      </c>
      <c r="D2544" t="str">
        <f>VLOOKUP(A2544,Planilha2!B:H,7,0)</f>
        <v>LINHA P7</v>
      </c>
      <c r="E2544" s="5">
        <v>4500</v>
      </c>
      <c r="F2544">
        <f>IFERROR(
IF(ISNUMBER(FIND("CFW110",B2544)),
VALUE(MID(B2544,FIND("CFW110",B2544)+6,FIND("T",B2544,FIND("CFW110",B2544))-(FIND("CFW110",B2544)+6))),
IF(ISNUMBER(FIND("D",B2544)),
VALUE(SUBSTITUTE(MID(B2544,FIND("D",B2544)+1,FIND("T",B2544,FIND("D",B2544))-(FIND("D",B2544)+1)),"P",",")),
IF(ISNUMBER(FIND("CFW5",B2544)),
VALUE(MID(B2544,
IF(ISNUMBER(FIND("F",B2544)),FIND("F",B2544)+1,FIND("G",B2544)+1),
FIND("T",B2544)-(IF(ISNUMBER(FIND("F",B2544)),FIND("F",B2544)+1,FIND("G",B2544)+1))
)),
VALUE(MID(B2544,FIND("E0",B2544)+2,FIND("T",B2544,FIND("E0",B2544))-(FIND("E0",B2544)+2)))
))),"")</f>
        <v>24</v>
      </c>
      <c r="G2544">
        <f>IFERROR(
IF(ISNUMBER(FIND("T2",B2544)),220,
IF(ISNUMBER(FIND("T4",B2544)),440,
IF(ISNUMBER(FIND("T5",B2544)),575,
IF(ISNUMBER(FIND("T6",B2544)),690,"")))),
"")</f>
        <v>220</v>
      </c>
    </row>
    <row r="2545" spans="1:7" x14ac:dyDescent="0.25">
      <c r="A2545">
        <v>17131186</v>
      </c>
      <c r="B2545" t="str">
        <f>VLOOKUP(A2545,Planilha2!B:C,2,0)</f>
        <v>INVERSOR BRCFW110010T4OWECZ</v>
      </c>
      <c r="C2545" t="s">
        <v>3169</v>
      </c>
      <c r="D2545" t="str">
        <f>VLOOKUP(A2545,Planilha2!B:H,7,0)</f>
        <v>LINHA P5</v>
      </c>
      <c r="E2545" s="5">
        <v>5450</v>
      </c>
      <c r="F2545">
        <f>IFERROR(
IF(ISNUMBER(FIND("CFW110",B2545)),
VALUE(MID(B2545,FIND("CFW110",B2545)+6,FIND("T",B2545,FIND("CFW110",B2545))-(FIND("CFW110",B2545)+6))),
IF(ISNUMBER(FIND("D",B2545)),
VALUE(SUBSTITUTE(MID(B2545,FIND("D",B2545)+1,FIND("T",B2545,FIND("D",B2545))-(FIND("D",B2545)+1)),"P",",")),
IF(ISNUMBER(FIND("CFW5",B2545)),
VALUE(MID(B2545,
IF(ISNUMBER(FIND("F",B2545)),FIND("F",B2545)+1,FIND("G",B2545)+1),
FIND("T",B2545)-(IF(ISNUMBER(FIND("F",B2545)),FIND("F",B2545)+1,FIND("G",B2545)+1))
)),
VALUE(MID(B2545,FIND("E0",B2545)+2,FIND("T",B2545,FIND("E0",B2545))-(FIND("E0",B2545)+2)))
))),"")</f>
        <v>10</v>
      </c>
      <c r="G2545">
        <f>IFERROR(
IF(ISNUMBER(FIND("T2",B2545)),220,
IF(ISNUMBER(FIND("T4",B2545)),440,
IF(ISNUMBER(FIND("T5",B2545)),575,
IF(ISNUMBER(FIND("T6",B2545)),690,"")))),
"")</f>
        <v>440</v>
      </c>
    </row>
    <row r="2546" spans="1:7" x14ac:dyDescent="0.25">
      <c r="A2546">
        <v>17135593</v>
      </c>
      <c r="B2546" t="str">
        <f>VLOOKUP(A2546,Planilha2!B:C,2,0)</f>
        <v>INVERSOR BRCFW110031T4OFAECZ</v>
      </c>
      <c r="C2546" t="s">
        <v>3169</v>
      </c>
      <c r="D2546" t="str">
        <f>VLOOKUP(A2546,Planilha2!B:H,7,0)</f>
        <v>LINHA P7</v>
      </c>
      <c r="E2546" s="5">
        <v>10500</v>
      </c>
      <c r="F2546">
        <f>IFERROR(
IF(ISNUMBER(FIND("CFW110",B2546)),
VALUE(MID(B2546,FIND("CFW110",B2546)+6,FIND("T",B2546,FIND("CFW110",B2546))-(FIND("CFW110",B2546)+6))),
IF(ISNUMBER(FIND("D",B2546)),
VALUE(SUBSTITUTE(MID(B2546,FIND("D",B2546)+1,FIND("T",B2546,FIND("D",B2546))-(FIND("D",B2546)+1)),"P",",")),
IF(ISNUMBER(FIND("CFW5",B2546)),
VALUE(MID(B2546,
IF(ISNUMBER(FIND("F",B2546)),FIND("F",B2546)+1,FIND("G",B2546)+1),
FIND("T",B2546)-(IF(ISNUMBER(FIND("F",B2546)),FIND("F",B2546)+1,FIND("G",B2546)+1))
)),
VALUE(MID(B2546,FIND("E0",B2546)+2,FIND("T",B2546,FIND("E0",B2546))-(FIND("E0",B2546)+2)))
))),"")</f>
        <v>31</v>
      </c>
      <c r="G2546">
        <f>IFERROR(
IF(ISNUMBER(FIND("T2",B2546)),220,
IF(ISNUMBER(FIND("T4",B2546)),440,
IF(ISNUMBER(FIND("T5",B2546)),575,
IF(ISNUMBER(FIND("T6",B2546)),690,"")))),
"")</f>
        <v>440</v>
      </c>
    </row>
    <row r="2547" spans="1:7" x14ac:dyDescent="0.25">
      <c r="A2547">
        <v>16903876</v>
      </c>
      <c r="B2547" t="str">
        <f>VLOOKUP(A2547,Planilha2!B:C,2,0)</f>
        <v>INVERSOR BRCFW110016T2OYZ</v>
      </c>
      <c r="C2547" t="s">
        <v>3169</v>
      </c>
      <c r="D2547" t="str">
        <f>VLOOKUP(A2547,Planilha2!B:H,7,0)</f>
        <v>LINHA P5</v>
      </c>
      <c r="E2547" s="5">
        <v>4500</v>
      </c>
      <c r="F2547">
        <f>IFERROR(
IF(ISNUMBER(FIND("CFW110",B2547)),
VALUE(MID(B2547,FIND("CFW110",B2547)+6,FIND("T",B2547,FIND("CFW110",B2547))-(FIND("CFW110",B2547)+6))),
IF(ISNUMBER(FIND("D",B2547)),
VALUE(SUBSTITUTE(MID(B2547,FIND("D",B2547)+1,FIND("T",B2547,FIND("D",B2547))-(FIND("D",B2547)+1)),"P",",")),
IF(ISNUMBER(FIND("CFW5",B2547)),
VALUE(MID(B2547,
IF(ISNUMBER(FIND("F",B2547)),FIND("F",B2547)+1,FIND("G",B2547)+1),
FIND("T",B2547)-(IF(ISNUMBER(FIND("F",B2547)),FIND("F",B2547)+1,FIND("G",B2547)+1))
)),
VALUE(MID(B2547,FIND("E0",B2547)+2,FIND("T",B2547,FIND("E0",B2547))-(FIND("E0",B2547)+2)))
))),"")</f>
        <v>16</v>
      </c>
      <c r="G2547">
        <f>IFERROR(
IF(ISNUMBER(FIND("T2",B2547)),220,
IF(ISNUMBER(FIND("T4",B2547)),440,
IF(ISNUMBER(FIND("T5",B2547)),575,
IF(ISNUMBER(FIND("T6",B2547)),690,"")))),
"")</f>
        <v>220</v>
      </c>
    </row>
    <row r="2548" spans="1:7" x14ac:dyDescent="0.25">
      <c r="A2548">
        <v>17248032</v>
      </c>
      <c r="B2548" t="str">
        <f>VLOOKUP(A2548,Planilha2!B:C,2,0)</f>
        <v>INVERSOR BRCFW110024T4OFASMZ</v>
      </c>
      <c r="C2548" t="s">
        <v>3169</v>
      </c>
      <c r="D2548" t="str">
        <f>VLOOKUP(A2548,Planilha2!B:H,7,0)</f>
        <v>LINHA P7</v>
      </c>
      <c r="E2548" s="5">
        <v>5201</v>
      </c>
      <c r="F2548">
        <f>IFERROR(
IF(ISNUMBER(FIND("CFW110",B2548)),
VALUE(MID(B2548,FIND("CFW110",B2548)+6,FIND("T",B2548,FIND("CFW110",B2548))-(FIND("CFW110",B2548)+6))),
IF(ISNUMBER(FIND("D",B2548)),
VALUE(SUBSTITUTE(MID(B2548,FIND("D",B2548)+1,FIND("T",B2548,FIND("D",B2548))-(FIND("D",B2548)+1)),"P",",")),
IF(ISNUMBER(FIND("CFW5",B2548)),
VALUE(MID(B2548,
IF(ISNUMBER(FIND("F",B2548)),FIND("F",B2548)+1,FIND("G",B2548)+1),
FIND("T",B2548)-(IF(ISNUMBER(FIND("F",B2548)),FIND("F",B2548)+1,FIND("G",B2548)+1))
)),
VALUE(MID(B2548,FIND("E0",B2548)+2,FIND("T",B2548,FIND("E0",B2548))-(FIND("E0",B2548)+2)))
))),"")</f>
        <v>24</v>
      </c>
      <c r="G2548">
        <f>IFERROR(
IF(ISNUMBER(FIND("T2",B2548)),220,
IF(ISNUMBER(FIND("T4",B2548)),440,
IF(ISNUMBER(FIND("T5",B2548)),575,
IF(ISNUMBER(FIND("T6",B2548)),690,"")))),
"")</f>
        <v>440</v>
      </c>
    </row>
    <row r="2549" spans="1:7" x14ac:dyDescent="0.25">
      <c r="A2549">
        <v>17224338</v>
      </c>
      <c r="B2549" t="str">
        <f>VLOOKUP(A2549,Planilha2!B:C,2,0)</f>
        <v>INVERSOR BRCFW110016T2O55FAYECZ</v>
      </c>
      <c r="C2549" t="s">
        <v>3169</v>
      </c>
      <c r="D2549" t="str">
        <f>VLOOKUP(A2549,Planilha2!B:H,7,0)</f>
        <v>LINHA M3</v>
      </c>
      <c r="E2549" s="5">
        <v>5550</v>
      </c>
      <c r="F2549">
        <f>IFERROR(
IF(ISNUMBER(FIND("CFW110",B2549)),
VALUE(MID(B2549,FIND("CFW110",B2549)+6,FIND("T",B2549,FIND("CFW110",B2549))-(FIND("CFW110",B2549)+6))),
IF(ISNUMBER(FIND("D",B2549)),
VALUE(SUBSTITUTE(MID(B2549,FIND("D",B2549)+1,FIND("T",B2549,FIND("D",B2549))-(FIND("D",B2549)+1)),"P",",")),
IF(ISNUMBER(FIND("CFW5",B2549)),
VALUE(MID(B2549,
IF(ISNUMBER(FIND("F",B2549)),FIND("F",B2549)+1,FIND("G",B2549)+1),
FIND("T",B2549)-(IF(ISNUMBER(FIND("F",B2549)),FIND("F",B2549)+1,FIND("G",B2549)+1))
)),
VALUE(MID(B2549,FIND("E0",B2549)+2,FIND("T",B2549,FIND("E0",B2549))-(FIND("E0",B2549)+2)))
))),"")</f>
        <v>16</v>
      </c>
      <c r="G2549">
        <f>IFERROR(
IF(ISNUMBER(FIND("T2",B2549)),220,
IF(ISNUMBER(FIND("T4",B2549)),440,
IF(ISNUMBER(FIND("T5",B2549)),575,
IF(ISNUMBER(FIND("T6",B2549)),690,"")))),
"")</f>
        <v>220</v>
      </c>
    </row>
    <row r="2550" spans="1:7" x14ac:dyDescent="0.25">
      <c r="A2550">
        <v>17224342</v>
      </c>
      <c r="B2550" t="str">
        <f>VLOOKUP(A2550,Planilha2!B:C,2,0)</f>
        <v>INVERSOR BRCFW110013T2O55FAYECZ</v>
      </c>
      <c r="C2550" t="s">
        <v>3169</v>
      </c>
      <c r="D2550" t="str">
        <f>VLOOKUP(A2550,Planilha2!B:H,7,0)</f>
        <v>LINHA M3</v>
      </c>
      <c r="E2550" s="5">
        <v>5550</v>
      </c>
      <c r="F2550">
        <f>IFERROR(
IF(ISNUMBER(FIND("CFW110",B2550)),
VALUE(MID(B2550,FIND("CFW110",B2550)+6,FIND("T",B2550,FIND("CFW110",B2550))-(FIND("CFW110",B2550)+6))),
IF(ISNUMBER(FIND("D",B2550)),
VALUE(SUBSTITUTE(MID(B2550,FIND("D",B2550)+1,FIND("T",B2550,FIND("D",B2550))-(FIND("D",B2550)+1)),"P",",")),
IF(ISNUMBER(FIND("CFW5",B2550)),
VALUE(MID(B2550,
IF(ISNUMBER(FIND("F",B2550)),FIND("F",B2550)+1,FIND("G",B2550)+1),
FIND("T",B2550)-(IF(ISNUMBER(FIND("F",B2550)),FIND("F",B2550)+1,FIND("G",B2550)+1))
)),
VALUE(MID(B2550,FIND("E0",B2550)+2,FIND("T",B2550,FIND("E0",B2550))-(FIND("E0",B2550)+2)))
))),"")</f>
        <v>13</v>
      </c>
      <c r="G2550">
        <f>IFERROR(
IF(ISNUMBER(FIND("T2",B2550)),220,
IF(ISNUMBER(FIND("T4",B2550)),440,
IF(ISNUMBER(FIND("T5",B2550)),575,
IF(ISNUMBER(FIND("T6",B2550)),690,"")))),
"")</f>
        <v>220</v>
      </c>
    </row>
    <row r="2551" spans="1:7" x14ac:dyDescent="0.25">
      <c r="A2551">
        <v>17224346</v>
      </c>
      <c r="B2551" t="str">
        <f>VLOOKUP(A2551,Planilha2!B:C,2,0)</f>
        <v>INVERSOR BRCFW110028T2O55FAYECZ</v>
      </c>
      <c r="C2551" t="s">
        <v>3169</v>
      </c>
      <c r="D2551" t="str">
        <f>VLOOKUP(A2551,Planilha2!B:H,7,0)</f>
        <v>LINHA M3</v>
      </c>
      <c r="E2551" s="5">
        <v>4500</v>
      </c>
      <c r="F2551">
        <f>IFERROR(
IF(ISNUMBER(FIND("CFW110",B2551)),
VALUE(MID(B2551,FIND("CFW110",B2551)+6,FIND("T",B2551,FIND("CFW110",B2551))-(FIND("CFW110",B2551)+6))),
IF(ISNUMBER(FIND("D",B2551)),
VALUE(SUBSTITUTE(MID(B2551,FIND("D",B2551)+1,FIND("T",B2551,FIND("D",B2551))-(FIND("D",B2551)+1)),"P",",")),
IF(ISNUMBER(FIND("CFW5",B2551)),
VALUE(MID(B2551,
IF(ISNUMBER(FIND("F",B2551)),FIND("F",B2551)+1,FIND("G",B2551)+1),
FIND("T",B2551)-(IF(ISNUMBER(FIND("F",B2551)),FIND("F",B2551)+1,FIND("G",B2551)+1))
)),
VALUE(MID(B2551,FIND("E0",B2551)+2,FIND("T",B2551,FIND("E0",B2551))-(FIND("E0",B2551)+2)))
))),"")</f>
        <v>28</v>
      </c>
      <c r="G2551">
        <f>IFERROR(
IF(ISNUMBER(FIND("T2",B2551)),220,
IF(ISNUMBER(FIND("T4",B2551)),440,
IF(ISNUMBER(FIND("T5",B2551)),575,
IF(ISNUMBER(FIND("T6",B2551)),690,"")))),
"")</f>
        <v>220</v>
      </c>
    </row>
    <row r="2552" spans="1:7" x14ac:dyDescent="0.25">
      <c r="A2552">
        <v>17222154</v>
      </c>
      <c r="B2552" t="str">
        <f>VLOOKUP(A2552,Planilha2!B:C,2,0)</f>
        <v>INVERSOR EUCFW110013T4OFASUZ</v>
      </c>
      <c r="C2552" t="s">
        <v>3169</v>
      </c>
      <c r="D2552" t="str">
        <f>VLOOKUP(A2552,Planilha2!B:H,7,0)</f>
        <v>LINHA P5</v>
      </c>
      <c r="E2552" s="5">
        <v>5750</v>
      </c>
      <c r="F2552">
        <f>IFERROR(
IF(ISNUMBER(FIND("CFW110",B2552)),
VALUE(MID(B2552,FIND("CFW110",B2552)+6,FIND("T",B2552,FIND("CFW110",B2552))-(FIND("CFW110",B2552)+6))),
IF(ISNUMBER(FIND("D",B2552)),
VALUE(SUBSTITUTE(MID(B2552,FIND("D",B2552)+1,FIND("T",B2552,FIND("D",B2552))-(FIND("D",B2552)+1)),"P",",")),
IF(ISNUMBER(FIND("CFW5",B2552)),
VALUE(MID(B2552,
IF(ISNUMBER(FIND("F",B2552)),FIND("F",B2552)+1,FIND("G",B2552)+1),
FIND("T",B2552)-(IF(ISNUMBER(FIND("F",B2552)),FIND("F",B2552)+1,FIND("G",B2552)+1))
)),
VALUE(MID(B2552,FIND("E0",B2552)+2,FIND("T",B2552,FIND("E0",B2552))-(FIND("E0",B2552)+2)))
))),"")</f>
        <v>13</v>
      </c>
      <c r="G2552">
        <f>IFERROR(
IF(ISNUMBER(FIND("T2",B2552)),220,
IF(ISNUMBER(FIND("T4",B2552)),440,
IF(ISNUMBER(FIND("T5",B2552)),575,
IF(ISNUMBER(FIND("T6",B2552)),690,"")))),
"")</f>
        <v>440</v>
      </c>
    </row>
    <row r="2553" spans="1:7" x14ac:dyDescent="0.25">
      <c r="A2553">
        <v>17249805</v>
      </c>
      <c r="B2553" t="str">
        <f>VLOOKUP(A2553,Planilha2!B:C,2,0)</f>
        <v>INVERSOR EUCFW110005T4OFASUZ</v>
      </c>
      <c r="C2553" t="s">
        <v>3169</v>
      </c>
      <c r="D2553" t="str">
        <f>VLOOKUP(A2553,Planilha2!B:H,7,0)</f>
        <v>LINHA P5</v>
      </c>
      <c r="E2553" s="5">
        <v>5350</v>
      </c>
      <c r="F2553">
        <f>IFERROR(
IF(ISNUMBER(FIND("CFW110",B2553)),
VALUE(MID(B2553,FIND("CFW110",B2553)+6,FIND("T",B2553,FIND("CFW110",B2553))-(FIND("CFW110",B2553)+6))),
IF(ISNUMBER(FIND("D",B2553)),
VALUE(SUBSTITUTE(MID(B2553,FIND("D",B2553)+1,FIND("T",B2553,FIND("D",B2553))-(FIND("D",B2553)+1)),"P",",")),
IF(ISNUMBER(FIND("CFW5",B2553)),
VALUE(MID(B2553,
IF(ISNUMBER(FIND("F",B2553)),FIND("F",B2553)+1,FIND("G",B2553)+1),
FIND("T",B2553)-(IF(ISNUMBER(FIND("F",B2553)),FIND("F",B2553)+1,FIND("G",B2553)+1))
)),
VALUE(MID(B2553,FIND("E0",B2553)+2,FIND("T",B2553,FIND("E0",B2553))-(FIND("E0",B2553)+2)))
))),"")</f>
        <v>5</v>
      </c>
      <c r="G2553">
        <f>IFERROR(
IF(ISNUMBER(FIND("T2",B2553)),220,
IF(ISNUMBER(FIND("T4",B2553)),440,
IF(ISNUMBER(FIND("T5",B2553)),575,
IF(ISNUMBER(FIND("T6",B2553)),690,"")))),
"")</f>
        <v>440</v>
      </c>
    </row>
    <row r="2554" spans="1:7" x14ac:dyDescent="0.25">
      <c r="A2554">
        <v>17279506</v>
      </c>
      <c r="B2554" t="str">
        <f>VLOOKUP(A2554,Planilha2!B:C,2,0)</f>
        <v>INVERSOR BRCFW110005T4OFAYECZ</v>
      </c>
      <c r="C2554" t="s">
        <v>3169</v>
      </c>
      <c r="D2554" t="str">
        <f>VLOOKUP(A2554,Planilha2!B:H,7,0)</f>
        <v>LINHA P5</v>
      </c>
      <c r="E2554" s="5">
        <v>4500</v>
      </c>
      <c r="F2554">
        <f>IFERROR(
IF(ISNUMBER(FIND("CFW110",B2554)),
VALUE(MID(B2554,FIND("CFW110",B2554)+6,FIND("T",B2554,FIND("CFW110",B2554))-(FIND("CFW110",B2554)+6))),
IF(ISNUMBER(FIND("D",B2554)),
VALUE(SUBSTITUTE(MID(B2554,FIND("D",B2554)+1,FIND("T",B2554,FIND("D",B2554))-(FIND("D",B2554)+1)),"P",",")),
IF(ISNUMBER(FIND("CFW5",B2554)),
VALUE(MID(B2554,
IF(ISNUMBER(FIND("F",B2554)),FIND("F",B2554)+1,FIND("G",B2554)+1),
FIND("T",B2554)-(IF(ISNUMBER(FIND("F",B2554)),FIND("F",B2554)+1,FIND("G",B2554)+1))
)),
VALUE(MID(B2554,FIND("E0",B2554)+2,FIND("T",B2554,FIND("E0",B2554))-(FIND("E0",B2554)+2)))
))),"")</f>
        <v>5</v>
      </c>
      <c r="G2554">
        <f>IFERROR(
IF(ISNUMBER(FIND("T2",B2554)),220,
IF(ISNUMBER(FIND("T4",B2554)),440,
IF(ISNUMBER(FIND("T5",B2554)),575,
IF(ISNUMBER(FIND("T6",B2554)),690,"")))),
"")</f>
        <v>440</v>
      </c>
    </row>
    <row r="2555" spans="1:7" x14ac:dyDescent="0.25">
      <c r="A2555">
        <v>17279507</v>
      </c>
      <c r="B2555" t="str">
        <f>VLOOKUP(A2555,Planilha2!B:C,2,0)</f>
        <v>INVERSOR BRCFW110007T4OFAYECZ</v>
      </c>
      <c r="C2555" t="s">
        <v>3169</v>
      </c>
      <c r="D2555" t="str">
        <f>VLOOKUP(A2555,Planilha2!B:H,7,0)</f>
        <v>LINHA P5</v>
      </c>
      <c r="E2555" s="5">
        <v>4500</v>
      </c>
      <c r="F2555">
        <f>IFERROR(
IF(ISNUMBER(FIND("CFW110",B2555)),
VALUE(MID(B2555,FIND("CFW110",B2555)+6,FIND("T",B2555,FIND("CFW110",B2555))-(FIND("CFW110",B2555)+6))),
IF(ISNUMBER(FIND("D",B2555)),
VALUE(SUBSTITUTE(MID(B2555,FIND("D",B2555)+1,FIND("T",B2555,FIND("D",B2555))-(FIND("D",B2555)+1)),"P",",")),
IF(ISNUMBER(FIND("CFW5",B2555)),
VALUE(MID(B2555,
IF(ISNUMBER(FIND("F",B2555)),FIND("F",B2555)+1,FIND("G",B2555)+1),
FIND("T",B2555)-(IF(ISNUMBER(FIND("F",B2555)),FIND("F",B2555)+1,FIND("G",B2555)+1))
)),
VALUE(MID(B2555,FIND("E0",B2555)+2,FIND("T",B2555,FIND("E0",B2555))-(FIND("E0",B2555)+2)))
))),"")</f>
        <v>7</v>
      </c>
      <c r="G2555">
        <f>IFERROR(
IF(ISNUMBER(FIND("T2",B2555)),220,
IF(ISNUMBER(FIND("T4",B2555)),440,
IF(ISNUMBER(FIND("T5",B2555)),575,
IF(ISNUMBER(FIND("T6",B2555)),690,"")))),
"")</f>
        <v>440</v>
      </c>
    </row>
    <row r="2556" spans="1:7" x14ac:dyDescent="0.25">
      <c r="A2556">
        <v>17279888</v>
      </c>
      <c r="B2556" t="str">
        <f>VLOOKUP(A2556,Planilha2!B:C,2,0)</f>
        <v>INVERSOR BRCFW110013T4OFAYECZ</v>
      </c>
      <c r="C2556" t="s">
        <v>3169</v>
      </c>
      <c r="D2556" t="str">
        <f>VLOOKUP(A2556,Planilha2!B:H,7,0)</f>
        <v>LINHA P5</v>
      </c>
      <c r="E2556" s="5">
        <v>4500</v>
      </c>
      <c r="F2556">
        <f>IFERROR(
IF(ISNUMBER(FIND("CFW110",B2556)),
VALUE(MID(B2556,FIND("CFW110",B2556)+6,FIND("T",B2556,FIND("CFW110",B2556))-(FIND("CFW110",B2556)+6))),
IF(ISNUMBER(FIND("D",B2556)),
VALUE(SUBSTITUTE(MID(B2556,FIND("D",B2556)+1,FIND("T",B2556,FIND("D",B2556))-(FIND("D",B2556)+1)),"P",",")),
IF(ISNUMBER(FIND("CFW5",B2556)),
VALUE(MID(B2556,
IF(ISNUMBER(FIND("F",B2556)),FIND("F",B2556)+1,FIND("G",B2556)+1),
FIND("T",B2556)-(IF(ISNUMBER(FIND("F",B2556)),FIND("F",B2556)+1,FIND("G",B2556)+1))
)),
VALUE(MID(B2556,FIND("E0",B2556)+2,FIND("T",B2556,FIND("E0",B2556))-(FIND("E0",B2556)+2)))
))),"")</f>
        <v>13</v>
      </c>
      <c r="G2556">
        <f>IFERROR(
IF(ISNUMBER(FIND("T2",B2556)),220,
IF(ISNUMBER(FIND("T4",B2556)),440,
IF(ISNUMBER(FIND("T5",B2556)),575,
IF(ISNUMBER(FIND("T6",B2556)),690,"")))),
"")</f>
        <v>440</v>
      </c>
    </row>
    <row r="2557" spans="1:7" x14ac:dyDescent="0.25">
      <c r="A2557">
        <v>17279891</v>
      </c>
      <c r="B2557" t="str">
        <f>VLOOKUP(A2557,Planilha2!B:C,2,0)</f>
        <v>INVERSOR BRCFW110024T4OFAYECZ</v>
      </c>
      <c r="C2557" t="s">
        <v>3169</v>
      </c>
      <c r="D2557" t="str">
        <f>VLOOKUP(A2557,Planilha2!B:H,7,0)</f>
        <v>LINHA P7</v>
      </c>
      <c r="E2557" s="5">
        <v>9100</v>
      </c>
      <c r="F2557">
        <f>IFERROR(
IF(ISNUMBER(FIND("CFW110",B2557)),
VALUE(MID(B2557,FIND("CFW110",B2557)+6,FIND("T",B2557,FIND("CFW110",B2557))-(FIND("CFW110",B2557)+6))),
IF(ISNUMBER(FIND("D",B2557)),
VALUE(SUBSTITUTE(MID(B2557,FIND("D",B2557)+1,FIND("T",B2557,FIND("D",B2557))-(FIND("D",B2557)+1)),"P",",")),
IF(ISNUMBER(FIND("CFW5",B2557)),
VALUE(MID(B2557,
IF(ISNUMBER(FIND("F",B2557)),FIND("F",B2557)+1,FIND("G",B2557)+1),
FIND("T",B2557)-(IF(ISNUMBER(FIND("F",B2557)),FIND("F",B2557)+1,FIND("G",B2557)+1))
)),
VALUE(MID(B2557,FIND("E0",B2557)+2,FIND("T",B2557,FIND("E0",B2557))-(FIND("E0",B2557)+2)))
))),"")</f>
        <v>24</v>
      </c>
      <c r="G2557">
        <f>IFERROR(
IF(ISNUMBER(FIND("T2",B2557)),220,
IF(ISNUMBER(FIND("T4",B2557)),440,
IF(ISNUMBER(FIND("T5",B2557)),575,
IF(ISNUMBER(FIND("T6",B2557)),690,"")))),
"")</f>
        <v>440</v>
      </c>
    </row>
    <row r="2558" spans="1:7" x14ac:dyDescent="0.25">
      <c r="A2558">
        <v>17291357</v>
      </c>
      <c r="B2558" t="str">
        <f>VLOOKUP(A2558,Planilha2!B:C,2,0)</f>
        <v>INVERSOR BRCFW110024T2ORBHP1Z</v>
      </c>
      <c r="C2558" t="s">
        <v>3169</v>
      </c>
      <c r="D2558" t="str">
        <f>VLOOKUP(A2558,Planilha2!B:H,7,0)</f>
        <v>LINHA P7</v>
      </c>
      <c r="E2558" s="5">
        <v>8700</v>
      </c>
      <c r="F2558">
        <f>IFERROR(
IF(ISNUMBER(FIND("CFW110",B2558)),
VALUE(MID(B2558,FIND("CFW110",B2558)+6,FIND("T",B2558,FIND("CFW110",B2558))-(FIND("CFW110",B2558)+6))),
IF(ISNUMBER(FIND("D",B2558)),
VALUE(SUBSTITUTE(MID(B2558,FIND("D",B2558)+1,FIND("T",B2558,FIND("D",B2558))-(FIND("D",B2558)+1)),"P",",")),
IF(ISNUMBER(FIND("CFW5",B2558)),
VALUE(MID(B2558,
IF(ISNUMBER(FIND("F",B2558)),FIND("F",B2558)+1,FIND("G",B2558)+1),
FIND("T",B2558)-(IF(ISNUMBER(FIND("F",B2558)),FIND("F",B2558)+1,FIND("G",B2558)+1))
)),
VALUE(MID(B2558,FIND("E0",B2558)+2,FIND("T",B2558,FIND("E0",B2558))-(FIND("E0",B2558)+2)))
))),"")</f>
        <v>24</v>
      </c>
      <c r="G2558">
        <f>IFERROR(
IF(ISNUMBER(FIND("T2",B2558)),220,
IF(ISNUMBER(FIND("T4",B2558)),440,
IF(ISNUMBER(FIND("T5",B2558)),575,
IF(ISNUMBER(FIND("T6",B2558)),690,"")))),
"")</f>
        <v>220</v>
      </c>
    </row>
    <row r="2559" spans="1:7" x14ac:dyDescent="0.25">
      <c r="A2559">
        <v>17262554</v>
      </c>
      <c r="B2559" t="str">
        <f>VLOOKUP(A2559,Planilha2!B:C,2,0)</f>
        <v>INVERSOR EUCFW110010T4OFASUZ</v>
      </c>
      <c r="C2559" t="s">
        <v>3169</v>
      </c>
      <c r="D2559" t="str">
        <f>VLOOKUP(A2559,Planilha2!B:H,7,0)</f>
        <v>LINHA P5</v>
      </c>
      <c r="E2559" s="5">
        <v>5650</v>
      </c>
      <c r="F2559">
        <f>IFERROR(
IF(ISNUMBER(FIND("CFW110",B2559)),
VALUE(MID(B2559,FIND("CFW110",B2559)+6,FIND("T",B2559,FIND("CFW110",B2559))-(FIND("CFW110",B2559)+6))),
IF(ISNUMBER(FIND("D",B2559)),
VALUE(SUBSTITUTE(MID(B2559,FIND("D",B2559)+1,FIND("T",B2559,FIND("D",B2559))-(FIND("D",B2559)+1)),"P",",")),
IF(ISNUMBER(FIND("CFW5",B2559)),
VALUE(MID(B2559,
IF(ISNUMBER(FIND("F",B2559)),FIND("F",B2559)+1,FIND("G",B2559)+1),
FIND("T",B2559)-(IF(ISNUMBER(FIND("F",B2559)),FIND("F",B2559)+1,FIND("G",B2559)+1))
)),
VALUE(MID(B2559,FIND("E0",B2559)+2,FIND("T",B2559,FIND("E0",B2559))-(FIND("E0",B2559)+2)))
))),"")</f>
        <v>10</v>
      </c>
      <c r="G2559">
        <f>IFERROR(
IF(ISNUMBER(FIND("T2",B2559)),220,
IF(ISNUMBER(FIND("T4",B2559)),440,
IF(ISNUMBER(FIND("T5",B2559)),575,
IF(ISNUMBER(FIND("T6",B2559)),690,"")))),
"")</f>
        <v>440</v>
      </c>
    </row>
    <row r="2560" spans="1:7" x14ac:dyDescent="0.25">
      <c r="A2560">
        <v>17312709</v>
      </c>
      <c r="B2560" t="str">
        <f>VLOOKUP(A2560,Planilha2!B:C,2,0)</f>
        <v>INVERSOR EUCFW110003T4OFASUZ</v>
      </c>
      <c r="C2560" t="s">
        <v>3169</v>
      </c>
      <c r="D2560" t="str">
        <f>VLOOKUP(A2560,Planilha2!B:H,7,0)</f>
        <v>LINHA P5</v>
      </c>
      <c r="E2560" s="5">
        <v>5150</v>
      </c>
      <c r="F2560">
        <f>IFERROR(
IF(ISNUMBER(FIND("CFW110",B2560)),
VALUE(MID(B2560,FIND("CFW110",B2560)+6,FIND("T",B2560,FIND("CFW110",B2560))-(FIND("CFW110",B2560)+6))),
IF(ISNUMBER(FIND("D",B2560)),
VALUE(SUBSTITUTE(MID(B2560,FIND("D",B2560)+1,FIND("T",B2560,FIND("D",B2560))-(FIND("D",B2560)+1)),"P",",")),
IF(ISNUMBER(FIND("CFW5",B2560)),
VALUE(MID(B2560,
IF(ISNUMBER(FIND("F",B2560)),FIND("F",B2560)+1,FIND("G",B2560)+1),
FIND("T",B2560)-(IF(ISNUMBER(FIND("F",B2560)),FIND("F",B2560)+1,FIND("G",B2560)+1))
)),
VALUE(MID(B2560,FIND("E0",B2560)+2,FIND("T",B2560,FIND("E0",B2560))-(FIND("E0",B2560)+2)))
))),"")</f>
        <v>3</v>
      </c>
      <c r="G2560">
        <f>IFERROR(
IF(ISNUMBER(FIND("T2",B2560)),220,
IF(ISNUMBER(FIND("T4",B2560)),440,
IF(ISNUMBER(FIND("T5",B2560)),575,
IF(ISNUMBER(FIND("T6",B2560)),690,"")))),
"")</f>
        <v>440</v>
      </c>
    </row>
    <row r="2561" spans="1:7" x14ac:dyDescent="0.25">
      <c r="A2561">
        <v>17262557</v>
      </c>
      <c r="B2561" t="str">
        <f>VLOOKUP(A2561,Planilha2!B:C,2,0)</f>
        <v>INVERSOR EUCFW110031T4OFASUZ</v>
      </c>
      <c r="C2561" t="s">
        <v>3169</v>
      </c>
      <c r="D2561" t="str">
        <f>VLOOKUP(A2561,Planilha2!B:H,7,0)</f>
        <v>LINHA P7</v>
      </c>
      <c r="E2561" s="5">
        <v>10500</v>
      </c>
      <c r="F2561">
        <f>IFERROR(
IF(ISNUMBER(FIND("CFW110",B2561)),
VALUE(MID(B2561,FIND("CFW110",B2561)+6,FIND("T",B2561,FIND("CFW110",B2561))-(FIND("CFW110",B2561)+6))),
IF(ISNUMBER(FIND("D",B2561)),
VALUE(SUBSTITUTE(MID(B2561,FIND("D",B2561)+1,FIND("T",B2561,FIND("D",B2561))-(FIND("D",B2561)+1)),"P",",")),
IF(ISNUMBER(FIND("CFW5",B2561)),
VALUE(MID(B2561,
IF(ISNUMBER(FIND("F",B2561)),FIND("F",B2561)+1,FIND("G",B2561)+1),
FIND("T",B2561)-(IF(ISNUMBER(FIND("F",B2561)),FIND("F",B2561)+1,FIND("G",B2561)+1))
)),
VALUE(MID(B2561,FIND("E0",B2561)+2,FIND("T",B2561,FIND("E0",B2561))-(FIND("E0",B2561)+2)))
))),"")</f>
        <v>31</v>
      </c>
      <c r="G2561">
        <f>IFERROR(
IF(ISNUMBER(FIND("T2",B2561)),220,
IF(ISNUMBER(FIND("T4",B2561)),440,
IF(ISNUMBER(FIND("T5",B2561)),575,
IF(ISNUMBER(FIND("T6",B2561)),690,"")))),
"")</f>
        <v>440</v>
      </c>
    </row>
    <row r="2562" spans="1:7" x14ac:dyDescent="0.25">
      <c r="A2562">
        <v>17262555</v>
      </c>
      <c r="B2562" t="str">
        <f>VLOOKUP(A2562,Planilha2!B:C,2,0)</f>
        <v>INVERSOR EUCFW110024T4OFASUZ</v>
      </c>
      <c r="C2562" t="s">
        <v>3169</v>
      </c>
      <c r="D2562" t="str">
        <f>VLOOKUP(A2562,Planilha2!B:H,7,0)</f>
        <v>LINHA P7</v>
      </c>
      <c r="E2562" s="5">
        <v>10100</v>
      </c>
      <c r="F2562">
        <f>IFERROR(
IF(ISNUMBER(FIND("CFW110",B2562)),
VALUE(MID(B2562,FIND("CFW110",B2562)+6,FIND("T",B2562,FIND("CFW110",B2562))-(FIND("CFW110",B2562)+6))),
IF(ISNUMBER(FIND("D",B2562)),
VALUE(SUBSTITUTE(MID(B2562,FIND("D",B2562)+1,FIND("T",B2562,FIND("D",B2562))-(FIND("D",B2562)+1)),"P",",")),
IF(ISNUMBER(FIND("CFW5",B2562)),
VALUE(MID(B2562,
IF(ISNUMBER(FIND("F",B2562)),FIND("F",B2562)+1,FIND("G",B2562)+1),
FIND("T",B2562)-(IF(ISNUMBER(FIND("F",B2562)),FIND("F",B2562)+1,FIND("G",B2562)+1))
)),
VALUE(MID(B2562,FIND("E0",B2562)+2,FIND("T",B2562,FIND("E0",B2562))-(FIND("E0",B2562)+2)))
))),"")</f>
        <v>24</v>
      </c>
      <c r="G2562">
        <f>IFERROR(
IF(ISNUMBER(FIND("T2",B2562)),220,
IF(ISNUMBER(FIND("T4",B2562)),440,
IF(ISNUMBER(FIND("T5",B2562)),575,
IF(ISNUMBER(FIND("T6",B2562)),690,"")))),
"")</f>
        <v>440</v>
      </c>
    </row>
    <row r="2563" spans="1:7" x14ac:dyDescent="0.25">
      <c r="A2563">
        <v>12306582</v>
      </c>
      <c r="B2563" t="str">
        <f>VLOOKUP(A2563,Planilha2!B:C,2,0)</f>
        <v>INVERSOR MSCFW110024T4OFAYWZ</v>
      </c>
      <c r="C2563" t="s">
        <v>3169</v>
      </c>
      <c r="D2563" t="str">
        <f>VLOOKUP(A2563,Planilha2!B:H,7,0)</f>
        <v>LINHA P7</v>
      </c>
      <c r="E2563" s="5">
        <v>11440</v>
      </c>
      <c r="F2563">
        <f>IFERROR(
IF(ISNUMBER(FIND("CFW110",B2563)),
VALUE(MID(B2563,FIND("CFW110",B2563)+6,FIND("T",B2563,FIND("CFW110",B2563))-(FIND("CFW110",B2563)+6))),
IF(ISNUMBER(FIND("D",B2563)),
VALUE(SUBSTITUTE(MID(B2563,FIND("D",B2563)+1,FIND("T",B2563,FIND("D",B2563))-(FIND("D",B2563)+1)),"P",",")),
IF(ISNUMBER(FIND("CFW5",B2563)),
VALUE(MID(B2563,
IF(ISNUMBER(FIND("F",B2563)),FIND("F",B2563)+1,FIND("G",B2563)+1),
FIND("T",B2563)-(IF(ISNUMBER(FIND("F",B2563)),FIND("F",B2563)+1,FIND("G",B2563)+1))
)),
VALUE(MID(B2563,FIND("E0",B2563)+2,FIND("T",B2563,FIND("E0",B2563))-(FIND("E0",B2563)+2)))
))),"")</f>
        <v>24</v>
      </c>
      <c r="G2563">
        <f>IFERROR(
IF(ISNUMBER(FIND("T2",B2563)),220,
IF(ISNUMBER(FIND("T4",B2563)),440,
IF(ISNUMBER(FIND("T5",B2563)),575,
IF(ISNUMBER(FIND("T6",B2563)),690,"")))),
"")</f>
        <v>440</v>
      </c>
    </row>
    <row r="2564" spans="1:7" x14ac:dyDescent="0.25">
      <c r="A2564">
        <v>17411480</v>
      </c>
      <c r="B2564" t="str">
        <f>VLOOKUP(A2564,Planilha2!B:C,2,0)</f>
        <v>INVERSOR EUCFW110003T4OFAYSUZ</v>
      </c>
      <c r="C2564" t="s">
        <v>3169</v>
      </c>
      <c r="D2564" t="str">
        <f>VLOOKUP(A2564,Planilha2!B:H,7,0)</f>
        <v>LINHA P5</v>
      </c>
      <c r="E2564" s="5">
        <v>6800</v>
      </c>
      <c r="F2564">
        <f>IFERROR(
IF(ISNUMBER(FIND("CFW110",B2564)),
VALUE(MID(B2564,FIND("CFW110",B2564)+6,FIND("T",B2564,FIND("CFW110",B2564))-(FIND("CFW110",B2564)+6))),
IF(ISNUMBER(FIND("D",B2564)),
VALUE(SUBSTITUTE(MID(B2564,FIND("D",B2564)+1,FIND("T",B2564,FIND("D",B2564))-(FIND("D",B2564)+1)),"P",",")),
IF(ISNUMBER(FIND("CFW5",B2564)),
VALUE(MID(B2564,
IF(ISNUMBER(FIND("F",B2564)),FIND("F",B2564)+1,FIND("G",B2564)+1),
FIND("T",B2564)-(IF(ISNUMBER(FIND("F",B2564)),FIND("F",B2564)+1,FIND("G",B2564)+1))
)),
VALUE(MID(B2564,FIND("E0",B2564)+2,FIND("T",B2564,FIND("E0",B2564))-(FIND("E0",B2564)+2)))
))),"")</f>
        <v>3</v>
      </c>
      <c r="G2564">
        <f>IFERROR(
IF(ISNUMBER(FIND("T2",B2564)),220,
IF(ISNUMBER(FIND("T4",B2564)),440,
IF(ISNUMBER(FIND("T5",B2564)),575,
IF(ISNUMBER(FIND("T6",B2564)),690,"")))),
"")</f>
        <v>440</v>
      </c>
    </row>
    <row r="2565" spans="1:7" x14ac:dyDescent="0.25">
      <c r="A2565">
        <v>17411569</v>
      </c>
      <c r="B2565" t="str">
        <f>VLOOKUP(A2565,Planilha2!B:C,2,0)</f>
        <v>INVERSOR EUCFW110005T4OFAYSUZ</v>
      </c>
      <c r="C2565" t="s">
        <v>3169</v>
      </c>
      <c r="D2565" t="str">
        <f>VLOOKUP(A2565,Planilha2!B:H,7,0)</f>
        <v>LINHA P5</v>
      </c>
      <c r="E2565" s="5">
        <v>5350</v>
      </c>
      <c r="F2565">
        <f>IFERROR(
IF(ISNUMBER(FIND("CFW110",B2565)),
VALUE(MID(B2565,FIND("CFW110",B2565)+6,FIND("T",B2565,FIND("CFW110",B2565))-(FIND("CFW110",B2565)+6))),
IF(ISNUMBER(FIND("D",B2565)),
VALUE(SUBSTITUTE(MID(B2565,FIND("D",B2565)+1,FIND("T",B2565,FIND("D",B2565))-(FIND("D",B2565)+1)),"P",",")),
IF(ISNUMBER(FIND("CFW5",B2565)),
VALUE(MID(B2565,
IF(ISNUMBER(FIND("F",B2565)),FIND("F",B2565)+1,FIND("G",B2565)+1),
FIND("T",B2565)-(IF(ISNUMBER(FIND("F",B2565)),FIND("F",B2565)+1,FIND("G",B2565)+1))
)),
VALUE(MID(B2565,FIND("E0",B2565)+2,FIND("T",B2565,FIND("E0",B2565))-(FIND("E0",B2565)+2)))
))),"")</f>
        <v>5</v>
      </c>
      <c r="G2565">
        <f>IFERROR(
IF(ISNUMBER(FIND("T2",B2565)),220,
IF(ISNUMBER(FIND("T4",B2565)),440,
IF(ISNUMBER(FIND("T5",B2565)),575,
IF(ISNUMBER(FIND("T6",B2565)),690,"")))),
"")</f>
        <v>440</v>
      </c>
    </row>
    <row r="2566" spans="1:7" x14ac:dyDescent="0.25">
      <c r="A2566">
        <v>17411570</v>
      </c>
      <c r="B2566" t="str">
        <f>VLOOKUP(A2566,Planilha2!B:C,2,0)</f>
        <v>INVERSOR EUCFW110010T4OFAYSUZ</v>
      </c>
      <c r="C2566" t="s">
        <v>3169</v>
      </c>
      <c r="D2566" t="str">
        <f>VLOOKUP(A2566,Planilha2!B:H,7,0)</f>
        <v>LINHA P5</v>
      </c>
      <c r="E2566" s="5">
        <v>4500</v>
      </c>
      <c r="F2566">
        <f>IFERROR(
IF(ISNUMBER(FIND("CFW110",B2566)),
VALUE(MID(B2566,FIND("CFW110",B2566)+6,FIND("T",B2566,FIND("CFW110",B2566))-(FIND("CFW110",B2566)+6))),
IF(ISNUMBER(FIND("D",B2566)),
VALUE(SUBSTITUTE(MID(B2566,FIND("D",B2566)+1,FIND("T",B2566,FIND("D",B2566))-(FIND("D",B2566)+1)),"P",",")),
IF(ISNUMBER(FIND("CFW5",B2566)),
VALUE(MID(B2566,
IF(ISNUMBER(FIND("F",B2566)),FIND("F",B2566)+1,FIND("G",B2566)+1),
FIND("T",B2566)-(IF(ISNUMBER(FIND("F",B2566)),FIND("F",B2566)+1,FIND("G",B2566)+1))
)),
VALUE(MID(B2566,FIND("E0",B2566)+2,FIND("T",B2566,FIND("E0",B2566))-(FIND("E0",B2566)+2)))
))),"")</f>
        <v>10</v>
      </c>
      <c r="G2566">
        <f>IFERROR(
IF(ISNUMBER(FIND("T2",B2566)),220,
IF(ISNUMBER(FIND("T4",B2566)),440,
IF(ISNUMBER(FIND("T5",B2566)),575,
IF(ISNUMBER(FIND("T6",B2566)),690,"")))),
"")</f>
        <v>440</v>
      </c>
    </row>
    <row r="2567" spans="1:7" x14ac:dyDescent="0.25">
      <c r="A2567">
        <v>13536870</v>
      </c>
      <c r="B2567" t="str">
        <f>VLOOKUP(A2567,Planilha2!B:C,2,0)</f>
        <v>INVERSOR BRCFW110016T2O55Z</v>
      </c>
      <c r="C2567" t="s">
        <v>3169</v>
      </c>
      <c r="D2567" t="str">
        <f>VLOOKUP(A2567,Planilha2!B:H,7,0)</f>
        <v>LINHA M3</v>
      </c>
      <c r="E2567" s="5">
        <v>12470</v>
      </c>
      <c r="F2567">
        <f>IFERROR(
IF(ISNUMBER(FIND("CFW110",B2567)),
VALUE(MID(B2567,FIND("CFW110",B2567)+6,FIND("T",B2567,FIND("CFW110",B2567))-(FIND("CFW110",B2567)+6))),
IF(ISNUMBER(FIND("D",B2567)),
VALUE(SUBSTITUTE(MID(B2567,FIND("D",B2567)+1,FIND("T",B2567,FIND("D",B2567))-(FIND("D",B2567)+1)),"P",",")),
IF(ISNUMBER(FIND("CFW5",B2567)),
VALUE(MID(B2567,
IF(ISNUMBER(FIND("F",B2567)),FIND("F",B2567)+1,FIND("G",B2567)+1),
FIND("T",B2567)-(IF(ISNUMBER(FIND("F",B2567)),FIND("F",B2567)+1,FIND("G",B2567)+1))
)),
VALUE(MID(B2567,FIND("E0",B2567)+2,FIND("T",B2567,FIND("E0",B2567))-(FIND("E0",B2567)+2)))
))),"")</f>
        <v>16</v>
      </c>
      <c r="G2567">
        <f>IFERROR(
IF(ISNUMBER(FIND("T2",B2567)),220,
IF(ISNUMBER(FIND("T4",B2567)),440,
IF(ISNUMBER(FIND("T5",B2567)),575,
IF(ISNUMBER(FIND("T6",B2567)),690,"")))),
"")</f>
        <v>220</v>
      </c>
    </row>
    <row r="2568" spans="1:7" x14ac:dyDescent="0.25">
      <c r="A2568">
        <v>17450844</v>
      </c>
      <c r="B2568" t="str">
        <f>VLOOKUP(A2568,Planilha2!B:C,2,0)</f>
        <v>INVERSOR BRCFW110013T4O55FAYECZ</v>
      </c>
      <c r="C2568" t="s">
        <v>3169</v>
      </c>
      <c r="D2568" t="str">
        <f>VLOOKUP(A2568,Planilha2!B:H,7,0)</f>
        <v>LINHA M3</v>
      </c>
      <c r="E2568" s="5">
        <v>4500</v>
      </c>
      <c r="F2568">
        <f>IFERROR(
IF(ISNUMBER(FIND("CFW110",B2568)),
VALUE(MID(B2568,FIND("CFW110",B2568)+6,FIND("T",B2568,FIND("CFW110",B2568))-(FIND("CFW110",B2568)+6))),
IF(ISNUMBER(FIND("D",B2568)),
VALUE(SUBSTITUTE(MID(B2568,FIND("D",B2568)+1,FIND("T",B2568,FIND("D",B2568))-(FIND("D",B2568)+1)),"P",",")),
IF(ISNUMBER(FIND("CFW5",B2568)),
VALUE(MID(B2568,
IF(ISNUMBER(FIND("F",B2568)),FIND("F",B2568)+1,FIND("G",B2568)+1),
FIND("T",B2568)-(IF(ISNUMBER(FIND("F",B2568)),FIND("F",B2568)+1,FIND("G",B2568)+1))
)),
VALUE(MID(B2568,FIND("E0",B2568)+2,FIND("T",B2568,FIND("E0",B2568))-(FIND("E0",B2568)+2)))
))),"")</f>
        <v>13</v>
      </c>
      <c r="G2568">
        <f>IFERROR(
IF(ISNUMBER(FIND("T2",B2568)),220,
IF(ISNUMBER(FIND("T4",B2568)),440,
IF(ISNUMBER(FIND("T5",B2568)),575,
IF(ISNUMBER(FIND("T6",B2568)),690,"")))),
"")</f>
        <v>440</v>
      </c>
    </row>
    <row r="2569" spans="1:7" x14ac:dyDescent="0.25">
      <c r="A2569">
        <v>17450646</v>
      </c>
      <c r="B2569" t="str">
        <f>VLOOKUP(A2569,Planilha2!B:C,2,0)</f>
        <v>INVERSOR BRCFW110007T4O55FAYECZ</v>
      </c>
      <c r="C2569" t="s">
        <v>3169</v>
      </c>
      <c r="D2569" t="str">
        <f>VLOOKUP(A2569,Planilha2!B:H,7,0)</f>
        <v>LINHA M3</v>
      </c>
      <c r="E2569" s="5">
        <v>4500</v>
      </c>
      <c r="F2569">
        <f>IFERROR(
IF(ISNUMBER(FIND("CFW110",B2569)),
VALUE(MID(B2569,FIND("CFW110",B2569)+6,FIND("T",B2569,FIND("CFW110",B2569))-(FIND("CFW110",B2569)+6))),
IF(ISNUMBER(FIND("D",B2569)),
VALUE(SUBSTITUTE(MID(B2569,FIND("D",B2569)+1,FIND("T",B2569,FIND("D",B2569))-(FIND("D",B2569)+1)),"P",",")),
IF(ISNUMBER(FIND("CFW5",B2569)),
VALUE(MID(B2569,
IF(ISNUMBER(FIND("F",B2569)),FIND("F",B2569)+1,FIND("G",B2569)+1),
FIND("T",B2569)-(IF(ISNUMBER(FIND("F",B2569)),FIND("F",B2569)+1,FIND("G",B2569)+1))
)),
VALUE(MID(B2569,FIND("E0",B2569)+2,FIND("T",B2569,FIND("E0",B2569))-(FIND("E0",B2569)+2)))
))),"")</f>
        <v>7</v>
      </c>
      <c r="G2569">
        <f>IFERROR(
IF(ISNUMBER(FIND("T2",B2569)),220,
IF(ISNUMBER(FIND("T4",B2569)),440,
IF(ISNUMBER(FIND("T5",B2569)),575,
IF(ISNUMBER(FIND("T6",B2569)),690,"")))),
"")</f>
        <v>440</v>
      </c>
    </row>
    <row r="2570" spans="1:7" x14ac:dyDescent="0.25">
      <c r="A2570">
        <v>17450583</v>
      </c>
      <c r="B2570" t="str">
        <f>VLOOKUP(A2570,Planilha2!B:C,2,0)</f>
        <v>INVERSOR BRCFW110007T2OFAYECZ</v>
      </c>
      <c r="C2570" t="s">
        <v>3169</v>
      </c>
      <c r="D2570" t="str">
        <f>VLOOKUP(A2570,Planilha2!B:H,7,0)</f>
        <v>LINHA P5</v>
      </c>
      <c r="E2570" s="5">
        <v>5700</v>
      </c>
      <c r="F2570">
        <f>IFERROR(
IF(ISNUMBER(FIND("CFW110",B2570)),
VALUE(MID(B2570,FIND("CFW110",B2570)+6,FIND("T",B2570,FIND("CFW110",B2570))-(FIND("CFW110",B2570)+6))),
IF(ISNUMBER(FIND("D",B2570)),
VALUE(SUBSTITUTE(MID(B2570,FIND("D",B2570)+1,FIND("T",B2570,FIND("D",B2570))-(FIND("D",B2570)+1)),"P",",")),
IF(ISNUMBER(FIND("CFW5",B2570)),
VALUE(MID(B2570,
IF(ISNUMBER(FIND("F",B2570)),FIND("F",B2570)+1,FIND("G",B2570)+1),
FIND("T",B2570)-(IF(ISNUMBER(FIND("F",B2570)),FIND("F",B2570)+1,FIND("G",B2570)+1))
)),
VALUE(MID(B2570,FIND("E0",B2570)+2,FIND("T",B2570,FIND("E0",B2570))-(FIND("E0",B2570)+2)))
))),"")</f>
        <v>7</v>
      </c>
      <c r="G2570">
        <f>IFERROR(
IF(ISNUMBER(FIND("T2",B2570)),220,
IF(ISNUMBER(FIND("T4",B2570)),440,
IF(ISNUMBER(FIND("T5",B2570)),575,
IF(ISNUMBER(FIND("T6",B2570)),690,"")))),
"")</f>
        <v>220</v>
      </c>
    </row>
    <row r="2571" spans="1:7" x14ac:dyDescent="0.25">
      <c r="A2571">
        <v>17499774</v>
      </c>
      <c r="B2571" t="str">
        <f>VLOOKUP(A2571,Planilha2!B:C,2,0)</f>
        <v>INVERSOR EUCFW110013T4OFAYSUZ</v>
      </c>
      <c r="C2571" t="s">
        <v>3169</v>
      </c>
      <c r="D2571" t="str">
        <f>VLOOKUP(A2571,Planilha2!B:H,7,0)</f>
        <v>LINHA P5</v>
      </c>
      <c r="E2571" s="5">
        <v>7531</v>
      </c>
      <c r="F2571">
        <f>IFERROR(
IF(ISNUMBER(FIND("CFW110",B2571)),
VALUE(MID(B2571,FIND("CFW110",B2571)+6,FIND("T",B2571,FIND("CFW110",B2571))-(FIND("CFW110",B2571)+6))),
IF(ISNUMBER(FIND("D",B2571)),
VALUE(SUBSTITUTE(MID(B2571,FIND("D",B2571)+1,FIND("T",B2571,FIND("D",B2571))-(FIND("D",B2571)+1)),"P",",")),
IF(ISNUMBER(FIND("CFW5",B2571)),
VALUE(MID(B2571,
IF(ISNUMBER(FIND("F",B2571)),FIND("F",B2571)+1,FIND("G",B2571)+1),
FIND("T",B2571)-(IF(ISNUMBER(FIND("F",B2571)),FIND("F",B2571)+1,FIND("G",B2571)+1))
)),
VALUE(MID(B2571,FIND("E0",B2571)+2,FIND("T",B2571,FIND("E0",B2571))-(FIND("E0",B2571)+2)))
))),"")</f>
        <v>13</v>
      </c>
      <c r="G2571">
        <f>IFERROR(
IF(ISNUMBER(FIND("T2",B2571)),220,
IF(ISNUMBER(FIND("T4",B2571)),440,
IF(ISNUMBER(FIND("T5",B2571)),575,
IF(ISNUMBER(FIND("T6",B2571)),690,"")))),
"")</f>
        <v>440</v>
      </c>
    </row>
    <row r="2572" spans="1:7" x14ac:dyDescent="0.25">
      <c r="A2572">
        <v>17738868</v>
      </c>
      <c r="B2572" t="str">
        <f>VLOOKUP(A2572,Planilha2!B:C,2,0)</f>
        <v>INVERSOR MSCFW110010T4OFAYWZ</v>
      </c>
      <c r="C2572" t="s">
        <v>3169</v>
      </c>
      <c r="D2572" t="str">
        <f>VLOOKUP(A2572,Planilha2!B:H,7,0)</f>
        <v>LINHA P5</v>
      </c>
      <c r="E2572" s="5">
        <v>8536</v>
      </c>
      <c r="F2572">
        <f>IFERROR(
IF(ISNUMBER(FIND("CFW110",B2572)),
VALUE(MID(B2572,FIND("CFW110",B2572)+6,FIND("T",B2572,FIND("CFW110",B2572))-(FIND("CFW110",B2572)+6))),
IF(ISNUMBER(FIND("D",B2572)),
VALUE(SUBSTITUTE(MID(B2572,FIND("D",B2572)+1,FIND("T",B2572,FIND("D",B2572))-(FIND("D",B2572)+1)),"P",",")),
IF(ISNUMBER(FIND("CFW5",B2572)),
VALUE(MID(B2572,
IF(ISNUMBER(FIND("F",B2572)),FIND("F",B2572)+1,FIND("G",B2572)+1),
FIND("T",B2572)-(IF(ISNUMBER(FIND("F",B2572)),FIND("F",B2572)+1,FIND("G",B2572)+1))
)),
VALUE(MID(B2572,FIND("E0",B2572)+2,FIND("T",B2572,FIND("E0",B2572))-(FIND("E0",B2572)+2)))
))),"")</f>
        <v>10</v>
      </c>
      <c r="G2572">
        <f>IFERROR(
IF(ISNUMBER(FIND("T2",B2572)),220,
IF(ISNUMBER(FIND("T4",B2572)),440,
IF(ISNUMBER(FIND("T5",B2572)),575,
IF(ISNUMBER(FIND("T6",B2572)),690,"")))),
"")</f>
        <v>440</v>
      </c>
    </row>
    <row r="2573" spans="1:7" x14ac:dyDescent="0.25">
      <c r="A2573">
        <v>10193874</v>
      </c>
      <c r="B2573" t="str">
        <f>VLOOKUP(A2573,Planilha2!B:C,2,0)</f>
        <v>INVERSOR BRCFW110031T4OFAZ</v>
      </c>
      <c r="C2573" t="s">
        <v>3169</v>
      </c>
      <c r="D2573" t="str">
        <f>VLOOKUP(A2573,Planilha2!B:H,7,0)</f>
        <v>LINHA P7</v>
      </c>
      <c r="E2573" s="5">
        <v>10500</v>
      </c>
      <c r="F2573">
        <f>IFERROR(
IF(ISNUMBER(FIND("CFW110",B2573)),
VALUE(MID(B2573,FIND("CFW110",B2573)+6,FIND("T",B2573,FIND("CFW110",B2573))-(FIND("CFW110",B2573)+6))),
IF(ISNUMBER(FIND("D",B2573)),
VALUE(SUBSTITUTE(MID(B2573,FIND("D",B2573)+1,FIND("T",B2573,FIND("D",B2573))-(FIND("D",B2573)+1)),"P",",")),
IF(ISNUMBER(FIND("CFW5",B2573)),
VALUE(MID(B2573,
IF(ISNUMBER(FIND("F",B2573)),FIND("F",B2573)+1,FIND("G",B2573)+1),
FIND("T",B2573)-(IF(ISNUMBER(FIND("F",B2573)),FIND("F",B2573)+1,FIND("G",B2573)+1))
)),
VALUE(MID(B2573,FIND("E0",B2573)+2,FIND("T",B2573,FIND("E0",B2573))-(FIND("E0",B2573)+2)))
))),"")</f>
        <v>31</v>
      </c>
      <c r="G2573">
        <f>IFERROR(
IF(ISNUMBER(FIND("T2",B2573)),220,
IF(ISNUMBER(FIND("T4",B2573)),440,
IF(ISNUMBER(FIND("T5",B2573)),575,
IF(ISNUMBER(FIND("T6",B2573)),690,"")))),
"")</f>
        <v>440</v>
      </c>
    </row>
    <row r="2574" spans="1:7" x14ac:dyDescent="0.25">
      <c r="A2574">
        <v>17902111</v>
      </c>
      <c r="B2574" t="str">
        <f>VLOOKUP(A2574,Planilha2!B:C,2,0)</f>
        <v>INVERSOR BRCFW110024T4OTTZ</v>
      </c>
      <c r="C2574" t="s">
        <v>3169</v>
      </c>
      <c r="D2574" t="str">
        <f>VLOOKUP(A2574,Planilha2!B:H,7,0)</f>
        <v>LINHA P7</v>
      </c>
      <c r="E2574" s="5">
        <v>10000</v>
      </c>
      <c r="F2574">
        <f>IFERROR(
IF(ISNUMBER(FIND("CFW110",B2574)),
VALUE(MID(B2574,FIND("CFW110",B2574)+6,FIND("T",B2574,FIND("CFW110",B2574))-(FIND("CFW110",B2574)+6))),
IF(ISNUMBER(FIND("D",B2574)),
VALUE(SUBSTITUTE(MID(B2574,FIND("D",B2574)+1,FIND("T",B2574,FIND("D",B2574))-(FIND("D",B2574)+1)),"P",",")),
IF(ISNUMBER(FIND("CFW5",B2574)),
VALUE(MID(B2574,
IF(ISNUMBER(FIND("F",B2574)),FIND("F",B2574)+1,FIND("G",B2574)+1),
FIND("T",B2574)-(IF(ISNUMBER(FIND("F",B2574)),FIND("F",B2574)+1,FIND("G",B2574)+1))
)),
VALUE(MID(B2574,FIND("E0",B2574)+2,FIND("T",B2574,FIND("E0",B2574))-(FIND("E0",B2574)+2)))
))),"")</f>
        <v>24</v>
      </c>
      <c r="G2574">
        <f>IFERROR(
IF(ISNUMBER(FIND("T2",B2574)),220,
IF(ISNUMBER(FIND("T4",B2574)),440,
IF(ISNUMBER(FIND("T5",B2574)),575,
IF(ISNUMBER(FIND("T6",B2574)),690,"")))),
"")</f>
        <v>440</v>
      </c>
    </row>
    <row r="2575" spans="1:7" x14ac:dyDescent="0.25">
      <c r="A2575">
        <v>17902112</v>
      </c>
      <c r="B2575" t="str">
        <f>VLOOKUP(A2575,Planilha2!B:C,2,0)</f>
        <v>INVERSOR BRCFW110031T4OTTZ</v>
      </c>
      <c r="C2575" t="s">
        <v>3169</v>
      </c>
      <c r="D2575" t="str">
        <f>VLOOKUP(A2575,Planilha2!B:H,7,0)</f>
        <v>LINHA P7</v>
      </c>
      <c r="E2575" s="5">
        <v>10400</v>
      </c>
      <c r="F2575">
        <f>IFERROR(
IF(ISNUMBER(FIND("CFW110",B2575)),
VALUE(MID(B2575,FIND("CFW110",B2575)+6,FIND("T",B2575,FIND("CFW110",B2575))-(FIND("CFW110",B2575)+6))),
IF(ISNUMBER(FIND("D",B2575)),
VALUE(SUBSTITUTE(MID(B2575,FIND("D",B2575)+1,FIND("T",B2575,FIND("D",B2575))-(FIND("D",B2575)+1)),"P",",")),
IF(ISNUMBER(FIND("CFW5",B2575)),
VALUE(MID(B2575,
IF(ISNUMBER(FIND("F",B2575)),FIND("F",B2575)+1,FIND("G",B2575)+1),
FIND("T",B2575)-(IF(ISNUMBER(FIND("F",B2575)),FIND("F",B2575)+1,FIND("G",B2575)+1))
)),
VALUE(MID(B2575,FIND("E0",B2575)+2,FIND("T",B2575,FIND("E0",B2575))-(FIND("E0",B2575)+2)))
))),"")</f>
        <v>31</v>
      </c>
      <c r="G2575">
        <f>IFERROR(
IF(ISNUMBER(FIND("T2",B2575)),220,
IF(ISNUMBER(FIND("T4",B2575)),440,
IF(ISNUMBER(FIND("T5",B2575)),575,
IF(ISNUMBER(FIND("T6",B2575)),690,"")))),
"")</f>
        <v>440</v>
      </c>
    </row>
    <row r="2576" spans="1:7" x14ac:dyDescent="0.25">
      <c r="A2576">
        <v>17902113</v>
      </c>
      <c r="B2576" t="str">
        <f>VLOOKUP(A2576,Planilha2!B:C,2,0)</f>
        <v>INVERSOR BRCFW110028T2OTTZ</v>
      </c>
      <c r="C2576" t="s">
        <v>3169</v>
      </c>
      <c r="D2576" t="str">
        <f>VLOOKUP(A2576,Planilha2!B:H,7,0)</f>
        <v>LINHA P7</v>
      </c>
      <c r="E2576" s="5">
        <v>8700</v>
      </c>
      <c r="F2576">
        <f>IFERROR(
IF(ISNUMBER(FIND("CFW110",B2576)),
VALUE(MID(B2576,FIND("CFW110",B2576)+6,FIND("T",B2576,FIND("CFW110",B2576))-(FIND("CFW110",B2576)+6))),
IF(ISNUMBER(FIND("D",B2576)),
VALUE(SUBSTITUTE(MID(B2576,FIND("D",B2576)+1,FIND("T",B2576,FIND("D",B2576))-(FIND("D",B2576)+1)),"P",",")),
IF(ISNUMBER(FIND("CFW5",B2576)),
VALUE(MID(B2576,
IF(ISNUMBER(FIND("F",B2576)),FIND("F",B2576)+1,FIND("G",B2576)+1),
FIND("T",B2576)-(IF(ISNUMBER(FIND("F",B2576)),FIND("F",B2576)+1,FIND("G",B2576)+1))
)),
VALUE(MID(B2576,FIND("E0",B2576)+2,FIND("T",B2576,FIND("E0",B2576))-(FIND("E0",B2576)+2)))
))),"")</f>
        <v>28</v>
      </c>
      <c r="G2576">
        <f>IFERROR(
IF(ISNUMBER(FIND("T2",B2576)),220,
IF(ISNUMBER(FIND("T4",B2576)),440,
IF(ISNUMBER(FIND("T5",B2576)),575,
IF(ISNUMBER(FIND("T6",B2576)),690,"")))),
"")</f>
        <v>220</v>
      </c>
    </row>
    <row r="2577" spans="1:7" x14ac:dyDescent="0.25">
      <c r="A2577">
        <v>17979999</v>
      </c>
      <c r="B2577" t="str">
        <f>VLOOKUP(A2577,Planilha2!B:C,2,0)</f>
        <v>INVERSOR MSCFW110013T4OFAYWZ</v>
      </c>
      <c r="C2577" t="s">
        <v>3169</v>
      </c>
      <c r="D2577" t="str">
        <f>VLOOKUP(A2577,Planilha2!B:H,7,0)</f>
        <v>LINHA P5</v>
      </c>
      <c r="E2577" t="s">
        <v>3172</v>
      </c>
      <c r="F2577">
        <f>IFERROR(
IF(ISNUMBER(FIND("CFW110",B2577)),
VALUE(MID(B2577,FIND("CFW110",B2577)+6,FIND("T",B2577,FIND("CFW110",B2577))-(FIND("CFW110",B2577)+6))),
IF(ISNUMBER(FIND("D",B2577)),
VALUE(SUBSTITUTE(MID(B2577,FIND("D",B2577)+1,FIND("T",B2577,FIND("D",B2577))-(FIND("D",B2577)+1)),"P",",")),
IF(ISNUMBER(FIND("CFW5",B2577)),
VALUE(MID(B2577,
IF(ISNUMBER(FIND("F",B2577)),FIND("F",B2577)+1,FIND("G",B2577)+1),
FIND("T",B2577)-(IF(ISNUMBER(FIND("F",B2577)),FIND("F",B2577)+1,FIND("G",B2577)+1))
)),
VALUE(MID(B2577,FIND("E0",B2577)+2,FIND("T",B2577,FIND("E0",B2577))-(FIND("E0",B2577)+2)))
))),"")</f>
        <v>13</v>
      </c>
      <c r="G2577">
        <f>IFERROR(
IF(ISNUMBER(FIND("T2",B2577)),220,
IF(ISNUMBER(FIND("T4",B2577)),440,
IF(ISNUMBER(FIND("T5",B2577)),575,
IF(ISNUMBER(FIND("T6",B2577)),690,"")))),
"")</f>
        <v>440</v>
      </c>
    </row>
    <row r="2578" spans="1:7" x14ac:dyDescent="0.25">
      <c r="A2578">
        <v>10234060</v>
      </c>
      <c r="B2578" t="str">
        <f>VLOOKUP(A2578,Planilha2!B:C,2,0)</f>
        <v>INVERSOR BRCFW110031T4SZ</v>
      </c>
      <c r="C2578" t="s">
        <v>3169</v>
      </c>
      <c r="D2578" t="str">
        <f>VLOOKUP(A2578,Planilha2!B:H,7,0)</f>
        <v>LINHA P7</v>
      </c>
      <c r="E2578" s="5">
        <v>10400</v>
      </c>
      <c r="F2578">
        <f>IFERROR(
IF(ISNUMBER(FIND("CFW110",B2578)),
VALUE(MID(B2578,FIND("CFW110",B2578)+6,FIND("T",B2578,FIND("CFW110",B2578))-(FIND("CFW110",B2578)+6))),
IF(ISNUMBER(FIND("D",B2578)),
VALUE(SUBSTITUTE(MID(B2578,FIND("D",B2578)+1,FIND("T",B2578,FIND("D",B2578))-(FIND("D",B2578)+1)),"P",",")),
IF(ISNUMBER(FIND("CFW5",B2578)),
VALUE(MID(B2578,
IF(ISNUMBER(FIND("F",B2578)),FIND("F",B2578)+1,FIND("G",B2578)+1),
FIND("T",B2578)-(IF(ISNUMBER(FIND("F",B2578)),FIND("F",B2578)+1,FIND("G",B2578)+1))
)),
VALUE(MID(B2578,FIND("E0",B2578)+2,FIND("T",B2578,FIND("E0",B2578))-(FIND("E0",B2578)+2)))
))),"")</f>
        <v>31</v>
      </c>
      <c r="G2578">
        <f>IFERROR(
IF(ISNUMBER(FIND("T2",B2578)),220,
IF(ISNUMBER(FIND("T4",B2578)),440,
IF(ISNUMBER(FIND("T5",B2578)),575,
IF(ISNUMBER(FIND("T6",B2578)),690,"")))),
"")</f>
        <v>440</v>
      </c>
    </row>
    <row r="2579" spans="1:7" x14ac:dyDescent="0.25">
      <c r="A2579">
        <v>17990642</v>
      </c>
      <c r="B2579" t="str">
        <f>VLOOKUP(A2579,Planilha2!B:C,2,0)</f>
        <v>INVERSOR BRCFW110010T2OFAECZ</v>
      </c>
      <c r="C2579" t="s">
        <v>3169</v>
      </c>
      <c r="D2579" t="str">
        <f>VLOOKUP(A2579,Planilha2!B:H,7,0)</f>
        <v>LINHA P5</v>
      </c>
      <c r="E2579" s="5">
        <v>6000</v>
      </c>
      <c r="F2579">
        <f>IFERROR(
IF(ISNUMBER(FIND("CFW110",B2579)),
VALUE(MID(B2579,FIND("CFW110",B2579)+6,FIND("T",B2579,FIND("CFW110",B2579))-(FIND("CFW110",B2579)+6))),
IF(ISNUMBER(FIND("D",B2579)),
VALUE(SUBSTITUTE(MID(B2579,FIND("D",B2579)+1,FIND("T",B2579,FIND("D",B2579))-(FIND("D",B2579)+1)),"P",",")),
IF(ISNUMBER(FIND("CFW5",B2579)),
VALUE(MID(B2579,
IF(ISNUMBER(FIND("F",B2579)),FIND("F",B2579)+1,FIND("G",B2579)+1),
FIND("T",B2579)-(IF(ISNUMBER(FIND("F",B2579)),FIND("F",B2579)+1,FIND("G",B2579)+1))
)),
VALUE(MID(B2579,FIND("E0",B2579)+2,FIND("T",B2579,FIND("E0",B2579))-(FIND("E0",B2579)+2)))
))),"")</f>
        <v>10</v>
      </c>
      <c r="G2579">
        <f>IFERROR(
IF(ISNUMBER(FIND("T2",B2579)),220,
IF(ISNUMBER(FIND("T4",B2579)),440,
IF(ISNUMBER(FIND("T5",B2579)),575,
IF(ISNUMBER(FIND("T6",B2579)),690,"")))),
"")</f>
        <v>220</v>
      </c>
    </row>
    <row r="2580" spans="1:7" x14ac:dyDescent="0.25">
      <c r="A2580">
        <v>18026674</v>
      </c>
      <c r="B2580" t="str">
        <f>VLOOKUP(A2580,Planilha2!B:C,2,0)</f>
        <v>INVERSOR NACFW110016T2OWZ</v>
      </c>
      <c r="C2580" t="s">
        <v>3169</v>
      </c>
      <c r="D2580" t="str">
        <f>VLOOKUP(A2580,Planilha2!B:H,7,0)</f>
        <v>LINHA P5</v>
      </c>
      <c r="E2580" s="5">
        <v>5550</v>
      </c>
      <c r="F2580">
        <f>IFERROR(
IF(ISNUMBER(FIND("CFW110",B2580)),
VALUE(MID(B2580,FIND("CFW110",B2580)+6,FIND("T",B2580,FIND("CFW110",B2580))-(FIND("CFW110",B2580)+6))),
IF(ISNUMBER(FIND("D",B2580)),
VALUE(SUBSTITUTE(MID(B2580,FIND("D",B2580)+1,FIND("T",B2580,FIND("D",B2580))-(FIND("D",B2580)+1)),"P",",")),
IF(ISNUMBER(FIND("CFW5",B2580)),
VALUE(MID(B2580,
IF(ISNUMBER(FIND("F",B2580)),FIND("F",B2580)+1,FIND("G",B2580)+1),
FIND("T",B2580)-(IF(ISNUMBER(FIND("F",B2580)),FIND("F",B2580)+1,FIND("G",B2580)+1))
)),
VALUE(MID(B2580,FIND("E0",B2580)+2,FIND("T",B2580,FIND("E0",B2580))-(FIND("E0",B2580)+2)))
))),"")</f>
        <v>16</v>
      </c>
      <c r="G2580">
        <f>IFERROR(
IF(ISNUMBER(FIND("T2",B2580)),220,
IF(ISNUMBER(FIND("T4",B2580)),440,
IF(ISNUMBER(FIND("T5",B2580)),575,
IF(ISNUMBER(FIND("T6",B2580)),690,"")))),
"")</f>
        <v>220</v>
      </c>
    </row>
    <row r="2581" spans="1:7" x14ac:dyDescent="0.25">
      <c r="A2581">
        <v>11996056</v>
      </c>
      <c r="B2581" t="str">
        <f>VLOOKUP(A2581,Planilha2!B:C,2,0)</f>
        <v>INVERSOR EUCFW110010T5OYZ</v>
      </c>
      <c r="C2581" t="s">
        <v>3169</v>
      </c>
      <c r="D2581" t="str">
        <f>VLOOKUP(A2581,Planilha2!B:H,7,0)</f>
        <v>LINHA P7</v>
      </c>
      <c r="E2581" s="5">
        <v>11440</v>
      </c>
      <c r="F2581">
        <f>IFERROR(
IF(ISNUMBER(FIND("CFW110",B2581)),
VALUE(MID(B2581,FIND("CFW110",B2581)+6,FIND("T",B2581,FIND("CFW110",B2581))-(FIND("CFW110",B2581)+6))),
IF(ISNUMBER(FIND("D",B2581)),
VALUE(SUBSTITUTE(MID(B2581,FIND("D",B2581)+1,FIND("T",B2581,FIND("D",B2581))-(FIND("D",B2581)+1)),"P",",")),
IF(ISNUMBER(FIND("CFW5",B2581)),
VALUE(MID(B2581,
IF(ISNUMBER(FIND("F",B2581)),FIND("F",B2581)+1,FIND("G",B2581)+1),
FIND("T",B2581)-(IF(ISNUMBER(FIND("F",B2581)),FIND("F",B2581)+1,FIND("G",B2581)+1))
)),
VALUE(MID(B2581,FIND("E0",B2581)+2,FIND("T",B2581,FIND("E0",B2581))-(FIND("E0",B2581)+2)))
))),"")</f>
        <v>10</v>
      </c>
      <c r="G2581">
        <f>IFERROR(
IF(ISNUMBER(FIND("T2",B2581)),220,
IF(ISNUMBER(FIND("T4",B2581)),440,
IF(ISNUMBER(FIND("T5",B2581)),575,
IF(ISNUMBER(FIND("T6",B2581)),690,"")))),
"")</f>
        <v>575</v>
      </c>
    </row>
    <row r="2582" spans="1:7" x14ac:dyDescent="0.25">
      <c r="A2582">
        <v>10234057</v>
      </c>
      <c r="B2582" t="str">
        <f>VLOOKUP(A2582,Planilha2!B:C,2,0)</f>
        <v>INVERSOR BRCFW110010T4SZ</v>
      </c>
      <c r="C2582" t="s">
        <v>3169</v>
      </c>
      <c r="D2582" t="str">
        <f>VLOOKUP(A2582,Planilha2!B:H,7,0)</f>
        <v>LINHA P5</v>
      </c>
      <c r="E2582" s="5">
        <v>5450</v>
      </c>
      <c r="F2582">
        <f>IFERROR(
IF(ISNUMBER(FIND("CFW110",B2582)),
VALUE(MID(B2582,FIND("CFW110",B2582)+6,FIND("T",B2582,FIND("CFW110",B2582))-(FIND("CFW110",B2582)+6))),
IF(ISNUMBER(FIND("D",B2582)),
VALUE(SUBSTITUTE(MID(B2582,FIND("D",B2582)+1,FIND("T",B2582,FIND("D",B2582))-(FIND("D",B2582)+1)),"P",",")),
IF(ISNUMBER(FIND("CFW5",B2582)),
VALUE(MID(B2582,
IF(ISNUMBER(FIND("F",B2582)),FIND("F",B2582)+1,FIND("G",B2582)+1),
FIND("T",B2582)-(IF(ISNUMBER(FIND("F",B2582)),FIND("F",B2582)+1,FIND("G",B2582)+1))
)),
VALUE(MID(B2582,FIND("E0",B2582)+2,FIND("T",B2582,FIND("E0",B2582))-(FIND("E0",B2582)+2)))
))),"")</f>
        <v>10</v>
      </c>
      <c r="G2582">
        <f>IFERROR(
IF(ISNUMBER(FIND("T2",B2582)),220,
IF(ISNUMBER(FIND("T4",B2582)),440,
IF(ISNUMBER(FIND("T5",B2582)),575,
IF(ISNUMBER(FIND("T6",B2582)),690,"")))),
"")</f>
        <v>440</v>
      </c>
    </row>
    <row r="2583" spans="1:7" x14ac:dyDescent="0.25">
      <c r="A2583">
        <v>18126703</v>
      </c>
      <c r="B2583" t="str">
        <f>VLOOKUP(A2583,Planilha2!B:C,2,0)</f>
        <v>INVERSOR BRCFW110003T4ON1Z</v>
      </c>
      <c r="C2583" t="s">
        <v>3169</v>
      </c>
      <c r="D2583" t="str">
        <f>VLOOKUP(A2583,Planilha2!B:H,7,0)</f>
        <v>LINHA P5</v>
      </c>
      <c r="E2583" s="5">
        <v>5900</v>
      </c>
      <c r="F2583">
        <f>IFERROR(
IF(ISNUMBER(FIND("CFW110",B2583)),
VALUE(MID(B2583,FIND("CFW110",B2583)+6,FIND("T",B2583,FIND("CFW110",B2583))-(FIND("CFW110",B2583)+6))),
IF(ISNUMBER(FIND("D",B2583)),
VALUE(SUBSTITUTE(MID(B2583,FIND("D",B2583)+1,FIND("T",B2583,FIND("D",B2583))-(FIND("D",B2583)+1)),"P",",")),
IF(ISNUMBER(FIND("CFW5",B2583)),
VALUE(MID(B2583,
IF(ISNUMBER(FIND("F",B2583)),FIND("F",B2583)+1,FIND("G",B2583)+1),
FIND("T",B2583)-(IF(ISNUMBER(FIND("F",B2583)),FIND("F",B2583)+1,FIND("G",B2583)+1))
)),
VALUE(MID(B2583,FIND("E0",B2583)+2,FIND("T",B2583,FIND("E0",B2583))-(FIND("E0",B2583)+2)))
))),"")</f>
        <v>3</v>
      </c>
      <c r="G2583">
        <f>IFERROR(
IF(ISNUMBER(FIND("T2",B2583)),220,
IF(ISNUMBER(FIND("T4",B2583)),440,
IF(ISNUMBER(FIND("T5",B2583)),575,
IF(ISNUMBER(FIND("T6",B2583)),690,"")))),
"")</f>
        <v>440</v>
      </c>
    </row>
    <row r="2584" spans="1:7" x14ac:dyDescent="0.25">
      <c r="A2584">
        <v>18093121</v>
      </c>
      <c r="B2584" t="str">
        <f>VLOOKUP(A2584,Planilha2!B:C,2,0)</f>
        <v>INVERSOR BRCFW110010T2OFAYECZ</v>
      </c>
      <c r="C2584" t="s">
        <v>3169</v>
      </c>
      <c r="D2584" t="str">
        <f>VLOOKUP(A2584,Planilha2!B:H,7,0)</f>
        <v>LINHA P5</v>
      </c>
      <c r="E2584" s="5">
        <v>5700</v>
      </c>
      <c r="F2584">
        <f>IFERROR(
IF(ISNUMBER(FIND("CFW110",B2584)),
VALUE(MID(B2584,FIND("CFW110",B2584)+6,FIND("T",B2584,FIND("CFW110",B2584))-(FIND("CFW110",B2584)+6))),
IF(ISNUMBER(FIND("D",B2584)),
VALUE(SUBSTITUTE(MID(B2584,FIND("D",B2584)+1,FIND("T",B2584,FIND("D",B2584))-(FIND("D",B2584)+1)),"P",",")),
IF(ISNUMBER(FIND("CFW5",B2584)),
VALUE(MID(B2584,
IF(ISNUMBER(FIND("F",B2584)),FIND("F",B2584)+1,FIND("G",B2584)+1),
FIND("T",B2584)-(IF(ISNUMBER(FIND("F",B2584)),FIND("F",B2584)+1,FIND("G",B2584)+1))
)),
VALUE(MID(B2584,FIND("E0",B2584)+2,FIND("T",B2584,FIND("E0",B2584))-(FIND("E0",B2584)+2)))
))),"")</f>
        <v>10</v>
      </c>
      <c r="G2584">
        <f>IFERROR(
IF(ISNUMBER(FIND("T2",B2584)),220,
IF(ISNUMBER(FIND("T4",B2584)),440,
IF(ISNUMBER(FIND("T5",B2584)),575,
IF(ISNUMBER(FIND("T6",B2584)),690,"")))),
"")</f>
        <v>220</v>
      </c>
    </row>
    <row r="2585" spans="1:7" x14ac:dyDescent="0.25">
      <c r="A2585">
        <v>18093312</v>
      </c>
      <c r="B2585" t="str">
        <f>VLOOKUP(A2585,Planilha2!B:C,2,0)</f>
        <v>INVERSOR BRCFW110033T2OFAYECZ</v>
      </c>
      <c r="C2585" t="s">
        <v>3169</v>
      </c>
      <c r="D2585" t="str">
        <f>VLOOKUP(A2585,Planilha2!B:H,7,0)</f>
        <v>LINHA P7</v>
      </c>
      <c r="E2585" s="5">
        <v>9561</v>
      </c>
      <c r="F2585">
        <f>IFERROR(
IF(ISNUMBER(FIND("CFW110",B2585)),
VALUE(MID(B2585,FIND("CFW110",B2585)+6,FIND("T",B2585,FIND("CFW110",B2585))-(FIND("CFW110",B2585)+6))),
IF(ISNUMBER(FIND("D",B2585)),
VALUE(SUBSTITUTE(MID(B2585,FIND("D",B2585)+1,FIND("T",B2585,FIND("D",B2585))-(FIND("D",B2585)+1)),"P",",")),
IF(ISNUMBER(FIND("CFW5",B2585)),
VALUE(MID(B2585,
IF(ISNUMBER(FIND("F",B2585)),FIND("F",B2585)+1,FIND("G",B2585)+1),
FIND("T",B2585)-(IF(ISNUMBER(FIND("F",B2585)),FIND("F",B2585)+1,FIND("G",B2585)+1))
)),
VALUE(MID(B2585,FIND("E0",B2585)+2,FIND("T",B2585,FIND("E0",B2585))-(FIND("E0",B2585)+2)))
))),"")</f>
        <v>33</v>
      </c>
      <c r="G2585">
        <f>IFERROR(
IF(ISNUMBER(FIND("T2",B2585)),220,
IF(ISNUMBER(FIND("T4",B2585)),440,
IF(ISNUMBER(FIND("T5",B2585)),575,
IF(ISNUMBER(FIND("T6",B2585)),690,"")))),
"")</f>
        <v>220</v>
      </c>
    </row>
    <row r="2586" spans="1:7" x14ac:dyDescent="0.25">
      <c r="A2586">
        <v>11996063</v>
      </c>
      <c r="B2586" t="str">
        <f>VLOOKUP(A2586,Planilha2!B:C,2,0)</f>
        <v>INVERSOR NACFW110010T5ON1NFYZ</v>
      </c>
      <c r="C2586" t="s">
        <v>3169</v>
      </c>
      <c r="D2586" t="str">
        <f>VLOOKUP(A2586,Planilha2!B:H,7,0)</f>
        <v>LINHA P7</v>
      </c>
      <c r="E2586" s="5">
        <v>9440</v>
      </c>
      <c r="F2586">
        <f>IFERROR(
IF(ISNUMBER(FIND("CFW110",B2586)),
VALUE(MID(B2586,FIND("CFW110",B2586)+6,FIND("T",B2586,FIND("CFW110",B2586))-(FIND("CFW110",B2586)+6))),
IF(ISNUMBER(FIND("D",B2586)),
VALUE(SUBSTITUTE(MID(B2586,FIND("D",B2586)+1,FIND("T",B2586,FIND("D",B2586))-(FIND("D",B2586)+1)),"P",",")),
IF(ISNUMBER(FIND("CFW5",B2586)),
VALUE(MID(B2586,
IF(ISNUMBER(FIND("F",B2586)),FIND("F",B2586)+1,FIND("G",B2586)+1),
FIND("T",B2586)-(IF(ISNUMBER(FIND("F",B2586)),FIND("F",B2586)+1,FIND("G",B2586)+1))
)),
VALUE(MID(B2586,FIND("E0",B2586)+2,FIND("T",B2586,FIND("E0",B2586))-(FIND("E0",B2586)+2)))
))),"")</f>
        <v>10</v>
      </c>
      <c r="G2586">
        <f>IFERROR(
IF(ISNUMBER(FIND("T2",B2586)),220,
IF(ISNUMBER(FIND("T4",B2586)),440,
IF(ISNUMBER(FIND("T5",B2586)),575,
IF(ISNUMBER(FIND("T6",B2586)),690,"")))),
"")</f>
        <v>575</v>
      </c>
    </row>
    <row r="2587" spans="1:7" x14ac:dyDescent="0.25">
      <c r="A2587">
        <v>11996064</v>
      </c>
      <c r="B2587" t="str">
        <f>VLOOKUP(A2587,Planilha2!B:C,2,0)</f>
        <v>INVERSOR NACFW110012T5ON1NFYZ</v>
      </c>
      <c r="C2587" t="s">
        <v>3169</v>
      </c>
      <c r="D2587" t="str">
        <f>VLOOKUP(A2587,Planilha2!B:H,7,0)</f>
        <v>LINHA P7</v>
      </c>
      <c r="E2587" s="5">
        <v>11440</v>
      </c>
      <c r="F2587">
        <f>IFERROR(
IF(ISNUMBER(FIND("CFW110",B2587)),
VALUE(MID(B2587,FIND("CFW110",B2587)+6,FIND("T",B2587,FIND("CFW110",B2587))-(FIND("CFW110",B2587)+6))),
IF(ISNUMBER(FIND("D",B2587)),
VALUE(SUBSTITUTE(MID(B2587,FIND("D",B2587)+1,FIND("T",B2587,FIND("D",B2587))-(FIND("D",B2587)+1)),"P",",")),
IF(ISNUMBER(FIND("CFW5",B2587)),
VALUE(MID(B2587,
IF(ISNUMBER(FIND("F",B2587)),FIND("F",B2587)+1,FIND("G",B2587)+1),
FIND("T",B2587)-(IF(ISNUMBER(FIND("F",B2587)),FIND("F",B2587)+1,FIND("G",B2587)+1))
)),
VALUE(MID(B2587,FIND("E0",B2587)+2,FIND("T",B2587,FIND("E0",B2587))-(FIND("E0",B2587)+2)))
))),"")</f>
        <v>12</v>
      </c>
      <c r="G2587">
        <f>IFERROR(
IF(ISNUMBER(FIND("T2",B2587)),220,
IF(ISNUMBER(FIND("T4",B2587)),440,
IF(ISNUMBER(FIND("T5",B2587)),575,
IF(ISNUMBER(FIND("T6",B2587)),690,"")))),
"")</f>
        <v>575</v>
      </c>
    </row>
    <row r="2588" spans="1:7" x14ac:dyDescent="0.25">
      <c r="A2588">
        <v>18154120</v>
      </c>
      <c r="B2588" t="str">
        <f>VLOOKUP(A2588,Planilha2!B:C,2,0)</f>
        <v>INVERSOR BRCFW110016T2OWZ</v>
      </c>
      <c r="C2588" t="s">
        <v>3169</v>
      </c>
      <c r="D2588" t="str">
        <f>VLOOKUP(A2588,Planilha2!B:H,7,0)</f>
        <v>LINHA P5</v>
      </c>
      <c r="E2588" s="5">
        <v>5550</v>
      </c>
      <c r="F2588">
        <f>IFERROR(
IF(ISNUMBER(FIND("CFW110",B2588)),
VALUE(MID(B2588,FIND("CFW110",B2588)+6,FIND("T",B2588,FIND("CFW110",B2588))-(FIND("CFW110",B2588)+6))),
IF(ISNUMBER(FIND("D",B2588)),
VALUE(SUBSTITUTE(MID(B2588,FIND("D",B2588)+1,FIND("T",B2588,FIND("D",B2588))-(FIND("D",B2588)+1)),"P",",")),
IF(ISNUMBER(FIND("CFW5",B2588)),
VALUE(MID(B2588,
IF(ISNUMBER(FIND("F",B2588)),FIND("F",B2588)+1,FIND("G",B2588)+1),
FIND("T",B2588)-(IF(ISNUMBER(FIND("F",B2588)),FIND("F",B2588)+1,FIND("G",B2588)+1))
)),
VALUE(MID(B2588,FIND("E0",B2588)+2,FIND("T",B2588,FIND("E0",B2588))-(FIND("E0",B2588)+2)))
))),"")</f>
        <v>16</v>
      </c>
      <c r="G2588">
        <f>IFERROR(
IF(ISNUMBER(FIND("T2",B2588)),220,
IF(ISNUMBER(FIND("T4",B2588)),440,
IF(ISNUMBER(FIND("T5",B2588)),575,
IF(ISNUMBER(FIND("T6",B2588)),690,"")))),
"")</f>
        <v>220</v>
      </c>
    </row>
    <row r="2589" spans="1:7" x14ac:dyDescent="0.25">
      <c r="A2589">
        <v>10234059</v>
      </c>
      <c r="B2589" t="str">
        <f>VLOOKUP(A2589,Planilha2!B:C,2,0)</f>
        <v>INVERSOR BRCFW110024T4SZ</v>
      </c>
      <c r="C2589" t="s">
        <v>3169</v>
      </c>
      <c r="D2589" t="str">
        <f>VLOOKUP(A2589,Planilha2!B:H,7,0)</f>
        <v>LINHA P7</v>
      </c>
      <c r="E2589" s="5">
        <v>10000</v>
      </c>
      <c r="F2589">
        <f>IFERROR(
IF(ISNUMBER(FIND("CFW110",B2589)),
VALUE(MID(B2589,FIND("CFW110",B2589)+6,FIND("T",B2589,FIND("CFW110",B2589))-(FIND("CFW110",B2589)+6))),
IF(ISNUMBER(FIND("D",B2589)),
VALUE(SUBSTITUTE(MID(B2589,FIND("D",B2589)+1,FIND("T",B2589,FIND("D",B2589))-(FIND("D",B2589)+1)),"P",",")),
IF(ISNUMBER(FIND("CFW5",B2589)),
VALUE(MID(B2589,
IF(ISNUMBER(FIND("F",B2589)),FIND("F",B2589)+1,FIND("G",B2589)+1),
FIND("T",B2589)-(IF(ISNUMBER(FIND("F",B2589)),FIND("F",B2589)+1,FIND("G",B2589)+1))
)),
VALUE(MID(B2589,FIND("E0",B2589)+2,FIND("T",B2589,FIND("E0",B2589))-(FIND("E0",B2589)+2)))
))),"")</f>
        <v>24</v>
      </c>
      <c r="G2589">
        <f>IFERROR(
IF(ISNUMBER(FIND("T2",B2589)),220,
IF(ISNUMBER(FIND("T4",B2589)),440,
IF(ISNUMBER(FIND("T5",B2589)),575,
IF(ISNUMBER(FIND("T6",B2589)),690,"")))),
"")</f>
        <v>440</v>
      </c>
    </row>
    <row r="2590" spans="1:7" x14ac:dyDescent="0.25">
      <c r="A2590">
        <v>10234058</v>
      </c>
      <c r="B2590" t="str">
        <f>VLOOKUP(A2590,Planilha2!B:C,2,0)</f>
        <v>INVERSOR BRCFW110017T4SZ</v>
      </c>
      <c r="C2590" t="s">
        <v>3169</v>
      </c>
      <c r="D2590" t="str">
        <f>VLOOKUP(A2590,Planilha2!B:H,7,0)</f>
        <v>LINHA P7</v>
      </c>
      <c r="E2590" s="5">
        <v>8900</v>
      </c>
      <c r="F2590">
        <f>IFERROR(
IF(ISNUMBER(FIND("CFW110",B2590)),
VALUE(MID(B2590,FIND("CFW110",B2590)+6,FIND("T",B2590,FIND("CFW110",B2590))-(FIND("CFW110",B2590)+6))),
IF(ISNUMBER(FIND("D",B2590)),
VALUE(SUBSTITUTE(MID(B2590,FIND("D",B2590)+1,FIND("T",B2590,FIND("D",B2590))-(FIND("D",B2590)+1)),"P",",")),
IF(ISNUMBER(FIND("CFW5",B2590)),
VALUE(MID(B2590,
IF(ISNUMBER(FIND("F",B2590)),FIND("F",B2590)+1,FIND("G",B2590)+1),
FIND("T",B2590)-(IF(ISNUMBER(FIND("F",B2590)),FIND("F",B2590)+1,FIND("G",B2590)+1))
)),
VALUE(MID(B2590,FIND("E0",B2590)+2,FIND("T",B2590,FIND("E0",B2590))-(FIND("E0",B2590)+2)))
))),"")</f>
        <v>17</v>
      </c>
      <c r="G2590">
        <f>IFERROR(
IF(ISNUMBER(FIND("T2",B2590)),220,
IF(ISNUMBER(FIND("T4",B2590)),440,
IF(ISNUMBER(FIND("T5",B2590)),575,
IF(ISNUMBER(FIND("T6",B2590)),690,"")))),
"")</f>
        <v>440</v>
      </c>
    </row>
    <row r="2591" spans="1:7" x14ac:dyDescent="0.25">
      <c r="A2591">
        <v>10234056</v>
      </c>
      <c r="B2591" t="str">
        <f>VLOOKUP(A2591,Planilha2!B:C,2,0)</f>
        <v>INVERSOR BRCFW110005T4SZ</v>
      </c>
      <c r="C2591" t="s">
        <v>3169</v>
      </c>
      <c r="D2591" t="str">
        <f>VLOOKUP(A2591,Planilha2!B:H,7,0)</f>
        <v>LINHA P5</v>
      </c>
      <c r="E2591" s="5">
        <v>5250</v>
      </c>
      <c r="F2591">
        <f>IFERROR(
IF(ISNUMBER(FIND("CFW110",B2591)),
VALUE(MID(B2591,FIND("CFW110",B2591)+6,FIND("T",B2591,FIND("CFW110",B2591))-(FIND("CFW110",B2591)+6))),
IF(ISNUMBER(FIND("D",B2591)),
VALUE(SUBSTITUTE(MID(B2591,FIND("D",B2591)+1,FIND("T",B2591,FIND("D",B2591))-(FIND("D",B2591)+1)),"P",",")),
IF(ISNUMBER(FIND("CFW5",B2591)),
VALUE(MID(B2591,
IF(ISNUMBER(FIND("F",B2591)),FIND("F",B2591)+1,FIND("G",B2591)+1),
FIND("T",B2591)-(IF(ISNUMBER(FIND("F",B2591)),FIND("F",B2591)+1,FIND("G",B2591)+1))
)),
VALUE(MID(B2591,FIND("E0",B2591)+2,FIND("T",B2591,FIND("E0",B2591))-(FIND("E0",B2591)+2)))
))),"")</f>
        <v>5</v>
      </c>
      <c r="G2591">
        <f>IFERROR(
IF(ISNUMBER(FIND("T2",B2591)),220,
IF(ISNUMBER(FIND("T4",B2591)),440,
IF(ISNUMBER(FIND("T5",B2591)),575,
IF(ISNUMBER(FIND("T6",B2591)),690,"")))),
"")</f>
        <v>440</v>
      </c>
    </row>
    <row r="2592" spans="1:7" x14ac:dyDescent="0.25">
      <c r="A2592">
        <v>14558292</v>
      </c>
      <c r="B2592" t="str">
        <f>VLOOKUP(A2592,Planilha2!B:C,2,0)</f>
        <v>INVERSOR BRCFW110006B2OYZ</v>
      </c>
      <c r="C2592" t="s">
        <v>3169</v>
      </c>
      <c r="D2592" t="str">
        <f>VLOOKUP(A2592,Planilha2!B:H,7,0)</f>
        <v>LINHA P5</v>
      </c>
      <c r="E2592" s="5">
        <v>5050</v>
      </c>
      <c r="F2592" t="str">
        <f>IFERROR(
IF(ISNUMBER(FIND("CFW110",B2592)),
VALUE(MID(B2592,FIND("CFW110",B2592)+6,FIND("T",B2592,FIND("CFW110",B2592))-(FIND("CFW110",B2592)+6))),
IF(ISNUMBER(FIND("D",B2592)),
VALUE(SUBSTITUTE(MID(B2592,FIND("D",B2592)+1,FIND("T",B2592,FIND("D",B2592))-(FIND("D",B2592)+1)),"P",",")),
IF(ISNUMBER(FIND("CFW5",B2592)),
VALUE(MID(B2592,
IF(ISNUMBER(FIND("F",B2592)),FIND("F",B2592)+1,FIND("G",B2592)+1),
FIND("T",B2592)-(IF(ISNUMBER(FIND("F",B2592)),FIND("F",B2592)+1,FIND("G",B2592)+1))
)),
VALUE(MID(B2592,FIND("E0",B2592)+2,FIND("T",B2592,FIND("E0",B2592))-(FIND("E0",B2592)+2)))
))),"")</f>
        <v/>
      </c>
      <c r="G2592" t="str">
        <f>IFERROR(
IF(ISNUMBER(FIND("T2",B2592)),220,
IF(ISNUMBER(FIND("T4",B2592)),440,
IF(ISNUMBER(FIND("T5",B2592)),575,
IF(ISNUMBER(FIND("T6",B2592)),690,"")))),
"")</f>
        <v/>
      </c>
    </row>
    <row r="2593" spans="1:7" x14ac:dyDescent="0.25">
      <c r="A2593">
        <v>10234067</v>
      </c>
      <c r="B2593" t="str">
        <f>VLOOKUP(A2593,Planilha2!B:C,2,0)</f>
        <v>INVERSOR BRCFW110005T4OFAZ</v>
      </c>
      <c r="C2593" t="s">
        <v>3169</v>
      </c>
      <c r="D2593" t="str">
        <f>VLOOKUP(A2593,Planilha2!B:H,7,0)</f>
        <v>LINHA P5</v>
      </c>
      <c r="E2593" s="5">
        <v>5350</v>
      </c>
      <c r="F2593">
        <f>IFERROR(
IF(ISNUMBER(FIND("CFW110",B2593)),
VALUE(MID(B2593,FIND("CFW110",B2593)+6,FIND("T",B2593,FIND("CFW110",B2593))-(FIND("CFW110",B2593)+6))),
IF(ISNUMBER(FIND("D",B2593)),
VALUE(SUBSTITUTE(MID(B2593,FIND("D",B2593)+1,FIND("T",B2593,FIND("D",B2593))-(FIND("D",B2593)+1)),"P",",")),
IF(ISNUMBER(FIND("CFW5",B2593)),
VALUE(MID(B2593,
IF(ISNUMBER(FIND("F",B2593)),FIND("F",B2593)+1,FIND("G",B2593)+1),
FIND("T",B2593)-(IF(ISNUMBER(FIND("F",B2593)),FIND("F",B2593)+1,FIND("G",B2593)+1))
)),
VALUE(MID(B2593,FIND("E0",B2593)+2,FIND("T",B2593,FIND("E0",B2593))-(FIND("E0",B2593)+2)))
))),"")</f>
        <v>5</v>
      </c>
      <c r="G2593">
        <f>IFERROR(
IF(ISNUMBER(FIND("T2",B2593)),220,
IF(ISNUMBER(FIND("T4",B2593)),440,
IF(ISNUMBER(FIND("T5",B2593)),575,
IF(ISNUMBER(FIND("T6",B2593)),690,"")))),
"")</f>
        <v>440</v>
      </c>
    </row>
    <row r="2594" spans="1:7" x14ac:dyDescent="0.25">
      <c r="A2594">
        <v>11130186</v>
      </c>
      <c r="B2594" t="str">
        <f>VLOOKUP(A2594,Planilha2!B:C,2,0)</f>
        <v>INVERSOR BRCFW110031T4OWZ</v>
      </c>
      <c r="C2594" t="s">
        <v>3169</v>
      </c>
      <c r="D2594" t="str">
        <f>VLOOKUP(A2594,Planilha2!B:H,7,0)</f>
        <v>LINHA P7</v>
      </c>
      <c r="E2594" s="5">
        <v>9100</v>
      </c>
      <c r="F2594">
        <f>IFERROR(
IF(ISNUMBER(FIND("CFW110",B2594)),
VALUE(MID(B2594,FIND("CFW110",B2594)+6,FIND("T",B2594,FIND("CFW110",B2594))-(FIND("CFW110",B2594)+6))),
IF(ISNUMBER(FIND("D",B2594)),
VALUE(SUBSTITUTE(MID(B2594,FIND("D",B2594)+1,FIND("T",B2594,FIND("D",B2594))-(FIND("D",B2594)+1)),"P",",")),
IF(ISNUMBER(FIND("CFW5",B2594)),
VALUE(MID(B2594,
IF(ISNUMBER(FIND("F",B2594)),FIND("F",B2594)+1,FIND("G",B2594)+1),
FIND("T",B2594)-(IF(ISNUMBER(FIND("F",B2594)),FIND("F",B2594)+1,FIND("G",B2594)+1))
)),
VALUE(MID(B2594,FIND("E0",B2594)+2,FIND("T",B2594,FIND("E0",B2594))-(FIND("E0",B2594)+2)))
))),"")</f>
        <v>31</v>
      </c>
      <c r="G2594">
        <f>IFERROR(
IF(ISNUMBER(FIND("T2",B2594)),220,
IF(ISNUMBER(FIND("T4",B2594)),440,
IF(ISNUMBER(FIND("T5",B2594)),575,
IF(ISNUMBER(FIND("T6",B2594)),690,"")))),
"")</f>
        <v>440</v>
      </c>
    </row>
    <row r="2595" spans="1:7" x14ac:dyDescent="0.25">
      <c r="A2595">
        <v>10193863</v>
      </c>
      <c r="B2595" t="str">
        <f>VLOOKUP(A2595,Planilha2!B:C,2,0)</f>
        <v>INVERSOR BRCFW110013T4SZ</v>
      </c>
      <c r="C2595" t="s">
        <v>3169</v>
      </c>
      <c r="D2595" t="str">
        <f>VLOOKUP(A2595,Planilha2!B:H,7,0)</f>
        <v>LINHA P5</v>
      </c>
      <c r="E2595" s="5">
        <v>5650</v>
      </c>
      <c r="F2595">
        <f>IFERROR(
IF(ISNUMBER(FIND("CFW110",B2595)),
VALUE(MID(B2595,FIND("CFW110",B2595)+6,FIND("T",B2595,FIND("CFW110",B2595))-(FIND("CFW110",B2595)+6))),
IF(ISNUMBER(FIND("D",B2595)),
VALUE(SUBSTITUTE(MID(B2595,FIND("D",B2595)+1,FIND("T",B2595,FIND("D",B2595))-(FIND("D",B2595)+1)),"P",",")),
IF(ISNUMBER(FIND("CFW5",B2595)),
VALUE(MID(B2595,
IF(ISNUMBER(FIND("F",B2595)),FIND("F",B2595)+1,FIND("G",B2595)+1),
FIND("T",B2595)-(IF(ISNUMBER(FIND("F",B2595)),FIND("F",B2595)+1,FIND("G",B2595)+1))
)),
VALUE(MID(B2595,FIND("E0",B2595)+2,FIND("T",B2595,FIND("E0",B2595))-(FIND("E0",B2595)+2)))
))),"")</f>
        <v>13</v>
      </c>
      <c r="G2595">
        <f>IFERROR(
IF(ISNUMBER(FIND("T2",B2595)),220,
IF(ISNUMBER(FIND("T4",B2595)),440,
IF(ISNUMBER(FIND("T5",B2595)),575,
IF(ISNUMBER(FIND("T6",B2595)),690,"")))),
"")</f>
        <v>440</v>
      </c>
    </row>
    <row r="2596" spans="1:7" x14ac:dyDescent="0.25">
      <c r="A2596">
        <v>17909627</v>
      </c>
      <c r="B2596" t="str">
        <f>VLOOKUP(A2596,Planilha2!B:C,2,0)</f>
        <v>INVERSOR BRCFW110016T2OFAYZ</v>
      </c>
      <c r="C2596" t="s">
        <v>3169</v>
      </c>
      <c r="D2596" t="str">
        <f>VLOOKUP(A2596,Planilha2!B:H,7,0)</f>
        <v>LINHA P5</v>
      </c>
      <c r="E2596" s="5">
        <v>6300</v>
      </c>
      <c r="F2596">
        <f>IFERROR(
IF(ISNUMBER(FIND("CFW110",B2596)),
VALUE(MID(B2596,FIND("CFW110",B2596)+6,FIND("T",B2596,FIND("CFW110",B2596))-(FIND("CFW110",B2596)+6))),
IF(ISNUMBER(FIND("D",B2596)),
VALUE(SUBSTITUTE(MID(B2596,FIND("D",B2596)+1,FIND("T",B2596,FIND("D",B2596))-(FIND("D",B2596)+1)),"P",",")),
IF(ISNUMBER(FIND("CFW5",B2596)),
VALUE(MID(B2596,
IF(ISNUMBER(FIND("F",B2596)),FIND("F",B2596)+1,FIND("G",B2596)+1),
FIND("T",B2596)-(IF(ISNUMBER(FIND("F",B2596)),FIND("F",B2596)+1,FIND("G",B2596)+1))
)),
VALUE(MID(B2596,FIND("E0",B2596)+2,FIND("T",B2596,FIND("E0",B2596))-(FIND("E0",B2596)+2)))
))),"")</f>
        <v>16</v>
      </c>
      <c r="G2596">
        <f>IFERROR(
IF(ISNUMBER(FIND("T2",B2596)),220,
IF(ISNUMBER(FIND("T4",B2596)),440,
IF(ISNUMBER(FIND("T5",B2596)),575,
IF(ISNUMBER(FIND("T6",B2596)),690,"")))),
"")</f>
        <v>220</v>
      </c>
    </row>
    <row r="2597" spans="1:7" x14ac:dyDescent="0.25">
      <c r="A2597">
        <v>18687443</v>
      </c>
      <c r="B2597" t="str">
        <f>VLOOKUP(A2597,Planilha2!B:C,2,0)</f>
        <v>INVERSOR BRCFW110024T4O55FAECZ</v>
      </c>
      <c r="C2597" t="s">
        <v>3169</v>
      </c>
      <c r="D2597" t="str">
        <f>VLOOKUP(A2597,Planilha2!B:H,7,0)</f>
        <v>LINHA M3</v>
      </c>
      <c r="E2597" s="5">
        <v>4500</v>
      </c>
      <c r="F2597">
        <f>IFERROR(
IF(ISNUMBER(FIND("CFW110",B2597)),
VALUE(MID(B2597,FIND("CFW110",B2597)+6,FIND("T",B2597,FIND("CFW110",B2597))-(FIND("CFW110",B2597)+6))),
IF(ISNUMBER(FIND("D",B2597)),
VALUE(SUBSTITUTE(MID(B2597,FIND("D",B2597)+1,FIND("T",B2597,FIND("D",B2597))-(FIND("D",B2597)+1)),"P",",")),
IF(ISNUMBER(FIND("CFW5",B2597)),
VALUE(MID(B2597,
IF(ISNUMBER(FIND("F",B2597)),FIND("F",B2597)+1,FIND("G",B2597)+1),
FIND("T",B2597)-(IF(ISNUMBER(FIND("F",B2597)),FIND("F",B2597)+1,FIND("G",B2597)+1))
)),
VALUE(MID(B2597,FIND("E0",B2597)+2,FIND("T",B2597,FIND("E0",B2597))-(FIND("E0",B2597)+2)))
))),"")</f>
        <v>24</v>
      </c>
      <c r="G2597">
        <f>IFERROR(
IF(ISNUMBER(FIND("T2",B2597)),220,
IF(ISNUMBER(FIND("T4",B2597)),440,
IF(ISNUMBER(FIND("T5",B2597)),575,
IF(ISNUMBER(FIND("T6",B2597)),690,"")))),
"")</f>
        <v>440</v>
      </c>
    </row>
    <row r="2598" spans="1:7" x14ac:dyDescent="0.25">
      <c r="A2598">
        <v>18687953</v>
      </c>
      <c r="B2598" t="str">
        <f>VLOOKUP(A2598,Planilha2!B:C,2,0)</f>
        <v>INVERSOR BRCFW110010T4O55FAECZ</v>
      </c>
      <c r="C2598" t="s">
        <v>3169</v>
      </c>
      <c r="D2598" t="str">
        <f>VLOOKUP(A2598,Planilha2!B:H,7,0)</f>
        <v>LINHA M3</v>
      </c>
      <c r="E2598" s="5">
        <v>4500</v>
      </c>
      <c r="F2598">
        <f>IFERROR(
IF(ISNUMBER(FIND("CFW110",B2598)),
VALUE(MID(B2598,FIND("CFW110",B2598)+6,FIND("T",B2598,FIND("CFW110",B2598))-(FIND("CFW110",B2598)+6))),
IF(ISNUMBER(FIND("D",B2598)),
VALUE(SUBSTITUTE(MID(B2598,FIND("D",B2598)+1,FIND("T",B2598,FIND("D",B2598))-(FIND("D",B2598)+1)),"P",",")),
IF(ISNUMBER(FIND("CFW5",B2598)),
VALUE(MID(B2598,
IF(ISNUMBER(FIND("F",B2598)),FIND("F",B2598)+1,FIND("G",B2598)+1),
FIND("T",B2598)-(IF(ISNUMBER(FIND("F",B2598)),FIND("F",B2598)+1,FIND("G",B2598)+1))
)),
VALUE(MID(B2598,FIND("E0",B2598)+2,FIND("T",B2598,FIND("E0",B2598))-(FIND("E0",B2598)+2)))
))),"")</f>
        <v>10</v>
      </c>
      <c r="G2598">
        <f>IFERROR(
IF(ISNUMBER(FIND("T2",B2598)),220,
IF(ISNUMBER(FIND("T4",B2598)),440,
IF(ISNUMBER(FIND("T5",B2598)),575,
IF(ISNUMBER(FIND("T6",B2598)),690,"")))),
"")</f>
        <v>440</v>
      </c>
    </row>
    <row r="2599" spans="1:7" x14ac:dyDescent="0.25">
      <c r="A2599">
        <v>18689798</v>
      </c>
      <c r="B2599" t="str">
        <f>VLOOKUP(A2599,Planilha2!B:C,2,0)</f>
        <v>INVERSOR BRCFW110017T4O55FAECZ</v>
      </c>
      <c r="C2599" t="s">
        <v>3169</v>
      </c>
      <c r="D2599" t="str">
        <f>VLOOKUP(A2599,Planilha2!B:H,7,0)</f>
        <v>LINHA M3</v>
      </c>
      <c r="E2599" s="5">
        <v>14000</v>
      </c>
      <c r="F2599">
        <f>IFERROR(
IF(ISNUMBER(FIND("CFW110",B2599)),
VALUE(MID(B2599,FIND("CFW110",B2599)+6,FIND("T",B2599,FIND("CFW110",B2599))-(FIND("CFW110",B2599)+6))),
IF(ISNUMBER(FIND("D",B2599)),
VALUE(SUBSTITUTE(MID(B2599,FIND("D",B2599)+1,FIND("T",B2599,FIND("D",B2599))-(FIND("D",B2599)+1)),"P",",")),
IF(ISNUMBER(FIND("CFW5",B2599)),
VALUE(MID(B2599,
IF(ISNUMBER(FIND("F",B2599)),FIND("F",B2599)+1,FIND("G",B2599)+1),
FIND("T",B2599)-(IF(ISNUMBER(FIND("F",B2599)),FIND("F",B2599)+1,FIND("G",B2599)+1))
)),
VALUE(MID(B2599,FIND("E0",B2599)+2,FIND("T",B2599,FIND("E0",B2599))-(FIND("E0",B2599)+2)))
))),"")</f>
        <v>17</v>
      </c>
      <c r="G2599">
        <f>IFERROR(
IF(ISNUMBER(FIND("T2",B2599)),220,
IF(ISNUMBER(FIND("T4",B2599)),440,
IF(ISNUMBER(FIND("T5",B2599)),575,
IF(ISNUMBER(FIND("T6",B2599)),690,"")))),
"")</f>
        <v>440</v>
      </c>
    </row>
    <row r="2600" spans="1:7" x14ac:dyDescent="0.25">
      <c r="A2600">
        <v>13537320</v>
      </c>
      <c r="B2600" t="str">
        <f>VLOOKUP(A2600,Planilha2!B:C,2,0)</f>
        <v>INVERSOR BRCFW110024T4O55Z</v>
      </c>
      <c r="C2600" t="s">
        <v>3169</v>
      </c>
      <c r="D2600" t="str">
        <f>VLOOKUP(A2600,Planilha2!B:H,7,0)</f>
        <v>LINHA M3</v>
      </c>
      <c r="E2600" s="5">
        <v>9000</v>
      </c>
      <c r="F2600">
        <f>IFERROR(
IF(ISNUMBER(FIND("CFW110",B2600)),
VALUE(MID(B2600,FIND("CFW110",B2600)+6,FIND("T",B2600,FIND("CFW110",B2600))-(FIND("CFW110",B2600)+6))),
IF(ISNUMBER(FIND("D",B2600)),
VALUE(SUBSTITUTE(MID(B2600,FIND("D",B2600)+1,FIND("T",B2600,FIND("D",B2600))-(FIND("D",B2600)+1)),"P",",")),
IF(ISNUMBER(FIND("CFW5",B2600)),
VALUE(MID(B2600,
IF(ISNUMBER(FIND("F",B2600)),FIND("F",B2600)+1,FIND("G",B2600)+1),
FIND("T",B2600)-(IF(ISNUMBER(FIND("F",B2600)),FIND("F",B2600)+1,FIND("G",B2600)+1))
)),
VALUE(MID(B2600,FIND("E0",B2600)+2,FIND("T",B2600,FIND("E0",B2600))-(FIND("E0",B2600)+2)))
))),"")</f>
        <v>24</v>
      </c>
      <c r="G2600">
        <f>IFERROR(
IF(ISNUMBER(FIND("T2",B2600)),220,
IF(ISNUMBER(FIND("T4",B2600)),440,
IF(ISNUMBER(FIND("T5",B2600)),575,
IF(ISNUMBER(FIND("T6",B2600)),690,"")))),
"")</f>
        <v>440</v>
      </c>
    </row>
    <row r="2601" spans="1:7" x14ac:dyDescent="0.25">
      <c r="A2601">
        <v>11494283</v>
      </c>
      <c r="B2601" t="str">
        <f>VLOOKUP(A2601,Planilha2!B:C,2,0)</f>
        <v>INVERSOR BRCFW110017T4OFAZ</v>
      </c>
      <c r="C2601" t="s">
        <v>3169</v>
      </c>
      <c r="D2601" t="str">
        <f>VLOOKUP(A2601,Planilha2!B:H,7,0)</f>
        <v>LINHA P7</v>
      </c>
      <c r="E2601" s="5">
        <v>5201</v>
      </c>
      <c r="F2601">
        <f>IFERROR(
IF(ISNUMBER(FIND("CFW110",B2601)),
VALUE(MID(B2601,FIND("CFW110",B2601)+6,FIND("T",B2601,FIND("CFW110",B2601))-(FIND("CFW110",B2601)+6))),
IF(ISNUMBER(FIND("D",B2601)),
VALUE(SUBSTITUTE(MID(B2601,FIND("D",B2601)+1,FIND("T",B2601,FIND("D",B2601))-(FIND("D",B2601)+1)),"P",",")),
IF(ISNUMBER(FIND("CFW5",B2601)),
VALUE(MID(B2601,
IF(ISNUMBER(FIND("F",B2601)),FIND("F",B2601)+1,FIND("G",B2601)+1),
FIND("T",B2601)-(IF(ISNUMBER(FIND("F",B2601)),FIND("F",B2601)+1,FIND("G",B2601)+1))
)),
VALUE(MID(B2601,FIND("E0",B2601)+2,FIND("T",B2601,FIND("E0",B2601))-(FIND("E0",B2601)+2)))
))),"")</f>
        <v>17</v>
      </c>
      <c r="G2601">
        <f>IFERROR(
IF(ISNUMBER(FIND("T2",B2601)),220,
IF(ISNUMBER(FIND("T4",B2601)),440,
IF(ISNUMBER(FIND("T5",B2601)),575,
IF(ISNUMBER(FIND("T6",B2601)),690,"")))),
"")</f>
        <v>440</v>
      </c>
    </row>
    <row r="2602" spans="1:7" x14ac:dyDescent="0.25">
      <c r="A2602">
        <v>18705105</v>
      </c>
      <c r="B2602" t="str">
        <f>VLOOKUP(A2602,Planilha2!B:C,2,0)</f>
        <v>INVERSOR BRCFW110028T2OHOTOZ</v>
      </c>
      <c r="C2602" t="s">
        <v>3169</v>
      </c>
      <c r="D2602" t="str">
        <f>VLOOKUP(A2602,Planilha2!B:H,7,0)</f>
        <v>LINHA P7</v>
      </c>
      <c r="E2602" s="5">
        <v>9700</v>
      </c>
      <c r="F2602">
        <f>IFERROR(
IF(ISNUMBER(FIND("CFW110",B2602)),
VALUE(MID(B2602,FIND("CFW110",B2602)+6,FIND("T",B2602,FIND("CFW110",B2602))-(FIND("CFW110",B2602)+6))),
IF(ISNUMBER(FIND("D",B2602)),
VALUE(SUBSTITUTE(MID(B2602,FIND("D",B2602)+1,FIND("T",B2602,FIND("D",B2602))-(FIND("D",B2602)+1)),"P",",")),
IF(ISNUMBER(FIND("CFW5",B2602)),
VALUE(MID(B2602,
IF(ISNUMBER(FIND("F",B2602)),FIND("F",B2602)+1,FIND("G",B2602)+1),
FIND("T",B2602)-(IF(ISNUMBER(FIND("F",B2602)),FIND("F",B2602)+1,FIND("G",B2602)+1))
)),
VALUE(MID(B2602,FIND("E0",B2602)+2,FIND("T",B2602,FIND("E0",B2602))-(FIND("E0",B2602)+2)))
))),"")</f>
        <v>28</v>
      </c>
      <c r="G2602">
        <f>IFERROR(
IF(ISNUMBER(FIND("T2",B2602)),220,
IF(ISNUMBER(FIND("T4",B2602)),440,
IF(ISNUMBER(FIND("T5",B2602)),575,
IF(ISNUMBER(FIND("T6",B2602)),690,"")))),
"")</f>
        <v>220</v>
      </c>
    </row>
    <row r="2603" spans="1:7" x14ac:dyDescent="0.25">
      <c r="A2603">
        <v>18708985</v>
      </c>
      <c r="B2603" t="str">
        <f>VLOOKUP(A2603,Planilha2!B:C,2,0)</f>
        <v>INVERSOR BRCFW110033T2OHOTOZ</v>
      </c>
      <c r="C2603" t="s">
        <v>3169</v>
      </c>
      <c r="D2603" t="str">
        <f>VLOOKUP(A2603,Planilha2!B:H,7,0)</f>
        <v>LINHA P7</v>
      </c>
      <c r="E2603" s="5">
        <v>9700</v>
      </c>
      <c r="F2603">
        <f>IFERROR(
IF(ISNUMBER(FIND("CFW110",B2603)),
VALUE(MID(B2603,FIND("CFW110",B2603)+6,FIND("T",B2603,FIND("CFW110",B2603))-(FIND("CFW110",B2603)+6))),
IF(ISNUMBER(FIND("D",B2603)),
VALUE(SUBSTITUTE(MID(B2603,FIND("D",B2603)+1,FIND("T",B2603,FIND("D",B2603))-(FIND("D",B2603)+1)),"P",",")),
IF(ISNUMBER(FIND("CFW5",B2603)),
VALUE(MID(B2603,
IF(ISNUMBER(FIND("F",B2603)),FIND("F",B2603)+1,FIND("G",B2603)+1),
FIND("T",B2603)-(IF(ISNUMBER(FIND("F",B2603)),FIND("F",B2603)+1,FIND("G",B2603)+1))
)),
VALUE(MID(B2603,FIND("E0",B2603)+2,FIND("T",B2603,FIND("E0",B2603))-(FIND("E0",B2603)+2)))
))),"")</f>
        <v>33</v>
      </c>
      <c r="G2603">
        <f>IFERROR(
IF(ISNUMBER(FIND("T2",B2603)),220,
IF(ISNUMBER(FIND("T4",B2603)),440,
IF(ISNUMBER(FIND("T5",B2603)),575,
IF(ISNUMBER(FIND("T6",B2603)),690,"")))),
"")</f>
        <v>220</v>
      </c>
    </row>
    <row r="2604" spans="1:7" x14ac:dyDescent="0.25">
      <c r="A2604">
        <v>18712638</v>
      </c>
      <c r="B2604" t="str">
        <f>VLOOKUP(A2604,Planilha2!B:C,2,0)</f>
        <v>INVERSOR BRCFW110031T4OHOTOZ</v>
      </c>
      <c r="C2604" t="s">
        <v>3169</v>
      </c>
      <c r="D2604" t="str">
        <f>VLOOKUP(A2604,Planilha2!B:H,7,0)</f>
        <v>LINHA P7</v>
      </c>
      <c r="E2604" s="5">
        <v>7000</v>
      </c>
      <c r="F2604">
        <f>IFERROR(
IF(ISNUMBER(FIND("CFW110",B2604)),
VALUE(MID(B2604,FIND("CFW110",B2604)+6,FIND("T",B2604,FIND("CFW110",B2604))-(FIND("CFW110",B2604)+6))),
IF(ISNUMBER(FIND("D",B2604)),
VALUE(SUBSTITUTE(MID(B2604,FIND("D",B2604)+1,FIND("T",B2604,FIND("D",B2604))-(FIND("D",B2604)+1)),"P",",")),
IF(ISNUMBER(FIND("CFW5",B2604)),
VALUE(MID(B2604,
IF(ISNUMBER(FIND("F",B2604)),FIND("F",B2604)+1,FIND("G",B2604)+1),
FIND("T",B2604)-(IF(ISNUMBER(FIND("F",B2604)),FIND("F",B2604)+1,FIND("G",B2604)+1))
)),
VALUE(MID(B2604,FIND("E0",B2604)+2,FIND("T",B2604,FIND("E0",B2604))-(FIND("E0",B2604)+2)))
))),"")</f>
        <v>31</v>
      </c>
      <c r="G2604">
        <f>IFERROR(
IF(ISNUMBER(FIND("T2",B2604)),220,
IF(ISNUMBER(FIND("T4",B2604)),440,
IF(ISNUMBER(FIND("T5",B2604)),575,
IF(ISNUMBER(FIND("T6",B2604)),690,"")))),
"")</f>
        <v>440</v>
      </c>
    </row>
    <row r="2605" spans="1:7" x14ac:dyDescent="0.25">
      <c r="A2605">
        <v>16903939</v>
      </c>
      <c r="B2605" t="str">
        <f>VLOOKUP(A2605,Planilha2!B:C,2,0)</f>
        <v>INVERSOR BRCFW110013T2OYZ</v>
      </c>
      <c r="C2605" t="s">
        <v>3169</v>
      </c>
      <c r="D2605" t="str">
        <f>VLOOKUP(A2605,Planilha2!B:H,7,0)</f>
        <v>LINHA P5</v>
      </c>
      <c r="E2605" s="5">
        <v>4500</v>
      </c>
      <c r="F2605">
        <f>IFERROR(
IF(ISNUMBER(FIND("CFW110",B2605)),
VALUE(MID(B2605,FIND("CFW110",B2605)+6,FIND("T",B2605,FIND("CFW110",B2605))-(FIND("CFW110",B2605)+6))),
IF(ISNUMBER(FIND("D",B2605)),
VALUE(SUBSTITUTE(MID(B2605,FIND("D",B2605)+1,FIND("T",B2605,FIND("D",B2605))-(FIND("D",B2605)+1)),"P",",")),
IF(ISNUMBER(FIND("CFW5",B2605)),
VALUE(MID(B2605,
IF(ISNUMBER(FIND("F",B2605)),FIND("F",B2605)+1,FIND("G",B2605)+1),
FIND("T",B2605)-(IF(ISNUMBER(FIND("F",B2605)),FIND("F",B2605)+1,FIND("G",B2605)+1))
)),
VALUE(MID(B2605,FIND("E0",B2605)+2,FIND("T",B2605,FIND("E0",B2605))-(FIND("E0",B2605)+2)))
))),"")</f>
        <v>13</v>
      </c>
      <c r="G2605">
        <f>IFERROR(
IF(ISNUMBER(FIND("T2",B2605)),220,
IF(ISNUMBER(FIND("T4",B2605)),440,
IF(ISNUMBER(FIND("T5",B2605)),575,
IF(ISNUMBER(FIND("T6",B2605)),690,"")))),
"")</f>
        <v>220</v>
      </c>
    </row>
    <row r="2606" spans="1:7" x14ac:dyDescent="0.25">
      <c r="A2606">
        <v>18898077</v>
      </c>
      <c r="B2606" t="str">
        <f>VLOOKUP(A2606,Planilha2!B:C,2,0)</f>
        <v>INVERSOR EUCFW110024T4OFAWTVZ</v>
      </c>
      <c r="C2606" t="s">
        <v>3169</v>
      </c>
      <c r="D2606" t="str">
        <f>VLOOKUP(A2606,Planilha2!B:H,7,0)</f>
        <v>LINHA P7</v>
      </c>
      <c r="E2606" s="5">
        <v>11440</v>
      </c>
      <c r="F2606">
        <f>IFERROR(
IF(ISNUMBER(FIND("CFW110",B2606)),
VALUE(MID(B2606,FIND("CFW110",B2606)+6,FIND("T",B2606,FIND("CFW110",B2606))-(FIND("CFW110",B2606)+6))),
IF(ISNUMBER(FIND("D",B2606)),
VALUE(SUBSTITUTE(MID(B2606,FIND("D",B2606)+1,FIND("T",B2606,FIND("D",B2606))-(FIND("D",B2606)+1)),"P",",")),
IF(ISNUMBER(FIND("CFW5",B2606)),
VALUE(MID(B2606,
IF(ISNUMBER(FIND("F",B2606)),FIND("F",B2606)+1,FIND("G",B2606)+1),
FIND("T",B2606)-(IF(ISNUMBER(FIND("F",B2606)),FIND("F",B2606)+1,FIND("G",B2606)+1))
)),
VALUE(MID(B2606,FIND("E0",B2606)+2,FIND("T",B2606,FIND("E0",B2606))-(FIND("E0",B2606)+2)))
))),"")</f>
        <v>24</v>
      </c>
      <c r="G2606">
        <f>IFERROR(
IF(ISNUMBER(FIND("T2",B2606)),220,
IF(ISNUMBER(FIND("T4",B2606)),440,
IF(ISNUMBER(FIND("T5",B2606)),575,
IF(ISNUMBER(FIND("T6",B2606)),690,"")))),
"")</f>
        <v>440</v>
      </c>
    </row>
    <row r="2607" spans="1:7" x14ac:dyDescent="0.25">
      <c r="A2607">
        <v>11474171</v>
      </c>
      <c r="B2607" t="str">
        <f>VLOOKUP(A2607,Planilha2!B:C,2,0)</f>
        <v>INVERSOR BRCFW110010T4OYWZ</v>
      </c>
      <c r="C2607" t="s">
        <v>3169</v>
      </c>
      <c r="D2607" t="str">
        <f>VLOOKUP(A2607,Planilha2!B:H,7,0)</f>
        <v>LINHA P5</v>
      </c>
      <c r="E2607" s="5">
        <v>5700</v>
      </c>
      <c r="F2607">
        <f>IFERROR(
IF(ISNUMBER(FIND("CFW110",B2607)),
VALUE(MID(B2607,FIND("CFW110",B2607)+6,FIND("T",B2607,FIND("CFW110",B2607))-(FIND("CFW110",B2607)+6))),
IF(ISNUMBER(FIND("D",B2607)),
VALUE(SUBSTITUTE(MID(B2607,FIND("D",B2607)+1,FIND("T",B2607,FIND("D",B2607))-(FIND("D",B2607)+1)),"P",",")),
IF(ISNUMBER(FIND("CFW5",B2607)),
VALUE(MID(B2607,
IF(ISNUMBER(FIND("F",B2607)),FIND("F",B2607)+1,FIND("G",B2607)+1),
FIND("T",B2607)-(IF(ISNUMBER(FIND("F",B2607)),FIND("F",B2607)+1,FIND("G",B2607)+1))
)),
VALUE(MID(B2607,FIND("E0",B2607)+2,FIND("T",B2607,FIND("E0",B2607))-(FIND("E0",B2607)+2)))
))),"")</f>
        <v>10</v>
      </c>
      <c r="G2607">
        <f>IFERROR(
IF(ISNUMBER(FIND("T2",B2607)),220,
IF(ISNUMBER(FIND("T4",B2607)),440,
IF(ISNUMBER(FIND("T5",B2607)),575,
IF(ISNUMBER(FIND("T6",B2607)),690,"")))),
"")</f>
        <v>440</v>
      </c>
    </row>
    <row r="2608" spans="1:7" x14ac:dyDescent="0.25">
      <c r="A2608">
        <v>11474031</v>
      </c>
      <c r="B2608" t="str">
        <f>VLOOKUP(A2608,Planilha2!B:C,2,0)</f>
        <v>INVERSOR BRCFW110024T4OYWZ</v>
      </c>
      <c r="C2608" t="s">
        <v>3169</v>
      </c>
      <c r="D2608" t="str">
        <f>VLOOKUP(A2608,Planilha2!B:H,7,0)</f>
        <v>LINHA P7</v>
      </c>
      <c r="E2608" s="5">
        <v>9100</v>
      </c>
      <c r="F2608">
        <f>IFERROR(
IF(ISNUMBER(FIND("CFW110",B2608)),
VALUE(MID(B2608,FIND("CFW110",B2608)+6,FIND("T",B2608,FIND("CFW110",B2608))-(FIND("CFW110",B2608)+6))),
IF(ISNUMBER(FIND("D",B2608)),
VALUE(SUBSTITUTE(MID(B2608,FIND("D",B2608)+1,FIND("T",B2608,FIND("D",B2608))-(FIND("D",B2608)+1)),"P",",")),
IF(ISNUMBER(FIND("CFW5",B2608)),
VALUE(MID(B2608,
IF(ISNUMBER(FIND("F",B2608)),FIND("F",B2608)+1,FIND("G",B2608)+1),
FIND("T",B2608)-(IF(ISNUMBER(FIND("F",B2608)),FIND("F",B2608)+1,FIND("G",B2608)+1))
)),
VALUE(MID(B2608,FIND("E0",B2608)+2,FIND("T",B2608,FIND("E0",B2608))-(FIND("E0",B2608)+2)))
))),"")</f>
        <v>24</v>
      </c>
      <c r="G2608">
        <f>IFERROR(
IF(ISNUMBER(FIND("T2",B2608)),220,
IF(ISNUMBER(FIND("T4",B2608)),440,
IF(ISNUMBER(FIND("T5",B2608)),575,
IF(ISNUMBER(FIND("T6",B2608)),690,"")))),
"")</f>
        <v>440</v>
      </c>
    </row>
    <row r="2609" spans="1:7" x14ac:dyDescent="0.25">
      <c r="A2609">
        <v>19163605</v>
      </c>
      <c r="B2609" t="str">
        <f>VLOOKUP(A2609,Planilha2!B:C,2,0)</f>
        <v>INVERSOR BRCFW110013T4OTHZ</v>
      </c>
      <c r="C2609" t="s">
        <v>3169</v>
      </c>
      <c r="D2609" t="str">
        <f>VLOOKUP(A2609,Planilha2!B:H,7,0)</f>
        <v>LINHA P5</v>
      </c>
      <c r="E2609" t="s">
        <v>3172</v>
      </c>
      <c r="F2609">
        <f>IFERROR(
IF(ISNUMBER(FIND("CFW110",B2609)),
VALUE(MID(B2609,FIND("CFW110",B2609)+6,FIND("T",B2609,FIND("CFW110",B2609))-(FIND("CFW110",B2609)+6))),
IF(ISNUMBER(FIND("D",B2609)),
VALUE(SUBSTITUTE(MID(B2609,FIND("D",B2609)+1,FIND("T",B2609,FIND("D",B2609))-(FIND("D",B2609)+1)),"P",",")),
IF(ISNUMBER(FIND("CFW5",B2609)),
VALUE(MID(B2609,
IF(ISNUMBER(FIND("F",B2609)),FIND("F",B2609)+1,FIND("G",B2609)+1),
FIND("T",B2609)-(IF(ISNUMBER(FIND("F",B2609)),FIND("F",B2609)+1,FIND("G",B2609)+1))
)),
VALUE(MID(B2609,FIND("E0",B2609)+2,FIND("T",B2609,FIND("E0",B2609))-(FIND("E0",B2609)+2)))
))),"")</f>
        <v>13</v>
      </c>
      <c r="G2609">
        <f>IFERROR(
IF(ISNUMBER(FIND("T2",B2609)),220,
IF(ISNUMBER(FIND("T4",B2609)),440,
IF(ISNUMBER(FIND("T5",B2609)),575,
IF(ISNUMBER(FIND("T6",B2609)),690,"")))),
"")</f>
        <v>440</v>
      </c>
    </row>
    <row r="2610" spans="1:7" x14ac:dyDescent="0.25">
      <c r="A2610">
        <v>19163701</v>
      </c>
      <c r="B2610" t="str">
        <f>VLOOKUP(A2610,Planilha2!B:C,2,0)</f>
        <v>INVERSOR BRCFW110031T4OTHZ</v>
      </c>
      <c r="C2610" t="s">
        <v>3169</v>
      </c>
      <c r="D2610" t="str">
        <f>VLOOKUP(A2610,Planilha2!B:H,7,0)</f>
        <v>LINHA P7</v>
      </c>
      <c r="E2610" t="s">
        <v>3172</v>
      </c>
      <c r="F2610">
        <f>IFERROR(
IF(ISNUMBER(FIND("CFW110",B2610)),
VALUE(MID(B2610,FIND("CFW110",B2610)+6,FIND("T",B2610,FIND("CFW110",B2610))-(FIND("CFW110",B2610)+6))),
IF(ISNUMBER(FIND("D",B2610)),
VALUE(SUBSTITUTE(MID(B2610,FIND("D",B2610)+1,FIND("T",B2610,FIND("D",B2610))-(FIND("D",B2610)+1)),"P",",")),
IF(ISNUMBER(FIND("CFW5",B2610)),
VALUE(MID(B2610,
IF(ISNUMBER(FIND("F",B2610)),FIND("F",B2610)+1,FIND("G",B2610)+1),
FIND("T",B2610)-(IF(ISNUMBER(FIND("F",B2610)),FIND("F",B2610)+1,FIND("G",B2610)+1))
)),
VALUE(MID(B2610,FIND("E0",B2610)+2,FIND("T",B2610,FIND("E0",B2610))-(FIND("E0",B2610)+2)))
))),"")</f>
        <v>31</v>
      </c>
      <c r="G2610">
        <f>IFERROR(
IF(ISNUMBER(FIND("T2",B2610)),220,
IF(ISNUMBER(FIND("T4",B2610)),440,
IF(ISNUMBER(FIND("T5",B2610)),575,
IF(ISNUMBER(FIND("T6",B2610)),690,"")))),
"")</f>
        <v>440</v>
      </c>
    </row>
    <row r="2611" spans="1:7" x14ac:dyDescent="0.25">
      <c r="A2611">
        <v>12095341</v>
      </c>
      <c r="B2611" t="str">
        <f>VLOOKUP(A2611,Planilha2!B:C,2,0)</f>
        <v>INVERSOR SACFW110017T4OYWZ</v>
      </c>
      <c r="C2611" t="s">
        <v>3169</v>
      </c>
      <c r="D2611" t="str">
        <f>VLOOKUP(A2611,Planilha2!B:H,7,0)</f>
        <v>LINHA P7</v>
      </c>
      <c r="E2611" s="5">
        <v>9100</v>
      </c>
      <c r="F2611">
        <f>IFERROR(
IF(ISNUMBER(FIND("CFW110",B2611)),
VALUE(MID(B2611,FIND("CFW110",B2611)+6,FIND("T",B2611,FIND("CFW110",B2611))-(FIND("CFW110",B2611)+6))),
IF(ISNUMBER(FIND("D",B2611)),
VALUE(SUBSTITUTE(MID(B2611,FIND("D",B2611)+1,FIND("T",B2611,FIND("D",B2611))-(FIND("D",B2611)+1)),"P",",")),
IF(ISNUMBER(FIND("CFW5",B2611)),
VALUE(MID(B2611,
IF(ISNUMBER(FIND("F",B2611)),FIND("F",B2611)+1,FIND("G",B2611)+1),
FIND("T",B2611)-(IF(ISNUMBER(FIND("F",B2611)),FIND("F",B2611)+1,FIND("G",B2611)+1))
)),
VALUE(MID(B2611,FIND("E0",B2611)+2,FIND("T",B2611,FIND("E0",B2611))-(FIND("E0",B2611)+2)))
))),"")</f>
        <v>17</v>
      </c>
      <c r="G2611">
        <f>IFERROR(
IF(ISNUMBER(FIND("T2",B2611)),220,
IF(ISNUMBER(FIND("T4",B2611)),440,
IF(ISNUMBER(FIND("T5",B2611)),575,
IF(ISNUMBER(FIND("T6",B2611)),690,"")))),
"")</f>
        <v>440</v>
      </c>
    </row>
    <row r="2612" spans="1:7" x14ac:dyDescent="0.25">
      <c r="A2612">
        <v>12096128</v>
      </c>
      <c r="B2612" t="str">
        <f>VLOOKUP(A2612,Planilha2!B:C,2,0)</f>
        <v>INVERSOR EUCFW110005T4OFAYWZ</v>
      </c>
      <c r="C2612" t="s">
        <v>3169</v>
      </c>
      <c r="D2612" t="str">
        <f>VLOOKUP(A2612,Planilha2!B:H,7,0)</f>
        <v>LINHA P5</v>
      </c>
      <c r="E2612" s="5">
        <v>5900</v>
      </c>
      <c r="F2612">
        <f>IFERROR(
IF(ISNUMBER(FIND("CFW110",B2612)),
VALUE(MID(B2612,FIND("CFW110",B2612)+6,FIND("T",B2612,FIND("CFW110",B2612))-(FIND("CFW110",B2612)+6))),
IF(ISNUMBER(FIND("D",B2612)),
VALUE(SUBSTITUTE(MID(B2612,FIND("D",B2612)+1,FIND("T",B2612,FIND("D",B2612))-(FIND("D",B2612)+1)),"P",",")),
IF(ISNUMBER(FIND("CFW5",B2612)),
VALUE(MID(B2612,
IF(ISNUMBER(FIND("F",B2612)),FIND("F",B2612)+1,FIND("G",B2612)+1),
FIND("T",B2612)-(IF(ISNUMBER(FIND("F",B2612)),FIND("F",B2612)+1,FIND("G",B2612)+1))
)),
VALUE(MID(B2612,FIND("E0",B2612)+2,FIND("T",B2612,FIND("E0",B2612))-(FIND("E0",B2612)+2)))
))),"")</f>
        <v>5</v>
      </c>
      <c r="G2612">
        <f>IFERROR(
IF(ISNUMBER(FIND("T2",B2612)),220,
IF(ISNUMBER(FIND("T4",B2612)),440,
IF(ISNUMBER(FIND("T5",B2612)),575,
IF(ISNUMBER(FIND("T6",B2612)),690,"")))),
"")</f>
        <v>440</v>
      </c>
    </row>
    <row r="2613" spans="1:7" x14ac:dyDescent="0.25">
      <c r="A2613">
        <v>12096131</v>
      </c>
      <c r="B2613" t="str">
        <f>VLOOKUP(A2613,Planilha2!B:C,2,0)</f>
        <v>INVERSOR EUCFW110007T4OFAYWZ</v>
      </c>
      <c r="C2613" t="s">
        <v>3169</v>
      </c>
      <c r="D2613" t="str">
        <f>VLOOKUP(A2613,Planilha2!B:H,7,0)</f>
        <v>LINHA P5</v>
      </c>
      <c r="E2613" s="5">
        <v>5700</v>
      </c>
      <c r="F2613">
        <f>IFERROR(
IF(ISNUMBER(FIND("CFW110",B2613)),
VALUE(MID(B2613,FIND("CFW110",B2613)+6,FIND("T",B2613,FIND("CFW110",B2613))-(FIND("CFW110",B2613)+6))),
IF(ISNUMBER(FIND("D",B2613)),
VALUE(SUBSTITUTE(MID(B2613,FIND("D",B2613)+1,FIND("T",B2613,FIND("D",B2613))-(FIND("D",B2613)+1)),"P",",")),
IF(ISNUMBER(FIND("CFW5",B2613)),
VALUE(MID(B2613,
IF(ISNUMBER(FIND("F",B2613)),FIND("F",B2613)+1,FIND("G",B2613)+1),
FIND("T",B2613)-(IF(ISNUMBER(FIND("F",B2613)),FIND("F",B2613)+1,FIND("G",B2613)+1))
)),
VALUE(MID(B2613,FIND("E0",B2613)+2,FIND("T",B2613,FIND("E0",B2613))-(FIND("E0",B2613)+2)))
))),"")</f>
        <v>7</v>
      </c>
      <c r="G2613">
        <f>IFERROR(
IF(ISNUMBER(FIND("T2",B2613)),220,
IF(ISNUMBER(FIND("T4",B2613)),440,
IF(ISNUMBER(FIND("T5",B2613)),575,
IF(ISNUMBER(FIND("T6",B2613)),690,"")))),
"")</f>
        <v>440</v>
      </c>
    </row>
    <row r="2614" spans="1:7" x14ac:dyDescent="0.25">
      <c r="A2614">
        <v>11996008</v>
      </c>
      <c r="B2614" t="str">
        <f>VLOOKUP(A2614,Planilha2!B:C,2,0)</f>
        <v>INVERSOR SACFW110007T5ONFZ</v>
      </c>
      <c r="C2614" t="s">
        <v>3169</v>
      </c>
      <c r="D2614" t="str">
        <f>VLOOKUP(A2614,Planilha2!B:H,7,0)</f>
        <v>LINHA P7</v>
      </c>
      <c r="E2614" s="5">
        <v>26000</v>
      </c>
      <c r="F2614">
        <f>IFERROR(
IF(ISNUMBER(FIND("CFW110",B2614)),
VALUE(MID(B2614,FIND("CFW110",B2614)+6,FIND("T",B2614,FIND("CFW110",B2614))-(FIND("CFW110",B2614)+6))),
IF(ISNUMBER(FIND("D",B2614)),
VALUE(SUBSTITUTE(MID(B2614,FIND("D",B2614)+1,FIND("T",B2614,FIND("D",B2614))-(FIND("D",B2614)+1)),"P",",")),
IF(ISNUMBER(FIND("CFW5",B2614)),
VALUE(MID(B2614,
IF(ISNUMBER(FIND("F",B2614)),FIND("F",B2614)+1,FIND("G",B2614)+1),
FIND("T",B2614)-(IF(ISNUMBER(FIND("F",B2614)),FIND("F",B2614)+1,FIND("G",B2614)+1))
)),
VALUE(MID(B2614,FIND("E0",B2614)+2,FIND("T",B2614,FIND("E0",B2614))-(FIND("E0",B2614)+2)))
))),"")</f>
        <v>7</v>
      </c>
      <c r="G2614">
        <f>IFERROR(
IF(ISNUMBER(FIND("T2",B2614)),220,
IF(ISNUMBER(FIND("T4",B2614)),440,
IF(ISNUMBER(FIND("T5",B2614)),575,
IF(ISNUMBER(FIND("T6",B2614)),690,"")))),
"")</f>
        <v>575</v>
      </c>
    </row>
    <row r="2615" spans="1:7" x14ac:dyDescent="0.25">
      <c r="A2615">
        <v>11996009</v>
      </c>
      <c r="B2615" t="str">
        <f>VLOOKUP(A2615,Planilha2!B:C,2,0)</f>
        <v>INVERSOR SACFW110010T5ONFZ</v>
      </c>
      <c r="C2615" t="s">
        <v>3169</v>
      </c>
      <c r="D2615" t="str">
        <f>VLOOKUP(A2615,Planilha2!B:H,7,0)</f>
        <v>LINHA P7</v>
      </c>
      <c r="E2615" s="5">
        <v>26000</v>
      </c>
      <c r="F2615">
        <f>IFERROR(
IF(ISNUMBER(FIND("CFW110",B2615)),
VALUE(MID(B2615,FIND("CFW110",B2615)+6,FIND("T",B2615,FIND("CFW110",B2615))-(FIND("CFW110",B2615)+6))),
IF(ISNUMBER(FIND("D",B2615)),
VALUE(SUBSTITUTE(MID(B2615,FIND("D",B2615)+1,FIND("T",B2615,FIND("D",B2615))-(FIND("D",B2615)+1)),"P",",")),
IF(ISNUMBER(FIND("CFW5",B2615)),
VALUE(MID(B2615,
IF(ISNUMBER(FIND("F",B2615)),FIND("F",B2615)+1,FIND("G",B2615)+1),
FIND("T",B2615)-(IF(ISNUMBER(FIND("F",B2615)),FIND("F",B2615)+1,FIND("G",B2615)+1))
)),
VALUE(MID(B2615,FIND("E0",B2615)+2,FIND("T",B2615,FIND("E0",B2615))-(FIND("E0",B2615)+2)))
))),"")</f>
        <v>10</v>
      </c>
      <c r="G2615">
        <f>IFERROR(
IF(ISNUMBER(FIND("T2",B2615)),220,
IF(ISNUMBER(FIND("T4",B2615)),440,
IF(ISNUMBER(FIND("T5",B2615)),575,
IF(ISNUMBER(FIND("T6",B2615)),690,"")))),
"")</f>
        <v>575</v>
      </c>
    </row>
    <row r="2616" spans="1:7" x14ac:dyDescent="0.25">
      <c r="A2616">
        <v>11996011</v>
      </c>
      <c r="B2616" t="str">
        <f>VLOOKUP(A2616,Planilha2!B:C,2,0)</f>
        <v>INVERSOR SACFW110017T5ONFZ</v>
      </c>
      <c r="C2616" t="s">
        <v>3169</v>
      </c>
      <c r="D2616" t="str">
        <f>VLOOKUP(A2616,Planilha2!B:H,7,0)</f>
        <v>LINHA P7</v>
      </c>
      <c r="E2616" s="5">
        <v>26000</v>
      </c>
      <c r="F2616">
        <f>IFERROR(
IF(ISNUMBER(FIND("CFW110",B2616)),
VALUE(MID(B2616,FIND("CFW110",B2616)+6,FIND("T",B2616,FIND("CFW110",B2616))-(FIND("CFW110",B2616)+6))),
IF(ISNUMBER(FIND("D",B2616)),
VALUE(SUBSTITUTE(MID(B2616,FIND("D",B2616)+1,FIND("T",B2616,FIND("D",B2616))-(FIND("D",B2616)+1)),"P",",")),
IF(ISNUMBER(FIND("CFW5",B2616)),
VALUE(MID(B2616,
IF(ISNUMBER(FIND("F",B2616)),FIND("F",B2616)+1,FIND("G",B2616)+1),
FIND("T",B2616)-(IF(ISNUMBER(FIND("F",B2616)),FIND("F",B2616)+1,FIND("G",B2616)+1))
)),
VALUE(MID(B2616,FIND("E0",B2616)+2,FIND("T",B2616,FIND("E0",B2616))-(FIND("E0",B2616)+2)))
))),"")</f>
        <v>17</v>
      </c>
      <c r="G2616">
        <f>IFERROR(
IF(ISNUMBER(FIND("T2",B2616)),220,
IF(ISNUMBER(FIND("T4",B2616)),440,
IF(ISNUMBER(FIND("T5",B2616)),575,
IF(ISNUMBER(FIND("T6",B2616)),690,"")))),
"")</f>
        <v>575</v>
      </c>
    </row>
    <row r="2617" spans="1:7" x14ac:dyDescent="0.25">
      <c r="A2617">
        <v>11876611</v>
      </c>
      <c r="B2617" t="str">
        <f>VLOOKUP(A2617,Planilha2!B:C,2,0)</f>
        <v>INVERSOR CFW700B24P0T4DB20Y1</v>
      </c>
      <c r="C2617" t="s">
        <v>3169</v>
      </c>
      <c r="D2617" t="str">
        <f>VLOOKUP(A2617,Planilha2!B:H,7,0)</f>
        <v>OBSOLETOS DRIVES</v>
      </c>
      <c r="E2617" s="5">
        <v>9100</v>
      </c>
      <c r="F2617" t="str">
        <f>IFERROR(
IF(ISNUMBER(FIND("CFW110",B2617)),
VALUE(MID(B2617,FIND("CFW110",B2617)+6,FIND("T",B2617,FIND("CFW110",B2617))-(FIND("CFW110",B2617)+6))),
IF(ISNUMBER(FIND("D",B2617)),
VALUE(SUBSTITUTE(MID(B2617,FIND("D",B2617)+1,FIND("T",B2617,FIND("D",B2617))-(FIND("D",B2617)+1)),"P",",")),
IF(ISNUMBER(FIND("CFW5",B2617)),
VALUE(MID(B2617,
IF(ISNUMBER(FIND("F",B2617)),FIND("F",B2617)+1,FIND("G",B2617)+1),
FIND("T",B2617)-(IF(ISNUMBER(FIND("F",B2617)),FIND("F",B2617)+1,FIND("G",B2617)+1))
)),
VALUE(MID(B2617,FIND("E0",B2617)+2,FIND("T",B2617,FIND("E0",B2617))-(FIND("E0",B2617)+2)))
))),"")</f>
        <v/>
      </c>
      <c r="G2617">
        <f>IFERROR(
IF(ISNUMBER(FIND("T2",B2617)),220,
IF(ISNUMBER(FIND("T4",B2617)),440,
IF(ISNUMBER(FIND("T5",B2617)),575,
IF(ISNUMBER(FIND("T6",B2617)),690,"")))),
"")</f>
        <v>440</v>
      </c>
    </row>
    <row r="2618" spans="1:7" x14ac:dyDescent="0.25">
      <c r="A2618">
        <v>12104580</v>
      </c>
      <c r="B2618" t="str">
        <f>VLOOKUP(A2618,Planilha2!B:C,2,0)</f>
        <v>INVERSOR CFW700A10P0S2DB20C3Y1</v>
      </c>
      <c r="C2618" t="s">
        <v>3169</v>
      </c>
      <c r="D2618" t="str">
        <f>VLOOKUP(A2618,Planilha2!B:H,7,0)</f>
        <v>OBSOLETOS DRIVES</v>
      </c>
      <c r="E2618" s="5">
        <v>4500</v>
      </c>
      <c r="F2618" t="str">
        <f>IFERROR(
IF(ISNUMBER(FIND("CFW110",B2618)),
VALUE(MID(B2618,FIND("CFW110",B2618)+6,FIND("T",B2618,FIND("CFW110",B2618))-(FIND("CFW110",B2618)+6))),
IF(ISNUMBER(FIND("D",B2618)),
VALUE(SUBSTITUTE(MID(B2618,FIND("D",B2618)+1,FIND("T",B2618,FIND("D",B2618))-(FIND("D",B2618)+1)),"P",",")),
IF(ISNUMBER(FIND("CFW5",B2618)),
VALUE(MID(B2618,
IF(ISNUMBER(FIND("F",B2618)),FIND("F",B2618)+1,FIND("G",B2618)+1),
FIND("T",B2618)-(IF(ISNUMBER(FIND("F",B2618)),FIND("F",B2618)+1,FIND("G",B2618)+1))
)),
VALUE(MID(B2618,FIND("E0",B2618)+2,FIND("T",B2618,FIND("E0",B2618))-(FIND("E0",B2618)+2)))
))),"")</f>
        <v/>
      </c>
      <c r="G2618" t="str">
        <f>IFERROR(
IF(ISNUMBER(FIND("T2",B2618)),220,
IF(ISNUMBER(FIND("T4",B2618)),440,
IF(ISNUMBER(FIND("T5",B2618)),575,
IF(ISNUMBER(FIND("T6",B2618)),690,"")))),
"")</f>
        <v/>
      </c>
    </row>
    <row r="2619" spans="1:7" x14ac:dyDescent="0.25">
      <c r="A2619">
        <v>12176364</v>
      </c>
      <c r="B2619" t="str">
        <f>VLOOKUP(A2619,Planilha2!B:C,2,0)</f>
        <v>INVERSOR EUCFW110003T4O54FAYZ</v>
      </c>
      <c r="C2619" t="s">
        <v>3169</v>
      </c>
      <c r="D2619" t="str">
        <f>VLOOKUP(A2619,Planilha2!B:H,7,0)</f>
        <v>LINHA M3</v>
      </c>
      <c r="E2619" s="5">
        <v>13000</v>
      </c>
      <c r="F2619">
        <f>IFERROR(
IF(ISNUMBER(FIND("CFW110",B2619)),
VALUE(MID(B2619,FIND("CFW110",B2619)+6,FIND("T",B2619,FIND("CFW110",B2619))-(FIND("CFW110",B2619)+6))),
IF(ISNUMBER(FIND("D",B2619)),
VALUE(SUBSTITUTE(MID(B2619,FIND("D",B2619)+1,FIND("T",B2619,FIND("D",B2619))-(FIND("D",B2619)+1)),"P",",")),
IF(ISNUMBER(FIND("CFW5",B2619)),
VALUE(MID(B2619,
IF(ISNUMBER(FIND("F",B2619)),FIND("F",B2619)+1,FIND("G",B2619)+1),
FIND("T",B2619)-(IF(ISNUMBER(FIND("F",B2619)),FIND("F",B2619)+1,FIND("G",B2619)+1))
)),
VALUE(MID(B2619,FIND("E0",B2619)+2,FIND("T",B2619,FIND("E0",B2619))-(FIND("E0",B2619)+2)))
))),"")</f>
        <v>3</v>
      </c>
      <c r="G2619">
        <f>IFERROR(
IF(ISNUMBER(FIND("T2",B2619)),220,
IF(ISNUMBER(FIND("T4",B2619)),440,
IF(ISNUMBER(FIND("T5",B2619)),575,
IF(ISNUMBER(FIND("T6",B2619)),690,"")))),
"")</f>
        <v>440</v>
      </c>
    </row>
    <row r="2620" spans="1:7" x14ac:dyDescent="0.25">
      <c r="A2620">
        <v>12176365</v>
      </c>
      <c r="B2620" t="str">
        <f>VLOOKUP(A2620,Planilha2!B:C,2,0)</f>
        <v>INVERSOR EUCFW110005T4O54FAYZ</v>
      </c>
      <c r="C2620" t="s">
        <v>3169</v>
      </c>
      <c r="D2620" t="str">
        <f>VLOOKUP(A2620,Planilha2!B:H,7,0)</f>
        <v>LINHA M3</v>
      </c>
      <c r="E2620" s="5">
        <v>13000</v>
      </c>
      <c r="F2620">
        <f>IFERROR(
IF(ISNUMBER(FIND("CFW110",B2620)),
VALUE(MID(B2620,FIND("CFW110",B2620)+6,FIND("T",B2620,FIND("CFW110",B2620))-(FIND("CFW110",B2620)+6))),
IF(ISNUMBER(FIND("D",B2620)),
VALUE(SUBSTITUTE(MID(B2620,FIND("D",B2620)+1,FIND("T",B2620,FIND("D",B2620))-(FIND("D",B2620)+1)),"P",",")),
IF(ISNUMBER(FIND("CFW5",B2620)),
VALUE(MID(B2620,
IF(ISNUMBER(FIND("F",B2620)),FIND("F",B2620)+1,FIND("G",B2620)+1),
FIND("T",B2620)-(IF(ISNUMBER(FIND("F",B2620)),FIND("F",B2620)+1,FIND("G",B2620)+1))
)),
VALUE(MID(B2620,FIND("E0",B2620)+2,FIND("T",B2620,FIND("E0",B2620))-(FIND("E0",B2620)+2)))
))),"")</f>
        <v>5</v>
      </c>
      <c r="G2620">
        <f>IFERROR(
IF(ISNUMBER(FIND("T2",B2620)),220,
IF(ISNUMBER(FIND("T4",B2620)),440,
IF(ISNUMBER(FIND("T5",B2620)),575,
IF(ISNUMBER(FIND("T6",B2620)),690,"")))),
"")</f>
        <v>440</v>
      </c>
    </row>
    <row r="2621" spans="1:7" x14ac:dyDescent="0.25">
      <c r="A2621">
        <v>12195904</v>
      </c>
      <c r="B2621" t="str">
        <f>VLOOKUP(A2621,Planilha2!B:C,2,0)</f>
        <v>INVERSOR CFW700B24P0T4DB20SA</v>
      </c>
      <c r="C2621" t="s">
        <v>3169</v>
      </c>
      <c r="D2621" t="str">
        <f>VLOOKUP(A2621,Planilha2!B:H,7,0)</f>
        <v>OBSOLETOS DRIVES</v>
      </c>
      <c r="E2621" s="5">
        <v>4500</v>
      </c>
      <c r="F2621" t="str">
        <f>IFERROR(
IF(ISNUMBER(FIND("CFW110",B2621)),
VALUE(MID(B2621,FIND("CFW110",B2621)+6,FIND("T",B2621,FIND("CFW110",B2621))-(FIND("CFW110",B2621)+6))),
IF(ISNUMBER(FIND("D",B2621)),
VALUE(SUBSTITUTE(MID(B2621,FIND("D",B2621)+1,FIND("T",B2621,FIND("D",B2621))-(FIND("D",B2621)+1)),"P",",")),
IF(ISNUMBER(FIND("CFW5",B2621)),
VALUE(MID(B2621,
IF(ISNUMBER(FIND("F",B2621)),FIND("F",B2621)+1,FIND("G",B2621)+1),
FIND("T",B2621)-(IF(ISNUMBER(FIND("F",B2621)),FIND("F",B2621)+1,FIND("G",B2621)+1))
)),
VALUE(MID(B2621,FIND("E0",B2621)+2,FIND("T",B2621,FIND("E0",B2621))-(FIND("E0",B2621)+2)))
))),"")</f>
        <v/>
      </c>
      <c r="G2621">
        <f>IFERROR(
IF(ISNUMBER(FIND("T2",B2621)),220,
IF(ISNUMBER(FIND("T4",B2621)),440,
IF(ISNUMBER(FIND("T5",B2621)),575,
IF(ISNUMBER(FIND("T6",B2621)),690,"")))),
"")</f>
        <v>440</v>
      </c>
    </row>
    <row r="2622" spans="1:7" x14ac:dyDescent="0.25">
      <c r="A2622">
        <v>12195903</v>
      </c>
      <c r="B2622" t="str">
        <f>VLOOKUP(A2622,Planilha2!B:C,2,0)</f>
        <v>INVERSOR CFW700A13P5T4DB20SA</v>
      </c>
      <c r="C2622" t="s">
        <v>3169</v>
      </c>
      <c r="D2622" t="str">
        <f>VLOOKUP(A2622,Planilha2!B:H,7,0)</f>
        <v>OBSOLETOS DRIVES</v>
      </c>
      <c r="E2622" s="5">
        <v>4500</v>
      </c>
      <c r="F2622" t="str">
        <f>IFERROR(
IF(ISNUMBER(FIND("CFW110",B2622)),
VALUE(MID(B2622,FIND("CFW110",B2622)+6,FIND("T",B2622,FIND("CFW110",B2622))-(FIND("CFW110",B2622)+6))),
IF(ISNUMBER(FIND("D",B2622)),
VALUE(SUBSTITUTE(MID(B2622,FIND("D",B2622)+1,FIND("T",B2622,FIND("D",B2622))-(FIND("D",B2622)+1)),"P",",")),
IF(ISNUMBER(FIND("CFW5",B2622)),
VALUE(MID(B2622,
IF(ISNUMBER(FIND("F",B2622)),FIND("F",B2622)+1,FIND("G",B2622)+1),
FIND("T",B2622)-(IF(ISNUMBER(FIND("F",B2622)),FIND("F",B2622)+1,FIND("G",B2622)+1))
)),
VALUE(MID(B2622,FIND("E0",B2622)+2,FIND("T",B2622,FIND("E0",B2622))-(FIND("E0",B2622)+2)))
))),"")</f>
        <v/>
      </c>
      <c r="G2622">
        <f>IFERROR(
IF(ISNUMBER(FIND("T2",B2622)),220,
IF(ISNUMBER(FIND("T4",B2622)),440,
IF(ISNUMBER(FIND("T5",B2622)),575,
IF(ISNUMBER(FIND("T6",B2622)),690,"")))),
"")</f>
        <v>440</v>
      </c>
    </row>
    <row r="2623" spans="1:7" x14ac:dyDescent="0.25">
      <c r="A2623">
        <v>12176431</v>
      </c>
      <c r="B2623" t="str">
        <f>VLOOKUP(A2623,Planilha2!B:C,2,0)</f>
        <v>INVERSOR EUCFW110024T4O54FAYZ</v>
      </c>
      <c r="C2623" t="s">
        <v>3169</v>
      </c>
      <c r="D2623" t="str">
        <f>VLOOKUP(A2623,Planilha2!B:H,7,0)</f>
        <v>LINHA M3</v>
      </c>
      <c r="E2623" s="5">
        <v>15000</v>
      </c>
      <c r="F2623">
        <f>IFERROR(
IF(ISNUMBER(FIND("CFW110",B2623)),
VALUE(MID(B2623,FIND("CFW110",B2623)+6,FIND("T",B2623,FIND("CFW110",B2623))-(FIND("CFW110",B2623)+6))),
IF(ISNUMBER(FIND("D",B2623)),
VALUE(SUBSTITUTE(MID(B2623,FIND("D",B2623)+1,FIND("T",B2623,FIND("D",B2623))-(FIND("D",B2623)+1)),"P",",")),
IF(ISNUMBER(FIND("CFW5",B2623)),
VALUE(MID(B2623,
IF(ISNUMBER(FIND("F",B2623)),FIND("F",B2623)+1,FIND("G",B2623)+1),
FIND("T",B2623)-(IF(ISNUMBER(FIND("F",B2623)),FIND("F",B2623)+1,FIND("G",B2623)+1))
)),
VALUE(MID(B2623,FIND("E0",B2623)+2,FIND("T",B2623,FIND("E0",B2623))-(FIND("E0",B2623)+2)))
))),"")</f>
        <v>24</v>
      </c>
      <c r="G2623">
        <f>IFERROR(
IF(ISNUMBER(FIND("T2",B2623)),220,
IF(ISNUMBER(FIND("T4",B2623)),440,
IF(ISNUMBER(FIND("T5",B2623)),575,
IF(ISNUMBER(FIND("T6",B2623)),690,"")))),
"")</f>
        <v>440</v>
      </c>
    </row>
    <row r="2624" spans="1:7" x14ac:dyDescent="0.25">
      <c r="A2624">
        <v>12176428</v>
      </c>
      <c r="B2624" t="str">
        <f>VLOOKUP(A2624,Planilha2!B:C,2,0)</f>
        <v>INVERSOR EUCFW110013T4O54FAYZ</v>
      </c>
      <c r="C2624" t="s">
        <v>3169</v>
      </c>
      <c r="D2624" t="str">
        <f>VLOOKUP(A2624,Planilha2!B:H,7,0)</f>
        <v>LINHA M3</v>
      </c>
      <c r="E2624" s="5">
        <v>13000</v>
      </c>
      <c r="F2624">
        <f>IFERROR(
IF(ISNUMBER(FIND("CFW110",B2624)),
VALUE(MID(B2624,FIND("CFW110",B2624)+6,FIND("T",B2624,FIND("CFW110",B2624))-(FIND("CFW110",B2624)+6))),
IF(ISNUMBER(FIND("D",B2624)),
VALUE(SUBSTITUTE(MID(B2624,FIND("D",B2624)+1,FIND("T",B2624,FIND("D",B2624))-(FIND("D",B2624)+1)),"P",",")),
IF(ISNUMBER(FIND("CFW5",B2624)),
VALUE(MID(B2624,
IF(ISNUMBER(FIND("F",B2624)),FIND("F",B2624)+1,FIND("G",B2624)+1),
FIND("T",B2624)-(IF(ISNUMBER(FIND("F",B2624)),FIND("F",B2624)+1,FIND("G",B2624)+1))
)),
VALUE(MID(B2624,FIND("E0",B2624)+2,FIND("T",B2624,FIND("E0",B2624))-(FIND("E0",B2624)+2)))
))),"")</f>
        <v>13</v>
      </c>
      <c r="G2624">
        <f>IFERROR(
IF(ISNUMBER(FIND("T2",B2624)),220,
IF(ISNUMBER(FIND("T4",B2624)),440,
IF(ISNUMBER(FIND("T5",B2624)),575,
IF(ISNUMBER(FIND("T6",B2624)),690,"")))),
"")</f>
        <v>440</v>
      </c>
    </row>
    <row r="2625" spans="1:7" x14ac:dyDescent="0.25">
      <c r="A2625">
        <v>12176367</v>
      </c>
      <c r="B2625" t="str">
        <f>VLOOKUP(A2625,Planilha2!B:C,2,0)</f>
        <v>INVERSOR EUCFW110010T4O54FAYZ</v>
      </c>
      <c r="C2625" t="s">
        <v>3169</v>
      </c>
      <c r="D2625" t="str">
        <f>VLOOKUP(A2625,Planilha2!B:H,7,0)</f>
        <v>LINHA M3</v>
      </c>
      <c r="E2625" s="5">
        <v>13000</v>
      </c>
      <c r="F2625">
        <f>IFERROR(
IF(ISNUMBER(FIND("CFW110",B2625)),
VALUE(MID(B2625,FIND("CFW110",B2625)+6,FIND("T",B2625,FIND("CFW110",B2625))-(FIND("CFW110",B2625)+6))),
IF(ISNUMBER(FIND("D",B2625)),
VALUE(SUBSTITUTE(MID(B2625,FIND("D",B2625)+1,FIND("T",B2625,FIND("D",B2625))-(FIND("D",B2625)+1)),"P",",")),
IF(ISNUMBER(FIND("CFW5",B2625)),
VALUE(MID(B2625,
IF(ISNUMBER(FIND("F",B2625)),FIND("F",B2625)+1,FIND("G",B2625)+1),
FIND("T",B2625)-(IF(ISNUMBER(FIND("F",B2625)),FIND("F",B2625)+1,FIND("G",B2625)+1))
)),
VALUE(MID(B2625,FIND("E0",B2625)+2,FIND("T",B2625,FIND("E0",B2625))-(FIND("E0",B2625)+2)))
))),"")</f>
        <v>10</v>
      </c>
      <c r="G2625">
        <f>IFERROR(
IF(ISNUMBER(FIND("T2",B2625)),220,
IF(ISNUMBER(FIND("T4",B2625)),440,
IF(ISNUMBER(FIND("T5",B2625)),575,
IF(ISNUMBER(FIND("T6",B2625)),690,"")))),
"")</f>
        <v>440</v>
      </c>
    </row>
    <row r="2626" spans="1:7" x14ac:dyDescent="0.25">
      <c r="A2626">
        <v>12176366</v>
      </c>
      <c r="B2626" t="str">
        <f>VLOOKUP(A2626,Planilha2!B:C,2,0)</f>
        <v>INVERSOR EUCFW110007T4O54FAYZ</v>
      </c>
      <c r="C2626" t="s">
        <v>3169</v>
      </c>
      <c r="D2626" t="str">
        <f>VLOOKUP(A2626,Planilha2!B:H,7,0)</f>
        <v>LINHA M3</v>
      </c>
      <c r="E2626" s="5">
        <v>13000</v>
      </c>
      <c r="F2626">
        <f>IFERROR(
IF(ISNUMBER(FIND("CFW110",B2626)),
VALUE(MID(B2626,FIND("CFW110",B2626)+6,FIND("T",B2626,FIND("CFW110",B2626))-(FIND("CFW110",B2626)+6))),
IF(ISNUMBER(FIND("D",B2626)),
VALUE(SUBSTITUTE(MID(B2626,FIND("D",B2626)+1,FIND("T",B2626,FIND("D",B2626))-(FIND("D",B2626)+1)),"P",",")),
IF(ISNUMBER(FIND("CFW5",B2626)),
VALUE(MID(B2626,
IF(ISNUMBER(FIND("F",B2626)),FIND("F",B2626)+1,FIND("G",B2626)+1),
FIND("T",B2626)-(IF(ISNUMBER(FIND("F",B2626)),FIND("F",B2626)+1,FIND("G",B2626)+1))
)),
VALUE(MID(B2626,FIND("E0",B2626)+2,FIND("T",B2626,FIND("E0",B2626))-(FIND("E0",B2626)+2)))
))),"")</f>
        <v>7</v>
      </c>
      <c r="G2626">
        <f>IFERROR(
IF(ISNUMBER(FIND("T2",B2626)),220,
IF(ISNUMBER(FIND("T4",B2626)),440,
IF(ISNUMBER(FIND("T5",B2626)),575,
IF(ISNUMBER(FIND("T6",B2626)),690,"")))),
"")</f>
        <v>440</v>
      </c>
    </row>
    <row r="2627" spans="1:7" x14ac:dyDescent="0.25">
      <c r="A2627">
        <v>12276450</v>
      </c>
      <c r="B2627" t="str">
        <f>VLOOKUP(A2627,Planilha2!B:C,2,0)</f>
        <v>INVERSOR BRCFW110031T4OYWZ</v>
      </c>
      <c r="C2627" t="s">
        <v>3169</v>
      </c>
      <c r="D2627" t="str">
        <f>VLOOKUP(A2627,Planilha2!B:H,7,0)</f>
        <v>LINHA P7</v>
      </c>
      <c r="E2627" t="s">
        <v>3175</v>
      </c>
      <c r="F2627">
        <f>IFERROR(
IF(ISNUMBER(FIND("CFW110",B2627)),
VALUE(MID(B2627,FIND("CFW110",B2627)+6,FIND("T",B2627,FIND("CFW110",B2627))-(FIND("CFW110",B2627)+6))),
IF(ISNUMBER(FIND("D",B2627)),
VALUE(SUBSTITUTE(MID(B2627,FIND("D",B2627)+1,FIND("T",B2627,FIND("D",B2627))-(FIND("D",B2627)+1)),"P",",")),
IF(ISNUMBER(FIND("CFW5",B2627)),
VALUE(MID(B2627,
IF(ISNUMBER(FIND("F",B2627)),FIND("F",B2627)+1,FIND("G",B2627)+1),
FIND("T",B2627)-(IF(ISNUMBER(FIND("F",B2627)),FIND("F",B2627)+1,FIND("G",B2627)+1))
)),
VALUE(MID(B2627,FIND("E0",B2627)+2,FIND("T",B2627,FIND("E0",B2627))-(FIND("E0",B2627)+2)))
))),"")</f>
        <v>31</v>
      </c>
      <c r="G2627">
        <f>IFERROR(
IF(ISNUMBER(FIND("T2",B2627)),220,
IF(ISNUMBER(FIND("T4",B2627)),440,
IF(ISNUMBER(FIND("T5",B2627)),575,
IF(ISNUMBER(FIND("T6",B2627)),690,"")))),
"")</f>
        <v>440</v>
      </c>
    </row>
    <row r="2628" spans="1:7" x14ac:dyDescent="0.25">
      <c r="A2628">
        <v>12276348</v>
      </c>
      <c r="B2628" t="str">
        <f>VLOOKUP(A2628,Planilha2!B:C,2,0)</f>
        <v>INVERSOR BRCFW110003T4OYWZ</v>
      </c>
      <c r="C2628" t="s">
        <v>3169</v>
      </c>
      <c r="D2628" t="str">
        <f>VLOOKUP(A2628,Planilha2!B:H,7,0)</f>
        <v>LINHA P5</v>
      </c>
      <c r="E2628" s="5">
        <v>5700</v>
      </c>
      <c r="F2628">
        <f>IFERROR(
IF(ISNUMBER(FIND("CFW110",B2628)),
VALUE(MID(B2628,FIND("CFW110",B2628)+6,FIND("T",B2628,FIND("CFW110",B2628))-(FIND("CFW110",B2628)+6))),
IF(ISNUMBER(FIND("D",B2628)),
VALUE(SUBSTITUTE(MID(B2628,FIND("D",B2628)+1,FIND("T",B2628,FIND("D",B2628))-(FIND("D",B2628)+1)),"P",",")),
IF(ISNUMBER(FIND("CFW5",B2628)),
VALUE(MID(B2628,
IF(ISNUMBER(FIND("F",B2628)),FIND("F",B2628)+1,FIND("G",B2628)+1),
FIND("T",B2628)-(IF(ISNUMBER(FIND("F",B2628)),FIND("F",B2628)+1,FIND("G",B2628)+1))
)),
VALUE(MID(B2628,FIND("E0",B2628)+2,FIND("T",B2628,FIND("E0",B2628))-(FIND("E0",B2628)+2)))
))),"")</f>
        <v>3</v>
      </c>
      <c r="G2628">
        <f>IFERROR(
IF(ISNUMBER(FIND("T2",B2628)),220,
IF(ISNUMBER(FIND("T4",B2628)),440,
IF(ISNUMBER(FIND("T5",B2628)),575,
IF(ISNUMBER(FIND("T6",B2628)),690,"")))),
"")</f>
        <v>440</v>
      </c>
    </row>
    <row r="2629" spans="1:7" x14ac:dyDescent="0.25">
      <c r="A2629">
        <v>12292003</v>
      </c>
      <c r="B2629" t="str">
        <f>VLOOKUP(A2629,Planilha2!B:C,2,0)</f>
        <v>INVERSOR BRCFW110007T2OYZ</v>
      </c>
      <c r="C2629" t="s">
        <v>3169</v>
      </c>
      <c r="D2629" t="str">
        <f>VLOOKUP(A2629,Planilha2!B:H,7,0)</f>
        <v>LINHA P5</v>
      </c>
      <c r="E2629" s="5">
        <v>4500</v>
      </c>
      <c r="F2629">
        <f>IFERROR(
IF(ISNUMBER(FIND("CFW110",B2629)),
VALUE(MID(B2629,FIND("CFW110",B2629)+6,FIND("T",B2629,FIND("CFW110",B2629))-(FIND("CFW110",B2629)+6))),
IF(ISNUMBER(FIND("D",B2629)),
VALUE(SUBSTITUTE(MID(B2629,FIND("D",B2629)+1,FIND("T",B2629,FIND("D",B2629))-(FIND("D",B2629)+1)),"P",",")),
IF(ISNUMBER(FIND("CFW5",B2629)),
VALUE(MID(B2629,
IF(ISNUMBER(FIND("F",B2629)),FIND("F",B2629)+1,FIND("G",B2629)+1),
FIND("T",B2629)-(IF(ISNUMBER(FIND("F",B2629)),FIND("F",B2629)+1,FIND("G",B2629)+1))
)),
VALUE(MID(B2629,FIND("E0",B2629)+2,FIND("T",B2629,FIND("E0",B2629))-(FIND("E0",B2629)+2)))
))),"")</f>
        <v>7</v>
      </c>
      <c r="G2629">
        <f>IFERROR(
IF(ISNUMBER(FIND("T2",B2629)),220,
IF(ISNUMBER(FIND("T4",B2629)),440,
IF(ISNUMBER(FIND("T5",B2629)),575,
IF(ISNUMBER(FIND("T6",B2629)),690,"")))),
"")</f>
        <v>220</v>
      </c>
    </row>
    <row r="2630" spans="1:7" x14ac:dyDescent="0.25">
      <c r="A2630">
        <v>12300578</v>
      </c>
      <c r="B2630" t="str">
        <f>VLOOKUP(A2630,Planilha2!B:C,2,0)</f>
        <v>INVERSOR BRCFW110007T4OYZ</v>
      </c>
      <c r="C2630" t="s">
        <v>3169</v>
      </c>
      <c r="D2630" t="str">
        <f>VLOOKUP(A2630,Planilha2!B:H,7,0)</f>
        <v>LINHA P5</v>
      </c>
      <c r="E2630" s="5">
        <v>4500</v>
      </c>
      <c r="F2630">
        <f>IFERROR(
IF(ISNUMBER(FIND("CFW110",B2630)),
VALUE(MID(B2630,FIND("CFW110",B2630)+6,FIND("T",B2630,FIND("CFW110",B2630))-(FIND("CFW110",B2630)+6))),
IF(ISNUMBER(FIND("D",B2630)),
VALUE(SUBSTITUTE(MID(B2630,FIND("D",B2630)+1,FIND("T",B2630,FIND("D",B2630))-(FIND("D",B2630)+1)),"P",",")),
IF(ISNUMBER(FIND("CFW5",B2630)),
VALUE(MID(B2630,
IF(ISNUMBER(FIND("F",B2630)),FIND("F",B2630)+1,FIND("G",B2630)+1),
FIND("T",B2630)-(IF(ISNUMBER(FIND("F",B2630)),FIND("F",B2630)+1,FIND("G",B2630)+1))
)),
VALUE(MID(B2630,FIND("E0",B2630)+2,FIND("T",B2630,FIND("E0",B2630))-(FIND("E0",B2630)+2)))
))),"")</f>
        <v>7</v>
      </c>
      <c r="G2630">
        <f>IFERROR(
IF(ISNUMBER(FIND("T2",B2630)),220,
IF(ISNUMBER(FIND("T4",B2630)),440,
IF(ISNUMBER(FIND("T5",B2630)),575,
IF(ISNUMBER(FIND("T6",B2630)),690,"")))),
"")</f>
        <v>440</v>
      </c>
    </row>
    <row r="2631" spans="1:7" x14ac:dyDescent="0.25">
      <c r="A2631">
        <v>12300579</v>
      </c>
      <c r="B2631" t="str">
        <f>VLOOKUP(A2631,Planilha2!B:C,2,0)</f>
        <v>INVERSOR BRCFW110007T4OYWZ</v>
      </c>
      <c r="C2631" t="s">
        <v>3169</v>
      </c>
      <c r="D2631" t="str">
        <f>VLOOKUP(A2631,Planilha2!B:H,7,0)</f>
        <v>LINHA P5</v>
      </c>
      <c r="E2631" s="5">
        <v>5900</v>
      </c>
      <c r="F2631">
        <f>IFERROR(
IF(ISNUMBER(FIND("CFW110",B2631)),
VALUE(MID(B2631,FIND("CFW110",B2631)+6,FIND("T",B2631,FIND("CFW110",B2631))-(FIND("CFW110",B2631)+6))),
IF(ISNUMBER(FIND("D",B2631)),
VALUE(SUBSTITUTE(MID(B2631,FIND("D",B2631)+1,FIND("T",B2631,FIND("D",B2631))-(FIND("D",B2631)+1)),"P",",")),
IF(ISNUMBER(FIND("CFW5",B2631)),
VALUE(MID(B2631,
IF(ISNUMBER(FIND("F",B2631)),FIND("F",B2631)+1,FIND("G",B2631)+1),
FIND("T",B2631)-(IF(ISNUMBER(FIND("F",B2631)),FIND("F",B2631)+1,FIND("G",B2631)+1))
)),
VALUE(MID(B2631,FIND("E0",B2631)+2,FIND("T",B2631,FIND("E0",B2631))-(FIND("E0",B2631)+2)))
))),"")</f>
        <v>7</v>
      </c>
      <c r="G2631">
        <f>IFERROR(
IF(ISNUMBER(FIND("T2",B2631)),220,
IF(ISNUMBER(FIND("T4",B2631)),440,
IF(ISNUMBER(FIND("T5",B2631)),575,
IF(ISNUMBER(FIND("T6",B2631)),690,"")))),
"")</f>
        <v>440</v>
      </c>
    </row>
    <row r="2632" spans="1:7" x14ac:dyDescent="0.25">
      <c r="A2632">
        <v>12341418</v>
      </c>
      <c r="B2632" t="str">
        <f>VLOOKUP(A2632,Planilha2!B:C,2,0)</f>
        <v>INVERSOR BRCFW110010T4OYZ</v>
      </c>
      <c r="C2632" t="s">
        <v>3169</v>
      </c>
      <c r="D2632" t="str">
        <f>VLOOKUP(A2632,Planilha2!B:H,7,0)</f>
        <v>LINHA P5</v>
      </c>
      <c r="E2632" s="5">
        <v>4500</v>
      </c>
      <c r="F2632">
        <f>IFERROR(
IF(ISNUMBER(FIND("CFW110",B2632)),
VALUE(MID(B2632,FIND("CFW110",B2632)+6,FIND("T",B2632,FIND("CFW110",B2632))-(FIND("CFW110",B2632)+6))),
IF(ISNUMBER(FIND("D",B2632)),
VALUE(SUBSTITUTE(MID(B2632,FIND("D",B2632)+1,FIND("T",B2632,FIND("D",B2632))-(FIND("D",B2632)+1)),"P",",")),
IF(ISNUMBER(FIND("CFW5",B2632)),
VALUE(MID(B2632,
IF(ISNUMBER(FIND("F",B2632)),FIND("F",B2632)+1,FIND("G",B2632)+1),
FIND("T",B2632)-(IF(ISNUMBER(FIND("F",B2632)),FIND("F",B2632)+1,FIND("G",B2632)+1))
)),
VALUE(MID(B2632,FIND("E0",B2632)+2,FIND("T",B2632,FIND("E0",B2632))-(FIND("E0",B2632)+2)))
))),"")</f>
        <v>10</v>
      </c>
      <c r="G2632">
        <f>IFERROR(
IF(ISNUMBER(FIND("T2",B2632)),220,
IF(ISNUMBER(FIND("T4",B2632)),440,
IF(ISNUMBER(FIND("T5",B2632)),575,
IF(ISNUMBER(FIND("T6",B2632)),690,"")))),
"")</f>
        <v>440</v>
      </c>
    </row>
    <row r="2633" spans="1:7" x14ac:dyDescent="0.25">
      <c r="A2633">
        <v>12341419</v>
      </c>
      <c r="B2633" t="str">
        <f>VLOOKUP(A2633,Planilha2!B:C,2,0)</f>
        <v>INVERSOR BRCFW110005T4OYZ</v>
      </c>
      <c r="C2633" t="s">
        <v>3169</v>
      </c>
      <c r="D2633" t="str">
        <f>VLOOKUP(A2633,Planilha2!B:H,7,0)</f>
        <v>LINHA P5</v>
      </c>
      <c r="E2633" s="5">
        <v>4500</v>
      </c>
      <c r="F2633">
        <f>IFERROR(
IF(ISNUMBER(FIND("CFW110",B2633)),
VALUE(MID(B2633,FIND("CFW110",B2633)+6,FIND("T",B2633,FIND("CFW110",B2633))-(FIND("CFW110",B2633)+6))),
IF(ISNUMBER(FIND("D",B2633)),
VALUE(SUBSTITUTE(MID(B2633,FIND("D",B2633)+1,FIND("T",B2633,FIND("D",B2633))-(FIND("D",B2633)+1)),"P",",")),
IF(ISNUMBER(FIND("CFW5",B2633)),
VALUE(MID(B2633,
IF(ISNUMBER(FIND("F",B2633)),FIND("F",B2633)+1,FIND("G",B2633)+1),
FIND("T",B2633)-(IF(ISNUMBER(FIND("F",B2633)),FIND("F",B2633)+1,FIND("G",B2633)+1))
)),
VALUE(MID(B2633,FIND("E0",B2633)+2,FIND("T",B2633,FIND("E0",B2633))-(FIND("E0",B2633)+2)))
))),"")</f>
        <v>5</v>
      </c>
      <c r="G2633">
        <f>IFERROR(
IF(ISNUMBER(FIND("T2",B2633)),220,
IF(ISNUMBER(FIND("T4",B2633)),440,
IF(ISNUMBER(FIND("T5",B2633)),575,
IF(ISNUMBER(FIND("T6",B2633)),690,"")))),
"")</f>
        <v>440</v>
      </c>
    </row>
    <row r="2634" spans="1:7" x14ac:dyDescent="0.25">
      <c r="A2634">
        <v>12346205</v>
      </c>
      <c r="B2634" t="str">
        <f>VLOOKUP(A2634,Planilha2!B:C,2,0)</f>
        <v>INVERSOR CFW701A07P0T4DB20C3W1</v>
      </c>
      <c r="C2634" t="s">
        <v>3169</v>
      </c>
      <c r="D2634" t="str">
        <f>VLOOKUP(A2634,Planilha2!B:H,7,0)</f>
        <v>OBSOLETOS DRIVES</v>
      </c>
      <c r="E2634" s="5">
        <v>4500</v>
      </c>
      <c r="F2634" t="str">
        <f>IFERROR(
IF(ISNUMBER(FIND("CFW110",B2634)),
VALUE(MID(B2634,FIND("CFW110",B2634)+6,FIND("T",B2634,FIND("CFW110",B2634))-(FIND("CFW110",B2634)+6))),
IF(ISNUMBER(FIND("D",B2634)),
VALUE(SUBSTITUTE(MID(B2634,FIND("D",B2634)+1,FIND("T",B2634,FIND("D",B2634))-(FIND("D",B2634)+1)),"P",",")),
IF(ISNUMBER(FIND("CFW5",B2634)),
VALUE(MID(B2634,
IF(ISNUMBER(FIND("F",B2634)),FIND("F",B2634)+1,FIND("G",B2634)+1),
FIND("T",B2634)-(IF(ISNUMBER(FIND("F",B2634)),FIND("F",B2634)+1,FIND("G",B2634)+1))
)),
VALUE(MID(B2634,FIND("E0",B2634)+2,FIND("T",B2634,FIND("E0",B2634))-(FIND("E0",B2634)+2)))
))),"")</f>
        <v/>
      </c>
      <c r="G2634">
        <f>IFERROR(
IF(ISNUMBER(FIND("T2",B2634)),220,
IF(ISNUMBER(FIND("T4",B2634)),440,
IF(ISNUMBER(FIND("T5",B2634)),575,
IF(ISNUMBER(FIND("T6",B2634)),690,"")))),
"")</f>
        <v>440</v>
      </c>
    </row>
    <row r="2635" spans="1:7" x14ac:dyDescent="0.25">
      <c r="A2635">
        <v>12359937</v>
      </c>
      <c r="B2635" t="str">
        <f>VLOOKUP(A2635,Planilha2!B:C,2,0)</f>
        <v>INVERSOR BRCFW110017T4OYZ</v>
      </c>
      <c r="C2635" t="s">
        <v>3169</v>
      </c>
      <c r="D2635" t="str">
        <f>VLOOKUP(A2635,Planilha2!B:H,7,0)</f>
        <v>LINHA P7</v>
      </c>
      <c r="E2635" s="5">
        <v>4500</v>
      </c>
      <c r="F2635">
        <f>IFERROR(
IF(ISNUMBER(FIND("CFW110",B2635)),
VALUE(MID(B2635,FIND("CFW110",B2635)+6,FIND("T",B2635,FIND("CFW110",B2635))-(FIND("CFW110",B2635)+6))),
IF(ISNUMBER(FIND("D",B2635)),
VALUE(SUBSTITUTE(MID(B2635,FIND("D",B2635)+1,FIND("T",B2635,FIND("D",B2635))-(FIND("D",B2635)+1)),"P",",")),
IF(ISNUMBER(FIND("CFW5",B2635)),
VALUE(MID(B2635,
IF(ISNUMBER(FIND("F",B2635)),FIND("F",B2635)+1,FIND("G",B2635)+1),
FIND("T",B2635)-(IF(ISNUMBER(FIND("F",B2635)),FIND("F",B2635)+1,FIND("G",B2635)+1))
)),
VALUE(MID(B2635,FIND("E0",B2635)+2,FIND("T",B2635,FIND("E0",B2635))-(FIND("E0",B2635)+2)))
))),"")</f>
        <v>17</v>
      </c>
      <c r="G2635">
        <f>IFERROR(
IF(ISNUMBER(FIND("T2",B2635)),220,
IF(ISNUMBER(FIND("T4",B2635)),440,
IF(ISNUMBER(FIND("T5",B2635)),575,
IF(ISNUMBER(FIND("T6",B2635)),690,"")))),
"")</f>
        <v>440</v>
      </c>
    </row>
    <row r="2636" spans="1:7" x14ac:dyDescent="0.25">
      <c r="A2636">
        <v>12105098</v>
      </c>
      <c r="B2636" t="str">
        <f>VLOOKUP(A2636,Planilha2!B:C,2,0)</f>
        <v>INVERSOR NACFW110031T4ON1YZ</v>
      </c>
      <c r="C2636" t="s">
        <v>3169</v>
      </c>
      <c r="D2636" t="str">
        <f>VLOOKUP(A2636,Planilha2!B:H,7,0)</f>
        <v>LINHA P7</v>
      </c>
      <c r="E2636" s="5">
        <v>11940</v>
      </c>
      <c r="F2636">
        <f>IFERROR(
IF(ISNUMBER(FIND("CFW110",B2636)),
VALUE(MID(B2636,FIND("CFW110",B2636)+6,FIND("T",B2636,FIND("CFW110",B2636))-(FIND("CFW110",B2636)+6))),
IF(ISNUMBER(FIND("D",B2636)),
VALUE(SUBSTITUTE(MID(B2636,FIND("D",B2636)+1,FIND("T",B2636,FIND("D",B2636))-(FIND("D",B2636)+1)),"P",",")),
IF(ISNUMBER(FIND("CFW5",B2636)),
VALUE(MID(B2636,
IF(ISNUMBER(FIND("F",B2636)),FIND("F",B2636)+1,FIND("G",B2636)+1),
FIND("T",B2636)-(IF(ISNUMBER(FIND("F",B2636)),FIND("F",B2636)+1,FIND("G",B2636)+1))
)),
VALUE(MID(B2636,FIND("E0",B2636)+2,FIND("T",B2636,FIND("E0",B2636))-(FIND("E0",B2636)+2)))
))),"")</f>
        <v>31</v>
      </c>
      <c r="G2636">
        <f>IFERROR(
IF(ISNUMBER(FIND("T2",B2636)),220,
IF(ISNUMBER(FIND("T4",B2636)),440,
IF(ISNUMBER(FIND("T5",B2636)),575,
IF(ISNUMBER(FIND("T6",B2636)),690,"")))),
"")</f>
        <v>440</v>
      </c>
    </row>
    <row r="2637" spans="1:7" x14ac:dyDescent="0.25">
      <c r="A2637">
        <v>12438986</v>
      </c>
      <c r="B2637" t="str">
        <f>VLOOKUP(A2637,Planilha2!B:C,2,0)</f>
        <v>INVERSOR EUCFW110003T4OWZ</v>
      </c>
      <c r="C2637" t="s">
        <v>3169</v>
      </c>
      <c r="D2637" t="str">
        <f>VLOOKUP(A2637,Planilha2!B:H,7,0)</f>
        <v>LINHA P5</v>
      </c>
      <c r="E2637" s="5">
        <v>5700</v>
      </c>
      <c r="F2637">
        <f>IFERROR(
IF(ISNUMBER(FIND("CFW110",B2637)),
VALUE(MID(B2637,FIND("CFW110",B2637)+6,FIND("T",B2637,FIND("CFW110",B2637))-(FIND("CFW110",B2637)+6))),
IF(ISNUMBER(FIND("D",B2637)),
VALUE(SUBSTITUTE(MID(B2637,FIND("D",B2637)+1,FIND("T",B2637,FIND("D",B2637))-(FIND("D",B2637)+1)),"P",",")),
IF(ISNUMBER(FIND("CFW5",B2637)),
VALUE(MID(B2637,
IF(ISNUMBER(FIND("F",B2637)),FIND("F",B2637)+1,FIND("G",B2637)+1),
FIND("T",B2637)-(IF(ISNUMBER(FIND("F",B2637)),FIND("F",B2637)+1,FIND("G",B2637)+1))
)),
VALUE(MID(B2637,FIND("E0",B2637)+2,FIND("T",B2637,FIND("E0",B2637))-(FIND("E0",B2637)+2)))
))),"")</f>
        <v>3</v>
      </c>
      <c r="G2637">
        <f>IFERROR(
IF(ISNUMBER(FIND("T2",B2637)),220,
IF(ISNUMBER(FIND("T4",B2637)),440,
IF(ISNUMBER(FIND("T5",B2637)),575,
IF(ISNUMBER(FIND("T6",B2637)),690,"")))),
"")</f>
        <v>440</v>
      </c>
    </row>
    <row r="2638" spans="1:7" x14ac:dyDescent="0.25">
      <c r="A2638">
        <v>12403618</v>
      </c>
      <c r="B2638" t="str">
        <f>VLOOKUP(A2638,Planilha2!B:C,2,0)</f>
        <v>INVERSOR SACFW110003T4OFAZ</v>
      </c>
      <c r="C2638" t="s">
        <v>3169</v>
      </c>
      <c r="D2638" t="str">
        <f>VLOOKUP(A2638,Planilha2!B:H,7,0)</f>
        <v>LINHA P5</v>
      </c>
      <c r="E2638" s="5">
        <v>4500</v>
      </c>
      <c r="F2638">
        <f>IFERROR(
IF(ISNUMBER(FIND("CFW110",B2638)),
VALUE(MID(B2638,FIND("CFW110",B2638)+6,FIND("T",B2638,FIND("CFW110",B2638))-(FIND("CFW110",B2638)+6))),
IF(ISNUMBER(FIND("D",B2638)),
VALUE(SUBSTITUTE(MID(B2638,FIND("D",B2638)+1,FIND("T",B2638,FIND("D",B2638))-(FIND("D",B2638)+1)),"P",",")),
IF(ISNUMBER(FIND("CFW5",B2638)),
VALUE(MID(B2638,
IF(ISNUMBER(FIND("F",B2638)),FIND("F",B2638)+1,FIND("G",B2638)+1),
FIND("T",B2638)-(IF(ISNUMBER(FIND("F",B2638)),FIND("F",B2638)+1,FIND("G",B2638)+1))
)),
VALUE(MID(B2638,FIND("E0",B2638)+2,FIND("T",B2638,FIND("E0",B2638))-(FIND("E0",B2638)+2)))
))),"")</f>
        <v>3</v>
      </c>
      <c r="G2638">
        <f>IFERROR(
IF(ISNUMBER(FIND("T2",B2638)),220,
IF(ISNUMBER(FIND("T4",B2638)),440,
IF(ISNUMBER(FIND("T5",B2638)),575,
IF(ISNUMBER(FIND("T6",B2638)),690,"")))),
"")</f>
        <v>440</v>
      </c>
    </row>
    <row r="2639" spans="1:7" x14ac:dyDescent="0.25">
      <c r="A2639">
        <v>12403620</v>
      </c>
      <c r="B2639" t="str">
        <f>VLOOKUP(A2639,Planilha2!B:C,2,0)</f>
        <v>INVERSOR SACFW110005T4OFAZ</v>
      </c>
      <c r="C2639" t="s">
        <v>3169</v>
      </c>
      <c r="D2639" t="str">
        <f>VLOOKUP(A2639,Planilha2!B:H,7,0)</f>
        <v>LINHA P5</v>
      </c>
      <c r="E2639" s="5">
        <v>4500</v>
      </c>
      <c r="F2639">
        <f>IFERROR(
IF(ISNUMBER(FIND("CFW110",B2639)),
VALUE(MID(B2639,FIND("CFW110",B2639)+6,FIND("T",B2639,FIND("CFW110",B2639))-(FIND("CFW110",B2639)+6))),
IF(ISNUMBER(FIND("D",B2639)),
VALUE(SUBSTITUTE(MID(B2639,FIND("D",B2639)+1,FIND("T",B2639,FIND("D",B2639))-(FIND("D",B2639)+1)),"P",",")),
IF(ISNUMBER(FIND("CFW5",B2639)),
VALUE(MID(B2639,
IF(ISNUMBER(FIND("F",B2639)),FIND("F",B2639)+1,FIND("G",B2639)+1),
FIND("T",B2639)-(IF(ISNUMBER(FIND("F",B2639)),FIND("F",B2639)+1,FIND("G",B2639)+1))
)),
VALUE(MID(B2639,FIND("E0",B2639)+2,FIND("T",B2639,FIND("E0",B2639))-(FIND("E0",B2639)+2)))
))),"")</f>
        <v>5</v>
      </c>
      <c r="G2639">
        <f>IFERROR(
IF(ISNUMBER(FIND("T2",B2639)),220,
IF(ISNUMBER(FIND("T4",B2639)),440,
IF(ISNUMBER(FIND("T5",B2639)),575,
IF(ISNUMBER(FIND("T6",B2639)),690,"")))),
"")</f>
        <v>440</v>
      </c>
    </row>
    <row r="2640" spans="1:7" x14ac:dyDescent="0.25">
      <c r="A2640">
        <v>12403624</v>
      </c>
      <c r="B2640" t="str">
        <f>VLOOKUP(A2640,Planilha2!B:C,2,0)</f>
        <v>INVERSOR SACFW110007T4OFAZ</v>
      </c>
      <c r="C2640" t="s">
        <v>3169</v>
      </c>
      <c r="D2640" t="str">
        <f>VLOOKUP(A2640,Planilha2!B:H,7,0)</f>
        <v>LINHA P5</v>
      </c>
      <c r="E2640" s="5">
        <v>4500</v>
      </c>
      <c r="F2640">
        <f>IFERROR(
IF(ISNUMBER(FIND("CFW110",B2640)),
VALUE(MID(B2640,FIND("CFW110",B2640)+6,FIND("T",B2640,FIND("CFW110",B2640))-(FIND("CFW110",B2640)+6))),
IF(ISNUMBER(FIND("D",B2640)),
VALUE(SUBSTITUTE(MID(B2640,FIND("D",B2640)+1,FIND("T",B2640,FIND("D",B2640))-(FIND("D",B2640)+1)),"P",",")),
IF(ISNUMBER(FIND("CFW5",B2640)),
VALUE(MID(B2640,
IF(ISNUMBER(FIND("F",B2640)),FIND("F",B2640)+1,FIND("G",B2640)+1),
FIND("T",B2640)-(IF(ISNUMBER(FIND("F",B2640)),FIND("F",B2640)+1,FIND("G",B2640)+1))
)),
VALUE(MID(B2640,FIND("E0",B2640)+2,FIND("T",B2640,FIND("E0",B2640))-(FIND("E0",B2640)+2)))
))),"")</f>
        <v>7</v>
      </c>
      <c r="G2640">
        <f>IFERROR(
IF(ISNUMBER(FIND("T2",B2640)),220,
IF(ISNUMBER(FIND("T4",B2640)),440,
IF(ISNUMBER(FIND("T5",B2640)),575,
IF(ISNUMBER(FIND("T6",B2640)),690,"")))),
"")</f>
        <v>440</v>
      </c>
    </row>
    <row r="2641" spans="1:7" x14ac:dyDescent="0.25">
      <c r="A2641">
        <v>12403625</v>
      </c>
      <c r="B2641" t="str">
        <f>VLOOKUP(A2641,Planilha2!B:C,2,0)</f>
        <v>INVERSOR SACFW110010T4OFAZ</v>
      </c>
      <c r="C2641" t="s">
        <v>3169</v>
      </c>
      <c r="D2641" t="str">
        <f>VLOOKUP(A2641,Planilha2!B:H,7,0)</f>
        <v>LINHA P5</v>
      </c>
      <c r="E2641" s="5">
        <v>4500</v>
      </c>
      <c r="F2641">
        <f>IFERROR(
IF(ISNUMBER(FIND("CFW110",B2641)),
VALUE(MID(B2641,FIND("CFW110",B2641)+6,FIND("T",B2641,FIND("CFW110",B2641))-(FIND("CFW110",B2641)+6))),
IF(ISNUMBER(FIND("D",B2641)),
VALUE(SUBSTITUTE(MID(B2641,FIND("D",B2641)+1,FIND("T",B2641,FIND("D",B2641))-(FIND("D",B2641)+1)),"P",",")),
IF(ISNUMBER(FIND("CFW5",B2641)),
VALUE(MID(B2641,
IF(ISNUMBER(FIND("F",B2641)),FIND("F",B2641)+1,FIND("G",B2641)+1),
FIND("T",B2641)-(IF(ISNUMBER(FIND("F",B2641)),FIND("F",B2641)+1,FIND("G",B2641)+1))
)),
VALUE(MID(B2641,FIND("E0",B2641)+2,FIND("T",B2641,FIND("E0",B2641))-(FIND("E0",B2641)+2)))
))),"")</f>
        <v>10</v>
      </c>
      <c r="G2641">
        <f>IFERROR(
IF(ISNUMBER(FIND("T2",B2641)),220,
IF(ISNUMBER(FIND("T4",B2641)),440,
IF(ISNUMBER(FIND("T5",B2641)),575,
IF(ISNUMBER(FIND("T6",B2641)),690,"")))),
"")</f>
        <v>440</v>
      </c>
    </row>
    <row r="2642" spans="1:7" x14ac:dyDescent="0.25">
      <c r="A2642">
        <v>12403698</v>
      </c>
      <c r="B2642" t="str">
        <f>VLOOKUP(A2642,Planilha2!B:C,2,0)</f>
        <v>INVERSOR SACFW110017T4OFAZ</v>
      </c>
      <c r="C2642" t="s">
        <v>3169</v>
      </c>
      <c r="D2642" t="str">
        <f>VLOOKUP(A2642,Planilha2!B:H,7,0)</f>
        <v>LINHA P7</v>
      </c>
      <c r="E2642" s="5">
        <v>4500</v>
      </c>
      <c r="F2642">
        <f>IFERROR(
IF(ISNUMBER(FIND("CFW110",B2642)),
VALUE(MID(B2642,FIND("CFW110",B2642)+6,FIND("T",B2642,FIND("CFW110",B2642))-(FIND("CFW110",B2642)+6))),
IF(ISNUMBER(FIND("D",B2642)),
VALUE(SUBSTITUTE(MID(B2642,FIND("D",B2642)+1,FIND("T",B2642,FIND("D",B2642))-(FIND("D",B2642)+1)),"P",",")),
IF(ISNUMBER(FIND("CFW5",B2642)),
VALUE(MID(B2642,
IF(ISNUMBER(FIND("F",B2642)),FIND("F",B2642)+1,FIND("G",B2642)+1),
FIND("T",B2642)-(IF(ISNUMBER(FIND("F",B2642)),FIND("F",B2642)+1,FIND("G",B2642)+1))
)),
VALUE(MID(B2642,FIND("E0",B2642)+2,FIND("T",B2642,FIND("E0",B2642))-(FIND("E0",B2642)+2)))
))),"")</f>
        <v>17</v>
      </c>
      <c r="G2642">
        <f>IFERROR(
IF(ISNUMBER(FIND("T2",B2642)),220,
IF(ISNUMBER(FIND("T4",B2642)),440,
IF(ISNUMBER(FIND("T5",B2642)),575,
IF(ISNUMBER(FIND("T6",B2642)),690,"")))),
"")</f>
        <v>440</v>
      </c>
    </row>
    <row r="2643" spans="1:7" x14ac:dyDescent="0.25">
      <c r="A2643">
        <v>12403699</v>
      </c>
      <c r="B2643" t="str">
        <f>VLOOKUP(A2643,Planilha2!B:C,2,0)</f>
        <v>INVERSOR SACFW110024T4OFAZ</v>
      </c>
      <c r="C2643" t="s">
        <v>3169</v>
      </c>
      <c r="D2643" t="str">
        <f>VLOOKUP(A2643,Planilha2!B:H,7,0)</f>
        <v>LINHA P7</v>
      </c>
      <c r="E2643" s="5">
        <v>4500</v>
      </c>
      <c r="F2643">
        <f>IFERROR(
IF(ISNUMBER(FIND("CFW110",B2643)),
VALUE(MID(B2643,FIND("CFW110",B2643)+6,FIND("T",B2643,FIND("CFW110",B2643))-(FIND("CFW110",B2643)+6))),
IF(ISNUMBER(FIND("D",B2643)),
VALUE(SUBSTITUTE(MID(B2643,FIND("D",B2643)+1,FIND("T",B2643,FIND("D",B2643))-(FIND("D",B2643)+1)),"P",",")),
IF(ISNUMBER(FIND("CFW5",B2643)),
VALUE(MID(B2643,
IF(ISNUMBER(FIND("F",B2643)),FIND("F",B2643)+1,FIND("G",B2643)+1),
FIND("T",B2643)-(IF(ISNUMBER(FIND("F",B2643)),FIND("F",B2643)+1,FIND("G",B2643)+1))
)),
VALUE(MID(B2643,FIND("E0",B2643)+2,FIND("T",B2643,FIND("E0",B2643))-(FIND("E0",B2643)+2)))
))),"")</f>
        <v>24</v>
      </c>
      <c r="G2643">
        <f>IFERROR(
IF(ISNUMBER(FIND("T2",B2643)),220,
IF(ISNUMBER(FIND("T4",B2643)),440,
IF(ISNUMBER(FIND("T5",B2643)),575,
IF(ISNUMBER(FIND("T6",B2643)),690,"")))),
"")</f>
        <v>440</v>
      </c>
    </row>
    <row r="2644" spans="1:7" x14ac:dyDescent="0.25">
      <c r="A2644">
        <v>12403701</v>
      </c>
      <c r="B2644" t="str">
        <f>VLOOKUP(A2644,Planilha2!B:C,2,0)</f>
        <v>INVERSOR SACFW110031T4OFAZ</v>
      </c>
      <c r="C2644" t="s">
        <v>3169</v>
      </c>
      <c r="D2644" t="str">
        <f>VLOOKUP(A2644,Planilha2!B:H,7,0)</f>
        <v>LINHA P7</v>
      </c>
      <c r="E2644" s="5">
        <v>4500</v>
      </c>
      <c r="F2644">
        <f>IFERROR(
IF(ISNUMBER(FIND("CFW110",B2644)),
VALUE(MID(B2644,FIND("CFW110",B2644)+6,FIND("T",B2644,FIND("CFW110",B2644))-(FIND("CFW110",B2644)+6))),
IF(ISNUMBER(FIND("D",B2644)),
VALUE(SUBSTITUTE(MID(B2644,FIND("D",B2644)+1,FIND("T",B2644,FIND("D",B2644))-(FIND("D",B2644)+1)),"P",",")),
IF(ISNUMBER(FIND("CFW5",B2644)),
VALUE(MID(B2644,
IF(ISNUMBER(FIND("F",B2644)),FIND("F",B2644)+1,FIND("G",B2644)+1),
FIND("T",B2644)-(IF(ISNUMBER(FIND("F",B2644)),FIND("F",B2644)+1,FIND("G",B2644)+1))
)),
VALUE(MID(B2644,FIND("E0",B2644)+2,FIND("T",B2644,FIND("E0",B2644))-(FIND("E0",B2644)+2)))
))),"")</f>
        <v>31</v>
      </c>
      <c r="G2644">
        <f>IFERROR(
IF(ISNUMBER(FIND("T2",B2644)),220,
IF(ISNUMBER(FIND("T4",B2644)),440,
IF(ISNUMBER(FIND("T5",B2644)),575,
IF(ISNUMBER(FIND("T6",B2644)),690,"")))),
"")</f>
        <v>440</v>
      </c>
    </row>
    <row r="2645" spans="1:7" x14ac:dyDescent="0.25">
      <c r="A2645">
        <v>12467915</v>
      </c>
      <c r="B2645" t="str">
        <f>VLOOKUP(A2645,Planilha2!B:C,2,0)</f>
        <v>INVERSOR BRCFW110005T4OFAWZ</v>
      </c>
      <c r="C2645" t="s">
        <v>3169</v>
      </c>
      <c r="D2645" t="str">
        <f>VLOOKUP(A2645,Planilha2!B:H,7,0)</f>
        <v>LINHA P5</v>
      </c>
      <c r="E2645" s="5">
        <v>4500</v>
      </c>
      <c r="F2645">
        <f>IFERROR(
IF(ISNUMBER(FIND("CFW110",B2645)),
VALUE(MID(B2645,FIND("CFW110",B2645)+6,FIND("T",B2645,FIND("CFW110",B2645))-(FIND("CFW110",B2645)+6))),
IF(ISNUMBER(FIND("D",B2645)),
VALUE(SUBSTITUTE(MID(B2645,FIND("D",B2645)+1,FIND("T",B2645,FIND("D",B2645))-(FIND("D",B2645)+1)),"P",",")),
IF(ISNUMBER(FIND("CFW5",B2645)),
VALUE(MID(B2645,
IF(ISNUMBER(FIND("F",B2645)),FIND("F",B2645)+1,FIND("G",B2645)+1),
FIND("T",B2645)-(IF(ISNUMBER(FIND("F",B2645)),FIND("F",B2645)+1,FIND("G",B2645)+1))
)),
VALUE(MID(B2645,FIND("E0",B2645)+2,FIND("T",B2645,FIND("E0",B2645))-(FIND("E0",B2645)+2)))
))),"")</f>
        <v>5</v>
      </c>
      <c r="G2645">
        <f>IFERROR(
IF(ISNUMBER(FIND("T2",B2645)),220,
IF(ISNUMBER(FIND("T4",B2645)),440,
IF(ISNUMBER(FIND("T5",B2645)),575,
IF(ISNUMBER(FIND("T6",B2645)),690,"")))),
"")</f>
        <v>440</v>
      </c>
    </row>
    <row r="2646" spans="1:7" x14ac:dyDescent="0.25">
      <c r="A2646">
        <v>12467958</v>
      </c>
      <c r="B2646" t="str">
        <f>VLOOKUP(A2646,Planilha2!B:C,2,0)</f>
        <v>INVERSOR BRCFW110007T4OFAWZ</v>
      </c>
      <c r="C2646" t="s">
        <v>3169</v>
      </c>
      <c r="D2646" t="str">
        <f>VLOOKUP(A2646,Planilha2!B:H,7,0)</f>
        <v>LINHA P5</v>
      </c>
      <c r="E2646" t="s">
        <v>3175</v>
      </c>
      <c r="F2646">
        <f>IFERROR(
IF(ISNUMBER(FIND("CFW110",B2646)),
VALUE(MID(B2646,FIND("CFW110",B2646)+6,FIND("T",B2646,FIND("CFW110",B2646))-(FIND("CFW110",B2646)+6))),
IF(ISNUMBER(FIND("D",B2646)),
VALUE(SUBSTITUTE(MID(B2646,FIND("D",B2646)+1,FIND("T",B2646,FIND("D",B2646))-(FIND("D",B2646)+1)),"P",",")),
IF(ISNUMBER(FIND("CFW5",B2646)),
VALUE(MID(B2646,
IF(ISNUMBER(FIND("F",B2646)),FIND("F",B2646)+1,FIND("G",B2646)+1),
FIND("T",B2646)-(IF(ISNUMBER(FIND("F",B2646)),FIND("F",B2646)+1,FIND("G",B2646)+1))
)),
VALUE(MID(B2646,FIND("E0",B2646)+2,FIND("T",B2646,FIND("E0",B2646))-(FIND("E0",B2646)+2)))
))),"")</f>
        <v>7</v>
      </c>
      <c r="G2646">
        <f>IFERROR(
IF(ISNUMBER(FIND("T2",B2646)),220,
IF(ISNUMBER(FIND("T4",B2646)),440,
IF(ISNUMBER(FIND("T5",B2646)),575,
IF(ISNUMBER(FIND("T6",B2646)),690,"")))),
"")</f>
        <v>440</v>
      </c>
    </row>
    <row r="2647" spans="1:7" x14ac:dyDescent="0.25">
      <c r="A2647">
        <v>12467960</v>
      </c>
      <c r="B2647" t="str">
        <f>VLOOKUP(A2647,Planilha2!B:C,2,0)</f>
        <v>INVERSOR BRCFW110013T4OFAWZ</v>
      </c>
      <c r="C2647" t="s">
        <v>3169</v>
      </c>
      <c r="D2647" t="str">
        <f>VLOOKUP(A2647,Planilha2!B:H,7,0)</f>
        <v>LINHA P5</v>
      </c>
      <c r="E2647" t="s">
        <v>3175</v>
      </c>
      <c r="F2647">
        <f>IFERROR(
IF(ISNUMBER(FIND("CFW110",B2647)),
VALUE(MID(B2647,FIND("CFW110",B2647)+6,FIND("T",B2647,FIND("CFW110",B2647))-(FIND("CFW110",B2647)+6))),
IF(ISNUMBER(FIND("D",B2647)),
VALUE(SUBSTITUTE(MID(B2647,FIND("D",B2647)+1,FIND("T",B2647,FIND("D",B2647))-(FIND("D",B2647)+1)),"P",",")),
IF(ISNUMBER(FIND("CFW5",B2647)),
VALUE(MID(B2647,
IF(ISNUMBER(FIND("F",B2647)),FIND("F",B2647)+1,FIND("G",B2647)+1),
FIND("T",B2647)-(IF(ISNUMBER(FIND("F",B2647)),FIND("F",B2647)+1,FIND("G",B2647)+1))
)),
VALUE(MID(B2647,FIND("E0",B2647)+2,FIND("T",B2647,FIND("E0",B2647))-(FIND("E0",B2647)+2)))
))),"")</f>
        <v>13</v>
      </c>
      <c r="G2647">
        <f>IFERROR(
IF(ISNUMBER(FIND("T2",B2647)),220,
IF(ISNUMBER(FIND("T4",B2647)),440,
IF(ISNUMBER(FIND("T5",B2647)),575,
IF(ISNUMBER(FIND("T6",B2647)),690,"")))),
"")</f>
        <v>440</v>
      </c>
    </row>
    <row r="2648" spans="1:7" x14ac:dyDescent="0.25">
      <c r="A2648">
        <v>12467961</v>
      </c>
      <c r="B2648" t="str">
        <f>VLOOKUP(A2648,Planilha2!B:C,2,0)</f>
        <v>INVERSOR BRCFW110017T4OFAWZ</v>
      </c>
      <c r="C2648" t="s">
        <v>3169</v>
      </c>
      <c r="D2648" t="str">
        <f>VLOOKUP(A2648,Planilha2!B:H,7,0)</f>
        <v>LINHA P7</v>
      </c>
      <c r="E2648" s="5">
        <v>4500</v>
      </c>
      <c r="F2648">
        <f>IFERROR(
IF(ISNUMBER(FIND("CFW110",B2648)),
VALUE(MID(B2648,FIND("CFW110",B2648)+6,FIND("T",B2648,FIND("CFW110",B2648))-(FIND("CFW110",B2648)+6))),
IF(ISNUMBER(FIND("D",B2648)),
VALUE(SUBSTITUTE(MID(B2648,FIND("D",B2648)+1,FIND("T",B2648,FIND("D",B2648))-(FIND("D",B2648)+1)),"P",",")),
IF(ISNUMBER(FIND("CFW5",B2648)),
VALUE(MID(B2648,
IF(ISNUMBER(FIND("F",B2648)),FIND("F",B2648)+1,FIND("G",B2648)+1),
FIND("T",B2648)-(IF(ISNUMBER(FIND("F",B2648)),FIND("F",B2648)+1,FIND("G",B2648)+1))
)),
VALUE(MID(B2648,FIND("E0",B2648)+2,FIND("T",B2648,FIND("E0",B2648))-(FIND("E0",B2648)+2)))
))),"")</f>
        <v>17</v>
      </c>
      <c r="G2648">
        <f>IFERROR(
IF(ISNUMBER(FIND("T2",B2648)),220,
IF(ISNUMBER(FIND("T4",B2648)),440,
IF(ISNUMBER(FIND("T5",B2648)),575,
IF(ISNUMBER(FIND("T6",B2648)),690,"")))),
"")</f>
        <v>440</v>
      </c>
    </row>
    <row r="2649" spans="1:7" x14ac:dyDescent="0.25">
      <c r="A2649">
        <v>12403466</v>
      </c>
      <c r="B2649" t="str">
        <f>VLOOKUP(A2649,Planilha2!B:C,2,0)</f>
        <v>INVERSOR SACFW110007S2OFAZ</v>
      </c>
      <c r="C2649" t="s">
        <v>3169</v>
      </c>
      <c r="D2649" t="str">
        <f>VLOOKUP(A2649,Planilha2!B:H,7,0)</f>
        <v>LINHA P5</v>
      </c>
      <c r="E2649" s="5">
        <v>4500</v>
      </c>
      <c r="F2649" t="str">
        <f>IFERROR(
IF(ISNUMBER(FIND("CFW110",B2649)),
VALUE(MID(B2649,FIND("CFW110",B2649)+6,FIND("T",B2649,FIND("CFW110",B2649))-(FIND("CFW110",B2649)+6))),
IF(ISNUMBER(FIND("D",B2649)),
VALUE(SUBSTITUTE(MID(B2649,FIND("D",B2649)+1,FIND("T",B2649,FIND("D",B2649))-(FIND("D",B2649)+1)),"P",",")),
IF(ISNUMBER(FIND("CFW5",B2649)),
VALUE(MID(B2649,
IF(ISNUMBER(FIND("F",B2649)),FIND("F",B2649)+1,FIND("G",B2649)+1),
FIND("T",B2649)-(IF(ISNUMBER(FIND("F",B2649)),FIND("F",B2649)+1,FIND("G",B2649)+1))
)),
VALUE(MID(B2649,FIND("E0",B2649)+2,FIND("T",B2649,FIND("E0",B2649))-(FIND("E0",B2649)+2)))
))),"")</f>
        <v/>
      </c>
      <c r="G2649" t="str">
        <f>IFERROR(
IF(ISNUMBER(FIND("T2",B2649)),220,
IF(ISNUMBER(FIND("T4",B2649)),440,
IF(ISNUMBER(FIND("T5",B2649)),575,
IF(ISNUMBER(FIND("T6",B2649)),690,"")))),
"")</f>
        <v/>
      </c>
    </row>
    <row r="2650" spans="1:7" x14ac:dyDescent="0.25">
      <c r="A2650">
        <v>12403627</v>
      </c>
      <c r="B2650" t="str">
        <f>VLOOKUP(A2650,Planilha2!B:C,2,0)</f>
        <v>INVERSOR SACFW110013T4OFAZ</v>
      </c>
      <c r="C2650" t="s">
        <v>3169</v>
      </c>
      <c r="D2650" t="str">
        <f>VLOOKUP(A2650,Planilha2!B:H,7,0)</f>
        <v>LINHA P5</v>
      </c>
      <c r="E2650" s="5">
        <v>4500</v>
      </c>
      <c r="F2650">
        <f>IFERROR(
IF(ISNUMBER(FIND("CFW110",B2650)),
VALUE(MID(B2650,FIND("CFW110",B2650)+6,FIND("T",B2650,FIND("CFW110",B2650))-(FIND("CFW110",B2650)+6))),
IF(ISNUMBER(FIND("D",B2650)),
VALUE(SUBSTITUTE(MID(B2650,FIND("D",B2650)+1,FIND("T",B2650,FIND("D",B2650))-(FIND("D",B2650)+1)),"P",",")),
IF(ISNUMBER(FIND("CFW5",B2650)),
VALUE(MID(B2650,
IF(ISNUMBER(FIND("F",B2650)),FIND("F",B2650)+1,FIND("G",B2650)+1),
FIND("T",B2650)-(IF(ISNUMBER(FIND("F",B2650)),FIND("F",B2650)+1,FIND("G",B2650)+1))
)),
VALUE(MID(B2650,FIND("E0",B2650)+2,FIND("T",B2650,FIND("E0",B2650))-(FIND("E0",B2650)+2)))
))),"")</f>
        <v>13</v>
      </c>
      <c r="G2650">
        <f>IFERROR(
IF(ISNUMBER(FIND("T2",B2650)),220,
IF(ISNUMBER(FIND("T4",B2650)),440,
IF(ISNUMBER(FIND("T5",B2650)),575,
IF(ISNUMBER(FIND("T6",B2650)),690,"")))),
"")</f>
        <v>440</v>
      </c>
    </row>
    <row r="2651" spans="1:7" x14ac:dyDescent="0.25">
      <c r="A2651">
        <v>12514721</v>
      </c>
      <c r="B2651" t="str">
        <f>VLOOKUP(A2651,Planilha2!B:C,2,0)</f>
        <v>INVERSOR MSCFW110005T4OFAZ</v>
      </c>
      <c r="C2651" t="s">
        <v>3169</v>
      </c>
      <c r="D2651" t="str">
        <f>VLOOKUP(A2651,Planilha2!B:H,7,0)</f>
        <v>LINHA P5</v>
      </c>
      <c r="E2651" s="5">
        <v>5350</v>
      </c>
      <c r="F2651">
        <f>IFERROR(
IF(ISNUMBER(FIND("CFW110",B2651)),
VALUE(MID(B2651,FIND("CFW110",B2651)+6,FIND("T",B2651,FIND("CFW110",B2651))-(FIND("CFW110",B2651)+6))),
IF(ISNUMBER(FIND("D",B2651)),
VALUE(SUBSTITUTE(MID(B2651,FIND("D",B2651)+1,FIND("T",B2651,FIND("D",B2651))-(FIND("D",B2651)+1)),"P",",")),
IF(ISNUMBER(FIND("CFW5",B2651)),
VALUE(MID(B2651,
IF(ISNUMBER(FIND("F",B2651)),FIND("F",B2651)+1,FIND("G",B2651)+1),
FIND("T",B2651)-(IF(ISNUMBER(FIND("F",B2651)),FIND("F",B2651)+1,FIND("G",B2651)+1))
)),
VALUE(MID(B2651,FIND("E0",B2651)+2,FIND("T",B2651,FIND("E0",B2651))-(FIND("E0",B2651)+2)))
))),"")</f>
        <v>5</v>
      </c>
      <c r="G2651">
        <f>IFERROR(
IF(ISNUMBER(FIND("T2",B2651)),220,
IF(ISNUMBER(FIND("T4",B2651)),440,
IF(ISNUMBER(FIND("T5",B2651)),575,
IF(ISNUMBER(FIND("T6",B2651)),690,"")))),
"")</f>
        <v>440</v>
      </c>
    </row>
    <row r="2652" spans="1:7" x14ac:dyDescent="0.25">
      <c r="A2652">
        <v>12511862</v>
      </c>
      <c r="B2652" t="str">
        <f>VLOOKUP(A2652,Planilha2!B:C,2,0)</f>
        <v>INVERSOR MSCFW110013T4OFAZ</v>
      </c>
      <c r="C2652" t="s">
        <v>3169</v>
      </c>
      <c r="D2652" t="str">
        <f>VLOOKUP(A2652,Planilha2!B:H,7,0)</f>
        <v>LINHA P5</v>
      </c>
      <c r="E2652" s="5">
        <v>5750</v>
      </c>
      <c r="F2652">
        <f>IFERROR(
IF(ISNUMBER(FIND("CFW110",B2652)),
VALUE(MID(B2652,FIND("CFW110",B2652)+6,FIND("T",B2652,FIND("CFW110",B2652))-(FIND("CFW110",B2652)+6))),
IF(ISNUMBER(FIND("D",B2652)),
VALUE(SUBSTITUTE(MID(B2652,FIND("D",B2652)+1,FIND("T",B2652,FIND("D",B2652))-(FIND("D",B2652)+1)),"P",",")),
IF(ISNUMBER(FIND("CFW5",B2652)),
VALUE(MID(B2652,
IF(ISNUMBER(FIND("F",B2652)),FIND("F",B2652)+1,FIND("G",B2652)+1),
FIND("T",B2652)-(IF(ISNUMBER(FIND("F",B2652)),FIND("F",B2652)+1,FIND("G",B2652)+1))
)),
VALUE(MID(B2652,FIND("E0",B2652)+2,FIND("T",B2652,FIND("E0",B2652))-(FIND("E0",B2652)+2)))
))),"")</f>
        <v>13</v>
      </c>
      <c r="G2652">
        <f>IFERROR(
IF(ISNUMBER(FIND("T2",B2652)),220,
IF(ISNUMBER(FIND("T4",B2652)),440,
IF(ISNUMBER(FIND("T5",B2652)),575,
IF(ISNUMBER(FIND("T6",B2652)),690,"")))),
"")</f>
        <v>440</v>
      </c>
    </row>
    <row r="2653" spans="1:7" x14ac:dyDescent="0.25">
      <c r="A2653">
        <v>12511858</v>
      </c>
      <c r="B2653" t="str">
        <f>VLOOKUP(A2653,Planilha2!B:C,2,0)</f>
        <v>INVERSOR MSCFW110003T4OFAZ</v>
      </c>
      <c r="C2653" t="s">
        <v>3169</v>
      </c>
      <c r="D2653" t="str">
        <f>VLOOKUP(A2653,Planilha2!B:H,7,0)</f>
        <v>LINHA P5</v>
      </c>
      <c r="E2653" s="5">
        <v>5150</v>
      </c>
      <c r="F2653">
        <f>IFERROR(
IF(ISNUMBER(FIND("CFW110",B2653)),
VALUE(MID(B2653,FIND("CFW110",B2653)+6,FIND("T",B2653,FIND("CFW110",B2653))-(FIND("CFW110",B2653)+6))),
IF(ISNUMBER(FIND("D",B2653)),
VALUE(SUBSTITUTE(MID(B2653,FIND("D",B2653)+1,FIND("T",B2653,FIND("D",B2653))-(FIND("D",B2653)+1)),"P",",")),
IF(ISNUMBER(FIND("CFW5",B2653)),
VALUE(MID(B2653,
IF(ISNUMBER(FIND("F",B2653)),FIND("F",B2653)+1,FIND("G",B2653)+1),
FIND("T",B2653)-(IF(ISNUMBER(FIND("F",B2653)),FIND("F",B2653)+1,FIND("G",B2653)+1))
)),
VALUE(MID(B2653,FIND("E0",B2653)+2,FIND("T",B2653,FIND("E0",B2653))-(FIND("E0",B2653)+2)))
))),"")</f>
        <v>3</v>
      </c>
      <c r="G2653">
        <f>IFERROR(
IF(ISNUMBER(FIND("T2",B2653)),220,
IF(ISNUMBER(FIND("T4",B2653)),440,
IF(ISNUMBER(FIND("T5",B2653)),575,
IF(ISNUMBER(FIND("T6",B2653)),690,"")))),
"")</f>
        <v>440</v>
      </c>
    </row>
    <row r="2654" spans="1:7" x14ac:dyDescent="0.25">
      <c r="A2654">
        <v>12511860</v>
      </c>
      <c r="B2654" t="str">
        <f>VLOOKUP(A2654,Planilha2!B:C,2,0)</f>
        <v>INVERSOR MSCFW110010T4OFAZ</v>
      </c>
      <c r="C2654" t="s">
        <v>3169</v>
      </c>
      <c r="D2654" t="str">
        <f>VLOOKUP(A2654,Planilha2!B:H,7,0)</f>
        <v>LINHA P5</v>
      </c>
      <c r="E2654" s="5">
        <v>5650</v>
      </c>
      <c r="F2654">
        <f>IFERROR(
IF(ISNUMBER(FIND("CFW110",B2654)),
VALUE(MID(B2654,FIND("CFW110",B2654)+6,FIND("T",B2654,FIND("CFW110",B2654))-(FIND("CFW110",B2654)+6))),
IF(ISNUMBER(FIND("D",B2654)),
VALUE(SUBSTITUTE(MID(B2654,FIND("D",B2654)+1,FIND("T",B2654,FIND("D",B2654))-(FIND("D",B2654)+1)),"P",",")),
IF(ISNUMBER(FIND("CFW5",B2654)),
VALUE(MID(B2654,
IF(ISNUMBER(FIND("F",B2654)),FIND("F",B2654)+1,FIND("G",B2654)+1),
FIND("T",B2654)-(IF(ISNUMBER(FIND("F",B2654)),FIND("F",B2654)+1,FIND("G",B2654)+1))
)),
VALUE(MID(B2654,FIND("E0",B2654)+2,FIND("T",B2654,FIND("E0",B2654))-(FIND("E0",B2654)+2)))
))),"")</f>
        <v>10</v>
      </c>
      <c r="G2654">
        <f>IFERROR(
IF(ISNUMBER(FIND("T2",B2654)),220,
IF(ISNUMBER(FIND("T4",B2654)),440,
IF(ISNUMBER(FIND("T5",B2654)),575,
IF(ISNUMBER(FIND("T6",B2654)),690,"")))),
"")</f>
        <v>440</v>
      </c>
    </row>
    <row r="2655" spans="1:7" x14ac:dyDescent="0.25">
      <c r="A2655">
        <v>12104801</v>
      </c>
      <c r="B2655" t="str">
        <f>VLOOKUP(A2655,Planilha2!B:C,2,0)</f>
        <v>INVERSOR CFW701B31P0T4DBN1C3</v>
      </c>
      <c r="C2655" t="s">
        <v>3169</v>
      </c>
      <c r="D2655" t="str">
        <f>VLOOKUP(A2655,Planilha2!B:H,7,0)</f>
        <v>OBSOLETOS DRIVES</v>
      </c>
      <c r="E2655" s="5">
        <v>11440</v>
      </c>
      <c r="F2655" t="str">
        <f>IFERROR(
IF(ISNUMBER(FIND("CFW110",B2655)),
VALUE(MID(B2655,FIND("CFW110",B2655)+6,FIND("T",B2655,FIND("CFW110",B2655))-(FIND("CFW110",B2655)+6))),
IF(ISNUMBER(FIND("D",B2655)),
VALUE(SUBSTITUTE(MID(B2655,FIND("D",B2655)+1,FIND("T",B2655,FIND("D",B2655))-(FIND("D",B2655)+1)),"P",",")),
IF(ISNUMBER(FIND("CFW5",B2655)),
VALUE(MID(B2655,
IF(ISNUMBER(FIND("F",B2655)),FIND("F",B2655)+1,FIND("G",B2655)+1),
FIND("T",B2655)-(IF(ISNUMBER(FIND("F",B2655)),FIND("F",B2655)+1,FIND("G",B2655)+1))
)),
VALUE(MID(B2655,FIND("E0",B2655)+2,FIND("T",B2655,FIND("E0",B2655))-(FIND("E0",B2655)+2)))
))),"")</f>
        <v/>
      </c>
      <c r="G2655">
        <f>IFERROR(
IF(ISNUMBER(FIND("T2",B2655)),220,
IF(ISNUMBER(FIND("T4",B2655)),440,
IF(ISNUMBER(FIND("T5",B2655)),575,
IF(ISNUMBER(FIND("T6",B2655)),690,"")))),
"")</f>
        <v>440</v>
      </c>
    </row>
    <row r="2656" spans="1:7" x14ac:dyDescent="0.25">
      <c r="A2656">
        <v>12104799</v>
      </c>
      <c r="B2656" t="str">
        <f>VLOOKUP(A2656,Planilha2!B:C,2,0)</f>
        <v>INVERSOR CFW701B24P0T4DBN1C3</v>
      </c>
      <c r="C2656" t="s">
        <v>3169</v>
      </c>
      <c r="D2656" t="str">
        <f>VLOOKUP(A2656,Planilha2!B:H,7,0)</f>
        <v>OBSOLETOS DRIVES</v>
      </c>
      <c r="E2656" s="5">
        <v>9800</v>
      </c>
      <c r="F2656" t="str">
        <f>IFERROR(
IF(ISNUMBER(FIND("CFW110",B2656)),
VALUE(MID(B2656,FIND("CFW110",B2656)+6,FIND("T",B2656,FIND("CFW110",B2656))-(FIND("CFW110",B2656)+6))),
IF(ISNUMBER(FIND("D",B2656)),
VALUE(SUBSTITUTE(MID(B2656,FIND("D",B2656)+1,FIND("T",B2656,FIND("D",B2656))-(FIND("D",B2656)+1)),"P",",")),
IF(ISNUMBER(FIND("CFW5",B2656)),
VALUE(MID(B2656,
IF(ISNUMBER(FIND("F",B2656)),FIND("F",B2656)+1,FIND("G",B2656)+1),
FIND("T",B2656)-(IF(ISNUMBER(FIND("F",B2656)),FIND("F",B2656)+1,FIND("G",B2656)+1))
)),
VALUE(MID(B2656,FIND("E0",B2656)+2,FIND("T",B2656,FIND("E0",B2656))-(FIND("E0",B2656)+2)))
))),"")</f>
        <v/>
      </c>
      <c r="G2656">
        <f>IFERROR(
IF(ISNUMBER(FIND("T2",B2656)),220,
IF(ISNUMBER(FIND("T4",B2656)),440,
IF(ISNUMBER(FIND("T5",B2656)),575,
IF(ISNUMBER(FIND("T6",B2656)),690,"")))),
"")</f>
        <v>440</v>
      </c>
    </row>
    <row r="2657" spans="1:7" x14ac:dyDescent="0.25">
      <c r="A2657">
        <v>12104734</v>
      </c>
      <c r="B2657" t="str">
        <f>VLOOKUP(A2657,Planilha2!B:C,2,0)</f>
        <v>INVERSOR CFW701B28P0T2DBN1C3</v>
      </c>
      <c r="C2657" t="s">
        <v>3169</v>
      </c>
      <c r="D2657" t="str">
        <f>VLOOKUP(A2657,Planilha2!B:H,7,0)</f>
        <v>OBSOLETOS DRIVES</v>
      </c>
      <c r="E2657" s="5">
        <v>5200</v>
      </c>
      <c r="F2657" t="str">
        <f>IFERROR(
IF(ISNUMBER(FIND("CFW110",B2657)),
VALUE(MID(B2657,FIND("CFW110",B2657)+6,FIND("T",B2657,FIND("CFW110",B2657))-(FIND("CFW110",B2657)+6))),
IF(ISNUMBER(FIND("D",B2657)),
VALUE(SUBSTITUTE(MID(B2657,FIND("D",B2657)+1,FIND("T",B2657,FIND("D",B2657))-(FIND("D",B2657)+1)),"P",",")),
IF(ISNUMBER(FIND("CFW5",B2657)),
VALUE(MID(B2657,
IF(ISNUMBER(FIND("F",B2657)),FIND("F",B2657)+1,FIND("G",B2657)+1),
FIND("T",B2657)-(IF(ISNUMBER(FIND("F",B2657)),FIND("F",B2657)+1,FIND("G",B2657)+1))
)),
VALUE(MID(B2657,FIND("E0",B2657)+2,FIND("T",B2657,FIND("E0",B2657))-(FIND("E0",B2657)+2)))
))),"")</f>
        <v/>
      </c>
      <c r="G2657">
        <f>IFERROR(
IF(ISNUMBER(FIND("T2",B2657)),220,
IF(ISNUMBER(FIND("T4",B2657)),440,
IF(ISNUMBER(FIND("T5",B2657)),575,
IF(ISNUMBER(FIND("T6",B2657)),690,"")))),
"")</f>
        <v>220</v>
      </c>
    </row>
    <row r="2658" spans="1:7" x14ac:dyDescent="0.25">
      <c r="A2658">
        <v>12793340</v>
      </c>
      <c r="B2658" t="str">
        <f>VLOOKUP(A2658,Planilha2!B:C,2,0)</f>
        <v>INVERSOR BRCFW110017T4O54FAYZ</v>
      </c>
      <c r="C2658" t="s">
        <v>3169</v>
      </c>
      <c r="D2658" t="str">
        <f>VLOOKUP(A2658,Planilha2!B:H,7,0)</f>
        <v>LINHA M3</v>
      </c>
      <c r="E2658" s="5">
        <v>15298</v>
      </c>
      <c r="F2658">
        <f>IFERROR(
IF(ISNUMBER(FIND("CFW110",B2658)),
VALUE(MID(B2658,FIND("CFW110",B2658)+6,FIND("T",B2658,FIND("CFW110",B2658))-(FIND("CFW110",B2658)+6))),
IF(ISNUMBER(FIND("D",B2658)),
VALUE(SUBSTITUTE(MID(B2658,FIND("D",B2658)+1,FIND("T",B2658,FIND("D",B2658))-(FIND("D",B2658)+1)),"P",",")),
IF(ISNUMBER(FIND("CFW5",B2658)),
VALUE(MID(B2658,
IF(ISNUMBER(FIND("F",B2658)),FIND("F",B2658)+1,FIND("G",B2658)+1),
FIND("T",B2658)-(IF(ISNUMBER(FIND("F",B2658)),FIND("F",B2658)+1,FIND("G",B2658)+1))
)),
VALUE(MID(B2658,FIND("E0",B2658)+2,FIND("T",B2658,FIND("E0",B2658))-(FIND("E0",B2658)+2)))
))),"")</f>
        <v>17</v>
      </c>
      <c r="G2658">
        <f>IFERROR(
IF(ISNUMBER(FIND("T2",B2658)),220,
IF(ISNUMBER(FIND("T4",B2658)),440,
IF(ISNUMBER(FIND("T5",B2658)),575,
IF(ISNUMBER(FIND("T6",B2658)),690,"")))),
"")</f>
        <v>440</v>
      </c>
    </row>
    <row r="2659" spans="1:7" x14ac:dyDescent="0.25">
      <c r="A2659">
        <v>12789106</v>
      </c>
      <c r="B2659" t="str">
        <f>VLOOKUP(A2659,Planilha2!B:C,2,0)</f>
        <v>INVERSOR BRCFW110033T2OWZ</v>
      </c>
      <c r="C2659" t="s">
        <v>3169</v>
      </c>
      <c r="D2659" t="str">
        <f>VLOOKUP(A2659,Planilha2!B:H,7,0)</f>
        <v>LINHA P7</v>
      </c>
      <c r="E2659" s="5">
        <v>8800</v>
      </c>
      <c r="F2659">
        <f>IFERROR(
IF(ISNUMBER(FIND("CFW110",B2659)),
VALUE(MID(B2659,FIND("CFW110",B2659)+6,FIND("T",B2659,FIND("CFW110",B2659))-(FIND("CFW110",B2659)+6))),
IF(ISNUMBER(FIND("D",B2659)),
VALUE(SUBSTITUTE(MID(B2659,FIND("D",B2659)+1,FIND("T",B2659,FIND("D",B2659))-(FIND("D",B2659)+1)),"P",",")),
IF(ISNUMBER(FIND("CFW5",B2659)),
VALUE(MID(B2659,
IF(ISNUMBER(FIND("F",B2659)),FIND("F",B2659)+1,FIND("G",B2659)+1),
FIND("T",B2659)-(IF(ISNUMBER(FIND("F",B2659)),FIND("F",B2659)+1,FIND("G",B2659)+1))
)),
VALUE(MID(B2659,FIND("E0",B2659)+2,FIND("T",B2659,FIND("E0",B2659))-(FIND("E0",B2659)+2)))
))),"")</f>
        <v>33</v>
      </c>
      <c r="G2659">
        <f>IFERROR(
IF(ISNUMBER(FIND("T2",B2659)),220,
IF(ISNUMBER(FIND("T4",B2659)),440,
IF(ISNUMBER(FIND("T5",B2659)),575,
IF(ISNUMBER(FIND("T6",B2659)),690,"")))),
"")</f>
        <v>220</v>
      </c>
    </row>
    <row r="2660" spans="1:7" x14ac:dyDescent="0.25">
      <c r="A2660">
        <v>12789128</v>
      </c>
      <c r="B2660" t="str">
        <f>VLOOKUP(A2660,Planilha2!B:C,2,0)</f>
        <v>INVERSOR BRCFW110024T2OWZ</v>
      </c>
      <c r="C2660" t="s">
        <v>3169</v>
      </c>
      <c r="D2660" t="str">
        <f>VLOOKUP(A2660,Planilha2!B:H,7,0)</f>
        <v>LINHA P7</v>
      </c>
      <c r="E2660" s="5">
        <v>8700</v>
      </c>
      <c r="F2660">
        <f>IFERROR(
IF(ISNUMBER(FIND("CFW110",B2660)),
VALUE(MID(B2660,FIND("CFW110",B2660)+6,FIND("T",B2660,FIND("CFW110",B2660))-(FIND("CFW110",B2660)+6))),
IF(ISNUMBER(FIND("D",B2660)),
VALUE(SUBSTITUTE(MID(B2660,FIND("D",B2660)+1,FIND("T",B2660,FIND("D",B2660))-(FIND("D",B2660)+1)),"P",",")),
IF(ISNUMBER(FIND("CFW5",B2660)),
VALUE(MID(B2660,
IF(ISNUMBER(FIND("F",B2660)),FIND("F",B2660)+1,FIND("G",B2660)+1),
FIND("T",B2660)-(IF(ISNUMBER(FIND("F",B2660)),FIND("F",B2660)+1,FIND("G",B2660)+1))
)),
VALUE(MID(B2660,FIND("E0",B2660)+2,FIND("T",B2660,FIND("E0",B2660))-(FIND("E0",B2660)+2)))
))),"")</f>
        <v>24</v>
      </c>
      <c r="G2660">
        <f>IFERROR(
IF(ISNUMBER(FIND("T2",B2660)),220,
IF(ISNUMBER(FIND("T4",B2660)),440,
IF(ISNUMBER(FIND("T5",B2660)),575,
IF(ISNUMBER(FIND("T6",B2660)),690,"")))),
"")</f>
        <v>220</v>
      </c>
    </row>
    <row r="2661" spans="1:7" x14ac:dyDescent="0.25">
      <c r="A2661">
        <v>12805751</v>
      </c>
      <c r="B2661" t="str">
        <f>VLOOKUP(A2661,Planilha2!B:C,2,0)</f>
        <v>INVERSOR CFW701B24P0T2DB20C3H00</v>
      </c>
      <c r="C2661" t="s">
        <v>3169</v>
      </c>
      <c r="D2661" t="str">
        <f>VLOOKUP(A2661,Planilha2!B:H,7,0)</f>
        <v>OBSOLETOS DRIVES</v>
      </c>
      <c r="E2661" s="5">
        <v>9100</v>
      </c>
      <c r="F2661" t="str">
        <f>IFERROR(
IF(ISNUMBER(FIND("CFW110",B2661)),
VALUE(MID(B2661,FIND("CFW110",B2661)+6,FIND("T",B2661,FIND("CFW110",B2661))-(FIND("CFW110",B2661)+6))),
IF(ISNUMBER(FIND("D",B2661)),
VALUE(SUBSTITUTE(MID(B2661,FIND("D",B2661)+1,FIND("T",B2661,FIND("D",B2661))-(FIND("D",B2661)+1)),"P",",")),
IF(ISNUMBER(FIND("CFW5",B2661)),
VALUE(MID(B2661,
IF(ISNUMBER(FIND("F",B2661)),FIND("F",B2661)+1,FIND("G",B2661)+1),
FIND("T",B2661)-(IF(ISNUMBER(FIND("F",B2661)),FIND("F",B2661)+1,FIND("G",B2661)+1))
)),
VALUE(MID(B2661,FIND("E0",B2661)+2,FIND("T",B2661,FIND("E0",B2661))-(FIND("E0",B2661)+2)))
))),"")</f>
        <v/>
      </c>
      <c r="G2661">
        <f>IFERROR(
IF(ISNUMBER(FIND("T2",B2661)),220,
IF(ISNUMBER(FIND("T4",B2661)),440,
IF(ISNUMBER(FIND("T5",B2661)),575,
IF(ISNUMBER(FIND("T6",B2661)),690,"")))),
"")</f>
        <v>220</v>
      </c>
    </row>
    <row r="2662" spans="1:7" x14ac:dyDescent="0.25">
      <c r="A2662">
        <v>14191180</v>
      </c>
      <c r="B2662" t="str">
        <f>VLOOKUP(A2662,Planilha2!B:C,2,0)</f>
        <v>INVERSOR CFW700B31P0T4DB20HOTSO</v>
      </c>
      <c r="C2662" t="s">
        <v>3169</v>
      </c>
      <c r="D2662" t="str">
        <f>VLOOKUP(A2662,Planilha2!B:H,7,0)</f>
        <v>LINHA P7</v>
      </c>
      <c r="E2662" s="5">
        <v>8526</v>
      </c>
      <c r="F2662" t="str">
        <f>IFERROR(
IF(ISNUMBER(FIND("CFW110",B2662)),
VALUE(MID(B2662,FIND("CFW110",B2662)+6,FIND("T",B2662,FIND("CFW110",B2662))-(FIND("CFW110",B2662)+6))),
IF(ISNUMBER(FIND("D",B2662)),
VALUE(SUBSTITUTE(MID(B2662,FIND("D",B2662)+1,FIND("T",B2662,FIND("D",B2662))-(FIND("D",B2662)+1)),"P",",")),
IF(ISNUMBER(FIND("CFW5",B2662)),
VALUE(MID(B2662,
IF(ISNUMBER(FIND("F",B2662)),FIND("F",B2662)+1,FIND("G",B2662)+1),
FIND("T",B2662)-(IF(ISNUMBER(FIND("F",B2662)),FIND("F",B2662)+1,FIND("G",B2662)+1))
)),
VALUE(MID(B2662,FIND("E0",B2662)+2,FIND("T",B2662,FIND("E0",B2662))-(FIND("E0",B2662)+2)))
))),"")</f>
        <v/>
      </c>
      <c r="G2662">
        <f>IFERROR(
IF(ISNUMBER(FIND("T2",B2662)),220,
IF(ISNUMBER(FIND("T4",B2662)),440,
IF(ISNUMBER(FIND("T5",B2662)),575,
IF(ISNUMBER(FIND("T6",B2662)),690,"")))),
"")</f>
        <v>440</v>
      </c>
    </row>
    <row r="2663" spans="1:7" x14ac:dyDescent="0.25">
      <c r="A2663">
        <v>14191127</v>
      </c>
      <c r="B2663" t="str">
        <f>VLOOKUP(A2663,Planilha2!B:C,2,0)</f>
        <v>INVERSOR CFW700C45P0T2DB20HOTSO</v>
      </c>
      <c r="C2663" t="s">
        <v>3169</v>
      </c>
      <c r="D2663" t="str">
        <f>VLOOKUP(A2663,Planilha2!B:H,7,0)</f>
        <v>LINHA M1</v>
      </c>
      <c r="E2663" s="5">
        <v>16490</v>
      </c>
      <c r="F2663" t="str">
        <f>IFERROR(
IF(ISNUMBER(FIND("CFW110",B2663)),
VALUE(MID(B2663,FIND("CFW110",B2663)+6,FIND("T",B2663,FIND("CFW110",B2663))-(FIND("CFW110",B2663)+6))),
IF(ISNUMBER(FIND("D",B2663)),
VALUE(SUBSTITUTE(MID(B2663,FIND("D",B2663)+1,FIND("T",B2663,FIND("D",B2663))-(FIND("D",B2663)+1)),"P",",")),
IF(ISNUMBER(FIND("CFW5",B2663)),
VALUE(MID(B2663,
IF(ISNUMBER(FIND("F",B2663)),FIND("F",B2663)+1,FIND("G",B2663)+1),
FIND("T",B2663)-(IF(ISNUMBER(FIND("F",B2663)),FIND("F",B2663)+1,FIND("G",B2663)+1))
)),
VALUE(MID(B2663,FIND("E0",B2663)+2,FIND("T",B2663,FIND("E0",B2663))-(FIND("E0",B2663)+2)))
))),"")</f>
        <v/>
      </c>
      <c r="G2663">
        <f>IFERROR(
IF(ISNUMBER(FIND("T2",B2663)),220,
IF(ISNUMBER(FIND("T4",B2663)),440,
IF(ISNUMBER(FIND("T5",B2663)),575,
IF(ISNUMBER(FIND("T6",B2663)),690,"")))),
"")</f>
        <v>220</v>
      </c>
    </row>
    <row r="2664" spans="1:7" x14ac:dyDescent="0.25">
      <c r="A2664">
        <v>14191125</v>
      </c>
      <c r="B2664" t="str">
        <f>VLOOKUP(A2664,Planilha2!B:C,2,0)</f>
        <v>INVERSOR CFW700B28P0T2DB20HOTSO</v>
      </c>
      <c r="C2664" t="s">
        <v>3169</v>
      </c>
      <c r="D2664" t="str">
        <f>VLOOKUP(A2664,Planilha2!B:H,7,0)</f>
        <v>LINHA P7</v>
      </c>
      <c r="E2664" s="5">
        <v>4780</v>
      </c>
      <c r="F2664" t="str">
        <f>IFERROR(
IF(ISNUMBER(FIND("CFW110",B2664)),
VALUE(MID(B2664,FIND("CFW110",B2664)+6,FIND("T",B2664,FIND("CFW110",B2664))-(FIND("CFW110",B2664)+6))),
IF(ISNUMBER(FIND("D",B2664)),
VALUE(SUBSTITUTE(MID(B2664,FIND("D",B2664)+1,FIND("T",B2664,FIND("D",B2664))-(FIND("D",B2664)+1)),"P",",")),
IF(ISNUMBER(FIND("CFW5",B2664)),
VALUE(MID(B2664,
IF(ISNUMBER(FIND("F",B2664)),FIND("F",B2664)+1,FIND("G",B2664)+1),
FIND("T",B2664)-(IF(ISNUMBER(FIND("F",B2664)),FIND("F",B2664)+1,FIND("G",B2664)+1))
)),
VALUE(MID(B2664,FIND("E0",B2664)+2,FIND("T",B2664,FIND("E0",B2664))-(FIND("E0",B2664)+2)))
))),"")</f>
        <v/>
      </c>
      <c r="G2664">
        <f>IFERROR(
IF(ISNUMBER(FIND("T2",B2664)),220,
IF(ISNUMBER(FIND("T4",B2664)),440,
IF(ISNUMBER(FIND("T5",B2664)),575,
IF(ISNUMBER(FIND("T6",B2664)),690,"")))),
"")</f>
        <v>220</v>
      </c>
    </row>
    <row r="2665" spans="1:7" x14ac:dyDescent="0.25">
      <c r="A2665">
        <v>14191178</v>
      </c>
      <c r="B2665" t="str">
        <f>VLOOKUP(A2665,Planilha2!B:C,2,0)</f>
        <v>INVERSOR CFW700B24P0T4DB20HOTSO</v>
      </c>
      <c r="C2665" t="s">
        <v>3169</v>
      </c>
      <c r="D2665" t="str">
        <f>VLOOKUP(A2665,Planilha2!B:H,7,0)</f>
        <v>LINHA P7</v>
      </c>
      <c r="E2665" s="5">
        <v>4780</v>
      </c>
      <c r="F2665" t="str">
        <f>IFERROR(
IF(ISNUMBER(FIND("CFW110",B2665)),
VALUE(MID(B2665,FIND("CFW110",B2665)+6,FIND("T",B2665,FIND("CFW110",B2665))-(FIND("CFW110",B2665)+6))),
IF(ISNUMBER(FIND("D",B2665)),
VALUE(SUBSTITUTE(MID(B2665,FIND("D",B2665)+1,FIND("T",B2665,FIND("D",B2665))-(FIND("D",B2665)+1)),"P",",")),
IF(ISNUMBER(FIND("CFW5",B2665)),
VALUE(MID(B2665,
IF(ISNUMBER(FIND("F",B2665)),FIND("F",B2665)+1,FIND("G",B2665)+1),
FIND("T",B2665)-(IF(ISNUMBER(FIND("F",B2665)),FIND("F",B2665)+1,FIND("G",B2665)+1))
)),
VALUE(MID(B2665,FIND("E0",B2665)+2,FIND("T",B2665,FIND("E0",B2665))-(FIND("E0",B2665)+2)))
))),"")</f>
        <v/>
      </c>
      <c r="G2665">
        <f>IFERROR(
IF(ISNUMBER(FIND("T2",B2665)),220,
IF(ISNUMBER(FIND("T4",B2665)),440,
IF(ISNUMBER(FIND("T5",B2665)),575,
IF(ISNUMBER(FIND("T6",B2665)),690,"")))),
"")</f>
        <v>440</v>
      </c>
    </row>
    <row r="2666" spans="1:7" x14ac:dyDescent="0.25">
      <c r="A2666">
        <v>10970691</v>
      </c>
      <c r="B2666" t="str">
        <f>VLOOKUP(A2666,Planilha2!B:C,2,0)</f>
        <v>INVERSOR BRCFW110005T4OWZ</v>
      </c>
      <c r="C2666" t="s">
        <v>3169</v>
      </c>
      <c r="D2666" t="str">
        <f>VLOOKUP(A2666,Planilha2!B:H,7,0)</f>
        <v>LINHA P5</v>
      </c>
      <c r="E2666" s="5">
        <v>6250</v>
      </c>
      <c r="F2666">
        <f>IFERROR(
IF(ISNUMBER(FIND("CFW110",B2666)),
VALUE(MID(B2666,FIND("CFW110",B2666)+6,FIND("T",B2666,FIND("CFW110",B2666))-(FIND("CFW110",B2666)+6))),
IF(ISNUMBER(FIND("D",B2666)),
VALUE(SUBSTITUTE(MID(B2666,FIND("D",B2666)+1,FIND("T",B2666,FIND("D",B2666))-(FIND("D",B2666)+1)),"P",",")),
IF(ISNUMBER(FIND("CFW5",B2666)),
VALUE(MID(B2666,
IF(ISNUMBER(FIND("F",B2666)),FIND("F",B2666)+1,FIND("G",B2666)+1),
FIND("T",B2666)-(IF(ISNUMBER(FIND("F",B2666)),FIND("F",B2666)+1,FIND("G",B2666)+1))
)),
VALUE(MID(B2666,FIND("E0",B2666)+2,FIND("T",B2666,FIND("E0",B2666))-(FIND("E0",B2666)+2)))
))),"")</f>
        <v>5</v>
      </c>
      <c r="G2666">
        <f>IFERROR(
IF(ISNUMBER(FIND("T2",B2666)),220,
IF(ISNUMBER(FIND("T4",B2666)),440,
IF(ISNUMBER(FIND("T5",B2666)),575,
IF(ISNUMBER(FIND("T6",B2666)),690,"")))),
"")</f>
        <v>440</v>
      </c>
    </row>
    <row r="2667" spans="1:7" x14ac:dyDescent="0.25">
      <c r="A2667">
        <v>11571503</v>
      </c>
      <c r="B2667" t="str">
        <f>VLOOKUP(A2667,Planilha2!B:C,2,0)</f>
        <v>INVERSOR BCCFW110031T4OHESEZ</v>
      </c>
      <c r="C2667" t="s">
        <v>3169</v>
      </c>
      <c r="D2667" t="str">
        <f>VLOOKUP(A2667,Planilha2!B:H,7,0)</f>
        <v>LINHA P7</v>
      </c>
      <c r="E2667" s="5">
        <v>9100</v>
      </c>
      <c r="F2667">
        <f>IFERROR(
IF(ISNUMBER(FIND("CFW110",B2667)),
VALUE(MID(B2667,FIND("CFW110",B2667)+6,FIND("T",B2667,FIND("CFW110",B2667))-(FIND("CFW110",B2667)+6))),
IF(ISNUMBER(FIND("D",B2667)),
VALUE(SUBSTITUTE(MID(B2667,FIND("D",B2667)+1,FIND("T",B2667,FIND("D",B2667))-(FIND("D",B2667)+1)),"P",",")),
IF(ISNUMBER(FIND("CFW5",B2667)),
VALUE(MID(B2667,
IF(ISNUMBER(FIND("F",B2667)),FIND("F",B2667)+1,FIND("G",B2667)+1),
FIND("T",B2667)-(IF(ISNUMBER(FIND("F",B2667)),FIND("F",B2667)+1,FIND("G",B2667)+1))
)),
VALUE(MID(B2667,FIND("E0",B2667)+2,FIND("T",B2667,FIND("E0",B2667))-(FIND("E0",B2667)+2)))
))),"")</f>
        <v>31</v>
      </c>
      <c r="G2667">
        <f>IFERROR(
IF(ISNUMBER(FIND("T2",B2667)),220,
IF(ISNUMBER(FIND("T4",B2667)),440,
IF(ISNUMBER(FIND("T5",B2667)),575,
IF(ISNUMBER(FIND("T6",B2667)),690,"")))),
"")</f>
        <v>440</v>
      </c>
    </row>
    <row r="2668" spans="1:7" x14ac:dyDescent="0.25">
      <c r="A2668">
        <v>11597543</v>
      </c>
      <c r="B2668" t="str">
        <f>VLOOKUP(A2668,Planilha2!B:C,2,0)</f>
        <v>INVERSOR BCCFW110017T4OHESEZ</v>
      </c>
      <c r="C2668" t="s">
        <v>3169</v>
      </c>
      <c r="D2668" t="str">
        <f>VLOOKUP(A2668,Planilha2!B:H,7,0)</f>
        <v>LINHA P7</v>
      </c>
      <c r="E2668" s="5">
        <v>9100</v>
      </c>
      <c r="F2668">
        <f>IFERROR(
IF(ISNUMBER(FIND("CFW110",B2668)),
VALUE(MID(B2668,FIND("CFW110",B2668)+6,FIND("T",B2668,FIND("CFW110",B2668))-(FIND("CFW110",B2668)+6))),
IF(ISNUMBER(FIND("D",B2668)),
VALUE(SUBSTITUTE(MID(B2668,FIND("D",B2668)+1,FIND("T",B2668,FIND("D",B2668))-(FIND("D",B2668)+1)),"P",",")),
IF(ISNUMBER(FIND("CFW5",B2668)),
VALUE(MID(B2668,
IF(ISNUMBER(FIND("F",B2668)),FIND("F",B2668)+1,FIND("G",B2668)+1),
FIND("T",B2668)-(IF(ISNUMBER(FIND("F",B2668)),FIND("F",B2668)+1,FIND("G",B2668)+1))
)),
VALUE(MID(B2668,FIND("E0",B2668)+2,FIND("T",B2668,FIND("E0",B2668))-(FIND("E0",B2668)+2)))
))),"")</f>
        <v>17</v>
      </c>
      <c r="G2668">
        <f>IFERROR(
IF(ISNUMBER(FIND("T2",B2668)),220,
IF(ISNUMBER(FIND("T4",B2668)),440,
IF(ISNUMBER(FIND("T5",B2668)),575,
IF(ISNUMBER(FIND("T6",B2668)),690,"")))),
"")</f>
        <v>440</v>
      </c>
    </row>
    <row r="2669" spans="1:7" x14ac:dyDescent="0.25">
      <c r="A2669">
        <v>11597544</v>
      </c>
      <c r="B2669" t="str">
        <f>VLOOKUP(A2669,Planilha2!B:C,2,0)</f>
        <v>INVERSOR BCCFW110024T4OHESEZ</v>
      </c>
      <c r="C2669" t="s">
        <v>3169</v>
      </c>
      <c r="D2669" t="str">
        <f>VLOOKUP(A2669,Planilha2!B:H,7,0)</f>
        <v>LINHA P7</v>
      </c>
      <c r="E2669" s="5">
        <v>9100</v>
      </c>
      <c r="F2669">
        <f>IFERROR(
IF(ISNUMBER(FIND("CFW110",B2669)),
VALUE(MID(B2669,FIND("CFW110",B2669)+6,FIND("T",B2669,FIND("CFW110",B2669))-(FIND("CFW110",B2669)+6))),
IF(ISNUMBER(FIND("D",B2669)),
VALUE(SUBSTITUTE(MID(B2669,FIND("D",B2669)+1,FIND("T",B2669,FIND("D",B2669))-(FIND("D",B2669)+1)),"P",",")),
IF(ISNUMBER(FIND("CFW5",B2669)),
VALUE(MID(B2669,
IF(ISNUMBER(FIND("F",B2669)),FIND("F",B2669)+1,FIND("G",B2669)+1),
FIND("T",B2669)-(IF(ISNUMBER(FIND("F",B2669)),FIND("F",B2669)+1,FIND("G",B2669)+1))
)),
VALUE(MID(B2669,FIND("E0",B2669)+2,FIND("T",B2669,FIND("E0",B2669))-(FIND("E0",B2669)+2)))
))),"")</f>
        <v>24</v>
      </c>
      <c r="G2669">
        <f>IFERROR(
IF(ISNUMBER(FIND("T2",B2669)),220,
IF(ISNUMBER(FIND("T4",B2669)),440,
IF(ISNUMBER(FIND("T5",B2669)),575,
IF(ISNUMBER(FIND("T6",B2669)),690,"")))),
"")</f>
        <v>440</v>
      </c>
    </row>
    <row r="2670" spans="1:7" x14ac:dyDescent="0.25">
      <c r="A2670">
        <v>11624845</v>
      </c>
      <c r="B2670" t="str">
        <f>VLOOKUP(A2670,Planilha2!B:C,2,0)</f>
        <v>INVERSOR BRCFW110024T4OYZ</v>
      </c>
      <c r="C2670" t="s">
        <v>3169</v>
      </c>
      <c r="D2670" t="str">
        <f>VLOOKUP(A2670,Planilha2!B:H,7,0)</f>
        <v>LINHA P7</v>
      </c>
      <c r="E2670" s="5">
        <v>10400</v>
      </c>
      <c r="F2670">
        <f>IFERROR(
IF(ISNUMBER(FIND("CFW110",B2670)),
VALUE(MID(B2670,FIND("CFW110",B2670)+6,FIND("T",B2670,FIND("CFW110",B2670))-(FIND("CFW110",B2670)+6))),
IF(ISNUMBER(FIND("D",B2670)),
VALUE(SUBSTITUTE(MID(B2670,FIND("D",B2670)+1,FIND("T",B2670,FIND("D",B2670))-(FIND("D",B2670)+1)),"P",",")),
IF(ISNUMBER(FIND("CFW5",B2670)),
VALUE(MID(B2670,
IF(ISNUMBER(FIND("F",B2670)),FIND("F",B2670)+1,FIND("G",B2670)+1),
FIND("T",B2670)-(IF(ISNUMBER(FIND("F",B2670)),FIND("F",B2670)+1,FIND("G",B2670)+1))
)),
VALUE(MID(B2670,FIND("E0",B2670)+2,FIND("T",B2670,FIND("E0",B2670))-(FIND("E0",B2670)+2)))
))),"")</f>
        <v>24</v>
      </c>
      <c r="G2670">
        <f>IFERROR(
IF(ISNUMBER(FIND("T2",B2670)),220,
IF(ISNUMBER(FIND("T4",B2670)),440,
IF(ISNUMBER(FIND("T5",B2670)),575,
IF(ISNUMBER(FIND("T6",B2670)),690,"")))),
"")</f>
        <v>440</v>
      </c>
    </row>
    <row r="2671" spans="1:7" x14ac:dyDescent="0.25">
      <c r="A2671">
        <v>11624920</v>
      </c>
      <c r="B2671" t="str">
        <f>VLOOKUP(A2671,Planilha2!B:C,2,0)</f>
        <v>INVERSOR BRCFW110031T4OYZ</v>
      </c>
      <c r="C2671" t="s">
        <v>3169</v>
      </c>
      <c r="D2671" t="str">
        <f>VLOOKUP(A2671,Planilha2!B:H,7,0)</f>
        <v>LINHA P7</v>
      </c>
      <c r="E2671" s="5">
        <v>11100</v>
      </c>
      <c r="F2671">
        <f>IFERROR(
IF(ISNUMBER(FIND("CFW110",B2671)),
VALUE(MID(B2671,FIND("CFW110",B2671)+6,FIND("T",B2671,FIND("CFW110",B2671))-(FIND("CFW110",B2671)+6))),
IF(ISNUMBER(FIND("D",B2671)),
VALUE(SUBSTITUTE(MID(B2671,FIND("D",B2671)+1,FIND("T",B2671,FIND("D",B2671))-(FIND("D",B2671)+1)),"P",",")),
IF(ISNUMBER(FIND("CFW5",B2671)),
VALUE(MID(B2671,
IF(ISNUMBER(FIND("F",B2671)),FIND("F",B2671)+1,FIND("G",B2671)+1),
FIND("T",B2671)-(IF(ISNUMBER(FIND("F",B2671)),FIND("F",B2671)+1,FIND("G",B2671)+1))
)),
VALUE(MID(B2671,FIND("E0",B2671)+2,FIND("T",B2671,FIND("E0",B2671))-(FIND("E0",B2671)+2)))
))),"")</f>
        <v>31</v>
      </c>
      <c r="G2671">
        <f>IFERROR(
IF(ISNUMBER(FIND("T2",B2671)),220,
IF(ISNUMBER(FIND("T4",B2671)),440,
IF(ISNUMBER(FIND("T5",B2671)),575,
IF(ISNUMBER(FIND("T6",B2671)),690,"")))),
"")</f>
        <v>440</v>
      </c>
    </row>
    <row r="2672" spans="1:7" x14ac:dyDescent="0.25">
      <c r="A2672">
        <v>11655428</v>
      </c>
      <c r="B2672" t="str">
        <f>VLOOKUP(A2672,Planilha2!B:C,2,0)</f>
        <v>INVERSOR BRCFW110007T4OWZ</v>
      </c>
      <c r="C2672" t="s">
        <v>3169</v>
      </c>
      <c r="D2672" t="str">
        <f>VLOOKUP(A2672,Planilha2!B:H,7,0)</f>
        <v>LINHA P5</v>
      </c>
      <c r="E2672" s="5">
        <v>6600</v>
      </c>
      <c r="F2672">
        <f>IFERROR(
IF(ISNUMBER(FIND("CFW110",B2672)),
VALUE(MID(B2672,FIND("CFW110",B2672)+6,FIND("T",B2672,FIND("CFW110",B2672))-(FIND("CFW110",B2672)+6))),
IF(ISNUMBER(FIND("D",B2672)),
VALUE(SUBSTITUTE(MID(B2672,FIND("D",B2672)+1,FIND("T",B2672,FIND("D",B2672))-(FIND("D",B2672)+1)),"P",",")),
IF(ISNUMBER(FIND("CFW5",B2672)),
VALUE(MID(B2672,
IF(ISNUMBER(FIND("F",B2672)),FIND("F",B2672)+1,FIND("G",B2672)+1),
FIND("T",B2672)-(IF(ISNUMBER(FIND("F",B2672)),FIND("F",B2672)+1,FIND("G",B2672)+1))
)),
VALUE(MID(B2672,FIND("E0",B2672)+2,FIND("T",B2672,FIND("E0",B2672))-(FIND("E0",B2672)+2)))
))),"")</f>
        <v>7</v>
      </c>
      <c r="G2672">
        <f>IFERROR(
IF(ISNUMBER(FIND("T2",B2672)),220,
IF(ISNUMBER(FIND("T4",B2672)),440,
IF(ISNUMBER(FIND("T5",B2672)),575,
IF(ISNUMBER(FIND("T6",B2672)),690,"")))),
"")</f>
        <v>440</v>
      </c>
    </row>
    <row r="2673" spans="1:7" x14ac:dyDescent="0.25">
      <c r="A2673">
        <v>11659871</v>
      </c>
      <c r="B2673" t="str">
        <f>VLOOKUP(A2673,Planilha2!B:C,2,0)</f>
        <v>INVERSOR BRCFW110010T4OFAWZ</v>
      </c>
      <c r="C2673" t="s">
        <v>3169</v>
      </c>
      <c r="D2673" t="str">
        <f>VLOOKUP(A2673,Planilha2!B:H,7,0)</f>
        <v>LINHA P5</v>
      </c>
      <c r="E2673" s="5">
        <v>6801</v>
      </c>
      <c r="F2673">
        <f>IFERROR(
IF(ISNUMBER(FIND("CFW110",B2673)),
VALUE(MID(B2673,FIND("CFW110",B2673)+6,FIND("T",B2673,FIND("CFW110",B2673))-(FIND("CFW110",B2673)+6))),
IF(ISNUMBER(FIND("D",B2673)),
VALUE(SUBSTITUTE(MID(B2673,FIND("D",B2673)+1,FIND("T",B2673,FIND("D",B2673))-(FIND("D",B2673)+1)),"P",",")),
IF(ISNUMBER(FIND("CFW5",B2673)),
VALUE(MID(B2673,
IF(ISNUMBER(FIND("F",B2673)),FIND("F",B2673)+1,FIND("G",B2673)+1),
FIND("T",B2673)-(IF(ISNUMBER(FIND("F",B2673)),FIND("F",B2673)+1,FIND("G",B2673)+1))
)),
VALUE(MID(B2673,FIND("E0",B2673)+2,FIND("T",B2673,FIND("E0",B2673))-(FIND("E0",B2673)+2)))
))),"")</f>
        <v>10</v>
      </c>
      <c r="G2673">
        <f>IFERROR(
IF(ISNUMBER(FIND("T2",B2673)),220,
IF(ISNUMBER(FIND("T4",B2673)),440,
IF(ISNUMBER(FIND("T5",B2673)),575,
IF(ISNUMBER(FIND("T6",B2673)),690,"")))),
"")</f>
        <v>440</v>
      </c>
    </row>
    <row r="2674" spans="1:7" x14ac:dyDescent="0.25">
      <c r="A2674">
        <v>11660212</v>
      </c>
      <c r="B2674" t="str">
        <f>VLOOKUP(A2674,Planilha2!B:C,2,0)</f>
        <v>INVERSOR BRCFW110003T4OFAWZ</v>
      </c>
      <c r="C2674" t="s">
        <v>3169</v>
      </c>
      <c r="D2674" t="str">
        <f>VLOOKUP(A2674,Planilha2!B:H,7,0)</f>
        <v>LINHA P5</v>
      </c>
      <c r="E2674" s="5">
        <v>9247</v>
      </c>
      <c r="F2674">
        <f>IFERROR(
IF(ISNUMBER(FIND("CFW110",B2674)),
VALUE(MID(B2674,FIND("CFW110",B2674)+6,FIND("T",B2674,FIND("CFW110",B2674))-(FIND("CFW110",B2674)+6))),
IF(ISNUMBER(FIND("D",B2674)),
VALUE(SUBSTITUTE(MID(B2674,FIND("D",B2674)+1,FIND("T",B2674,FIND("D",B2674))-(FIND("D",B2674)+1)),"P",",")),
IF(ISNUMBER(FIND("CFW5",B2674)),
VALUE(MID(B2674,
IF(ISNUMBER(FIND("F",B2674)),FIND("F",B2674)+1,FIND("G",B2674)+1),
FIND("T",B2674)-(IF(ISNUMBER(FIND("F",B2674)),FIND("F",B2674)+1,FIND("G",B2674)+1))
)),
VALUE(MID(B2674,FIND("E0",B2674)+2,FIND("T",B2674,FIND("E0",B2674))-(FIND("E0",B2674)+2)))
))),"")</f>
        <v>3</v>
      </c>
      <c r="G2674">
        <f>IFERROR(
IF(ISNUMBER(FIND("T2",B2674)),220,
IF(ISNUMBER(FIND("T4",B2674)),440,
IF(ISNUMBER(FIND("T5",B2674)),575,
IF(ISNUMBER(FIND("T6",B2674)),690,"")))),
"")</f>
        <v>440</v>
      </c>
    </row>
    <row r="2675" spans="1:7" x14ac:dyDescent="0.25">
      <c r="A2675">
        <v>11667020</v>
      </c>
      <c r="B2675" t="str">
        <f>VLOOKUP(A2675,Planilha2!B:C,2,0)</f>
        <v>INVERSOR BRCFW110024T4OFAWZ</v>
      </c>
      <c r="C2675" t="s">
        <v>3169</v>
      </c>
      <c r="D2675" t="str">
        <f>VLOOKUP(A2675,Planilha2!B:H,7,0)</f>
        <v>LINHA P7</v>
      </c>
      <c r="E2675" s="5">
        <v>10401</v>
      </c>
      <c r="F2675">
        <f>IFERROR(
IF(ISNUMBER(FIND("CFW110",B2675)),
VALUE(MID(B2675,FIND("CFW110",B2675)+6,FIND("T",B2675,FIND("CFW110",B2675))-(FIND("CFW110",B2675)+6))),
IF(ISNUMBER(FIND("D",B2675)),
VALUE(SUBSTITUTE(MID(B2675,FIND("D",B2675)+1,FIND("T",B2675,FIND("D",B2675))-(FIND("D",B2675)+1)),"P",",")),
IF(ISNUMBER(FIND("CFW5",B2675)),
VALUE(MID(B2675,
IF(ISNUMBER(FIND("F",B2675)),FIND("F",B2675)+1,FIND("G",B2675)+1),
FIND("T",B2675)-(IF(ISNUMBER(FIND("F",B2675)),FIND("F",B2675)+1,FIND("G",B2675)+1))
)),
VALUE(MID(B2675,FIND("E0",B2675)+2,FIND("T",B2675,FIND("E0",B2675))-(FIND("E0",B2675)+2)))
))),"")</f>
        <v>24</v>
      </c>
      <c r="G2675">
        <f>IFERROR(
IF(ISNUMBER(FIND("T2",B2675)),220,
IF(ISNUMBER(FIND("T4",B2675)),440,
IF(ISNUMBER(FIND("T5",B2675)),575,
IF(ISNUMBER(FIND("T6",B2675)),690,"")))),
"")</f>
        <v>440</v>
      </c>
    </row>
    <row r="2676" spans="1:7" x14ac:dyDescent="0.25">
      <c r="A2676">
        <v>11380819</v>
      </c>
      <c r="B2676" t="str">
        <f>VLOOKUP(A2676,Planilha2!B:C,2,0)</f>
        <v>INVERSOR EUCFW110003T4OFAWZ</v>
      </c>
      <c r="C2676" t="s">
        <v>3169</v>
      </c>
      <c r="D2676" t="str">
        <f>VLOOKUP(A2676,Planilha2!B:H,7,0)</f>
        <v>LINHA P5</v>
      </c>
      <c r="E2676" s="5">
        <v>4500</v>
      </c>
      <c r="F2676">
        <f>IFERROR(
IF(ISNUMBER(FIND("CFW110",B2676)),
VALUE(MID(B2676,FIND("CFW110",B2676)+6,FIND("T",B2676,FIND("CFW110",B2676))-(FIND("CFW110",B2676)+6))),
IF(ISNUMBER(FIND("D",B2676)),
VALUE(SUBSTITUTE(MID(B2676,FIND("D",B2676)+1,FIND("T",B2676,FIND("D",B2676))-(FIND("D",B2676)+1)),"P",",")),
IF(ISNUMBER(FIND("CFW5",B2676)),
VALUE(MID(B2676,
IF(ISNUMBER(FIND("F",B2676)),FIND("F",B2676)+1,FIND("G",B2676)+1),
FIND("T",B2676)-(IF(ISNUMBER(FIND("F",B2676)),FIND("F",B2676)+1,FIND("G",B2676)+1))
)),
VALUE(MID(B2676,FIND("E0",B2676)+2,FIND("T",B2676,FIND("E0",B2676))-(FIND("E0",B2676)+2)))
))),"")</f>
        <v>3</v>
      </c>
      <c r="G2676">
        <f>IFERROR(
IF(ISNUMBER(FIND("T2",B2676)),220,
IF(ISNUMBER(FIND("T4",B2676)),440,
IF(ISNUMBER(FIND("T5",B2676)),575,
IF(ISNUMBER(FIND("T6",B2676)),690,"")))),
"")</f>
        <v>440</v>
      </c>
    </row>
    <row r="2677" spans="1:7" x14ac:dyDescent="0.25">
      <c r="A2677">
        <v>11187498</v>
      </c>
      <c r="B2677" t="str">
        <f>VLOOKUP(A2677,Planilha2!B:C,2,0)</f>
        <v>INVERSOR EUCFW110002B2O54Z</v>
      </c>
      <c r="C2677" t="s">
        <v>3169</v>
      </c>
      <c r="D2677" t="str">
        <f>VLOOKUP(A2677,Planilha2!B:H,7,0)</f>
        <v>LINHA M1</v>
      </c>
      <c r="E2677" s="5">
        <v>5000</v>
      </c>
      <c r="F2677" t="str">
        <f>IFERROR(
IF(ISNUMBER(FIND("CFW110",B2677)),
VALUE(MID(B2677,FIND("CFW110",B2677)+6,FIND("T",B2677,FIND("CFW110",B2677))-(FIND("CFW110",B2677)+6))),
IF(ISNUMBER(FIND("D",B2677)),
VALUE(SUBSTITUTE(MID(B2677,FIND("D",B2677)+1,FIND("T",B2677,FIND("D",B2677))-(FIND("D",B2677)+1)),"P",",")),
IF(ISNUMBER(FIND("CFW5",B2677)),
VALUE(MID(B2677,
IF(ISNUMBER(FIND("F",B2677)),FIND("F",B2677)+1,FIND("G",B2677)+1),
FIND("T",B2677)-(IF(ISNUMBER(FIND("F",B2677)),FIND("F",B2677)+1,FIND("G",B2677)+1))
)),
VALUE(MID(B2677,FIND("E0",B2677)+2,FIND("T",B2677,FIND("E0",B2677))-(FIND("E0",B2677)+2)))
))),"")</f>
        <v/>
      </c>
      <c r="G2677" t="str">
        <f>IFERROR(
IF(ISNUMBER(FIND("T2",B2677)),220,
IF(ISNUMBER(FIND("T4",B2677)),440,
IF(ISNUMBER(FIND("T5",B2677)),575,
IF(ISNUMBER(FIND("T6",B2677)),690,"")))),
"")</f>
        <v/>
      </c>
    </row>
    <row r="2678" spans="1:7" x14ac:dyDescent="0.25">
      <c r="A2678">
        <v>11135784</v>
      </c>
      <c r="B2678" t="str">
        <f>VLOOKUP(A2678,Planilha2!B:C,2,0)</f>
        <v>INVERSOR EUCFW110031T4OFAYZ</v>
      </c>
      <c r="C2678" t="s">
        <v>3169</v>
      </c>
      <c r="D2678" t="str">
        <f>VLOOKUP(A2678,Planilha2!B:H,7,0)</f>
        <v>LINHA P7</v>
      </c>
      <c r="E2678" s="5">
        <v>9100</v>
      </c>
      <c r="F2678">
        <f>IFERROR(
IF(ISNUMBER(FIND("CFW110",B2678)),
VALUE(MID(B2678,FIND("CFW110",B2678)+6,FIND("T",B2678,FIND("CFW110",B2678))-(FIND("CFW110",B2678)+6))),
IF(ISNUMBER(FIND("D",B2678)),
VALUE(SUBSTITUTE(MID(B2678,FIND("D",B2678)+1,FIND("T",B2678,FIND("D",B2678))-(FIND("D",B2678)+1)),"P",",")),
IF(ISNUMBER(FIND("CFW5",B2678)),
VALUE(MID(B2678,
IF(ISNUMBER(FIND("F",B2678)),FIND("F",B2678)+1,FIND("G",B2678)+1),
FIND("T",B2678)-(IF(ISNUMBER(FIND("F",B2678)),FIND("F",B2678)+1,FIND("G",B2678)+1))
)),
VALUE(MID(B2678,FIND("E0",B2678)+2,FIND("T",B2678,FIND("E0",B2678))-(FIND("E0",B2678)+2)))
))),"")</f>
        <v>31</v>
      </c>
      <c r="G2678">
        <f>IFERROR(
IF(ISNUMBER(FIND("T2",B2678)),220,
IF(ISNUMBER(FIND("T4",B2678)),440,
IF(ISNUMBER(FIND("T5",B2678)),575,
IF(ISNUMBER(FIND("T6",B2678)),690,"")))),
"")</f>
        <v>440</v>
      </c>
    </row>
    <row r="2679" spans="1:7" x14ac:dyDescent="0.25">
      <c r="A2679">
        <v>11037026</v>
      </c>
      <c r="B2679" t="str">
        <f>VLOOKUP(A2679,Planilha2!B:C,2,0)</f>
        <v>INVERSOR BRCFW110003T4OYZ</v>
      </c>
      <c r="C2679" t="s">
        <v>3169</v>
      </c>
      <c r="D2679" t="str">
        <f>VLOOKUP(A2679,Planilha2!B:H,7,0)</f>
        <v>LINHA P5</v>
      </c>
      <c r="E2679" s="5">
        <v>4500</v>
      </c>
      <c r="F2679">
        <f>IFERROR(
IF(ISNUMBER(FIND("CFW110",B2679)),
VALUE(MID(B2679,FIND("CFW110",B2679)+6,FIND("T",B2679,FIND("CFW110",B2679))-(FIND("CFW110",B2679)+6))),
IF(ISNUMBER(FIND("D",B2679)),
VALUE(SUBSTITUTE(MID(B2679,FIND("D",B2679)+1,FIND("T",B2679,FIND("D",B2679))-(FIND("D",B2679)+1)),"P",",")),
IF(ISNUMBER(FIND("CFW5",B2679)),
VALUE(MID(B2679,
IF(ISNUMBER(FIND("F",B2679)),FIND("F",B2679)+1,FIND("G",B2679)+1),
FIND("T",B2679)-(IF(ISNUMBER(FIND("F",B2679)),FIND("F",B2679)+1,FIND("G",B2679)+1))
)),
VALUE(MID(B2679,FIND("E0",B2679)+2,FIND("T",B2679,FIND("E0",B2679))-(FIND("E0",B2679)+2)))
))),"")</f>
        <v>3</v>
      </c>
      <c r="G2679">
        <f>IFERROR(
IF(ISNUMBER(FIND("T2",B2679)),220,
IF(ISNUMBER(FIND("T4",B2679)),440,
IF(ISNUMBER(FIND("T5",B2679)),575,
IF(ISNUMBER(FIND("T6",B2679)),690,"")))),
"")</f>
        <v>440</v>
      </c>
    </row>
    <row r="2680" spans="1:7" x14ac:dyDescent="0.25">
      <c r="A2680">
        <v>11088994</v>
      </c>
      <c r="B2680" t="str">
        <f>VLOOKUP(A2680,Planilha2!B:C,2,0)</f>
        <v>INVERSOR BRCFW110003T4OWZ</v>
      </c>
      <c r="C2680" t="s">
        <v>3169</v>
      </c>
      <c r="D2680" t="str">
        <f>VLOOKUP(A2680,Planilha2!B:H,7,0)</f>
        <v>LINHA P5</v>
      </c>
      <c r="E2680" s="5">
        <v>4500</v>
      </c>
      <c r="F2680">
        <f>IFERROR(
IF(ISNUMBER(FIND("CFW110",B2680)),
VALUE(MID(B2680,FIND("CFW110",B2680)+6,FIND("T",B2680,FIND("CFW110",B2680))-(FIND("CFW110",B2680)+6))),
IF(ISNUMBER(FIND("D",B2680)),
VALUE(SUBSTITUTE(MID(B2680,FIND("D",B2680)+1,FIND("T",B2680,FIND("D",B2680))-(FIND("D",B2680)+1)),"P",",")),
IF(ISNUMBER(FIND("CFW5",B2680)),
VALUE(MID(B2680,
IF(ISNUMBER(FIND("F",B2680)),FIND("F",B2680)+1,FIND("G",B2680)+1),
FIND("T",B2680)-(IF(ISNUMBER(FIND("F",B2680)),FIND("F",B2680)+1,FIND("G",B2680)+1))
)),
VALUE(MID(B2680,FIND("E0",B2680)+2,FIND("T",B2680,FIND("E0",B2680))-(FIND("E0",B2680)+2)))
))),"")</f>
        <v>3</v>
      </c>
      <c r="G2680">
        <f>IFERROR(
IF(ISNUMBER(FIND("T2",B2680)),220,
IF(ISNUMBER(FIND("T4",B2680)),440,
IF(ISNUMBER(FIND("T5",B2680)),575,
IF(ISNUMBER(FIND("T6",B2680)),690,"")))),
"")</f>
        <v>440</v>
      </c>
    </row>
    <row r="2681" spans="1:7" x14ac:dyDescent="0.25">
      <c r="A2681">
        <v>11089239</v>
      </c>
      <c r="B2681" t="str">
        <f>VLOOKUP(A2681,Planilha2!B:C,2,0)</f>
        <v>INVERSOR BRCFW110010T4OWZ</v>
      </c>
      <c r="C2681" t="s">
        <v>3169</v>
      </c>
      <c r="D2681" t="str">
        <f>VLOOKUP(A2681,Planilha2!B:H,7,0)</f>
        <v>LINHA P5</v>
      </c>
      <c r="E2681" s="5">
        <v>4500</v>
      </c>
      <c r="F2681">
        <f>IFERROR(
IF(ISNUMBER(FIND("CFW110",B2681)),
VALUE(MID(B2681,FIND("CFW110",B2681)+6,FIND("T",B2681,FIND("CFW110",B2681))-(FIND("CFW110",B2681)+6))),
IF(ISNUMBER(FIND("D",B2681)),
VALUE(SUBSTITUTE(MID(B2681,FIND("D",B2681)+1,FIND("T",B2681,FIND("D",B2681))-(FIND("D",B2681)+1)),"P",",")),
IF(ISNUMBER(FIND("CFW5",B2681)),
VALUE(MID(B2681,
IF(ISNUMBER(FIND("F",B2681)),FIND("F",B2681)+1,FIND("G",B2681)+1),
FIND("T",B2681)-(IF(ISNUMBER(FIND("F",B2681)),FIND("F",B2681)+1,FIND("G",B2681)+1))
)),
VALUE(MID(B2681,FIND("E0",B2681)+2,FIND("T",B2681,FIND("E0",B2681))-(FIND("E0",B2681)+2)))
))),"")</f>
        <v>10</v>
      </c>
      <c r="G2681">
        <f>IFERROR(
IF(ISNUMBER(FIND("T2",B2681)),220,
IF(ISNUMBER(FIND("T4",B2681)),440,
IF(ISNUMBER(FIND("T5",B2681)),575,
IF(ISNUMBER(FIND("T6",B2681)),690,"")))),
"")</f>
        <v>440</v>
      </c>
    </row>
    <row r="2682" spans="1:7" x14ac:dyDescent="0.25">
      <c r="A2682">
        <v>11089244</v>
      </c>
      <c r="B2682" t="str">
        <f>VLOOKUP(A2682,Planilha2!B:C,2,0)</f>
        <v>INVERSOR BRCFW110013T4OWZ</v>
      </c>
      <c r="C2682" t="s">
        <v>3169</v>
      </c>
      <c r="D2682" t="str">
        <f>VLOOKUP(A2682,Planilha2!B:H,7,0)</f>
        <v>LINHA P5</v>
      </c>
      <c r="E2682" s="5">
        <v>4500</v>
      </c>
      <c r="F2682">
        <f>IFERROR(
IF(ISNUMBER(FIND("CFW110",B2682)),
VALUE(MID(B2682,FIND("CFW110",B2682)+6,FIND("T",B2682,FIND("CFW110",B2682))-(FIND("CFW110",B2682)+6))),
IF(ISNUMBER(FIND("D",B2682)),
VALUE(SUBSTITUTE(MID(B2682,FIND("D",B2682)+1,FIND("T",B2682,FIND("D",B2682))-(FIND("D",B2682)+1)),"P",",")),
IF(ISNUMBER(FIND("CFW5",B2682)),
VALUE(MID(B2682,
IF(ISNUMBER(FIND("F",B2682)),FIND("F",B2682)+1,FIND("G",B2682)+1),
FIND("T",B2682)-(IF(ISNUMBER(FIND("F",B2682)),FIND("F",B2682)+1,FIND("G",B2682)+1))
)),
VALUE(MID(B2682,FIND("E0",B2682)+2,FIND("T",B2682,FIND("E0",B2682))-(FIND("E0",B2682)+2)))
))),"")</f>
        <v>13</v>
      </c>
      <c r="G2682">
        <f>IFERROR(
IF(ISNUMBER(FIND("T2",B2682)),220,
IF(ISNUMBER(FIND("T4",B2682)),440,
IF(ISNUMBER(FIND("T5",B2682)),575,
IF(ISNUMBER(FIND("T6",B2682)),690,"")))),
"")</f>
        <v>440</v>
      </c>
    </row>
    <row r="2683" spans="1:7" x14ac:dyDescent="0.25">
      <c r="A2683">
        <v>11089260</v>
      </c>
      <c r="B2683" t="str">
        <f>VLOOKUP(A2683,Planilha2!B:C,2,0)</f>
        <v>INVERSOR BRCFW110017T4OWZ</v>
      </c>
      <c r="C2683" t="s">
        <v>3169</v>
      </c>
      <c r="D2683" t="str">
        <f>VLOOKUP(A2683,Planilha2!B:H,7,0)</f>
        <v>LINHA P7</v>
      </c>
      <c r="E2683" s="5">
        <v>11940</v>
      </c>
      <c r="F2683">
        <f>IFERROR(
IF(ISNUMBER(FIND("CFW110",B2683)),
VALUE(MID(B2683,FIND("CFW110",B2683)+6,FIND("T",B2683,FIND("CFW110",B2683))-(FIND("CFW110",B2683)+6))),
IF(ISNUMBER(FIND("D",B2683)),
VALUE(SUBSTITUTE(MID(B2683,FIND("D",B2683)+1,FIND("T",B2683,FIND("D",B2683))-(FIND("D",B2683)+1)),"P",",")),
IF(ISNUMBER(FIND("CFW5",B2683)),
VALUE(MID(B2683,
IF(ISNUMBER(FIND("F",B2683)),FIND("F",B2683)+1,FIND("G",B2683)+1),
FIND("T",B2683)-(IF(ISNUMBER(FIND("F",B2683)),FIND("F",B2683)+1,FIND("G",B2683)+1))
)),
VALUE(MID(B2683,FIND("E0",B2683)+2,FIND("T",B2683,FIND("E0",B2683))-(FIND("E0",B2683)+2)))
))),"")</f>
        <v>17</v>
      </c>
      <c r="G2683">
        <f>IFERROR(
IF(ISNUMBER(FIND("T2",B2683)),220,
IF(ISNUMBER(FIND("T4",B2683)),440,
IF(ISNUMBER(FIND("T5",B2683)),575,
IF(ISNUMBER(FIND("T6",B2683)),690,"")))),
"")</f>
        <v>440</v>
      </c>
    </row>
    <row r="2684" spans="1:7" x14ac:dyDescent="0.25">
      <c r="A2684">
        <v>11289121</v>
      </c>
      <c r="B2684" t="str">
        <f>VLOOKUP(A2684,Planilha2!B:C,2,0)</f>
        <v>INVERSOR EUCFW110010T4OFAYZ</v>
      </c>
      <c r="C2684" t="s">
        <v>3169</v>
      </c>
      <c r="D2684" t="str">
        <f>VLOOKUP(A2684,Planilha2!B:H,7,0)</f>
        <v>LINHA P5</v>
      </c>
      <c r="E2684" s="5">
        <v>4500</v>
      </c>
      <c r="F2684">
        <f>IFERROR(
IF(ISNUMBER(FIND("CFW110",B2684)),
VALUE(MID(B2684,FIND("CFW110",B2684)+6,FIND("T",B2684,FIND("CFW110",B2684))-(FIND("CFW110",B2684)+6))),
IF(ISNUMBER(FIND("D",B2684)),
VALUE(SUBSTITUTE(MID(B2684,FIND("D",B2684)+1,FIND("T",B2684,FIND("D",B2684))-(FIND("D",B2684)+1)),"P",",")),
IF(ISNUMBER(FIND("CFW5",B2684)),
VALUE(MID(B2684,
IF(ISNUMBER(FIND("F",B2684)),FIND("F",B2684)+1,FIND("G",B2684)+1),
FIND("T",B2684)-(IF(ISNUMBER(FIND("F",B2684)),FIND("F",B2684)+1,FIND("G",B2684)+1))
)),
VALUE(MID(B2684,FIND("E0",B2684)+2,FIND("T",B2684,FIND("E0",B2684))-(FIND("E0",B2684)+2)))
))),"")</f>
        <v>10</v>
      </c>
      <c r="G2684">
        <f>IFERROR(
IF(ISNUMBER(FIND("T2",B2684)),220,
IF(ISNUMBER(FIND("T4",B2684)),440,
IF(ISNUMBER(FIND("T5",B2684)),575,
IF(ISNUMBER(FIND("T6",B2684)),690,"")))),
"")</f>
        <v>440</v>
      </c>
    </row>
    <row r="2685" spans="1:7" x14ac:dyDescent="0.25">
      <c r="A2685">
        <v>11291529</v>
      </c>
      <c r="B2685" t="str">
        <f>VLOOKUP(A2685,Planilha2!B:C,2,0)</f>
        <v>INVERSOR EUCFW110003T4OFAYZ</v>
      </c>
      <c r="C2685" t="s">
        <v>3169</v>
      </c>
      <c r="D2685" t="str">
        <f>VLOOKUP(A2685,Planilha2!B:H,7,0)</f>
        <v>LINHA P5</v>
      </c>
      <c r="E2685" s="5">
        <v>6800</v>
      </c>
      <c r="F2685">
        <f>IFERROR(
IF(ISNUMBER(FIND("CFW110",B2685)),
VALUE(MID(B2685,FIND("CFW110",B2685)+6,FIND("T",B2685,FIND("CFW110",B2685))-(FIND("CFW110",B2685)+6))),
IF(ISNUMBER(FIND("D",B2685)),
VALUE(SUBSTITUTE(MID(B2685,FIND("D",B2685)+1,FIND("T",B2685,FIND("D",B2685))-(FIND("D",B2685)+1)),"P",",")),
IF(ISNUMBER(FIND("CFW5",B2685)),
VALUE(MID(B2685,
IF(ISNUMBER(FIND("F",B2685)),FIND("F",B2685)+1,FIND("G",B2685)+1),
FIND("T",B2685)-(IF(ISNUMBER(FIND("F",B2685)),FIND("F",B2685)+1,FIND("G",B2685)+1))
)),
VALUE(MID(B2685,FIND("E0",B2685)+2,FIND("T",B2685,FIND("E0",B2685))-(FIND("E0",B2685)+2)))
))),"")</f>
        <v>3</v>
      </c>
      <c r="G2685">
        <f>IFERROR(
IF(ISNUMBER(FIND("T2",B2685)),220,
IF(ISNUMBER(FIND("T4",B2685)),440,
IF(ISNUMBER(FIND("T5",B2685)),575,
IF(ISNUMBER(FIND("T6",B2685)),690,"")))),
"")</f>
        <v>440</v>
      </c>
    </row>
    <row r="2686" spans="1:7" x14ac:dyDescent="0.25">
      <c r="A2686">
        <v>11304849</v>
      </c>
      <c r="B2686" t="str">
        <f>VLOOKUP(A2686,Planilha2!B:C,2,0)</f>
        <v>INVERSOR EUCFW110005T4OFAYZ</v>
      </c>
      <c r="C2686" t="s">
        <v>3169</v>
      </c>
      <c r="D2686" t="str">
        <f>VLOOKUP(A2686,Planilha2!B:H,7,0)</f>
        <v>LINHA P5</v>
      </c>
      <c r="E2686" s="5">
        <v>5350</v>
      </c>
      <c r="F2686">
        <f>IFERROR(
IF(ISNUMBER(FIND("CFW110",B2686)),
VALUE(MID(B2686,FIND("CFW110",B2686)+6,FIND("T",B2686,FIND("CFW110",B2686))-(FIND("CFW110",B2686)+6))),
IF(ISNUMBER(FIND("D",B2686)),
VALUE(SUBSTITUTE(MID(B2686,FIND("D",B2686)+1,FIND("T",B2686,FIND("D",B2686))-(FIND("D",B2686)+1)),"P",",")),
IF(ISNUMBER(FIND("CFW5",B2686)),
VALUE(MID(B2686,
IF(ISNUMBER(FIND("F",B2686)),FIND("F",B2686)+1,FIND("G",B2686)+1),
FIND("T",B2686)-(IF(ISNUMBER(FIND("F",B2686)),FIND("F",B2686)+1,FIND("G",B2686)+1))
)),
VALUE(MID(B2686,FIND("E0",B2686)+2,FIND("T",B2686,FIND("E0",B2686))-(FIND("E0",B2686)+2)))
))),"")</f>
        <v>5</v>
      </c>
      <c r="G2686">
        <f>IFERROR(
IF(ISNUMBER(FIND("T2",B2686)),220,
IF(ISNUMBER(FIND("T4",B2686)),440,
IF(ISNUMBER(FIND("T5",B2686)),575,
IF(ISNUMBER(FIND("T6",B2686)),690,"")))),
"")</f>
        <v>440</v>
      </c>
    </row>
    <row r="2687" spans="1:7" x14ac:dyDescent="0.25">
      <c r="A2687">
        <v>11304857</v>
      </c>
      <c r="B2687" t="str">
        <f>VLOOKUP(A2687,Planilha2!B:C,2,0)</f>
        <v>INVERSOR EUCFW110013T4OFAYZ</v>
      </c>
      <c r="C2687" t="s">
        <v>3169</v>
      </c>
      <c r="D2687" t="str">
        <f>VLOOKUP(A2687,Planilha2!B:H,7,0)</f>
        <v>LINHA P5</v>
      </c>
      <c r="E2687" s="5">
        <v>7531</v>
      </c>
      <c r="F2687">
        <f>IFERROR(
IF(ISNUMBER(FIND("CFW110",B2687)),
VALUE(MID(B2687,FIND("CFW110",B2687)+6,FIND("T",B2687,FIND("CFW110",B2687))-(FIND("CFW110",B2687)+6))),
IF(ISNUMBER(FIND("D",B2687)),
VALUE(SUBSTITUTE(MID(B2687,FIND("D",B2687)+1,FIND("T",B2687,FIND("D",B2687))-(FIND("D",B2687)+1)),"P",",")),
IF(ISNUMBER(FIND("CFW5",B2687)),
VALUE(MID(B2687,
IF(ISNUMBER(FIND("F",B2687)),FIND("F",B2687)+1,FIND("G",B2687)+1),
FIND("T",B2687)-(IF(ISNUMBER(FIND("F",B2687)),FIND("F",B2687)+1,FIND("G",B2687)+1))
)),
VALUE(MID(B2687,FIND("E0",B2687)+2,FIND("T",B2687,FIND("E0",B2687))-(FIND("E0",B2687)+2)))
))),"")</f>
        <v>13</v>
      </c>
      <c r="G2687">
        <f>IFERROR(
IF(ISNUMBER(FIND("T2",B2687)),220,
IF(ISNUMBER(FIND("T4",B2687)),440,
IF(ISNUMBER(FIND("T5",B2687)),575,
IF(ISNUMBER(FIND("T6",B2687)),690,"")))),
"")</f>
        <v>440</v>
      </c>
    </row>
    <row r="2688" spans="1:7" x14ac:dyDescent="0.25">
      <c r="A2688">
        <v>11305022</v>
      </c>
      <c r="B2688" t="str">
        <f>VLOOKUP(A2688,Planilha2!B:C,2,0)</f>
        <v>INVERSOR EUCFW110017T4OFAYZ</v>
      </c>
      <c r="C2688" t="s">
        <v>3169</v>
      </c>
      <c r="D2688" t="str">
        <f>VLOOKUP(A2688,Planilha2!B:H,7,0)</f>
        <v>LINHA P7</v>
      </c>
      <c r="E2688" s="5">
        <v>10400</v>
      </c>
      <c r="F2688">
        <f>IFERROR(
IF(ISNUMBER(FIND("CFW110",B2688)),
VALUE(MID(B2688,FIND("CFW110",B2688)+6,FIND("T",B2688,FIND("CFW110",B2688))-(FIND("CFW110",B2688)+6))),
IF(ISNUMBER(FIND("D",B2688)),
VALUE(SUBSTITUTE(MID(B2688,FIND("D",B2688)+1,FIND("T",B2688,FIND("D",B2688))-(FIND("D",B2688)+1)),"P",",")),
IF(ISNUMBER(FIND("CFW5",B2688)),
VALUE(MID(B2688,
IF(ISNUMBER(FIND("F",B2688)),FIND("F",B2688)+1,FIND("G",B2688)+1),
FIND("T",B2688)-(IF(ISNUMBER(FIND("F",B2688)),FIND("F",B2688)+1,FIND("G",B2688)+1))
)),
VALUE(MID(B2688,FIND("E0",B2688)+2,FIND("T",B2688,FIND("E0",B2688))-(FIND("E0",B2688)+2)))
))),"")</f>
        <v>17</v>
      </c>
      <c r="G2688">
        <f>IFERROR(
IF(ISNUMBER(FIND("T2",B2688)),220,
IF(ISNUMBER(FIND("T4",B2688)),440,
IF(ISNUMBER(FIND("T5",B2688)),575,
IF(ISNUMBER(FIND("T6",B2688)),690,"")))),
"")</f>
        <v>440</v>
      </c>
    </row>
    <row r="2689" spans="1:7" x14ac:dyDescent="0.25">
      <c r="A2689">
        <v>11305191</v>
      </c>
      <c r="B2689" t="str">
        <f>VLOOKUP(A2689,Planilha2!B:C,2,0)</f>
        <v>INVERSOR EUCFW110024T4OFAYZ</v>
      </c>
      <c r="C2689" t="s">
        <v>3169</v>
      </c>
      <c r="D2689" t="str">
        <f>VLOOKUP(A2689,Planilha2!B:H,7,0)</f>
        <v>LINHA P7</v>
      </c>
      <c r="E2689" s="5">
        <v>10400</v>
      </c>
      <c r="F2689">
        <f>IFERROR(
IF(ISNUMBER(FIND("CFW110",B2689)),
VALUE(MID(B2689,FIND("CFW110",B2689)+6,FIND("T",B2689,FIND("CFW110",B2689))-(FIND("CFW110",B2689)+6))),
IF(ISNUMBER(FIND("D",B2689)),
VALUE(SUBSTITUTE(MID(B2689,FIND("D",B2689)+1,FIND("T",B2689,FIND("D",B2689))-(FIND("D",B2689)+1)),"P",",")),
IF(ISNUMBER(FIND("CFW5",B2689)),
VALUE(MID(B2689,
IF(ISNUMBER(FIND("F",B2689)),FIND("F",B2689)+1,FIND("G",B2689)+1),
FIND("T",B2689)-(IF(ISNUMBER(FIND("F",B2689)),FIND("F",B2689)+1,FIND("G",B2689)+1))
)),
VALUE(MID(B2689,FIND("E0",B2689)+2,FIND("T",B2689,FIND("E0",B2689))-(FIND("E0",B2689)+2)))
))),"")</f>
        <v>24</v>
      </c>
      <c r="G2689">
        <f>IFERROR(
IF(ISNUMBER(FIND("T2",B2689)),220,
IF(ISNUMBER(FIND("T4",B2689)),440,
IF(ISNUMBER(FIND("T5",B2689)),575,
IF(ISNUMBER(FIND("T6",B2689)),690,"")))),
"")</f>
        <v>440</v>
      </c>
    </row>
    <row r="2690" spans="1:7" x14ac:dyDescent="0.25">
      <c r="A2690">
        <v>11200311</v>
      </c>
      <c r="B2690" t="str">
        <f>VLOOKUP(A2690,Planilha2!B:C,2,0)</f>
        <v>INVERSOR BRCFW110003T4OFAYZ</v>
      </c>
      <c r="C2690" t="s">
        <v>3169</v>
      </c>
      <c r="D2690" t="str">
        <f>VLOOKUP(A2690,Planilha2!B:H,7,0)</f>
        <v>LINHA P5</v>
      </c>
      <c r="E2690" s="5">
        <v>4500</v>
      </c>
      <c r="F2690">
        <f>IFERROR(
IF(ISNUMBER(FIND("CFW110",B2690)),
VALUE(MID(B2690,FIND("CFW110",B2690)+6,FIND("T",B2690,FIND("CFW110",B2690))-(FIND("CFW110",B2690)+6))),
IF(ISNUMBER(FIND("D",B2690)),
VALUE(SUBSTITUTE(MID(B2690,FIND("D",B2690)+1,FIND("T",B2690,FIND("D",B2690))-(FIND("D",B2690)+1)),"P",",")),
IF(ISNUMBER(FIND("CFW5",B2690)),
VALUE(MID(B2690,
IF(ISNUMBER(FIND("F",B2690)),FIND("F",B2690)+1,FIND("G",B2690)+1),
FIND("T",B2690)-(IF(ISNUMBER(FIND("F",B2690)),FIND("F",B2690)+1,FIND("G",B2690)+1))
)),
VALUE(MID(B2690,FIND("E0",B2690)+2,FIND("T",B2690,FIND("E0",B2690))-(FIND("E0",B2690)+2)))
))),"")</f>
        <v>3</v>
      </c>
      <c r="G2690">
        <f>IFERROR(
IF(ISNUMBER(FIND("T2",B2690)),220,
IF(ISNUMBER(FIND("T4",B2690)),440,
IF(ISNUMBER(FIND("T5",B2690)),575,
IF(ISNUMBER(FIND("T6",B2690)),690,"")))),
"")</f>
        <v>440</v>
      </c>
    </row>
    <row r="2691" spans="1:7" x14ac:dyDescent="0.25">
      <c r="A2691">
        <v>11200315</v>
      </c>
      <c r="B2691" t="str">
        <f>VLOOKUP(A2691,Planilha2!B:C,2,0)</f>
        <v>INVERSOR BRCFW110005T4OFAYZ</v>
      </c>
      <c r="C2691" t="s">
        <v>3169</v>
      </c>
      <c r="D2691" t="str">
        <f>VLOOKUP(A2691,Planilha2!B:H,7,0)</f>
        <v>LINHA P5</v>
      </c>
      <c r="E2691" s="5">
        <v>4500</v>
      </c>
      <c r="F2691">
        <f>IFERROR(
IF(ISNUMBER(FIND("CFW110",B2691)),
VALUE(MID(B2691,FIND("CFW110",B2691)+6,FIND("T",B2691,FIND("CFW110",B2691))-(FIND("CFW110",B2691)+6))),
IF(ISNUMBER(FIND("D",B2691)),
VALUE(SUBSTITUTE(MID(B2691,FIND("D",B2691)+1,FIND("T",B2691,FIND("D",B2691))-(FIND("D",B2691)+1)),"P",",")),
IF(ISNUMBER(FIND("CFW5",B2691)),
VALUE(MID(B2691,
IF(ISNUMBER(FIND("F",B2691)),FIND("F",B2691)+1,FIND("G",B2691)+1),
FIND("T",B2691)-(IF(ISNUMBER(FIND("F",B2691)),FIND("F",B2691)+1,FIND("G",B2691)+1))
)),
VALUE(MID(B2691,FIND("E0",B2691)+2,FIND("T",B2691,FIND("E0",B2691))-(FIND("E0",B2691)+2)))
))),"")</f>
        <v>5</v>
      </c>
      <c r="G2691">
        <f>IFERROR(
IF(ISNUMBER(FIND("T2",B2691)),220,
IF(ISNUMBER(FIND("T4",B2691)),440,
IF(ISNUMBER(FIND("T5",B2691)),575,
IF(ISNUMBER(FIND("T6",B2691)),690,"")))),
"")</f>
        <v>440</v>
      </c>
    </row>
    <row r="2692" spans="1:7" x14ac:dyDescent="0.25">
      <c r="A2692">
        <v>11288932</v>
      </c>
      <c r="B2692" t="str">
        <f>VLOOKUP(A2692,Planilha2!B:C,2,0)</f>
        <v>INVERSOR EUCFW110007T4OFAYZ</v>
      </c>
      <c r="C2692" t="s">
        <v>3169</v>
      </c>
      <c r="D2692" t="str">
        <f>VLOOKUP(A2692,Planilha2!B:H,7,0)</f>
        <v>LINHA P5</v>
      </c>
      <c r="E2692" s="5">
        <v>4500</v>
      </c>
      <c r="F2692">
        <f>IFERROR(
IF(ISNUMBER(FIND("CFW110",B2692)),
VALUE(MID(B2692,FIND("CFW110",B2692)+6,FIND("T",B2692,FIND("CFW110",B2692))-(FIND("CFW110",B2692)+6))),
IF(ISNUMBER(FIND("D",B2692)),
VALUE(SUBSTITUTE(MID(B2692,FIND("D",B2692)+1,FIND("T",B2692,FIND("D",B2692))-(FIND("D",B2692)+1)),"P",",")),
IF(ISNUMBER(FIND("CFW5",B2692)),
VALUE(MID(B2692,
IF(ISNUMBER(FIND("F",B2692)),FIND("F",B2692)+1,FIND("G",B2692)+1),
FIND("T",B2692)-(IF(ISNUMBER(FIND("F",B2692)),FIND("F",B2692)+1,FIND("G",B2692)+1))
)),
VALUE(MID(B2692,FIND("E0",B2692)+2,FIND("T",B2692,FIND("E0",B2692))-(FIND("E0",B2692)+2)))
))),"")</f>
        <v>7</v>
      </c>
      <c r="G2692">
        <f>IFERROR(
IF(ISNUMBER(FIND("T2",B2692)),220,
IF(ISNUMBER(FIND("T4",B2692)),440,
IF(ISNUMBER(FIND("T5",B2692)),575,
IF(ISNUMBER(FIND("T6",B2692)),690,"")))),
"")</f>
        <v>440</v>
      </c>
    </row>
    <row r="2693" spans="1:7" x14ac:dyDescent="0.25">
      <c r="A2693">
        <v>11380859</v>
      </c>
      <c r="B2693" t="str">
        <f>VLOOKUP(A2693,Planilha2!B:C,2,0)</f>
        <v>INVERSOR EUCFW110006S2OFAYZ</v>
      </c>
      <c r="C2693" t="s">
        <v>3169</v>
      </c>
      <c r="D2693" t="str">
        <f>VLOOKUP(A2693,Planilha2!B:H,7,0)</f>
        <v>LINHA P5</v>
      </c>
      <c r="E2693" s="5">
        <v>6200</v>
      </c>
      <c r="F2693" t="str">
        <f>IFERROR(
IF(ISNUMBER(FIND("CFW110",B2693)),
VALUE(MID(B2693,FIND("CFW110",B2693)+6,FIND("T",B2693,FIND("CFW110",B2693))-(FIND("CFW110",B2693)+6))),
IF(ISNUMBER(FIND("D",B2693)),
VALUE(SUBSTITUTE(MID(B2693,FIND("D",B2693)+1,FIND("T",B2693,FIND("D",B2693))-(FIND("D",B2693)+1)),"P",",")),
IF(ISNUMBER(FIND("CFW5",B2693)),
VALUE(MID(B2693,
IF(ISNUMBER(FIND("F",B2693)),FIND("F",B2693)+1,FIND("G",B2693)+1),
FIND("T",B2693)-(IF(ISNUMBER(FIND("F",B2693)),FIND("F",B2693)+1,FIND("G",B2693)+1))
)),
VALUE(MID(B2693,FIND("E0",B2693)+2,FIND("T",B2693,FIND("E0",B2693))-(FIND("E0",B2693)+2)))
))),"")</f>
        <v/>
      </c>
      <c r="G2693" t="str">
        <f>IFERROR(
IF(ISNUMBER(FIND("T2",B2693)),220,
IF(ISNUMBER(FIND("T4",B2693)),440,
IF(ISNUMBER(FIND("T5",B2693)),575,
IF(ISNUMBER(FIND("T6",B2693)),690,"")))),
"")</f>
        <v/>
      </c>
    </row>
    <row r="2694" spans="1:7" x14ac:dyDescent="0.25">
      <c r="A2694">
        <v>11410183</v>
      </c>
      <c r="B2694" t="str">
        <f>VLOOKUP(A2694,Planilha2!B:C,2,0)</f>
        <v>INVERSOR CFW700A13P5T4DB20C3Y1</v>
      </c>
      <c r="C2694" t="s">
        <v>3169</v>
      </c>
      <c r="D2694" t="str">
        <f>VLOOKUP(A2694,Planilha2!B:H,7,0)</f>
        <v>OBSOLETOS DRIVES</v>
      </c>
      <c r="E2694" s="5">
        <v>5700</v>
      </c>
      <c r="F2694" t="str">
        <f>IFERROR(
IF(ISNUMBER(FIND("CFW110",B2694)),
VALUE(MID(B2694,FIND("CFW110",B2694)+6,FIND("T",B2694,FIND("CFW110",B2694))-(FIND("CFW110",B2694)+6))),
IF(ISNUMBER(FIND("D",B2694)),
VALUE(SUBSTITUTE(MID(B2694,FIND("D",B2694)+1,FIND("T",B2694,FIND("D",B2694))-(FIND("D",B2694)+1)),"P",",")),
IF(ISNUMBER(FIND("CFW5",B2694)),
VALUE(MID(B2694,
IF(ISNUMBER(FIND("F",B2694)),FIND("F",B2694)+1,FIND("G",B2694)+1),
FIND("T",B2694)-(IF(ISNUMBER(FIND("F",B2694)),FIND("F",B2694)+1,FIND("G",B2694)+1))
)),
VALUE(MID(B2694,FIND("E0",B2694)+2,FIND("T",B2694,FIND("E0",B2694))-(FIND("E0",B2694)+2)))
))),"")</f>
        <v/>
      </c>
      <c r="G2694">
        <f>IFERROR(
IF(ISNUMBER(FIND("T2",B2694)),220,
IF(ISNUMBER(FIND("T4",B2694)),440,
IF(ISNUMBER(FIND("T5",B2694)),575,
IF(ISNUMBER(FIND("T6",B2694)),690,"")))),
"")</f>
        <v>440</v>
      </c>
    </row>
    <row r="2695" spans="1:7" x14ac:dyDescent="0.25">
      <c r="A2695">
        <v>11451931</v>
      </c>
      <c r="B2695" t="str">
        <f>VLOOKUP(A2695,Planilha2!B:C,2,0)</f>
        <v>INVERSOR BRCFW110013T4OYZ</v>
      </c>
      <c r="C2695" t="s">
        <v>3169</v>
      </c>
      <c r="D2695" t="str">
        <f>VLOOKUP(A2695,Planilha2!B:H,7,0)</f>
        <v>LINHA P5</v>
      </c>
      <c r="E2695" s="5">
        <v>6200</v>
      </c>
      <c r="F2695">
        <f>IFERROR(
IF(ISNUMBER(FIND("CFW110",B2695)),
VALUE(MID(B2695,FIND("CFW110",B2695)+6,FIND("T",B2695,FIND("CFW110",B2695))-(FIND("CFW110",B2695)+6))),
IF(ISNUMBER(FIND("D",B2695)),
VALUE(SUBSTITUTE(MID(B2695,FIND("D",B2695)+1,FIND("T",B2695,FIND("D",B2695))-(FIND("D",B2695)+1)),"P",",")),
IF(ISNUMBER(FIND("CFW5",B2695)),
VALUE(MID(B2695,
IF(ISNUMBER(FIND("F",B2695)),FIND("F",B2695)+1,FIND("G",B2695)+1),
FIND("T",B2695)-(IF(ISNUMBER(FIND("F",B2695)),FIND("F",B2695)+1,FIND("G",B2695)+1))
)),
VALUE(MID(B2695,FIND("E0",B2695)+2,FIND("T",B2695,FIND("E0",B2695))-(FIND("E0",B2695)+2)))
))),"")</f>
        <v>13</v>
      </c>
      <c r="G2695">
        <f>IFERROR(
IF(ISNUMBER(FIND("T2",B2695)),220,
IF(ISNUMBER(FIND("T4",B2695)),440,
IF(ISNUMBER(FIND("T5",B2695)),575,
IF(ISNUMBER(FIND("T6",B2695)),690,"")))),
"")</f>
        <v>440</v>
      </c>
    </row>
    <row r="2696" spans="1:7" x14ac:dyDescent="0.25">
      <c r="A2696">
        <v>11465661</v>
      </c>
      <c r="B2696" t="str">
        <f>VLOOKUP(A2696,Planilha2!B:C,2,0)</f>
        <v>INVERSOR BRCFW110005T4OFAYWZ</v>
      </c>
      <c r="C2696" t="s">
        <v>3169</v>
      </c>
      <c r="D2696" t="str">
        <f>VLOOKUP(A2696,Planilha2!B:H,7,0)</f>
        <v>LINHA P5</v>
      </c>
      <c r="E2696" s="5">
        <v>7941</v>
      </c>
      <c r="F2696">
        <f>IFERROR(
IF(ISNUMBER(FIND("CFW110",B2696)),
VALUE(MID(B2696,FIND("CFW110",B2696)+6,FIND("T",B2696,FIND("CFW110",B2696))-(FIND("CFW110",B2696)+6))),
IF(ISNUMBER(FIND("D",B2696)),
VALUE(SUBSTITUTE(MID(B2696,FIND("D",B2696)+1,FIND("T",B2696,FIND("D",B2696))-(FIND("D",B2696)+1)),"P",",")),
IF(ISNUMBER(FIND("CFW5",B2696)),
VALUE(MID(B2696,
IF(ISNUMBER(FIND("F",B2696)),FIND("F",B2696)+1,FIND("G",B2696)+1),
FIND("T",B2696)-(IF(ISNUMBER(FIND("F",B2696)),FIND("F",B2696)+1,FIND("G",B2696)+1))
)),
VALUE(MID(B2696,FIND("E0",B2696)+2,FIND("T",B2696,FIND("E0",B2696))-(FIND("E0",B2696)+2)))
))),"")</f>
        <v>5</v>
      </c>
      <c r="G2696">
        <f>IFERROR(
IF(ISNUMBER(FIND("T2",B2696)),220,
IF(ISNUMBER(FIND("T4",B2696)),440,
IF(ISNUMBER(FIND("T5",B2696)),575,
IF(ISNUMBER(FIND("T6",B2696)),690,"")))),
"")</f>
        <v>440</v>
      </c>
    </row>
    <row r="2697" spans="1:7" x14ac:dyDescent="0.25">
      <c r="A2697">
        <v>11467179</v>
      </c>
      <c r="B2697" t="str">
        <f>VLOOKUP(A2697,Planilha2!B:C,2,0)</f>
        <v>INVERSOR BRCFW110010T4OFAYWZ</v>
      </c>
      <c r="C2697" t="s">
        <v>3169</v>
      </c>
      <c r="D2697" t="str">
        <f>VLOOKUP(A2697,Planilha2!B:H,7,0)</f>
        <v>LINHA P5</v>
      </c>
      <c r="E2697" s="5">
        <v>8536</v>
      </c>
      <c r="F2697">
        <f>IFERROR(
IF(ISNUMBER(FIND("CFW110",B2697)),
VALUE(MID(B2697,FIND("CFW110",B2697)+6,FIND("T",B2697,FIND("CFW110",B2697))-(FIND("CFW110",B2697)+6))),
IF(ISNUMBER(FIND("D",B2697)),
VALUE(SUBSTITUTE(MID(B2697,FIND("D",B2697)+1,FIND("T",B2697,FIND("D",B2697))-(FIND("D",B2697)+1)),"P",",")),
IF(ISNUMBER(FIND("CFW5",B2697)),
VALUE(MID(B2697,
IF(ISNUMBER(FIND("F",B2697)),FIND("F",B2697)+1,FIND("G",B2697)+1),
FIND("T",B2697)-(IF(ISNUMBER(FIND("F",B2697)),FIND("F",B2697)+1,FIND("G",B2697)+1))
)),
VALUE(MID(B2697,FIND("E0",B2697)+2,FIND("T",B2697,FIND("E0",B2697))-(FIND("E0",B2697)+2)))
))),"")</f>
        <v>10</v>
      </c>
      <c r="G2697">
        <f>IFERROR(
IF(ISNUMBER(FIND("T2",B2697)),220,
IF(ISNUMBER(FIND("T4",B2697)),440,
IF(ISNUMBER(FIND("T5",B2697)),575,
IF(ISNUMBER(FIND("T6",B2697)),690,"")))),
"")</f>
        <v>440</v>
      </c>
    </row>
    <row r="2698" spans="1:7" x14ac:dyDescent="0.25">
      <c r="A2698">
        <v>11468950</v>
      </c>
      <c r="B2698" t="str">
        <f>VLOOKUP(A2698,Planilha2!B:C,2,0)</f>
        <v>INVERSOR BRCFW110017T4OFAYWZ</v>
      </c>
      <c r="C2698" t="s">
        <v>3169</v>
      </c>
      <c r="D2698" t="str">
        <f>VLOOKUP(A2698,Planilha2!B:H,7,0)</f>
        <v>LINHA P7</v>
      </c>
      <c r="E2698" s="5">
        <v>8568</v>
      </c>
      <c r="F2698">
        <f>IFERROR(
IF(ISNUMBER(FIND("CFW110",B2698)),
VALUE(MID(B2698,FIND("CFW110",B2698)+6,FIND("T",B2698,FIND("CFW110",B2698))-(FIND("CFW110",B2698)+6))),
IF(ISNUMBER(FIND("D",B2698)),
VALUE(SUBSTITUTE(MID(B2698,FIND("D",B2698)+1,FIND("T",B2698,FIND("D",B2698))-(FIND("D",B2698)+1)),"P",",")),
IF(ISNUMBER(FIND("CFW5",B2698)),
VALUE(MID(B2698,
IF(ISNUMBER(FIND("F",B2698)),FIND("F",B2698)+1,FIND("G",B2698)+1),
FIND("T",B2698)-(IF(ISNUMBER(FIND("F",B2698)),FIND("F",B2698)+1,FIND("G",B2698)+1))
)),
VALUE(MID(B2698,FIND("E0",B2698)+2,FIND("T",B2698,FIND("E0",B2698))-(FIND("E0",B2698)+2)))
))),"")</f>
        <v>17</v>
      </c>
      <c r="G2698">
        <f>IFERROR(
IF(ISNUMBER(FIND("T2",B2698)),220,
IF(ISNUMBER(FIND("T4",B2698)),440,
IF(ISNUMBER(FIND("T5",B2698)),575,
IF(ISNUMBER(FIND("T6",B2698)),690,"")))),
"")</f>
        <v>440</v>
      </c>
    </row>
    <row r="2699" spans="1:7" x14ac:dyDescent="0.25">
      <c r="A2699">
        <v>11469067</v>
      </c>
      <c r="B2699" t="str">
        <f>VLOOKUP(A2699,Planilha2!B:C,2,0)</f>
        <v>INVERSOR BRCFW110024T4OFAYWZ</v>
      </c>
      <c r="C2699" t="s">
        <v>3169</v>
      </c>
      <c r="D2699" t="str">
        <f>VLOOKUP(A2699,Planilha2!B:H,7,0)</f>
        <v>LINHA P7</v>
      </c>
      <c r="E2699" s="5">
        <v>8568</v>
      </c>
      <c r="F2699">
        <f>IFERROR(
IF(ISNUMBER(FIND("CFW110",B2699)),
VALUE(MID(B2699,FIND("CFW110",B2699)+6,FIND("T",B2699,FIND("CFW110",B2699))-(FIND("CFW110",B2699)+6))),
IF(ISNUMBER(FIND("D",B2699)),
VALUE(SUBSTITUTE(MID(B2699,FIND("D",B2699)+1,FIND("T",B2699,FIND("D",B2699))-(FIND("D",B2699)+1)),"P",",")),
IF(ISNUMBER(FIND("CFW5",B2699)),
VALUE(MID(B2699,
IF(ISNUMBER(FIND("F",B2699)),FIND("F",B2699)+1,FIND("G",B2699)+1),
FIND("T",B2699)-(IF(ISNUMBER(FIND("F",B2699)),FIND("F",B2699)+1,FIND("G",B2699)+1))
)),
VALUE(MID(B2699,FIND("E0",B2699)+2,FIND("T",B2699,FIND("E0",B2699))-(FIND("E0",B2699)+2)))
))),"")</f>
        <v>24</v>
      </c>
      <c r="G2699">
        <f>IFERROR(
IF(ISNUMBER(FIND("T2",B2699)),220,
IF(ISNUMBER(FIND("T4",B2699)),440,
IF(ISNUMBER(FIND("T5",B2699)),575,
IF(ISNUMBER(FIND("T6",B2699)),690,"")))),
"")</f>
        <v>440</v>
      </c>
    </row>
    <row r="2700" spans="1:7" x14ac:dyDescent="0.25">
      <c r="A2700">
        <v>11474087</v>
      </c>
      <c r="B2700" t="str">
        <f>VLOOKUP(A2700,Planilha2!B:C,2,0)</f>
        <v>INVERSOR BRCFW110017T4OYWZ</v>
      </c>
      <c r="C2700" t="s">
        <v>3169</v>
      </c>
      <c r="D2700" t="str">
        <f>VLOOKUP(A2700,Planilha2!B:H,7,0)</f>
        <v>LINHA P7</v>
      </c>
      <c r="E2700" s="5">
        <v>9100</v>
      </c>
      <c r="F2700">
        <f>IFERROR(
IF(ISNUMBER(FIND("CFW110",B2700)),
VALUE(MID(B2700,FIND("CFW110",B2700)+6,FIND("T",B2700,FIND("CFW110",B2700))-(FIND("CFW110",B2700)+6))),
IF(ISNUMBER(FIND("D",B2700)),
VALUE(SUBSTITUTE(MID(B2700,FIND("D",B2700)+1,FIND("T",B2700,FIND("D",B2700))-(FIND("D",B2700)+1)),"P",",")),
IF(ISNUMBER(FIND("CFW5",B2700)),
VALUE(MID(B2700,
IF(ISNUMBER(FIND("F",B2700)),FIND("F",B2700)+1,FIND("G",B2700)+1),
FIND("T",B2700)-(IF(ISNUMBER(FIND("F",B2700)),FIND("F",B2700)+1,FIND("G",B2700)+1))
)),
VALUE(MID(B2700,FIND("E0",B2700)+2,FIND("T",B2700,FIND("E0",B2700))-(FIND("E0",B2700)+2)))
))),"")</f>
        <v>17</v>
      </c>
      <c r="G2700">
        <f>IFERROR(
IF(ISNUMBER(FIND("T2",B2700)),220,
IF(ISNUMBER(FIND("T4",B2700)),440,
IF(ISNUMBER(FIND("T5",B2700)),575,
IF(ISNUMBER(FIND("T6",B2700)),690,"")))),
"")</f>
        <v>440</v>
      </c>
    </row>
    <row r="2701" spans="1:7" x14ac:dyDescent="0.25">
      <c r="A2701">
        <v>11474849</v>
      </c>
      <c r="B2701" t="str">
        <f>VLOOKUP(A2701,Planilha2!B:C,2,0)</f>
        <v>INVERSOR BRCFW110005T4OYWZ</v>
      </c>
      <c r="C2701" t="s">
        <v>3169</v>
      </c>
      <c r="D2701" t="str">
        <f>VLOOKUP(A2701,Planilha2!B:H,7,0)</f>
        <v>LINHA P5</v>
      </c>
      <c r="E2701" s="5">
        <v>5700</v>
      </c>
      <c r="F2701">
        <f>IFERROR(
IF(ISNUMBER(FIND("CFW110",B2701)),
VALUE(MID(B2701,FIND("CFW110",B2701)+6,FIND("T",B2701,FIND("CFW110",B2701))-(FIND("CFW110",B2701)+6))),
IF(ISNUMBER(FIND("D",B2701)),
VALUE(SUBSTITUTE(MID(B2701,FIND("D",B2701)+1,FIND("T",B2701,FIND("D",B2701))-(FIND("D",B2701)+1)),"P",",")),
IF(ISNUMBER(FIND("CFW5",B2701)),
VALUE(MID(B2701,
IF(ISNUMBER(FIND("F",B2701)),FIND("F",B2701)+1,FIND("G",B2701)+1),
FIND("T",B2701)-(IF(ISNUMBER(FIND("F",B2701)),FIND("F",B2701)+1,FIND("G",B2701)+1))
)),
VALUE(MID(B2701,FIND("E0",B2701)+2,FIND("T",B2701,FIND("E0",B2701))-(FIND("E0",B2701)+2)))
))),"")</f>
        <v>5</v>
      </c>
      <c r="G2701">
        <f>IFERROR(
IF(ISNUMBER(FIND("T2",B2701)),220,
IF(ISNUMBER(FIND("T4",B2701)),440,
IF(ISNUMBER(FIND("T5",B2701)),575,
IF(ISNUMBER(FIND("T6",B2701)),690,"")))),
"")</f>
        <v>440</v>
      </c>
    </row>
    <row r="2702" spans="1:7" x14ac:dyDescent="0.25">
      <c r="A2702">
        <v>11482199</v>
      </c>
      <c r="B2702" t="str">
        <f>VLOOKUP(A2702,Planilha2!B:C,2,0)</f>
        <v>INVERSOR BRCFW110017T4OFAYZ</v>
      </c>
      <c r="C2702" t="s">
        <v>3169</v>
      </c>
      <c r="D2702" t="str">
        <f>VLOOKUP(A2702,Planilha2!B:H,7,0)</f>
        <v>LINHA P7</v>
      </c>
      <c r="E2702" s="5">
        <v>7280</v>
      </c>
      <c r="F2702">
        <f>IFERROR(
IF(ISNUMBER(FIND("CFW110",B2702)),
VALUE(MID(B2702,FIND("CFW110",B2702)+6,FIND("T",B2702,FIND("CFW110",B2702))-(FIND("CFW110",B2702)+6))),
IF(ISNUMBER(FIND("D",B2702)),
VALUE(SUBSTITUTE(MID(B2702,FIND("D",B2702)+1,FIND("T",B2702,FIND("D",B2702))-(FIND("D",B2702)+1)),"P",",")),
IF(ISNUMBER(FIND("CFW5",B2702)),
VALUE(MID(B2702,
IF(ISNUMBER(FIND("F",B2702)),FIND("F",B2702)+1,FIND("G",B2702)+1),
FIND("T",B2702)-(IF(ISNUMBER(FIND("F",B2702)),FIND("F",B2702)+1,FIND("G",B2702)+1))
)),
VALUE(MID(B2702,FIND("E0",B2702)+2,FIND("T",B2702,FIND("E0",B2702))-(FIND("E0",B2702)+2)))
))),"")</f>
        <v>17</v>
      </c>
      <c r="G2702">
        <f>IFERROR(
IF(ISNUMBER(FIND("T2",B2702)),220,
IF(ISNUMBER(FIND("T4",B2702)),440,
IF(ISNUMBER(FIND("T5",B2702)),575,
IF(ISNUMBER(FIND("T6",B2702)),690,"")))),
"")</f>
        <v>440</v>
      </c>
    </row>
    <row r="2703" spans="1:7" x14ac:dyDescent="0.25">
      <c r="A2703">
        <v>11482436</v>
      </c>
      <c r="B2703" t="str">
        <f>VLOOKUP(A2703,Planilha2!B:C,2,0)</f>
        <v>INVERSOR BRCFW110003T4OFAYWZ</v>
      </c>
      <c r="C2703" t="s">
        <v>3169</v>
      </c>
      <c r="D2703" t="str">
        <f>VLOOKUP(A2703,Planilha2!B:H,7,0)</f>
        <v>LINHA P5</v>
      </c>
      <c r="E2703" s="5">
        <v>9247</v>
      </c>
      <c r="F2703">
        <f>IFERROR(
IF(ISNUMBER(FIND("CFW110",B2703)),
VALUE(MID(B2703,FIND("CFW110",B2703)+6,FIND("T",B2703,FIND("CFW110",B2703))-(FIND("CFW110",B2703)+6))),
IF(ISNUMBER(FIND("D",B2703)),
VALUE(SUBSTITUTE(MID(B2703,FIND("D",B2703)+1,FIND("T",B2703,FIND("D",B2703))-(FIND("D",B2703)+1)),"P",",")),
IF(ISNUMBER(FIND("CFW5",B2703)),
VALUE(MID(B2703,
IF(ISNUMBER(FIND("F",B2703)),FIND("F",B2703)+1,FIND("G",B2703)+1),
FIND("T",B2703)-(IF(ISNUMBER(FIND("F",B2703)),FIND("F",B2703)+1,FIND("G",B2703)+1))
)),
VALUE(MID(B2703,FIND("E0",B2703)+2,FIND("T",B2703,FIND("E0",B2703))-(FIND("E0",B2703)+2)))
))),"")</f>
        <v>3</v>
      </c>
      <c r="G2703">
        <f>IFERROR(
IF(ISNUMBER(FIND("T2",B2703)),220,
IF(ISNUMBER(FIND("T4",B2703)),440,
IF(ISNUMBER(FIND("T5",B2703)),575,
IF(ISNUMBER(FIND("T6",B2703)),690,"")))),
"")</f>
        <v>440</v>
      </c>
    </row>
    <row r="2704" spans="1:7" x14ac:dyDescent="0.25">
      <c r="A2704">
        <v>11482440</v>
      </c>
      <c r="B2704" t="str">
        <f>VLOOKUP(A2704,Planilha2!B:C,2,0)</f>
        <v>INVERSOR BRCFW110031T4OFAYWZ</v>
      </c>
      <c r="C2704" t="s">
        <v>3169</v>
      </c>
      <c r="D2704" t="str">
        <f>VLOOKUP(A2704,Planilha2!B:H,7,0)</f>
        <v>LINHA P7</v>
      </c>
      <c r="E2704" s="5">
        <v>8704</v>
      </c>
      <c r="F2704">
        <f>IFERROR(
IF(ISNUMBER(FIND("CFW110",B2704)),
VALUE(MID(B2704,FIND("CFW110",B2704)+6,FIND("T",B2704,FIND("CFW110",B2704))-(FIND("CFW110",B2704)+6))),
IF(ISNUMBER(FIND("D",B2704)),
VALUE(SUBSTITUTE(MID(B2704,FIND("D",B2704)+1,FIND("T",B2704,FIND("D",B2704))-(FIND("D",B2704)+1)),"P",",")),
IF(ISNUMBER(FIND("CFW5",B2704)),
VALUE(MID(B2704,
IF(ISNUMBER(FIND("F",B2704)),FIND("F",B2704)+1,FIND("G",B2704)+1),
FIND("T",B2704)-(IF(ISNUMBER(FIND("F",B2704)),FIND("F",B2704)+1,FIND("G",B2704)+1))
)),
VALUE(MID(B2704,FIND("E0",B2704)+2,FIND("T",B2704,FIND("E0",B2704))-(FIND("E0",B2704)+2)))
))),"")</f>
        <v>31</v>
      </c>
      <c r="G2704">
        <f>IFERROR(
IF(ISNUMBER(FIND("T2",B2704)),220,
IF(ISNUMBER(FIND("T4",B2704)),440,
IF(ISNUMBER(FIND("T5",B2704)),575,
IF(ISNUMBER(FIND("T6",B2704)),690,"")))),
"")</f>
        <v>440</v>
      </c>
    </row>
    <row r="2705" spans="1:7" x14ac:dyDescent="0.25">
      <c r="A2705">
        <v>11588000</v>
      </c>
      <c r="B2705" t="str">
        <f>VLOOKUP(A2705,Planilha2!B:C,2,0)</f>
        <v>INVERSOR SACFW110010T4OYWZ</v>
      </c>
      <c r="C2705" t="s">
        <v>3169</v>
      </c>
      <c r="D2705" t="str">
        <f>VLOOKUP(A2705,Planilha2!B:H,7,0)</f>
        <v>LINHA P5</v>
      </c>
      <c r="E2705" s="5">
        <v>5200</v>
      </c>
      <c r="F2705">
        <f>IFERROR(
IF(ISNUMBER(FIND("CFW110",B2705)),
VALUE(MID(B2705,FIND("CFW110",B2705)+6,FIND("T",B2705,FIND("CFW110",B2705))-(FIND("CFW110",B2705)+6))),
IF(ISNUMBER(FIND("D",B2705)),
VALUE(SUBSTITUTE(MID(B2705,FIND("D",B2705)+1,FIND("T",B2705,FIND("D",B2705))-(FIND("D",B2705)+1)),"P",",")),
IF(ISNUMBER(FIND("CFW5",B2705)),
VALUE(MID(B2705,
IF(ISNUMBER(FIND("F",B2705)),FIND("F",B2705)+1,FIND("G",B2705)+1),
FIND("T",B2705)-(IF(ISNUMBER(FIND("F",B2705)),FIND("F",B2705)+1,FIND("G",B2705)+1))
)),
VALUE(MID(B2705,FIND("E0",B2705)+2,FIND("T",B2705,FIND("E0",B2705))-(FIND("E0",B2705)+2)))
))),"")</f>
        <v>10</v>
      </c>
      <c r="G2705">
        <f>IFERROR(
IF(ISNUMBER(FIND("T2",B2705)),220,
IF(ISNUMBER(FIND("T4",B2705)),440,
IF(ISNUMBER(FIND("T5",B2705)),575,
IF(ISNUMBER(FIND("T6",B2705)),690,"")))),
"")</f>
        <v>440</v>
      </c>
    </row>
    <row r="2706" spans="1:7" x14ac:dyDescent="0.25">
      <c r="A2706">
        <v>11588002</v>
      </c>
      <c r="B2706" t="str">
        <f>VLOOKUP(A2706,Planilha2!B:C,2,0)</f>
        <v>INVERSOR SACFW110024T4OYWZ</v>
      </c>
      <c r="C2706" t="s">
        <v>3169</v>
      </c>
      <c r="D2706" t="str">
        <f>VLOOKUP(A2706,Planilha2!B:H,7,0)</f>
        <v>LINHA P7</v>
      </c>
      <c r="E2706" s="5">
        <v>10700</v>
      </c>
      <c r="F2706">
        <f>IFERROR(
IF(ISNUMBER(FIND("CFW110",B2706)),
VALUE(MID(B2706,FIND("CFW110",B2706)+6,FIND("T",B2706,FIND("CFW110",B2706))-(FIND("CFW110",B2706)+6))),
IF(ISNUMBER(FIND("D",B2706)),
VALUE(SUBSTITUTE(MID(B2706,FIND("D",B2706)+1,FIND("T",B2706,FIND("D",B2706))-(FIND("D",B2706)+1)),"P",",")),
IF(ISNUMBER(FIND("CFW5",B2706)),
VALUE(MID(B2706,
IF(ISNUMBER(FIND("F",B2706)),FIND("F",B2706)+1,FIND("G",B2706)+1),
FIND("T",B2706)-(IF(ISNUMBER(FIND("F",B2706)),FIND("F",B2706)+1,FIND("G",B2706)+1))
)),
VALUE(MID(B2706,FIND("E0",B2706)+2,FIND("T",B2706,FIND("E0",B2706))-(FIND("E0",B2706)+2)))
))),"")</f>
        <v>24</v>
      </c>
      <c r="G2706">
        <f>IFERROR(
IF(ISNUMBER(FIND("T2",B2706)),220,
IF(ISNUMBER(FIND("T4",B2706)),440,
IF(ISNUMBER(FIND("T5",B2706)),575,
IF(ISNUMBER(FIND("T6",B2706)),690,"")))),
"")</f>
        <v>440</v>
      </c>
    </row>
    <row r="2707" spans="1:7" x14ac:dyDescent="0.25">
      <c r="A2707">
        <v>11846109</v>
      </c>
      <c r="B2707" t="str">
        <f>VLOOKUP(A2707,Planilha2!B:C,2,0)</f>
        <v>INVERSOR CFW700A05P0T4DB20C3Y1</v>
      </c>
      <c r="C2707" t="s">
        <v>3169</v>
      </c>
      <c r="D2707" t="str">
        <f>VLOOKUP(A2707,Planilha2!B:H,7,0)</f>
        <v>OBSOLETOS DRIVES</v>
      </c>
      <c r="E2707" s="5">
        <v>5900</v>
      </c>
      <c r="F2707" t="str">
        <f>IFERROR(
IF(ISNUMBER(FIND("CFW110",B2707)),
VALUE(MID(B2707,FIND("CFW110",B2707)+6,FIND("T",B2707,FIND("CFW110",B2707))-(FIND("CFW110",B2707)+6))),
IF(ISNUMBER(FIND("D",B2707)),
VALUE(SUBSTITUTE(MID(B2707,FIND("D",B2707)+1,FIND("T",B2707,FIND("D",B2707))-(FIND("D",B2707)+1)),"P",",")),
IF(ISNUMBER(FIND("CFW5",B2707)),
VALUE(MID(B2707,
IF(ISNUMBER(FIND("F",B2707)),FIND("F",B2707)+1,FIND("G",B2707)+1),
FIND("T",B2707)-(IF(ISNUMBER(FIND("F",B2707)),FIND("F",B2707)+1,FIND("G",B2707)+1))
)),
VALUE(MID(B2707,FIND("E0",B2707)+2,FIND("T",B2707,FIND("E0",B2707))-(FIND("E0",B2707)+2)))
))),"")</f>
        <v/>
      </c>
      <c r="G2707">
        <f>IFERROR(
IF(ISNUMBER(FIND("T2",B2707)),220,
IF(ISNUMBER(FIND("T4",B2707)),440,
IF(ISNUMBER(FIND("T5",B2707)),575,
IF(ISNUMBER(FIND("T6",B2707)),690,"")))),
"")</f>
        <v>440</v>
      </c>
    </row>
    <row r="2708" spans="1:7" x14ac:dyDescent="0.25">
      <c r="A2708">
        <v>11846112</v>
      </c>
      <c r="B2708" t="str">
        <f>VLOOKUP(A2708,Planilha2!B:C,2,0)</f>
        <v>INVERSOR CFW700B17P0T4DB20C3Y1</v>
      </c>
      <c r="C2708" t="s">
        <v>3169</v>
      </c>
      <c r="D2708" t="str">
        <f>VLOOKUP(A2708,Planilha2!B:H,7,0)</f>
        <v>OBSOLETOS DRIVES</v>
      </c>
      <c r="E2708" s="5">
        <v>9100</v>
      </c>
      <c r="F2708" t="str">
        <f>IFERROR(
IF(ISNUMBER(FIND("CFW110",B2708)),
VALUE(MID(B2708,FIND("CFW110",B2708)+6,FIND("T",B2708,FIND("CFW110",B2708))-(FIND("CFW110",B2708)+6))),
IF(ISNUMBER(FIND("D",B2708)),
VALUE(SUBSTITUTE(MID(B2708,FIND("D",B2708)+1,FIND("T",B2708,FIND("D",B2708))-(FIND("D",B2708)+1)),"P",",")),
IF(ISNUMBER(FIND("CFW5",B2708)),
VALUE(MID(B2708,
IF(ISNUMBER(FIND("F",B2708)),FIND("F",B2708)+1,FIND("G",B2708)+1),
FIND("T",B2708)-(IF(ISNUMBER(FIND("F",B2708)),FIND("F",B2708)+1,FIND("G",B2708)+1))
)),
VALUE(MID(B2708,FIND("E0",B2708)+2,FIND("T",B2708,FIND("E0",B2708))-(FIND("E0",B2708)+2)))
))),"")</f>
        <v/>
      </c>
      <c r="G2708">
        <f>IFERROR(
IF(ISNUMBER(FIND("T2",B2708)),220,
IF(ISNUMBER(FIND("T4",B2708)),440,
IF(ISNUMBER(FIND("T5",B2708)),575,
IF(ISNUMBER(FIND("T6",B2708)),690,"")))),
"")</f>
        <v>440</v>
      </c>
    </row>
    <row r="2709" spans="1:7" x14ac:dyDescent="0.25">
      <c r="A2709">
        <v>11736524</v>
      </c>
      <c r="B2709" t="str">
        <f>VLOOKUP(A2709,Planilha2!B:C,2,0)</f>
        <v>INVERSOR SACFW110031T4OYWZ</v>
      </c>
      <c r="C2709" t="s">
        <v>3169</v>
      </c>
      <c r="D2709" t="str">
        <f>VLOOKUP(A2709,Planilha2!B:H,7,0)</f>
        <v>LINHA P7</v>
      </c>
      <c r="E2709" t="s">
        <v>3175</v>
      </c>
      <c r="F2709">
        <f>IFERROR(
IF(ISNUMBER(FIND("CFW110",B2709)),
VALUE(MID(B2709,FIND("CFW110",B2709)+6,FIND("T",B2709,FIND("CFW110",B2709))-(FIND("CFW110",B2709)+6))),
IF(ISNUMBER(FIND("D",B2709)),
VALUE(SUBSTITUTE(MID(B2709,FIND("D",B2709)+1,FIND("T",B2709,FIND("D",B2709))-(FIND("D",B2709)+1)),"P",",")),
IF(ISNUMBER(FIND("CFW5",B2709)),
VALUE(MID(B2709,
IF(ISNUMBER(FIND("F",B2709)),FIND("F",B2709)+1,FIND("G",B2709)+1),
FIND("T",B2709)-(IF(ISNUMBER(FIND("F",B2709)),FIND("F",B2709)+1,FIND("G",B2709)+1))
)),
VALUE(MID(B2709,FIND("E0",B2709)+2,FIND("T",B2709,FIND("E0",B2709))-(FIND("E0",B2709)+2)))
))),"")</f>
        <v>31</v>
      </c>
      <c r="G2709">
        <f>IFERROR(
IF(ISNUMBER(FIND("T2",B2709)),220,
IF(ISNUMBER(FIND("T4",B2709)),440,
IF(ISNUMBER(FIND("T5",B2709)),575,
IF(ISNUMBER(FIND("T6",B2709)),690,"")))),
"")</f>
        <v>440</v>
      </c>
    </row>
    <row r="2710" spans="1:7" x14ac:dyDescent="0.25">
      <c r="A2710">
        <v>11771287</v>
      </c>
      <c r="B2710" t="str">
        <f>VLOOKUP(A2710,Planilha2!B:C,2,0)</f>
        <v>INVERSOR BRCFW110033T2O54FAZ</v>
      </c>
      <c r="C2710" t="s">
        <v>3169</v>
      </c>
      <c r="D2710" t="str">
        <f>VLOOKUP(A2710,Planilha2!B:H,7,0)</f>
        <v>LINHA M1</v>
      </c>
      <c r="E2710" s="5">
        <v>15000</v>
      </c>
      <c r="F2710">
        <f>IFERROR(
IF(ISNUMBER(FIND("CFW110",B2710)),
VALUE(MID(B2710,FIND("CFW110",B2710)+6,FIND("T",B2710,FIND("CFW110",B2710))-(FIND("CFW110",B2710)+6))),
IF(ISNUMBER(FIND("D",B2710)),
VALUE(SUBSTITUTE(MID(B2710,FIND("D",B2710)+1,FIND("T",B2710,FIND("D",B2710))-(FIND("D",B2710)+1)),"P",",")),
IF(ISNUMBER(FIND("CFW5",B2710)),
VALUE(MID(B2710,
IF(ISNUMBER(FIND("F",B2710)),FIND("F",B2710)+1,FIND("G",B2710)+1),
FIND("T",B2710)-(IF(ISNUMBER(FIND("F",B2710)),FIND("F",B2710)+1,FIND("G",B2710)+1))
)),
VALUE(MID(B2710,FIND("E0",B2710)+2,FIND("T",B2710,FIND("E0",B2710))-(FIND("E0",B2710)+2)))
))),"")</f>
        <v>33</v>
      </c>
      <c r="G2710">
        <f>IFERROR(
IF(ISNUMBER(FIND("T2",B2710)),220,
IF(ISNUMBER(FIND("T4",B2710)),440,
IF(ISNUMBER(FIND("T5",B2710)),575,
IF(ISNUMBER(FIND("T6",B2710)),690,"")))),
"")</f>
        <v>220</v>
      </c>
    </row>
    <row r="2711" spans="1:7" x14ac:dyDescent="0.25">
      <c r="A2711">
        <v>11771341</v>
      </c>
      <c r="B2711" t="str">
        <f>VLOOKUP(A2711,Planilha2!B:C,2,0)</f>
        <v>INVERSOR BRCFW110016T2O54FAZ</v>
      </c>
      <c r="C2711" t="s">
        <v>3169</v>
      </c>
      <c r="D2711" t="str">
        <f>VLOOKUP(A2711,Planilha2!B:H,7,0)</f>
        <v>LINHA M1</v>
      </c>
      <c r="E2711" s="5">
        <v>13000</v>
      </c>
      <c r="F2711">
        <f>IFERROR(
IF(ISNUMBER(FIND("CFW110",B2711)),
VALUE(MID(B2711,FIND("CFW110",B2711)+6,FIND("T",B2711,FIND("CFW110",B2711))-(FIND("CFW110",B2711)+6))),
IF(ISNUMBER(FIND("D",B2711)),
VALUE(SUBSTITUTE(MID(B2711,FIND("D",B2711)+1,FIND("T",B2711,FIND("D",B2711))-(FIND("D",B2711)+1)),"P",",")),
IF(ISNUMBER(FIND("CFW5",B2711)),
VALUE(MID(B2711,
IF(ISNUMBER(FIND("F",B2711)),FIND("F",B2711)+1,FIND("G",B2711)+1),
FIND("T",B2711)-(IF(ISNUMBER(FIND("F",B2711)),FIND("F",B2711)+1,FIND("G",B2711)+1))
)),
VALUE(MID(B2711,FIND("E0",B2711)+2,FIND("T",B2711,FIND("E0",B2711))-(FIND("E0",B2711)+2)))
))),"")</f>
        <v>16</v>
      </c>
      <c r="G2711">
        <f>IFERROR(
IF(ISNUMBER(FIND("T2",B2711)),220,
IF(ISNUMBER(FIND("T4",B2711)),440,
IF(ISNUMBER(FIND("T5",B2711)),575,
IF(ISNUMBER(FIND("T6",B2711)),690,"")))),
"")</f>
        <v>220</v>
      </c>
    </row>
    <row r="2712" spans="1:7" x14ac:dyDescent="0.25">
      <c r="A2712">
        <v>11823555</v>
      </c>
      <c r="B2712" t="str">
        <f>VLOOKUP(A2712,Planilha2!B:C,2,0)</f>
        <v>INVERSOR SACFW110013T4OYWZ</v>
      </c>
      <c r="C2712" t="s">
        <v>3169</v>
      </c>
      <c r="D2712" t="str">
        <f>VLOOKUP(A2712,Planilha2!B:H,7,0)</f>
        <v>LINHA P5</v>
      </c>
      <c r="E2712" s="5">
        <v>6300</v>
      </c>
      <c r="F2712">
        <f>IFERROR(
IF(ISNUMBER(FIND("CFW110",B2712)),
VALUE(MID(B2712,FIND("CFW110",B2712)+6,FIND("T",B2712,FIND("CFW110",B2712))-(FIND("CFW110",B2712)+6))),
IF(ISNUMBER(FIND("D",B2712)),
VALUE(SUBSTITUTE(MID(B2712,FIND("D",B2712)+1,FIND("T",B2712,FIND("D",B2712))-(FIND("D",B2712)+1)),"P",",")),
IF(ISNUMBER(FIND("CFW5",B2712)),
VALUE(MID(B2712,
IF(ISNUMBER(FIND("F",B2712)),FIND("F",B2712)+1,FIND("G",B2712)+1),
FIND("T",B2712)-(IF(ISNUMBER(FIND("F",B2712)),FIND("F",B2712)+1,FIND("G",B2712)+1))
)),
VALUE(MID(B2712,FIND("E0",B2712)+2,FIND("T",B2712,FIND("E0",B2712))-(FIND("E0",B2712)+2)))
))),"")</f>
        <v>13</v>
      </c>
      <c r="G2712">
        <f>IFERROR(
IF(ISNUMBER(FIND("T2",B2712)),220,
IF(ISNUMBER(FIND("T4",B2712)),440,
IF(ISNUMBER(FIND("T5",B2712)),575,
IF(ISNUMBER(FIND("T6",B2712)),690,"")))),
"")</f>
        <v>440</v>
      </c>
    </row>
    <row r="2713" spans="1:7" x14ac:dyDescent="0.25">
      <c r="A2713">
        <v>11951116</v>
      </c>
      <c r="B2713" t="str">
        <f>VLOOKUP(A2713,Planilha2!B:C,2,0)</f>
        <v>INVERSOR BRCFW110031T4OFAYZ</v>
      </c>
      <c r="C2713" t="s">
        <v>3169</v>
      </c>
      <c r="D2713" t="str">
        <f>VLOOKUP(A2713,Planilha2!B:H,7,0)</f>
        <v>LINHA P7</v>
      </c>
      <c r="E2713" s="5">
        <v>10400</v>
      </c>
      <c r="F2713">
        <f>IFERROR(
IF(ISNUMBER(FIND("CFW110",B2713)),
VALUE(MID(B2713,FIND("CFW110",B2713)+6,FIND("T",B2713,FIND("CFW110",B2713))-(FIND("CFW110",B2713)+6))),
IF(ISNUMBER(FIND("D",B2713)),
VALUE(SUBSTITUTE(MID(B2713,FIND("D",B2713)+1,FIND("T",B2713,FIND("D",B2713))-(FIND("D",B2713)+1)),"P",",")),
IF(ISNUMBER(FIND("CFW5",B2713)),
VALUE(MID(B2713,
IF(ISNUMBER(FIND("F",B2713)),FIND("F",B2713)+1,FIND("G",B2713)+1),
FIND("T",B2713)-(IF(ISNUMBER(FIND("F",B2713)),FIND("F",B2713)+1,FIND("G",B2713)+1))
)),
VALUE(MID(B2713,FIND("E0",B2713)+2,FIND("T",B2713,FIND("E0",B2713))-(FIND("E0",B2713)+2)))
))),"")</f>
        <v>31</v>
      </c>
      <c r="G2713">
        <f>IFERROR(
IF(ISNUMBER(FIND("T2",B2713)),220,
IF(ISNUMBER(FIND("T4",B2713)),440,
IF(ISNUMBER(FIND("T5",B2713)),575,
IF(ISNUMBER(FIND("T6",B2713)),690,"")))),
"")</f>
        <v>440</v>
      </c>
    </row>
    <row r="2714" spans="1:7" x14ac:dyDescent="0.25">
      <c r="A2714">
        <v>11951159</v>
      </c>
      <c r="B2714" t="str">
        <f>VLOOKUP(A2714,Planilha2!B:C,2,0)</f>
        <v>INVERSOR BRCFW110010T4OFAYZ</v>
      </c>
      <c r="C2714" t="s">
        <v>3169</v>
      </c>
      <c r="D2714" t="str">
        <f>VLOOKUP(A2714,Planilha2!B:H,7,0)</f>
        <v>LINHA P5</v>
      </c>
      <c r="E2714" s="5">
        <v>6100</v>
      </c>
      <c r="F2714">
        <f>IFERROR(
IF(ISNUMBER(FIND("CFW110",B2714)),
VALUE(MID(B2714,FIND("CFW110",B2714)+6,FIND("T",B2714,FIND("CFW110",B2714))-(FIND("CFW110",B2714)+6))),
IF(ISNUMBER(FIND("D",B2714)),
VALUE(SUBSTITUTE(MID(B2714,FIND("D",B2714)+1,FIND("T",B2714,FIND("D",B2714))-(FIND("D",B2714)+1)),"P",",")),
IF(ISNUMBER(FIND("CFW5",B2714)),
VALUE(MID(B2714,
IF(ISNUMBER(FIND("F",B2714)),FIND("F",B2714)+1,FIND("G",B2714)+1),
FIND("T",B2714)-(IF(ISNUMBER(FIND("F",B2714)),FIND("F",B2714)+1,FIND("G",B2714)+1))
)),
VALUE(MID(B2714,FIND("E0",B2714)+2,FIND("T",B2714,FIND("E0",B2714))-(FIND("E0",B2714)+2)))
))),"")</f>
        <v>10</v>
      </c>
      <c r="G2714">
        <f>IFERROR(
IF(ISNUMBER(FIND("T2",B2714)),220,
IF(ISNUMBER(FIND("T4",B2714)),440,
IF(ISNUMBER(FIND("T5",B2714)),575,
IF(ISNUMBER(FIND("T6",B2714)),690,"")))),
"")</f>
        <v>440</v>
      </c>
    </row>
    <row r="2715" spans="1:7" x14ac:dyDescent="0.25">
      <c r="A2715">
        <v>11717120</v>
      </c>
      <c r="B2715" t="str">
        <f>VLOOKUP(A2715,Planilha2!B:C,2,0)</f>
        <v>INVERSOR EUCFW110007T4OFAWZ</v>
      </c>
      <c r="C2715" t="s">
        <v>3169</v>
      </c>
      <c r="D2715" t="str">
        <f>VLOOKUP(A2715,Planilha2!B:H,7,0)</f>
        <v>LINHA P5</v>
      </c>
      <c r="E2715" s="5">
        <v>4500</v>
      </c>
      <c r="F2715">
        <f>IFERROR(
IF(ISNUMBER(FIND("CFW110",B2715)),
VALUE(MID(B2715,FIND("CFW110",B2715)+6,FIND("T",B2715,FIND("CFW110",B2715))-(FIND("CFW110",B2715)+6))),
IF(ISNUMBER(FIND("D",B2715)),
VALUE(SUBSTITUTE(MID(B2715,FIND("D",B2715)+1,FIND("T",B2715,FIND("D",B2715))-(FIND("D",B2715)+1)),"P",",")),
IF(ISNUMBER(FIND("CFW5",B2715)),
VALUE(MID(B2715,
IF(ISNUMBER(FIND("F",B2715)),FIND("F",B2715)+1,FIND("G",B2715)+1),
FIND("T",B2715)-(IF(ISNUMBER(FIND("F",B2715)),FIND("F",B2715)+1,FIND("G",B2715)+1))
)),
VALUE(MID(B2715,FIND("E0",B2715)+2,FIND("T",B2715,FIND("E0",B2715))-(FIND("E0",B2715)+2)))
))),"")</f>
        <v>7</v>
      </c>
      <c r="G2715">
        <f>IFERROR(
IF(ISNUMBER(FIND("T2",B2715)),220,
IF(ISNUMBER(FIND("T4",B2715)),440,
IF(ISNUMBER(FIND("T5",B2715)),575,
IF(ISNUMBER(FIND("T6",B2715)),690,"")))),
"")</f>
        <v>440</v>
      </c>
    </row>
    <row r="2716" spans="1:7" x14ac:dyDescent="0.25">
      <c r="A2716">
        <v>11717121</v>
      </c>
      <c r="B2716" t="str">
        <f>VLOOKUP(A2716,Planilha2!B:C,2,0)</f>
        <v>INVERSOR EUCFW110013T4OFAWZ</v>
      </c>
      <c r="C2716" t="s">
        <v>3169</v>
      </c>
      <c r="D2716" t="str">
        <f>VLOOKUP(A2716,Planilha2!B:H,7,0)</f>
        <v>LINHA P5</v>
      </c>
      <c r="E2716" s="5">
        <v>4500</v>
      </c>
      <c r="F2716">
        <f>IFERROR(
IF(ISNUMBER(FIND("CFW110",B2716)),
VALUE(MID(B2716,FIND("CFW110",B2716)+6,FIND("T",B2716,FIND("CFW110",B2716))-(FIND("CFW110",B2716)+6))),
IF(ISNUMBER(FIND("D",B2716)),
VALUE(SUBSTITUTE(MID(B2716,FIND("D",B2716)+1,FIND("T",B2716,FIND("D",B2716))-(FIND("D",B2716)+1)),"P",",")),
IF(ISNUMBER(FIND("CFW5",B2716)),
VALUE(MID(B2716,
IF(ISNUMBER(FIND("F",B2716)),FIND("F",B2716)+1,FIND("G",B2716)+1),
FIND("T",B2716)-(IF(ISNUMBER(FIND("F",B2716)),FIND("F",B2716)+1,FIND("G",B2716)+1))
)),
VALUE(MID(B2716,FIND("E0",B2716)+2,FIND("T",B2716,FIND("E0",B2716))-(FIND("E0",B2716)+2)))
))),"")</f>
        <v>13</v>
      </c>
      <c r="G2716">
        <f>IFERROR(
IF(ISNUMBER(FIND("T2",B2716)),220,
IF(ISNUMBER(FIND("T4",B2716)),440,
IF(ISNUMBER(FIND("T5",B2716)),575,
IF(ISNUMBER(FIND("T6",B2716)),690,"")))),
"")</f>
        <v>440</v>
      </c>
    </row>
    <row r="2717" spans="1:7" x14ac:dyDescent="0.25">
      <c r="A2717">
        <v>11717126</v>
      </c>
      <c r="B2717" t="str">
        <f>VLOOKUP(A2717,Planilha2!B:C,2,0)</f>
        <v>INVERSOR EUCFW110024T4OFAWZ</v>
      </c>
      <c r="C2717" t="s">
        <v>3169</v>
      </c>
      <c r="D2717" t="str">
        <f>VLOOKUP(A2717,Planilha2!B:H,7,0)</f>
        <v>LINHA P7</v>
      </c>
      <c r="E2717" s="5">
        <v>11440</v>
      </c>
      <c r="F2717">
        <f>IFERROR(
IF(ISNUMBER(FIND("CFW110",B2717)),
VALUE(MID(B2717,FIND("CFW110",B2717)+6,FIND("T",B2717,FIND("CFW110",B2717))-(FIND("CFW110",B2717)+6))),
IF(ISNUMBER(FIND("D",B2717)),
VALUE(SUBSTITUTE(MID(B2717,FIND("D",B2717)+1,FIND("T",B2717,FIND("D",B2717))-(FIND("D",B2717)+1)),"P",",")),
IF(ISNUMBER(FIND("CFW5",B2717)),
VALUE(MID(B2717,
IF(ISNUMBER(FIND("F",B2717)),FIND("F",B2717)+1,FIND("G",B2717)+1),
FIND("T",B2717)-(IF(ISNUMBER(FIND("F",B2717)),FIND("F",B2717)+1,FIND("G",B2717)+1))
)),
VALUE(MID(B2717,FIND("E0",B2717)+2,FIND("T",B2717,FIND("E0",B2717))-(FIND("E0",B2717)+2)))
))),"")</f>
        <v>24</v>
      </c>
      <c r="G2717">
        <f>IFERROR(
IF(ISNUMBER(FIND("T2",B2717)),220,
IF(ISNUMBER(FIND("T4",B2717)),440,
IF(ISNUMBER(FIND("T5",B2717)),575,
IF(ISNUMBER(FIND("T6",B2717)),690,"")))),
"")</f>
        <v>440</v>
      </c>
    </row>
    <row r="2718" spans="1:7" x14ac:dyDescent="0.25">
      <c r="A2718">
        <v>11720243</v>
      </c>
      <c r="B2718" t="str">
        <f>VLOOKUP(A2718,Planilha2!B:C,2,0)</f>
        <v>INVERSOR BRCFW110024T2OYZ</v>
      </c>
      <c r="C2718" t="s">
        <v>3169</v>
      </c>
      <c r="D2718" t="str">
        <f>VLOOKUP(A2718,Planilha2!B:H,7,0)</f>
        <v>LINHA P7</v>
      </c>
      <c r="E2718" s="5">
        <v>9100</v>
      </c>
      <c r="F2718">
        <f>IFERROR(
IF(ISNUMBER(FIND("CFW110",B2718)),
VALUE(MID(B2718,FIND("CFW110",B2718)+6,FIND("T",B2718,FIND("CFW110",B2718))-(FIND("CFW110",B2718)+6))),
IF(ISNUMBER(FIND("D",B2718)),
VALUE(SUBSTITUTE(MID(B2718,FIND("D",B2718)+1,FIND("T",B2718,FIND("D",B2718))-(FIND("D",B2718)+1)),"P",",")),
IF(ISNUMBER(FIND("CFW5",B2718)),
VALUE(MID(B2718,
IF(ISNUMBER(FIND("F",B2718)),FIND("F",B2718)+1,FIND("G",B2718)+1),
FIND("T",B2718)-(IF(ISNUMBER(FIND("F",B2718)),FIND("F",B2718)+1,FIND("G",B2718)+1))
)),
VALUE(MID(B2718,FIND("E0",B2718)+2,FIND("T",B2718,FIND("E0",B2718))-(FIND("E0",B2718)+2)))
))),"")</f>
        <v>24</v>
      </c>
      <c r="G2718">
        <f>IFERROR(
IF(ISNUMBER(FIND("T2",B2718)),220,
IF(ISNUMBER(FIND("T4",B2718)),440,
IF(ISNUMBER(FIND("T5",B2718)),575,
IF(ISNUMBER(FIND("T6",B2718)),690,"")))),
"")</f>
        <v>220</v>
      </c>
    </row>
    <row r="2719" spans="1:7" x14ac:dyDescent="0.25">
      <c r="A2719">
        <v>11801619</v>
      </c>
      <c r="B2719" t="str">
        <f>VLOOKUP(A2719,Planilha2!B:C,2,0)</f>
        <v>INVERSOR CFW701A07P0S2DB20C3</v>
      </c>
      <c r="C2719" t="s">
        <v>3169</v>
      </c>
      <c r="D2719" t="str">
        <f>VLOOKUP(A2719,Planilha2!B:H,7,0)</f>
        <v>OBSOLETOS DRIVES</v>
      </c>
      <c r="E2719" s="5">
        <v>5700</v>
      </c>
      <c r="F2719" t="str">
        <f>IFERROR(
IF(ISNUMBER(FIND("CFW110",B2719)),
VALUE(MID(B2719,FIND("CFW110",B2719)+6,FIND("T",B2719,FIND("CFW110",B2719))-(FIND("CFW110",B2719)+6))),
IF(ISNUMBER(FIND("D",B2719)),
VALUE(SUBSTITUTE(MID(B2719,FIND("D",B2719)+1,FIND("T",B2719,FIND("D",B2719))-(FIND("D",B2719)+1)),"P",",")),
IF(ISNUMBER(FIND("CFW5",B2719)),
VALUE(MID(B2719,
IF(ISNUMBER(FIND("F",B2719)),FIND("F",B2719)+1,FIND("G",B2719)+1),
FIND("T",B2719)-(IF(ISNUMBER(FIND("F",B2719)),FIND("F",B2719)+1,FIND("G",B2719)+1))
)),
VALUE(MID(B2719,FIND("E0",B2719)+2,FIND("T",B2719,FIND("E0",B2719))-(FIND("E0",B2719)+2)))
))),"")</f>
        <v/>
      </c>
      <c r="G2719" t="str">
        <f>IFERROR(
IF(ISNUMBER(FIND("T2",B2719)),220,
IF(ISNUMBER(FIND("T4",B2719)),440,
IF(ISNUMBER(FIND("T5",B2719)),575,
IF(ISNUMBER(FIND("T6",B2719)),690,"")))),
"")</f>
        <v/>
      </c>
    </row>
    <row r="2720" spans="1:7" x14ac:dyDescent="0.25">
      <c r="A2720">
        <v>11801658</v>
      </c>
      <c r="B2720" t="str">
        <f>VLOOKUP(A2720,Planilha2!B:C,2,0)</f>
        <v>INVERSOR CFW701A03P6T4DB20C3</v>
      </c>
      <c r="C2720" t="s">
        <v>3169</v>
      </c>
      <c r="D2720" t="str">
        <f>VLOOKUP(A2720,Planilha2!B:H,7,0)</f>
        <v>OBSOLETOS DRIVES</v>
      </c>
      <c r="E2720" s="5">
        <v>5700</v>
      </c>
      <c r="F2720" t="str">
        <f>IFERROR(
IF(ISNUMBER(FIND("CFW110",B2720)),
VALUE(MID(B2720,FIND("CFW110",B2720)+6,FIND("T",B2720,FIND("CFW110",B2720))-(FIND("CFW110",B2720)+6))),
IF(ISNUMBER(FIND("D",B2720)),
VALUE(SUBSTITUTE(MID(B2720,FIND("D",B2720)+1,FIND("T",B2720,FIND("D",B2720))-(FIND("D",B2720)+1)),"P",",")),
IF(ISNUMBER(FIND("CFW5",B2720)),
VALUE(MID(B2720,
IF(ISNUMBER(FIND("F",B2720)),FIND("F",B2720)+1,FIND("G",B2720)+1),
FIND("T",B2720)-(IF(ISNUMBER(FIND("F",B2720)),FIND("F",B2720)+1,FIND("G",B2720)+1))
)),
VALUE(MID(B2720,FIND("E0",B2720)+2,FIND("T",B2720,FIND("E0",B2720))-(FIND("E0",B2720)+2)))
))),"")</f>
        <v/>
      </c>
      <c r="G2720">
        <f>IFERROR(
IF(ISNUMBER(FIND("T2",B2720)),220,
IF(ISNUMBER(FIND("T4",B2720)),440,
IF(ISNUMBER(FIND("T5",B2720)),575,
IF(ISNUMBER(FIND("T6",B2720)),690,"")))),
"")</f>
        <v>440</v>
      </c>
    </row>
    <row r="2721" spans="1:7" x14ac:dyDescent="0.25">
      <c r="A2721">
        <v>11801992</v>
      </c>
      <c r="B2721" t="str">
        <f>VLOOKUP(A2721,Planilha2!B:C,2,0)</f>
        <v>INVERSOR CFW701A05P0T4DB20C3</v>
      </c>
      <c r="C2721" t="s">
        <v>3169</v>
      </c>
      <c r="D2721" t="str">
        <f>VLOOKUP(A2721,Planilha2!B:H,7,0)</f>
        <v>OBSOLETOS DRIVES</v>
      </c>
      <c r="E2721" s="5">
        <v>5700</v>
      </c>
      <c r="F2721" t="str">
        <f>IFERROR(
IF(ISNUMBER(FIND("CFW110",B2721)),
VALUE(MID(B2721,FIND("CFW110",B2721)+6,FIND("T",B2721,FIND("CFW110",B2721))-(FIND("CFW110",B2721)+6))),
IF(ISNUMBER(FIND("D",B2721)),
VALUE(SUBSTITUTE(MID(B2721,FIND("D",B2721)+1,FIND("T",B2721,FIND("D",B2721))-(FIND("D",B2721)+1)),"P",",")),
IF(ISNUMBER(FIND("CFW5",B2721)),
VALUE(MID(B2721,
IF(ISNUMBER(FIND("F",B2721)),FIND("F",B2721)+1,FIND("G",B2721)+1),
FIND("T",B2721)-(IF(ISNUMBER(FIND("F",B2721)),FIND("F",B2721)+1,FIND("G",B2721)+1))
)),
VALUE(MID(B2721,FIND("E0",B2721)+2,FIND("T",B2721,FIND("E0",B2721))-(FIND("E0",B2721)+2)))
))),"")</f>
        <v/>
      </c>
      <c r="G2721">
        <f>IFERROR(
IF(ISNUMBER(FIND("T2",B2721)),220,
IF(ISNUMBER(FIND("T4",B2721)),440,
IF(ISNUMBER(FIND("T5",B2721)),575,
IF(ISNUMBER(FIND("T6",B2721)),690,"")))),
"")</f>
        <v>440</v>
      </c>
    </row>
    <row r="2722" spans="1:7" x14ac:dyDescent="0.25">
      <c r="A2722">
        <v>11802071</v>
      </c>
      <c r="B2722" t="str">
        <f>VLOOKUP(A2722,Planilha2!B:C,2,0)</f>
        <v>INVERSOR CFW701A07P0T4DB20C3</v>
      </c>
      <c r="C2722" t="s">
        <v>3169</v>
      </c>
      <c r="D2722" t="str">
        <f>VLOOKUP(A2722,Planilha2!B:H,7,0)</f>
        <v>OBSOLETOS DRIVES</v>
      </c>
      <c r="E2722" s="5">
        <v>5700</v>
      </c>
      <c r="F2722" t="str">
        <f>IFERROR(
IF(ISNUMBER(FIND("CFW110",B2722)),
VALUE(MID(B2722,FIND("CFW110",B2722)+6,FIND("T",B2722,FIND("CFW110",B2722))-(FIND("CFW110",B2722)+6))),
IF(ISNUMBER(FIND("D",B2722)),
VALUE(SUBSTITUTE(MID(B2722,FIND("D",B2722)+1,FIND("T",B2722,FIND("D",B2722))-(FIND("D",B2722)+1)),"P",",")),
IF(ISNUMBER(FIND("CFW5",B2722)),
VALUE(MID(B2722,
IF(ISNUMBER(FIND("F",B2722)),FIND("F",B2722)+1,FIND("G",B2722)+1),
FIND("T",B2722)-(IF(ISNUMBER(FIND("F",B2722)),FIND("F",B2722)+1,FIND("G",B2722)+1))
)),
VALUE(MID(B2722,FIND("E0",B2722)+2,FIND("T",B2722,FIND("E0",B2722))-(FIND("E0",B2722)+2)))
))),"")</f>
        <v/>
      </c>
      <c r="G2722">
        <f>IFERROR(
IF(ISNUMBER(FIND("T2",B2722)),220,
IF(ISNUMBER(FIND("T4",B2722)),440,
IF(ISNUMBER(FIND("T5",B2722)),575,
IF(ISNUMBER(FIND("T6",B2722)),690,"")))),
"")</f>
        <v>440</v>
      </c>
    </row>
    <row r="2723" spans="1:7" x14ac:dyDescent="0.25">
      <c r="A2723">
        <v>11802077</v>
      </c>
      <c r="B2723" t="str">
        <f>VLOOKUP(A2723,Planilha2!B:C,2,0)</f>
        <v>INVERSOR CFW701A10P0T4DB20C3</v>
      </c>
      <c r="C2723" t="s">
        <v>3169</v>
      </c>
      <c r="D2723" t="str">
        <f>VLOOKUP(A2723,Planilha2!B:H,7,0)</f>
        <v>OBSOLETOS DRIVES</v>
      </c>
      <c r="E2723" s="5">
        <v>5700</v>
      </c>
      <c r="F2723" t="str">
        <f>IFERROR(
IF(ISNUMBER(FIND("CFW110",B2723)),
VALUE(MID(B2723,FIND("CFW110",B2723)+6,FIND("T",B2723,FIND("CFW110",B2723))-(FIND("CFW110",B2723)+6))),
IF(ISNUMBER(FIND("D",B2723)),
VALUE(SUBSTITUTE(MID(B2723,FIND("D",B2723)+1,FIND("T",B2723,FIND("D",B2723))-(FIND("D",B2723)+1)),"P",",")),
IF(ISNUMBER(FIND("CFW5",B2723)),
VALUE(MID(B2723,
IF(ISNUMBER(FIND("F",B2723)),FIND("F",B2723)+1,FIND("G",B2723)+1),
FIND("T",B2723)-(IF(ISNUMBER(FIND("F",B2723)),FIND("F",B2723)+1,FIND("G",B2723)+1))
)),
VALUE(MID(B2723,FIND("E0",B2723)+2,FIND("T",B2723,FIND("E0",B2723))-(FIND("E0",B2723)+2)))
))),"")</f>
        <v/>
      </c>
      <c r="G2723">
        <f>IFERROR(
IF(ISNUMBER(FIND("T2",B2723)),220,
IF(ISNUMBER(FIND("T4",B2723)),440,
IF(ISNUMBER(FIND("T5",B2723)),575,
IF(ISNUMBER(FIND("T6",B2723)),690,"")))),
"")</f>
        <v>440</v>
      </c>
    </row>
    <row r="2724" spans="1:7" x14ac:dyDescent="0.25">
      <c r="A2724">
        <v>10867320</v>
      </c>
      <c r="B2724" t="str">
        <f>VLOOKUP(A2724,Planilha2!B:C,2,0)</f>
        <v>INVERSOR BRCFW110024T4OWZ</v>
      </c>
      <c r="C2724" t="s">
        <v>3169</v>
      </c>
      <c r="D2724" t="str">
        <f>VLOOKUP(A2724,Planilha2!B:H,7,0)</f>
        <v>LINHA P7</v>
      </c>
      <c r="E2724" s="5">
        <v>11940</v>
      </c>
      <c r="F2724">
        <f>IFERROR(
IF(ISNUMBER(FIND("CFW110",B2724)),
VALUE(MID(B2724,FIND("CFW110",B2724)+6,FIND("T",B2724,FIND("CFW110",B2724))-(FIND("CFW110",B2724)+6))),
IF(ISNUMBER(FIND("D",B2724)),
VALUE(SUBSTITUTE(MID(B2724,FIND("D",B2724)+1,FIND("T",B2724,FIND("D",B2724))-(FIND("D",B2724)+1)),"P",",")),
IF(ISNUMBER(FIND("CFW5",B2724)),
VALUE(MID(B2724,
IF(ISNUMBER(FIND("F",B2724)),FIND("F",B2724)+1,FIND("G",B2724)+1),
FIND("T",B2724)-(IF(ISNUMBER(FIND("F",B2724)),FIND("F",B2724)+1,FIND("G",B2724)+1))
)),
VALUE(MID(B2724,FIND("E0",B2724)+2,FIND("T",B2724,FIND("E0",B2724))-(FIND("E0",B2724)+2)))
))),"")</f>
        <v>24</v>
      </c>
      <c r="G2724">
        <f>IFERROR(
IF(ISNUMBER(FIND("T2",B2724)),220,
IF(ISNUMBER(FIND("T4",B2724)),440,
IF(ISNUMBER(FIND("T5",B2724)),575,
IF(ISNUMBER(FIND("T6",B2724)),690,"")))),
"")</f>
        <v>440</v>
      </c>
    </row>
    <row r="2725" spans="1:7" x14ac:dyDescent="0.25">
      <c r="A2725">
        <v>11801572</v>
      </c>
      <c r="B2725" t="str">
        <f>VLOOKUP(A2725,Planilha2!B:C,2,0)</f>
        <v>INVERSOR CFW701A06P0S2DB20C3</v>
      </c>
      <c r="C2725" t="s">
        <v>3169</v>
      </c>
      <c r="D2725" t="str">
        <f>VLOOKUP(A2725,Planilha2!B:H,7,0)</f>
        <v>OBSOLETOS DRIVES</v>
      </c>
      <c r="E2725" s="5">
        <v>5700</v>
      </c>
      <c r="F2725" t="str">
        <f>IFERROR(
IF(ISNUMBER(FIND("CFW110",B2725)),
VALUE(MID(B2725,FIND("CFW110",B2725)+6,FIND("T",B2725,FIND("CFW110",B2725))-(FIND("CFW110",B2725)+6))),
IF(ISNUMBER(FIND("D",B2725)),
VALUE(SUBSTITUTE(MID(B2725,FIND("D",B2725)+1,FIND("T",B2725,FIND("D",B2725))-(FIND("D",B2725)+1)),"P",",")),
IF(ISNUMBER(FIND("CFW5",B2725)),
VALUE(MID(B2725,
IF(ISNUMBER(FIND("F",B2725)),FIND("F",B2725)+1,FIND("G",B2725)+1),
FIND("T",B2725)-(IF(ISNUMBER(FIND("F",B2725)),FIND("F",B2725)+1,FIND("G",B2725)+1))
)),
VALUE(MID(B2725,FIND("E0",B2725)+2,FIND("T",B2725,FIND("E0",B2725))-(FIND("E0",B2725)+2)))
))),"")</f>
        <v/>
      </c>
      <c r="G2725" t="str">
        <f>IFERROR(
IF(ISNUMBER(FIND("T2",B2725)),220,
IF(ISNUMBER(FIND("T4",B2725)),440,
IF(ISNUMBER(FIND("T5",B2725)),575,
IF(ISNUMBER(FIND("T6",B2725)),690,"")))),
"")</f>
        <v/>
      </c>
    </row>
    <row r="2726" spans="1:7" x14ac:dyDescent="0.25">
      <c r="A2726">
        <v>11801621</v>
      </c>
      <c r="B2726" t="str">
        <f>VLOOKUP(A2726,Planilha2!B:C,2,0)</f>
        <v>INVERSOR CFW701A10P0S2DB20C3</v>
      </c>
      <c r="C2726" t="s">
        <v>3169</v>
      </c>
      <c r="D2726" t="str">
        <f>VLOOKUP(A2726,Planilha2!B:H,7,0)</f>
        <v>OBSOLETOS DRIVES</v>
      </c>
      <c r="E2726" s="5">
        <v>5700</v>
      </c>
      <c r="F2726" t="str">
        <f>IFERROR(
IF(ISNUMBER(FIND("CFW110",B2726)),
VALUE(MID(B2726,FIND("CFW110",B2726)+6,FIND("T",B2726,FIND("CFW110",B2726))-(FIND("CFW110",B2726)+6))),
IF(ISNUMBER(FIND("D",B2726)),
VALUE(SUBSTITUTE(MID(B2726,FIND("D",B2726)+1,FIND("T",B2726,FIND("D",B2726))-(FIND("D",B2726)+1)),"P",",")),
IF(ISNUMBER(FIND("CFW5",B2726)),
VALUE(MID(B2726,
IF(ISNUMBER(FIND("F",B2726)),FIND("F",B2726)+1,FIND("G",B2726)+1),
FIND("T",B2726)-(IF(ISNUMBER(FIND("F",B2726)),FIND("F",B2726)+1,FIND("G",B2726)+1))
)),
VALUE(MID(B2726,FIND("E0",B2726)+2,FIND("T",B2726,FIND("E0",B2726))-(FIND("E0",B2726)+2)))
))),"")</f>
        <v/>
      </c>
      <c r="G2726" t="str">
        <f>IFERROR(
IF(ISNUMBER(FIND("T2",B2726)),220,
IF(ISNUMBER(FIND("T4",B2726)),440,
IF(ISNUMBER(FIND("T5",B2726)),575,
IF(ISNUMBER(FIND("T6",B2726)),690,"")))),
"")</f>
        <v/>
      </c>
    </row>
    <row r="2727" spans="1:7" x14ac:dyDescent="0.25">
      <c r="A2727">
        <v>11802261</v>
      </c>
      <c r="B2727" t="str">
        <f>VLOOKUP(A2727,Planilha2!B:C,2,0)</f>
        <v>INVERSOR CFW701A13P5T4DB20C3</v>
      </c>
      <c r="C2727" t="s">
        <v>3169</v>
      </c>
      <c r="D2727" t="str">
        <f>VLOOKUP(A2727,Planilha2!B:H,7,0)</f>
        <v>OBSOLETOS DRIVES</v>
      </c>
      <c r="E2727" s="5">
        <v>5700</v>
      </c>
      <c r="F2727" t="str">
        <f>IFERROR(
IF(ISNUMBER(FIND("CFW110",B2727)),
VALUE(MID(B2727,FIND("CFW110",B2727)+6,FIND("T",B2727,FIND("CFW110",B2727))-(FIND("CFW110",B2727)+6))),
IF(ISNUMBER(FIND("D",B2727)),
VALUE(SUBSTITUTE(MID(B2727,FIND("D",B2727)+1,FIND("T",B2727,FIND("D",B2727))-(FIND("D",B2727)+1)),"P",",")),
IF(ISNUMBER(FIND("CFW5",B2727)),
VALUE(MID(B2727,
IF(ISNUMBER(FIND("F",B2727)),FIND("F",B2727)+1,FIND("G",B2727)+1),
FIND("T",B2727)-(IF(ISNUMBER(FIND("F",B2727)),FIND("F",B2727)+1,FIND("G",B2727)+1))
)),
VALUE(MID(B2727,FIND("E0",B2727)+2,FIND("T",B2727,FIND("E0",B2727))-(FIND("E0",B2727)+2)))
))),"")</f>
        <v/>
      </c>
      <c r="G2727">
        <f>IFERROR(
IF(ISNUMBER(FIND("T2",B2727)),220,
IF(ISNUMBER(FIND("T4",B2727)),440,
IF(ISNUMBER(FIND("T5",B2727)),575,
IF(ISNUMBER(FIND("T6",B2727)),690,"")))),
"")</f>
        <v>440</v>
      </c>
    </row>
    <row r="2728" spans="1:7" x14ac:dyDescent="0.25">
      <c r="A2728">
        <v>11802262</v>
      </c>
      <c r="B2728" t="str">
        <f>VLOOKUP(A2728,Planilha2!B:C,2,0)</f>
        <v>INVERSOR CFW701A07P0T2DB20C3</v>
      </c>
      <c r="C2728" t="s">
        <v>3169</v>
      </c>
      <c r="D2728" t="str">
        <f>VLOOKUP(A2728,Planilha2!B:H,7,0)</f>
        <v>OBSOLETOS DRIVES</v>
      </c>
      <c r="E2728" s="5">
        <v>5700</v>
      </c>
      <c r="F2728" t="str">
        <f>IFERROR(
IF(ISNUMBER(FIND("CFW110",B2728)),
VALUE(MID(B2728,FIND("CFW110",B2728)+6,FIND("T",B2728,FIND("CFW110",B2728))-(FIND("CFW110",B2728)+6))),
IF(ISNUMBER(FIND("D",B2728)),
VALUE(SUBSTITUTE(MID(B2728,FIND("D",B2728)+1,FIND("T",B2728,FIND("D",B2728))-(FIND("D",B2728)+1)),"P",",")),
IF(ISNUMBER(FIND("CFW5",B2728)),
VALUE(MID(B2728,
IF(ISNUMBER(FIND("F",B2728)),FIND("F",B2728)+1,FIND("G",B2728)+1),
FIND("T",B2728)-(IF(ISNUMBER(FIND("F",B2728)),FIND("F",B2728)+1,FIND("G",B2728)+1))
)),
VALUE(MID(B2728,FIND("E0",B2728)+2,FIND("T",B2728,FIND("E0",B2728))-(FIND("E0",B2728)+2)))
))),"")</f>
        <v/>
      </c>
      <c r="G2728">
        <f>IFERROR(
IF(ISNUMBER(FIND("T2",B2728)),220,
IF(ISNUMBER(FIND("T4",B2728)),440,
IF(ISNUMBER(FIND("T5",B2728)),575,
IF(ISNUMBER(FIND("T6",B2728)),690,"")))),
"")</f>
        <v>220</v>
      </c>
    </row>
    <row r="2729" spans="1:7" x14ac:dyDescent="0.25">
      <c r="A2729">
        <v>11802263</v>
      </c>
      <c r="B2729" t="str">
        <f>VLOOKUP(A2729,Planilha2!B:C,2,0)</f>
        <v>INVERSOR CFW701A10P0T2DB20C3</v>
      </c>
      <c r="C2729" t="s">
        <v>3169</v>
      </c>
      <c r="D2729" t="str">
        <f>VLOOKUP(A2729,Planilha2!B:H,7,0)</f>
        <v>OBSOLETOS DRIVES</v>
      </c>
      <c r="E2729" s="5">
        <v>5700</v>
      </c>
      <c r="F2729" t="str">
        <f>IFERROR(
IF(ISNUMBER(FIND("CFW110",B2729)),
VALUE(MID(B2729,FIND("CFW110",B2729)+6,FIND("T",B2729,FIND("CFW110",B2729))-(FIND("CFW110",B2729)+6))),
IF(ISNUMBER(FIND("D",B2729)),
VALUE(SUBSTITUTE(MID(B2729,FIND("D",B2729)+1,FIND("T",B2729,FIND("D",B2729))-(FIND("D",B2729)+1)),"P",",")),
IF(ISNUMBER(FIND("CFW5",B2729)),
VALUE(MID(B2729,
IF(ISNUMBER(FIND("F",B2729)),FIND("F",B2729)+1,FIND("G",B2729)+1),
FIND("T",B2729)-(IF(ISNUMBER(FIND("F",B2729)),FIND("F",B2729)+1,FIND("G",B2729)+1))
)),
VALUE(MID(B2729,FIND("E0",B2729)+2,FIND("T",B2729,FIND("E0",B2729))-(FIND("E0",B2729)+2)))
))),"")</f>
        <v/>
      </c>
      <c r="G2729">
        <f>IFERROR(
IF(ISNUMBER(FIND("T2",B2729)),220,
IF(ISNUMBER(FIND("T4",B2729)),440,
IF(ISNUMBER(FIND("T5",B2729)),575,
IF(ISNUMBER(FIND("T6",B2729)),690,"")))),
"")</f>
        <v>220</v>
      </c>
    </row>
    <row r="2730" spans="1:7" x14ac:dyDescent="0.25">
      <c r="A2730">
        <v>11802264</v>
      </c>
      <c r="B2730" t="str">
        <f>VLOOKUP(A2730,Planilha2!B:C,2,0)</f>
        <v>INVERSOR CFW701A13P0T2DB20C3</v>
      </c>
      <c r="C2730" t="s">
        <v>3169</v>
      </c>
      <c r="D2730" t="str">
        <f>VLOOKUP(A2730,Planilha2!B:H,7,0)</f>
        <v>OBSOLETOS DRIVES</v>
      </c>
      <c r="E2730" s="5">
        <v>5700</v>
      </c>
      <c r="F2730" t="str">
        <f>IFERROR(
IF(ISNUMBER(FIND("CFW110",B2730)),
VALUE(MID(B2730,FIND("CFW110",B2730)+6,FIND("T",B2730,FIND("CFW110",B2730))-(FIND("CFW110",B2730)+6))),
IF(ISNUMBER(FIND("D",B2730)),
VALUE(SUBSTITUTE(MID(B2730,FIND("D",B2730)+1,FIND("T",B2730,FIND("D",B2730))-(FIND("D",B2730)+1)),"P",",")),
IF(ISNUMBER(FIND("CFW5",B2730)),
VALUE(MID(B2730,
IF(ISNUMBER(FIND("F",B2730)),FIND("F",B2730)+1,FIND("G",B2730)+1),
FIND("T",B2730)-(IF(ISNUMBER(FIND("F",B2730)),FIND("F",B2730)+1,FIND("G",B2730)+1))
)),
VALUE(MID(B2730,FIND("E0",B2730)+2,FIND("T",B2730,FIND("E0",B2730))-(FIND("E0",B2730)+2)))
))),"")</f>
        <v/>
      </c>
      <c r="G2730">
        <f>IFERROR(
IF(ISNUMBER(FIND("T2",B2730)),220,
IF(ISNUMBER(FIND("T4",B2730)),440,
IF(ISNUMBER(FIND("T5",B2730)),575,
IF(ISNUMBER(FIND("T6",B2730)),690,"")))),
"")</f>
        <v>220</v>
      </c>
    </row>
    <row r="2731" spans="1:7" x14ac:dyDescent="0.25">
      <c r="A2731">
        <v>11802265</v>
      </c>
      <c r="B2731" t="str">
        <f>VLOOKUP(A2731,Planilha2!B:C,2,0)</f>
        <v>INVERSOR CFW701A16P0T2DB20C3</v>
      </c>
      <c r="C2731" t="s">
        <v>3169</v>
      </c>
      <c r="D2731" t="str">
        <f>VLOOKUP(A2731,Planilha2!B:H,7,0)</f>
        <v>OBSOLETOS DRIVES</v>
      </c>
      <c r="E2731" s="5">
        <v>5700</v>
      </c>
      <c r="F2731" t="str">
        <f>IFERROR(
IF(ISNUMBER(FIND("CFW110",B2731)),
VALUE(MID(B2731,FIND("CFW110",B2731)+6,FIND("T",B2731,FIND("CFW110",B2731))-(FIND("CFW110",B2731)+6))),
IF(ISNUMBER(FIND("D",B2731)),
VALUE(SUBSTITUTE(MID(B2731,FIND("D",B2731)+1,FIND("T",B2731,FIND("D",B2731))-(FIND("D",B2731)+1)),"P",",")),
IF(ISNUMBER(FIND("CFW5",B2731)),
VALUE(MID(B2731,
IF(ISNUMBER(FIND("F",B2731)),FIND("F",B2731)+1,FIND("G",B2731)+1),
FIND("T",B2731)-(IF(ISNUMBER(FIND("F",B2731)),FIND("F",B2731)+1,FIND("G",B2731)+1))
)),
VALUE(MID(B2731,FIND("E0",B2731)+2,FIND("T",B2731,FIND("E0",B2731))-(FIND("E0",B2731)+2)))
))),"")</f>
        <v/>
      </c>
      <c r="G2731">
        <f>IFERROR(
IF(ISNUMBER(FIND("T2",B2731)),220,
IF(ISNUMBER(FIND("T4",B2731)),440,
IF(ISNUMBER(FIND("T5",B2731)),575,
IF(ISNUMBER(FIND("T6",B2731)),690,"")))),
"")</f>
        <v>220</v>
      </c>
    </row>
    <row r="2732" spans="1:7" x14ac:dyDescent="0.25">
      <c r="A2732">
        <v>11802266</v>
      </c>
      <c r="B2732" t="str">
        <f>VLOOKUP(A2732,Planilha2!B:C,2,0)</f>
        <v>INVERSOR CFW701B24P0T2DB20C3</v>
      </c>
      <c r="C2732" t="s">
        <v>3169</v>
      </c>
      <c r="D2732" t="str">
        <f>VLOOKUP(A2732,Planilha2!B:H,7,0)</f>
        <v>OBSOLETOS DRIVES</v>
      </c>
      <c r="E2732" s="5">
        <v>9100</v>
      </c>
      <c r="F2732" t="str">
        <f>IFERROR(
IF(ISNUMBER(FIND("CFW110",B2732)),
VALUE(MID(B2732,FIND("CFW110",B2732)+6,FIND("T",B2732,FIND("CFW110",B2732))-(FIND("CFW110",B2732)+6))),
IF(ISNUMBER(FIND("D",B2732)),
VALUE(SUBSTITUTE(MID(B2732,FIND("D",B2732)+1,FIND("T",B2732,FIND("D",B2732))-(FIND("D",B2732)+1)),"P",",")),
IF(ISNUMBER(FIND("CFW5",B2732)),
VALUE(MID(B2732,
IF(ISNUMBER(FIND("F",B2732)),FIND("F",B2732)+1,FIND("G",B2732)+1),
FIND("T",B2732)-(IF(ISNUMBER(FIND("F",B2732)),FIND("F",B2732)+1,FIND("G",B2732)+1))
)),
VALUE(MID(B2732,FIND("E0",B2732)+2,FIND("T",B2732,FIND("E0",B2732))-(FIND("E0",B2732)+2)))
))),"")</f>
        <v/>
      </c>
      <c r="G2732">
        <f>IFERROR(
IF(ISNUMBER(FIND("T2",B2732)),220,
IF(ISNUMBER(FIND("T4",B2732)),440,
IF(ISNUMBER(FIND("T5",B2732)),575,
IF(ISNUMBER(FIND("T6",B2732)),690,"")))),
"")</f>
        <v>220</v>
      </c>
    </row>
    <row r="2733" spans="1:7" x14ac:dyDescent="0.25">
      <c r="A2733">
        <v>11802267</v>
      </c>
      <c r="B2733" t="str">
        <f>VLOOKUP(A2733,Planilha2!B:C,2,0)</f>
        <v>INVERSOR CFW701B28P0T2DB20C3</v>
      </c>
      <c r="C2733" t="s">
        <v>3169</v>
      </c>
      <c r="D2733" t="str">
        <f>VLOOKUP(A2733,Planilha2!B:H,7,0)</f>
        <v>OBSOLETOS DRIVES</v>
      </c>
      <c r="E2733" s="5">
        <v>9100</v>
      </c>
      <c r="F2733" t="str">
        <f>IFERROR(
IF(ISNUMBER(FIND("CFW110",B2733)),
VALUE(MID(B2733,FIND("CFW110",B2733)+6,FIND("T",B2733,FIND("CFW110",B2733))-(FIND("CFW110",B2733)+6))),
IF(ISNUMBER(FIND("D",B2733)),
VALUE(SUBSTITUTE(MID(B2733,FIND("D",B2733)+1,FIND("T",B2733,FIND("D",B2733))-(FIND("D",B2733)+1)),"P",",")),
IF(ISNUMBER(FIND("CFW5",B2733)),
VALUE(MID(B2733,
IF(ISNUMBER(FIND("F",B2733)),FIND("F",B2733)+1,FIND("G",B2733)+1),
FIND("T",B2733)-(IF(ISNUMBER(FIND("F",B2733)),FIND("F",B2733)+1,FIND("G",B2733)+1))
)),
VALUE(MID(B2733,FIND("E0",B2733)+2,FIND("T",B2733,FIND("E0",B2733))-(FIND("E0",B2733)+2)))
))),"")</f>
        <v/>
      </c>
      <c r="G2733">
        <f>IFERROR(
IF(ISNUMBER(FIND("T2",B2733)),220,
IF(ISNUMBER(FIND("T4",B2733)),440,
IF(ISNUMBER(FIND("T5",B2733)),575,
IF(ISNUMBER(FIND("T6",B2733)),690,"")))),
"")</f>
        <v>220</v>
      </c>
    </row>
    <row r="2734" spans="1:7" x14ac:dyDescent="0.25">
      <c r="A2734">
        <v>11802338</v>
      </c>
      <c r="B2734" t="str">
        <f>VLOOKUP(A2734,Planilha2!B:C,2,0)</f>
        <v>INVERSOR CFW701B33P5T2DB20C3</v>
      </c>
      <c r="C2734" t="s">
        <v>3169</v>
      </c>
      <c r="D2734" t="str">
        <f>VLOOKUP(A2734,Planilha2!B:H,7,0)</f>
        <v>OBSOLETOS DRIVES</v>
      </c>
      <c r="E2734" s="5">
        <v>9100</v>
      </c>
      <c r="F2734" t="str">
        <f>IFERROR(
IF(ISNUMBER(FIND("CFW110",B2734)),
VALUE(MID(B2734,FIND("CFW110",B2734)+6,FIND("T",B2734,FIND("CFW110",B2734))-(FIND("CFW110",B2734)+6))),
IF(ISNUMBER(FIND("D",B2734)),
VALUE(SUBSTITUTE(MID(B2734,FIND("D",B2734)+1,FIND("T",B2734,FIND("D",B2734))-(FIND("D",B2734)+1)),"P",",")),
IF(ISNUMBER(FIND("CFW5",B2734)),
VALUE(MID(B2734,
IF(ISNUMBER(FIND("F",B2734)),FIND("F",B2734)+1,FIND("G",B2734)+1),
FIND("T",B2734)-(IF(ISNUMBER(FIND("F",B2734)),FIND("F",B2734)+1,FIND("G",B2734)+1))
)),
VALUE(MID(B2734,FIND("E0",B2734)+2,FIND("T",B2734,FIND("E0",B2734))-(FIND("E0",B2734)+2)))
))),"")</f>
        <v/>
      </c>
      <c r="G2734">
        <f>IFERROR(
IF(ISNUMBER(FIND("T2",B2734)),220,
IF(ISNUMBER(FIND("T4",B2734)),440,
IF(ISNUMBER(FIND("T5",B2734)),575,
IF(ISNUMBER(FIND("T6",B2734)),690,"")))),
"")</f>
        <v>220</v>
      </c>
    </row>
    <row r="2735" spans="1:7" x14ac:dyDescent="0.25">
      <c r="A2735">
        <v>11802339</v>
      </c>
      <c r="B2735" t="str">
        <f>VLOOKUP(A2735,Planilha2!B:C,2,0)</f>
        <v>INVERSOR CFW701B17P0T4DB20C3</v>
      </c>
      <c r="C2735" t="s">
        <v>3169</v>
      </c>
      <c r="D2735" t="str">
        <f>VLOOKUP(A2735,Planilha2!B:H,7,0)</f>
        <v>OBSOLETOS DRIVES</v>
      </c>
      <c r="E2735" s="5">
        <v>9100</v>
      </c>
      <c r="F2735" t="str">
        <f>IFERROR(
IF(ISNUMBER(FIND("CFW110",B2735)),
VALUE(MID(B2735,FIND("CFW110",B2735)+6,FIND("T",B2735,FIND("CFW110",B2735))-(FIND("CFW110",B2735)+6))),
IF(ISNUMBER(FIND("D",B2735)),
VALUE(SUBSTITUTE(MID(B2735,FIND("D",B2735)+1,FIND("T",B2735,FIND("D",B2735))-(FIND("D",B2735)+1)),"P",",")),
IF(ISNUMBER(FIND("CFW5",B2735)),
VALUE(MID(B2735,
IF(ISNUMBER(FIND("F",B2735)),FIND("F",B2735)+1,FIND("G",B2735)+1),
FIND("T",B2735)-(IF(ISNUMBER(FIND("F",B2735)),FIND("F",B2735)+1,FIND("G",B2735)+1))
)),
VALUE(MID(B2735,FIND("E0",B2735)+2,FIND("T",B2735,FIND("E0",B2735))-(FIND("E0",B2735)+2)))
))),"")</f>
        <v/>
      </c>
      <c r="G2735">
        <f>IFERROR(
IF(ISNUMBER(FIND("T2",B2735)),220,
IF(ISNUMBER(FIND("T4",B2735)),440,
IF(ISNUMBER(FIND("T5",B2735)),575,
IF(ISNUMBER(FIND("T6",B2735)),690,"")))),
"")</f>
        <v>440</v>
      </c>
    </row>
    <row r="2736" spans="1:7" x14ac:dyDescent="0.25">
      <c r="A2736">
        <v>11802340</v>
      </c>
      <c r="B2736" t="str">
        <f>VLOOKUP(A2736,Planilha2!B:C,2,0)</f>
        <v>INVERSOR CFW701B24P0T4DB20C3</v>
      </c>
      <c r="C2736" t="s">
        <v>3169</v>
      </c>
      <c r="D2736" t="str">
        <f>VLOOKUP(A2736,Planilha2!B:H,7,0)</f>
        <v>OBSOLETOS DRIVES</v>
      </c>
      <c r="E2736" s="5">
        <v>9100</v>
      </c>
      <c r="F2736" t="str">
        <f>IFERROR(
IF(ISNUMBER(FIND("CFW110",B2736)),
VALUE(MID(B2736,FIND("CFW110",B2736)+6,FIND("T",B2736,FIND("CFW110",B2736))-(FIND("CFW110",B2736)+6))),
IF(ISNUMBER(FIND("D",B2736)),
VALUE(SUBSTITUTE(MID(B2736,FIND("D",B2736)+1,FIND("T",B2736,FIND("D",B2736))-(FIND("D",B2736)+1)),"P",",")),
IF(ISNUMBER(FIND("CFW5",B2736)),
VALUE(MID(B2736,
IF(ISNUMBER(FIND("F",B2736)),FIND("F",B2736)+1,FIND("G",B2736)+1),
FIND("T",B2736)-(IF(ISNUMBER(FIND("F",B2736)),FIND("F",B2736)+1,FIND("G",B2736)+1))
)),
VALUE(MID(B2736,FIND("E0",B2736)+2,FIND("T",B2736,FIND("E0",B2736))-(FIND("E0",B2736)+2)))
))),"")</f>
        <v/>
      </c>
      <c r="G2736">
        <f>IFERROR(
IF(ISNUMBER(FIND("T2",B2736)),220,
IF(ISNUMBER(FIND("T4",B2736)),440,
IF(ISNUMBER(FIND("T5",B2736)),575,
IF(ISNUMBER(FIND("T6",B2736)),690,"")))),
"")</f>
        <v>440</v>
      </c>
    </row>
    <row r="2737" spans="1:7" x14ac:dyDescent="0.25">
      <c r="A2737">
        <v>11802341</v>
      </c>
      <c r="B2737" t="str">
        <f>VLOOKUP(A2737,Planilha2!B:C,2,0)</f>
        <v>INVERSOR CFW701B31P0T4DB20C3</v>
      </c>
      <c r="C2737" t="s">
        <v>3169</v>
      </c>
      <c r="D2737" t="str">
        <f>VLOOKUP(A2737,Planilha2!B:H,7,0)</f>
        <v>OBSOLETOS DRIVES</v>
      </c>
      <c r="E2737" s="5">
        <v>9100</v>
      </c>
      <c r="F2737" t="str">
        <f>IFERROR(
IF(ISNUMBER(FIND("CFW110",B2737)),
VALUE(MID(B2737,FIND("CFW110",B2737)+6,FIND("T",B2737,FIND("CFW110",B2737))-(FIND("CFW110",B2737)+6))),
IF(ISNUMBER(FIND("D",B2737)),
VALUE(SUBSTITUTE(MID(B2737,FIND("D",B2737)+1,FIND("T",B2737,FIND("D",B2737))-(FIND("D",B2737)+1)),"P",",")),
IF(ISNUMBER(FIND("CFW5",B2737)),
VALUE(MID(B2737,
IF(ISNUMBER(FIND("F",B2737)),FIND("F",B2737)+1,FIND("G",B2737)+1),
FIND("T",B2737)-(IF(ISNUMBER(FIND("F",B2737)),FIND("F",B2737)+1,FIND("G",B2737)+1))
)),
VALUE(MID(B2737,FIND("E0",B2737)+2,FIND("T",B2737,FIND("E0",B2737))-(FIND("E0",B2737)+2)))
))),"")</f>
        <v/>
      </c>
      <c r="G2737">
        <f>IFERROR(
IF(ISNUMBER(FIND("T2",B2737)),220,
IF(ISNUMBER(FIND("T4",B2737)),440,
IF(ISNUMBER(FIND("T5",B2737)),575,
IF(ISNUMBER(FIND("T6",B2737)),690,"")))),
"")</f>
        <v>440</v>
      </c>
    </row>
    <row r="2738" spans="1:7" x14ac:dyDescent="0.25">
      <c r="A2738">
        <v>11545383</v>
      </c>
      <c r="B2738" t="str">
        <f>VLOOKUP(A2738,Planilha2!B:C,2,0)</f>
        <v>INVERSOR CFW700A03P6T4DBN1</v>
      </c>
      <c r="C2738" t="s">
        <v>3169</v>
      </c>
      <c r="D2738" t="str">
        <f>VLOOKUP(A2738,Planilha2!B:H,7,0)</f>
        <v>OBSOLETOS DRIVES</v>
      </c>
      <c r="E2738" s="5">
        <v>5700</v>
      </c>
      <c r="F2738" t="str">
        <f>IFERROR(
IF(ISNUMBER(FIND("CFW110",B2738)),
VALUE(MID(B2738,FIND("CFW110",B2738)+6,FIND("T",B2738,FIND("CFW110",B2738))-(FIND("CFW110",B2738)+6))),
IF(ISNUMBER(FIND("D",B2738)),
VALUE(SUBSTITUTE(MID(B2738,FIND("D",B2738)+1,FIND("T",B2738,FIND("D",B2738))-(FIND("D",B2738)+1)),"P",",")),
IF(ISNUMBER(FIND("CFW5",B2738)),
VALUE(MID(B2738,
IF(ISNUMBER(FIND("F",B2738)),FIND("F",B2738)+1,FIND("G",B2738)+1),
FIND("T",B2738)-(IF(ISNUMBER(FIND("F",B2738)),FIND("F",B2738)+1,FIND("G",B2738)+1))
)),
VALUE(MID(B2738,FIND("E0",B2738)+2,FIND("T",B2738,FIND("E0",B2738))-(FIND("E0",B2738)+2)))
))),"")</f>
        <v/>
      </c>
      <c r="G2738">
        <f>IFERROR(
IF(ISNUMBER(FIND("T2",B2738)),220,
IF(ISNUMBER(FIND("T4",B2738)),440,
IF(ISNUMBER(FIND("T5",B2738)),575,
IF(ISNUMBER(FIND("T6",B2738)),690,"")))),
"")</f>
        <v>440</v>
      </c>
    </row>
    <row r="2739" spans="1:7" x14ac:dyDescent="0.25">
      <c r="A2739">
        <v>10193889</v>
      </c>
      <c r="B2739" t="str">
        <f>VLOOKUP(A2739,Planilha2!B:C,2,0)</f>
        <v>INVERSOR BRCFW110002B2SZ</v>
      </c>
      <c r="C2739" t="s">
        <v>3169</v>
      </c>
      <c r="D2739" t="str">
        <f>VLOOKUP(A2739,Planilha2!B:H,7,0)</f>
        <v>LINHA P5</v>
      </c>
      <c r="E2739" s="5">
        <v>2600</v>
      </c>
      <c r="F2739" t="str">
        <f>IFERROR(
IF(ISNUMBER(FIND("CFW110",B2739)),
VALUE(MID(B2739,FIND("CFW110",B2739)+6,FIND("T",B2739,FIND("CFW110",B2739))-(FIND("CFW110",B2739)+6))),
IF(ISNUMBER(FIND("D",B2739)),
VALUE(SUBSTITUTE(MID(B2739,FIND("D",B2739)+1,FIND("T",B2739,FIND("D",B2739))-(FIND("D",B2739)+1)),"P",",")),
IF(ISNUMBER(FIND("CFW5",B2739)),
VALUE(MID(B2739,
IF(ISNUMBER(FIND("F",B2739)),FIND("F",B2739)+1,FIND("G",B2739)+1),
FIND("T",B2739)-(IF(ISNUMBER(FIND("F",B2739)),FIND("F",B2739)+1,FIND("G",B2739)+1))
)),
VALUE(MID(B2739,FIND("E0",B2739)+2,FIND("T",B2739,FIND("E0",B2739))-(FIND("E0",B2739)+2)))
))),"")</f>
        <v/>
      </c>
      <c r="G2739" t="str">
        <f>IFERROR(
IF(ISNUMBER(FIND("T2",B2739)),220,
IF(ISNUMBER(FIND("T4",B2739)),440,
IF(ISNUMBER(FIND("T5",B2739)),575,
IF(ISNUMBER(FIND("T6",B2739)),690,"")))),
"")</f>
        <v/>
      </c>
    </row>
    <row r="2740" spans="1:7" x14ac:dyDescent="0.25">
      <c r="A2740">
        <v>10574691</v>
      </c>
      <c r="B2740" t="str">
        <f>VLOOKUP(A2740,Planilha2!B:C,2,0)</f>
        <v>INVERSOR NACFW110002B2SZ</v>
      </c>
      <c r="C2740" t="s">
        <v>3169</v>
      </c>
      <c r="D2740" t="str">
        <f>VLOOKUP(A2740,Planilha2!B:H,7,0)</f>
        <v>LINHA P5</v>
      </c>
      <c r="E2740" s="5">
        <v>2600</v>
      </c>
      <c r="F2740" t="str">
        <f>IFERROR(
IF(ISNUMBER(FIND("CFW110",B2740)),
VALUE(MID(B2740,FIND("CFW110",B2740)+6,FIND("T",B2740,FIND("CFW110",B2740))-(FIND("CFW110",B2740)+6))),
IF(ISNUMBER(FIND("D",B2740)),
VALUE(SUBSTITUTE(MID(B2740,FIND("D",B2740)+1,FIND("T",B2740,FIND("D",B2740))-(FIND("D",B2740)+1)),"P",",")),
IF(ISNUMBER(FIND("CFW5",B2740)),
VALUE(MID(B2740,
IF(ISNUMBER(FIND("F",B2740)),FIND("F",B2740)+1,FIND("G",B2740)+1),
FIND("T",B2740)-(IF(ISNUMBER(FIND("F",B2740)),FIND("F",B2740)+1,FIND("G",B2740)+1))
)),
VALUE(MID(B2740,FIND("E0",B2740)+2,FIND("T",B2740,FIND("E0",B2740))-(FIND("E0",B2740)+2)))
))),"")</f>
        <v/>
      </c>
      <c r="G2740" t="str">
        <f>IFERROR(
IF(ISNUMBER(FIND("T2",B2740)),220,
IF(ISNUMBER(FIND("T4",B2740)),440,
IF(ISNUMBER(FIND("T5",B2740)),575,
IF(ISNUMBER(FIND("T6",B2740)),690,"")))),
"")</f>
        <v/>
      </c>
    </row>
    <row r="2741" spans="1:7" x14ac:dyDescent="0.25">
      <c r="A2741">
        <v>10574692</v>
      </c>
      <c r="B2741" t="str">
        <f>VLOOKUP(A2741,Planilha2!B:C,2,0)</f>
        <v>INVERSOR NACFW110006B2SZ</v>
      </c>
      <c r="C2741" t="s">
        <v>3169</v>
      </c>
      <c r="D2741" t="str">
        <f>VLOOKUP(A2741,Planilha2!B:H,7,0)</f>
        <v>LINHA P5</v>
      </c>
      <c r="E2741" s="5">
        <v>5050</v>
      </c>
      <c r="F2741" t="str">
        <f>IFERROR(
IF(ISNUMBER(FIND("CFW110",B2741)),
VALUE(MID(B2741,FIND("CFW110",B2741)+6,FIND("T",B2741,FIND("CFW110",B2741))-(FIND("CFW110",B2741)+6))),
IF(ISNUMBER(FIND("D",B2741)),
VALUE(SUBSTITUTE(MID(B2741,FIND("D",B2741)+1,FIND("T",B2741,FIND("D",B2741))-(FIND("D",B2741)+1)),"P",",")),
IF(ISNUMBER(FIND("CFW5",B2741)),
VALUE(MID(B2741,
IF(ISNUMBER(FIND("F",B2741)),FIND("F",B2741)+1,FIND("G",B2741)+1),
FIND("T",B2741)-(IF(ISNUMBER(FIND("F",B2741)),FIND("F",B2741)+1,FIND("G",B2741)+1))
)),
VALUE(MID(B2741,FIND("E0",B2741)+2,FIND("T",B2741,FIND("E0",B2741))-(FIND("E0",B2741)+2)))
))),"")</f>
        <v/>
      </c>
      <c r="G2741" t="str">
        <f>IFERROR(
IF(ISNUMBER(FIND("T2",B2741)),220,
IF(ISNUMBER(FIND("T4",B2741)),440,
IF(ISNUMBER(FIND("T5",B2741)),575,
IF(ISNUMBER(FIND("T6",B2741)),690,"")))),
"")</f>
        <v/>
      </c>
    </row>
    <row r="2742" spans="1:7" x14ac:dyDescent="0.25">
      <c r="A2742">
        <v>10574693</v>
      </c>
      <c r="B2742" t="str">
        <f>VLOOKUP(A2742,Planilha2!B:C,2,0)</f>
        <v>INVERSOR NACFW110007B2SZ</v>
      </c>
      <c r="C2742" t="s">
        <v>3169</v>
      </c>
      <c r="D2742" t="str">
        <f>VLOOKUP(A2742,Planilha2!B:H,7,0)</f>
        <v>LINHA P5</v>
      </c>
      <c r="E2742" s="5">
        <v>5050</v>
      </c>
      <c r="F2742" t="str">
        <f>IFERROR(
IF(ISNUMBER(FIND("CFW110",B2742)),
VALUE(MID(B2742,FIND("CFW110",B2742)+6,FIND("T",B2742,FIND("CFW110",B2742))-(FIND("CFW110",B2742)+6))),
IF(ISNUMBER(FIND("D",B2742)),
VALUE(SUBSTITUTE(MID(B2742,FIND("D",B2742)+1,FIND("T",B2742,FIND("D",B2742))-(FIND("D",B2742)+1)),"P",",")),
IF(ISNUMBER(FIND("CFW5",B2742)),
VALUE(MID(B2742,
IF(ISNUMBER(FIND("F",B2742)),FIND("F",B2742)+1,FIND("G",B2742)+1),
FIND("T",B2742)-(IF(ISNUMBER(FIND("F",B2742)),FIND("F",B2742)+1,FIND("G",B2742)+1))
)),
VALUE(MID(B2742,FIND("E0",B2742)+2,FIND("T",B2742,FIND("E0",B2742))-(FIND("E0",B2742)+2)))
))),"")</f>
        <v/>
      </c>
      <c r="G2742" t="str">
        <f>IFERROR(
IF(ISNUMBER(FIND("T2",B2742)),220,
IF(ISNUMBER(FIND("T4",B2742)),440,
IF(ISNUMBER(FIND("T5",B2742)),575,
IF(ISNUMBER(FIND("T6",B2742)),690,"")))),
"")</f>
        <v/>
      </c>
    </row>
    <row r="2743" spans="1:7" x14ac:dyDescent="0.25">
      <c r="A2743">
        <v>10574694</v>
      </c>
      <c r="B2743" t="str">
        <f>VLOOKUP(A2743,Planilha2!B:C,2,0)</f>
        <v>INVERSOR NACFW110010S2SZ</v>
      </c>
      <c r="C2743" t="s">
        <v>3169</v>
      </c>
      <c r="D2743" t="str">
        <f>VLOOKUP(A2743,Planilha2!B:H,7,0)</f>
        <v>LINHA P5</v>
      </c>
      <c r="E2743" s="5">
        <v>5350</v>
      </c>
      <c r="F2743" t="str">
        <f>IFERROR(
IF(ISNUMBER(FIND("CFW110",B2743)),
VALUE(MID(B2743,FIND("CFW110",B2743)+6,FIND("T",B2743,FIND("CFW110",B2743))-(FIND("CFW110",B2743)+6))),
IF(ISNUMBER(FIND("D",B2743)),
VALUE(SUBSTITUTE(MID(B2743,FIND("D",B2743)+1,FIND("T",B2743,FIND("D",B2743))-(FIND("D",B2743)+1)),"P",",")),
IF(ISNUMBER(FIND("CFW5",B2743)),
VALUE(MID(B2743,
IF(ISNUMBER(FIND("F",B2743)),FIND("F",B2743)+1,FIND("G",B2743)+1),
FIND("T",B2743)-(IF(ISNUMBER(FIND("F",B2743)),FIND("F",B2743)+1,FIND("G",B2743)+1))
)),
VALUE(MID(B2743,FIND("E0",B2743)+2,FIND("T",B2743,FIND("E0",B2743))-(FIND("E0",B2743)+2)))
))),"")</f>
        <v/>
      </c>
      <c r="G2743" t="str">
        <f>IFERROR(
IF(ISNUMBER(FIND("T2",B2743)),220,
IF(ISNUMBER(FIND("T4",B2743)),440,
IF(ISNUMBER(FIND("T5",B2743)),575,
IF(ISNUMBER(FIND("T6",B2743)),690,"")))),
"")</f>
        <v/>
      </c>
    </row>
    <row r="2744" spans="1:7" x14ac:dyDescent="0.25">
      <c r="A2744">
        <v>10574695</v>
      </c>
      <c r="B2744" t="str">
        <f>VLOOKUP(A2744,Planilha2!B:C,2,0)</f>
        <v>INVERSOR NACFW110007T2SZ</v>
      </c>
      <c r="C2744" t="s">
        <v>3169</v>
      </c>
      <c r="D2744" t="str">
        <f>VLOOKUP(A2744,Planilha2!B:H,7,0)</f>
        <v>LINHA P5</v>
      </c>
      <c r="E2744" s="5">
        <v>5050</v>
      </c>
      <c r="F2744">
        <f>IFERROR(
IF(ISNUMBER(FIND("CFW110",B2744)),
VALUE(MID(B2744,FIND("CFW110",B2744)+6,FIND("T",B2744,FIND("CFW110",B2744))-(FIND("CFW110",B2744)+6))),
IF(ISNUMBER(FIND("D",B2744)),
VALUE(SUBSTITUTE(MID(B2744,FIND("D",B2744)+1,FIND("T",B2744,FIND("D",B2744))-(FIND("D",B2744)+1)),"P",",")),
IF(ISNUMBER(FIND("CFW5",B2744)),
VALUE(MID(B2744,
IF(ISNUMBER(FIND("F",B2744)),FIND("F",B2744)+1,FIND("G",B2744)+1),
FIND("T",B2744)-(IF(ISNUMBER(FIND("F",B2744)),FIND("F",B2744)+1,FIND("G",B2744)+1))
)),
VALUE(MID(B2744,FIND("E0",B2744)+2,FIND("T",B2744,FIND("E0",B2744))-(FIND("E0",B2744)+2)))
))),"")</f>
        <v>7</v>
      </c>
      <c r="G2744">
        <f>IFERROR(
IF(ISNUMBER(FIND("T2",B2744)),220,
IF(ISNUMBER(FIND("T4",B2744)),440,
IF(ISNUMBER(FIND("T5",B2744)),575,
IF(ISNUMBER(FIND("T6",B2744)),690,"")))),
"")</f>
        <v>220</v>
      </c>
    </row>
    <row r="2745" spans="1:7" x14ac:dyDescent="0.25">
      <c r="A2745">
        <v>10574696</v>
      </c>
      <c r="B2745" t="str">
        <f>VLOOKUP(A2745,Planilha2!B:C,2,0)</f>
        <v>INVERSOR NACFW110010T2SZ</v>
      </c>
      <c r="C2745" t="s">
        <v>3169</v>
      </c>
      <c r="D2745" t="str">
        <f>VLOOKUP(A2745,Planilha2!B:H,7,0)</f>
        <v>LINHA P5</v>
      </c>
      <c r="E2745" s="5">
        <v>5350</v>
      </c>
      <c r="F2745">
        <f>IFERROR(
IF(ISNUMBER(FIND("CFW110",B2745)),
VALUE(MID(B2745,FIND("CFW110",B2745)+6,FIND("T",B2745,FIND("CFW110",B2745))-(FIND("CFW110",B2745)+6))),
IF(ISNUMBER(FIND("D",B2745)),
VALUE(SUBSTITUTE(MID(B2745,FIND("D",B2745)+1,FIND("T",B2745,FIND("D",B2745))-(FIND("D",B2745)+1)),"P",",")),
IF(ISNUMBER(FIND("CFW5",B2745)),
VALUE(MID(B2745,
IF(ISNUMBER(FIND("F",B2745)),FIND("F",B2745)+1,FIND("G",B2745)+1),
FIND("T",B2745)-(IF(ISNUMBER(FIND("F",B2745)),FIND("F",B2745)+1,FIND("G",B2745)+1))
)),
VALUE(MID(B2745,FIND("E0",B2745)+2,FIND("T",B2745,FIND("E0",B2745))-(FIND("E0",B2745)+2)))
))),"")</f>
        <v>10</v>
      </c>
      <c r="G2745">
        <f>IFERROR(
IF(ISNUMBER(FIND("T2",B2745)),220,
IF(ISNUMBER(FIND("T4",B2745)),440,
IF(ISNUMBER(FIND("T5",B2745)),575,
IF(ISNUMBER(FIND("T6",B2745)),690,"")))),
"")</f>
        <v>220</v>
      </c>
    </row>
    <row r="2746" spans="1:7" x14ac:dyDescent="0.25">
      <c r="A2746">
        <v>10574697</v>
      </c>
      <c r="B2746" t="str">
        <f>VLOOKUP(A2746,Planilha2!B:C,2,0)</f>
        <v>INVERSOR NACFW110013T2SZ</v>
      </c>
      <c r="C2746" t="s">
        <v>3169</v>
      </c>
      <c r="D2746" t="str">
        <f>VLOOKUP(A2746,Planilha2!B:H,7,0)</f>
        <v>LINHA P5</v>
      </c>
      <c r="E2746" s="5">
        <v>5350</v>
      </c>
      <c r="F2746">
        <f>IFERROR(
IF(ISNUMBER(FIND("CFW110",B2746)),
VALUE(MID(B2746,FIND("CFW110",B2746)+6,FIND("T",B2746,FIND("CFW110",B2746))-(FIND("CFW110",B2746)+6))),
IF(ISNUMBER(FIND("D",B2746)),
VALUE(SUBSTITUTE(MID(B2746,FIND("D",B2746)+1,FIND("T",B2746,FIND("D",B2746))-(FIND("D",B2746)+1)),"P",",")),
IF(ISNUMBER(FIND("CFW5",B2746)),
VALUE(MID(B2746,
IF(ISNUMBER(FIND("F",B2746)),FIND("F",B2746)+1,FIND("G",B2746)+1),
FIND("T",B2746)-(IF(ISNUMBER(FIND("F",B2746)),FIND("F",B2746)+1,FIND("G",B2746)+1))
)),
VALUE(MID(B2746,FIND("E0",B2746)+2,FIND("T",B2746,FIND("E0",B2746))-(FIND("E0",B2746)+2)))
))),"")</f>
        <v>13</v>
      </c>
      <c r="G2746">
        <f>IFERROR(
IF(ISNUMBER(FIND("T2",B2746)),220,
IF(ISNUMBER(FIND("T4",B2746)),440,
IF(ISNUMBER(FIND("T5",B2746)),575,
IF(ISNUMBER(FIND("T6",B2746)),690,"")))),
"")</f>
        <v>220</v>
      </c>
    </row>
    <row r="2747" spans="1:7" x14ac:dyDescent="0.25">
      <c r="A2747">
        <v>10574707</v>
      </c>
      <c r="B2747" t="str">
        <f>VLOOKUP(A2747,Planilha2!B:C,2,0)</f>
        <v>INVERSOR NACFW110003T4SZ</v>
      </c>
      <c r="C2747" t="s">
        <v>3169</v>
      </c>
      <c r="D2747" t="str">
        <f>VLOOKUP(A2747,Planilha2!B:H,7,0)</f>
        <v>LINHA P5</v>
      </c>
      <c r="E2747" s="5">
        <v>5050</v>
      </c>
      <c r="F2747">
        <f>IFERROR(
IF(ISNUMBER(FIND("CFW110",B2747)),
VALUE(MID(B2747,FIND("CFW110",B2747)+6,FIND("T",B2747,FIND("CFW110",B2747))-(FIND("CFW110",B2747)+6))),
IF(ISNUMBER(FIND("D",B2747)),
VALUE(SUBSTITUTE(MID(B2747,FIND("D",B2747)+1,FIND("T",B2747,FIND("D",B2747))-(FIND("D",B2747)+1)),"P",",")),
IF(ISNUMBER(FIND("CFW5",B2747)),
VALUE(MID(B2747,
IF(ISNUMBER(FIND("F",B2747)),FIND("F",B2747)+1,FIND("G",B2747)+1),
FIND("T",B2747)-(IF(ISNUMBER(FIND("F",B2747)),FIND("F",B2747)+1,FIND("G",B2747)+1))
)),
VALUE(MID(B2747,FIND("E0",B2747)+2,FIND("T",B2747,FIND("E0",B2747))-(FIND("E0",B2747)+2)))
))),"")</f>
        <v>3</v>
      </c>
      <c r="G2747">
        <f>IFERROR(
IF(ISNUMBER(FIND("T2",B2747)),220,
IF(ISNUMBER(FIND("T4",B2747)),440,
IF(ISNUMBER(FIND("T5",B2747)),575,
IF(ISNUMBER(FIND("T6",B2747)),690,"")))),
"")</f>
        <v>440</v>
      </c>
    </row>
    <row r="2748" spans="1:7" x14ac:dyDescent="0.25">
      <c r="A2748">
        <v>10574708</v>
      </c>
      <c r="B2748" t="str">
        <f>VLOOKUP(A2748,Planilha2!B:C,2,0)</f>
        <v>INVERSOR NACFW110005T4SZ</v>
      </c>
      <c r="C2748" t="s">
        <v>3169</v>
      </c>
      <c r="D2748" t="str">
        <f>VLOOKUP(A2748,Planilha2!B:H,7,0)</f>
        <v>LINHA P5</v>
      </c>
      <c r="E2748" s="5">
        <v>5250</v>
      </c>
      <c r="F2748">
        <f>IFERROR(
IF(ISNUMBER(FIND("CFW110",B2748)),
VALUE(MID(B2748,FIND("CFW110",B2748)+6,FIND("T",B2748,FIND("CFW110",B2748))-(FIND("CFW110",B2748)+6))),
IF(ISNUMBER(FIND("D",B2748)),
VALUE(SUBSTITUTE(MID(B2748,FIND("D",B2748)+1,FIND("T",B2748,FIND("D",B2748))-(FIND("D",B2748)+1)),"P",",")),
IF(ISNUMBER(FIND("CFW5",B2748)),
VALUE(MID(B2748,
IF(ISNUMBER(FIND("F",B2748)),FIND("F",B2748)+1,FIND("G",B2748)+1),
FIND("T",B2748)-(IF(ISNUMBER(FIND("F",B2748)),FIND("F",B2748)+1,FIND("G",B2748)+1))
)),
VALUE(MID(B2748,FIND("E0",B2748)+2,FIND("T",B2748,FIND("E0",B2748))-(FIND("E0",B2748)+2)))
))),"")</f>
        <v>5</v>
      </c>
      <c r="G2748">
        <f>IFERROR(
IF(ISNUMBER(FIND("T2",B2748)),220,
IF(ISNUMBER(FIND("T4",B2748)),440,
IF(ISNUMBER(FIND("T5",B2748)),575,
IF(ISNUMBER(FIND("T6",B2748)),690,"")))),
"")</f>
        <v>440</v>
      </c>
    </row>
    <row r="2749" spans="1:7" x14ac:dyDescent="0.25">
      <c r="A2749">
        <v>10574709</v>
      </c>
      <c r="B2749" t="str">
        <f>VLOOKUP(A2749,Planilha2!B:C,2,0)</f>
        <v>INVERSOR NACFW110007T4SZ</v>
      </c>
      <c r="C2749" t="s">
        <v>3169</v>
      </c>
      <c r="D2749" t="str">
        <f>VLOOKUP(A2749,Planilha2!B:H,7,0)</f>
        <v>LINHA P5</v>
      </c>
      <c r="E2749" s="5">
        <v>5250</v>
      </c>
      <c r="F2749">
        <f>IFERROR(
IF(ISNUMBER(FIND("CFW110",B2749)),
VALUE(MID(B2749,FIND("CFW110",B2749)+6,FIND("T",B2749,FIND("CFW110",B2749))-(FIND("CFW110",B2749)+6))),
IF(ISNUMBER(FIND("D",B2749)),
VALUE(SUBSTITUTE(MID(B2749,FIND("D",B2749)+1,FIND("T",B2749,FIND("D",B2749))-(FIND("D",B2749)+1)),"P",",")),
IF(ISNUMBER(FIND("CFW5",B2749)),
VALUE(MID(B2749,
IF(ISNUMBER(FIND("F",B2749)),FIND("F",B2749)+1,FIND("G",B2749)+1),
FIND("T",B2749)-(IF(ISNUMBER(FIND("F",B2749)),FIND("F",B2749)+1,FIND("G",B2749)+1))
)),
VALUE(MID(B2749,FIND("E0",B2749)+2,FIND("T",B2749,FIND("E0",B2749))-(FIND("E0",B2749)+2)))
))),"")</f>
        <v>7</v>
      </c>
      <c r="G2749">
        <f>IFERROR(
IF(ISNUMBER(FIND("T2",B2749)),220,
IF(ISNUMBER(FIND("T4",B2749)),440,
IF(ISNUMBER(FIND("T5",B2749)),575,
IF(ISNUMBER(FIND("T6",B2749)),690,"")))),
"")</f>
        <v>440</v>
      </c>
    </row>
    <row r="2750" spans="1:7" x14ac:dyDescent="0.25">
      <c r="A2750">
        <v>10574710</v>
      </c>
      <c r="B2750" t="str">
        <f>VLOOKUP(A2750,Planilha2!B:C,2,0)</f>
        <v>INVERSOR NACFW110010T4SZ</v>
      </c>
      <c r="C2750" t="s">
        <v>3169</v>
      </c>
      <c r="D2750" t="str">
        <f>VLOOKUP(A2750,Planilha2!B:H,7,0)</f>
        <v>LINHA P5</v>
      </c>
      <c r="E2750" s="5">
        <v>5450</v>
      </c>
      <c r="F2750">
        <f>IFERROR(
IF(ISNUMBER(FIND("CFW110",B2750)),
VALUE(MID(B2750,FIND("CFW110",B2750)+6,FIND("T",B2750,FIND("CFW110",B2750))-(FIND("CFW110",B2750)+6))),
IF(ISNUMBER(FIND("D",B2750)),
VALUE(SUBSTITUTE(MID(B2750,FIND("D",B2750)+1,FIND("T",B2750,FIND("D",B2750))-(FIND("D",B2750)+1)),"P",",")),
IF(ISNUMBER(FIND("CFW5",B2750)),
VALUE(MID(B2750,
IF(ISNUMBER(FIND("F",B2750)),FIND("F",B2750)+1,FIND("G",B2750)+1),
FIND("T",B2750)-(IF(ISNUMBER(FIND("F",B2750)),FIND("F",B2750)+1,FIND("G",B2750)+1))
)),
VALUE(MID(B2750,FIND("E0",B2750)+2,FIND("T",B2750,FIND("E0",B2750))-(FIND("E0",B2750)+2)))
))),"")</f>
        <v>10</v>
      </c>
      <c r="G2750">
        <f>IFERROR(
IF(ISNUMBER(FIND("T2",B2750)),220,
IF(ISNUMBER(FIND("T4",B2750)),440,
IF(ISNUMBER(FIND("T5",B2750)),575,
IF(ISNUMBER(FIND("T6",B2750)),690,"")))),
"")</f>
        <v>440</v>
      </c>
    </row>
    <row r="2751" spans="1:7" x14ac:dyDescent="0.25">
      <c r="A2751">
        <v>10574711</v>
      </c>
      <c r="B2751" t="str">
        <f>VLOOKUP(A2751,Planilha2!B:C,2,0)</f>
        <v>INVERSOR NACFW110013T4SZ</v>
      </c>
      <c r="C2751" t="s">
        <v>3169</v>
      </c>
      <c r="D2751" t="str">
        <f>VLOOKUP(A2751,Planilha2!B:H,7,0)</f>
        <v>LINHA P5</v>
      </c>
      <c r="E2751" s="5">
        <v>5650</v>
      </c>
      <c r="F2751">
        <f>IFERROR(
IF(ISNUMBER(FIND("CFW110",B2751)),
VALUE(MID(B2751,FIND("CFW110",B2751)+6,FIND("T",B2751,FIND("CFW110",B2751))-(FIND("CFW110",B2751)+6))),
IF(ISNUMBER(FIND("D",B2751)),
VALUE(SUBSTITUTE(MID(B2751,FIND("D",B2751)+1,FIND("T",B2751,FIND("D",B2751))-(FIND("D",B2751)+1)),"P",",")),
IF(ISNUMBER(FIND("CFW5",B2751)),
VALUE(MID(B2751,
IF(ISNUMBER(FIND("F",B2751)),FIND("F",B2751)+1,FIND("G",B2751)+1),
FIND("T",B2751)-(IF(ISNUMBER(FIND("F",B2751)),FIND("F",B2751)+1,FIND("G",B2751)+1))
)),
VALUE(MID(B2751,FIND("E0",B2751)+2,FIND("T",B2751,FIND("E0",B2751))-(FIND("E0",B2751)+2)))
))),"")</f>
        <v>13</v>
      </c>
      <c r="G2751">
        <f>IFERROR(
IF(ISNUMBER(FIND("T2",B2751)),220,
IF(ISNUMBER(FIND("T4",B2751)),440,
IF(ISNUMBER(FIND("T5",B2751)),575,
IF(ISNUMBER(FIND("T6",B2751)),690,"")))),
"")</f>
        <v>440</v>
      </c>
    </row>
    <row r="2752" spans="1:7" x14ac:dyDescent="0.25">
      <c r="A2752">
        <v>10574720</v>
      </c>
      <c r="B2752" t="str">
        <f>VLOOKUP(A2752,Planilha2!B:C,2,0)</f>
        <v>INVERSOR NACFW110006B2ON1Z</v>
      </c>
      <c r="C2752" t="s">
        <v>3169</v>
      </c>
      <c r="D2752" t="str">
        <f>VLOOKUP(A2752,Planilha2!B:H,7,0)</f>
        <v>LINHA P5</v>
      </c>
      <c r="E2752" s="5">
        <v>5900</v>
      </c>
      <c r="F2752" t="str">
        <f>IFERROR(
IF(ISNUMBER(FIND("CFW110",B2752)),
VALUE(MID(B2752,FIND("CFW110",B2752)+6,FIND("T",B2752,FIND("CFW110",B2752))-(FIND("CFW110",B2752)+6))),
IF(ISNUMBER(FIND("D",B2752)),
VALUE(SUBSTITUTE(MID(B2752,FIND("D",B2752)+1,FIND("T",B2752,FIND("D",B2752))-(FIND("D",B2752)+1)),"P",",")),
IF(ISNUMBER(FIND("CFW5",B2752)),
VALUE(MID(B2752,
IF(ISNUMBER(FIND("F",B2752)),FIND("F",B2752)+1,FIND("G",B2752)+1),
FIND("T",B2752)-(IF(ISNUMBER(FIND("F",B2752)),FIND("F",B2752)+1,FIND("G",B2752)+1))
)),
VALUE(MID(B2752,FIND("E0",B2752)+2,FIND("T",B2752,FIND("E0",B2752))-(FIND("E0",B2752)+2)))
))),"")</f>
        <v/>
      </c>
      <c r="G2752" t="str">
        <f>IFERROR(
IF(ISNUMBER(FIND("T2",B2752)),220,
IF(ISNUMBER(FIND("T4",B2752)),440,
IF(ISNUMBER(FIND("T5",B2752)),575,
IF(ISNUMBER(FIND("T6",B2752)),690,"")))),
"")</f>
        <v/>
      </c>
    </row>
    <row r="2753" spans="1:7" x14ac:dyDescent="0.25">
      <c r="A2753">
        <v>10574721</v>
      </c>
      <c r="B2753" t="str">
        <f>VLOOKUP(A2753,Planilha2!B:C,2,0)</f>
        <v>INVERSOR NACFW110007B2ON1Z</v>
      </c>
      <c r="C2753" t="s">
        <v>3169</v>
      </c>
      <c r="D2753" t="str">
        <f>VLOOKUP(A2753,Planilha2!B:H,7,0)</f>
        <v>LINHA P5</v>
      </c>
      <c r="E2753" s="5">
        <v>5900</v>
      </c>
      <c r="F2753" t="str">
        <f>IFERROR(
IF(ISNUMBER(FIND("CFW110",B2753)),
VALUE(MID(B2753,FIND("CFW110",B2753)+6,FIND("T",B2753,FIND("CFW110",B2753))-(FIND("CFW110",B2753)+6))),
IF(ISNUMBER(FIND("D",B2753)),
VALUE(SUBSTITUTE(MID(B2753,FIND("D",B2753)+1,FIND("T",B2753,FIND("D",B2753))-(FIND("D",B2753)+1)),"P",",")),
IF(ISNUMBER(FIND("CFW5",B2753)),
VALUE(MID(B2753,
IF(ISNUMBER(FIND("F",B2753)),FIND("F",B2753)+1,FIND("G",B2753)+1),
FIND("T",B2753)-(IF(ISNUMBER(FIND("F",B2753)),FIND("F",B2753)+1,FIND("G",B2753)+1))
)),
VALUE(MID(B2753,FIND("E0",B2753)+2,FIND("T",B2753,FIND("E0",B2753))-(FIND("E0",B2753)+2)))
))),"")</f>
        <v/>
      </c>
      <c r="G2753" t="str">
        <f>IFERROR(
IF(ISNUMBER(FIND("T2",B2753)),220,
IF(ISNUMBER(FIND("T4",B2753)),440,
IF(ISNUMBER(FIND("T5",B2753)),575,
IF(ISNUMBER(FIND("T6",B2753)),690,"")))),
"")</f>
        <v/>
      </c>
    </row>
    <row r="2754" spans="1:7" x14ac:dyDescent="0.25">
      <c r="A2754">
        <v>10574722</v>
      </c>
      <c r="B2754" t="str">
        <f>VLOOKUP(A2754,Planilha2!B:C,2,0)</f>
        <v>INVERSOR NACFW110010S2ON1Z</v>
      </c>
      <c r="C2754" t="s">
        <v>3169</v>
      </c>
      <c r="D2754" t="str">
        <f>VLOOKUP(A2754,Planilha2!B:H,7,0)</f>
        <v>LINHA P5</v>
      </c>
      <c r="E2754" s="5">
        <v>6200</v>
      </c>
      <c r="F2754" t="str">
        <f>IFERROR(
IF(ISNUMBER(FIND("CFW110",B2754)),
VALUE(MID(B2754,FIND("CFW110",B2754)+6,FIND("T",B2754,FIND("CFW110",B2754))-(FIND("CFW110",B2754)+6))),
IF(ISNUMBER(FIND("D",B2754)),
VALUE(SUBSTITUTE(MID(B2754,FIND("D",B2754)+1,FIND("T",B2754,FIND("D",B2754))-(FIND("D",B2754)+1)),"P",",")),
IF(ISNUMBER(FIND("CFW5",B2754)),
VALUE(MID(B2754,
IF(ISNUMBER(FIND("F",B2754)),FIND("F",B2754)+1,FIND("G",B2754)+1),
FIND("T",B2754)-(IF(ISNUMBER(FIND("F",B2754)),FIND("F",B2754)+1,FIND("G",B2754)+1))
)),
VALUE(MID(B2754,FIND("E0",B2754)+2,FIND("T",B2754,FIND("E0",B2754))-(FIND("E0",B2754)+2)))
))),"")</f>
        <v/>
      </c>
      <c r="G2754" t="str">
        <f>IFERROR(
IF(ISNUMBER(FIND("T2",B2754)),220,
IF(ISNUMBER(FIND("T4",B2754)),440,
IF(ISNUMBER(FIND("T5",B2754)),575,
IF(ISNUMBER(FIND("T6",B2754)),690,"")))),
"")</f>
        <v/>
      </c>
    </row>
    <row r="2755" spans="1:7" x14ac:dyDescent="0.25">
      <c r="A2755">
        <v>10574723</v>
      </c>
      <c r="B2755" t="str">
        <f>VLOOKUP(A2755,Planilha2!B:C,2,0)</f>
        <v>INVERSOR NACFW110007T2ON1Z</v>
      </c>
      <c r="C2755" t="s">
        <v>3169</v>
      </c>
      <c r="D2755" t="str">
        <f>VLOOKUP(A2755,Planilha2!B:H,7,0)</f>
        <v>LINHA P5</v>
      </c>
      <c r="E2755" s="5">
        <v>5900</v>
      </c>
      <c r="F2755">
        <f>IFERROR(
IF(ISNUMBER(FIND("CFW110",B2755)),
VALUE(MID(B2755,FIND("CFW110",B2755)+6,FIND("T",B2755,FIND("CFW110",B2755))-(FIND("CFW110",B2755)+6))),
IF(ISNUMBER(FIND("D",B2755)),
VALUE(SUBSTITUTE(MID(B2755,FIND("D",B2755)+1,FIND("T",B2755,FIND("D",B2755))-(FIND("D",B2755)+1)),"P",",")),
IF(ISNUMBER(FIND("CFW5",B2755)),
VALUE(MID(B2755,
IF(ISNUMBER(FIND("F",B2755)),FIND("F",B2755)+1,FIND("G",B2755)+1),
FIND("T",B2755)-(IF(ISNUMBER(FIND("F",B2755)),FIND("F",B2755)+1,FIND("G",B2755)+1))
)),
VALUE(MID(B2755,FIND("E0",B2755)+2,FIND("T",B2755,FIND("E0",B2755))-(FIND("E0",B2755)+2)))
))),"")</f>
        <v>7</v>
      </c>
      <c r="G2755">
        <f>IFERROR(
IF(ISNUMBER(FIND("T2",B2755)),220,
IF(ISNUMBER(FIND("T4",B2755)),440,
IF(ISNUMBER(FIND("T5",B2755)),575,
IF(ISNUMBER(FIND("T6",B2755)),690,"")))),
"")</f>
        <v>220</v>
      </c>
    </row>
    <row r="2756" spans="1:7" x14ac:dyDescent="0.25">
      <c r="A2756">
        <v>10574724</v>
      </c>
      <c r="B2756" t="str">
        <f>VLOOKUP(A2756,Planilha2!B:C,2,0)</f>
        <v>INVERSOR NACFW110010T2ON1Z</v>
      </c>
      <c r="C2756" t="s">
        <v>3169</v>
      </c>
      <c r="D2756" t="str">
        <f>VLOOKUP(A2756,Planilha2!B:H,7,0)</f>
        <v>LINHA P5</v>
      </c>
      <c r="E2756" s="5">
        <v>6200</v>
      </c>
      <c r="F2756">
        <f>IFERROR(
IF(ISNUMBER(FIND("CFW110",B2756)),
VALUE(MID(B2756,FIND("CFW110",B2756)+6,FIND("T",B2756,FIND("CFW110",B2756))-(FIND("CFW110",B2756)+6))),
IF(ISNUMBER(FIND("D",B2756)),
VALUE(SUBSTITUTE(MID(B2756,FIND("D",B2756)+1,FIND("T",B2756,FIND("D",B2756))-(FIND("D",B2756)+1)),"P",",")),
IF(ISNUMBER(FIND("CFW5",B2756)),
VALUE(MID(B2756,
IF(ISNUMBER(FIND("F",B2756)),FIND("F",B2756)+1,FIND("G",B2756)+1),
FIND("T",B2756)-(IF(ISNUMBER(FIND("F",B2756)),FIND("F",B2756)+1,FIND("G",B2756)+1))
)),
VALUE(MID(B2756,FIND("E0",B2756)+2,FIND("T",B2756,FIND("E0",B2756))-(FIND("E0",B2756)+2)))
))),"")</f>
        <v>10</v>
      </c>
      <c r="G2756">
        <f>IFERROR(
IF(ISNUMBER(FIND("T2",B2756)),220,
IF(ISNUMBER(FIND("T4",B2756)),440,
IF(ISNUMBER(FIND("T5",B2756)),575,
IF(ISNUMBER(FIND("T6",B2756)),690,"")))),
"")</f>
        <v>220</v>
      </c>
    </row>
    <row r="2757" spans="1:7" x14ac:dyDescent="0.25">
      <c r="A2757">
        <v>10574725</v>
      </c>
      <c r="B2757" t="str">
        <f>VLOOKUP(A2757,Planilha2!B:C,2,0)</f>
        <v>INVERSOR NACFW110013T2ON1Z</v>
      </c>
      <c r="C2757" t="s">
        <v>3169</v>
      </c>
      <c r="D2757" t="str">
        <f>VLOOKUP(A2757,Planilha2!B:H,7,0)</f>
        <v>LINHA P5</v>
      </c>
      <c r="E2757" s="5">
        <v>6200</v>
      </c>
      <c r="F2757">
        <f>IFERROR(
IF(ISNUMBER(FIND("CFW110",B2757)),
VALUE(MID(B2757,FIND("CFW110",B2757)+6,FIND("T",B2757,FIND("CFW110",B2757))-(FIND("CFW110",B2757)+6))),
IF(ISNUMBER(FIND("D",B2757)),
VALUE(SUBSTITUTE(MID(B2757,FIND("D",B2757)+1,FIND("T",B2757,FIND("D",B2757))-(FIND("D",B2757)+1)),"P",",")),
IF(ISNUMBER(FIND("CFW5",B2757)),
VALUE(MID(B2757,
IF(ISNUMBER(FIND("F",B2757)),FIND("F",B2757)+1,FIND("G",B2757)+1),
FIND("T",B2757)-(IF(ISNUMBER(FIND("F",B2757)),FIND("F",B2757)+1,FIND("G",B2757)+1))
)),
VALUE(MID(B2757,FIND("E0",B2757)+2,FIND("T",B2757,FIND("E0",B2757))-(FIND("E0",B2757)+2)))
))),"")</f>
        <v>13</v>
      </c>
      <c r="G2757">
        <f>IFERROR(
IF(ISNUMBER(FIND("T2",B2757)),220,
IF(ISNUMBER(FIND("T4",B2757)),440,
IF(ISNUMBER(FIND("T5",B2757)),575,
IF(ISNUMBER(FIND("T6",B2757)),690,"")))),
"")</f>
        <v>220</v>
      </c>
    </row>
    <row r="2758" spans="1:7" x14ac:dyDescent="0.25">
      <c r="A2758">
        <v>10574733</v>
      </c>
      <c r="B2758" t="str">
        <f>VLOOKUP(A2758,Planilha2!B:C,2,0)</f>
        <v>INVERSOR NACFW110003T4ON1Z</v>
      </c>
      <c r="C2758" t="s">
        <v>3169</v>
      </c>
      <c r="D2758" t="str">
        <f>VLOOKUP(A2758,Planilha2!B:H,7,0)</f>
        <v>LINHA P5</v>
      </c>
      <c r="E2758" s="5">
        <v>5900</v>
      </c>
      <c r="F2758">
        <f>IFERROR(
IF(ISNUMBER(FIND("CFW110",B2758)),
VALUE(MID(B2758,FIND("CFW110",B2758)+6,FIND("T",B2758,FIND("CFW110",B2758))-(FIND("CFW110",B2758)+6))),
IF(ISNUMBER(FIND("D",B2758)),
VALUE(SUBSTITUTE(MID(B2758,FIND("D",B2758)+1,FIND("T",B2758,FIND("D",B2758))-(FIND("D",B2758)+1)),"P",",")),
IF(ISNUMBER(FIND("CFW5",B2758)),
VALUE(MID(B2758,
IF(ISNUMBER(FIND("F",B2758)),FIND("F",B2758)+1,FIND("G",B2758)+1),
FIND("T",B2758)-(IF(ISNUMBER(FIND("F",B2758)),FIND("F",B2758)+1,FIND("G",B2758)+1))
)),
VALUE(MID(B2758,FIND("E0",B2758)+2,FIND("T",B2758,FIND("E0",B2758))-(FIND("E0",B2758)+2)))
))),"")</f>
        <v>3</v>
      </c>
      <c r="G2758">
        <f>IFERROR(
IF(ISNUMBER(FIND("T2",B2758)),220,
IF(ISNUMBER(FIND("T4",B2758)),440,
IF(ISNUMBER(FIND("T5",B2758)),575,
IF(ISNUMBER(FIND("T6",B2758)),690,"")))),
"")</f>
        <v>440</v>
      </c>
    </row>
    <row r="2759" spans="1:7" x14ac:dyDescent="0.25">
      <c r="A2759">
        <v>10574734</v>
      </c>
      <c r="B2759" t="str">
        <f>VLOOKUP(A2759,Planilha2!B:C,2,0)</f>
        <v>INVERSOR NACFW110005T4ON1Z</v>
      </c>
      <c r="C2759" t="s">
        <v>3169</v>
      </c>
      <c r="D2759" t="str">
        <f>VLOOKUP(A2759,Planilha2!B:H,7,0)</f>
        <v>LINHA P5</v>
      </c>
      <c r="E2759" s="5">
        <v>6100</v>
      </c>
      <c r="F2759">
        <f>IFERROR(
IF(ISNUMBER(FIND("CFW110",B2759)),
VALUE(MID(B2759,FIND("CFW110",B2759)+6,FIND("T",B2759,FIND("CFW110",B2759))-(FIND("CFW110",B2759)+6))),
IF(ISNUMBER(FIND("D",B2759)),
VALUE(SUBSTITUTE(MID(B2759,FIND("D",B2759)+1,FIND("T",B2759,FIND("D",B2759))-(FIND("D",B2759)+1)),"P",",")),
IF(ISNUMBER(FIND("CFW5",B2759)),
VALUE(MID(B2759,
IF(ISNUMBER(FIND("F",B2759)),FIND("F",B2759)+1,FIND("G",B2759)+1),
FIND("T",B2759)-(IF(ISNUMBER(FIND("F",B2759)),FIND("F",B2759)+1,FIND("G",B2759)+1))
)),
VALUE(MID(B2759,FIND("E0",B2759)+2,FIND("T",B2759,FIND("E0",B2759))-(FIND("E0",B2759)+2)))
))),"")</f>
        <v>5</v>
      </c>
      <c r="G2759">
        <f>IFERROR(
IF(ISNUMBER(FIND("T2",B2759)),220,
IF(ISNUMBER(FIND("T4",B2759)),440,
IF(ISNUMBER(FIND("T5",B2759)),575,
IF(ISNUMBER(FIND("T6",B2759)),690,"")))),
"")</f>
        <v>440</v>
      </c>
    </row>
    <row r="2760" spans="1:7" x14ac:dyDescent="0.25">
      <c r="A2760">
        <v>10574735</v>
      </c>
      <c r="B2760" t="str">
        <f>VLOOKUP(A2760,Planilha2!B:C,2,0)</f>
        <v>INVERSOR NACFW110007T4ON1Z</v>
      </c>
      <c r="C2760" t="s">
        <v>3169</v>
      </c>
      <c r="D2760" t="str">
        <f>VLOOKUP(A2760,Planilha2!B:H,7,0)</f>
        <v>LINHA P5</v>
      </c>
      <c r="E2760" s="5">
        <v>6100</v>
      </c>
      <c r="F2760">
        <f>IFERROR(
IF(ISNUMBER(FIND("CFW110",B2760)),
VALUE(MID(B2760,FIND("CFW110",B2760)+6,FIND("T",B2760,FIND("CFW110",B2760))-(FIND("CFW110",B2760)+6))),
IF(ISNUMBER(FIND("D",B2760)),
VALUE(SUBSTITUTE(MID(B2760,FIND("D",B2760)+1,FIND("T",B2760,FIND("D",B2760))-(FIND("D",B2760)+1)),"P",",")),
IF(ISNUMBER(FIND("CFW5",B2760)),
VALUE(MID(B2760,
IF(ISNUMBER(FIND("F",B2760)),FIND("F",B2760)+1,FIND("G",B2760)+1),
FIND("T",B2760)-(IF(ISNUMBER(FIND("F",B2760)),FIND("F",B2760)+1,FIND("G",B2760)+1))
)),
VALUE(MID(B2760,FIND("E0",B2760)+2,FIND("T",B2760,FIND("E0",B2760))-(FIND("E0",B2760)+2)))
))),"")</f>
        <v>7</v>
      </c>
      <c r="G2760">
        <f>IFERROR(
IF(ISNUMBER(FIND("T2",B2760)),220,
IF(ISNUMBER(FIND("T4",B2760)),440,
IF(ISNUMBER(FIND("T5",B2760)),575,
IF(ISNUMBER(FIND("T6",B2760)),690,"")))),
"")</f>
        <v>440</v>
      </c>
    </row>
    <row r="2761" spans="1:7" x14ac:dyDescent="0.25">
      <c r="A2761">
        <v>10574736</v>
      </c>
      <c r="B2761" t="str">
        <f>VLOOKUP(A2761,Planilha2!B:C,2,0)</f>
        <v>INVERSOR NACFW110010T4ON1Z</v>
      </c>
      <c r="C2761" t="s">
        <v>3169</v>
      </c>
      <c r="D2761" t="str">
        <f>VLOOKUP(A2761,Planilha2!B:H,7,0)</f>
        <v>LINHA P5</v>
      </c>
      <c r="E2761" s="5">
        <v>6300</v>
      </c>
      <c r="F2761">
        <f>IFERROR(
IF(ISNUMBER(FIND("CFW110",B2761)),
VALUE(MID(B2761,FIND("CFW110",B2761)+6,FIND("T",B2761,FIND("CFW110",B2761))-(FIND("CFW110",B2761)+6))),
IF(ISNUMBER(FIND("D",B2761)),
VALUE(SUBSTITUTE(MID(B2761,FIND("D",B2761)+1,FIND("T",B2761,FIND("D",B2761))-(FIND("D",B2761)+1)),"P",",")),
IF(ISNUMBER(FIND("CFW5",B2761)),
VALUE(MID(B2761,
IF(ISNUMBER(FIND("F",B2761)),FIND("F",B2761)+1,FIND("G",B2761)+1),
FIND("T",B2761)-(IF(ISNUMBER(FIND("F",B2761)),FIND("F",B2761)+1,FIND("G",B2761)+1))
)),
VALUE(MID(B2761,FIND("E0",B2761)+2,FIND("T",B2761,FIND("E0",B2761))-(FIND("E0",B2761)+2)))
))),"")</f>
        <v>10</v>
      </c>
      <c r="G2761">
        <f>IFERROR(
IF(ISNUMBER(FIND("T2",B2761)),220,
IF(ISNUMBER(FIND("T4",B2761)),440,
IF(ISNUMBER(FIND("T5",B2761)),575,
IF(ISNUMBER(FIND("T6",B2761)),690,"")))),
"")</f>
        <v>440</v>
      </c>
    </row>
    <row r="2762" spans="1:7" x14ac:dyDescent="0.25">
      <c r="A2762">
        <v>10574737</v>
      </c>
      <c r="B2762" t="str">
        <f>VLOOKUP(A2762,Planilha2!B:C,2,0)</f>
        <v>INVERSOR NACFW110013T4ON1Z</v>
      </c>
      <c r="C2762" t="s">
        <v>3169</v>
      </c>
      <c r="D2762" t="str">
        <f>VLOOKUP(A2762,Planilha2!B:H,7,0)</f>
        <v>LINHA P5</v>
      </c>
      <c r="E2762" s="5">
        <v>6500</v>
      </c>
      <c r="F2762">
        <f>IFERROR(
IF(ISNUMBER(FIND("CFW110",B2762)),
VALUE(MID(B2762,FIND("CFW110",B2762)+6,FIND("T",B2762,FIND("CFW110",B2762))-(FIND("CFW110",B2762)+6))),
IF(ISNUMBER(FIND("D",B2762)),
VALUE(SUBSTITUTE(MID(B2762,FIND("D",B2762)+1,FIND("T",B2762,FIND("D",B2762))-(FIND("D",B2762)+1)),"P",",")),
IF(ISNUMBER(FIND("CFW5",B2762)),
VALUE(MID(B2762,
IF(ISNUMBER(FIND("F",B2762)),FIND("F",B2762)+1,FIND("G",B2762)+1),
FIND("T",B2762)-(IF(ISNUMBER(FIND("F",B2762)),FIND("F",B2762)+1,FIND("G",B2762)+1))
)),
VALUE(MID(B2762,FIND("E0",B2762)+2,FIND("T",B2762,FIND("E0",B2762))-(FIND("E0",B2762)+2)))
))),"")</f>
        <v>13</v>
      </c>
      <c r="G2762">
        <f>IFERROR(
IF(ISNUMBER(FIND("T2",B2762)),220,
IF(ISNUMBER(FIND("T4",B2762)),440,
IF(ISNUMBER(FIND("T5",B2762)),575,
IF(ISNUMBER(FIND("T6",B2762)),690,"")))),
"")</f>
        <v>440</v>
      </c>
    </row>
    <row r="2763" spans="1:7" x14ac:dyDescent="0.25">
      <c r="A2763">
        <v>10574773</v>
      </c>
      <c r="B2763" t="str">
        <f>VLOOKUP(A2763,Planilha2!B:C,2,0)</f>
        <v>INVERSOR EUCFW110002B2SZ</v>
      </c>
      <c r="C2763" t="s">
        <v>3169</v>
      </c>
      <c r="D2763" t="str">
        <f>VLOOKUP(A2763,Planilha2!B:H,7,0)</f>
        <v>LINHA P5</v>
      </c>
      <c r="E2763" s="5">
        <v>2600</v>
      </c>
      <c r="F2763" t="str">
        <f>IFERROR(
IF(ISNUMBER(FIND("CFW110",B2763)),
VALUE(MID(B2763,FIND("CFW110",B2763)+6,FIND("T",B2763,FIND("CFW110",B2763))-(FIND("CFW110",B2763)+6))),
IF(ISNUMBER(FIND("D",B2763)),
VALUE(SUBSTITUTE(MID(B2763,FIND("D",B2763)+1,FIND("T",B2763,FIND("D",B2763))-(FIND("D",B2763)+1)),"P",",")),
IF(ISNUMBER(FIND("CFW5",B2763)),
VALUE(MID(B2763,
IF(ISNUMBER(FIND("F",B2763)),FIND("F",B2763)+1,FIND("G",B2763)+1),
FIND("T",B2763)-(IF(ISNUMBER(FIND("F",B2763)),FIND("F",B2763)+1,FIND("G",B2763)+1))
)),
VALUE(MID(B2763,FIND("E0",B2763)+2,FIND("T",B2763,FIND("E0",B2763))-(FIND("E0",B2763)+2)))
))),"")</f>
        <v/>
      </c>
      <c r="G2763" t="str">
        <f>IFERROR(
IF(ISNUMBER(FIND("T2",B2763)),220,
IF(ISNUMBER(FIND("T4",B2763)),440,
IF(ISNUMBER(FIND("T5",B2763)),575,
IF(ISNUMBER(FIND("T6",B2763)),690,"")))),
"")</f>
        <v/>
      </c>
    </row>
    <row r="2764" spans="1:7" x14ac:dyDescent="0.25">
      <c r="A2764">
        <v>10574800</v>
      </c>
      <c r="B2764" t="str">
        <f>VLOOKUP(A2764,Planilha2!B:C,2,0)</f>
        <v>INVERSOR MSCFW110002B2SZ</v>
      </c>
      <c r="C2764" t="s">
        <v>3169</v>
      </c>
      <c r="D2764" t="str">
        <f>VLOOKUP(A2764,Planilha2!B:H,7,0)</f>
        <v>LINHA P5</v>
      </c>
      <c r="E2764" s="5">
        <v>2600</v>
      </c>
      <c r="F2764" t="str">
        <f>IFERROR(
IF(ISNUMBER(FIND("CFW110",B2764)),
VALUE(MID(B2764,FIND("CFW110",B2764)+6,FIND("T",B2764,FIND("CFW110",B2764))-(FIND("CFW110",B2764)+6))),
IF(ISNUMBER(FIND("D",B2764)),
VALUE(SUBSTITUTE(MID(B2764,FIND("D",B2764)+1,FIND("T",B2764,FIND("D",B2764))-(FIND("D",B2764)+1)),"P",",")),
IF(ISNUMBER(FIND("CFW5",B2764)),
VALUE(MID(B2764,
IF(ISNUMBER(FIND("F",B2764)),FIND("F",B2764)+1,FIND("G",B2764)+1),
FIND("T",B2764)-(IF(ISNUMBER(FIND("F",B2764)),FIND("F",B2764)+1,FIND("G",B2764)+1))
)),
VALUE(MID(B2764,FIND("E0",B2764)+2,FIND("T",B2764,FIND("E0",B2764))-(FIND("E0",B2764)+2)))
))),"")</f>
        <v/>
      </c>
      <c r="G2764" t="str">
        <f>IFERROR(
IF(ISNUMBER(FIND("T2",B2764)),220,
IF(ISNUMBER(FIND("T4",B2764)),440,
IF(ISNUMBER(FIND("T5",B2764)),575,
IF(ISNUMBER(FIND("T6",B2764)),690,"")))),
"")</f>
        <v/>
      </c>
    </row>
    <row r="2765" spans="1:7" x14ac:dyDescent="0.25">
      <c r="A2765">
        <v>10574801</v>
      </c>
      <c r="B2765" t="str">
        <f>VLOOKUP(A2765,Planilha2!B:C,2,0)</f>
        <v>INVERSOR MSCFW110006B2SZ</v>
      </c>
      <c r="C2765" t="s">
        <v>3169</v>
      </c>
      <c r="D2765" t="str">
        <f>VLOOKUP(A2765,Planilha2!B:H,7,0)</f>
        <v>LINHA P5</v>
      </c>
      <c r="E2765" s="5">
        <v>5050</v>
      </c>
      <c r="F2765" t="str">
        <f>IFERROR(
IF(ISNUMBER(FIND("CFW110",B2765)),
VALUE(MID(B2765,FIND("CFW110",B2765)+6,FIND("T",B2765,FIND("CFW110",B2765))-(FIND("CFW110",B2765)+6))),
IF(ISNUMBER(FIND("D",B2765)),
VALUE(SUBSTITUTE(MID(B2765,FIND("D",B2765)+1,FIND("T",B2765,FIND("D",B2765))-(FIND("D",B2765)+1)),"P",",")),
IF(ISNUMBER(FIND("CFW5",B2765)),
VALUE(MID(B2765,
IF(ISNUMBER(FIND("F",B2765)),FIND("F",B2765)+1,FIND("G",B2765)+1),
FIND("T",B2765)-(IF(ISNUMBER(FIND("F",B2765)),FIND("F",B2765)+1,FIND("G",B2765)+1))
)),
VALUE(MID(B2765,FIND("E0",B2765)+2,FIND("T",B2765,FIND("E0",B2765))-(FIND("E0",B2765)+2)))
))),"")</f>
        <v/>
      </c>
      <c r="G2765" t="str">
        <f>IFERROR(
IF(ISNUMBER(FIND("T2",B2765)),220,
IF(ISNUMBER(FIND("T4",B2765)),440,
IF(ISNUMBER(FIND("T5",B2765)),575,
IF(ISNUMBER(FIND("T6",B2765)),690,"")))),
"")</f>
        <v/>
      </c>
    </row>
    <row r="2766" spans="1:7" x14ac:dyDescent="0.25">
      <c r="A2766">
        <v>10574802</v>
      </c>
      <c r="B2766" t="str">
        <f>VLOOKUP(A2766,Planilha2!B:C,2,0)</f>
        <v>INVERSOR MSCFW110007B2SZ</v>
      </c>
      <c r="C2766" t="s">
        <v>3169</v>
      </c>
      <c r="D2766" t="str">
        <f>VLOOKUP(A2766,Planilha2!B:H,7,0)</f>
        <v>LINHA P5</v>
      </c>
      <c r="E2766" s="5">
        <v>5050</v>
      </c>
      <c r="F2766" t="str">
        <f>IFERROR(
IF(ISNUMBER(FIND("CFW110",B2766)),
VALUE(MID(B2766,FIND("CFW110",B2766)+6,FIND("T",B2766,FIND("CFW110",B2766))-(FIND("CFW110",B2766)+6))),
IF(ISNUMBER(FIND("D",B2766)),
VALUE(SUBSTITUTE(MID(B2766,FIND("D",B2766)+1,FIND("T",B2766,FIND("D",B2766))-(FIND("D",B2766)+1)),"P",",")),
IF(ISNUMBER(FIND("CFW5",B2766)),
VALUE(MID(B2766,
IF(ISNUMBER(FIND("F",B2766)),FIND("F",B2766)+1,FIND("G",B2766)+1),
FIND("T",B2766)-(IF(ISNUMBER(FIND("F",B2766)),FIND("F",B2766)+1,FIND("G",B2766)+1))
)),
VALUE(MID(B2766,FIND("E0",B2766)+2,FIND("T",B2766,FIND("E0",B2766))-(FIND("E0",B2766)+2)))
))),"")</f>
        <v/>
      </c>
      <c r="G2766" t="str">
        <f>IFERROR(
IF(ISNUMBER(FIND("T2",B2766)),220,
IF(ISNUMBER(FIND("T4",B2766)),440,
IF(ISNUMBER(FIND("T5",B2766)),575,
IF(ISNUMBER(FIND("T6",B2766)),690,"")))),
"")</f>
        <v/>
      </c>
    </row>
    <row r="2767" spans="1:7" x14ac:dyDescent="0.25">
      <c r="A2767">
        <v>10574803</v>
      </c>
      <c r="B2767" t="str">
        <f>VLOOKUP(A2767,Planilha2!B:C,2,0)</f>
        <v>INVERSOR MSCFW110010S2SZ</v>
      </c>
      <c r="C2767" t="s">
        <v>3169</v>
      </c>
      <c r="D2767" t="str">
        <f>VLOOKUP(A2767,Planilha2!B:H,7,0)</f>
        <v>LINHA P5</v>
      </c>
      <c r="E2767" s="5">
        <v>5350</v>
      </c>
      <c r="F2767" t="str">
        <f>IFERROR(
IF(ISNUMBER(FIND("CFW110",B2767)),
VALUE(MID(B2767,FIND("CFW110",B2767)+6,FIND("T",B2767,FIND("CFW110",B2767))-(FIND("CFW110",B2767)+6))),
IF(ISNUMBER(FIND("D",B2767)),
VALUE(SUBSTITUTE(MID(B2767,FIND("D",B2767)+1,FIND("T",B2767,FIND("D",B2767))-(FIND("D",B2767)+1)),"P",",")),
IF(ISNUMBER(FIND("CFW5",B2767)),
VALUE(MID(B2767,
IF(ISNUMBER(FIND("F",B2767)),FIND("F",B2767)+1,FIND("G",B2767)+1),
FIND("T",B2767)-(IF(ISNUMBER(FIND("F",B2767)),FIND("F",B2767)+1,FIND("G",B2767)+1))
)),
VALUE(MID(B2767,FIND("E0",B2767)+2,FIND("T",B2767,FIND("E0",B2767))-(FIND("E0",B2767)+2)))
))),"")</f>
        <v/>
      </c>
      <c r="G2767" t="str">
        <f>IFERROR(
IF(ISNUMBER(FIND("T2",B2767)),220,
IF(ISNUMBER(FIND("T4",B2767)),440,
IF(ISNUMBER(FIND("T5",B2767)),575,
IF(ISNUMBER(FIND("T6",B2767)),690,"")))),
"")</f>
        <v/>
      </c>
    </row>
    <row r="2768" spans="1:7" x14ac:dyDescent="0.25">
      <c r="A2768">
        <v>10574804</v>
      </c>
      <c r="B2768" t="str">
        <f>VLOOKUP(A2768,Planilha2!B:C,2,0)</f>
        <v>INVERSOR MSCFW110007T2SZ</v>
      </c>
      <c r="C2768" t="s">
        <v>3169</v>
      </c>
      <c r="D2768" t="str">
        <f>VLOOKUP(A2768,Planilha2!B:H,7,0)</f>
        <v>LINHA P5</v>
      </c>
      <c r="E2768" s="5">
        <v>5050</v>
      </c>
      <c r="F2768">
        <f>IFERROR(
IF(ISNUMBER(FIND("CFW110",B2768)),
VALUE(MID(B2768,FIND("CFW110",B2768)+6,FIND("T",B2768,FIND("CFW110",B2768))-(FIND("CFW110",B2768)+6))),
IF(ISNUMBER(FIND("D",B2768)),
VALUE(SUBSTITUTE(MID(B2768,FIND("D",B2768)+1,FIND("T",B2768,FIND("D",B2768))-(FIND("D",B2768)+1)),"P",",")),
IF(ISNUMBER(FIND("CFW5",B2768)),
VALUE(MID(B2768,
IF(ISNUMBER(FIND("F",B2768)),FIND("F",B2768)+1,FIND("G",B2768)+1),
FIND("T",B2768)-(IF(ISNUMBER(FIND("F",B2768)),FIND("F",B2768)+1,FIND("G",B2768)+1))
)),
VALUE(MID(B2768,FIND("E0",B2768)+2,FIND("T",B2768,FIND("E0",B2768))-(FIND("E0",B2768)+2)))
))),"")</f>
        <v>7</v>
      </c>
      <c r="G2768">
        <f>IFERROR(
IF(ISNUMBER(FIND("T2",B2768)),220,
IF(ISNUMBER(FIND("T4",B2768)),440,
IF(ISNUMBER(FIND("T5",B2768)),575,
IF(ISNUMBER(FIND("T6",B2768)),690,"")))),
"")</f>
        <v>220</v>
      </c>
    </row>
    <row r="2769" spans="1:7" x14ac:dyDescent="0.25">
      <c r="A2769">
        <v>10574805</v>
      </c>
      <c r="B2769" t="str">
        <f>VLOOKUP(A2769,Planilha2!B:C,2,0)</f>
        <v>INVERSOR MSCFW110010T2SZ</v>
      </c>
      <c r="C2769" t="s">
        <v>3169</v>
      </c>
      <c r="D2769" t="str">
        <f>VLOOKUP(A2769,Planilha2!B:H,7,0)</f>
        <v>LINHA P5</v>
      </c>
      <c r="E2769" s="5">
        <v>5350</v>
      </c>
      <c r="F2769">
        <f>IFERROR(
IF(ISNUMBER(FIND("CFW110",B2769)),
VALUE(MID(B2769,FIND("CFW110",B2769)+6,FIND("T",B2769,FIND("CFW110",B2769))-(FIND("CFW110",B2769)+6))),
IF(ISNUMBER(FIND("D",B2769)),
VALUE(SUBSTITUTE(MID(B2769,FIND("D",B2769)+1,FIND("T",B2769,FIND("D",B2769))-(FIND("D",B2769)+1)),"P",",")),
IF(ISNUMBER(FIND("CFW5",B2769)),
VALUE(MID(B2769,
IF(ISNUMBER(FIND("F",B2769)),FIND("F",B2769)+1,FIND("G",B2769)+1),
FIND("T",B2769)-(IF(ISNUMBER(FIND("F",B2769)),FIND("F",B2769)+1,FIND("G",B2769)+1))
)),
VALUE(MID(B2769,FIND("E0",B2769)+2,FIND("T",B2769,FIND("E0",B2769))-(FIND("E0",B2769)+2)))
))),"")</f>
        <v>10</v>
      </c>
      <c r="G2769">
        <f>IFERROR(
IF(ISNUMBER(FIND("T2",B2769)),220,
IF(ISNUMBER(FIND("T4",B2769)),440,
IF(ISNUMBER(FIND("T5",B2769)),575,
IF(ISNUMBER(FIND("T6",B2769)),690,"")))),
"")</f>
        <v>220</v>
      </c>
    </row>
    <row r="2770" spans="1:7" x14ac:dyDescent="0.25">
      <c r="A2770">
        <v>10574806</v>
      </c>
      <c r="B2770" t="str">
        <f>VLOOKUP(A2770,Planilha2!B:C,2,0)</f>
        <v>INVERSOR MSCFW110013T2SZ</v>
      </c>
      <c r="C2770" t="s">
        <v>3169</v>
      </c>
      <c r="D2770" t="str">
        <f>VLOOKUP(A2770,Planilha2!B:H,7,0)</f>
        <v>LINHA P5</v>
      </c>
      <c r="E2770" s="5">
        <v>5350</v>
      </c>
      <c r="F2770">
        <f>IFERROR(
IF(ISNUMBER(FIND("CFW110",B2770)),
VALUE(MID(B2770,FIND("CFW110",B2770)+6,FIND("T",B2770,FIND("CFW110",B2770))-(FIND("CFW110",B2770)+6))),
IF(ISNUMBER(FIND("D",B2770)),
VALUE(SUBSTITUTE(MID(B2770,FIND("D",B2770)+1,FIND("T",B2770,FIND("D",B2770))-(FIND("D",B2770)+1)),"P",",")),
IF(ISNUMBER(FIND("CFW5",B2770)),
VALUE(MID(B2770,
IF(ISNUMBER(FIND("F",B2770)),FIND("F",B2770)+1,FIND("G",B2770)+1),
FIND("T",B2770)-(IF(ISNUMBER(FIND("F",B2770)),FIND("F",B2770)+1,FIND("G",B2770)+1))
)),
VALUE(MID(B2770,FIND("E0",B2770)+2,FIND("T",B2770,FIND("E0",B2770))-(FIND("E0",B2770)+2)))
))),"")</f>
        <v>13</v>
      </c>
      <c r="G2770">
        <f>IFERROR(
IF(ISNUMBER(FIND("T2",B2770)),220,
IF(ISNUMBER(FIND("T4",B2770)),440,
IF(ISNUMBER(FIND("T5",B2770)),575,
IF(ISNUMBER(FIND("T6",B2770)),690,"")))),
"")</f>
        <v>220</v>
      </c>
    </row>
    <row r="2771" spans="1:7" x14ac:dyDescent="0.25">
      <c r="A2771">
        <v>10574807</v>
      </c>
      <c r="B2771" t="str">
        <f>VLOOKUP(A2771,Planilha2!B:C,2,0)</f>
        <v>INVERSOR MSCFW110016T2SZ</v>
      </c>
      <c r="C2771" t="s">
        <v>3169</v>
      </c>
      <c r="D2771" t="str">
        <f>VLOOKUP(A2771,Planilha2!B:H,7,0)</f>
        <v>LINHA P5</v>
      </c>
      <c r="E2771" s="5">
        <v>5550</v>
      </c>
      <c r="F2771">
        <f>IFERROR(
IF(ISNUMBER(FIND("CFW110",B2771)),
VALUE(MID(B2771,FIND("CFW110",B2771)+6,FIND("T",B2771,FIND("CFW110",B2771))-(FIND("CFW110",B2771)+6))),
IF(ISNUMBER(FIND("D",B2771)),
VALUE(SUBSTITUTE(MID(B2771,FIND("D",B2771)+1,FIND("T",B2771,FIND("D",B2771))-(FIND("D",B2771)+1)),"P",",")),
IF(ISNUMBER(FIND("CFW5",B2771)),
VALUE(MID(B2771,
IF(ISNUMBER(FIND("F",B2771)),FIND("F",B2771)+1,FIND("G",B2771)+1),
FIND("T",B2771)-(IF(ISNUMBER(FIND("F",B2771)),FIND("F",B2771)+1,FIND("G",B2771)+1))
)),
VALUE(MID(B2771,FIND("E0",B2771)+2,FIND("T",B2771,FIND("E0",B2771))-(FIND("E0",B2771)+2)))
))),"")</f>
        <v>16</v>
      </c>
      <c r="G2771">
        <f>IFERROR(
IF(ISNUMBER(FIND("T2",B2771)),220,
IF(ISNUMBER(FIND("T4",B2771)),440,
IF(ISNUMBER(FIND("T5",B2771)),575,
IF(ISNUMBER(FIND("T6",B2771)),690,"")))),
"")</f>
        <v>220</v>
      </c>
    </row>
    <row r="2772" spans="1:7" x14ac:dyDescent="0.25">
      <c r="A2772">
        <v>10575268</v>
      </c>
      <c r="B2772" t="str">
        <f>VLOOKUP(A2772,Planilha2!B:C,2,0)</f>
        <v>INVERSOR MSCFW110003T4SZ</v>
      </c>
      <c r="C2772" t="s">
        <v>3169</v>
      </c>
      <c r="D2772" t="str">
        <f>VLOOKUP(A2772,Planilha2!B:H,7,0)</f>
        <v>LINHA P5</v>
      </c>
      <c r="E2772" s="5">
        <v>5050</v>
      </c>
      <c r="F2772">
        <f>IFERROR(
IF(ISNUMBER(FIND("CFW110",B2772)),
VALUE(MID(B2772,FIND("CFW110",B2772)+6,FIND("T",B2772,FIND("CFW110",B2772))-(FIND("CFW110",B2772)+6))),
IF(ISNUMBER(FIND("D",B2772)),
VALUE(SUBSTITUTE(MID(B2772,FIND("D",B2772)+1,FIND("T",B2772,FIND("D",B2772))-(FIND("D",B2772)+1)),"P",",")),
IF(ISNUMBER(FIND("CFW5",B2772)),
VALUE(MID(B2772,
IF(ISNUMBER(FIND("F",B2772)),FIND("F",B2772)+1,FIND("G",B2772)+1),
FIND("T",B2772)-(IF(ISNUMBER(FIND("F",B2772)),FIND("F",B2772)+1,FIND("G",B2772)+1))
)),
VALUE(MID(B2772,FIND("E0",B2772)+2,FIND("T",B2772,FIND("E0",B2772))-(FIND("E0",B2772)+2)))
))),"")</f>
        <v>3</v>
      </c>
      <c r="G2772">
        <f>IFERROR(
IF(ISNUMBER(FIND("T2",B2772)),220,
IF(ISNUMBER(FIND("T4",B2772)),440,
IF(ISNUMBER(FIND("T5",B2772)),575,
IF(ISNUMBER(FIND("T6",B2772)),690,"")))),
"")</f>
        <v>440</v>
      </c>
    </row>
    <row r="2773" spans="1:7" x14ac:dyDescent="0.25">
      <c r="A2773">
        <v>10575269</v>
      </c>
      <c r="B2773" t="str">
        <f>VLOOKUP(A2773,Planilha2!B:C,2,0)</f>
        <v>INVERSOR MSCFW110005T4SZ</v>
      </c>
      <c r="C2773" t="s">
        <v>3169</v>
      </c>
      <c r="D2773" t="str">
        <f>VLOOKUP(A2773,Planilha2!B:H,7,0)</f>
        <v>LINHA P5</v>
      </c>
      <c r="E2773" s="5">
        <v>5250</v>
      </c>
      <c r="F2773">
        <f>IFERROR(
IF(ISNUMBER(FIND("CFW110",B2773)),
VALUE(MID(B2773,FIND("CFW110",B2773)+6,FIND("T",B2773,FIND("CFW110",B2773))-(FIND("CFW110",B2773)+6))),
IF(ISNUMBER(FIND("D",B2773)),
VALUE(SUBSTITUTE(MID(B2773,FIND("D",B2773)+1,FIND("T",B2773,FIND("D",B2773))-(FIND("D",B2773)+1)),"P",",")),
IF(ISNUMBER(FIND("CFW5",B2773)),
VALUE(MID(B2773,
IF(ISNUMBER(FIND("F",B2773)),FIND("F",B2773)+1,FIND("G",B2773)+1),
FIND("T",B2773)-(IF(ISNUMBER(FIND("F",B2773)),FIND("F",B2773)+1,FIND("G",B2773)+1))
)),
VALUE(MID(B2773,FIND("E0",B2773)+2,FIND("T",B2773,FIND("E0",B2773))-(FIND("E0",B2773)+2)))
))),"")</f>
        <v>5</v>
      </c>
      <c r="G2773">
        <f>IFERROR(
IF(ISNUMBER(FIND("T2",B2773)),220,
IF(ISNUMBER(FIND("T4",B2773)),440,
IF(ISNUMBER(FIND("T5",B2773)),575,
IF(ISNUMBER(FIND("T6",B2773)),690,"")))),
"")</f>
        <v>440</v>
      </c>
    </row>
    <row r="2774" spans="1:7" x14ac:dyDescent="0.25">
      <c r="A2774">
        <v>10575270</v>
      </c>
      <c r="B2774" t="str">
        <f>VLOOKUP(A2774,Planilha2!B:C,2,0)</f>
        <v>INVERSOR MSCFW110007T4SZ</v>
      </c>
      <c r="C2774" t="s">
        <v>3169</v>
      </c>
      <c r="D2774" t="str">
        <f>VLOOKUP(A2774,Planilha2!B:H,7,0)</f>
        <v>LINHA P5</v>
      </c>
      <c r="E2774" s="5">
        <v>5250</v>
      </c>
      <c r="F2774">
        <f>IFERROR(
IF(ISNUMBER(FIND("CFW110",B2774)),
VALUE(MID(B2774,FIND("CFW110",B2774)+6,FIND("T",B2774,FIND("CFW110",B2774))-(FIND("CFW110",B2774)+6))),
IF(ISNUMBER(FIND("D",B2774)),
VALUE(SUBSTITUTE(MID(B2774,FIND("D",B2774)+1,FIND("T",B2774,FIND("D",B2774))-(FIND("D",B2774)+1)),"P",",")),
IF(ISNUMBER(FIND("CFW5",B2774)),
VALUE(MID(B2774,
IF(ISNUMBER(FIND("F",B2774)),FIND("F",B2774)+1,FIND("G",B2774)+1),
FIND("T",B2774)-(IF(ISNUMBER(FIND("F",B2774)),FIND("F",B2774)+1,FIND("G",B2774)+1))
)),
VALUE(MID(B2774,FIND("E0",B2774)+2,FIND("T",B2774,FIND("E0",B2774))-(FIND("E0",B2774)+2)))
))),"")</f>
        <v>7</v>
      </c>
      <c r="G2774">
        <f>IFERROR(
IF(ISNUMBER(FIND("T2",B2774)),220,
IF(ISNUMBER(FIND("T4",B2774)),440,
IF(ISNUMBER(FIND("T5",B2774)),575,
IF(ISNUMBER(FIND("T6",B2774)),690,"")))),
"")</f>
        <v>440</v>
      </c>
    </row>
    <row r="2775" spans="1:7" x14ac:dyDescent="0.25">
      <c r="A2775">
        <v>10575271</v>
      </c>
      <c r="B2775" t="str">
        <f>VLOOKUP(A2775,Planilha2!B:C,2,0)</f>
        <v>INVERSOR MSCFW110010T4SZ</v>
      </c>
      <c r="C2775" t="s">
        <v>3169</v>
      </c>
      <c r="D2775" t="str">
        <f>VLOOKUP(A2775,Planilha2!B:H,7,0)</f>
        <v>LINHA P5</v>
      </c>
      <c r="E2775" s="5">
        <v>5450</v>
      </c>
      <c r="F2775">
        <f>IFERROR(
IF(ISNUMBER(FIND("CFW110",B2775)),
VALUE(MID(B2775,FIND("CFW110",B2775)+6,FIND("T",B2775,FIND("CFW110",B2775))-(FIND("CFW110",B2775)+6))),
IF(ISNUMBER(FIND("D",B2775)),
VALUE(SUBSTITUTE(MID(B2775,FIND("D",B2775)+1,FIND("T",B2775,FIND("D",B2775))-(FIND("D",B2775)+1)),"P",",")),
IF(ISNUMBER(FIND("CFW5",B2775)),
VALUE(MID(B2775,
IF(ISNUMBER(FIND("F",B2775)),FIND("F",B2775)+1,FIND("G",B2775)+1),
FIND("T",B2775)-(IF(ISNUMBER(FIND("F",B2775)),FIND("F",B2775)+1,FIND("G",B2775)+1))
)),
VALUE(MID(B2775,FIND("E0",B2775)+2,FIND("T",B2775,FIND("E0",B2775))-(FIND("E0",B2775)+2)))
))),"")</f>
        <v>10</v>
      </c>
      <c r="G2775">
        <f>IFERROR(
IF(ISNUMBER(FIND("T2",B2775)),220,
IF(ISNUMBER(FIND("T4",B2775)),440,
IF(ISNUMBER(FIND("T5",B2775)),575,
IF(ISNUMBER(FIND("T6",B2775)),690,"")))),
"")</f>
        <v>440</v>
      </c>
    </row>
    <row r="2776" spans="1:7" x14ac:dyDescent="0.25">
      <c r="A2776">
        <v>10575272</v>
      </c>
      <c r="B2776" t="str">
        <f>VLOOKUP(A2776,Planilha2!B:C,2,0)</f>
        <v>INVERSOR MSCFW110013T4SZ</v>
      </c>
      <c r="C2776" t="s">
        <v>3169</v>
      </c>
      <c r="D2776" t="str">
        <f>VLOOKUP(A2776,Planilha2!B:H,7,0)</f>
        <v>LINHA P5</v>
      </c>
      <c r="E2776" s="5">
        <v>5650</v>
      </c>
      <c r="F2776">
        <f>IFERROR(
IF(ISNUMBER(FIND("CFW110",B2776)),
VALUE(MID(B2776,FIND("CFW110",B2776)+6,FIND("T",B2776,FIND("CFW110",B2776))-(FIND("CFW110",B2776)+6))),
IF(ISNUMBER(FIND("D",B2776)),
VALUE(SUBSTITUTE(MID(B2776,FIND("D",B2776)+1,FIND("T",B2776,FIND("D",B2776))-(FIND("D",B2776)+1)),"P",",")),
IF(ISNUMBER(FIND("CFW5",B2776)),
VALUE(MID(B2776,
IF(ISNUMBER(FIND("F",B2776)),FIND("F",B2776)+1,FIND("G",B2776)+1),
FIND("T",B2776)-(IF(ISNUMBER(FIND("F",B2776)),FIND("F",B2776)+1,FIND("G",B2776)+1))
)),
VALUE(MID(B2776,FIND("E0",B2776)+2,FIND("T",B2776,FIND("E0",B2776))-(FIND("E0",B2776)+2)))
))),"")</f>
        <v>13</v>
      </c>
      <c r="G2776">
        <f>IFERROR(
IF(ISNUMBER(FIND("T2",B2776)),220,
IF(ISNUMBER(FIND("T4",B2776)),440,
IF(ISNUMBER(FIND("T5",B2776)),575,
IF(ISNUMBER(FIND("T6",B2776)),690,"")))),
"")</f>
        <v>440</v>
      </c>
    </row>
    <row r="2777" spans="1:7" x14ac:dyDescent="0.25">
      <c r="A2777">
        <v>10586808</v>
      </c>
      <c r="B2777" t="str">
        <f>VLOOKUP(A2777,Planilha2!B:C,2,0)</f>
        <v>INVERSOR EUCFW110006B2SZ</v>
      </c>
      <c r="C2777" t="s">
        <v>3169</v>
      </c>
      <c r="D2777" t="str">
        <f>VLOOKUP(A2777,Planilha2!B:H,7,0)</f>
        <v>LINHA P5</v>
      </c>
      <c r="E2777" s="5">
        <v>5050</v>
      </c>
      <c r="F2777" t="str">
        <f>IFERROR(
IF(ISNUMBER(FIND("CFW110",B2777)),
VALUE(MID(B2777,FIND("CFW110",B2777)+6,FIND("T",B2777,FIND("CFW110",B2777))-(FIND("CFW110",B2777)+6))),
IF(ISNUMBER(FIND("D",B2777)),
VALUE(SUBSTITUTE(MID(B2777,FIND("D",B2777)+1,FIND("T",B2777,FIND("D",B2777))-(FIND("D",B2777)+1)),"P",",")),
IF(ISNUMBER(FIND("CFW5",B2777)),
VALUE(MID(B2777,
IF(ISNUMBER(FIND("F",B2777)),FIND("F",B2777)+1,FIND("G",B2777)+1),
FIND("T",B2777)-(IF(ISNUMBER(FIND("F",B2777)),FIND("F",B2777)+1,FIND("G",B2777)+1))
)),
VALUE(MID(B2777,FIND("E0",B2777)+2,FIND("T",B2777,FIND("E0",B2777))-(FIND("E0",B2777)+2)))
))),"")</f>
        <v/>
      </c>
      <c r="G2777" t="str">
        <f>IFERROR(
IF(ISNUMBER(FIND("T2",B2777)),220,
IF(ISNUMBER(FIND("T4",B2777)),440,
IF(ISNUMBER(FIND("T5",B2777)),575,
IF(ISNUMBER(FIND("T6",B2777)),690,"")))),
"")</f>
        <v/>
      </c>
    </row>
    <row r="2778" spans="1:7" x14ac:dyDescent="0.25">
      <c r="A2778">
        <v>10587101</v>
      </c>
      <c r="B2778" t="str">
        <f>VLOOKUP(A2778,Planilha2!B:C,2,0)</f>
        <v>INVERSOR EUCFW110010S2SZ</v>
      </c>
      <c r="C2778" t="s">
        <v>3169</v>
      </c>
      <c r="D2778" t="str">
        <f>VLOOKUP(A2778,Planilha2!B:H,7,0)</f>
        <v>LINHA P5</v>
      </c>
      <c r="E2778" s="5">
        <v>5350</v>
      </c>
      <c r="F2778" t="str">
        <f>IFERROR(
IF(ISNUMBER(FIND("CFW110",B2778)),
VALUE(MID(B2778,FIND("CFW110",B2778)+6,FIND("T",B2778,FIND("CFW110",B2778))-(FIND("CFW110",B2778)+6))),
IF(ISNUMBER(FIND("D",B2778)),
VALUE(SUBSTITUTE(MID(B2778,FIND("D",B2778)+1,FIND("T",B2778,FIND("D",B2778))-(FIND("D",B2778)+1)),"P",",")),
IF(ISNUMBER(FIND("CFW5",B2778)),
VALUE(MID(B2778,
IF(ISNUMBER(FIND("F",B2778)),FIND("F",B2778)+1,FIND("G",B2778)+1),
FIND("T",B2778)-(IF(ISNUMBER(FIND("F",B2778)),FIND("F",B2778)+1,FIND("G",B2778)+1))
)),
VALUE(MID(B2778,FIND("E0",B2778)+2,FIND("T",B2778,FIND("E0",B2778))-(FIND("E0",B2778)+2)))
))),"")</f>
        <v/>
      </c>
      <c r="G2778" t="str">
        <f>IFERROR(
IF(ISNUMBER(FIND("T2",B2778)),220,
IF(ISNUMBER(FIND("T4",B2778)),440,
IF(ISNUMBER(FIND("T5",B2778)),575,
IF(ISNUMBER(FIND("T6",B2778)),690,"")))),
"")</f>
        <v/>
      </c>
    </row>
    <row r="2779" spans="1:7" x14ac:dyDescent="0.25">
      <c r="A2779">
        <v>10587102</v>
      </c>
      <c r="B2779" t="str">
        <f>VLOOKUP(A2779,Planilha2!B:C,2,0)</f>
        <v>INVERSOR EUCFW110007T2SZ</v>
      </c>
      <c r="C2779" t="s">
        <v>3169</v>
      </c>
      <c r="D2779" t="str">
        <f>VLOOKUP(A2779,Planilha2!B:H,7,0)</f>
        <v>LINHA P5</v>
      </c>
      <c r="E2779" s="5">
        <v>5050</v>
      </c>
      <c r="F2779">
        <f>IFERROR(
IF(ISNUMBER(FIND("CFW110",B2779)),
VALUE(MID(B2779,FIND("CFW110",B2779)+6,FIND("T",B2779,FIND("CFW110",B2779))-(FIND("CFW110",B2779)+6))),
IF(ISNUMBER(FIND("D",B2779)),
VALUE(SUBSTITUTE(MID(B2779,FIND("D",B2779)+1,FIND("T",B2779,FIND("D",B2779))-(FIND("D",B2779)+1)),"P",",")),
IF(ISNUMBER(FIND("CFW5",B2779)),
VALUE(MID(B2779,
IF(ISNUMBER(FIND("F",B2779)),FIND("F",B2779)+1,FIND("G",B2779)+1),
FIND("T",B2779)-(IF(ISNUMBER(FIND("F",B2779)),FIND("F",B2779)+1,FIND("G",B2779)+1))
)),
VALUE(MID(B2779,FIND("E0",B2779)+2,FIND("T",B2779,FIND("E0",B2779))-(FIND("E0",B2779)+2)))
))),"")</f>
        <v>7</v>
      </c>
      <c r="G2779">
        <f>IFERROR(
IF(ISNUMBER(FIND("T2",B2779)),220,
IF(ISNUMBER(FIND("T4",B2779)),440,
IF(ISNUMBER(FIND("T5",B2779)),575,
IF(ISNUMBER(FIND("T6",B2779)),690,"")))),
"")</f>
        <v>220</v>
      </c>
    </row>
    <row r="2780" spans="1:7" x14ac:dyDescent="0.25">
      <c r="A2780">
        <v>10587103</v>
      </c>
      <c r="B2780" t="str">
        <f>VLOOKUP(A2780,Planilha2!B:C,2,0)</f>
        <v>INVERSOR EUCFW110007B2SZ</v>
      </c>
      <c r="C2780" t="s">
        <v>3169</v>
      </c>
      <c r="D2780" t="str">
        <f>VLOOKUP(A2780,Planilha2!B:H,7,0)</f>
        <v>LINHA P5</v>
      </c>
      <c r="E2780" s="5">
        <v>5050</v>
      </c>
      <c r="F2780" t="str">
        <f>IFERROR(
IF(ISNUMBER(FIND("CFW110",B2780)),
VALUE(MID(B2780,FIND("CFW110",B2780)+6,FIND("T",B2780,FIND("CFW110",B2780))-(FIND("CFW110",B2780)+6))),
IF(ISNUMBER(FIND("D",B2780)),
VALUE(SUBSTITUTE(MID(B2780,FIND("D",B2780)+1,FIND("T",B2780,FIND("D",B2780))-(FIND("D",B2780)+1)),"P",",")),
IF(ISNUMBER(FIND("CFW5",B2780)),
VALUE(MID(B2780,
IF(ISNUMBER(FIND("F",B2780)),FIND("F",B2780)+1,FIND("G",B2780)+1),
FIND("T",B2780)-(IF(ISNUMBER(FIND("F",B2780)),FIND("F",B2780)+1,FIND("G",B2780)+1))
)),
VALUE(MID(B2780,FIND("E0",B2780)+2,FIND("T",B2780,FIND("E0",B2780))-(FIND("E0",B2780)+2)))
))),"")</f>
        <v/>
      </c>
      <c r="G2780" t="str">
        <f>IFERROR(
IF(ISNUMBER(FIND("T2",B2780)),220,
IF(ISNUMBER(FIND("T4",B2780)),440,
IF(ISNUMBER(FIND("T5",B2780)),575,
IF(ISNUMBER(FIND("T6",B2780)),690,"")))),
"")</f>
        <v/>
      </c>
    </row>
    <row r="2781" spans="1:7" x14ac:dyDescent="0.25">
      <c r="A2781">
        <v>10587384</v>
      </c>
      <c r="B2781" t="str">
        <f>VLOOKUP(A2781,Planilha2!B:C,2,0)</f>
        <v>INVERSOR EUCFW110010T2SZ</v>
      </c>
      <c r="C2781" t="s">
        <v>3169</v>
      </c>
      <c r="D2781" t="str">
        <f>VLOOKUP(A2781,Planilha2!B:H,7,0)</f>
        <v>LINHA P5</v>
      </c>
      <c r="E2781" s="5">
        <v>5350</v>
      </c>
      <c r="F2781">
        <f>IFERROR(
IF(ISNUMBER(FIND("CFW110",B2781)),
VALUE(MID(B2781,FIND("CFW110",B2781)+6,FIND("T",B2781,FIND("CFW110",B2781))-(FIND("CFW110",B2781)+6))),
IF(ISNUMBER(FIND("D",B2781)),
VALUE(SUBSTITUTE(MID(B2781,FIND("D",B2781)+1,FIND("T",B2781,FIND("D",B2781))-(FIND("D",B2781)+1)),"P",",")),
IF(ISNUMBER(FIND("CFW5",B2781)),
VALUE(MID(B2781,
IF(ISNUMBER(FIND("F",B2781)),FIND("F",B2781)+1,FIND("G",B2781)+1),
FIND("T",B2781)-(IF(ISNUMBER(FIND("F",B2781)),FIND("F",B2781)+1,FIND("G",B2781)+1))
)),
VALUE(MID(B2781,FIND("E0",B2781)+2,FIND("T",B2781,FIND("E0",B2781))-(FIND("E0",B2781)+2)))
))),"")</f>
        <v>10</v>
      </c>
      <c r="G2781">
        <f>IFERROR(
IF(ISNUMBER(FIND("T2",B2781)),220,
IF(ISNUMBER(FIND("T4",B2781)),440,
IF(ISNUMBER(FIND("T5",B2781)),575,
IF(ISNUMBER(FIND("T6",B2781)),690,"")))),
"")</f>
        <v>220</v>
      </c>
    </row>
    <row r="2782" spans="1:7" x14ac:dyDescent="0.25">
      <c r="A2782">
        <v>10587385</v>
      </c>
      <c r="B2782" t="str">
        <f>VLOOKUP(A2782,Planilha2!B:C,2,0)</f>
        <v>INVERSOR EUCFW110013T2SZ</v>
      </c>
      <c r="C2782" t="s">
        <v>3169</v>
      </c>
      <c r="D2782" t="str">
        <f>VLOOKUP(A2782,Planilha2!B:H,7,0)</f>
        <v>LINHA P5</v>
      </c>
      <c r="E2782" s="5">
        <v>5350</v>
      </c>
      <c r="F2782">
        <f>IFERROR(
IF(ISNUMBER(FIND("CFW110",B2782)),
VALUE(MID(B2782,FIND("CFW110",B2782)+6,FIND("T",B2782,FIND("CFW110",B2782))-(FIND("CFW110",B2782)+6))),
IF(ISNUMBER(FIND("D",B2782)),
VALUE(SUBSTITUTE(MID(B2782,FIND("D",B2782)+1,FIND("T",B2782,FIND("D",B2782))-(FIND("D",B2782)+1)),"P",",")),
IF(ISNUMBER(FIND("CFW5",B2782)),
VALUE(MID(B2782,
IF(ISNUMBER(FIND("F",B2782)),FIND("F",B2782)+1,FIND("G",B2782)+1),
FIND("T",B2782)-(IF(ISNUMBER(FIND("F",B2782)),FIND("F",B2782)+1,FIND("G",B2782)+1))
)),
VALUE(MID(B2782,FIND("E0",B2782)+2,FIND("T",B2782,FIND("E0",B2782))-(FIND("E0",B2782)+2)))
))),"")</f>
        <v>13</v>
      </c>
      <c r="G2782">
        <f>IFERROR(
IF(ISNUMBER(FIND("T2",B2782)),220,
IF(ISNUMBER(FIND("T4",B2782)),440,
IF(ISNUMBER(FIND("T5",B2782)),575,
IF(ISNUMBER(FIND("T6",B2782)),690,"")))),
"")</f>
        <v>220</v>
      </c>
    </row>
    <row r="2783" spans="1:7" x14ac:dyDescent="0.25">
      <c r="A2783">
        <v>10587386</v>
      </c>
      <c r="B2783" t="str">
        <f>VLOOKUP(A2783,Planilha2!B:C,2,0)</f>
        <v>INVERSOR EUCFW110016T2SZ</v>
      </c>
      <c r="C2783" t="s">
        <v>3169</v>
      </c>
      <c r="D2783" t="str">
        <f>VLOOKUP(A2783,Planilha2!B:H,7,0)</f>
        <v>LINHA P5</v>
      </c>
      <c r="E2783" s="5">
        <v>5550</v>
      </c>
      <c r="F2783">
        <f>IFERROR(
IF(ISNUMBER(FIND("CFW110",B2783)),
VALUE(MID(B2783,FIND("CFW110",B2783)+6,FIND("T",B2783,FIND("CFW110",B2783))-(FIND("CFW110",B2783)+6))),
IF(ISNUMBER(FIND("D",B2783)),
VALUE(SUBSTITUTE(MID(B2783,FIND("D",B2783)+1,FIND("T",B2783,FIND("D",B2783))-(FIND("D",B2783)+1)),"P",",")),
IF(ISNUMBER(FIND("CFW5",B2783)),
VALUE(MID(B2783,
IF(ISNUMBER(FIND("F",B2783)),FIND("F",B2783)+1,FIND("G",B2783)+1),
FIND("T",B2783)-(IF(ISNUMBER(FIND("F",B2783)),FIND("F",B2783)+1,FIND("G",B2783)+1))
)),
VALUE(MID(B2783,FIND("E0",B2783)+2,FIND("T",B2783,FIND("E0",B2783))-(FIND("E0",B2783)+2)))
))),"")</f>
        <v>16</v>
      </c>
      <c r="G2783">
        <f>IFERROR(
IF(ISNUMBER(FIND("T2",B2783)),220,
IF(ISNUMBER(FIND("T4",B2783)),440,
IF(ISNUMBER(FIND("T5",B2783)),575,
IF(ISNUMBER(FIND("T6",B2783)),690,"")))),
"")</f>
        <v>220</v>
      </c>
    </row>
    <row r="2784" spans="1:7" x14ac:dyDescent="0.25">
      <c r="A2784">
        <v>10587388</v>
      </c>
      <c r="B2784" t="str">
        <f>VLOOKUP(A2784,Planilha2!B:C,2,0)</f>
        <v>INVERSOR EUCFW110003T4SZ</v>
      </c>
      <c r="C2784" t="s">
        <v>3169</v>
      </c>
      <c r="D2784" t="str">
        <f>VLOOKUP(A2784,Planilha2!B:H,7,0)</f>
        <v>LINHA P5</v>
      </c>
      <c r="E2784" s="5">
        <v>5050</v>
      </c>
      <c r="F2784">
        <f>IFERROR(
IF(ISNUMBER(FIND("CFW110",B2784)),
VALUE(MID(B2784,FIND("CFW110",B2784)+6,FIND("T",B2784,FIND("CFW110",B2784))-(FIND("CFW110",B2784)+6))),
IF(ISNUMBER(FIND("D",B2784)),
VALUE(SUBSTITUTE(MID(B2784,FIND("D",B2784)+1,FIND("T",B2784,FIND("D",B2784))-(FIND("D",B2784)+1)),"P",",")),
IF(ISNUMBER(FIND("CFW5",B2784)),
VALUE(MID(B2784,
IF(ISNUMBER(FIND("F",B2784)),FIND("F",B2784)+1,FIND("G",B2784)+1),
FIND("T",B2784)-(IF(ISNUMBER(FIND("F",B2784)),FIND("F",B2784)+1,FIND("G",B2784)+1))
)),
VALUE(MID(B2784,FIND("E0",B2784)+2,FIND("T",B2784,FIND("E0",B2784))-(FIND("E0",B2784)+2)))
))),"")</f>
        <v>3</v>
      </c>
      <c r="G2784">
        <f>IFERROR(
IF(ISNUMBER(FIND("T2",B2784)),220,
IF(ISNUMBER(FIND("T4",B2784)),440,
IF(ISNUMBER(FIND("T5",B2784)),575,
IF(ISNUMBER(FIND("T6",B2784)),690,"")))),
"")</f>
        <v>440</v>
      </c>
    </row>
    <row r="2785" spans="1:7" x14ac:dyDescent="0.25">
      <c r="A2785">
        <v>10587389</v>
      </c>
      <c r="B2785" t="str">
        <f>VLOOKUP(A2785,Planilha2!B:C,2,0)</f>
        <v>INVERSOR EUCFW110005T4SZ</v>
      </c>
      <c r="C2785" t="s">
        <v>3169</v>
      </c>
      <c r="D2785" t="str">
        <f>VLOOKUP(A2785,Planilha2!B:H,7,0)</f>
        <v>LINHA P5</v>
      </c>
      <c r="E2785" s="5">
        <v>5250</v>
      </c>
      <c r="F2785">
        <f>IFERROR(
IF(ISNUMBER(FIND("CFW110",B2785)),
VALUE(MID(B2785,FIND("CFW110",B2785)+6,FIND("T",B2785,FIND("CFW110",B2785))-(FIND("CFW110",B2785)+6))),
IF(ISNUMBER(FIND("D",B2785)),
VALUE(SUBSTITUTE(MID(B2785,FIND("D",B2785)+1,FIND("T",B2785,FIND("D",B2785))-(FIND("D",B2785)+1)),"P",",")),
IF(ISNUMBER(FIND("CFW5",B2785)),
VALUE(MID(B2785,
IF(ISNUMBER(FIND("F",B2785)),FIND("F",B2785)+1,FIND("G",B2785)+1),
FIND("T",B2785)-(IF(ISNUMBER(FIND("F",B2785)),FIND("F",B2785)+1,FIND("G",B2785)+1))
)),
VALUE(MID(B2785,FIND("E0",B2785)+2,FIND("T",B2785,FIND("E0",B2785))-(FIND("E0",B2785)+2)))
))),"")</f>
        <v>5</v>
      </c>
      <c r="G2785">
        <f>IFERROR(
IF(ISNUMBER(FIND("T2",B2785)),220,
IF(ISNUMBER(FIND("T4",B2785)),440,
IF(ISNUMBER(FIND("T5",B2785)),575,
IF(ISNUMBER(FIND("T6",B2785)),690,"")))),
"")</f>
        <v>440</v>
      </c>
    </row>
    <row r="2786" spans="1:7" x14ac:dyDescent="0.25">
      <c r="A2786">
        <v>10587390</v>
      </c>
      <c r="B2786" t="str">
        <f>VLOOKUP(A2786,Planilha2!B:C,2,0)</f>
        <v>INVERSOR EUCFW110007T4SZ</v>
      </c>
      <c r="C2786" t="s">
        <v>3169</v>
      </c>
      <c r="D2786" t="str">
        <f>VLOOKUP(A2786,Planilha2!B:H,7,0)</f>
        <v>LINHA P5</v>
      </c>
      <c r="E2786" s="5">
        <v>5250</v>
      </c>
      <c r="F2786">
        <f>IFERROR(
IF(ISNUMBER(FIND("CFW110",B2786)),
VALUE(MID(B2786,FIND("CFW110",B2786)+6,FIND("T",B2786,FIND("CFW110",B2786))-(FIND("CFW110",B2786)+6))),
IF(ISNUMBER(FIND("D",B2786)),
VALUE(SUBSTITUTE(MID(B2786,FIND("D",B2786)+1,FIND("T",B2786,FIND("D",B2786))-(FIND("D",B2786)+1)),"P",",")),
IF(ISNUMBER(FIND("CFW5",B2786)),
VALUE(MID(B2786,
IF(ISNUMBER(FIND("F",B2786)),FIND("F",B2786)+1,FIND("G",B2786)+1),
FIND("T",B2786)-(IF(ISNUMBER(FIND("F",B2786)),FIND("F",B2786)+1,FIND("G",B2786)+1))
)),
VALUE(MID(B2786,FIND("E0",B2786)+2,FIND("T",B2786,FIND("E0",B2786))-(FIND("E0",B2786)+2)))
))),"")</f>
        <v>7</v>
      </c>
      <c r="G2786">
        <f>IFERROR(
IF(ISNUMBER(FIND("T2",B2786)),220,
IF(ISNUMBER(FIND("T4",B2786)),440,
IF(ISNUMBER(FIND("T5",B2786)),575,
IF(ISNUMBER(FIND("T6",B2786)),690,"")))),
"")</f>
        <v>440</v>
      </c>
    </row>
    <row r="2787" spans="1:7" x14ac:dyDescent="0.25">
      <c r="A2787">
        <v>10587391</v>
      </c>
      <c r="B2787" t="str">
        <f>VLOOKUP(A2787,Planilha2!B:C,2,0)</f>
        <v>INVERSOR EUCFW110010T4SZ</v>
      </c>
      <c r="C2787" t="s">
        <v>3169</v>
      </c>
      <c r="D2787" t="str">
        <f>VLOOKUP(A2787,Planilha2!B:H,7,0)</f>
        <v>LINHA P5</v>
      </c>
      <c r="E2787" s="5">
        <v>5450</v>
      </c>
      <c r="F2787">
        <f>IFERROR(
IF(ISNUMBER(FIND("CFW110",B2787)),
VALUE(MID(B2787,FIND("CFW110",B2787)+6,FIND("T",B2787,FIND("CFW110",B2787))-(FIND("CFW110",B2787)+6))),
IF(ISNUMBER(FIND("D",B2787)),
VALUE(SUBSTITUTE(MID(B2787,FIND("D",B2787)+1,FIND("T",B2787,FIND("D",B2787))-(FIND("D",B2787)+1)),"P",",")),
IF(ISNUMBER(FIND("CFW5",B2787)),
VALUE(MID(B2787,
IF(ISNUMBER(FIND("F",B2787)),FIND("F",B2787)+1,FIND("G",B2787)+1),
FIND("T",B2787)-(IF(ISNUMBER(FIND("F",B2787)),FIND("F",B2787)+1,FIND("G",B2787)+1))
)),
VALUE(MID(B2787,FIND("E0",B2787)+2,FIND("T",B2787,FIND("E0",B2787))-(FIND("E0",B2787)+2)))
))),"")</f>
        <v>10</v>
      </c>
      <c r="G2787">
        <f>IFERROR(
IF(ISNUMBER(FIND("T2",B2787)),220,
IF(ISNUMBER(FIND("T4",B2787)),440,
IF(ISNUMBER(FIND("T5",B2787)),575,
IF(ISNUMBER(FIND("T6",B2787)),690,"")))),
"")</f>
        <v>440</v>
      </c>
    </row>
    <row r="2788" spans="1:7" x14ac:dyDescent="0.25">
      <c r="A2788">
        <v>10587392</v>
      </c>
      <c r="B2788" t="str">
        <f>VLOOKUP(A2788,Planilha2!B:C,2,0)</f>
        <v>INVERSOR EUCFW110013T4SZ</v>
      </c>
      <c r="C2788" t="s">
        <v>3169</v>
      </c>
      <c r="D2788" t="str">
        <f>VLOOKUP(A2788,Planilha2!B:H,7,0)</f>
        <v>LINHA P5</v>
      </c>
      <c r="E2788" s="5">
        <v>5650</v>
      </c>
      <c r="F2788">
        <f>IFERROR(
IF(ISNUMBER(FIND("CFW110",B2788)),
VALUE(MID(B2788,FIND("CFW110",B2788)+6,FIND("T",B2788,FIND("CFW110",B2788))-(FIND("CFW110",B2788)+6))),
IF(ISNUMBER(FIND("D",B2788)),
VALUE(SUBSTITUTE(MID(B2788,FIND("D",B2788)+1,FIND("T",B2788,FIND("D",B2788))-(FIND("D",B2788)+1)),"P",",")),
IF(ISNUMBER(FIND("CFW5",B2788)),
VALUE(MID(B2788,
IF(ISNUMBER(FIND("F",B2788)),FIND("F",B2788)+1,FIND("G",B2788)+1),
FIND("T",B2788)-(IF(ISNUMBER(FIND("F",B2788)),FIND("F",B2788)+1,FIND("G",B2788)+1))
)),
VALUE(MID(B2788,FIND("E0",B2788)+2,FIND("T",B2788,FIND("E0",B2788))-(FIND("E0",B2788)+2)))
))),"")</f>
        <v>13</v>
      </c>
      <c r="G2788">
        <f>IFERROR(
IF(ISNUMBER(FIND("T2",B2788)),220,
IF(ISNUMBER(FIND("T4",B2788)),440,
IF(ISNUMBER(FIND("T5",B2788)),575,
IF(ISNUMBER(FIND("T6",B2788)),690,"")))),
"")</f>
        <v>440</v>
      </c>
    </row>
    <row r="2789" spans="1:7" x14ac:dyDescent="0.25">
      <c r="A2789">
        <v>11389674</v>
      </c>
      <c r="B2789" t="str">
        <f>VLOOKUP(A2789,Planilha2!B:C,2,0)</f>
        <v>INVERSOR CFW700A13P5T4DB20C3</v>
      </c>
      <c r="C2789" t="s">
        <v>3169</v>
      </c>
      <c r="D2789" t="str">
        <f>VLOOKUP(A2789,Planilha2!B:H,7,0)</f>
        <v>OBSOLETOS DRIVES</v>
      </c>
      <c r="E2789" s="5">
        <v>5700</v>
      </c>
      <c r="F2789" t="str">
        <f>IFERROR(
IF(ISNUMBER(FIND("CFW110",B2789)),
VALUE(MID(B2789,FIND("CFW110",B2789)+6,FIND("T",B2789,FIND("CFW110",B2789))-(FIND("CFW110",B2789)+6))),
IF(ISNUMBER(FIND("D",B2789)),
VALUE(SUBSTITUTE(MID(B2789,FIND("D",B2789)+1,FIND("T",B2789,FIND("D",B2789))-(FIND("D",B2789)+1)),"P",",")),
IF(ISNUMBER(FIND("CFW5",B2789)),
VALUE(MID(B2789,
IF(ISNUMBER(FIND("F",B2789)),FIND("F",B2789)+1,FIND("G",B2789)+1),
FIND("T",B2789)-(IF(ISNUMBER(FIND("F",B2789)),FIND("F",B2789)+1,FIND("G",B2789)+1))
)),
VALUE(MID(B2789,FIND("E0",B2789)+2,FIND("T",B2789,FIND("E0",B2789))-(FIND("E0",B2789)+2)))
))),"")</f>
        <v/>
      </c>
      <c r="G2789">
        <f>IFERROR(
IF(ISNUMBER(FIND("T2",B2789)),220,
IF(ISNUMBER(FIND("T4",B2789)),440,
IF(ISNUMBER(FIND("T5",B2789)),575,
IF(ISNUMBER(FIND("T6",B2789)),690,"")))),
"")</f>
        <v>440</v>
      </c>
    </row>
    <row r="2790" spans="1:7" x14ac:dyDescent="0.25">
      <c r="A2790">
        <v>11389676</v>
      </c>
      <c r="B2790" t="str">
        <f>VLOOKUP(A2790,Planilha2!B:C,2,0)</f>
        <v>INVERSOR CFW700A16P0T2DB20C3</v>
      </c>
      <c r="C2790" t="s">
        <v>3169</v>
      </c>
      <c r="D2790" t="str">
        <f>VLOOKUP(A2790,Planilha2!B:H,7,0)</f>
        <v>OBSOLETOS DRIVES</v>
      </c>
      <c r="E2790" s="5">
        <v>5700</v>
      </c>
      <c r="F2790" t="str">
        <f>IFERROR(
IF(ISNUMBER(FIND("CFW110",B2790)),
VALUE(MID(B2790,FIND("CFW110",B2790)+6,FIND("T",B2790,FIND("CFW110",B2790))-(FIND("CFW110",B2790)+6))),
IF(ISNUMBER(FIND("D",B2790)),
VALUE(SUBSTITUTE(MID(B2790,FIND("D",B2790)+1,FIND("T",B2790,FIND("D",B2790))-(FIND("D",B2790)+1)),"P",",")),
IF(ISNUMBER(FIND("CFW5",B2790)),
VALUE(MID(B2790,
IF(ISNUMBER(FIND("F",B2790)),FIND("F",B2790)+1,FIND("G",B2790)+1),
FIND("T",B2790)-(IF(ISNUMBER(FIND("F",B2790)),FIND("F",B2790)+1,FIND("G",B2790)+1))
)),
VALUE(MID(B2790,FIND("E0",B2790)+2,FIND("T",B2790,FIND("E0",B2790))-(FIND("E0",B2790)+2)))
))),"")</f>
        <v/>
      </c>
      <c r="G2790">
        <f>IFERROR(
IF(ISNUMBER(FIND("T2",B2790)),220,
IF(ISNUMBER(FIND("T4",B2790)),440,
IF(ISNUMBER(FIND("T5",B2790)),575,
IF(ISNUMBER(FIND("T6",B2790)),690,"")))),
"")</f>
        <v>220</v>
      </c>
    </row>
    <row r="2791" spans="1:7" x14ac:dyDescent="0.25">
      <c r="A2791">
        <v>11543499</v>
      </c>
      <c r="B2791" t="str">
        <f>VLOOKUP(A2791,Planilha2!B:C,2,0)</f>
        <v>INVERSOR CFW700A03P6T4DB20C3</v>
      </c>
      <c r="C2791" t="s">
        <v>3169</v>
      </c>
      <c r="D2791" t="str">
        <f>VLOOKUP(A2791,Planilha2!B:H,7,0)</f>
        <v>OBSOLETOS DRIVES</v>
      </c>
      <c r="E2791" s="5">
        <v>5700</v>
      </c>
      <c r="F2791" t="str">
        <f>IFERROR(
IF(ISNUMBER(FIND("CFW110",B2791)),
VALUE(MID(B2791,FIND("CFW110",B2791)+6,FIND("T",B2791,FIND("CFW110",B2791))-(FIND("CFW110",B2791)+6))),
IF(ISNUMBER(FIND("D",B2791)),
VALUE(SUBSTITUTE(MID(B2791,FIND("D",B2791)+1,FIND("T",B2791,FIND("D",B2791))-(FIND("D",B2791)+1)),"P",",")),
IF(ISNUMBER(FIND("CFW5",B2791)),
VALUE(MID(B2791,
IF(ISNUMBER(FIND("F",B2791)),FIND("F",B2791)+1,FIND("G",B2791)+1),
FIND("T",B2791)-(IF(ISNUMBER(FIND("F",B2791)),FIND("F",B2791)+1,FIND("G",B2791)+1))
)),
VALUE(MID(B2791,FIND("E0",B2791)+2,FIND("T",B2791,FIND("E0",B2791))-(FIND("E0",B2791)+2)))
))),"")</f>
        <v/>
      </c>
      <c r="G2791">
        <f>IFERROR(
IF(ISNUMBER(FIND("T2",B2791)),220,
IF(ISNUMBER(FIND("T4",B2791)),440,
IF(ISNUMBER(FIND("T5",B2791)),575,
IF(ISNUMBER(FIND("T6",B2791)),690,"")))),
"")</f>
        <v>440</v>
      </c>
    </row>
    <row r="2792" spans="1:7" x14ac:dyDescent="0.25">
      <c r="A2792">
        <v>11543504</v>
      </c>
      <c r="B2792" t="str">
        <f>VLOOKUP(A2792,Planilha2!B:C,2,0)</f>
        <v>INVERSOR CFW700A05P0T4DB20C3</v>
      </c>
      <c r="C2792" t="s">
        <v>3169</v>
      </c>
      <c r="D2792" t="str">
        <f>VLOOKUP(A2792,Planilha2!B:H,7,0)</f>
        <v>OBSOLETOS DRIVES</v>
      </c>
      <c r="E2792" s="5">
        <v>5700</v>
      </c>
      <c r="F2792" t="str">
        <f>IFERROR(
IF(ISNUMBER(FIND("CFW110",B2792)),
VALUE(MID(B2792,FIND("CFW110",B2792)+6,FIND("T",B2792,FIND("CFW110",B2792))-(FIND("CFW110",B2792)+6))),
IF(ISNUMBER(FIND("D",B2792)),
VALUE(SUBSTITUTE(MID(B2792,FIND("D",B2792)+1,FIND("T",B2792,FIND("D",B2792))-(FIND("D",B2792)+1)),"P",",")),
IF(ISNUMBER(FIND("CFW5",B2792)),
VALUE(MID(B2792,
IF(ISNUMBER(FIND("F",B2792)),FIND("F",B2792)+1,FIND("G",B2792)+1),
FIND("T",B2792)-(IF(ISNUMBER(FIND("F",B2792)),FIND("F",B2792)+1,FIND("G",B2792)+1))
)),
VALUE(MID(B2792,FIND("E0",B2792)+2,FIND("T",B2792,FIND("E0",B2792))-(FIND("E0",B2792)+2)))
))),"")</f>
        <v/>
      </c>
      <c r="G2792">
        <f>IFERROR(
IF(ISNUMBER(FIND("T2",B2792)),220,
IF(ISNUMBER(FIND("T4",B2792)),440,
IF(ISNUMBER(FIND("T5",B2792)),575,
IF(ISNUMBER(FIND("T6",B2792)),690,"")))),
"")</f>
        <v>440</v>
      </c>
    </row>
    <row r="2793" spans="1:7" x14ac:dyDescent="0.25">
      <c r="A2793">
        <v>11543566</v>
      </c>
      <c r="B2793" t="str">
        <f>VLOOKUP(A2793,Planilha2!B:C,2,0)</f>
        <v>INVERSOR CFW700A10P0T4DB20C3</v>
      </c>
      <c r="C2793" t="s">
        <v>3169</v>
      </c>
      <c r="D2793" t="str">
        <f>VLOOKUP(A2793,Planilha2!B:H,7,0)</f>
        <v>OBSOLETOS DRIVES</v>
      </c>
      <c r="E2793" s="5">
        <v>5700</v>
      </c>
      <c r="F2793" t="str">
        <f>IFERROR(
IF(ISNUMBER(FIND("CFW110",B2793)),
VALUE(MID(B2793,FIND("CFW110",B2793)+6,FIND("T",B2793,FIND("CFW110",B2793))-(FIND("CFW110",B2793)+6))),
IF(ISNUMBER(FIND("D",B2793)),
VALUE(SUBSTITUTE(MID(B2793,FIND("D",B2793)+1,FIND("T",B2793,FIND("D",B2793))-(FIND("D",B2793)+1)),"P",",")),
IF(ISNUMBER(FIND("CFW5",B2793)),
VALUE(MID(B2793,
IF(ISNUMBER(FIND("F",B2793)),FIND("F",B2793)+1,FIND("G",B2793)+1),
FIND("T",B2793)-(IF(ISNUMBER(FIND("F",B2793)),FIND("F",B2793)+1,FIND("G",B2793)+1))
)),
VALUE(MID(B2793,FIND("E0",B2793)+2,FIND("T",B2793,FIND("E0",B2793))-(FIND("E0",B2793)+2)))
))),"")</f>
        <v/>
      </c>
      <c r="G2793">
        <f>IFERROR(
IF(ISNUMBER(FIND("T2",B2793)),220,
IF(ISNUMBER(FIND("T4",B2793)),440,
IF(ISNUMBER(FIND("T5",B2793)),575,
IF(ISNUMBER(FIND("T6",B2793)),690,"")))),
"")</f>
        <v>440</v>
      </c>
    </row>
    <row r="2794" spans="1:7" x14ac:dyDescent="0.25">
      <c r="A2794">
        <v>11545415</v>
      </c>
      <c r="B2794" t="str">
        <f>VLOOKUP(A2794,Planilha2!B:C,2,0)</f>
        <v>INVERSOR CFW700B17P0T4DBN1</v>
      </c>
      <c r="C2794" t="s">
        <v>3169</v>
      </c>
      <c r="D2794" t="str">
        <f>VLOOKUP(A2794,Planilha2!B:H,7,0)</f>
        <v>OBSOLETOS DRIVES</v>
      </c>
      <c r="E2794" s="5">
        <v>5810</v>
      </c>
      <c r="F2794" t="str">
        <f>IFERROR(
IF(ISNUMBER(FIND("CFW110",B2794)),
VALUE(MID(B2794,FIND("CFW110",B2794)+6,FIND("T",B2794,FIND("CFW110",B2794))-(FIND("CFW110",B2794)+6))),
IF(ISNUMBER(FIND("D",B2794)),
VALUE(SUBSTITUTE(MID(B2794,FIND("D",B2794)+1,FIND("T",B2794,FIND("D",B2794))-(FIND("D",B2794)+1)),"P",",")),
IF(ISNUMBER(FIND("CFW5",B2794)),
VALUE(MID(B2794,
IF(ISNUMBER(FIND("F",B2794)),FIND("F",B2794)+1,FIND("G",B2794)+1),
FIND("T",B2794)-(IF(ISNUMBER(FIND("F",B2794)),FIND("F",B2794)+1,FIND("G",B2794)+1))
)),
VALUE(MID(B2794,FIND("E0",B2794)+2,FIND("T",B2794,FIND("E0",B2794))-(FIND("E0",B2794)+2)))
))),"")</f>
        <v/>
      </c>
      <c r="G2794">
        <f>IFERROR(
IF(ISNUMBER(FIND("T2",B2794)),220,
IF(ISNUMBER(FIND("T4",B2794)),440,
IF(ISNUMBER(FIND("T5",B2794)),575,
IF(ISNUMBER(FIND("T6",B2794)),690,"")))),
"")</f>
        <v>440</v>
      </c>
    </row>
    <row r="2795" spans="1:7" x14ac:dyDescent="0.25">
      <c r="A2795">
        <v>10574698</v>
      </c>
      <c r="B2795" t="str">
        <f>VLOOKUP(A2795,Planilha2!B:C,2,0)</f>
        <v>INVERSOR NACFW110016T2SZ</v>
      </c>
      <c r="C2795" t="s">
        <v>3169</v>
      </c>
      <c r="D2795" t="str">
        <f>VLOOKUP(A2795,Planilha2!B:H,7,0)</f>
        <v>LINHA P5</v>
      </c>
      <c r="E2795" s="5">
        <v>5550</v>
      </c>
      <c r="F2795">
        <f>IFERROR(
IF(ISNUMBER(FIND("CFW110",B2795)),
VALUE(MID(B2795,FIND("CFW110",B2795)+6,FIND("T",B2795,FIND("CFW110",B2795))-(FIND("CFW110",B2795)+6))),
IF(ISNUMBER(FIND("D",B2795)),
VALUE(SUBSTITUTE(MID(B2795,FIND("D",B2795)+1,FIND("T",B2795,FIND("D",B2795))-(FIND("D",B2795)+1)),"P",",")),
IF(ISNUMBER(FIND("CFW5",B2795)),
VALUE(MID(B2795,
IF(ISNUMBER(FIND("F",B2795)),FIND("F",B2795)+1,FIND("G",B2795)+1),
FIND("T",B2795)-(IF(ISNUMBER(FIND("F",B2795)),FIND("F",B2795)+1,FIND("G",B2795)+1))
)),
VALUE(MID(B2795,FIND("E0",B2795)+2,FIND("T",B2795,FIND("E0",B2795))-(FIND("E0",B2795)+2)))
))),"")</f>
        <v>16</v>
      </c>
      <c r="G2795">
        <f>IFERROR(
IF(ISNUMBER(FIND("T2",B2795)),220,
IF(ISNUMBER(FIND("T4",B2795)),440,
IF(ISNUMBER(FIND("T5",B2795)),575,
IF(ISNUMBER(FIND("T6",B2795)),690,"")))),
"")</f>
        <v>220</v>
      </c>
    </row>
    <row r="2796" spans="1:7" x14ac:dyDescent="0.25">
      <c r="A2796">
        <v>10574726</v>
      </c>
      <c r="B2796" t="str">
        <f>VLOOKUP(A2796,Planilha2!B:C,2,0)</f>
        <v>INVERSOR NACFW110016T2ON1Z</v>
      </c>
      <c r="C2796" t="s">
        <v>3169</v>
      </c>
      <c r="D2796" t="str">
        <f>VLOOKUP(A2796,Planilha2!B:H,7,0)</f>
        <v>LINHA P5</v>
      </c>
      <c r="E2796" s="5">
        <v>6400</v>
      </c>
      <c r="F2796">
        <f>IFERROR(
IF(ISNUMBER(FIND("CFW110",B2796)),
VALUE(MID(B2796,FIND("CFW110",B2796)+6,FIND("T",B2796,FIND("CFW110",B2796))-(FIND("CFW110",B2796)+6))),
IF(ISNUMBER(FIND("D",B2796)),
VALUE(SUBSTITUTE(MID(B2796,FIND("D",B2796)+1,FIND("T",B2796,FIND("D",B2796))-(FIND("D",B2796)+1)),"P",",")),
IF(ISNUMBER(FIND("CFW5",B2796)),
VALUE(MID(B2796,
IF(ISNUMBER(FIND("F",B2796)),FIND("F",B2796)+1,FIND("G",B2796)+1),
FIND("T",B2796)-(IF(ISNUMBER(FIND("F",B2796)),FIND("F",B2796)+1,FIND("G",B2796)+1))
)),
VALUE(MID(B2796,FIND("E0",B2796)+2,FIND("T",B2796,FIND("E0",B2796))-(FIND("E0",B2796)+2)))
))),"")</f>
        <v>16</v>
      </c>
      <c r="G2796">
        <f>IFERROR(
IF(ISNUMBER(FIND("T2",B2796)),220,
IF(ISNUMBER(FIND("T4",B2796)),440,
IF(ISNUMBER(FIND("T5",B2796)),575,
IF(ISNUMBER(FIND("T6",B2796)),690,"")))),
"")</f>
        <v>220</v>
      </c>
    </row>
    <row r="2797" spans="1:7" x14ac:dyDescent="0.25">
      <c r="A2797">
        <v>10574744</v>
      </c>
      <c r="B2797" t="str">
        <f>VLOOKUP(A2797,Planilha2!B:C,2,0)</f>
        <v>INVERSOR SACFW110002B2SZ</v>
      </c>
      <c r="C2797" t="s">
        <v>3169</v>
      </c>
      <c r="D2797" t="str">
        <f>VLOOKUP(A2797,Planilha2!B:H,7,0)</f>
        <v>LINHA P5</v>
      </c>
      <c r="E2797" s="5">
        <v>2600</v>
      </c>
      <c r="F2797" t="str">
        <f>IFERROR(
IF(ISNUMBER(FIND("CFW110",B2797)),
VALUE(MID(B2797,FIND("CFW110",B2797)+6,FIND("T",B2797,FIND("CFW110",B2797))-(FIND("CFW110",B2797)+6))),
IF(ISNUMBER(FIND("D",B2797)),
VALUE(SUBSTITUTE(MID(B2797,FIND("D",B2797)+1,FIND("T",B2797,FIND("D",B2797))-(FIND("D",B2797)+1)),"P",",")),
IF(ISNUMBER(FIND("CFW5",B2797)),
VALUE(MID(B2797,
IF(ISNUMBER(FIND("F",B2797)),FIND("F",B2797)+1,FIND("G",B2797)+1),
FIND("T",B2797)-(IF(ISNUMBER(FIND("F",B2797)),FIND("F",B2797)+1,FIND("G",B2797)+1))
)),
VALUE(MID(B2797,FIND("E0",B2797)+2,FIND("T",B2797,FIND("E0",B2797))-(FIND("E0",B2797)+2)))
))),"")</f>
        <v/>
      </c>
      <c r="G2797" t="str">
        <f>IFERROR(
IF(ISNUMBER(FIND("T2",B2797)),220,
IF(ISNUMBER(FIND("T4",B2797)),440,
IF(ISNUMBER(FIND("T5",B2797)),575,
IF(ISNUMBER(FIND("T6",B2797)),690,"")))),
"")</f>
        <v/>
      </c>
    </row>
    <row r="2798" spans="1:7" x14ac:dyDescent="0.25">
      <c r="A2798">
        <v>10574745</v>
      </c>
      <c r="B2798" t="str">
        <f>VLOOKUP(A2798,Planilha2!B:C,2,0)</f>
        <v>INVERSOR SACFW110006B2SZ</v>
      </c>
      <c r="C2798" t="s">
        <v>3169</v>
      </c>
      <c r="D2798" t="str">
        <f>VLOOKUP(A2798,Planilha2!B:H,7,0)</f>
        <v>LINHA P5</v>
      </c>
      <c r="E2798" s="5">
        <v>5050</v>
      </c>
      <c r="F2798" t="str">
        <f>IFERROR(
IF(ISNUMBER(FIND("CFW110",B2798)),
VALUE(MID(B2798,FIND("CFW110",B2798)+6,FIND("T",B2798,FIND("CFW110",B2798))-(FIND("CFW110",B2798)+6))),
IF(ISNUMBER(FIND("D",B2798)),
VALUE(SUBSTITUTE(MID(B2798,FIND("D",B2798)+1,FIND("T",B2798,FIND("D",B2798))-(FIND("D",B2798)+1)),"P",",")),
IF(ISNUMBER(FIND("CFW5",B2798)),
VALUE(MID(B2798,
IF(ISNUMBER(FIND("F",B2798)),FIND("F",B2798)+1,FIND("G",B2798)+1),
FIND("T",B2798)-(IF(ISNUMBER(FIND("F",B2798)),FIND("F",B2798)+1,FIND("G",B2798)+1))
)),
VALUE(MID(B2798,FIND("E0",B2798)+2,FIND("T",B2798,FIND("E0",B2798))-(FIND("E0",B2798)+2)))
))),"")</f>
        <v/>
      </c>
      <c r="G2798" t="str">
        <f>IFERROR(
IF(ISNUMBER(FIND("T2",B2798)),220,
IF(ISNUMBER(FIND("T4",B2798)),440,
IF(ISNUMBER(FIND("T5",B2798)),575,
IF(ISNUMBER(FIND("T6",B2798)),690,"")))),
"")</f>
        <v/>
      </c>
    </row>
    <row r="2799" spans="1:7" x14ac:dyDescent="0.25">
      <c r="A2799">
        <v>10574746</v>
      </c>
      <c r="B2799" t="str">
        <f>VLOOKUP(A2799,Planilha2!B:C,2,0)</f>
        <v>INVERSOR SACFW110007B2SZ</v>
      </c>
      <c r="C2799" t="s">
        <v>3169</v>
      </c>
      <c r="D2799" t="str">
        <f>VLOOKUP(A2799,Planilha2!B:H,7,0)</f>
        <v>LINHA P5</v>
      </c>
      <c r="E2799" s="5">
        <v>5050</v>
      </c>
      <c r="F2799" t="str">
        <f>IFERROR(
IF(ISNUMBER(FIND("CFW110",B2799)),
VALUE(MID(B2799,FIND("CFW110",B2799)+6,FIND("T",B2799,FIND("CFW110",B2799))-(FIND("CFW110",B2799)+6))),
IF(ISNUMBER(FIND("D",B2799)),
VALUE(SUBSTITUTE(MID(B2799,FIND("D",B2799)+1,FIND("T",B2799,FIND("D",B2799))-(FIND("D",B2799)+1)),"P",",")),
IF(ISNUMBER(FIND("CFW5",B2799)),
VALUE(MID(B2799,
IF(ISNUMBER(FIND("F",B2799)),FIND("F",B2799)+1,FIND("G",B2799)+1),
FIND("T",B2799)-(IF(ISNUMBER(FIND("F",B2799)),FIND("F",B2799)+1,FIND("G",B2799)+1))
)),
VALUE(MID(B2799,FIND("E0",B2799)+2,FIND("T",B2799,FIND("E0",B2799))-(FIND("E0",B2799)+2)))
))),"")</f>
        <v/>
      </c>
      <c r="G2799" t="str">
        <f>IFERROR(
IF(ISNUMBER(FIND("T2",B2799)),220,
IF(ISNUMBER(FIND("T4",B2799)),440,
IF(ISNUMBER(FIND("T5",B2799)),575,
IF(ISNUMBER(FIND("T6",B2799)),690,"")))),
"")</f>
        <v/>
      </c>
    </row>
    <row r="2800" spans="1:7" x14ac:dyDescent="0.25">
      <c r="A2800">
        <v>10574747</v>
      </c>
      <c r="B2800" t="str">
        <f>VLOOKUP(A2800,Planilha2!B:C,2,0)</f>
        <v>INVERSOR SACFW110010S2SZ</v>
      </c>
      <c r="C2800" t="s">
        <v>3169</v>
      </c>
      <c r="D2800" t="str">
        <f>VLOOKUP(A2800,Planilha2!B:H,7,0)</f>
        <v>LINHA P5</v>
      </c>
      <c r="E2800" s="5">
        <v>5350</v>
      </c>
      <c r="F2800" t="str">
        <f>IFERROR(
IF(ISNUMBER(FIND("CFW110",B2800)),
VALUE(MID(B2800,FIND("CFW110",B2800)+6,FIND("T",B2800,FIND("CFW110",B2800))-(FIND("CFW110",B2800)+6))),
IF(ISNUMBER(FIND("D",B2800)),
VALUE(SUBSTITUTE(MID(B2800,FIND("D",B2800)+1,FIND("T",B2800,FIND("D",B2800))-(FIND("D",B2800)+1)),"P",",")),
IF(ISNUMBER(FIND("CFW5",B2800)),
VALUE(MID(B2800,
IF(ISNUMBER(FIND("F",B2800)),FIND("F",B2800)+1,FIND("G",B2800)+1),
FIND("T",B2800)-(IF(ISNUMBER(FIND("F",B2800)),FIND("F",B2800)+1,FIND("G",B2800)+1))
)),
VALUE(MID(B2800,FIND("E0",B2800)+2,FIND("T",B2800,FIND("E0",B2800))-(FIND("E0",B2800)+2)))
))),"")</f>
        <v/>
      </c>
      <c r="G2800" t="str">
        <f>IFERROR(
IF(ISNUMBER(FIND("T2",B2800)),220,
IF(ISNUMBER(FIND("T4",B2800)),440,
IF(ISNUMBER(FIND("T5",B2800)),575,
IF(ISNUMBER(FIND("T6",B2800)),690,"")))),
"")</f>
        <v/>
      </c>
    </row>
    <row r="2801" spans="1:7" x14ac:dyDescent="0.25">
      <c r="A2801">
        <v>10574748</v>
      </c>
      <c r="B2801" t="str">
        <f>VLOOKUP(A2801,Planilha2!B:C,2,0)</f>
        <v>INVERSOR SACFW110007T2SZ</v>
      </c>
      <c r="C2801" t="s">
        <v>3169</v>
      </c>
      <c r="D2801" t="str">
        <f>VLOOKUP(A2801,Planilha2!B:H,7,0)</f>
        <v>LINHA P5</v>
      </c>
      <c r="E2801" s="5">
        <v>5050</v>
      </c>
      <c r="F2801">
        <f>IFERROR(
IF(ISNUMBER(FIND("CFW110",B2801)),
VALUE(MID(B2801,FIND("CFW110",B2801)+6,FIND("T",B2801,FIND("CFW110",B2801))-(FIND("CFW110",B2801)+6))),
IF(ISNUMBER(FIND("D",B2801)),
VALUE(SUBSTITUTE(MID(B2801,FIND("D",B2801)+1,FIND("T",B2801,FIND("D",B2801))-(FIND("D",B2801)+1)),"P",",")),
IF(ISNUMBER(FIND("CFW5",B2801)),
VALUE(MID(B2801,
IF(ISNUMBER(FIND("F",B2801)),FIND("F",B2801)+1,FIND("G",B2801)+1),
FIND("T",B2801)-(IF(ISNUMBER(FIND("F",B2801)),FIND("F",B2801)+1,FIND("G",B2801)+1))
)),
VALUE(MID(B2801,FIND("E0",B2801)+2,FIND("T",B2801,FIND("E0",B2801))-(FIND("E0",B2801)+2)))
))),"")</f>
        <v>7</v>
      </c>
      <c r="G2801">
        <f>IFERROR(
IF(ISNUMBER(FIND("T2",B2801)),220,
IF(ISNUMBER(FIND("T4",B2801)),440,
IF(ISNUMBER(FIND("T5",B2801)),575,
IF(ISNUMBER(FIND("T6",B2801)),690,"")))),
"")</f>
        <v>220</v>
      </c>
    </row>
    <row r="2802" spans="1:7" x14ac:dyDescent="0.25">
      <c r="A2802">
        <v>10574749</v>
      </c>
      <c r="B2802" t="str">
        <f>VLOOKUP(A2802,Planilha2!B:C,2,0)</f>
        <v>INVERSOR SACFW110010T2SZ</v>
      </c>
      <c r="C2802" t="s">
        <v>3169</v>
      </c>
      <c r="D2802" t="str">
        <f>VLOOKUP(A2802,Planilha2!B:H,7,0)</f>
        <v>LINHA P5</v>
      </c>
      <c r="E2802" s="5">
        <v>5350</v>
      </c>
      <c r="F2802">
        <f>IFERROR(
IF(ISNUMBER(FIND("CFW110",B2802)),
VALUE(MID(B2802,FIND("CFW110",B2802)+6,FIND("T",B2802,FIND("CFW110",B2802))-(FIND("CFW110",B2802)+6))),
IF(ISNUMBER(FIND("D",B2802)),
VALUE(SUBSTITUTE(MID(B2802,FIND("D",B2802)+1,FIND("T",B2802,FIND("D",B2802))-(FIND("D",B2802)+1)),"P",",")),
IF(ISNUMBER(FIND("CFW5",B2802)),
VALUE(MID(B2802,
IF(ISNUMBER(FIND("F",B2802)),FIND("F",B2802)+1,FIND("G",B2802)+1),
FIND("T",B2802)-(IF(ISNUMBER(FIND("F",B2802)),FIND("F",B2802)+1,FIND("G",B2802)+1))
)),
VALUE(MID(B2802,FIND("E0",B2802)+2,FIND("T",B2802,FIND("E0",B2802))-(FIND("E0",B2802)+2)))
))),"")</f>
        <v>10</v>
      </c>
      <c r="G2802">
        <f>IFERROR(
IF(ISNUMBER(FIND("T2",B2802)),220,
IF(ISNUMBER(FIND("T4",B2802)),440,
IF(ISNUMBER(FIND("T5",B2802)),575,
IF(ISNUMBER(FIND("T6",B2802)),690,"")))),
"")</f>
        <v>220</v>
      </c>
    </row>
    <row r="2803" spans="1:7" x14ac:dyDescent="0.25">
      <c r="A2803">
        <v>10574750</v>
      </c>
      <c r="B2803" t="str">
        <f>VLOOKUP(A2803,Planilha2!B:C,2,0)</f>
        <v>INVERSOR SACFW110013T2SZ</v>
      </c>
      <c r="C2803" t="s">
        <v>3169</v>
      </c>
      <c r="D2803" t="str">
        <f>VLOOKUP(A2803,Planilha2!B:H,7,0)</f>
        <v>LINHA P5</v>
      </c>
      <c r="E2803" s="5">
        <v>5350</v>
      </c>
      <c r="F2803">
        <f>IFERROR(
IF(ISNUMBER(FIND("CFW110",B2803)),
VALUE(MID(B2803,FIND("CFW110",B2803)+6,FIND("T",B2803,FIND("CFW110",B2803))-(FIND("CFW110",B2803)+6))),
IF(ISNUMBER(FIND("D",B2803)),
VALUE(SUBSTITUTE(MID(B2803,FIND("D",B2803)+1,FIND("T",B2803,FIND("D",B2803))-(FIND("D",B2803)+1)),"P",",")),
IF(ISNUMBER(FIND("CFW5",B2803)),
VALUE(MID(B2803,
IF(ISNUMBER(FIND("F",B2803)),FIND("F",B2803)+1,FIND("G",B2803)+1),
FIND("T",B2803)-(IF(ISNUMBER(FIND("F",B2803)),FIND("F",B2803)+1,FIND("G",B2803)+1))
)),
VALUE(MID(B2803,FIND("E0",B2803)+2,FIND("T",B2803,FIND("E0",B2803))-(FIND("E0",B2803)+2)))
))),"")</f>
        <v>13</v>
      </c>
      <c r="G2803">
        <f>IFERROR(
IF(ISNUMBER(FIND("T2",B2803)),220,
IF(ISNUMBER(FIND("T4",B2803)),440,
IF(ISNUMBER(FIND("T5",B2803)),575,
IF(ISNUMBER(FIND("T6",B2803)),690,"")))),
"")</f>
        <v>220</v>
      </c>
    </row>
    <row r="2804" spans="1:7" x14ac:dyDescent="0.25">
      <c r="A2804">
        <v>10574751</v>
      </c>
      <c r="B2804" t="str">
        <f>VLOOKUP(A2804,Planilha2!B:C,2,0)</f>
        <v>INVERSOR SACFW110016T2SZ</v>
      </c>
      <c r="C2804" t="s">
        <v>3169</v>
      </c>
      <c r="D2804" t="str">
        <f>VLOOKUP(A2804,Planilha2!B:H,7,0)</f>
        <v>LINHA P5</v>
      </c>
      <c r="E2804" s="5">
        <v>5550</v>
      </c>
      <c r="F2804">
        <f>IFERROR(
IF(ISNUMBER(FIND("CFW110",B2804)),
VALUE(MID(B2804,FIND("CFW110",B2804)+6,FIND("T",B2804,FIND("CFW110",B2804))-(FIND("CFW110",B2804)+6))),
IF(ISNUMBER(FIND("D",B2804)),
VALUE(SUBSTITUTE(MID(B2804,FIND("D",B2804)+1,FIND("T",B2804,FIND("D",B2804))-(FIND("D",B2804)+1)),"P",",")),
IF(ISNUMBER(FIND("CFW5",B2804)),
VALUE(MID(B2804,
IF(ISNUMBER(FIND("F",B2804)),FIND("F",B2804)+1,FIND("G",B2804)+1),
FIND("T",B2804)-(IF(ISNUMBER(FIND("F",B2804)),FIND("F",B2804)+1,FIND("G",B2804)+1))
)),
VALUE(MID(B2804,FIND("E0",B2804)+2,FIND("T",B2804,FIND("E0",B2804))-(FIND("E0",B2804)+2)))
))),"")</f>
        <v>16</v>
      </c>
      <c r="G2804">
        <f>IFERROR(
IF(ISNUMBER(FIND("T2",B2804)),220,
IF(ISNUMBER(FIND("T4",B2804)),440,
IF(ISNUMBER(FIND("T5",B2804)),575,
IF(ISNUMBER(FIND("T6",B2804)),690,"")))),
"")</f>
        <v>220</v>
      </c>
    </row>
    <row r="2805" spans="1:7" x14ac:dyDescent="0.25">
      <c r="A2805">
        <v>10574760</v>
      </c>
      <c r="B2805" t="str">
        <f>VLOOKUP(A2805,Planilha2!B:C,2,0)</f>
        <v>INVERSOR SACFW110003T4SZ</v>
      </c>
      <c r="C2805" t="s">
        <v>3169</v>
      </c>
      <c r="D2805" t="str">
        <f>VLOOKUP(A2805,Planilha2!B:H,7,0)</f>
        <v>LINHA P5</v>
      </c>
      <c r="E2805" s="5">
        <v>5050</v>
      </c>
      <c r="F2805">
        <f>IFERROR(
IF(ISNUMBER(FIND("CFW110",B2805)),
VALUE(MID(B2805,FIND("CFW110",B2805)+6,FIND("T",B2805,FIND("CFW110",B2805))-(FIND("CFW110",B2805)+6))),
IF(ISNUMBER(FIND("D",B2805)),
VALUE(SUBSTITUTE(MID(B2805,FIND("D",B2805)+1,FIND("T",B2805,FIND("D",B2805))-(FIND("D",B2805)+1)),"P",",")),
IF(ISNUMBER(FIND("CFW5",B2805)),
VALUE(MID(B2805,
IF(ISNUMBER(FIND("F",B2805)),FIND("F",B2805)+1,FIND("G",B2805)+1),
FIND("T",B2805)-(IF(ISNUMBER(FIND("F",B2805)),FIND("F",B2805)+1,FIND("G",B2805)+1))
)),
VALUE(MID(B2805,FIND("E0",B2805)+2,FIND("T",B2805,FIND("E0",B2805))-(FIND("E0",B2805)+2)))
))),"")</f>
        <v>3</v>
      </c>
      <c r="G2805">
        <f>IFERROR(
IF(ISNUMBER(FIND("T2",B2805)),220,
IF(ISNUMBER(FIND("T4",B2805)),440,
IF(ISNUMBER(FIND("T5",B2805)),575,
IF(ISNUMBER(FIND("T6",B2805)),690,"")))),
"")</f>
        <v>440</v>
      </c>
    </row>
    <row r="2806" spans="1:7" x14ac:dyDescent="0.25">
      <c r="A2806">
        <v>10574761</v>
      </c>
      <c r="B2806" t="str">
        <f>VLOOKUP(A2806,Planilha2!B:C,2,0)</f>
        <v>INVERSOR SACFW110005T4SZ</v>
      </c>
      <c r="C2806" t="s">
        <v>3169</v>
      </c>
      <c r="D2806" t="str">
        <f>VLOOKUP(A2806,Planilha2!B:H,7,0)</f>
        <v>LINHA P5</v>
      </c>
      <c r="E2806" s="5">
        <v>5250</v>
      </c>
      <c r="F2806">
        <f>IFERROR(
IF(ISNUMBER(FIND("CFW110",B2806)),
VALUE(MID(B2806,FIND("CFW110",B2806)+6,FIND("T",B2806,FIND("CFW110",B2806))-(FIND("CFW110",B2806)+6))),
IF(ISNUMBER(FIND("D",B2806)),
VALUE(SUBSTITUTE(MID(B2806,FIND("D",B2806)+1,FIND("T",B2806,FIND("D",B2806))-(FIND("D",B2806)+1)),"P",",")),
IF(ISNUMBER(FIND("CFW5",B2806)),
VALUE(MID(B2806,
IF(ISNUMBER(FIND("F",B2806)),FIND("F",B2806)+1,FIND("G",B2806)+1),
FIND("T",B2806)-(IF(ISNUMBER(FIND("F",B2806)),FIND("F",B2806)+1,FIND("G",B2806)+1))
)),
VALUE(MID(B2806,FIND("E0",B2806)+2,FIND("T",B2806,FIND("E0",B2806))-(FIND("E0",B2806)+2)))
))),"")</f>
        <v>5</v>
      </c>
      <c r="G2806">
        <f>IFERROR(
IF(ISNUMBER(FIND("T2",B2806)),220,
IF(ISNUMBER(FIND("T4",B2806)),440,
IF(ISNUMBER(FIND("T5",B2806)),575,
IF(ISNUMBER(FIND("T6",B2806)),690,"")))),
"")</f>
        <v>440</v>
      </c>
    </row>
    <row r="2807" spans="1:7" x14ac:dyDescent="0.25">
      <c r="A2807">
        <v>10574762</v>
      </c>
      <c r="B2807" t="str">
        <f>VLOOKUP(A2807,Planilha2!B:C,2,0)</f>
        <v>INVERSOR SACFW110007T4SZ</v>
      </c>
      <c r="C2807" t="s">
        <v>3169</v>
      </c>
      <c r="D2807" t="str">
        <f>VLOOKUP(A2807,Planilha2!B:H,7,0)</f>
        <v>LINHA P5</v>
      </c>
      <c r="E2807" s="5">
        <v>5250</v>
      </c>
      <c r="F2807">
        <f>IFERROR(
IF(ISNUMBER(FIND("CFW110",B2807)),
VALUE(MID(B2807,FIND("CFW110",B2807)+6,FIND("T",B2807,FIND("CFW110",B2807))-(FIND("CFW110",B2807)+6))),
IF(ISNUMBER(FIND("D",B2807)),
VALUE(SUBSTITUTE(MID(B2807,FIND("D",B2807)+1,FIND("T",B2807,FIND("D",B2807))-(FIND("D",B2807)+1)),"P",",")),
IF(ISNUMBER(FIND("CFW5",B2807)),
VALUE(MID(B2807,
IF(ISNUMBER(FIND("F",B2807)),FIND("F",B2807)+1,FIND("G",B2807)+1),
FIND("T",B2807)-(IF(ISNUMBER(FIND("F",B2807)),FIND("F",B2807)+1,FIND("G",B2807)+1))
)),
VALUE(MID(B2807,FIND("E0",B2807)+2,FIND("T",B2807,FIND("E0",B2807))-(FIND("E0",B2807)+2)))
))),"")</f>
        <v>7</v>
      </c>
      <c r="G2807">
        <f>IFERROR(
IF(ISNUMBER(FIND("T2",B2807)),220,
IF(ISNUMBER(FIND("T4",B2807)),440,
IF(ISNUMBER(FIND("T5",B2807)),575,
IF(ISNUMBER(FIND("T6",B2807)),690,"")))),
"")</f>
        <v>440</v>
      </c>
    </row>
    <row r="2808" spans="1:7" x14ac:dyDescent="0.25">
      <c r="A2808">
        <v>10574763</v>
      </c>
      <c r="B2808" t="str">
        <f>VLOOKUP(A2808,Planilha2!B:C,2,0)</f>
        <v>INVERSOR SACFW110010T4SZ</v>
      </c>
      <c r="C2808" t="s">
        <v>3169</v>
      </c>
      <c r="D2808" t="str">
        <f>VLOOKUP(A2808,Planilha2!B:H,7,0)</f>
        <v>LINHA P5</v>
      </c>
      <c r="E2808" s="5">
        <v>5450</v>
      </c>
      <c r="F2808">
        <f>IFERROR(
IF(ISNUMBER(FIND("CFW110",B2808)),
VALUE(MID(B2808,FIND("CFW110",B2808)+6,FIND("T",B2808,FIND("CFW110",B2808))-(FIND("CFW110",B2808)+6))),
IF(ISNUMBER(FIND("D",B2808)),
VALUE(SUBSTITUTE(MID(B2808,FIND("D",B2808)+1,FIND("T",B2808,FIND("D",B2808))-(FIND("D",B2808)+1)),"P",",")),
IF(ISNUMBER(FIND("CFW5",B2808)),
VALUE(MID(B2808,
IF(ISNUMBER(FIND("F",B2808)),FIND("F",B2808)+1,FIND("G",B2808)+1),
FIND("T",B2808)-(IF(ISNUMBER(FIND("F",B2808)),FIND("F",B2808)+1,FIND("G",B2808)+1))
)),
VALUE(MID(B2808,FIND("E0",B2808)+2,FIND("T",B2808,FIND("E0",B2808))-(FIND("E0",B2808)+2)))
))),"")</f>
        <v>10</v>
      </c>
      <c r="G2808">
        <f>IFERROR(
IF(ISNUMBER(FIND("T2",B2808)),220,
IF(ISNUMBER(FIND("T4",B2808)),440,
IF(ISNUMBER(FIND("T5",B2808)),575,
IF(ISNUMBER(FIND("T6",B2808)),690,"")))),
"")</f>
        <v>440</v>
      </c>
    </row>
    <row r="2809" spans="1:7" x14ac:dyDescent="0.25">
      <c r="A2809">
        <v>10574764</v>
      </c>
      <c r="B2809" t="str">
        <f>VLOOKUP(A2809,Planilha2!B:C,2,0)</f>
        <v>INVERSOR SACFW110013T4SZ</v>
      </c>
      <c r="C2809" t="s">
        <v>3169</v>
      </c>
      <c r="D2809" t="str">
        <f>VLOOKUP(A2809,Planilha2!B:H,7,0)</f>
        <v>LINHA P5</v>
      </c>
      <c r="E2809" s="5">
        <v>5650</v>
      </c>
      <c r="F2809">
        <f>IFERROR(
IF(ISNUMBER(FIND("CFW110",B2809)),
VALUE(MID(B2809,FIND("CFW110",B2809)+6,FIND("T",B2809,FIND("CFW110",B2809))-(FIND("CFW110",B2809)+6))),
IF(ISNUMBER(FIND("D",B2809)),
VALUE(SUBSTITUTE(MID(B2809,FIND("D",B2809)+1,FIND("T",B2809,FIND("D",B2809))-(FIND("D",B2809)+1)),"P",",")),
IF(ISNUMBER(FIND("CFW5",B2809)),
VALUE(MID(B2809,
IF(ISNUMBER(FIND("F",B2809)),FIND("F",B2809)+1,FIND("G",B2809)+1),
FIND("T",B2809)-(IF(ISNUMBER(FIND("F",B2809)),FIND("F",B2809)+1,FIND("G",B2809)+1))
)),
VALUE(MID(B2809,FIND("E0",B2809)+2,FIND("T",B2809,FIND("E0",B2809))-(FIND("E0",B2809)+2)))
))),"")</f>
        <v>13</v>
      </c>
      <c r="G2809">
        <f>IFERROR(
IF(ISNUMBER(FIND("T2",B2809)),220,
IF(ISNUMBER(FIND("T4",B2809)),440,
IF(ISNUMBER(FIND("T5",B2809)),575,
IF(ISNUMBER(FIND("T6",B2809)),690,"")))),
"")</f>
        <v>440</v>
      </c>
    </row>
    <row r="2810" spans="1:7" x14ac:dyDescent="0.25">
      <c r="A2810">
        <v>10574774</v>
      </c>
      <c r="B2810" t="str">
        <f>VLOOKUP(A2810,Planilha2!B:C,2,0)</f>
        <v>INVERSOR EUCFW110006S2OFAZ</v>
      </c>
      <c r="C2810" t="s">
        <v>3169</v>
      </c>
      <c r="D2810" t="str">
        <f>VLOOKUP(A2810,Planilha2!B:H,7,0)</f>
        <v>LINHA P5</v>
      </c>
      <c r="E2810" s="5">
        <v>5150</v>
      </c>
      <c r="F2810" t="str">
        <f>IFERROR(
IF(ISNUMBER(FIND("CFW110",B2810)),
VALUE(MID(B2810,FIND("CFW110",B2810)+6,FIND("T",B2810,FIND("CFW110",B2810))-(FIND("CFW110",B2810)+6))),
IF(ISNUMBER(FIND("D",B2810)),
VALUE(SUBSTITUTE(MID(B2810,FIND("D",B2810)+1,FIND("T",B2810,FIND("D",B2810))-(FIND("D",B2810)+1)),"P",",")),
IF(ISNUMBER(FIND("CFW5",B2810)),
VALUE(MID(B2810,
IF(ISNUMBER(FIND("F",B2810)),FIND("F",B2810)+1,FIND("G",B2810)+1),
FIND("T",B2810)-(IF(ISNUMBER(FIND("F",B2810)),FIND("F",B2810)+1,FIND("G",B2810)+1))
)),
VALUE(MID(B2810,FIND("E0",B2810)+2,FIND("T",B2810,FIND("E0",B2810))-(FIND("E0",B2810)+2)))
))),"")</f>
        <v/>
      </c>
      <c r="G2810" t="str">
        <f>IFERROR(
IF(ISNUMBER(FIND("T2",B2810)),220,
IF(ISNUMBER(FIND("T4",B2810)),440,
IF(ISNUMBER(FIND("T5",B2810)),575,
IF(ISNUMBER(FIND("T6",B2810)),690,"")))),
"")</f>
        <v/>
      </c>
    </row>
    <row r="2811" spans="1:7" x14ac:dyDescent="0.25">
      <c r="A2811">
        <v>10574775</v>
      </c>
      <c r="B2811" t="str">
        <f>VLOOKUP(A2811,Planilha2!B:C,2,0)</f>
        <v>INVERSOR EUCFW110007S2OFAZ</v>
      </c>
      <c r="C2811" t="s">
        <v>3169</v>
      </c>
      <c r="D2811" t="str">
        <f>VLOOKUP(A2811,Planilha2!B:H,7,0)</f>
        <v>LINHA P5</v>
      </c>
      <c r="E2811" s="5">
        <v>5150</v>
      </c>
      <c r="F2811" t="str">
        <f>IFERROR(
IF(ISNUMBER(FIND("CFW110",B2811)),
VALUE(MID(B2811,FIND("CFW110",B2811)+6,FIND("T",B2811,FIND("CFW110",B2811))-(FIND("CFW110",B2811)+6))),
IF(ISNUMBER(FIND("D",B2811)),
VALUE(SUBSTITUTE(MID(B2811,FIND("D",B2811)+1,FIND("T",B2811,FIND("D",B2811))-(FIND("D",B2811)+1)),"P",",")),
IF(ISNUMBER(FIND("CFW5",B2811)),
VALUE(MID(B2811,
IF(ISNUMBER(FIND("F",B2811)),FIND("F",B2811)+1,FIND("G",B2811)+1),
FIND("T",B2811)-(IF(ISNUMBER(FIND("F",B2811)),FIND("F",B2811)+1,FIND("G",B2811)+1))
)),
VALUE(MID(B2811,FIND("E0",B2811)+2,FIND("T",B2811,FIND("E0",B2811))-(FIND("E0",B2811)+2)))
))),"")</f>
        <v/>
      </c>
      <c r="G2811" t="str">
        <f>IFERROR(
IF(ISNUMBER(FIND("T2",B2811)),220,
IF(ISNUMBER(FIND("T4",B2811)),440,
IF(ISNUMBER(FIND("T5",B2811)),575,
IF(ISNUMBER(FIND("T6",B2811)),690,"")))),
"")</f>
        <v/>
      </c>
    </row>
    <row r="2812" spans="1:7" x14ac:dyDescent="0.25">
      <c r="A2812">
        <v>10574776</v>
      </c>
      <c r="B2812" t="str">
        <f>VLOOKUP(A2812,Planilha2!B:C,2,0)</f>
        <v>INVERSOR EUCFW110010S2OFAZ</v>
      </c>
      <c r="C2812" t="s">
        <v>3169</v>
      </c>
      <c r="D2812" t="str">
        <f>VLOOKUP(A2812,Planilha2!B:H,7,0)</f>
        <v>LINHA P5</v>
      </c>
      <c r="E2812" s="5">
        <v>5450</v>
      </c>
      <c r="F2812" t="str">
        <f>IFERROR(
IF(ISNUMBER(FIND("CFW110",B2812)),
VALUE(MID(B2812,FIND("CFW110",B2812)+6,FIND("T",B2812,FIND("CFW110",B2812))-(FIND("CFW110",B2812)+6))),
IF(ISNUMBER(FIND("D",B2812)),
VALUE(SUBSTITUTE(MID(B2812,FIND("D",B2812)+1,FIND("T",B2812,FIND("D",B2812))-(FIND("D",B2812)+1)),"P",",")),
IF(ISNUMBER(FIND("CFW5",B2812)),
VALUE(MID(B2812,
IF(ISNUMBER(FIND("F",B2812)),FIND("F",B2812)+1,FIND("G",B2812)+1),
FIND("T",B2812)-(IF(ISNUMBER(FIND("F",B2812)),FIND("F",B2812)+1,FIND("G",B2812)+1))
)),
VALUE(MID(B2812,FIND("E0",B2812)+2,FIND("T",B2812,FIND("E0",B2812))-(FIND("E0",B2812)+2)))
))),"")</f>
        <v/>
      </c>
      <c r="G2812" t="str">
        <f>IFERROR(
IF(ISNUMBER(FIND("T2",B2812)),220,
IF(ISNUMBER(FIND("T4",B2812)),440,
IF(ISNUMBER(FIND("T5",B2812)),575,
IF(ISNUMBER(FIND("T6",B2812)),690,"")))),
"")</f>
        <v/>
      </c>
    </row>
    <row r="2813" spans="1:7" x14ac:dyDescent="0.25">
      <c r="A2813">
        <v>10574777</v>
      </c>
      <c r="B2813" t="str">
        <f>VLOOKUP(A2813,Planilha2!B:C,2,0)</f>
        <v>INVERSOR EUCFW110007T2OFAZ</v>
      </c>
      <c r="C2813" t="s">
        <v>3169</v>
      </c>
      <c r="D2813" t="str">
        <f>VLOOKUP(A2813,Planilha2!B:H,7,0)</f>
        <v>LINHA P5</v>
      </c>
      <c r="E2813" s="5">
        <v>5150</v>
      </c>
      <c r="F2813">
        <f>IFERROR(
IF(ISNUMBER(FIND("CFW110",B2813)),
VALUE(MID(B2813,FIND("CFW110",B2813)+6,FIND("T",B2813,FIND("CFW110",B2813))-(FIND("CFW110",B2813)+6))),
IF(ISNUMBER(FIND("D",B2813)),
VALUE(SUBSTITUTE(MID(B2813,FIND("D",B2813)+1,FIND("T",B2813,FIND("D",B2813))-(FIND("D",B2813)+1)),"P",",")),
IF(ISNUMBER(FIND("CFW5",B2813)),
VALUE(MID(B2813,
IF(ISNUMBER(FIND("F",B2813)),FIND("F",B2813)+1,FIND("G",B2813)+1),
FIND("T",B2813)-(IF(ISNUMBER(FIND("F",B2813)),FIND("F",B2813)+1,FIND("G",B2813)+1))
)),
VALUE(MID(B2813,FIND("E0",B2813)+2,FIND("T",B2813,FIND("E0",B2813))-(FIND("E0",B2813)+2)))
))),"")</f>
        <v>7</v>
      </c>
      <c r="G2813">
        <f>IFERROR(
IF(ISNUMBER(FIND("T2",B2813)),220,
IF(ISNUMBER(FIND("T4",B2813)),440,
IF(ISNUMBER(FIND("T5",B2813)),575,
IF(ISNUMBER(FIND("T6",B2813)),690,"")))),
"")</f>
        <v>220</v>
      </c>
    </row>
    <row r="2814" spans="1:7" x14ac:dyDescent="0.25">
      <c r="A2814">
        <v>10574778</v>
      </c>
      <c r="B2814" t="str">
        <f>VLOOKUP(A2814,Planilha2!B:C,2,0)</f>
        <v>INVERSOR EUCFW110010T2OFAZ</v>
      </c>
      <c r="C2814" t="s">
        <v>3169</v>
      </c>
      <c r="D2814" t="str">
        <f>VLOOKUP(A2814,Planilha2!B:H,7,0)</f>
        <v>LINHA P5</v>
      </c>
      <c r="E2814" s="5">
        <v>5450</v>
      </c>
      <c r="F2814">
        <f>IFERROR(
IF(ISNUMBER(FIND("CFW110",B2814)),
VALUE(MID(B2814,FIND("CFW110",B2814)+6,FIND("T",B2814,FIND("CFW110",B2814))-(FIND("CFW110",B2814)+6))),
IF(ISNUMBER(FIND("D",B2814)),
VALUE(SUBSTITUTE(MID(B2814,FIND("D",B2814)+1,FIND("T",B2814,FIND("D",B2814))-(FIND("D",B2814)+1)),"P",",")),
IF(ISNUMBER(FIND("CFW5",B2814)),
VALUE(MID(B2814,
IF(ISNUMBER(FIND("F",B2814)),FIND("F",B2814)+1,FIND("G",B2814)+1),
FIND("T",B2814)-(IF(ISNUMBER(FIND("F",B2814)),FIND("F",B2814)+1,FIND("G",B2814)+1))
)),
VALUE(MID(B2814,FIND("E0",B2814)+2,FIND("T",B2814,FIND("E0",B2814))-(FIND("E0",B2814)+2)))
))),"")</f>
        <v>10</v>
      </c>
      <c r="G2814">
        <f>IFERROR(
IF(ISNUMBER(FIND("T2",B2814)),220,
IF(ISNUMBER(FIND("T4",B2814)),440,
IF(ISNUMBER(FIND("T5",B2814)),575,
IF(ISNUMBER(FIND("T6",B2814)),690,"")))),
"")</f>
        <v>220</v>
      </c>
    </row>
    <row r="2815" spans="1:7" x14ac:dyDescent="0.25">
      <c r="A2815">
        <v>10574779</v>
      </c>
      <c r="B2815" t="str">
        <f>VLOOKUP(A2815,Planilha2!B:C,2,0)</f>
        <v>INVERSOR EUCFW110013T2OFAZ</v>
      </c>
      <c r="C2815" t="s">
        <v>3169</v>
      </c>
      <c r="D2815" t="str">
        <f>VLOOKUP(A2815,Planilha2!B:H,7,0)</f>
        <v>LINHA P5</v>
      </c>
      <c r="E2815" s="5">
        <v>5450</v>
      </c>
      <c r="F2815">
        <f>IFERROR(
IF(ISNUMBER(FIND("CFW110",B2815)),
VALUE(MID(B2815,FIND("CFW110",B2815)+6,FIND("T",B2815,FIND("CFW110",B2815))-(FIND("CFW110",B2815)+6))),
IF(ISNUMBER(FIND("D",B2815)),
VALUE(SUBSTITUTE(MID(B2815,FIND("D",B2815)+1,FIND("T",B2815,FIND("D",B2815))-(FIND("D",B2815)+1)),"P",",")),
IF(ISNUMBER(FIND("CFW5",B2815)),
VALUE(MID(B2815,
IF(ISNUMBER(FIND("F",B2815)),FIND("F",B2815)+1,FIND("G",B2815)+1),
FIND("T",B2815)-(IF(ISNUMBER(FIND("F",B2815)),FIND("F",B2815)+1,FIND("G",B2815)+1))
)),
VALUE(MID(B2815,FIND("E0",B2815)+2,FIND("T",B2815,FIND("E0",B2815))-(FIND("E0",B2815)+2)))
))),"")</f>
        <v>13</v>
      </c>
      <c r="G2815">
        <f>IFERROR(
IF(ISNUMBER(FIND("T2",B2815)),220,
IF(ISNUMBER(FIND("T4",B2815)),440,
IF(ISNUMBER(FIND("T5",B2815)),575,
IF(ISNUMBER(FIND("T6",B2815)),690,"")))),
"")</f>
        <v>220</v>
      </c>
    </row>
    <row r="2816" spans="1:7" x14ac:dyDescent="0.25">
      <c r="A2816">
        <v>10574780</v>
      </c>
      <c r="B2816" t="str">
        <f>VLOOKUP(A2816,Planilha2!B:C,2,0)</f>
        <v>INVERSOR EUCFW110016T2OFAZ</v>
      </c>
      <c r="C2816" t="s">
        <v>3169</v>
      </c>
      <c r="D2816" t="str">
        <f>VLOOKUP(A2816,Planilha2!B:H,7,0)</f>
        <v>LINHA P5</v>
      </c>
      <c r="E2816" s="5">
        <v>5650</v>
      </c>
      <c r="F2816">
        <f>IFERROR(
IF(ISNUMBER(FIND("CFW110",B2816)),
VALUE(MID(B2816,FIND("CFW110",B2816)+6,FIND("T",B2816,FIND("CFW110",B2816))-(FIND("CFW110",B2816)+6))),
IF(ISNUMBER(FIND("D",B2816)),
VALUE(SUBSTITUTE(MID(B2816,FIND("D",B2816)+1,FIND("T",B2816,FIND("D",B2816))-(FIND("D",B2816)+1)),"P",",")),
IF(ISNUMBER(FIND("CFW5",B2816)),
VALUE(MID(B2816,
IF(ISNUMBER(FIND("F",B2816)),FIND("F",B2816)+1,FIND("G",B2816)+1),
FIND("T",B2816)-(IF(ISNUMBER(FIND("F",B2816)),FIND("F",B2816)+1,FIND("G",B2816)+1))
)),
VALUE(MID(B2816,FIND("E0",B2816)+2,FIND("T",B2816,FIND("E0",B2816))-(FIND("E0",B2816)+2)))
))),"")</f>
        <v>16</v>
      </c>
      <c r="G2816">
        <f>IFERROR(
IF(ISNUMBER(FIND("T2",B2816)),220,
IF(ISNUMBER(FIND("T4",B2816)),440,
IF(ISNUMBER(FIND("T5",B2816)),575,
IF(ISNUMBER(FIND("T6",B2816)),690,"")))),
"")</f>
        <v>220</v>
      </c>
    </row>
    <row r="2817" spans="1:7" x14ac:dyDescent="0.25">
      <c r="A2817">
        <v>10574789</v>
      </c>
      <c r="B2817" t="str">
        <f>VLOOKUP(A2817,Planilha2!B:C,2,0)</f>
        <v>INVERSOR EUCFW110003T4OFAZ</v>
      </c>
      <c r="C2817" t="s">
        <v>3169</v>
      </c>
      <c r="D2817" t="str">
        <f>VLOOKUP(A2817,Planilha2!B:H,7,0)</f>
        <v>LINHA P5</v>
      </c>
      <c r="E2817" s="5">
        <v>5150</v>
      </c>
      <c r="F2817">
        <f>IFERROR(
IF(ISNUMBER(FIND("CFW110",B2817)),
VALUE(MID(B2817,FIND("CFW110",B2817)+6,FIND("T",B2817,FIND("CFW110",B2817))-(FIND("CFW110",B2817)+6))),
IF(ISNUMBER(FIND("D",B2817)),
VALUE(SUBSTITUTE(MID(B2817,FIND("D",B2817)+1,FIND("T",B2817,FIND("D",B2817))-(FIND("D",B2817)+1)),"P",",")),
IF(ISNUMBER(FIND("CFW5",B2817)),
VALUE(MID(B2817,
IF(ISNUMBER(FIND("F",B2817)),FIND("F",B2817)+1,FIND("G",B2817)+1),
FIND("T",B2817)-(IF(ISNUMBER(FIND("F",B2817)),FIND("F",B2817)+1,FIND("G",B2817)+1))
)),
VALUE(MID(B2817,FIND("E0",B2817)+2,FIND("T",B2817,FIND("E0",B2817))-(FIND("E0",B2817)+2)))
))),"")</f>
        <v>3</v>
      </c>
      <c r="G2817">
        <f>IFERROR(
IF(ISNUMBER(FIND("T2",B2817)),220,
IF(ISNUMBER(FIND("T4",B2817)),440,
IF(ISNUMBER(FIND("T5",B2817)),575,
IF(ISNUMBER(FIND("T6",B2817)),690,"")))),
"")</f>
        <v>440</v>
      </c>
    </row>
    <row r="2818" spans="1:7" x14ac:dyDescent="0.25">
      <c r="A2818">
        <v>10574790</v>
      </c>
      <c r="B2818" t="str">
        <f>VLOOKUP(A2818,Planilha2!B:C,2,0)</f>
        <v>INVERSOR EUCFW110005T4OFAZ</v>
      </c>
      <c r="C2818" t="s">
        <v>3169</v>
      </c>
      <c r="D2818" t="str">
        <f>VLOOKUP(A2818,Planilha2!B:H,7,0)</f>
        <v>LINHA P5</v>
      </c>
      <c r="E2818" s="5">
        <v>5350</v>
      </c>
      <c r="F2818">
        <f>IFERROR(
IF(ISNUMBER(FIND("CFW110",B2818)),
VALUE(MID(B2818,FIND("CFW110",B2818)+6,FIND("T",B2818,FIND("CFW110",B2818))-(FIND("CFW110",B2818)+6))),
IF(ISNUMBER(FIND("D",B2818)),
VALUE(SUBSTITUTE(MID(B2818,FIND("D",B2818)+1,FIND("T",B2818,FIND("D",B2818))-(FIND("D",B2818)+1)),"P",",")),
IF(ISNUMBER(FIND("CFW5",B2818)),
VALUE(MID(B2818,
IF(ISNUMBER(FIND("F",B2818)),FIND("F",B2818)+1,FIND("G",B2818)+1),
FIND("T",B2818)-(IF(ISNUMBER(FIND("F",B2818)),FIND("F",B2818)+1,FIND("G",B2818)+1))
)),
VALUE(MID(B2818,FIND("E0",B2818)+2,FIND("T",B2818,FIND("E0",B2818))-(FIND("E0",B2818)+2)))
))),"")</f>
        <v>5</v>
      </c>
      <c r="G2818">
        <f>IFERROR(
IF(ISNUMBER(FIND("T2",B2818)),220,
IF(ISNUMBER(FIND("T4",B2818)),440,
IF(ISNUMBER(FIND("T5",B2818)),575,
IF(ISNUMBER(FIND("T6",B2818)),690,"")))),
"")</f>
        <v>440</v>
      </c>
    </row>
    <row r="2819" spans="1:7" x14ac:dyDescent="0.25">
      <c r="A2819">
        <v>10574791</v>
      </c>
      <c r="B2819" t="str">
        <f>VLOOKUP(A2819,Planilha2!B:C,2,0)</f>
        <v>INVERSOR EUCFW110007T4OFAZ</v>
      </c>
      <c r="C2819" t="s">
        <v>3169</v>
      </c>
      <c r="D2819" t="str">
        <f>VLOOKUP(A2819,Planilha2!B:H,7,0)</f>
        <v>LINHA P5</v>
      </c>
      <c r="E2819" s="5">
        <v>5350</v>
      </c>
      <c r="F2819">
        <f>IFERROR(
IF(ISNUMBER(FIND("CFW110",B2819)),
VALUE(MID(B2819,FIND("CFW110",B2819)+6,FIND("T",B2819,FIND("CFW110",B2819))-(FIND("CFW110",B2819)+6))),
IF(ISNUMBER(FIND("D",B2819)),
VALUE(SUBSTITUTE(MID(B2819,FIND("D",B2819)+1,FIND("T",B2819,FIND("D",B2819))-(FIND("D",B2819)+1)),"P",",")),
IF(ISNUMBER(FIND("CFW5",B2819)),
VALUE(MID(B2819,
IF(ISNUMBER(FIND("F",B2819)),FIND("F",B2819)+1,FIND("G",B2819)+1),
FIND("T",B2819)-(IF(ISNUMBER(FIND("F",B2819)),FIND("F",B2819)+1,FIND("G",B2819)+1))
)),
VALUE(MID(B2819,FIND("E0",B2819)+2,FIND("T",B2819,FIND("E0",B2819))-(FIND("E0",B2819)+2)))
))),"")</f>
        <v>7</v>
      </c>
      <c r="G2819">
        <f>IFERROR(
IF(ISNUMBER(FIND("T2",B2819)),220,
IF(ISNUMBER(FIND("T4",B2819)),440,
IF(ISNUMBER(FIND("T5",B2819)),575,
IF(ISNUMBER(FIND("T6",B2819)),690,"")))),
"")</f>
        <v>440</v>
      </c>
    </row>
    <row r="2820" spans="1:7" x14ac:dyDescent="0.25">
      <c r="A2820">
        <v>10574792</v>
      </c>
      <c r="B2820" t="str">
        <f>VLOOKUP(A2820,Planilha2!B:C,2,0)</f>
        <v>INVERSOR EUCFW110010T4OFAZ</v>
      </c>
      <c r="C2820" t="s">
        <v>3169</v>
      </c>
      <c r="D2820" t="str">
        <f>VLOOKUP(A2820,Planilha2!B:H,7,0)</f>
        <v>LINHA P5</v>
      </c>
      <c r="E2820" s="5">
        <v>5650</v>
      </c>
      <c r="F2820">
        <f>IFERROR(
IF(ISNUMBER(FIND("CFW110",B2820)),
VALUE(MID(B2820,FIND("CFW110",B2820)+6,FIND("T",B2820,FIND("CFW110",B2820))-(FIND("CFW110",B2820)+6))),
IF(ISNUMBER(FIND("D",B2820)),
VALUE(SUBSTITUTE(MID(B2820,FIND("D",B2820)+1,FIND("T",B2820,FIND("D",B2820))-(FIND("D",B2820)+1)),"P",",")),
IF(ISNUMBER(FIND("CFW5",B2820)),
VALUE(MID(B2820,
IF(ISNUMBER(FIND("F",B2820)),FIND("F",B2820)+1,FIND("G",B2820)+1),
FIND("T",B2820)-(IF(ISNUMBER(FIND("F",B2820)),FIND("F",B2820)+1,FIND("G",B2820)+1))
)),
VALUE(MID(B2820,FIND("E0",B2820)+2,FIND("T",B2820,FIND("E0",B2820))-(FIND("E0",B2820)+2)))
))),"")</f>
        <v>10</v>
      </c>
      <c r="G2820">
        <f>IFERROR(
IF(ISNUMBER(FIND("T2",B2820)),220,
IF(ISNUMBER(FIND("T4",B2820)),440,
IF(ISNUMBER(FIND("T5",B2820)),575,
IF(ISNUMBER(FIND("T6",B2820)),690,"")))),
"")</f>
        <v>440</v>
      </c>
    </row>
    <row r="2821" spans="1:7" x14ac:dyDescent="0.25">
      <c r="A2821">
        <v>10574793</v>
      </c>
      <c r="B2821" t="str">
        <f>VLOOKUP(A2821,Planilha2!B:C,2,0)</f>
        <v>INVERSOR EUCFW110013T4OFAZ</v>
      </c>
      <c r="C2821" t="s">
        <v>3169</v>
      </c>
      <c r="D2821" t="str">
        <f>VLOOKUP(A2821,Planilha2!B:H,7,0)</f>
        <v>LINHA P5</v>
      </c>
      <c r="E2821" s="5">
        <v>5750</v>
      </c>
      <c r="F2821">
        <f>IFERROR(
IF(ISNUMBER(FIND("CFW110",B2821)),
VALUE(MID(B2821,FIND("CFW110",B2821)+6,FIND("T",B2821,FIND("CFW110",B2821))-(FIND("CFW110",B2821)+6))),
IF(ISNUMBER(FIND("D",B2821)),
VALUE(SUBSTITUTE(MID(B2821,FIND("D",B2821)+1,FIND("T",B2821,FIND("D",B2821))-(FIND("D",B2821)+1)),"P",",")),
IF(ISNUMBER(FIND("CFW5",B2821)),
VALUE(MID(B2821,
IF(ISNUMBER(FIND("F",B2821)),FIND("F",B2821)+1,FIND("G",B2821)+1),
FIND("T",B2821)-(IF(ISNUMBER(FIND("F",B2821)),FIND("F",B2821)+1,FIND("G",B2821)+1))
)),
VALUE(MID(B2821,FIND("E0",B2821)+2,FIND("T",B2821,FIND("E0",B2821))-(FIND("E0",B2821)+2)))
))),"")</f>
        <v>13</v>
      </c>
      <c r="G2821">
        <f>IFERROR(
IF(ISNUMBER(FIND("T2",B2821)),220,
IF(ISNUMBER(FIND("T4",B2821)),440,
IF(ISNUMBER(FIND("T5",B2821)),575,
IF(ISNUMBER(FIND("T6",B2821)),690,"")))),
"")</f>
        <v>440</v>
      </c>
    </row>
    <row r="2822" spans="1:7" x14ac:dyDescent="0.25">
      <c r="A2822">
        <v>10574808</v>
      </c>
      <c r="B2822" t="str">
        <f>VLOOKUP(A2822,Planilha2!B:C,2,0)</f>
        <v>INVERSOR MSCFW110024T2SZ</v>
      </c>
      <c r="C2822" t="s">
        <v>3169</v>
      </c>
      <c r="D2822" t="str">
        <f>VLOOKUP(A2822,Planilha2!B:H,7,0)</f>
        <v>LINHA P7</v>
      </c>
      <c r="E2822" s="5">
        <v>8700</v>
      </c>
      <c r="F2822">
        <f>IFERROR(
IF(ISNUMBER(FIND("CFW110",B2822)),
VALUE(MID(B2822,FIND("CFW110",B2822)+6,FIND("T",B2822,FIND("CFW110",B2822))-(FIND("CFW110",B2822)+6))),
IF(ISNUMBER(FIND("D",B2822)),
VALUE(SUBSTITUTE(MID(B2822,FIND("D",B2822)+1,FIND("T",B2822,FIND("D",B2822))-(FIND("D",B2822)+1)),"P",",")),
IF(ISNUMBER(FIND("CFW5",B2822)),
VALUE(MID(B2822,
IF(ISNUMBER(FIND("F",B2822)),FIND("F",B2822)+1,FIND("G",B2822)+1),
FIND("T",B2822)-(IF(ISNUMBER(FIND("F",B2822)),FIND("F",B2822)+1,FIND("G",B2822)+1))
)),
VALUE(MID(B2822,FIND("E0",B2822)+2,FIND("T",B2822,FIND("E0",B2822))-(FIND("E0",B2822)+2)))
))),"")</f>
        <v>24</v>
      </c>
      <c r="G2822">
        <f>IFERROR(
IF(ISNUMBER(FIND("T2",B2822)),220,
IF(ISNUMBER(FIND("T4",B2822)),440,
IF(ISNUMBER(FIND("T5",B2822)),575,
IF(ISNUMBER(FIND("T6",B2822)),690,"")))),
"")</f>
        <v>220</v>
      </c>
    </row>
    <row r="2823" spans="1:7" x14ac:dyDescent="0.25">
      <c r="A2823">
        <v>10574809</v>
      </c>
      <c r="B2823" t="str">
        <f>VLOOKUP(A2823,Planilha2!B:C,2,0)</f>
        <v>INVERSOR MSCFW110028T2SZ</v>
      </c>
      <c r="C2823" t="s">
        <v>3169</v>
      </c>
      <c r="D2823" t="str">
        <f>VLOOKUP(A2823,Planilha2!B:H,7,0)</f>
        <v>LINHA P7</v>
      </c>
      <c r="E2823" s="5">
        <v>8700</v>
      </c>
      <c r="F2823">
        <f>IFERROR(
IF(ISNUMBER(FIND("CFW110",B2823)),
VALUE(MID(B2823,FIND("CFW110",B2823)+6,FIND("T",B2823,FIND("CFW110",B2823))-(FIND("CFW110",B2823)+6))),
IF(ISNUMBER(FIND("D",B2823)),
VALUE(SUBSTITUTE(MID(B2823,FIND("D",B2823)+1,FIND("T",B2823,FIND("D",B2823))-(FIND("D",B2823)+1)),"P",",")),
IF(ISNUMBER(FIND("CFW5",B2823)),
VALUE(MID(B2823,
IF(ISNUMBER(FIND("F",B2823)),FIND("F",B2823)+1,FIND("G",B2823)+1),
FIND("T",B2823)-(IF(ISNUMBER(FIND("F",B2823)),FIND("F",B2823)+1,FIND("G",B2823)+1))
)),
VALUE(MID(B2823,FIND("E0",B2823)+2,FIND("T",B2823,FIND("E0",B2823))-(FIND("E0",B2823)+2)))
))),"")</f>
        <v>28</v>
      </c>
      <c r="G2823">
        <f>IFERROR(
IF(ISNUMBER(FIND("T2",B2823)),220,
IF(ISNUMBER(FIND("T4",B2823)),440,
IF(ISNUMBER(FIND("T5",B2823)),575,
IF(ISNUMBER(FIND("T6",B2823)),690,"")))),
"")</f>
        <v>220</v>
      </c>
    </row>
    <row r="2824" spans="1:7" x14ac:dyDescent="0.25">
      <c r="A2824">
        <v>10575273</v>
      </c>
      <c r="B2824" t="str">
        <f>VLOOKUP(A2824,Planilha2!B:C,2,0)</f>
        <v>INVERSOR MSCFW110017T4SZ</v>
      </c>
      <c r="C2824" t="s">
        <v>3169</v>
      </c>
      <c r="D2824" t="str">
        <f>VLOOKUP(A2824,Planilha2!B:H,7,0)</f>
        <v>LINHA P7</v>
      </c>
      <c r="E2824" s="5">
        <v>8900</v>
      </c>
      <c r="F2824">
        <f>IFERROR(
IF(ISNUMBER(FIND("CFW110",B2824)),
VALUE(MID(B2824,FIND("CFW110",B2824)+6,FIND("T",B2824,FIND("CFW110",B2824))-(FIND("CFW110",B2824)+6))),
IF(ISNUMBER(FIND("D",B2824)),
VALUE(SUBSTITUTE(MID(B2824,FIND("D",B2824)+1,FIND("T",B2824,FIND("D",B2824))-(FIND("D",B2824)+1)),"P",",")),
IF(ISNUMBER(FIND("CFW5",B2824)),
VALUE(MID(B2824,
IF(ISNUMBER(FIND("F",B2824)),FIND("F",B2824)+1,FIND("G",B2824)+1),
FIND("T",B2824)-(IF(ISNUMBER(FIND("F",B2824)),FIND("F",B2824)+1,FIND("G",B2824)+1))
)),
VALUE(MID(B2824,FIND("E0",B2824)+2,FIND("T",B2824,FIND("E0",B2824))-(FIND("E0",B2824)+2)))
))),"")</f>
        <v>17</v>
      </c>
      <c r="G2824">
        <f>IFERROR(
IF(ISNUMBER(FIND("T2",B2824)),220,
IF(ISNUMBER(FIND("T4",B2824)),440,
IF(ISNUMBER(FIND("T5",B2824)),575,
IF(ISNUMBER(FIND("T6",B2824)),690,"")))),
"")</f>
        <v>440</v>
      </c>
    </row>
    <row r="2825" spans="1:7" x14ac:dyDescent="0.25">
      <c r="A2825">
        <v>10575274</v>
      </c>
      <c r="B2825" t="str">
        <f>VLOOKUP(A2825,Planilha2!B:C,2,0)</f>
        <v>INVERSOR MSCFW110024T4SZ</v>
      </c>
      <c r="C2825" t="s">
        <v>3169</v>
      </c>
      <c r="D2825" t="str">
        <f>VLOOKUP(A2825,Planilha2!B:H,7,0)</f>
        <v>LINHA P7</v>
      </c>
      <c r="E2825" s="5">
        <v>10000</v>
      </c>
      <c r="F2825">
        <f>IFERROR(
IF(ISNUMBER(FIND("CFW110",B2825)),
VALUE(MID(B2825,FIND("CFW110",B2825)+6,FIND("T",B2825,FIND("CFW110",B2825))-(FIND("CFW110",B2825)+6))),
IF(ISNUMBER(FIND("D",B2825)),
VALUE(SUBSTITUTE(MID(B2825,FIND("D",B2825)+1,FIND("T",B2825,FIND("D",B2825))-(FIND("D",B2825)+1)),"P",",")),
IF(ISNUMBER(FIND("CFW5",B2825)),
VALUE(MID(B2825,
IF(ISNUMBER(FIND("F",B2825)),FIND("F",B2825)+1,FIND("G",B2825)+1),
FIND("T",B2825)-(IF(ISNUMBER(FIND("F",B2825)),FIND("F",B2825)+1,FIND("G",B2825)+1))
)),
VALUE(MID(B2825,FIND("E0",B2825)+2,FIND("T",B2825,FIND("E0",B2825))-(FIND("E0",B2825)+2)))
))),"")</f>
        <v>24</v>
      </c>
      <c r="G2825">
        <f>IFERROR(
IF(ISNUMBER(FIND("T2",B2825)),220,
IF(ISNUMBER(FIND("T4",B2825)),440,
IF(ISNUMBER(FIND("T5",B2825)),575,
IF(ISNUMBER(FIND("T6",B2825)),690,"")))),
"")</f>
        <v>440</v>
      </c>
    </row>
    <row r="2826" spans="1:7" x14ac:dyDescent="0.25">
      <c r="A2826">
        <v>10575275</v>
      </c>
      <c r="B2826" t="str">
        <f>VLOOKUP(A2826,Planilha2!B:C,2,0)</f>
        <v>INVERSOR MSCFW110031T4SZ</v>
      </c>
      <c r="C2826" t="s">
        <v>3169</v>
      </c>
      <c r="D2826" t="str">
        <f>VLOOKUP(A2826,Planilha2!B:H,7,0)</f>
        <v>LINHA P7</v>
      </c>
      <c r="E2826" s="5">
        <v>10400</v>
      </c>
      <c r="F2826">
        <f>IFERROR(
IF(ISNUMBER(FIND("CFW110",B2826)),
VALUE(MID(B2826,FIND("CFW110",B2826)+6,FIND("T",B2826,FIND("CFW110",B2826))-(FIND("CFW110",B2826)+6))),
IF(ISNUMBER(FIND("D",B2826)),
VALUE(SUBSTITUTE(MID(B2826,FIND("D",B2826)+1,FIND("T",B2826,FIND("D",B2826))-(FIND("D",B2826)+1)),"P",",")),
IF(ISNUMBER(FIND("CFW5",B2826)),
VALUE(MID(B2826,
IF(ISNUMBER(FIND("F",B2826)),FIND("F",B2826)+1,FIND("G",B2826)+1),
FIND("T",B2826)-(IF(ISNUMBER(FIND("F",B2826)),FIND("F",B2826)+1,FIND("G",B2826)+1))
)),
VALUE(MID(B2826,FIND("E0",B2826)+2,FIND("T",B2826,FIND("E0",B2826))-(FIND("E0",B2826)+2)))
))),"")</f>
        <v>31</v>
      </c>
      <c r="G2826">
        <f>IFERROR(
IF(ISNUMBER(FIND("T2",B2826)),220,
IF(ISNUMBER(FIND("T4",B2826)),440,
IF(ISNUMBER(FIND("T5",B2826)),575,
IF(ISNUMBER(FIND("T6",B2826)),690,"")))),
"")</f>
        <v>440</v>
      </c>
    </row>
    <row r="2827" spans="1:7" x14ac:dyDescent="0.25">
      <c r="A2827">
        <v>10587076</v>
      </c>
      <c r="B2827" t="str">
        <f>VLOOKUP(A2827,Planilha2!B:C,2,0)</f>
        <v>INVERSOR EUCFW110024T2SZ</v>
      </c>
      <c r="C2827" t="s">
        <v>3169</v>
      </c>
      <c r="D2827" t="str">
        <f>VLOOKUP(A2827,Planilha2!B:H,7,0)</f>
        <v>LINHA P7</v>
      </c>
      <c r="E2827" s="5">
        <v>8700</v>
      </c>
      <c r="F2827">
        <f>IFERROR(
IF(ISNUMBER(FIND("CFW110",B2827)),
VALUE(MID(B2827,FIND("CFW110",B2827)+6,FIND("T",B2827,FIND("CFW110",B2827))-(FIND("CFW110",B2827)+6))),
IF(ISNUMBER(FIND("D",B2827)),
VALUE(SUBSTITUTE(MID(B2827,FIND("D",B2827)+1,FIND("T",B2827,FIND("D",B2827))-(FIND("D",B2827)+1)),"P",",")),
IF(ISNUMBER(FIND("CFW5",B2827)),
VALUE(MID(B2827,
IF(ISNUMBER(FIND("F",B2827)),FIND("F",B2827)+1,FIND("G",B2827)+1),
FIND("T",B2827)-(IF(ISNUMBER(FIND("F",B2827)),FIND("F",B2827)+1,FIND("G",B2827)+1))
)),
VALUE(MID(B2827,FIND("E0",B2827)+2,FIND("T",B2827,FIND("E0",B2827))-(FIND("E0",B2827)+2)))
))),"")</f>
        <v>24</v>
      </c>
      <c r="G2827">
        <f>IFERROR(
IF(ISNUMBER(FIND("T2",B2827)),220,
IF(ISNUMBER(FIND("T4",B2827)),440,
IF(ISNUMBER(FIND("T5",B2827)),575,
IF(ISNUMBER(FIND("T6",B2827)),690,"")))),
"")</f>
        <v>220</v>
      </c>
    </row>
    <row r="2828" spans="1:7" x14ac:dyDescent="0.25">
      <c r="A2828">
        <v>10587077</v>
      </c>
      <c r="B2828" t="str">
        <f>VLOOKUP(A2828,Planilha2!B:C,2,0)</f>
        <v>INVERSOR EUCFW110028T2SZ</v>
      </c>
      <c r="C2828" t="s">
        <v>3169</v>
      </c>
      <c r="D2828" t="str">
        <f>VLOOKUP(A2828,Planilha2!B:H,7,0)</f>
        <v>LINHA P7</v>
      </c>
      <c r="E2828" s="5">
        <v>8700</v>
      </c>
      <c r="F2828">
        <f>IFERROR(
IF(ISNUMBER(FIND("CFW110",B2828)),
VALUE(MID(B2828,FIND("CFW110",B2828)+6,FIND("T",B2828,FIND("CFW110",B2828))-(FIND("CFW110",B2828)+6))),
IF(ISNUMBER(FIND("D",B2828)),
VALUE(SUBSTITUTE(MID(B2828,FIND("D",B2828)+1,FIND("T",B2828,FIND("D",B2828))-(FIND("D",B2828)+1)),"P",",")),
IF(ISNUMBER(FIND("CFW5",B2828)),
VALUE(MID(B2828,
IF(ISNUMBER(FIND("F",B2828)),FIND("F",B2828)+1,FIND("G",B2828)+1),
FIND("T",B2828)-(IF(ISNUMBER(FIND("F",B2828)),FIND("F",B2828)+1,FIND("G",B2828)+1))
)),
VALUE(MID(B2828,FIND("E0",B2828)+2,FIND("T",B2828,FIND("E0",B2828))-(FIND("E0",B2828)+2)))
))),"")</f>
        <v>28</v>
      </c>
      <c r="G2828">
        <f>IFERROR(
IF(ISNUMBER(FIND("T2",B2828)),220,
IF(ISNUMBER(FIND("T4",B2828)),440,
IF(ISNUMBER(FIND("T5",B2828)),575,
IF(ISNUMBER(FIND("T6",B2828)),690,"")))),
"")</f>
        <v>220</v>
      </c>
    </row>
    <row r="2829" spans="1:7" x14ac:dyDescent="0.25">
      <c r="A2829">
        <v>10587078</v>
      </c>
      <c r="B2829" t="str">
        <f>VLOOKUP(A2829,Planilha2!B:C,2,0)</f>
        <v>INVERSOR EUCFW110033T2SZ</v>
      </c>
      <c r="C2829" t="s">
        <v>3169</v>
      </c>
      <c r="D2829" t="str">
        <f>VLOOKUP(A2829,Planilha2!B:H,7,0)</f>
        <v>LINHA P7</v>
      </c>
      <c r="E2829" s="5">
        <v>8800</v>
      </c>
      <c r="F2829">
        <f>IFERROR(
IF(ISNUMBER(FIND("CFW110",B2829)),
VALUE(MID(B2829,FIND("CFW110",B2829)+6,FIND("T",B2829,FIND("CFW110",B2829))-(FIND("CFW110",B2829)+6))),
IF(ISNUMBER(FIND("D",B2829)),
VALUE(SUBSTITUTE(MID(B2829,FIND("D",B2829)+1,FIND("T",B2829,FIND("D",B2829))-(FIND("D",B2829)+1)),"P",",")),
IF(ISNUMBER(FIND("CFW5",B2829)),
VALUE(MID(B2829,
IF(ISNUMBER(FIND("F",B2829)),FIND("F",B2829)+1,FIND("G",B2829)+1),
FIND("T",B2829)-(IF(ISNUMBER(FIND("F",B2829)),FIND("F",B2829)+1,FIND("G",B2829)+1))
)),
VALUE(MID(B2829,FIND("E0",B2829)+2,FIND("T",B2829,FIND("E0",B2829))-(FIND("E0",B2829)+2)))
))),"")</f>
        <v>33</v>
      </c>
      <c r="G2829">
        <f>IFERROR(
IF(ISNUMBER(FIND("T2",B2829)),220,
IF(ISNUMBER(FIND("T4",B2829)),440,
IF(ISNUMBER(FIND("T5",B2829)),575,
IF(ISNUMBER(FIND("T6",B2829)),690,"")))),
"")</f>
        <v>220</v>
      </c>
    </row>
    <row r="2830" spans="1:7" x14ac:dyDescent="0.25">
      <c r="A2830">
        <v>10587394</v>
      </c>
      <c r="B2830" t="str">
        <f>VLOOKUP(A2830,Planilha2!B:C,2,0)</f>
        <v>INVERSOR EUCFW110017T4SZ</v>
      </c>
      <c r="C2830" t="s">
        <v>3169</v>
      </c>
      <c r="D2830" t="str">
        <f>VLOOKUP(A2830,Planilha2!B:H,7,0)</f>
        <v>LINHA P7</v>
      </c>
      <c r="E2830" s="5">
        <v>8900</v>
      </c>
      <c r="F2830">
        <f>IFERROR(
IF(ISNUMBER(FIND("CFW110",B2830)),
VALUE(MID(B2830,FIND("CFW110",B2830)+6,FIND("T",B2830,FIND("CFW110",B2830))-(FIND("CFW110",B2830)+6))),
IF(ISNUMBER(FIND("D",B2830)),
VALUE(SUBSTITUTE(MID(B2830,FIND("D",B2830)+1,FIND("T",B2830,FIND("D",B2830))-(FIND("D",B2830)+1)),"P",",")),
IF(ISNUMBER(FIND("CFW5",B2830)),
VALUE(MID(B2830,
IF(ISNUMBER(FIND("F",B2830)),FIND("F",B2830)+1,FIND("G",B2830)+1),
FIND("T",B2830)-(IF(ISNUMBER(FIND("F",B2830)),FIND("F",B2830)+1,FIND("G",B2830)+1))
)),
VALUE(MID(B2830,FIND("E0",B2830)+2,FIND("T",B2830,FIND("E0",B2830))-(FIND("E0",B2830)+2)))
))),"")</f>
        <v>17</v>
      </c>
      <c r="G2830">
        <f>IFERROR(
IF(ISNUMBER(FIND("T2",B2830)),220,
IF(ISNUMBER(FIND("T4",B2830)),440,
IF(ISNUMBER(FIND("T5",B2830)),575,
IF(ISNUMBER(FIND("T6",B2830)),690,"")))),
"")</f>
        <v>440</v>
      </c>
    </row>
    <row r="2831" spans="1:7" x14ac:dyDescent="0.25">
      <c r="A2831">
        <v>10587395</v>
      </c>
      <c r="B2831" t="str">
        <f>VLOOKUP(A2831,Planilha2!B:C,2,0)</f>
        <v>INVERSOR EUCFW110024T4SZ</v>
      </c>
      <c r="C2831" t="s">
        <v>3169</v>
      </c>
      <c r="D2831" t="str">
        <f>VLOOKUP(A2831,Planilha2!B:H,7,0)</f>
        <v>LINHA P7</v>
      </c>
      <c r="E2831" s="5">
        <v>10000</v>
      </c>
      <c r="F2831">
        <f>IFERROR(
IF(ISNUMBER(FIND("CFW110",B2831)),
VALUE(MID(B2831,FIND("CFW110",B2831)+6,FIND("T",B2831,FIND("CFW110",B2831))-(FIND("CFW110",B2831)+6))),
IF(ISNUMBER(FIND("D",B2831)),
VALUE(SUBSTITUTE(MID(B2831,FIND("D",B2831)+1,FIND("T",B2831,FIND("D",B2831))-(FIND("D",B2831)+1)),"P",",")),
IF(ISNUMBER(FIND("CFW5",B2831)),
VALUE(MID(B2831,
IF(ISNUMBER(FIND("F",B2831)),FIND("F",B2831)+1,FIND("G",B2831)+1),
FIND("T",B2831)-(IF(ISNUMBER(FIND("F",B2831)),FIND("F",B2831)+1,FIND("G",B2831)+1))
)),
VALUE(MID(B2831,FIND("E0",B2831)+2,FIND("T",B2831,FIND("E0",B2831))-(FIND("E0",B2831)+2)))
))),"")</f>
        <v>24</v>
      </c>
      <c r="G2831">
        <f>IFERROR(
IF(ISNUMBER(FIND("T2",B2831)),220,
IF(ISNUMBER(FIND("T4",B2831)),440,
IF(ISNUMBER(FIND("T5",B2831)),575,
IF(ISNUMBER(FIND("T6",B2831)),690,"")))),
"")</f>
        <v>440</v>
      </c>
    </row>
    <row r="2832" spans="1:7" x14ac:dyDescent="0.25">
      <c r="A2832">
        <v>10587396</v>
      </c>
      <c r="B2832" t="str">
        <f>VLOOKUP(A2832,Planilha2!B:C,2,0)</f>
        <v>INVERSOR EUCFW110031T4SZ</v>
      </c>
      <c r="C2832" t="s">
        <v>3169</v>
      </c>
      <c r="D2832" t="str">
        <f>VLOOKUP(A2832,Planilha2!B:H,7,0)</f>
        <v>LINHA P7</v>
      </c>
      <c r="E2832" s="5">
        <v>10400</v>
      </c>
      <c r="F2832">
        <f>IFERROR(
IF(ISNUMBER(FIND("CFW110",B2832)),
VALUE(MID(B2832,FIND("CFW110",B2832)+6,FIND("T",B2832,FIND("CFW110",B2832))-(FIND("CFW110",B2832)+6))),
IF(ISNUMBER(FIND("D",B2832)),
VALUE(SUBSTITUTE(MID(B2832,FIND("D",B2832)+1,FIND("T",B2832,FIND("D",B2832))-(FIND("D",B2832)+1)),"P",",")),
IF(ISNUMBER(FIND("CFW5",B2832)),
VALUE(MID(B2832,
IF(ISNUMBER(FIND("F",B2832)),FIND("F",B2832)+1,FIND("G",B2832)+1),
FIND("T",B2832)-(IF(ISNUMBER(FIND("F",B2832)),FIND("F",B2832)+1,FIND("G",B2832)+1))
)),
VALUE(MID(B2832,FIND("E0",B2832)+2,FIND("T",B2832,FIND("E0",B2832))-(FIND("E0",B2832)+2)))
))),"")</f>
        <v>31</v>
      </c>
      <c r="G2832">
        <f>IFERROR(
IF(ISNUMBER(FIND("T2",B2832)),220,
IF(ISNUMBER(FIND("T4",B2832)),440,
IF(ISNUMBER(FIND("T5",B2832)),575,
IF(ISNUMBER(FIND("T6",B2832)),690,"")))),
"")</f>
        <v>440</v>
      </c>
    </row>
    <row r="2833" spans="1:7" x14ac:dyDescent="0.25">
      <c r="A2833">
        <v>11282825</v>
      </c>
      <c r="B2833" t="str">
        <f>VLOOKUP(A2833,Planilha2!B:C,2,0)</f>
        <v>INVERSOR CFW700A07P0T4DB20C3</v>
      </c>
      <c r="C2833" t="s">
        <v>3169</v>
      </c>
      <c r="D2833" t="str">
        <f>VLOOKUP(A2833,Planilha2!B:H,7,0)</f>
        <v>OBSOLETOS DRIVES</v>
      </c>
      <c r="E2833" s="5">
        <v>5700</v>
      </c>
      <c r="F2833" t="str">
        <f>IFERROR(
IF(ISNUMBER(FIND("CFW110",B2833)),
VALUE(MID(B2833,FIND("CFW110",B2833)+6,FIND("T",B2833,FIND("CFW110",B2833))-(FIND("CFW110",B2833)+6))),
IF(ISNUMBER(FIND("D",B2833)),
VALUE(SUBSTITUTE(MID(B2833,FIND("D",B2833)+1,FIND("T",B2833,FIND("D",B2833))-(FIND("D",B2833)+1)),"P",",")),
IF(ISNUMBER(FIND("CFW5",B2833)),
VALUE(MID(B2833,
IF(ISNUMBER(FIND("F",B2833)),FIND("F",B2833)+1,FIND("G",B2833)+1),
FIND("T",B2833)-(IF(ISNUMBER(FIND("F",B2833)),FIND("F",B2833)+1,FIND("G",B2833)+1))
)),
VALUE(MID(B2833,FIND("E0",B2833)+2,FIND("T",B2833,FIND("E0",B2833))-(FIND("E0",B2833)+2)))
))),"")</f>
        <v/>
      </c>
      <c r="G2833">
        <f>IFERROR(
IF(ISNUMBER(FIND("T2",B2833)),220,
IF(ISNUMBER(FIND("T4",B2833)),440,
IF(ISNUMBER(FIND("T5",B2833)),575,
IF(ISNUMBER(FIND("T6",B2833)),690,"")))),
"")</f>
        <v>440</v>
      </c>
    </row>
    <row r="2834" spans="1:7" x14ac:dyDescent="0.25">
      <c r="A2834">
        <v>11366821</v>
      </c>
      <c r="B2834" t="str">
        <f>VLOOKUP(A2834,Planilha2!B:C,2,0)</f>
        <v>INVERSOR BRCFW110010T4OFAZ</v>
      </c>
      <c r="C2834" t="s">
        <v>3169</v>
      </c>
      <c r="D2834" t="str">
        <f>VLOOKUP(A2834,Planilha2!B:H,7,0)</f>
        <v>LINHA P5</v>
      </c>
      <c r="E2834" s="5">
        <v>5200</v>
      </c>
      <c r="F2834">
        <f>IFERROR(
IF(ISNUMBER(FIND("CFW110",B2834)),
VALUE(MID(B2834,FIND("CFW110",B2834)+6,FIND("T",B2834,FIND("CFW110",B2834))-(FIND("CFW110",B2834)+6))),
IF(ISNUMBER(FIND("D",B2834)),
VALUE(SUBSTITUTE(MID(B2834,FIND("D",B2834)+1,FIND("T",B2834,FIND("D",B2834))-(FIND("D",B2834)+1)),"P",",")),
IF(ISNUMBER(FIND("CFW5",B2834)),
VALUE(MID(B2834,
IF(ISNUMBER(FIND("F",B2834)),FIND("F",B2834)+1,FIND("G",B2834)+1),
FIND("T",B2834)-(IF(ISNUMBER(FIND("F",B2834)),FIND("F",B2834)+1,FIND("G",B2834)+1))
)),
VALUE(MID(B2834,FIND("E0",B2834)+2,FIND("T",B2834,FIND("E0",B2834))-(FIND("E0",B2834)+2)))
))),"")</f>
        <v>10</v>
      </c>
      <c r="G2834">
        <f>IFERROR(
IF(ISNUMBER(FIND("T2",B2834)),220,
IF(ISNUMBER(FIND("T4",B2834)),440,
IF(ISNUMBER(FIND("T5",B2834)),575,
IF(ISNUMBER(FIND("T6",B2834)),690,"")))),
"")</f>
        <v>440</v>
      </c>
    </row>
    <row r="2835" spans="1:7" x14ac:dyDescent="0.25">
      <c r="A2835">
        <v>11411783</v>
      </c>
      <c r="B2835" t="str">
        <f>VLOOKUP(A2835,Planilha2!B:C,2,0)</f>
        <v>INVERSOR BRCFW110003T4OFAZ</v>
      </c>
      <c r="C2835" t="s">
        <v>3169</v>
      </c>
      <c r="D2835" t="str">
        <f>VLOOKUP(A2835,Planilha2!B:H,7,0)</f>
        <v>LINHA P5</v>
      </c>
      <c r="E2835" s="5">
        <v>5201</v>
      </c>
      <c r="F2835">
        <f>IFERROR(
IF(ISNUMBER(FIND("CFW110",B2835)),
VALUE(MID(B2835,FIND("CFW110",B2835)+6,FIND("T",B2835,FIND("CFW110",B2835))-(FIND("CFW110",B2835)+6))),
IF(ISNUMBER(FIND("D",B2835)),
VALUE(SUBSTITUTE(MID(B2835,FIND("D",B2835)+1,FIND("T",B2835,FIND("D",B2835))-(FIND("D",B2835)+1)),"P",",")),
IF(ISNUMBER(FIND("CFW5",B2835)),
VALUE(MID(B2835,
IF(ISNUMBER(FIND("F",B2835)),FIND("F",B2835)+1,FIND("G",B2835)+1),
FIND("T",B2835)-(IF(ISNUMBER(FIND("F",B2835)),FIND("F",B2835)+1,FIND("G",B2835)+1))
)),
VALUE(MID(B2835,FIND("E0",B2835)+2,FIND("T",B2835,FIND("E0",B2835))-(FIND("E0",B2835)+2)))
))),"")</f>
        <v>3</v>
      </c>
      <c r="G2835">
        <f>IFERROR(
IF(ISNUMBER(FIND("T2",B2835)),220,
IF(ISNUMBER(FIND("T4",B2835)),440,
IF(ISNUMBER(FIND("T5",B2835)),575,
IF(ISNUMBER(FIND("T6",B2835)),690,"")))),
"")</f>
        <v>440</v>
      </c>
    </row>
    <row r="2836" spans="1:7" x14ac:dyDescent="0.25">
      <c r="A2836">
        <v>11494250</v>
      </c>
      <c r="B2836" t="str">
        <f>VLOOKUP(A2836,Planilha2!B:C,2,0)</f>
        <v>INVERSOR BRCFW110010S2OFAZ</v>
      </c>
      <c r="C2836" t="s">
        <v>3169</v>
      </c>
      <c r="D2836" t="str">
        <f>VLOOKUP(A2836,Planilha2!B:H,7,0)</f>
        <v>LINHA P5</v>
      </c>
      <c r="E2836" s="5">
        <v>5201</v>
      </c>
      <c r="F2836" t="str">
        <f>IFERROR(
IF(ISNUMBER(FIND("CFW110",B2836)),
VALUE(MID(B2836,FIND("CFW110",B2836)+6,FIND("T",B2836,FIND("CFW110",B2836))-(FIND("CFW110",B2836)+6))),
IF(ISNUMBER(FIND("D",B2836)),
VALUE(SUBSTITUTE(MID(B2836,FIND("D",B2836)+1,FIND("T",B2836,FIND("D",B2836))-(FIND("D",B2836)+1)),"P",",")),
IF(ISNUMBER(FIND("CFW5",B2836)),
VALUE(MID(B2836,
IF(ISNUMBER(FIND("F",B2836)),FIND("F",B2836)+1,FIND("G",B2836)+1),
FIND("T",B2836)-(IF(ISNUMBER(FIND("F",B2836)),FIND("F",B2836)+1,FIND("G",B2836)+1))
)),
VALUE(MID(B2836,FIND("E0",B2836)+2,FIND("T",B2836,FIND("E0",B2836))-(FIND("E0",B2836)+2)))
))),"")</f>
        <v/>
      </c>
      <c r="G2836" t="str">
        <f>IFERROR(
IF(ISNUMBER(FIND("T2",B2836)),220,
IF(ISNUMBER(FIND("T4",B2836)),440,
IF(ISNUMBER(FIND("T5",B2836)),575,
IF(ISNUMBER(FIND("T6",B2836)),690,"")))),
"")</f>
        <v/>
      </c>
    </row>
    <row r="2837" spans="1:7" x14ac:dyDescent="0.25">
      <c r="A2837">
        <v>11494251</v>
      </c>
      <c r="B2837" t="str">
        <f>VLOOKUP(A2837,Planilha2!B:C,2,0)</f>
        <v>INVERSOR BRCFW110006S2OFAZ</v>
      </c>
      <c r="C2837" t="s">
        <v>3169</v>
      </c>
      <c r="D2837" t="str">
        <f>VLOOKUP(A2837,Planilha2!B:H,7,0)</f>
        <v>LINHA P5</v>
      </c>
      <c r="E2837" s="5">
        <v>5201</v>
      </c>
      <c r="F2837" t="str">
        <f>IFERROR(
IF(ISNUMBER(FIND("CFW110",B2837)),
VALUE(MID(B2837,FIND("CFW110",B2837)+6,FIND("T",B2837,FIND("CFW110",B2837))-(FIND("CFW110",B2837)+6))),
IF(ISNUMBER(FIND("D",B2837)),
VALUE(SUBSTITUTE(MID(B2837,FIND("D",B2837)+1,FIND("T",B2837,FIND("D",B2837))-(FIND("D",B2837)+1)),"P",",")),
IF(ISNUMBER(FIND("CFW5",B2837)),
VALUE(MID(B2837,
IF(ISNUMBER(FIND("F",B2837)),FIND("F",B2837)+1,FIND("G",B2837)+1),
FIND("T",B2837)-(IF(ISNUMBER(FIND("F",B2837)),FIND("F",B2837)+1,FIND("G",B2837)+1))
)),
VALUE(MID(B2837,FIND("E0",B2837)+2,FIND("T",B2837,FIND("E0",B2837))-(FIND("E0",B2837)+2)))
))),"")</f>
        <v/>
      </c>
      <c r="G2837" t="str">
        <f>IFERROR(
IF(ISNUMBER(FIND("T2",B2837)),220,
IF(ISNUMBER(FIND("T4",B2837)),440,
IF(ISNUMBER(FIND("T5",B2837)),575,
IF(ISNUMBER(FIND("T6",B2837)),690,"")))),
"")</f>
        <v/>
      </c>
    </row>
    <row r="2838" spans="1:7" x14ac:dyDescent="0.25">
      <c r="A2838">
        <v>11494252</v>
      </c>
      <c r="B2838" t="str">
        <f>VLOOKUP(A2838,Planilha2!B:C,2,0)</f>
        <v>INVERSOR BRCFW110007S2OFAZ</v>
      </c>
      <c r="C2838" t="s">
        <v>3169</v>
      </c>
      <c r="D2838" t="str">
        <f>VLOOKUP(A2838,Planilha2!B:H,7,0)</f>
        <v>LINHA P5</v>
      </c>
      <c r="E2838" s="5">
        <v>5201</v>
      </c>
      <c r="F2838" t="str">
        <f>IFERROR(
IF(ISNUMBER(FIND("CFW110",B2838)),
VALUE(MID(B2838,FIND("CFW110",B2838)+6,FIND("T",B2838,FIND("CFW110",B2838))-(FIND("CFW110",B2838)+6))),
IF(ISNUMBER(FIND("D",B2838)),
VALUE(SUBSTITUTE(MID(B2838,FIND("D",B2838)+1,FIND("T",B2838,FIND("D",B2838))-(FIND("D",B2838)+1)),"P",",")),
IF(ISNUMBER(FIND("CFW5",B2838)),
VALUE(MID(B2838,
IF(ISNUMBER(FIND("F",B2838)),FIND("F",B2838)+1,FIND("G",B2838)+1),
FIND("T",B2838)-(IF(ISNUMBER(FIND("F",B2838)),FIND("F",B2838)+1,FIND("G",B2838)+1))
)),
VALUE(MID(B2838,FIND("E0",B2838)+2,FIND("T",B2838,FIND("E0",B2838))-(FIND("E0",B2838)+2)))
))),"")</f>
        <v/>
      </c>
      <c r="G2838" t="str">
        <f>IFERROR(
IF(ISNUMBER(FIND("T2",B2838)),220,
IF(ISNUMBER(FIND("T4",B2838)),440,
IF(ISNUMBER(FIND("T5",B2838)),575,
IF(ISNUMBER(FIND("T6",B2838)),690,"")))),
"")</f>
        <v/>
      </c>
    </row>
    <row r="2839" spans="1:7" x14ac:dyDescent="0.25">
      <c r="A2839">
        <v>11494255</v>
      </c>
      <c r="B2839" t="str">
        <f>VLOOKUP(A2839,Planilha2!B:C,2,0)</f>
        <v>INVERSOR BRCFW110007T2OFAZ</v>
      </c>
      <c r="C2839" t="s">
        <v>3169</v>
      </c>
      <c r="D2839" t="str">
        <f>VLOOKUP(A2839,Planilha2!B:H,7,0)</f>
        <v>LINHA P5</v>
      </c>
      <c r="E2839" s="5">
        <v>5201</v>
      </c>
      <c r="F2839">
        <f>IFERROR(
IF(ISNUMBER(FIND("CFW110",B2839)),
VALUE(MID(B2839,FIND("CFW110",B2839)+6,FIND("T",B2839,FIND("CFW110",B2839))-(FIND("CFW110",B2839)+6))),
IF(ISNUMBER(FIND("D",B2839)),
VALUE(SUBSTITUTE(MID(B2839,FIND("D",B2839)+1,FIND("T",B2839,FIND("D",B2839))-(FIND("D",B2839)+1)),"P",",")),
IF(ISNUMBER(FIND("CFW5",B2839)),
VALUE(MID(B2839,
IF(ISNUMBER(FIND("F",B2839)),FIND("F",B2839)+1,FIND("G",B2839)+1),
FIND("T",B2839)-(IF(ISNUMBER(FIND("F",B2839)),FIND("F",B2839)+1,FIND("G",B2839)+1))
)),
VALUE(MID(B2839,FIND("E0",B2839)+2,FIND("T",B2839,FIND("E0",B2839))-(FIND("E0",B2839)+2)))
))),"")</f>
        <v>7</v>
      </c>
      <c r="G2839">
        <f>IFERROR(
IF(ISNUMBER(FIND("T2",B2839)),220,
IF(ISNUMBER(FIND("T4",B2839)),440,
IF(ISNUMBER(FIND("T5",B2839)),575,
IF(ISNUMBER(FIND("T6",B2839)),690,"")))),
"")</f>
        <v>220</v>
      </c>
    </row>
    <row r="2840" spans="1:7" x14ac:dyDescent="0.25">
      <c r="A2840">
        <v>11494256</v>
      </c>
      <c r="B2840" t="str">
        <f>VLOOKUP(A2840,Planilha2!B:C,2,0)</f>
        <v>INVERSOR BRCFW110016T2OFAZ</v>
      </c>
      <c r="C2840" t="s">
        <v>3169</v>
      </c>
      <c r="D2840" t="str">
        <f>VLOOKUP(A2840,Planilha2!B:H,7,0)</f>
        <v>LINHA P5</v>
      </c>
      <c r="E2840" s="5">
        <v>5201</v>
      </c>
      <c r="F2840">
        <f>IFERROR(
IF(ISNUMBER(FIND("CFW110",B2840)),
VALUE(MID(B2840,FIND("CFW110",B2840)+6,FIND("T",B2840,FIND("CFW110",B2840))-(FIND("CFW110",B2840)+6))),
IF(ISNUMBER(FIND("D",B2840)),
VALUE(SUBSTITUTE(MID(B2840,FIND("D",B2840)+1,FIND("T",B2840,FIND("D",B2840))-(FIND("D",B2840)+1)),"P",",")),
IF(ISNUMBER(FIND("CFW5",B2840)),
VALUE(MID(B2840,
IF(ISNUMBER(FIND("F",B2840)),FIND("F",B2840)+1,FIND("G",B2840)+1),
FIND("T",B2840)-(IF(ISNUMBER(FIND("F",B2840)),FIND("F",B2840)+1,FIND("G",B2840)+1))
)),
VALUE(MID(B2840,FIND("E0",B2840)+2,FIND("T",B2840,FIND("E0",B2840))-(FIND("E0",B2840)+2)))
))),"")</f>
        <v>16</v>
      </c>
      <c r="G2840">
        <f>IFERROR(
IF(ISNUMBER(FIND("T2",B2840)),220,
IF(ISNUMBER(FIND("T4",B2840)),440,
IF(ISNUMBER(FIND("T5",B2840)),575,
IF(ISNUMBER(FIND("T6",B2840)),690,"")))),
"")</f>
        <v>220</v>
      </c>
    </row>
    <row r="2841" spans="1:7" x14ac:dyDescent="0.25">
      <c r="A2841">
        <v>11389748</v>
      </c>
      <c r="B2841" t="str">
        <f>VLOOKUP(A2841,Planilha2!B:C,2,0)</f>
        <v>INVERSOR CFW700B24P0T4DB20C3</v>
      </c>
      <c r="C2841" t="s">
        <v>3169</v>
      </c>
      <c r="D2841" t="str">
        <f>VLOOKUP(A2841,Planilha2!B:H,7,0)</f>
        <v>OBSOLETOS DRIVES</v>
      </c>
      <c r="E2841" s="5">
        <v>9100</v>
      </c>
      <c r="F2841" t="str">
        <f>IFERROR(
IF(ISNUMBER(FIND("CFW110",B2841)),
VALUE(MID(B2841,FIND("CFW110",B2841)+6,FIND("T",B2841,FIND("CFW110",B2841))-(FIND("CFW110",B2841)+6))),
IF(ISNUMBER(FIND("D",B2841)),
VALUE(SUBSTITUTE(MID(B2841,FIND("D",B2841)+1,FIND("T",B2841,FIND("D",B2841))-(FIND("D",B2841)+1)),"P",",")),
IF(ISNUMBER(FIND("CFW5",B2841)),
VALUE(MID(B2841,
IF(ISNUMBER(FIND("F",B2841)),FIND("F",B2841)+1,FIND("G",B2841)+1),
FIND("T",B2841)-(IF(ISNUMBER(FIND("F",B2841)),FIND("F",B2841)+1,FIND("G",B2841)+1))
)),
VALUE(MID(B2841,FIND("E0",B2841)+2,FIND("T",B2841,FIND("E0",B2841))-(FIND("E0",B2841)+2)))
))),"")</f>
        <v/>
      </c>
      <c r="G2841">
        <f>IFERROR(
IF(ISNUMBER(FIND("T2",B2841)),220,
IF(ISNUMBER(FIND("T4",B2841)),440,
IF(ISNUMBER(FIND("T5",B2841)),575,
IF(ISNUMBER(FIND("T6",B2841)),690,"")))),
"")</f>
        <v>440</v>
      </c>
    </row>
    <row r="2842" spans="1:7" x14ac:dyDescent="0.25">
      <c r="A2842">
        <v>11543627</v>
      </c>
      <c r="B2842" t="str">
        <f>VLOOKUP(A2842,Planilha2!B:C,2,0)</f>
        <v>INVERSOR CFW700B17P0T4DB20C3</v>
      </c>
      <c r="C2842" t="s">
        <v>3169</v>
      </c>
      <c r="D2842" t="str">
        <f>VLOOKUP(A2842,Planilha2!B:H,7,0)</f>
        <v>OBSOLETOS DRIVES</v>
      </c>
      <c r="E2842" s="5">
        <v>4500</v>
      </c>
      <c r="F2842" t="str">
        <f>IFERROR(
IF(ISNUMBER(FIND("CFW110",B2842)),
VALUE(MID(B2842,FIND("CFW110",B2842)+6,FIND("T",B2842,FIND("CFW110",B2842))-(FIND("CFW110",B2842)+6))),
IF(ISNUMBER(FIND("D",B2842)),
VALUE(SUBSTITUTE(MID(B2842,FIND("D",B2842)+1,FIND("T",B2842,FIND("D",B2842))-(FIND("D",B2842)+1)),"P",",")),
IF(ISNUMBER(FIND("CFW5",B2842)),
VALUE(MID(B2842,
IF(ISNUMBER(FIND("F",B2842)),FIND("F",B2842)+1,FIND("G",B2842)+1),
FIND("T",B2842)-(IF(ISNUMBER(FIND("F",B2842)),FIND("F",B2842)+1,FIND("G",B2842)+1))
)),
VALUE(MID(B2842,FIND("E0",B2842)+2,FIND("T",B2842,FIND("E0",B2842))-(FIND("E0",B2842)+2)))
))),"")</f>
        <v/>
      </c>
      <c r="G2842">
        <f>IFERROR(
IF(ISNUMBER(FIND("T2",B2842)),220,
IF(ISNUMBER(FIND("T4",B2842)),440,
IF(ISNUMBER(FIND("T5",B2842)),575,
IF(ISNUMBER(FIND("T6",B2842)),690,"")))),
"")</f>
        <v>440</v>
      </c>
    </row>
    <row r="2843" spans="1:7" x14ac:dyDescent="0.25">
      <c r="A2843">
        <v>11543668</v>
      </c>
      <c r="B2843" t="str">
        <f>VLOOKUP(A2843,Planilha2!B:C,2,0)</f>
        <v>INVERSOR CFW700B24P0T2DB20C3</v>
      </c>
      <c r="C2843" t="s">
        <v>3169</v>
      </c>
      <c r="D2843" t="str">
        <f>VLOOKUP(A2843,Planilha2!B:H,7,0)</f>
        <v>OBSOLETOS DRIVES</v>
      </c>
      <c r="E2843" s="5">
        <v>9100</v>
      </c>
      <c r="F2843" t="str">
        <f>IFERROR(
IF(ISNUMBER(FIND("CFW110",B2843)),
VALUE(MID(B2843,FIND("CFW110",B2843)+6,FIND("T",B2843,FIND("CFW110",B2843))-(FIND("CFW110",B2843)+6))),
IF(ISNUMBER(FIND("D",B2843)),
VALUE(SUBSTITUTE(MID(B2843,FIND("D",B2843)+1,FIND("T",B2843,FIND("D",B2843))-(FIND("D",B2843)+1)),"P",",")),
IF(ISNUMBER(FIND("CFW5",B2843)),
VALUE(MID(B2843,
IF(ISNUMBER(FIND("F",B2843)),FIND("F",B2843)+1,FIND("G",B2843)+1),
FIND("T",B2843)-(IF(ISNUMBER(FIND("F",B2843)),FIND("F",B2843)+1,FIND("G",B2843)+1))
)),
VALUE(MID(B2843,FIND("E0",B2843)+2,FIND("T",B2843,FIND("E0",B2843))-(FIND("E0",B2843)+2)))
))),"")</f>
        <v/>
      </c>
      <c r="G2843">
        <f>IFERROR(
IF(ISNUMBER(FIND("T2",B2843)),220,
IF(ISNUMBER(FIND("T4",B2843)),440,
IF(ISNUMBER(FIND("T5",B2843)),575,
IF(ISNUMBER(FIND("T6",B2843)),690,"")))),
"")</f>
        <v>220</v>
      </c>
    </row>
    <row r="2844" spans="1:7" x14ac:dyDescent="0.25">
      <c r="A2844">
        <v>11543672</v>
      </c>
      <c r="B2844" t="str">
        <f>VLOOKUP(A2844,Planilha2!B:C,2,0)</f>
        <v>INVERSOR CFW700B31P0T4DB20C3</v>
      </c>
      <c r="C2844" t="s">
        <v>3169</v>
      </c>
      <c r="D2844" t="str">
        <f>VLOOKUP(A2844,Planilha2!B:H,7,0)</f>
        <v>OBSOLETOS DRIVES</v>
      </c>
      <c r="E2844" s="5">
        <v>9100</v>
      </c>
      <c r="F2844" t="str">
        <f>IFERROR(
IF(ISNUMBER(FIND("CFW110",B2844)),
VALUE(MID(B2844,FIND("CFW110",B2844)+6,FIND("T",B2844,FIND("CFW110",B2844))-(FIND("CFW110",B2844)+6))),
IF(ISNUMBER(FIND("D",B2844)),
VALUE(SUBSTITUTE(MID(B2844,FIND("D",B2844)+1,FIND("T",B2844,FIND("D",B2844))-(FIND("D",B2844)+1)),"P",",")),
IF(ISNUMBER(FIND("CFW5",B2844)),
VALUE(MID(B2844,
IF(ISNUMBER(FIND("F",B2844)),FIND("F",B2844)+1,FIND("G",B2844)+1),
FIND("T",B2844)-(IF(ISNUMBER(FIND("F",B2844)),FIND("F",B2844)+1,FIND("G",B2844)+1))
)),
VALUE(MID(B2844,FIND("E0",B2844)+2,FIND("T",B2844,FIND("E0",B2844))-(FIND("E0",B2844)+2)))
))),"")</f>
        <v/>
      </c>
      <c r="G2844">
        <f>IFERROR(
IF(ISNUMBER(FIND("T2",B2844)),220,
IF(ISNUMBER(FIND("T4",B2844)),440,
IF(ISNUMBER(FIND("T5",B2844)),575,
IF(ISNUMBER(FIND("T6",B2844)),690,"")))),
"")</f>
        <v>440</v>
      </c>
    </row>
    <row r="2845" spans="1:7" x14ac:dyDescent="0.25">
      <c r="A2845">
        <v>11543730</v>
      </c>
      <c r="B2845" t="str">
        <f>VLOOKUP(A2845,Planilha2!B:C,2,0)</f>
        <v>INVERSOR CFW700B28P0T2DB20C3</v>
      </c>
      <c r="C2845" t="s">
        <v>3169</v>
      </c>
      <c r="D2845" t="str">
        <f>VLOOKUP(A2845,Planilha2!B:H,7,0)</f>
        <v>OBSOLETOS DRIVES</v>
      </c>
      <c r="E2845" s="5">
        <v>9100</v>
      </c>
      <c r="F2845" t="str">
        <f>IFERROR(
IF(ISNUMBER(FIND("CFW110",B2845)),
VALUE(MID(B2845,FIND("CFW110",B2845)+6,FIND("T",B2845,FIND("CFW110",B2845))-(FIND("CFW110",B2845)+6))),
IF(ISNUMBER(FIND("D",B2845)),
VALUE(SUBSTITUTE(MID(B2845,FIND("D",B2845)+1,FIND("T",B2845,FIND("D",B2845))-(FIND("D",B2845)+1)),"P",",")),
IF(ISNUMBER(FIND("CFW5",B2845)),
VALUE(MID(B2845,
IF(ISNUMBER(FIND("F",B2845)),FIND("F",B2845)+1,FIND("G",B2845)+1),
FIND("T",B2845)-(IF(ISNUMBER(FIND("F",B2845)),FIND("F",B2845)+1,FIND("G",B2845)+1))
)),
VALUE(MID(B2845,FIND("E0",B2845)+2,FIND("T",B2845,FIND("E0",B2845))-(FIND("E0",B2845)+2)))
))),"")</f>
        <v/>
      </c>
      <c r="G2845">
        <f>IFERROR(
IF(ISNUMBER(FIND("T2",B2845)),220,
IF(ISNUMBER(FIND("T4",B2845)),440,
IF(ISNUMBER(FIND("T5",B2845)),575,
IF(ISNUMBER(FIND("T6",B2845)),690,"")))),
"")</f>
        <v>220</v>
      </c>
    </row>
    <row r="2846" spans="1:7" x14ac:dyDescent="0.25">
      <c r="A2846">
        <v>10574699</v>
      </c>
      <c r="B2846" t="str">
        <f>VLOOKUP(A2846,Planilha2!B:C,2,0)</f>
        <v>INVERSOR NACFW110024T2SZ</v>
      </c>
      <c r="C2846" t="s">
        <v>3169</v>
      </c>
      <c r="D2846" t="str">
        <f>VLOOKUP(A2846,Planilha2!B:H,7,0)</f>
        <v>LINHA P7</v>
      </c>
      <c r="E2846" s="5">
        <v>8700</v>
      </c>
      <c r="F2846">
        <f>IFERROR(
IF(ISNUMBER(FIND("CFW110",B2846)),
VALUE(MID(B2846,FIND("CFW110",B2846)+6,FIND("T",B2846,FIND("CFW110",B2846))-(FIND("CFW110",B2846)+6))),
IF(ISNUMBER(FIND("D",B2846)),
VALUE(SUBSTITUTE(MID(B2846,FIND("D",B2846)+1,FIND("T",B2846,FIND("D",B2846))-(FIND("D",B2846)+1)),"P",",")),
IF(ISNUMBER(FIND("CFW5",B2846)),
VALUE(MID(B2846,
IF(ISNUMBER(FIND("F",B2846)),FIND("F",B2846)+1,FIND("G",B2846)+1),
FIND("T",B2846)-(IF(ISNUMBER(FIND("F",B2846)),FIND("F",B2846)+1,FIND("G",B2846)+1))
)),
VALUE(MID(B2846,FIND("E0",B2846)+2,FIND("T",B2846,FIND("E0",B2846))-(FIND("E0",B2846)+2)))
))),"")</f>
        <v>24</v>
      </c>
      <c r="G2846">
        <f>IFERROR(
IF(ISNUMBER(FIND("T2",B2846)),220,
IF(ISNUMBER(FIND("T4",B2846)),440,
IF(ISNUMBER(FIND("T5",B2846)),575,
IF(ISNUMBER(FIND("T6",B2846)),690,"")))),
"")</f>
        <v>220</v>
      </c>
    </row>
    <row r="2847" spans="1:7" x14ac:dyDescent="0.25">
      <c r="A2847">
        <v>10574700</v>
      </c>
      <c r="B2847" t="str">
        <f>VLOOKUP(A2847,Planilha2!B:C,2,0)</f>
        <v>INVERSOR NACFW110028T2SZ</v>
      </c>
      <c r="C2847" t="s">
        <v>3169</v>
      </c>
      <c r="D2847" t="str">
        <f>VLOOKUP(A2847,Planilha2!B:H,7,0)</f>
        <v>LINHA P7</v>
      </c>
      <c r="E2847" s="5">
        <v>8700</v>
      </c>
      <c r="F2847">
        <f>IFERROR(
IF(ISNUMBER(FIND("CFW110",B2847)),
VALUE(MID(B2847,FIND("CFW110",B2847)+6,FIND("T",B2847,FIND("CFW110",B2847))-(FIND("CFW110",B2847)+6))),
IF(ISNUMBER(FIND("D",B2847)),
VALUE(SUBSTITUTE(MID(B2847,FIND("D",B2847)+1,FIND("T",B2847,FIND("D",B2847))-(FIND("D",B2847)+1)),"P",",")),
IF(ISNUMBER(FIND("CFW5",B2847)),
VALUE(MID(B2847,
IF(ISNUMBER(FIND("F",B2847)),FIND("F",B2847)+1,FIND("G",B2847)+1),
FIND("T",B2847)-(IF(ISNUMBER(FIND("F",B2847)),FIND("F",B2847)+1,FIND("G",B2847)+1))
)),
VALUE(MID(B2847,FIND("E0",B2847)+2,FIND("T",B2847,FIND("E0",B2847))-(FIND("E0",B2847)+2)))
))),"")</f>
        <v>28</v>
      </c>
      <c r="G2847">
        <f>IFERROR(
IF(ISNUMBER(FIND("T2",B2847)),220,
IF(ISNUMBER(FIND("T4",B2847)),440,
IF(ISNUMBER(FIND("T5",B2847)),575,
IF(ISNUMBER(FIND("T6",B2847)),690,"")))),
"")</f>
        <v>220</v>
      </c>
    </row>
    <row r="2848" spans="1:7" x14ac:dyDescent="0.25">
      <c r="A2848">
        <v>10574701</v>
      </c>
      <c r="B2848" t="str">
        <f>VLOOKUP(A2848,Planilha2!B:C,2,0)</f>
        <v>INVERSOR NACFW110033T2SZ</v>
      </c>
      <c r="C2848" t="s">
        <v>3169</v>
      </c>
      <c r="D2848" t="str">
        <f>VLOOKUP(A2848,Planilha2!B:H,7,0)</f>
        <v>LINHA P7</v>
      </c>
      <c r="E2848" s="5">
        <v>8800</v>
      </c>
      <c r="F2848">
        <f>IFERROR(
IF(ISNUMBER(FIND("CFW110",B2848)),
VALUE(MID(B2848,FIND("CFW110",B2848)+6,FIND("T",B2848,FIND("CFW110",B2848))-(FIND("CFW110",B2848)+6))),
IF(ISNUMBER(FIND("D",B2848)),
VALUE(SUBSTITUTE(MID(B2848,FIND("D",B2848)+1,FIND("T",B2848,FIND("D",B2848))-(FIND("D",B2848)+1)),"P",",")),
IF(ISNUMBER(FIND("CFW5",B2848)),
VALUE(MID(B2848,
IF(ISNUMBER(FIND("F",B2848)),FIND("F",B2848)+1,FIND("G",B2848)+1),
FIND("T",B2848)-(IF(ISNUMBER(FIND("F",B2848)),FIND("F",B2848)+1,FIND("G",B2848)+1))
)),
VALUE(MID(B2848,FIND("E0",B2848)+2,FIND("T",B2848,FIND("E0",B2848))-(FIND("E0",B2848)+2)))
))),"")</f>
        <v>33</v>
      </c>
      <c r="G2848">
        <f>IFERROR(
IF(ISNUMBER(FIND("T2",B2848)),220,
IF(ISNUMBER(FIND("T4",B2848)),440,
IF(ISNUMBER(FIND("T5",B2848)),575,
IF(ISNUMBER(FIND("T6",B2848)),690,"")))),
"")</f>
        <v>220</v>
      </c>
    </row>
    <row r="2849" spans="1:7" x14ac:dyDescent="0.25">
      <c r="A2849">
        <v>10574712</v>
      </c>
      <c r="B2849" t="str">
        <f>VLOOKUP(A2849,Planilha2!B:C,2,0)</f>
        <v>INVERSOR NACFW110017T4SZ</v>
      </c>
      <c r="C2849" t="s">
        <v>3169</v>
      </c>
      <c r="D2849" t="str">
        <f>VLOOKUP(A2849,Planilha2!B:H,7,0)</f>
        <v>LINHA P7</v>
      </c>
      <c r="E2849" s="5">
        <v>8900</v>
      </c>
      <c r="F2849">
        <f>IFERROR(
IF(ISNUMBER(FIND("CFW110",B2849)),
VALUE(MID(B2849,FIND("CFW110",B2849)+6,FIND("T",B2849,FIND("CFW110",B2849))-(FIND("CFW110",B2849)+6))),
IF(ISNUMBER(FIND("D",B2849)),
VALUE(SUBSTITUTE(MID(B2849,FIND("D",B2849)+1,FIND("T",B2849,FIND("D",B2849))-(FIND("D",B2849)+1)),"P",",")),
IF(ISNUMBER(FIND("CFW5",B2849)),
VALUE(MID(B2849,
IF(ISNUMBER(FIND("F",B2849)),FIND("F",B2849)+1,FIND("G",B2849)+1),
FIND("T",B2849)-(IF(ISNUMBER(FIND("F",B2849)),FIND("F",B2849)+1,FIND("G",B2849)+1))
)),
VALUE(MID(B2849,FIND("E0",B2849)+2,FIND("T",B2849,FIND("E0",B2849))-(FIND("E0",B2849)+2)))
))),"")</f>
        <v>17</v>
      </c>
      <c r="G2849">
        <f>IFERROR(
IF(ISNUMBER(FIND("T2",B2849)),220,
IF(ISNUMBER(FIND("T4",B2849)),440,
IF(ISNUMBER(FIND("T5",B2849)),575,
IF(ISNUMBER(FIND("T6",B2849)),690,"")))),
"")</f>
        <v>440</v>
      </c>
    </row>
    <row r="2850" spans="1:7" x14ac:dyDescent="0.25">
      <c r="A2850">
        <v>10574713</v>
      </c>
      <c r="B2850" t="str">
        <f>VLOOKUP(A2850,Planilha2!B:C,2,0)</f>
        <v>INVERSOR NACFW110024T4SZ</v>
      </c>
      <c r="C2850" t="s">
        <v>3169</v>
      </c>
      <c r="D2850" t="str">
        <f>VLOOKUP(A2850,Planilha2!B:H,7,0)</f>
        <v>LINHA P7</v>
      </c>
      <c r="E2850" s="5">
        <v>10000</v>
      </c>
      <c r="F2850">
        <f>IFERROR(
IF(ISNUMBER(FIND("CFW110",B2850)),
VALUE(MID(B2850,FIND("CFW110",B2850)+6,FIND("T",B2850,FIND("CFW110",B2850))-(FIND("CFW110",B2850)+6))),
IF(ISNUMBER(FIND("D",B2850)),
VALUE(SUBSTITUTE(MID(B2850,FIND("D",B2850)+1,FIND("T",B2850,FIND("D",B2850))-(FIND("D",B2850)+1)),"P",",")),
IF(ISNUMBER(FIND("CFW5",B2850)),
VALUE(MID(B2850,
IF(ISNUMBER(FIND("F",B2850)),FIND("F",B2850)+1,FIND("G",B2850)+1),
FIND("T",B2850)-(IF(ISNUMBER(FIND("F",B2850)),FIND("F",B2850)+1,FIND("G",B2850)+1))
)),
VALUE(MID(B2850,FIND("E0",B2850)+2,FIND("T",B2850,FIND("E0",B2850))-(FIND("E0",B2850)+2)))
))),"")</f>
        <v>24</v>
      </c>
      <c r="G2850">
        <f>IFERROR(
IF(ISNUMBER(FIND("T2",B2850)),220,
IF(ISNUMBER(FIND("T4",B2850)),440,
IF(ISNUMBER(FIND("T5",B2850)),575,
IF(ISNUMBER(FIND("T6",B2850)),690,"")))),
"")</f>
        <v>440</v>
      </c>
    </row>
    <row r="2851" spans="1:7" x14ac:dyDescent="0.25">
      <c r="A2851">
        <v>10574714</v>
      </c>
      <c r="B2851" t="str">
        <f>VLOOKUP(A2851,Planilha2!B:C,2,0)</f>
        <v>INVERSOR NACFW110031T4SZ</v>
      </c>
      <c r="C2851" t="s">
        <v>3169</v>
      </c>
      <c r="D2851" t="str">
        <f>VLOOKUP(A2851,Planilha2!B:H,7,0)</f>
        <v>LINHA P7</v>
      </c>
      <c r="E2851" s="5">
        <v>10400</v>
      </c>
      <c r="F2851">
        <f>IFERROR(
IF(ISNUMBER(FIND("CFW110",B2851)),
VALUE(MID(B2851,FIND("CFW110",B2851)+6,FIND("T",B2851,FIND("CFW110",B2851))-(FIND("CFW110",B2851)+6))),
IF(ISNUMBER(FIND("D",B2851)),
VALUE(SUBSTITUTE(MID(B2851,FIND("D",B2851)+1,FIND("T",B2851,FIND("D",B2851))-(FIND("D",B2851)+1)),"P",",")),
IF(ISNUMBER(FIND("CFW5",B2851)),
VALUE(MID(B2851,
IF(ISNUMBER(FIND("F",B2851)),FIND("F",B2851)+1,FIND("G",B2851)+1),
FIND("T",B2851)-(IF(ISNUMBER(FIND("F",B2851)),FIND("F",B2851)+1,FIND("G",B2851)+1))
)),
VALUE(MID(B2851,FIND("E0",B2851)+2,FIND("T",B2851,FIND("E0",B2851))-(FIND("E0",B2851)+2)))
))),"")</f>
        <v>31</v>
      </c>
      <c r="G2851">
        <f>IFERROR(
IF(ISNUMBER(FIND("T2",B2851)),220,
IF(ISNUMBER(FIND("T4",B2851)),440,
IF(ISNUMBER(FIND("T5",B2851)),575,
IF(ISNUMBER(FIND("T6",B2851)),690,"")))),
"")</f>
        <v>440</v>
      </c>
    </row>
    <row r="2852" spans="1:7" x14ac:dyDescent="0.25">
      <c r="A2852">
        <v>10574727</v>
      </c>
      <c r="B2852" t="str">
        <f>VLOOKUP(A2852,Planilha2!B:C,2,0)</f>
        <v>INVERSOR NACFW110024T2ON1Z</v>
      </c>
      <c r="C2852" t="s">
        <v>3169</v>
      </c>
      <c r="D2852" t="str">
        <f>VLOOKUP(A2852,Planilha2!B:H,7,0)</f>
        <v>LINHA P7</v>
      </c>
      <c r="E2852" s="5">
        <v>9700</v>
      </c>
      <c r="F2852">
        <f>IFERROR(
IF(ISNUMBER(FIND("CFW110",B2852)),
VALUE(MID(B2852,FIND("CFW110",B2852)+6,FIND("T",B2852,FIND("CFW110",B2852))-(FIND("CFW110",B2852)+6))),
IF(ISNUMBER(FIND("D",B2852)),
VALUE(SUBSTITUTE(MID(B2852,FIND("D",B2852)+1,FIND("T",B2852,FIND("D",B2852))-(FIND("D",B2852)+1)),"P",",")),
IF(ISNUMBER(FIND("CFW5",B2852)),
VALUE(MID(B2852,
IF(ISNUMBER(FIND("F",B2852)),FIND("F",B2852)+1,FIND("G",B2852)+1),
FIND("T",B2852)-(IF(ISNUMBER(FIND("F",B2852)),FIND("F",B2852)+1,FIND("G",B2852)+1))
)),
VALUE(MID(B2852,FIND("E0",B2852)+2,FIND("T",B2852,FIND("E0",B2852))-(FIND("E0",B2852)+2)))
))),"")</f>
        <v>24</v>
      </c>
      <c r="G2852">
        <f>IFERROR(
IF(ISNUMBER(FIND("T2",B2852)),220,
IF(ISNUMBER(FIND("T4",B2852)),440,
IF(ISNUMBER(FIND("T5",B2852)),575,
IF(ISNUMBER(FIND("T6",B2852)),690,"")))),
"")</f>
        <v>220</v>
      </c>
    </row>
    <row r="2853" spans="1:7" x14ac:dyDescent="0.25">
      <c r="A2853">
        <v>10574728</v>
      </c>
      <c r="B2853" t="str">
        <f>VLOOKUP(A2853,Planilha2!B:C,2,0)</f>
        <v>INVERSOR NACFW110028T2ON1Z</v>
      </c>
      <c r="C2853" t="s">
        <v>3169</v>
      </c>
      <c r="D2853" t="str">
        <f>VLOOKUP(A2853,Planilha2!B:H,7,0)</f>
        <v>LINHA P7</v>
      </c>
      <c r="E2853" s="5">
        <v>9700</v>
      </c>
      <c r="F2853">
        <f>IFERROR(
IF(ISNUMBER(FIND("CFW110",B2853)),
VALUE(MID(B2853,FIND("CFW110",B2853)+6,FIND("T",B2853,FIND("CFW110",B2853))-(FIND("CFW110",B2853)+6))),
IF(ISNUMBER(FIND("D",B2853)),
VALUE(SUBSTITUTE(MID(B2853,FIND("D",B2853)+1,FIND("T",B2853,FIND("D",B2853))-(FIND("D",B2853)+1)),"P",",")),
IF(ISNUMBER(FIND("CFW5",B2853)),
VALUE(MID(B2853,
IF(ISNUMBER(FIND("F",B2853)),FIND("F",B2853)+1,FIND("G",B2853)+1),
FIND("T",B2853)-(IF(ISNUMBER(FIND("F",B2853)),FIND("F",B2853)+1,FIND("G",B2853)+1))
)),
VALUE(MID(B2853,FIND("E0",B2853)+2,FIND("T",B2853,FIND("E0",B2853))-(FIND("E0",B2853)+2)))
))),"")</f>
        <v>28</v>
      </c>
      <c r="G2853">
        <f>IFERROR(
IF(ISNUMBER(FIND("T2",B2853)),220,
IF(ISNUMBER(FIND("T4",B2853)),440,
IF(ISNUMBER(FIND("T5",B2853)),575,
IF(ISNUMBER(FIND("T6",B2853)),690,"")))),
"")</f>
        <v>220</v>
      </c>
    </row>
    <row r="2854" spans="1:7" x14ac:dyDescent="0.25">
      <c r="A2854">
        <v>10574729</v>
      </c>
      <c r="B2854" t="str">
        <f>VLOOKUP(A2854,Planilha2!B:C,2,0)</f>
        <v>INVERSOR NACFW110033T2ON1Z</v>
      </c>
      <c r="C2854" t="s">
        <v>3169</v>
      </c>
      <c r="D2854" t="str">
        <f>VLOOKUP(A2854,Planilha2!B:H,7,0)</f>
        <v>LINHA P7</v>
      </c>
      <c r="E2854" s="5">
        <v>9800</v>
      </c>
      <c r="F2854">
        <f>IFERROR(
IF(ISNUMBER(FIND("CFW110",B2854)),
VALUE(MID(B2854,FIND("CFW110",B2854)+6,FIND("T",B2854,FIND("CFW110",B2854))-(FIND("CFW110",B2854)+6))),
IF(ISNUMBER(FIND("D",B2854)),
VALUE(SUBSTITUTE(MID(B2854,FIND("D",B2854)+1,FIND("T",B2854,FIND("D",B2854))-(FIND("D",B2854)+1)),"P",",")),
IF(ISNUMBER(FIND("CFW5",B2854)),
VALUE(MID(B2854,
IF(ISNUMBER(FIND("F",B2854)),FIND("F",B2854)+1,FIND("G",B2854)+1),
FIND("T",B2854)-(IF(ISNUMBER(FIND("F",B2854)),FIND("F",B2854)+1,FIND("G",B2854)+1))
)),
VALUE(MID(B2854,FIND("E0",B2854)+2,FIND("T",B2854,FIND("E0",B2854))-(FIND("E0",B2854)+2)))
))),"")</f>
        <v>33</v>
      </c>
      <c r="G2854">
        <f>IFERROR(
IF(ISNUMBER(FIND("T2",B2854)),220,
IF(ISNUMBER(FIND("T4",B2854)),440,
IF(ISNUMBER(FIND("T5",B2854)),575,
IF(ISNUMBER(FIND("T6",B2854)),690,"")))),
"")</f>
        <v>220</v>
      </c>
    </row>
    <row r="2855" spans="1:7" x14ac:dyDescent="0.25">
      <c r="A2855">
        <v>10574738</v>
      </c>
      <c r="B2855" t="str">
        <f>VLOOKUP(A2855,Planilha2!B:C,2,0)</f>
        <v>INVERSOR NACFW110017T4ON1Z</v>
      </c>
      <c r="C2855" t="s">
        <v>3169</v>
      </c>
      <c r="D2855" t="str">
        <f>VLOOKUP(A2855,Planilha2!B:H,7,0)</f>
        <v>LINHA P7</v>
      </c>
      <c r="E2855" s="5">
        <v>9800</v>
      </c>
      <c r="F2855">
        <f>IFERROR(
IF(ISNUMBER(FIND("CFW110",B2855)),
VALUE(MID(B2855,FIND("CFW110",B2855)+6,FIND("T",B2855,FIND("CFW110",B2855))-(FIND("CFW110",B2855)+6))),
IF(ISNUMBER(FIND("D",B2855)),
VALUE(SUBSTITUTE(MID(B2855,FIND("D",B2855)+1,FIND("T",B2855,FIND("D",B2855))-(FIND("D",B2855)+1)),"P",",")),
IF(ISNUMBER(FIND("CFW5",B2855)),
VALUE(MID(B2855,
IF(ISNUMBER(FIND("F",B2855)),FIND("F",B2855)+1,FIND("G",B2855)+1),
FIND("T",B2855)-(IF(ISNUMBER(FIND("F",B2855)),FIND("F",B2855)+1,FIND("G",B2855)+1))
)),
VALUE(MID(B2855,FIND("E0",B2855)+2,FIND("T",B2855,FIND("E0",B2855))-(FIND("E0",B2855)+2)))
))),"")</f>
        <v>17</v>
      </c>
      <c r="G2855">
        <f>IFERROR(
IF(ISNUMBER(FIND("T2",B2855)),220,
IF(ISNUMBER(FIND("T4",B2855)),440,
IF(ISNUMBER(FIND("T5",B2855)),575,
IF(ISNUMBER(FIND("T6",B2855)),690,"")))),
"")</f>
        <v>440</v>
      </c>
    </row>
    <row r="2856" spans="1:7" x14ac:dyDescent="0.25">
      <c r="A2856">
        <v>10574739</v>
      </c>
      <c r="B2856" t="str">
        <f>VLOOKUP(A2856,Planilha2!B:C,2,0)</f>
        <v>INVERSOR NACFW110024T4ON1Z</v>
      </c>
      <c r="C2856" t="s">
        <v>3169</v>
      </c>
      <c r="D2856" t="str">
        <f>VLOOKUP(A2856,Planilha2!B:H,7,0)</f>
        <v>LINHA P7</v>
      </c>
      <c r="E2856" s="5">
        <v>11000</v>
      </c>
      <c r="F2856">
        <f>IFERROR(
IF(ISNUMBER(FIND("CFW110",B2856)),
VALUE(MID(B2856,FIND("CFW110",B2856)+6,FIND("T",B2856,FIND("CFW110",B2856))-(FIND("CFW110",B2856)+6))),
IF(ISNUMBER(FIND("D",B2856)),
VALUE(SUBSTITUTE(MID(B2856,FIND("D",B2856)+1,FIND("T",B2856,FIND("D",B2856))-(FIND("D",B2856)+1)),"P",",")),
IF(ISNUMBER(FIND("CFW5",B2856)),
VALUE(MID(B2856,
IF(ISNUMBER(FIND("F",B2856)),FIND("F",B2856)+1,FIND("G",B2856)+1),
FIND("T",B2856)-(IF(ISNUMBER(FIND("F",B2856)),FIND("F",B2856)+1,FIND("G",B2856)+1))
)),
VALUE(MID(B2856,FIND("E0",B2856)+2,FIND("T",B2856,FIND("E0",B2856))-(FIND("E0",B2856)+2)))
))),"")</f>
        <v>24</v>
      </c>
      <c r="G2856">
        <f>IFERROR(
IF(ISNUMBER(FIND("T2",B2856)),220,
IF(ISNUMBER(FIND("T4",B2856)),440,
IF(ISNUMBER(FIND("T5",B2856)),575,
IF(ISNUMBER(FIND("T6",B2856)),690,"")))),
"")</f>
        <v>440</v>
      </c>
    </row>
    <row r="2857" spans="1:7" x14ac:dyDescent="0.25">
      <c r="A2857">
        <v>10574740</v>
      </c>
      <c r="B2857" t="str">
        <f>VLOOKUP(A2857,Planilha2!B:C,2,0)</f>
        <v>INVERSOR NACFW110031T4ON1Z</v>
      </c>
      <c r="C2857" t="s">
        <v>3169</v>
      </c>
      <c r="D2857" t="str">
        <f>VLOOKUP(A2857,Planilha2!B:H,7,0)</f>
        <v>LINHA P7</v>
      </c>
      <c r="E2857" s="5">
        <v>11300</v>
      </c>
      <c r="F2857">
        <f>IFERROR(
IF(ISNUMBER(FIND("CFW110",B2857)),
VALUE(MID(B2857,FIND("CFW110",B2857)+6,FIND("T",B2857,FIND("CFW110",B2857))-(FIND("CFW110",B2857)+6))),
IF(ISNUMBER(FIND("D",B2857)),
VALUE(SUBSTITUTE(MID(B2857,FIND("D",B2857)+1,FIND("T",B2857,FIND("D",B2857))-(FIND("D",B2857)+1)),"P",",")),
IF(ISNUMBER(FIND("CFW5",B2857)),
VALUE(MID(B2857,
IF(ISNUMBER(FIND("F",B2857)),FIND("F",B2857)+1,FIND("G",B2857)+1),
FIND("T",B2857)-(IF(ISNUMBER(FIND("F",B2857)),FIND("F",B2857)+1,FIND("G",B2857)+1))
)),
VALUE(MID(B2857,FIND("E0",B2857)+2,FIND("T",B2857,FIND("E0",B2857))-(FIND("E0",B2857)+2)))
))),"")</f>
        <v>31</v>
      </c>
      <c r="G2857">
        <f>IFERROR(
IF(ISNUMBER(FIND("T2",B2857)),220,
IF(ISNUMBER(FIND("T4",B2857)),440,
IF(ISNUMBER(FIND("T5",B2857)),575,
IF(ISNUMBER(FIND("T6",B2857)),690,"")))),
"")</f>
        <v>440</v>
      </c>
    </row>
    <row r="2858" spans="1:7" x14ac:dyDescent="0.25">
      <c r="A2858">
        <v>10574752</v>
      </c>
      <c r="B2858" t="str">
        <f>VLOOKUP(A2858,Planilha2!B:C,2,0)</f>
        <v>INVERSOR SACFW110024T2SZ</v>
      </c>
      <c r="C2858" t="s">
        <v>3169</v>
      </c>
      <c r="D2858" t="str">
        <f>VLOOKUP(A2858,Planilha2!B:H,7,0)</f>
        <v>LINHA P7</v>
      </c>
      <c r="E2858" s="5">
        <v>8700</v>
      </c>
      <c r="F2858">
        <f>IFERROR(
IF(ISNUMBER(FIND("CFW110",B2858)),
VALUE(MID(B2858,FIND("CFW110",B2858)+6,FIND("T",B2858,FIND("CFW110",B2858))-(FIND("CFW110",B2858)+6))),
IF(ISNUMBER(FIND("D",B2858)),
VALUE(SUBSTITUTE(MID(B2858,FIND("D",B2858)+1,FIND("T",B2858,FIND("D",B2858))-(FIND("D",B2858)+1)),"P",",")),
IF(ISNUMBER(FIND("CFW5",B2858)),
VALUE(MID(B2858,
IF(ISNUMBER(FIND("F",B2858)),FIND("F",B2858)+1,FIND("G",B2858)+1),
FIND("T",B2858)-(IF(ISNUMBER(FIND("F",B2858)),FIND("F",B2858)+1,FIND("G",B2858)+1))
)),
VALUE(MID(B2858,FIND("E0",B2858)+2,FIND("T",B2858,FIND("E0",B2858))-(FIND("E0",B2858)+2)))
))),"")</f>
        <v>24</v>
      </c>
      <c r="G2858">
        <f>IFERROR(
IF(ISNUMBER(FIND("T2",B2858)),220,
IF(ISNUMBER(FIND("T4",B2858)),440,
IF(ISNUMBER(FIND("T5",B2858)),575,
IF(ISNUMBER(FIND("T6",B2858)),690,"")))),
"")</f>
        <v>220</v>
      </c>
    </row>
    <row r="2859" spans="1:7" x14ac:dyDescent="0.25">
      <c r="A2859">
        <v>10574753</v>
      </c>
      <c r="B2859" t="str">
        <f>VLOOKUP(A2859,Planilha2!B:C,2,0)</f>
        <v>INVERSOR SACFW110028T2SZ</v>
      </c>
      <c r="C2859" t="s">
        <v>3169</v>
      </c>
      <c r="D2859" t="str">
        <f>VLOOKUP(A2859,Planilha2!B:H,7,0)</f>
        <v>LINHA P7</v>
      </c>
      <c r="E2859" s="5">
        <v>8700</v>
      </c>
      <c r="F2859">
        <f>IFERROR(
IF(ISNUMBER(FIND("CFW110",B2859)),
VALUE(MID(B2859,FIND("CFW110",B2859)+6,FIND("T",B2859,FIND("CFW110",B2859))-(FIND("CFW110",B2859)+6))),
IF(ISNUMBER(FIND("D",B2859)),
VALUE(SUBSTITUTE(MID(B2859,FIND("D",B2859)+1,FIND("T",B2859,FIND("D",B2859))-(FIND("D",B2859)+1)),"P",",")),
IF(ISNUMBER(FIND("CFW5",B2859)),
VALUE(MID(B2859,
IF(ISNUMBER(FIND("F",B2859)),FIND("F",B2859)+1,FIND("G",B2859)+1),
FIND("T",B2859)-(IF(ISNUMBER(FIND("F",B2859)),FIND("F",B2859)+1,FIND("G",B2859)+1))
)),
VALUE(MID(B2859,FIND("E0",B2859)+2,FIND("T",B2859,FIND("E0",B2859))-(FIND("E0",B2859)+2)))
))),"")</f>
        <v>28</v>
      </c>
      <c r="G2859">
        <f>IFERROR(
IF(ISNUMBER(FIND("T2",B2859)),220,
IF(ISNUMBER(FIND("T4",B2859)),440,
IF(ISNUMBER(FIND("T5",B2859)),575,
IF(ISNUMBER(FIND("T6",B2859)),690,"")))),
"")</f>
        <v>220</v>
      </c>
    </row>
    <row r="2860" spans="1:7" x14ac:dyDescent="0.25">
      <c r="A2860">
        <v>10574754</v>
      </c>
      <c r="B2860" t="str">
        <f>VLOOKUP(A2860,Planilha2!B:C,2,0)</f>
        <v>INVERSOR SACFW110033T2SZ</v>
      </c>
      <c r="C2860" t="s">
        <v>3169</v>
      </c>
      <c r="D2860" t="str">
        <f>VLOOKUP(A2860,Planilha2!B:H,7,0)</f>
        <v>LINHA P7</v>
      </c>
      <c r="E2860" s="5">
        <v>8800</v>
      </c>
      <c r="F2860">
        <f>IFERROR(
IF(ISNUMBER(FIND("CFW110",B2860)),
VALUE(MID(B2860,FIND("CFW110",B2860)+6,FIND("T",B2860,FIND("CFW110",B2860))-(FIND("CFW110",B2860)+6))),
IF(ISNUMBER(FIND("D",B2860)),
VALUE(SUBSTITUTE(MID(B2860,FIND("D",B2860)+1,FIND("T",B2860,FIND("D",B2860))-(FIND("D",B2860)+1)),"P",",")),
IF(ISNUMBER(FIND("CFW5",B2860)),
VALUE(MID(B2860,
IF(ISNUMBER(FIND("F",B2860)),FIND("F",B2860)+1,FIND("G",B2860)+1),
FIND("T",B2860)-(IF(ISNUMBER(FIND("F",B2860)),FIND("F",B2860)+1,FIND("G",B2860)+1))
)),
VALUE(MID(B2860,FIND("E0",B2860)+2,FIND("T",B2860,FIND("E0",B2860))-(FIND("E0",B2860)+2)))
))),"")</f>
        <v>33</v>
      </c>
      <c r="G2860">
        <f>IFERROR(
IF(ISNUMBER(FIND("T2",B2860)),220,
IF(ISNUMBER(FIND("T4",B2860)),440,
IF(ISNUMBER(FIND("T5",B2860)),575,
IF(ISNUMBER(FIND("T6",B2860)),690,"")))),
"")</f>
        <v>220</v>
      </c>
    </row>
    <row r="2861" spans="1:7" x14ac:dyDescent="0.25">
      <c r="A2861">
        <v>10574765</v>
      </c>
      <c r="B2861" t="str">
        <f>VLOOKUP(A2861,Planilha2!B:C,2,0)</f>
        <v>INVERSOR SACFW110017T4SZ</v>
      </c>
      <c r="C2861" t="s">
        <v>3169</v>
      </c>
      <c r="D2861" t="str">
        <f>VLOOKUP(A2861,Planilha2!B:H,7,0)</f>
        <v>LINHA P7</v>
      </c>
      <c r="E2861" s="5">
        <v>8900</v>
      </c>
      <c r="F2861">
        <f>IFERROR(
IF(ISNUMBER(FIND("CFW110",B2861)),
VALUE(MID(B2861,FIND("CFW110",B2861)+6,FIND("T",B2861,FIND("CFW110",B2861))-(FIND("CFW110",B2861)+6))),
IF(ISNUMBER(FIND("D",B2861)),
VALUE(SUBSTITUTE(MID(B2861,FIND("D",B2861)+1,FIND("T",B2861,FIND("D",B2861))-(FIND("D",B2861)+1)),"P",",")),
IF(ISNUMBER(FIND("CFW5",B2861)),
VALUE(MID(B2861,
IF(ISNUMBER(FIND("F",B2861)),FIND("F",B2861)+1,FIND("G",B2861)+1),
FIND("T",B2861)-(IF(ISNUMBER(FIND("F",B2861)),FIND("F",B2861)+1,FIND("G",B2861)+1))
)),
VALUE(MID(B2861,FIND("E0",B2861)+2,FIND("T",B2861,FIND("E0",B2861))-(FIND("E0",B2861)+2)))
))),"")</f>
        <v>17</v>
      </c>
      <c r="G2861">
        <f>IFERROR(
IF(ISNUMBER(FIND("T2",B2861)),220,
IF(ISNUMBER(FIND("T4",B2861)),440,
IF(ISNUMBER(FIND("T5",B2861)),575,
IF(ISNUMBER(FIND("T6",B2861)),690,"")))),
"")</f>
        <v>440</v>
      </c>
    </row>
    <row r="2862" spans="1:7" x14ac:dyDescent="0.25">
      <c r="A2862">
        <v>10574766</v>
      </c>
      <c r="B2862" t="str">
        <f>VLOOKUP(A2862,Planilha2!B:C,2,0)</f>
        <v>INVERSOR SACFW110024T4SZ</v>
      </c>
      <c r="C2862" t="s">
        <v>3169</v>
      </c>
      <c r="D2862" t="str">
        <f>VLOOKUP(A2862,Planilha2!B:H,7,0)</f>
        <v>LINHA P7</v>
      </c>
      <c r="E2862" s="5">
        <v>10000</v>
      </c>
      <c r="F2862">
        <f>IFERROR(
IF(ISNUMBER(FIND("CFW110",B2862)),
VALUE(MID(B2862,FIND("CFW110",B2862)+6,FIND("T",B2862,FIND("CFW110",B2862))-(FIND("CFW110",B2862)+6))),
IF(ISNUMBER(FIND("D",B2862)),
VALUE(SUBSTITUTE(MID(B2862,FIND("D",B2862)+1,FIND("T",B2862,FIND("D",B2862))-(FIND("D",B2862)+1)),"P",",")),
IF(ISNUMBER(FIND("CFW5",B2862)),
VALUE(MID(B2862,
IF(ISNUMBER(FIND("F",B2862)),FIND("F",B2862)+1,FIND("G",B2862)+1),
FIND("T",B2862)-(IF(ISNUMBER(FIND("F",B2862)),FIND("F",B2862)+1,FIND("G",B2862)+1))
)),
VALUE(MID(B2862,FIND("E0",B2862)+2,FIND("T",B2862,FIND("E0",B2862))-(FIND("E0",B2862)+2)))
))),"")</f>
        <v>24</v>
      </c>
      <c r="G2862">
        <f>IFERROR(
IF(ISNUMBER(FIND("T2",B2862)),220,
IF(ISNUMBER(FIND("T4",B2862)),440,
IF(ISNUMBER(FIND("T5",B2862)),575,
IF(ISNUMBER(FIND("T6",B2862)),690,"")))),
"")</f>
        <v>440</v>
      </c>
    </row>
    <row r="2863" spans="1:7" x14ac:dyDescent="0.25">
      <c r="A2863">
        <v>10574767</v>
      </c>
      <c r="B2863" t="str">
        <f>VLOOKUP(A2863,Planilha2!B:C,2,0)</f>
        <v>INVERSOR SACFW110031T4SZ</v>
      </c>
      <c r="C2863" t="s">
        <v>3169</v>
      </c>
      <c r="D2863" t="str">
        <f>VLOOKUP(A2863,Planilha2!B:H,7,0)</f>
        <v>LINHA P7</v>
      </c>
      <c r="E2863" s="5">
        <v>10400</v>
      </c>
      <c r="F2863">
        <f>IFERROR(
IF(ISNUMBER(FIND("CFW110",B2863)),
VALUE(MID(B2863,FIND("CFW110",B2863)+6,FIND("T",B2863,FIND("CFW110",B2863))-(FIND("CFW110",B2863)+6))),
IF(ISNUMBER(FIND("D",B2863)),
VALUE(SUBSTITUTE(MID(B2863,FIND("D",B2863)+1,FIND("T",B2863,FIND("D",B2863))-(FIND("D",B2863)+1)),"P",",")),
IF(ISNUMBER(FIND("CFW5",B2863)),
VALUE(MID(B2863,
IF(ISNUMBER(FIND("F",B2863)),FIND("F",B2863)+1,FIND("G",B2863)+1),
FIND("T",B2863)-(IF(ISNUMBER(FIND("F",B2863)),FIND("F",B2863)+1,FIND("G",B2863)+1))
)),
VALUE(MID(B2863,FIND("E0",B2863)+2,FIND("T",B2863,FIND("E0",B2863))-(FIND("E0",B2863)+2)))
))),"")</f>
        <v>31</v>
      </c>
      <c r="G2863">
        <f>IFERROR(
IF(ISNUMBER(FIND("T2",B2863)),220,
IF(ISNUMBER(FIND("T4",B2863)),440,
IF(ISNUMBER(FIND("T5",B2863)),575,
IF(ISNUMBER(FIND("T6",B2863)),690,"")))),
"")</f>
        <v>440</v>
      </c>
    </row>
    <row r="2864" spans="1:7" x14ac:dyDescent="0.25">
      <c r="A2864">
        <v>10574781</v>
      </c>
      <c r="B2864" t="str">
        <f>VLOOKUP(A2864,Planilha2!B:C,2,0)</f>
        <v>INVERSOR EUCFW110024T2OFAZ</v>
      </c>
      <c r="C2864" t="s">
        <v>3169</v>
      </c>
      <c r="D2864" t="str">
        <f>VLOOKUP(A2864,Planilha2!B:H,7,0)</f>
        <v>LINHA P7</v>
      </c>
      <c r="E2864" s="5">
        <v>8800</v>
      </c>
      <c r="F2864">
        <f>IFERROR(
IF(ISNUMBER(FIND("CFW110",B2864)),
VALUE(MID(B2864,FIND("CFW110",B2864)+6,FIND("T",B2864,FIND("CFW110",B2864))-(FIND("CFW110",B2864)+6))),
IF(ISNUMBER(FIND("D",B2864)),
VALUE(SUBSTITUTE(MID(B2864,FIND("D",B2864)+1,FIND("T",B2864,FIND("D",B2864))-(FIND("D",B2864)+1)),"P",",")),
IF(ISNUMBER(FIND("CFW5",B2864)),
VALUE(MID(B2864,
IF(ISNUMBER(FIND("F",B2864)),FIND("F",B2864)+1,FIND("G",B2864)+1),
FIND("T",B2864)-(IF(ISNUMBER(FIND("F",B2864)),FIND("F",B2864)+1,FIND("G",B2864)+1))
)),
VALUE(MID(B2864,FIND("E0",B2864)+2,FIND("T",B2864,FIND("E0",B2864))-(FIND("E0",B2864)+2)))
))),"")</f>
        <v>24</v>
      </c>
      <c r="G2864">
        <f>IFERROR(
IF(ISNUMBER(FIND("T2",B2864)),220,
IF(ISNUMBER(FIND("T4",B2864)),440,
IF(ISNUMBER(FIND("T5",B2864)),575,
IF(ISNUMBER(FIND("T6",B2864)),690,"")))),
"")</f>
        <v>220</v>
      </c>
    </row>
    <row r="2865" spans="1:7" x14ac:dyDescent="0.25">
      <c r="A2865">
        <v>10574782</v>
      </c>
      <c r="B2865" t="str">
        <f>VLOOKUP(A2865,Planilha2!B:C,2,0)</f>
        <v>INVERSOR EUCFW110028T2OFAZ</v>
      </c>
      <c r="C2865" t="s">
        <v>3169</v>
      </c>
      <c r="D2865" t="str">
        <f>VLOOKUP(A2865,Planilha2!B:H,7,0)</f>
        <v>LINHA P7</v>
      </c>
      <c r="E2865" s="5">
        <v>8800</v>
      </c>
      <c r="F2865">
        <f>IFERROR(
IF(ISNUMBER(FIND("CFW110",B2865)),
VALUE(MID(B2865,FIND("CFW110",B2865)+6,FIND("T",B2865,FIND("CFW110",B2865))-(FIND("CFW110",B2865)+6))),
IF(ISNUMBER(FIND("D",B2865)),
VALUE(SUBSTITUTE(MID(B2865,FIND("D",B2865)+1,FIND("T",B2865,FIND("D",B2865))-(FIND("D",B2865)+1)),"P",",")),
IF(ISNUMBER(FIND("CFW5",B2865)),
VALUE(MID(B2865,
IF(ISNUMBER(FIND("F",B2865)),FIND("F",B2865)+1,FIND("G",B2865)+1),
FIND("T",B2865)-(IF(ISNUMBER(FIND("F",B2865)),FIND("F",B2865)+1,FIND("G",B2865)+1))
)),
VALUE(MID(B2865,FIND("E0",B2865)+2,FIND("T",B2865,FIND("E0",B2865))-(FIND("E0",B2865)+2)))
))),"")</f>
        <v>28</v>
      </c>
      <c r="G2865">
        <f>IFERROR(
IF(ISNUMBER(FIND("T2",B2865)),220,
IF(ISNUMBER(FIND("T4",B2865)),440,
IF(ISNUMBER(FIND("T5",B2865)),575,
IF(ISNUMBER(FIND("T6",B2865)),690,"")))),
"")</f>
        <v>220</v>
      </c>
    </row>
    <row r="2866" spans="1:7" x14ac:dyDescent="0.25">
      <c r="A2866">
        <v>10574783</v>
      </c>
      <c r="B2866" t="str">
        <f>VLOOKUP(A2866,Planilha2!B:C,2,0)</f>
        <v>INVERSOR EUCFW110033T2OFAZ</v>
      </c>
      <c r="C2866" t="s">
        <v>3169</v>
      </c>
      <c r="D2866" t="str">
        <f>VLOOKUP(A2866,Planilha2!B:H,7,0)</f>
        <v>LINHA P7</v>
      </c>
      <c r="E2866" s="5">
        <v>8900</v>
      </c>
      <c r="F2866">
        <f>IFERROR(
IF(ISNUMBER(FIND("CFW110",B2866)),
VALUE(MID(B2866,FIND("CFW110",B2866)+6,FIND("T",B2866,FIND("CFW110",B2866))-(FIND("CFW110",B2866)+6))),
IF(ISNUMBER(FIND("D",B2866)),
VALUE(SUBSTITUTE(MID(B2866,FIND("D",B2866)+1,FIND("T",B2866,FIND("D",B2866))-(FIND("D",B2866)+1)),"P",",")),
IF(ISNUMBER(FIND("CFW5",B2866)),
VALUE(MID(B2866,
IF(ISNUMBER(FIND("F",B2866)),FIND("F",B2866)+1,FIND("G",B2866)+1),
FIND("T",B2866)-(IF(ISNUMBER(FIND("F",B2866)),FIND("F",B2866)+1,FIND("G",B2866)+1))
)),
VALUE(MID(B2866,FIND("E0",B2866)+2,FIND("T",B2866,FIND("E0",B2866))-(FIND("E0",B2866)+2)))
))),"")</f>
        <v>33</v>
      </c>
      <c r="G2866">
        <f>IFERROR(
IF(ISNUMBER(FIND("T2",B2866)),220,
IF(ISNUMBER(FIND("T4",B2866)),440,
IF(ISNUMBER(FIND("T5",B2866)),575,
IF(ISNUMBER(FIND("T6",B2866)),690,"")))),
"")</f>
        <v>220</v>
      </c>
    </row>
    <row r="2867" spans="1:7" x14ac:dyDescent="0.25">
      <c r="A2867">
        <v>10574794</v>
      </c>
      <c r="B2867" t="str">
        <f>VLOOKUP(A2867,Planilha2!B:C,2,0)</f>
        <v>INVERSOR EUCFW110017T4OFAZ</v>
      </c>
      <c r="C2867" t="s">
        <v>3169</v>
      </c>
      <c r="D2867" t="str">
        <f>VLOOKUP(A2867,Planilha2!B:H,7,0)</f>
        <v>LINHA P7</v>
      </c>
      <c r="E2867" s="5">
        <v>8900</v>
      </c>
      <c r="F2867">
        <f>IFERROR(
IF(ISNUMBER(FIND("CFW110",B2867)),
VALUE(MID(B2867,FIND("CFW110",B2867)+6,FIND("T",B2867,FIND("CFW110",B2867))-(FIND("CFW110",B2867)+6))),
IF(ISNUMBER(FIND("D",B2867)),
VALUE(SUBSTITUTE(MID(B2867,FIND("D",B2867)+1,FIND("T",B2867,FIND("D",B2867))-(FIND("D",B2867)+1)),"P",",")),
IF(ISNUMBER(FIND("CFW5",B2867)),
VALUE(MID(B2867,
IF(ISNUMBER(FIND("F",B2867)),FIND("F",B2867)+1,FIND("G",B2867)+1),
FIND("T",B2867)-(IF(ISNUMBER(FIND("F",B2867)),FIND("F",B2867)+1,FIND("G",B2867)+1))
)),
VALUE(MID(B2867,FIND("E0",B2867)+2,FIND("T",B2867,FIND("E0",B2867))-(FIND("E0",B2867)+2)))
))),"")</f>
        <v>17</v>
      </c>
      <c r="G2867">
        <f>IFERROR(
IF(ISNUMBER(FIND("T2",B2867)),220,
IF(ISNUMBER(FIND("T4",B2867)),440,
IF(ISNUMBER(FIND("T5",B2867)),575,
IF(ISNUMBER(FIND("T6",B2867)),690,"")))),
"")</f>
        <v>440</v>
      </c>
    </row>
    <row r="2868" spans="1:7" x14ac:dyDescent="0.25">
      <c r="A2868">
        <v>10574795</v>
      </c>
      <c r="B2868" t="str">
        <f>VLOOKUP(A2868,Planilha2!B:C,2,0)</f>
        <v>INVERSOR EUCFW110024T4OFAZ</v>
      </c>
      <c r="C2868" t="s">
        <v>3169</v>
      </c>
      <c r="D2868" t="str">
        <f>VLOOKUP(A2868,Planilha2!B:H,7,0)</f>
        <v>LINHA P7</v>
      </c>
      <c r="E2868" s="5">
        <v>10100</v>
      </c>
      <c r="F2868">
        <f>IFERROR(
IF(ISNUMBER(FIND("CFW110",B2868)),
VALUE(MID(B2868,FIND("CFW110",B2868)+6,FIND("T",B2868,FIND("CFW110",B2868))-(FIND("CFW110",B2868)+6))),
IF(ISNUMBER(FIND("D",B2868)),
VALUE(SUBSTITUTE(MID(B2868,FIND("D",B2868)+1,FIND("T",B2868,FIND("D",B2868))-(FIND("D",B2868)+1)),"P",",")),
IF(ISNUMBER(FIND("CFW5",B2868)),
VALUE(MID(B2868,
IF(ISNUMBER(FIND("F",B2868)),FIND("F",B2868)+1,FIND("G",B2868)+1),
FIND("T",B2868)-(IF(ISNUMBER(FIND("F",B2868)),FIND("F",B2868)+1,FIND("G",B2868)+1))
)),
VALUE(MID(B2868,FIND("E0",B2868)+2,FIND("T",B2868,FIND("E0",B2868))-(FIND("E0",B2868)+2)))
))),"")</f>
        <v>24</v>
      </c>
      <c r="G2868">
        <f>IFERROR(
IF(ISNUMBER(FIND("T2",B2868)),220,
IF(ISNUMBER(FIND("T4",B2868)),440,
IF(ISNUMBER(FIND("T5",B2868)),575,
IF(ISNUMBER(FIND("T6",B2868)),690,"")))),
"")</f>
        <v>440</v>
      </c>
    </row>
    <row r="2869" spans="1:7" x14ac:dyDescent="0.25">
      <c r="A2869">
        <v>10574796</v>
      </c>
      <c r="B2869" t="str">
        <f>VLOOKUP(A2869,Planilha2!B:C,2,0)</f>
        <v>INVERSOR EUCFW110031T4OFAZ</v>
      </c>
      <c r="C2869" t="s">
        <v>3169</v>
      </c>
      <c r="D2869" t="str">
        <f>VLOOKUP(A2869,Planilha2!B:H,7,0)</f>
        <v>LINHA P7</v>
      </c>
      <c r="E2869" s="5">
        <v>10500</v>
      </c>
      <c r="F2869">
        <f>IFERROR(
IF(ISNUMBER(FIND("CFW110",B2869)),
VALUE(MID(B2869,FIND("CFW110",B2869)+6,FIND("T",B2869,FIND("CFW110",B2869))-(FIND("CFW110",B2869)+6))),
IF(ISNUMBER(FIND("D",B2869)),
VALUE(SUBSTITUTE(MID(B2869,FIND("D",B2869)+1,FIND("T",B2869,FIND("D",B2869))-(FIND("D",B2869)+1)),"P",",")),
IF(ISNUMBER(FIND("CFW5",B2869)),
VALUE(MID(B2869,
IF(ISNUMBER(FIND("F",B2869)),FIND("F",B2869)+1,FIND("G",B2869)+1),
FIND("T",B2869)-(IF(ISNUMBER(FIND("F",B2869)),FIND("F",B2869)+1,FIND("G",B2869)+1))
)),
VALUE(MID(B2869,FIND("E0",B2869)+2,FIND("T",B2869,FIND("E0",B2869))-(FIND("E0",B2869)+2)))
))),"")</f>
        <v>31</v>
      </c>
      <c r="G2869">
        <f>IFERROR(
IF(ISNUMBER(FIND("T2",B2869)),220,
IF(ISNUMBER(FIND("T4",B2869)),440,
IF(ISNUMBER(FIND("T5",B2869)),575,
IF(ISNUMBER(FIND("T6",B2869)),690,"")))),
"")</f>
        <v>440</v>
      </c>
    </row>
    <row r="2870" spans="1:7" x14ac:dyDescent="0.25">
      <c r="A2870">
        <v>10575262</v>
      </c>
      <c r="B2870" t="str">
        <f>VLOOKUP(A2870,Planilha2!B:C,2,0)</f>
        <v>INVERSOR MSCFW110033T2SZ</v>
      </c>
      <c r="C2870" t="s">
        <v>3169</v>
      </c>
      <c r="D2870" t="str">
        <f>VLOOKUP(A2870,Planilha2!B:H,7,0)</f>
        <v>LINHA P7</v>
      </c>
      <c r="E2870" s="5">
        <v>8800</v>
      </c>
      <c r="F2870">
        <f>IFERROR(
IF(ISNUMBER(FIND("CFW110",B2870)),
VALUE(MID(B2870,FIND("CFW110",B2870)+6,FIND("T",B2870,FIND("CFW110",B2870))-(FIND("CFW110",B2870)+6))),
IF(ISNUMBER(FIND("D",B2870)),
VALUE(SUBSTITUTE(MID(B2870,FIND("D",B2870)+1,FIND("T",B2870,FIND("D",B2870))-(FIND("D",B2870)+1)),"P",",")),
IF(ISNUMBER(FIND("CFW5",B2870)),
VALUE(MID(B2870,
IF(ISNUMBER(FIND("F",B2870)),FIND("F",B2870)+1,FIND("G",B2870)+1),
FIND("T",B2870)-(IF(ISNUMBER(FIND("F",B2870)),FIND("F",B2870)+1,FIND("G",B2870)+1))
)),
VALUE(MID(B2870,FIND("E0",B2870)+2,FIND("T",B2870,FIND("E0",B2870))-(FIND("E0",B2870)+2)))
))),"")</f>
        <v>33</v>
      </c>
      <c r="G2870">
        <f>IFERROR(
IF(ISNUMBER(FIND("T2",B2870)),220,
IF(ISNUMBER(FIND("T4",B2870)),440,
IF(ISNUMBER(FIND("T5",B2870)),575,
IF(ISNUMBER(FIND("T6",B2870)),690,"")))),
"")</f>
        <v>220</v>
      </c>
    </row>
    <row r="2871" spans="1:7" x14ac:dyDescent="0.25">
      <c r="A2871">
        <v>11385303</v>
      </c>
      <c r="B2871" t="str">
        <f>VLOOKUP(A2871,Planilha2!B:C,2,0)</f>
        <v>INVERSOR BRCFW110024T4OFAZ</v>
      </c>
      <c r="C2871" t="s">
        <v>3169</v>
      </c>
      <c r="D2871" t="str">
        <f>VLOOKUP(A2871,Planilha2!B:H,7,0)</f>
        <v>LINHA P7</v>
      </c>
      <c r="E2871" s="5">
        <v>5201</v>
      </c>
      <c r="F2871">
        <f>IFERROR(
IF(ISNUMBER(FIND("CFW110",B2871)),
VALUE(MID(B2871,FIND("CFW110",B2871)+6,FIND("T",B2871,FIND("CFW110",B2871))-(FIND("CFW110",B2871)+6))),
IF(ISNUMBER(FIND("D",B2871)),
VALUE(SUBSTITUTE(MID(B2871,FIND("D",B2871)+1,FIND("T",B2871,FIND("D",B2871))-(FIND("D",B2871)+1)),"P",",")),
IF(ISNUMBER(FIND("CFW5",B2871)),
VALUE(MID(B2871,
IF(ISNUMBER(FIND("F",B2871)),FIND("F",B2871)+1,FIND("G",B2871)+1),
FIND("T",B2871)-(IF(ISNUMBER(FIND("F",B2871)),FIND("F",B2871)+1,FIND("G",B2871)+1))
)),
VALUE(MID(B2871,FIND("E0",B2871)+2,FIND("T",B2871,FIND("E0",B2871))-(FIND("E0",B2871)+2)))
))),"")</f>
        <v>24</v>
      </c>
      <c r="G2871">
        <f>IFERROR(
IF(ISNUMBER(FIND("T2",B2871)),220,
IF(ISNUMBER(FIND("T4",B2871)),440,
IF(ISNUMBER(FIND("T5",B2871)),575,
IF(ISNUMBER(FIND("T6",B2871)),690,"")))),
"")</f>
        <v>440</v>
      </c>
    </row>
    <row r="2872" spans="1:7" x14ac:dyDescent="0.25">
      <c r="A2872">
        <v>11494279</v>
      </c>
      <c r="B2872" t="str">
        <f>VLOOKUP(A2872,Planilha2!B:C,2,0)</f>
        <v>INVERSOR BRCFW110024T2OFAZ</v>
      </c>
      <c r="C2872" t="s">
        <v>3169</v>
      </c>
      <c r="D2872" t="str">
        <f>VLOOKUP(A2872,Planilha2!B:H,7,0)</f>
        <v>LINHA P7</v>
      </c>
      <c r="E2872" s="5">
        <v>5201</v>
      </c>
      <c r="F2872">
        <f>IFERROR(
IF(ISNUMBER(FIND("CFW110",B2872)),
VALUE(MID(B2872,FIND("CFW110",B2872)+6,FIND("T",B2872,FIND("CFW110",B2872))-(FIND("CFW110",B2872)+6))),
IF(ISNUMBER(FIND("D",B2872)),
VALUE(SUBSTITUTE(MID(B2872,FIND("D",B2872)+1,FIND("T",B2872,FIND("D",B2872))-(FIND("D",B2872)+1)),"P",",")),
IF(ISNUMBER(FIND("CFW5",B2872)),
VALUE(MID(B2872,
IF(ISNUMBER(FIND("F",B2872)),FIND("F",B2872)+1,FIND("G",B2872)+1),
FIND("T",B2872)-(IF(ISNUMBER(FIND("F",B2872)),FIND("F",B2872)+1,FIND("G",B2872)+1))
)),
VALUE(MID(B2872,FIND("E0",B2872)+2,FIND("T",B2872,FIND("E0",B2872))-(FIND("E0",B2872)+2)))
))),"")</f>
        <v>24</v>
      </c>
      <c r="G2872">
        <f>IFERROR(
IF(ISNUMBER(FIND("T2",B2872)),220,
IF(ISNUMBER(FIND("T4",B2872)),440,
IF(ISNUMBER(FIND("T5",B2872)),575,
IF(ISNUMBER(FIND("T6",B2872)),690,"")))),
"")</f>
        <v>220</v>
      </c>
    </row>
    <row r="2873" spans="1:7" x14ac:dyDescent="0.25">
      <c r="A2873">
        <v>11494281</v>
      </c>
      <c r="B2873" t="str">
        <f>VLOOKUP(A2873,Planilha2!B:C,2,0)</f>
        <v>INVERSOR BRCFW110033T2OFAZ</v>
      </c>
      <c r="C2873" t="s">
        <v>3169</v>
      </c>
      <c r="D2873" t="str">
        <f>VLOOKUP(A2873,Planilha2!B:H,7,0)</f>
        <v>LINHA P7</v>
      </c>
      <c r="E2873" s="5">
        <v>5201</v>
      </c>
      <c r="F2873">
        <f>IFERROR(
IF(ISNUMBER(FIND("CFW110",B2873)),
VALUE(MID(B2873,FIND("CFW110",B2873)+6,FIND("T",B2873,FIND("CFW110",B2873))-(FIND("CFW110",B2873)+6))),
IF(ISNUMBER(FIND("D",B2873)),
VALUE(SUBSTITUTE(MID(B2873,FIND("D",B2873)+1,FIND("T",B2873,FIND("D",B2873))-(FIND("D",B2873)+1)),"P",",")),
IF(ISNUMBER(FIND("CFW5",B2873)),
VALUE(MID(B2873,
IF(ISNUMBER(FIND("F",B2873)),FIND("F",B2873)+1,FIND("G",B2873)+1),
FIND("T",B2873)-(IF(ISNUMBER(FIND("F",B2873)),FIND("F",B2873)+1,FIND("G",B2873)+1))
)),
VALUE(MID(B2873,FIND("E0",B2873)+2,FIND("T",B2873,FIND("E0",B2873))-(FIND("E0",B2873)+2)))
))),"")</f>
        <v>33</v>
      </c>
      <c r="G2873">
        <f>IFERROR(
IF(ISNUMBER(FIND("T2",B2873)),220,
IF(ISNUMBER(FIND("T4",B2873)),440,
IF(ISNUMBER(FIND("T5",B2873)),575,
IF(ISNUMBER(FIND("T6",B2873)),690,"")))),
"")</f>
        <v>220</v>
      </c>
    </row>
    <row r="2874" spans="1:7" x14ac:dyDescent="0.25">
      <c r="A2874">
        <v>11144548</v>
      </c>
      <c r="B2874" t="str">
        <f>VLOOKUP(A2874,Planilha2!B:C,2,0)</f>
        <v>INVERSOR EUCFW110031T4O54FAZ</v>
      </c>
      <c r="C2874" t="s">
        <v>3169</v>
      </c>
      <c r="D2874" t="str">
        <f>VLOOKUP(A2874,Planilha2!B:H,7,0)</f>
        <v>LINHA M3</v>
      </c>
      <c r="E2874" s="5">
        <v>15000</v>
      </c>
      <c r="F2874">
        <f>IFERROR(
IF(ISNUMBER(FIND("CFW110",B2874)),
VALUE(MID(B2874,FIND("CFW110",B2874)+6,FIND("T",B2874,FIND("CFW110",B2874))-(FIND("CFW110",B2874)+6))),
IF(ISNUMBER(FIND("D",B2874)),
VALUE(SUBSTITUTE(MID(B2874,FIND("D",B2874)+1,FIND("T",B2874,FIND("D",B2874))-(FIND("D",B2874)+1)),"P",",")),
IF(ISNUMBER(FIND("CFW5",B2874)),
VALUE(MID(B2874,
IF(ISNUMBER(FIND("F",B2874)),FIND("F",B2874)+1,FIND("G",B2874)+1),
FIND("T",B2874)-(IF(ISNUMBER(FIND("F",B2874)),FIND("F",B2874)+1,FIND("G",B2874)+1))
)),
VALUE(MID(B2874,FIND("E0",B2874)+2,FIND("T",B2874,FIND("E0",B2874))-(FIND("E0",B2874)+2)))
))),"")</f>
        <v>31</v>
      </c>
      <c r="G2874">
        <f>IFERROR(
IF(ISNUMBER(FIND("T2",B2874)),220,
IF(ISNUMBER(FIND("T4",B2874)),440,
IF(ISNUMBER(FIND("T5",B2874)),575,
IF(ISNUMBER(FIND("T6",B2874)),690,"")))),
"")</f>
        <v>440</v>
      </c>
    </row>
    <row r="2875" spans="1:7" x14ac:dyDescent="0.25">
      <c r="A2875">
        <v>11142954</v>
      </c>
      <c r="B2875" t="str">
        <f>VLOOKUP(A2875,Planilha2!B:C,2,0)</f>
        <v>INVERSOR EUCFW110013T4O54FAZ</v>
      </c>
      <c r="C2875" t="s">
        <v>3169</v>
      </c>
      <c r="D2875" t="str">
        <f>VLOOKUP(A2875,Planilha2!B:H,7,0)</f>
        <v>LINHA M3</v>
      </c>
      <c r="E2875" s="5">
        <v>13000</v>
      </c>
      <c r="F2875">
        <f>IFERROR(
IF(ISNUMBER(FIND("CFW110",B2875)),
VALUE(MID(B2875,FIND("CFW110",B2875)+6,FIND("T",B2875,FIND("CFW110",B2875))-(FIND("CFW110",B2875)+6))),
IF(ISNUMBER(FIND("D",B2875)),
VALUE(SUBSTITUTE(MID(B2875,FIND("D",B2875)+1,FIND("T",B2875,FIND("D",B2875))-(FIND("D",B2875)+1)),"P",",")),
IF(ISNUMBER(FIND("CFW5",B2875)),
VALUE(MID(B2875,
IF(ISNUMBER(FIND("F",B2875)),FIND("F",B2875)+1,FIND("G",B2875)+1),
FIND("T",B2875)-(IF(ISNUMBER(FIND("F",B2875)),FIND("F",B2875)+1,FIND("G",B2875)+1))
)),
VALUE(MID(B2875,FIND("E0",B2875)+2,FIND("T",B2875,FIND("E0",B2875))-(FIND("E0",B2875)+2)))
))),"")</f>
        <v>13</v>
      </c>
      <c r="G2875">
        <f>IFERROR(
IF(ISNUMBER(FIND("T2",B2875)),220,
IF(ISNUMBER(FIND("T4",B2875)),440,
IF(ISNUMBER(FIND("T5",B2875)),575,
IF(ISNUMBER(FIND("T6",B2875)),690,"")))),
"")</f>
        <v>440</v>
      </c>
    </row>
    <row r="2876" spans="1:7" x14ac:dyDescent="0.25">
      <c r="A2876">
        <v>11142955</v>
      </c>
      <c r="B2876" t="str">
        <f>VLOOKUP(A2876,Planilha2!B:C,2,0)</f>
        <v>INVERSOR EUCFW110017T4O54FAZ</v>
      </c>
      <c r="C2876" t="s">
        <v>3169</v>
      </c>
      <c r="D2876" t="str">
        <f>VLOOKUP(A2876,Planilha2!B:H,7,0)</f>
        <v>LINHA M3</v>
      </c>
      <c r="E2876" s="5">
        <v>15000</v>
      </c>
      <c r="F2876">
        <f>IFERROR(
IF(ISNUMBER(FIND("CFW110",B2876)),
VALUE(MID(B2876,FIND("CFW110",B2876)+6,FIND("T",B2876,FIND("CFW110",B2876))-(FIND("CFW110",B2876)+6))),
IF(ISNUMBER(FIND("D",B2876)),
VALUE(SUBSTITUTE(MID(B2876,FIND("D",B2876)+1,FIND("T",B2876,FIND("D",B2876))-(FIND("D",B2876)+1)),"P",",")),
IF(ISNUMBER(FIND("CFW5",B2876)),
VALUE(MID(B2876,
IF(ISNUMBER(FIND("F",B2876)),FIND("F",B2876)+1,FIND("G",B2876)+1),
FIND("T",B2876)-(IF(ISNUMBER(FIND("F",B2876)),FIND("F",B2876)+1,FIND("G",B2876)+1))
)),
VALUE(MID(B2876,FIND("E0",B2876)+2,FIND("T",B2876,FIND("E0",B2876))-(FIND("E0",B2876)+2)))
))),"")</f>
        <v>17</v>
      </c>
      <c r="G2876">
        <f>IFERROR(
IF(ISNUMBER(FIND("T2",B2876)),220,
IF(ISNUMBER(FIND("T4",B2876)),440,
IF(ISNUMBER(FIND("T5",B2876)),575,
IF(ISNUMBER(FIND("T6",B2876)),690,"")))),
"")</f>
        <v>440</v>
      </c>
    </row>
    <row r="2877" spans="1:7" x14ac:dyDescent="0.25">
      <c r="A2877">
        <v>11143162</v>
      </c>
      <c r="B2877" t="str">
        <f>VLOOKUP(A2877,Planilha2!B:C,2,0)</f>
        <v>INVERSOR EUCFW110006S2O54FAZ</v>
      </c>
      <c r="C2877" t="s">
        <v>3169</v>
      </c>
      <c r="D2877" t="str">
        <f>VLOOKUP(A2877,Planilha2!B:H,7,0)</f>
        <v>LINHA M1</v>
      </c>
      <c r="E2877" s="5">
        <v>13000</v>
      </c>
      <c r="F2877" t="str">
        <f>IFERROR(
IF(ISNUMBER(FIND("CFW110",B2877)),
VALUE(MID(B2877,FIND("CFW110",B2877)+6,FIND("T",B2877,FIND("CFW110",B2877))-(FIND("CFW110",B2877)+6))),
IF(ISNUMBER(FIND("D",B2877)),
VALUE(SUBSTITUTE(MID(B2877,FIND("D",B2877)+1,FIND("T",B2877,FIND("D",B2877))-(FIND("D",B2877)+1)),"P",",")),
IF(ISNUMBER(FIND("CFW5",B2877)),
VALUE(MID(B2877,
IF(ISNUMBER(FIND("F",B2877)),FIND("F",B2877)+1,FIND("G",B2877)+1),
FIND("T",B2877)-(IF(ISNUMBER(FIND("F",B2877)),FIND("F",B2877)+1,FIND("G",B2877)+1))
)),
VALUE(MID(B2877,FIND("E0",B2877)+2,FIND("T",B2877,FIND("E0",B2877))-(FIND("E0",B2877)+2)))
))),"")</f>
        <v/>
      </c>
      <c r="G2877" t="str">
        <f>IFERROR(
IF(ISNUMBER(FIND("T2",B2877)),220,
IF(ISNUMBER(FIND("T4",B2877)),440,
IF(ISNUMBER(FIND("T5",B2877)),575,
IF(ISNUMBER(FIND("T6",B2877)),690,"")))),
"")</f>
        <v/>
      </c>
    </row>
    <row r="2878" spans="1:7" x14ac:dyDescent="0.25">
      <c r="A2878">
        <v>11143163</v>
      </c>
      <c r="B2878" t="str">
        <f>VLOOKUP(A2878,Planilha2!B:C,2,0)</f>
        <v>INVERSOR EUCFW110007S2O54FAZ</v>
      </c>
      <c r="C2878" t="s">
        <v>3169</v>
      </c>
      <c r="D2878" t="str">
        <f>VLOOKUP(A2878,Planilha2!B:H,7,0)</f>
        <v>LINHA M3</v>
      </c>
      <c r="E2878" s="5">
        <v>13000</v>
      </c>
      <c r="F2878" t="str">
        <f>IFERROR(
IF(ISNUMBER(FIND("CFW110",B2878)),
VALUE(MID(B2878,FIND("CFW110",B2878)+6,FIND("T",B2878,FIND("CFW110",B2878))-(FIND("CFW110",B2878)+6))),
IF(ISNUMBER(FIND("D",B2878)),
VALUE(SUBSTITUTE(MID(B2878,FIND("D",B2878)+1,FIND("T",B2878,FIND("D",B2878))-(FIND("D",B2878)+1)),"P",",")),
IF(ISNUMBER(FIND("CFW5",B2878)),
VALUE(MID(B2878,
IF(ISNUMBER(FIND("F",B2878)),FIND("F",B2878)+1,FIND("G",B2878)+1),
FIND("T",B2878)-(IF(ISNUMBER(FIND("F",B2878)),FIND("F",B2878)+1,FIND("G",B2878)+1))
)),
VALUE(MID(B2878,FIND("E0",B2878)+2,FIND("T",B2878,FIND("E0",B2878))-(FIND("E0",B2878)+2)))
))),"")</f>
        <v/>
      </c>
      <c r="G2878" t="str">
        <f>IFERROR(
IF(ISNUMBER(FIND("T2",B2878)),220,
IF(ISNUMBER(FIND("T4",B2878)),440,
IF(ISNUMBER(FIND("T5",B2878)),575,
IF(ISNUMBER(FIND("T6",B2878)),690,"")))),
"")</f>
        <v/>
      </c>
    </row>
    <row r="2879" spans="1:7" x14ac:dyDescent="0.25">
      <c r="A2879">
        <v>11143164</v>
      </c>
      <c r="B2879" t="str">
        <f>VLOOKUP(A2879,Planilha2!B:C,2,0)</f>
        <v>INVERSOR EUCFW110010S2O54FAZ</v>
      </c>
      <c r="C2879" t="s">
        <v>3169</v>
      </c>
      <c r="D2879" t="str">
        <f>VLOOKUP(A2879,Planilha2!B:H,7,0)</f>
        <v>LINHA M1</v>
      </c>
      <c r="E2879" s="5">
        <v>13000</v>
      </c>
      <c r="F2879" t="str">
        <f>IFERROR(
IF(ISNUMBER(FIND("CFW110",B2879)),
VALUE(MID(B2879,FIND("CFW110",B2879)+6,FIND("T",B2879,FIND("CFW110",B2879))-(FIND("CFW110",B2879)+6))),
IF(ISNUMBER(FIND("D",B2879)),
VALUE(SUBSTITUTE(MID(B2879,FIND("D",B2879)+1,FIND("T",B2879,FIND("D",B2879))-(FIND("D",B2879)+1)),"P",",")),
IF(ISNUMBER(FIND("CFW5",B2879)),
VALUE(MID(B2879,
IF(ISNUMBER(FIND("F",B2879)),FIND("F",B2879)+1,FIND("G",B2879)+1),
FIND("T",B2879)-(IF(ISNUMBER(FIND("F",B2879)),FIND("F",B2879)+1,FIND("G",B2879)+1))
)),
VALUE(MID(B2879,FIND("E0",B2879)+2,FIND("T",B2879,FIND("E0",B2879))-(FIND("E0",B2879)+2)))
))),"")</f>
        <v/>
      </c>
      <c r="G2879" t="str">
        <f>IFERROR(
IF(ISNUMBER(FIND("T2",B2879)),220,
IF(ISNUMBER(FIND("T4",B2879)),440,
IF(ISNUMBER(FIND("T5",B2879)),575,
IF(ISNUMBER(FIND("T6",B2879)),690,"")))),
"")</f>
        <v/>
      </c>
    </row>
    <row r="2880" spans="1:7" x14ac:dyDescent="0.25">
      <c r="A2880">
        <v>11144427</v>
      </c>
      <c r="B2880" t="str">
        <f>VLOOKUP(A2880,Planilha2!B:C,2,0)</f>
        <v>INVERSOR EUCFW110003T4O54FAZ</v>
      </c>
      <c r="C2880" t="s">
        <v>3169</v>
      </c>
      <c r="D2880" t="str">
        <f>VLOOKUP(A2880,Planilha2!B:H,7,0)</f>
        <v>LINHA M3</v>
      </c>
      <c r="E2880" s="5">
        <v>13000</v>
      </c>
      <c r="F2880">
        <f>IFERROR(
IF(ISNUMBER(FIND("CFW110",B2880)),
VALUE(MID(B2880,FIND("CFW110",B2880)+6,FIND("T",B2880,FIND("CFW110",B2880))-(FIND("CFW110",B2880)+6))),
IF(ISNUMBER(FIND("D",B2880)),
VALUE(SUBSTITUTE(MID(B2880,FIND("D",B2880)+1,FIND("T",B2880,FIND("D",B2880))-(FIND("D",B2880)+1)),"P",",")),
IF(ISNUMBER(FIND("CFW5",B2880)),
VALUE(MID(B2880,
IF(ISNUMBER(FIND("F",B2880)),FIND("F",B2880)+1,FIND("G",B2880)+1),
FIND("T",B2880)-(IF(ISNUMBER(FIND("F",B2880)),FIND("F",B2880)+1,FIND("G",B2880)+1))
)),
VALUE(MID(B2880,FIND("E0",B2880)+2,FIND("T",B2880,FIND("E0",B2880))-(FIND("E0",B2880)+2)))
))),"")</f>
        <v>3</v>
      </c>
      <c r="G2880">
        <f>IFERROR(
IF(ISNUMBER(FIND("T2",B2880)),220,
IF(ISNUMBER(FIND("T4",B2880)),440,
IF(ISNUMBER(FIND("T5",B2880)),575,
IF(ISNUMBER(FIND("T6",B2880)),690,"")))),
"")</f>
        <v>440</v>
      </c>
    </row>
    <row r="2881" spans="1:7" x14ac:dyDescent="0.25">
      <c r="A2881">
        <v>11144520</v>
      </c>
      <c r="B2881" t="str">
        <f>VLOOKUP(A2881,Planilha2!B:C,2,0)</f>
        <v>INVERSOR EUCFW110005T4O54FAZ</v>
      </c>
      <c r="C2881" t="s">
        <v>3169</v>
      </c>
      <c r="D2881" t="str">
        <f>VLOOKUP(A2881,Planilha2!B:H,7,0)</f>
        <v>LINHA M3</v>
      </c>
      <c r="E2881" s="5">
        <v>13000</v>
      </c>
      <c r="F2881">
        <f>IFERROR(
IF(ISNUMBER(FIND("CFW110",B2881)),
VALUE(MID(B2881,FIND("CFW110",B2881)+6,FIND("T",B2881,FIND("CFW110",B2881))-(FIND("CFW110",B2881)+6))),
IF(ISNUMBER(FIND("D",B2881)),
VALUE(SUBSTITUTE(MID(B2881,FIND("D",B2881)+1,FIND("T",B2881,FIND("D",B2881))-(FIND("D",B2881)+1)),"P",",")),
IF(ISNUMBER(FIND("CFW5",B2881)),
VALUE(MID(B2881,
IF(ISNUMBER(FIND("F",B2881)),FIND("F",B2881)+1,FIND("G",B2881)+1),
FIND("T",B2881)-(IF(ISNUMBER(FIND("F",B2881)),FIND("F",B2881)+1,FIND("G",B2881)+1))
)),
VALUE(MID(B2881,FIND("E0",B2881)+2,FIND("T",B2881,FIND("E0",B2881))-(FIND("E0",B2881)+2)))
))),"")</f>
        <v>5</v>
      </c>
      <c r="G2881">
        <f>IFERROR(
IF(ISNUMBER(FIND("T2",B2881)),220,
IF(ISNUMBER(FIND("T4",B2881)),440,
IF(ISNUMBER(FIND("T5",B2881)),575,
IF(ISNUMBER(FIND("T6",B2881)),690,"")))),
"")</f>
        <v>440</v>
      </c>
    </row>
    <row r="2882" spans="1:7" x14ac:dyDescent="0.25">
      <c r="A2882">
        <v>11144521</v>
      </c>
      <c r="B2882" t="str">
        <f>VLOOKUP(A2882,Planilha2!B:C,2,0)</f>
        <v>INVERSOR EUCFW110007T4O54FAZ</v>
      </c>
      <c r="C2882" t="s">
        <v>3169</v>
      </c>
      <c r="D2882" t="str">
        <f>VLOOKUP(A2882,Planilha2!B:H,7,0)</f>
        <v>LINHA M3</v>
      </c>
      <c r="E2882" s="5">
        <v>13000</v>
      </c>
      <c r="F2882">
        <f>IFERROR(
IF(ISNUMBER(FIND("CFW110",B2882)),
VALUE(MID(B2882,FIND("CFW110",B2882)+6,FIND("T",B2882,FIND("CFW110",B2882))-(FIND("CFW110",B2882)+6))),
IF(ISNUMBER(FIND("D",B2882)),
VALUE(SUBSTITUTE(MID(B2882,FIND("D",B2882)+1,FIND("T",B2882,FIND("D",B2882))-(FIND("D",B2882)+1)),"P",",")),
IF(ISNUMBER(FIND("CFW5",B2882)),
VALUE(MID(B2882,
IF(ISNUMBER(FIND("F",B2882)),FIND("F",B2882)+1,FIND("G",B2882)+1),
FIND("T",B2882)-(IF(ISNUMBER(FIND("F",B2882)),FIND("F",B2882)+1,FIND("G",B2882)+1))
)),
VALUE(MID(B2882,FIND("E0",B2882)+2,FIND("T",B2882,FIND("E0",B2882))-(FIND("E0",B2882)+2)))
))),"")</f>
        <v>7</v>
      </c>
      <c r="G2882">
        <f>IFERROR(
IF(ISNUMBER(FIND("T2",B2882)),220,
IF(ISNUMBER(FIND("T4",B2882)),440,
IF(ISNUMBER(FIND("T5",B2882)),575,
IF(ISNUMBER(FIND("T6",B2882)),690,"")))),
"")</f>
        <v>440</v>
      </c>
    </row>
    <row r="2883" spans="1:7" x14ac:dyDescent="0.25">
      <c r="A2883">
        <v>11144522</v>
      </c>
      <c r="B2883" t="str">
        <f>VLOOKUP(A2883,Planilha2!B:C,2,0)</f>
        <v>INVERSOR EUCFW110010T4O54FAZ</v>
      </c>
      <c r="C2883" t="s">
        <v>3169</v>
      </c>
      <c r="D2883" t="str">
        <f>VLOOKUP(A2883,Planilha2!B:H,7,0)</f>
        <v>LINHA M3</v>
      </c>
      <c r="E2883" s="5">
        <v>13000</v>
      </c>
      <c r="F2883">
        <f>IFERROR(
IF(ISNUMBER(FIND("CFW110",B2883)),
VALUE(MID(B2883,FIND("CFW110",B2883)+6,FIND("T",B2883,FIND("CFW110",B2883))-(FIND("CFW110",B2883)+6))),
IF(ISNUMBER(FIND("D",B2883)),
VALUE(SUBSTITUTE(MID(B2883,FIND("D",B2883)+1,FIND("T",B2883,FIND("D",B2883))-(FIND("D",B2883)+1)),"P",",")),
IF(ISNUMBER(FIND("CFW5",B2883)),
VALUE(MID(B2883,
IF(ISNUMBER(FIND("F",B2883)),FIND("F",B2883)+1,FIND("G",B2883)+1),
FIND("T",B2883)-(IF(ISNUMBER(FIND("F",B2883)),FIND("F",B2883)+1,FIND("G",B2883)+1))
)),
VALUE(MID(B2883,FIND("E0",B2883)+2,FIND("T",B2883,FIND("E0",B2883))-(FIND("E0",B2883)+2)))
))),"")</f>
        <v>10</v>
      </c>
      <c r="G2883">
        <f>IFERROR(
IF(ISNUMBER(FIND("T2",B2883)),220,
IF(ISNUMBER(FIND("T4",B2883)),440,
IF(ISNUMBER(FIND("T5",B2883)),575,
IF(ISNUMBER(FIND("T6",B2883)),690,"")))),
"")</f>
        <v>440</v>
      </c>
    </row>
    <row r="2884" spans="1:7" x14ac:dyDescent="0.25">
      <c r="A2884">
        <v>11144524</v>
      </c>
      <c r="B2884" t="str">
        <f>VLOOKUP(A2884,Planilha2!B:C,2,0)</f>
        <v>INVERSOR EUCFW110024T4O54FAZ</v>
      </c>
      <c r="C2884" t="s">
        <v>3169</v>
      </c>
      <c r="D2884" t="str">
        <f>VLOOKUP(A2884,Planilha2!B:H,7,0)</f>
        <v>LINHA M3</v>
      </c>
      <c r="E2884" s="5">
        <v>15000</v>
      </c>
      <c r="F2884">
        <f>IFERROR(
IF(ISNUMBER(FIND("CFW110",B2884)),
VALUE(MID(B2884,FIND("CFW110",B2884)+6,FIND("T",B2884,FIND("CFW110",B2884))-(FIND("CFW110",B2884)+6))),
IF(ISNUMBER(FIND("D",B2884)),
VALUE(SUBSTITUTE(MID(B2884,FIND("D",B2884)+1,FIND("T",B2884,FIND("D",B2884))-(FIND("D",B2884)+1)),"P",",")),
IF(ISNUMBER(FIND("CFW5",B2884)),
VALUE(MID(B2884,
IF(ISNUMBER(FIND("F",B2884)),FIND("F",B2884)+1,FIND("G",B2884)+1),
FIND("T",B2884)-(IF(ISNUMBER(FIND("F",B2884)),FIND("F",B2884)+1,FIND("G",B2884)+1))
)),
VALUE(MID(B2884,FIND("E0",B2884)+2,FIND("T",B2884,FIND("E0",B2884))-(FIND("E0",B2884)+2)))
))),"")</f>
        <v>24</v>
      </c>
      <c r="G2884">
        <f>IFERROR(
IF(ISNUMBER(FIND("T2",B2884)),220,
IF(ISNUMBER(FIND("T4",B2884)),440,
IF(ISNUMBER(FIND("T5",B2884)),575,
IF(ISNUMBER(FIND("T6",B2884)),690,"")))),
"")</f>
        <v>440</v>
      </c>
    </row>
    <row r="2885" spans="1:7" x14ac:dyDescent="0.25">
      <c r="A2885">
        <v>11341882</v>
      </c>
      <c r="B2885" t="str">
        <f>VLOOKUP(A2885,Planilha2!B:C,2,0)</f>
        <v>INVERSOR CFW700B31P0T4DB20C3Y1</v>
      </c>
      <c r="C2885" t="s">
        <v>3169</v>
      </c>
      <c r="D2885" t="str">
        <f>VLOOKUP(A2885,Planilha2!B:H,7,0)</f>
        <v>OBSOLETOS DRIVES</v>
      </c>
      <c r="E2885" s="5">
        <v>9100</v>
      </c>
      <c r="F2885" t="str">
        <f>IFERROR(
IF(ISNUMBER(FIND("CFW110",B2885)),
VALUE(MID(B2885,FIND("CFW110",B2885)+6,FIND("T",B2885,FIND("CFW110",B2885))-(FIND("CFW110",B2885)+6))),
IF(ISNUMBER(FIND("D",B2885)),
VALUE(SUBSTITUTE(MID(B2885,FIND("D",B2885)+1,FIND("T",B2885,FIND("D",B2885))-(FIND("D",B2885)+1)),"P",",")),
IF(ISNUMBER(FIND("CFW5",B2885)),
VALUE(MID(B2885,
IF(ISNUMBER(FIND("F",B2885)),FIND("F",B2885)+1,FIND("G",B2885)+1),
FIND("T",B2885)-(IF(ISNUMBER(FIND("F",B2885)),FIND("F",B2885)+1,FIND("G",B2885)+1))
)),
VALUE(MID(B2885,FIND("E0",B2885)+2,FIND("T",B2885,FIND("E0",B2885))-(FIND("E0",B2885)+2)))
))),"")</f>
        <v/>
      </c>
      <c r="G2885">
        <f>IFERROR(
IF(ISNUMBER(FIND("T2",B2885)),220,
IF(ISNUMBER(FIND("T4",B2885)),440,
IF(ISNUMBER(FIND("T5",B2885)),575,
IF(ISNUMBER(FIND("T6",B2885)),690,"")))),
"")</f>
        <v>440</v>
      </c>
    </row>
    <row r="2886" spans="1:7" x14ac:dyDescent="0.25">
      <c r="A2886">
        <v>11846094</v>
      </c>
      <c r="B2886" t="str">
        <f>VLOOKUP(A2886,Planilha2!B:C,2,0)</f>
        <v>INVERSOR CFW700A03P6T4DB20C3Y1</v>
      </c>
      <c r="C2886" t="s">
        <v>3169</v>
      </c>
      <c r="D2886" t="str">
        <f>VLOOKUP(A2886,Planilha2!B:H,7,0)</f>
        <v>OBSOLETOS DRIVES</v>
      </c>
      <c r="E2886" s="5">
        <v>5700</v>
      </c>
      <c r="F2886" t="str">
        <f>IFERROR(
IF(ISNUMBER(FIND("CFW110",B2886)),
VALUE(MID(B2886,FIND("CFW110",B2886)+6,FIND("T",B2886,FIND("CFW110",B2886))-(FIND("CFW110",B2886)+6))),
IF(ISNUMBER(FIND("D",B2886)),
VALUE(SUBSTITUTE(MID(B2886,FIND("D",B2886)+1,FIND("T",B2886,FIND("D",B2886))-(FIND("D",B2886)+1)),"P",",")),
IF(ISNUMBER(FIND("CFW5",B2886)),
VALUE(MID(B2886,
IF(ISNUMBER(FIND("F",B2886)),FIND("F",B2886)+1,FIND("G",B2886)+1),
FIND("T",B2886)-(IF(ISNUMBER(FIND("F",B2886)),FIND("F",B2886)+1,FIND("G",B2886)+1))
)),
VALUE(MID(B2886,FIND("E0",B2886)+2,FIND("T",B2886,FIND("E0",B2886))-(FIND("E0",B2886)+2)))
))),"")</f>
        <v/>
      </c>
      <c r="G2886">
        <f>IFERROR(
IF(ISNUMBER(FIND("T2",B2886)),220,
IF(ISNUMBER(FIND("T4",B2886)),440,
IF(ISNUMBER(FIND("T5",B2886)),575,
IF(ISNUMBER(FIND("T6",B2886)),690,"")))),
"")</f>
        <v>440</v>
      </c>
    </row>
    <row r="2887" spans="1:7" x14ac:dyDescent="0.25">
      <c r="A2887">
        <v>10234055</v>
      </c>
      <c r="B2887" t="str">
        <f>VLOOKUP(A2887,Planilha2!B:C,2,0)</f>
        <v>INVERSOR BRCFW110003T4SZ</v>
      </c>
      <c r="C2887" t="s">
        <v>3169</v>
      </c>
      <c r="D2887" t="str">
        <f>VLOOKUP(A2887,Planilha2!B:H,7,0)</f>
        <v>LINHA P5</v>
      </c>
      <c r="E2887" s="5">
        <v>5050</v>
      </c>
      <c r="F2887">
        <f>IFERROR(
IF(ISNUMBER(FIND("CFW110",B2887)),
VALUE(MID(B2887,FIND("CFW110",B2887)+6,FIND("T",B2887,FIND("CFW110",B2887))-(FIND("CFW110",B2887)+6))),
IF(ISNUMBER(FIND("D",B2887)),
VALUE(SUBSTITUTE(MID(B2887,FIND("D",B2887)+1,FIND("T",B2887,FIND("D",B2887))-(FIND("D",B2887)+1)),"P",",")),
IF(ISNUMBER(FIND("CFW5",B2887)),
VALUE(MID(B2887,
IF(ISNUMBER(FIND("F",B2887)),FIND("F",B2887)+1,FIND("G",B2887)+1),
FIND("T",B2887)-(IF(ISNUMBER(FIND("F",B2887)),FIND("F",B2887)+1,FIND("G",B2887)+1))
)),
VALUE(MID(B2887,FIND("E0",B2887)+2,FIND("T",B2887,FIND("E0",B2887))-(FIND("E0",B2887)+2)))
))),"")</f>
        <v>3</v>
      </c>
      <c r="G2887">
        <f>IFERROR(
IF(ISNUMBER(FIND("T2",B2887)),220,
IF(ISNUMBER(FIND("T4",B2887)),440,
IF(ISNUMBER(FIND("T5",B2887)),575,
IF(ISNUMBER(FIND("T6",B2887)),690,"")))),
"")</f>
        <v>440</v>
      </c>
    </row>
    <row r="2888" spans="1:7" x14ac:dyDescent="0.25">
      <c r="A2888">
        <v>10234047</v>
      </c>
      <c r="B2888" t="str">
        <f>VLOOKUP(A2888,Planilha2!B:C,2,0)</f>
        <v>INVERSOR BRCFW110006B2SZ</v>
      </c>
      <c r="C2888" t="s">
        <v>3169</v>
      </c>
      <c r="D2888" t="str">
        <f>VLOOKUP(A2888,Planilha2!B:H,7,0)</f>
        <v>LINHA P5</v>
      </c>
      <c r="E2888" s="5">
        <v>5050</v>
      </c>
      <c r="F2888" t="str">
        <f>IFERROR(
IF(ISNUMBER(FIND("CFW110",B2888)),
VALUE(MID(B2888,FIND("CFW110",B2888)+6,FIND("T",B2888,FIND("CFW110",B2888))-(FIND("CFW110",B2888)+6))),
IF(ISNUMBER(FIND("D",B2888)),
VALUE(SUBSTITUTE(MID(B2888,FIND("D",B2888)+1,FIND("T",B2888,FIND("D",B2888))-(FIND("D",B2888)+1)),"P",",")),
IF(ISNUMBER(FIND("CFW5",B2888)),
VALUE(MID(B2888,
IF(ISNUMBER(FIND("F",B2888)),FIND("F",B2888)+1,FIND("G",B2888)+1),
FIND("T",B2888)-(IF(ISNUMBER(FIND("F",B2888)),FIND("F",B2888)+1,FIND("G",B2888)+1))
)),
VALUE(MID(B2888,FIND("E0",B2888)+2,FIND("T",B2888,FIND("E0",B2888))-(FIND("E0",B2888)+2)))
))),"")</f>
        <v/>
      </c>
      <c r="G2888" t="str">
        <f>IFERROR(
IF(ISNUMBER(FIND("T2",B2888)),220,
IF(ISNUMBER(FIND("T4",B2888)),440,
IF(ISNUMBER(FIND("T5",B2888)),575,
IF(ISNUMBER(FIND("T6",B2888)),690,"")))),
"")</f>
        <v/>
      </c>
    </row>
    <row r="2889" spans="1:7" x14ac:dyDescent="0.25">
      <c r="A2889">
        <v>10234048</v>
      </c>
      <c r="B2889" t="str">
        <f>VLOOKUP(A2889,Planilha2!B:C,2,0)</f>
        <v>INVERSOR BRCFW110007B2SZ</v>
      </c>
      <c r="C2889" t="s">
        <v>3169</v>
      </c>
      <c r="D2889" t="str">
        <f>VLOOKUP(A2889,Planilha2!B:H,7,0)</f>
        <v>LINHA P5</v>
      </c>
      <c r="E2889" s="5">
        <v>5050</v>
      </c>
      <c r="F2889" t="str">
        <f>IFERROR(
IF(ISNUMBER(FIND("CFW110",B2889)),
VALUE(MID(B2889,FIND("CFW110",B2889)+6,FIND("T",B2889,FIND("CFW110",B2889))-(FIND("CFW110",B2889)+6))),
IF(ISNUMBER(FIND("D",B2889)),
VALUE(SUBSTITUTE(MID(B2889,FIND("D",B2889)+1,FIND("T",B2889,FIND("D",B2889))-(FIND("D",B2889)+1)),"P",",")),
IF(ISNUMBER(FIND("CFW5",B2889)),
VALUE(MID(B2889,
IF(ISNUMBER(FIND("F",B2889)),FIND("F",B2889)+1,FIND("G",B2889)+1),
FIND("T",B2889)-(IF(ISNUMBER(FIND("F",B2889)),FIND("F",B2889)+1,FIND("G",B2889)+1))
)),
VALUE(MID(B2889,FIND("E0",B2889)+2,FIND("T",B2889,FIND("E0",B2889))-(FIND("E0",B2889)+2)))
))),"")</f>
        <v/>
      </c>
      <c r="G2889" t="str">
        <f>IFERROR(
IF(ISNUMBER(FIND("T2",B2889)),220,
IF(ISNUMBER(FIND("T4",B2889)),440,
IF(ISNUMBER(FIND("T5",B2889)),575,
IF(ISNUMBER(FIND("T6",B2889)),690,"")))),
"")</f>
        <v/>
      </c>
    </row>
    <row r="2890" spans="1:7" x14ac:dyDescent="0.25">
      <c r="A2890">
        <v>10255161</v>
      </c>
      <c r="B2890" t="str">
        <f>VLOOKUP(A2890,Planilha2!B:C,2,0)</f>
        <v>INVERSOR BRCFW110007T2SZ</v>
      </c>
      <c r="C2890" t="s">
        <v>3169</v>
      </c>
      <c r="D2890" t="str">
        <f>VLOOKUP(A2890,Planilha2!B:H,7,0)</f>
        <v>LINHA P5</v>
      </c>
      <c r="E2890" s="5">
        <v>5050</v>
      </c>
      <c r="F2890">
        <f>IFERROR(
IF(ISNUMBER(FIND("CFW110",B2890)),
VALUE(MID(B2890,FIND("CFW110",B2890)+6,FIND("T",B2890,FIND("CFW110",B2890))-(FIND("CFW110",B2890)+6))),
IF(ISNUMBER(FIND("D",B2890)),
VALUE(SUBSTITUTE(MID(B2890,FIND("D",B2890)+1,FIND("T",B2890,FIND("D",B2890))-(FIND("D",B2890)+1)),"P",",")),
IF(ISNUMBER(FIND("CFW5",B2890)),
VALUE(MID(B2890,
IF(ISNUMBER(FIND("F",B2890)),FIND("F",B2890)+1,FIND("G",B2890)+1),
FIND("T",B2890)-(IF(ISNUMBER(FIND("F",B2890)),FIND("F",B2890)+1,FIND("G",B2890)+1))
)),
VALUE(MID(B2890,FIND("E0",B2890)+2,FIND("T",B2890,FIND("E0",B2890))-(FIND("E0",B2890)+2)))
))),"")</f>
        <v>7</v>
      </c>
      <c r="G2890">
        <f>IFERROR(
IF(ISNUMBER(FIND("T2",B2890)),220,
IF(ISNUMBER(FIND("T4",B2890)),440,
IF(ISNUMBER(FIND("T5",B2890)),575,
IF(ISNUMBER(FIND("T6",B2890)),690,"")))),
"")</f>
        <v>220</v>
      </c>
    </row>
    <row r="2891" spans="1:7" x14ac:dyDescent="0.25">
      <c r="A2891">
        <v>10255165</v>
      </c>
      <c r="B2891" t="str">
        <f>VLOOKUP(A2891,Planilha2!B:C,2,0)</f>
        <v>INVERSOR BRCFW110007T4SZ</v>
      </c>
      <c r="C2891" t="s">
        <v>3169</v>
      </c>
      <c r="D2891" t="str">
        <f>VLOOKUP(A2891,Planilha2!B:H,7,0)</f>
        <v>LINHA P5</v>
      </c>
      <c r="E2891" s="5">
        <v>5250</v>
      </c>
      <c r="F2891">
        <f>IFERROR(
IF(ISNUMBER(FIND("CFW110",B2891)),
VALUE(MID(B2891,FIND("CFW110",B2891)+6,FIND("T",B2891,FIND("CFW110",B2891))-(FIND("CFW110",B2891)+6))),
IF(ISNUMBER(FIND("D",B2891)),
VALUE(SUBSTITUTE(MID(B2891,FIND("D",B2891)+1,FIND("T",B2891,FIND("D",B2891))-(FIND("D",B2891)+1)),"P",",")),
IF(ISNUMBER(FIND("CFW5",B2891)),
VALUE(MID(B2891,
IF(ISNUMBER(FIND("F",B2891)),FIND("F",B2891)+1,FIND("G",B2891)+1),
FIND("T",B2891)-(IF(ISNUMBER(FIND("F",B2891)),FIND("F",B2891)+1,FIND("G",B2891)+1))
)),
VALUE(MID(B2891,FIND("E0",B2891)+2,FIND("T",B2891,FIND("E0",B2891))-(FIND("E0",B2891)+2)))
))),"")</f>
        <v>7</v>
      </c>
      <c r="G2891">
        <f>IFERROR(
IF(ISNUMBER(FIND("T2",B2891)),220,
IF(ISNUMBER(FIND("T4",B2891)),440,
IF(ISNUMBER(FIND("T5",B2891)),575,
IF(ISNUMBER(FIND("T6",B2891)),690,"")))),
"")</f>
        <v>440</v>
      </c>
    </row>
    <row r="2892" spans="1:7" x14ac:dyDescent="0.25">
      <c r="A2892">
        <v>10234049</v>
      </c>
      <c r="B2892" t="str">
        <f>VLOOKUP(A2892,Planilha2!B:C,2,0)</f>
        <v>INVERSOR BRCFW110010S2SZ</v>
      </c>
      <c r="C2892" t="s">
        <v>3169</v>
      </c>
      <c r="D2892" t="str">
        <f>VLOOKUP(A2892,Planilha2!B:H,7,0)</f>
        <v>LINHA P5</v>
      </c>
      <c r="E2892" s="5">
        <v>5350</v>
      </c>
      <c r="F2892" t="str">
        <f>IFERROR(
IF(ISNUMBER(FIND("CFW110",B2892)),
VALUE(MID(B2892,FIND("CFW110",B2892)+6,FIND("T",B2892,FIND("CFW110",B2892))-(FIND("CFW110",B2892)+6))),
IF(ISNUMBER(FIND("D",B2892)),
VALUE(SUBSTITUTE(MID(B2892,FIND("D",B2892)+1,FIND("T",B2892,FIND("D",B2892))-(FIND("D",B2892)+1)),"P",",")),
IF(ISNUMBER(FIND("CFW5",B2892)),
VALUE(MID(B2892,
IF(ISNUMBER(FIND("F",B2892)),FIND("F",B2892)+1,FIND("G",B2892)+1),
FIND("T",B2892)-(IF(ISNUMBER(FIND("F",B2892)),FIND("F",B2892)+1,FIND("G",B2892)+1))
)),
VALUE(MID(B2892,FIND("E0",B2892)+2,FIND("T",B2892,FIND("E0",B2892))-(FIND("E0",B2892)+2)))
))),"")</f>
        <v/>
      </c>
      <c r="G2892" t="str">
        <f>IFERROR(
IF(ISNUMBER(FIND("T2",B2892)),220,
IF(ISNUMBER(FIND("T4",B2892)),440,
IF(ISNUMBER(FIND("T5",B2892)),575,
IF(ISNUMBER(FIND("T6",B2892)),690,"")))),
"")</f>
        <v/>
      </c>
    </row>
    <row r="2893" spans="1:7" x14ac:dyDescent="0.25">
      <c r="A2893">
        <v>10234050</v>
      </c>
      <c r="B2893" t="str">
        <f>VLOOKUP(A2893,Planilha2!B:C,2,0)</f>
        <v>INVERSOR BRCFW110010T2SZ</v>
      </c>
      <c r="C2893" t="s">
        <v>3169</v>
      </c>
      <c r="D2893" t="str">
        <f>VLOOKUP(A2893,Planilha2!B:H,7,0)</f>
        <v>LINHA P5</v>
      </c>
      <c r="E2893" s="5">
        <v>5350</v>
      </c>
      <c r="F2893">
        <f>IFERROR(
IF(ISNUMBER(FIND("CFW110",B2893)),
VALUE(MID(B2893,FIND("CFW110",B2893)+6,FIND("T",B2893,FIND("CFW110",B2893))-(FIND("CFW110",B2893)+6))),
IF(ISNUMBER(FIND("D",B2893)),
VALUE(SUBSTITUTE(MID(B2893,FIND("D",B2893)+1,FIND("T",B2893,FIND("D",B2893))-(FIND("D",B2893)+1)),"P",",")),
IF(ISNUMBER(FIND("CFW5",B2893)),
VALUE(MID(B2893,
IF(ISNUMBER(FIND("F",B2893)),FIND("F",B2893)+1,FIND("G",B2893)+1),
FIND("T",B2893)-(IF(ISNUMBER(FIND("F",B2893)),FIND("F",B2893)+1,FIND("G",B2893)+1))
)),
VALUE(MID(B2893,FIND("E0",B2893)+2,FIND("T",B2893,FIND("E0",B2893))-(FIND("E0",B2893)+2)))
))),"")</f>
        <v>10</v>
      </c>
      <c r="G2893">
        <f>IFERROR(
IF(ISNUMBER(FIND("T2",B2893)),220,
IF(ISNUMBER(FIND("T4",B2893)),440,
IF(ISNUMBER(FIND("T5",B2893)),575,
IF(ISNUMBER(FIND("T6",B2893)),690,"")))),
"")</f>
        <v>220</v>
      </c>
    </row>
    <row r="2894" spans="1:7" x14ac:dyDescent="0.25">
      <c r="A2894">
        <v>10255162</v>
      </c>
      <c r="B2894" t="str">
        <f>VLOOKUP(A2894,Planilha2!B:C,2,0)</f>
        <v>INVERSOR BRCFW110013T2SZ</v>
      </c>
      <c r="C2894" t="s">
        <v>3169</v>
      </c>
      <c r="D2894" t="str">
        <f>VLOOKUP(A2894,Planilha2!B:H,7,0)</f>
        <v>LINHA P5</v>
      </c>
      <c r="E2894" s="5">
        <v>5350</v>
      </c>
      <c r="F2894">
        <f>IFERROR(
IF(ISNUMBER(FIND("CFW110",B2894)),
VALUE(MID(B2894,FIND("CFW110",B2894)+6,FIND("T",B2894,FIND("CFW110",B2894))-(FIND("CFW110",B2894)+6))),
IF(ISNUMBER(FIND("D",B2894)),
VALUE(SUBSTITUTE(MID(B2894,FIND("D",B2894)+1,FIND("T",B2894,FIND("D",B2894))-(FIND("D",B2894)+1)),"P",",")),
IF(ISNUMBER(FIND("CFW5",B2894)),
VALUE(MID(B2894,
IF(ISNUMBER(FIND("F",B2894)),FIND("F",B2894)+1,FIND("G",B2894)+1),
FIND("T",B2894)-(IF(ISNUMBER(FIND("F",B2894)),FIND("F",B2894)+1,FIND("G",B2894)+1))
)),
VALUE(MID(B2894,FIND("E0",B2894)+2,FIND("T",B2894,FIND("E0",B2894))-(FIND("E0",B2894)+2)))
))),"")</f>
        <v>13</v>
      </c>
      <c r="G2894">
        <f>IFERROR(
IF(ISNUMBER(FIND("T2",B2894)),220,
IF(ISNUMBER(FIND("T4",B2894)),440,
IF(ISNUMBER(FIND("T5",B2894)),575,
IF(ISNUMBER(FIND("T6",B2894)),690,"")))),
"")</f>
        <v>220</v>
      </c>
    </row>
    <row r="2895" spans="1:7" x14ac:dyDescent="0.25">
      <c r="A2895">
        <v>10234051</v>
      </c>
      <c r="B2895" t="str">
        <f>VLOOKUP(A2895,Planilha2!B:C,2,0)</f>
        <v>INVERSOR BRCFW110016T2SZ</v>
      </c>
      <c r="C2895" t="s">
        <v>3169</v>
      </c>
      <c r="D2895" t="str">
        <f>VLOOKUP(A2895,Planilha2!B:H,7,0)</f>
        <v>LINHA P5</v>
      </c>
      <c r="E2895" s="5">
        <v>5550</v>
      </c>
      <c r="F2895">
        <f>IFERROR(
IF(ISNUMBER(FIND("CFW110",B2895)),
VALUE(MID(B2895,FIND("CFW110",B2895)+6,FIND("T",B2895,FIND("CFW110",B2895))-(FIND("CFW110",B2895)+6))),
IF(ISNUMBER(FIND("D",B2895)),
VALUE(SUBSTITUTE(MID(B2895,FIND("D",B2895)+1,FIND("T",B2895,FIND("D",B2895))-(FIND("D",B2895)+1)),"P",",")),
IF(ISNUMBER(FIND("CFW5",B2895)),
VALUE(MID(B2895,
IF(ISNUMBER(FIND("F",B2895)),FIND("F",B2895)+1,FIND("G",B2895)+1),
FIND("T",B2895)-(IF(ISNUMBER(FIND("F",B2895)),FIND("F",B2895)+1,FIND("G",B2895)+1))
)),
VALUE(MID(B2895,FIND("E0",B2895)+2,FIND("T",B2895,FIND("E0",B2895))-(FIND("E0",B2895)+2)))
))),"")</f>
        <v>16</v>
      </c>
      <c r="G2895">
        <f>IFERROR(
IF(ISNUMBER(FIND("T2",B2895)),220,
IF(ISNUMBER(FIND("T4",B2895)),440,
IF(ISNUMBER(FIND("T5",B2895)),575,
IF(ISNUMBER(FIND("T6",B2895)),690,"")))),
"")</f>
        <v>220</v>
      </c>
    </row>
    <row r="2896" spans="1:7" x14ac:dyDescent="0.25">
      <c r="A2896">
        <v>11312267</v>
      </c>
      <c r="B2896" t="str">
        <f>VLOOKUP(A2896,Planilha2!B:C,2,0)</f>
        <v>INVERSOR CFW700A03P6T4DB20</v>
      </c>
      <c r="C2896" t="s">
        <v>3169</v>
      </c>
      <c r="D2896" t="str">
        <f>VLOOKUP(A2896,Planilha2!B:H,7,0)</f>
        <v>OBSOLETOS DRIVES</v>
      </c>
      <c r="E2896" s="5">
        <v>5700</v>
      </c>
      <c r="F2896" t="str">
        <f>IFERROR(
IF(ISNUMBER(FIND("CFW110",B2896)),
VALUE(MID(B2896,FIND("CFW110",B2896)+6,FIND("T",B2896,FIND("CFW110",B2896))-(FIND("CFW110",B2896)+6))),
IF(ISNUMBER(FIND("D",B2896)),
VALUE(SUBSTITUTE(MID(B2896,FIND("D",B2896)+1,FIND("T",B2896,FIND("D",B2896))-(FIND("D",B2896)+1)),"P",",")),
IF(ISNUMBER(FIND("CFW5",B2896)),
VALUE(MID(B2896,
IF(ISNUMBER(FIND("F",B2896)),FIND("F",B2896)+1,FIND("G",B2896)+1),
FIND("T",B2896)-(IF(ISNUMBER(FIND("F",B2896)),FIND("F",B2896)+1,FIND("G",B2896)+1))
)),
VALUE(MID(B2896,FIND("E0",B2896)+2,FIND("T",B2896,FIND("E0",B2896))-(FIND("E0",B2896)+2)))
))),"")</f>
        <v/>
      </c>
      <c r="G2896">
        <f>IFERROR(
IF(ISNUMBER(FIND("T2",B2896)),220,
IF(ISNUMBER(FIND("T4",B2896)),440,
IF(ISNUMBER(FIND("T5",B2896)),575,
IF(ISNUMBER(FIND("T6",B2896)),690,"")))),
"")</f>
        <v>440</v>
      </c>
    </row>
    <row r="2897" spans="1:7" x14ac:dyDescent="0.25">
      <c r="A2897">
        <v>11312301</v>
      </c>
      <c r="B2897" t="str">
        <f>VLOOKUP(A2897,Planilha2!B:C,2,0)</f>
        <v>INVERSOR CFW700A05P0T4DB20</v>
      </c>
      <c r="C2897" t="s">
        <v>3169</v>
      </c>
      <c r="D2897" t="str">
        <f>VLOOKUP(A2897,Planilha2!B:H,7,0)</f>
        <v>OBSOLETOS DRIVES</v>
      </c>
      <c r="E2897" s="5">
        <v>5700</v>
      </c>
      <c r="F2897" t="str">
        <f>IFERROR(
IF(ISNUMBER(FIND("CFW110",B2897)),
VALUE(MID(B2897,FIND("CFW110",B2897)+6,FIND("T",B2897,FIND("CFW110",B2897))-(FIND("CFW110",B2897)+6))),
IF(ISNUMBER(FIND("D",B2897)),
VALUE(SUBSTITUTE(MID(B2897,FIND("D",B2897)+1,FIND("T",B2897,FIND("D",B2897))-(FIND("D",B2897)+1)),"P",",")),
IF(ISNUMBER(FIND("CFW5",B2897)),
VALUE(MID(B2897,
IF(ISNUMBER(FIND("F",B2897)),FIND("F",B2897)+1,FIND("G",B2897)+1),
FIND("T",B2897)-(IF(ISNUMBER(FIND("F",B2897)),FIND("F",B2897)+1,FIND("G",B2897)+1))
)),
VALUE(MID(B2897,FIND("E0",B2897)+2,FIND("T",B2897,FIND("E0",B2897))-(FIND("E0",B2897)+2)))
))),"")</f>
        <v/>
      </c>
      <c r="G2897">
        <f>IFERROR(
IF(ISNUMBER(FIND("T2",B2897)),220,
IF(ISNUMBER(FIND("T4",B2897)),440,
IF(ISNUMBER(FIND("T5",B2897)),575,
IF(ISNUMBER(FIND("T6",B2897)),690,"")))),
"")</f>
        <v>440</v>
      </c>
    </row>
    <row r="2898" spans="1:7" x14ac:dyDescent="0.25">
      <c r="A2898">
        <v>11311578</v>
      </c>
      <c r="B2898" t="str">
        <f>VLOOKUP(A2898,Planilha2!B:C,2,0)</f>
        <v>INVERSOR CFW700A06P0B2DB20</v>
      </c>
      <c r="C2898" t="s">
        <v>3169</v>
      </c>
      <c r="D2898" t="str">
        <f>VLOOKUP(A2898,Planilha2!B:H,7,0)</f>
        <v>OBSOLETOS DRIVES</v>
      </c>
      <c r="E2898" s="5">
        <v>5700</v>
      </c>
      <c r="F2898" t="str">
        <f>IFERROR(
IF(ISNUMBER(FIND("CFW110",B2898)),
VALUE(MID(B2898,FIND("CFW110",B2898)+6,FIND("T",B2898,FIND("CFW110",B2898))-(FIND("CFW110",B2898)+6))),
IF(ISNUMBER(FIND("D",B2898)),
VALUE(SUBSTITUTE(MID(B2898,FIND("D",B2898)+1,FIND("T",B2898,FIND("D",B2898))-(FIND("D",B2898)+1)),"P",",")),
IF(ISNUMBER(FIND("CFW5",B2898)),
VALUE(MID(B2898,
IF(ISNUMBER(FIND("F",B2898)),FIND("F",B2898)+1,FIND("G",B2898)+1),
FIND("T",B2898)-(IF(ISNUMBER(FIND("F",B2898)),FIND("F",B2898)+1,FIND("G",B2898)+1))
)),
VALUE(MID(B2898,FIND("E0",B2898)+2,FIND("T",B2898,FIND("E0",B2898))-(FIND("E0",B2898)+2)))
))),"")</f>
        <v/>
      </c>
      <c r="G2898" t="str">
        <f>IFERROR(
IF(ISNUMBER(FIND("T2",B2898)),220,
IF(ISNUMBER(FIND("T4",B2898)),440,
IF(ISNUMBER(FIND("T5",B2898)),575,
IF(ISNUMBER(FIND("T6",B2898)),690,"")))),
"")</f>
        <v/>
      </c>
    </row>
    <row r="2899" spans="1:7" x14ac:dyDescent="0.25">
      <c r="A2899">
        <v>11312305</v>
      </c>
      <c r="B2899" t="str">
        <f>VLOOKUP(A2899,Planilha2!B:C,2,0)</f>
        <v>INVERSOR CFW700A07P0T4DB20</v>
      </c>
      <c r="C2899" t="s">
        <v>3169</v>
      </c>
      <c r="D2899" t="str">
        <f>VLOOKUP(A2899,Planilha2!B:H,7,0)</f>
        <v>OBSOLETOS DRIVES</v>
      </c>
      <c r="E2899" s="5">
        <v>4500</v>
      </c>
      <c r="F2899" t="str">
        <f>IFERROR(
IF(ISNUMBER(FIND("CFW110",B2899)),
VALUE(MID(B2899,FIND("CFW110",B2899)+6,FIND("T",B2899,FIND("CFW110",B2899))-(FIND("CFW110",B2899)+6))),
IF(ISNUMBER(FIND("D",B2899)),
VALUE(SUBSTITUTE(MID(B2899,FIND("D",B2899)+1,FIND("T",B2899,FIND("D",B2899))-(FIND("D",B2899)+1)),"P",",")),
IF(ISNUMBER(FIND("CFW5",B2899)),
VALUE(MID(B2899,
IF(ISNUMBER(FIND("F",B2899)),FIND("F",B2899)+1,FIND("G",B2899)+1),
FIND("T",B2899)-(IF(ISNUMBER(FIND("F",B2899)),FIND("F",B2899)+1,FIND("G",B2899)+1))
)),
VALUE(MID(B2899,FIND("E0",B2899)+2,FIND("T",B2899,FIND("E0",B2899))-(FIND("E0",B2899)+2)))
))),"")</f>
        <v/>
      </c>
      <c r="G2899">
        <f>IFERROR(
IF(ISNUMBER(FIND("T2",B2899)),220,
IF(ISNUMBER(FIND("T4",B2899)),440,
IF(ISNUMBER(FIND("T5",B2899)),575,
IF(ISNUMBER(FIND("T6",B2899)),690,"")))),
"")</f>
        <v>440</v>
      </c>
    </row>
    <row r="2900" spans="1:7" x14ac:dyDescent="0.25">
      <c r="A2900">
        <v>11311929</v>
      </c>
      <c r="B2900" t="str">
        <f>VLOOKUP(A2900,Planilha2!B:C,2,0)</f>
        <v>INVERSOR CFW700A10P0S2DB20</v>
      </c>
      <c r="C2900" t="s">
        <v>3169</v>
      </c>
      <c r="D2900" t="str">
        <f>VLOOKUP(A2900,Planilha2!B:H,7,0)</f>
        <v>OBSOLETOS DRIVES</v>
      </c>
      <c r="E2900" s="5">
        <v>5700</v>
      </c>
      <c r="F2900" t="str">
        <f>IFERROR(
IF(ISNUMBER(FIND("CFW110",B2900)),
VALUE(MID(B2900,FIND("CFW110",B2900)+6,FIND("T",B2900,FIND("CFW110",B2900))-(FIND("CFW110",B2900)+6))),
IF(ISNUMBER(FIND("D",B2900)),
VALUE(SUBSTITUTE(MID(B2900,FIND("D",B2900)+1,FIND("T",B2900,FIND("D",B2900))-(FIND("D",B2900)+1)),"P",",")),
IF(ISNUMBER(FIND("CFW5",B2900)),
VALUE(MID(B2900,
IF(ISNUMBER(FIND("F",B2900)),FIND("F",B2900)+1,FIND("G",B2900)+1),
FIND("T",B2900)-(IF(ISNUMBER(FIND("F",B2900)),FIND("F",B2900)+1,FIND("G",B2900)+1))
)),
VALUE(MID(B2900,FIND("E0",B2900)+2,FIND("T",B2900,FIND("E0",B2900))-(FIND("E0",B2900)+2)))
))),"")</f>
        <v/>
      </c>
      <c r="G2900" t="str">
        <f>IFERROR(
IF(ISNUMBER(FIND("T2",B2900)),220,
IF(ISNUMBER(FIND("T4",B2900)),440,
IF(ISNUMBER(FIND("T5",B2900)),575,
IF(ISNUMBER(FIND("T6",B2900)),690,"")))),
"")</f>
        <v/>
      </c>
    </row>
    <row r="2901" spans="1:7" x14ac:dyDescent="0.25">
      <c r="A2901">
        <v>11311937</v>
      </c>
      <c r="B2901" t="str">
        <f>VLOOKUP(A2901,Planilha2!B:C,2,0)</f>
        <v>INVERSOR CFW700A10P0T2DB20</v>
      </c>
      <c r="C2901" t="s">
        <v>3169</v>
      </c>
      <c r="D2901" t="str">
        <f>VLOOKUP(A2901,Planilha2!B:H,7,0)</f>
        <v>OBSOLETOS DRIVES</v>
      </c>
      <c r="E2901" s="5">
        <v>5700</v>
      </c>
      <c r="F2901" t="str">
        <f>IFERROR(
IF(ISNUMBER(FIND("CFW110",B2901)),
VALUE(MID(B2901,FIND("CFW110",B2901)+6,FIND("T",B2901,FIND("CFW110",B2901))-(FIND("CFW110",B2901)+6))),
IF(ISNUMBER(FIND("D",B2901)),
VALUE(SUBSTITUTE(MID(B2901,FIND("D",B2901)+1,FIND("T",B2901,FIND("D",B2901))-(FIND("D",B2901)+1)),"P",",")),
IF(ISNUMBER(FIND("CFW5",B2901)),
VALUE(MID(B2901,
IF(ISNUMBER(FIND("F",B2901)),FIND("F",B2901)+1,FIND("G",B2901)+1),
FIND("T",B2901)-(IF(ISNUMBER(FIND("F",B2901)),FIND("F",B2901)+1,FIND("G",B2901)+1))
)),
VALUE(MID(B2901,FIND("E0",B2901)+2,FIND("T",B2901,FIND("E0",B2901))-(FIND("E0",B2901)+2)))
))),"")</f>
        <v/>
      </c>
      <c r="G2901">
        <f>IFERROR(
IF(ISNUMBER(FIND("T2",B2901)),220,
IF(ISNUMBER(FIND("T4",B2901)),440,
IF(ISNUMBER(FIND("T5",B2901)),575,
IF(ISNUMBER(FIND("T6",B2901)),690,"")))),
"")</f>
        <v>220</v>
      </c>
    </row>
    <row r="2902" spans="1:7" x14ac:dyDescent="0.25">
      <c r="A2902">
        <v>11312333</v>
      </c>
      <c r="B2902" t="str">
        <f>VLOOKUP(A2902,Planilha2!B:C,2,0)</f>
        <v>INVERSOR CFW700A10P0T4DB20</v>
      </c>
      <c r="C2902" t="s">
        <v>3169</v>
      </c>
      <c r="D2902" t="str">
        <f>VLOOKUP(A2902,Planilha2!B:H,7,0)</f>
        <v>OBSOLETOS DRIVES</v>
      </c>
      <c r="E2902" s="5">
        <v>5700</v>
      </c>
      <c r="F2902" t="str">
        <f>IFERROR(
IF(ISNUMBER(FIND("CFW110",B2902)),
VALUE(MID(B2902,FIND("CFW110",B2902)+6,FIND("T",B2902,FIND("CFW110",B2902))-(FIND("CFW110",B2902)+6))),
IF(ISNUMBER(FIND("D",B2902)),
VALUE(SUBSTITUTE(MID(B2902,FIND("D",B2902)+1,FIND("T",B2902,FIND("D",B2902))-(FIND("D",B2902)+1)),"P",",")),
IF(ISNUMBER(FIND("CFW5",B2902)),
VALUE(MID(B2902,
IF(ISNUMBER(FIND("F",B2902)),FIND("F",B2902)+1,FIND("G",B2902)+1),
FIND("T",B2902)-(IF(ISNUMBER(FIND("F",B2902)),FIND("F",B2902)+1,FIND("G",B2902)+1))
)),
VALUE(MID(B2902,FIND("E0",B2902)+2,FIND("T",B2902,FIND("E0",B2902))-(FIND("E0",B2902)+2)))
))),"")</f>
        <v/>
      </c>
      <c r="G2902">
        <f>IFERROR(
IF(ISNUMBER(FIND("T2",B2902)),220,
IF(ISNUMBER(FIND("T4",B2902)),440,
IF(ISNUMBER(FIND("T5",B2902)),575,
IF(ISNUMBER(FIND("T6",B2902)),690,"")))),
"")</f>
        <v>440</v>
      </c>
    </row>
    <row r="2903" spans="1:7" x14ac:dyDescent="0.25">
      <c r="A2903">
        <v>11313537</v>
      </c>
      <c r="B2903" t="str">
        <f>VLOOKUP(A2903,Planilha2!B:C,2,0)</f>
        <v>INVERSOR CFW700A13P0T2DB20</v>
      </c>
      <c r="C2903" t="s">
        <v>3169</v>
      </c>
      <c r="D2903" t="str">
        <f>VLOOKUP(A2903,Planilha2!B:H,7,0)</f>
        <v>OBSOLETOS DRIVES</v>
      </c>
      <c r="E2903" s="5">
        <v>5700</v>
      </c>
      <c r="F2903" t="str">
        <f>IFERROR(
IF(ISNUMBER(FIND("CFW110",B2903)),
VALUE(MID(B2903,FIND("CFW110",B2903)+6,FIND("T",B2903,FIND("CFW110",B2903))-(FIND("CFW110",B2903)+6))),
IF(ISNUMBER(FIND("D",B2903)),
VALUE(SUBSTITUTE(MID(B2903,FIND("D",B2903)+1,FIND("T",B2903,FIND("D",B2903))-(FIND("D",B2903)+1)),"P",",")),
IF(ISNUMBER(FIND("CFW5",B2903)),
VALUE(MID(B2903,
IF(ISNUMBER(FIND("F",B2903)),FIND("F",B2903)+1,FIND("G",B2903)+1),
FIND("T",B2903)-(IF(ISNUMBER(FIND("F",B2903)),FIND("F",B2903)+1,FIND("G",B2903)+1))
)),
VALUE(MID(B2903,FIND("E0",B2903)+2,FIND("T",B2903,FIND("E0",B2903))-(FIND("E0",B2903)+2)))
))),"")</f>
        <v/>
      </c>
      <c r="G2903">
        <f>IFERROR(
IF(ISNUMBER(FIND("T2",B2903)),220,
IF(ISNUMBER(FIND("T4",B2903)),440,
IF(ISNUMBER(FIND("T5",B2903)),575,
IF(ISNUMBER(FIND("T6",B2903)),690,"")))),
"")</f>
        <v>220</v>
      </c>
    </row>
    <row r="2904" spans="1:7" x14ac:dyDescent="0.25">
      <c r="A2904">
        <v>11312335</v>
      </c>
      <c r="B2904" t="str">
        <f>VLOOKUP(A2904,Planilha2!B:C,2,0)</f>
        <v>INVERSOR CFW700A13P5T4DB20</v>
      </c>
      <c r="C2904" t="s">
        <v>3169</v>
      </c>
      <c r="D2904" t="str">
        <f>VLOOKUP(A2904,Planilha2!B:H,7,0)</f>
        <v>OBSOLETOS DRIVES</v>
      </c>
      <c r="E2904" s="5">
        <v>5700</v>
      </c>
      <c r="F2904" t="str">
        <f>IFERROR(
IF(ISNUMBER(FIND("CFW110",B2904)),
VALUE(MID(B2904,FIND("CFW110",B2904)+6,FIND("T",B2904,FIND("CFW110",B2904))-(FIND("CFW110",B2904)+6))),
IF(ISNUMBER(FIND("D",B2904)),
VALUE(SUBSTITUTE(MID(B2904,FIND("D",B2904)+1,FIND("T",B2904,FIND("D",B2904))-(FIND("D",B2904)+1)),"P",",")),
IF(ISNUMBER(FIND("CFW5",B2904)),
VALUE(MID(B2904,
IF(ISNUMBER(FIND("F",B2904)),FIND("F",B2904)+1,FIND("G",B2904)+1),
FIND("T",B2904)-(IF(ISNUMBER(FIND("F",B2904)),FIND("F",B2904)+1,FIND("G",B2904)+1))
)),
VALUE(MID(B2904,FIND("E0",B2904)+2,FIND("T",B2904,FIND("E0",B2904))-(FIND("E0",B2904)+2)))
))),"")</f>
        <v/>
      </c>
      <c r="G2904">
        <f>IFERROR(
IF(ISNUMBER(FIND("T2",B2904)),220,
IF(ISNUMBER(FIND("T4",B2904)),440,
IF(ISNUMBER(FIND("T5",B2904)),575,
IF(ISNUMBER(FIND("T6",B2904)),690,"")))),
"")</f>
        <v>440</v>
      </c>
    </row>
    <row r="2905" spans="1:7" x14ac:dyDescent="0.25">
      <c r="A2905">
        <v>11312006</v>
      </c>
      <c r="B2905" t="str">
        <f>VLOOKUP(A2905,Planilha2!B:C,2,0)</f>
        <v>INVERSOR CFW700A16P0T2DB20</v>
      </c>
      <c r="C2905" t="s">
        <v>3169</v>
      </c>
      <c r="D2905" t="str">
        <f>VLOOKUP(A2905,Planilha2!B:H,7,0)</f>
        <v>OBSOLETOS DRIVES</v>
      </c>
      <c r="E2905" s="5">
        <v>5700</v>
      </c>
      <c r="F2905" t="str">
        <f>IFERROR(
IF(ISNUMBER(FIND("CFW110",B2905)),
VALUE(MID(B2905,FIND("CFW110",B2905)+6,FIND("T",B2905,FIND("CFW110",B2905))-(FIND("CFW110",B2905)+6))),
IF(ISNUMBER(FIND("D",B2905)),
VALUE(SUBSTITUTE(MID(B2905,FIND("D",B2905)+1,FIND("T",B2905,FIND("D",B2905))-(FIND("D",B2905)+1)),"P",",")),
IF(ISNUMBER(FIND("CFW5",B2905)),
VALUE(MID(B2905,
IF(ISNUMBER(FIND("F",B2905)),FIND("F",B2905)+1,FIND("G",B2905)+1),
FIND("T",B2905)-(IF(ISNUMBER(FIND("F",B2905)),FIND("F",B2905)+1,FIND("G",B2905)+1))
)),
VALUE(MID(B2905,FIND("E0",B2905)+2,FIND("T",B2905,FIND("E0",B2905))-(FIND("E0",B2905)+2)))
))),"")</f>
        <v/>
      </c>
      <c r="G2905">
        <f>IFERROR(
IF(ISNUMBER(FIND("T2",B2905)),220,
IF(ISNUMBER(FIND("T4",B2905)),440,
IF(ISNUMBER(FIND("T5",B2905)),575,
IF(ISNUMBER(FIND("T6",B2905)),690,"")))),
"")</f>
        <v>220</v>
      </c>
    </row>
    <row r="2906" spans="1:7" x14ac:dyDescent="0.25">
      <c r="A2906">
        <v>10234068</v>
      </c>
      <c r="B2906" t="str">
        <f>VLOOKUP(A2906,Planilha2!B:C,2,0)</f>
        <v>INVERSOR BRCFW110007T4OFAZ</v>
      </c>
      <c r="C2906" t="s">
        <v>3169</v>
      </c>
      <c r="D2906" t="str">
        <f>VLOOKUP(A2906,Planilha2!B:H,7,0)</f>
        <v>LINHA P5</v>
      </c>
      <c r="E2906" s="5">
        <v>5350</v>
      </c>
      <c r="F2906">
        <f>IFERROR(
IF(ISNUMBER(FIND("CFW110",B2906)),
VALUE(MID(B2906,FIND("CFW110",B2906)+6,FIND("T",B2906,FIND("CFW110",B2906))-(FIND("CFW110",B2906)+6))),
IF(ISNUMBER(FIND("D",B2906)),
VALUE(SUBSTITUTE(MID(B2906,FIND("D",B2906)+1,FIND("T",B2906,FIND("D",B2906))-(FIND("D",B2906)+1)),"P",",")),
IF(ISNUMBER(FIND("CFW5",B2906)),
VALUE(MID(B2906,
IF(ISNUMBER(FIND("F",B2906)),FIND("F",B2906)+1,FIND("G",B2906)+1),
FIND("T",B2906)-(IF(ISNUMBER(FIND("F",B2906)),FIND("F",B2906)+1,FIND("G",B2906)+1))
)),
VALUE(MID(B2906,FIND("E0",B2906)+2,FIND("T",B2906,FIND("E0",B2906))-(FIND("E0",B2906)+2)))
))),"")</f>
        <v>7</v>
      </c>
      <c r="G2906">
        <f>IFERROR(
IF(ISNUMBER(FIND("T2",B2906)),220,
IF(ISNUMBER(FIND("T4",B2906)),440,
IF(ISNUMBER(FIND("T5",B2906)),575,
IF(ISNUMBER(FIND("T6",B2906)),690,"")))),
"")</f>
        <v>440</v>
      </c>
    </row>
    <row r="2907" spans="1:7" x14ac:dyDescent="0.25">
      <c r="A2907">
        <v>10234061</v>
      </c>
      <c r="B2907" t="str">
        <f>VLOOKUP(A2907,Planilha2!B:C,2,0)</f>
        <v>INVERSOR BRCFW110010T2OFAZ</v>
      </c>
      <c r="C2907" t="s">
        <v>3169</v>
      </c>
      <c r="D2907" t="str">
        <f>VLOOKUP(A2907,Planilha2!B:H,7,0)</f>
        <v>LINHA P5</v>
      </c>
      <c r="E2907" s="5">
        <v>5450</v>
      </c>
      <c r="F2907">
        <f>IFERROR(
IF(ISNUMBER(FIND("CFW110",B2907)),
VALUE(MID(B2907,FIND("CFW110",B2907)+6,FIND("T",B2907,FIND("CFW110",B2907))-(FIND("CFW110",B2907)+6))),
IF(ISNUMBER(FIND("D",B2907)),
VALUE(SUBSTITUTE(MID(B2907,FIND("D",B2907)+1,FIND("T",B2907,FIND("D",B2907))-(FIND("D",B2907)+1)),"P",",")),
IF(ISNUMBER(FIND("CFW5",B2907)),
VALUE(MID(B2907,
IF(ISNUMBER(FIND("F",B2907)),FIND("F",B2907)+1,FIND("G",B2907)+1),
FIND("T",B2907)-(IF(ISNUMBER(FIND("F",B2907)),FIND("F",B2907)+1,FIND("G",B2907)+1))
)),
VALUE(MID(B2907,FIND("E0",B2907)+2,FIND("T",B2907,FIND("E0",B2907))-(FIND("E0",B2907)+2)))
))),"")</f>
        <v>10</v>
      </c>
      <c r="G2907">
        <f>IFERROR(
IF(ISNUMBER(FIND("T2",B2907)),220,
IF(ISNUMBER(FIND("T4",B2907)),440,
IF(ISNUMBER(FIND("T5",B2907)),575,
IF(ISNUMBER(FIND("T6",B2907)),690,"")))),
"")</f>
        <v>220</v>
      </c>
    </row>
    <row r="2908" spans="1:7" x14ac:dyDescent="0.25">
      <c r="A2908">
        <v>10234062</v>
      </c>
      <c r="B2908" t="str">
        <f>VLOOKUP(A2908,Planilha2!B:C,2,0)</f>
        <v>INVERSOR BRCFW110013T2OFAZ</v>
      </c>
      <c r="C2908" t="s">
        <v>3169</v>
      </c>
      <c r="D2908" t="str">
        <f>VLOOKUP(A2908,Planilha2!B:H,7,0)</f>
        <v>LINHA P5</v>
      </c>
      <c r="E2908" s="5">
        <v>5450</v>
      </c>
      <c r="F2908">
        <f>IFERROR(
IF(ISNUMBER(FIND("CFW110",B2908)),
VALUE(MID(B2908,FIND("CFW110",B2908)+6,FIND("T",B2908,FIND("CFW110",B2908))-(FIND("CFW110",B2908)+6))),
IF(ISNUMBER(FIND("D",B2908)),
VALUE(SUBSTITUTE(MID(B2908,FIND("D",B2908)+1,FIND("T",B2908,FIND("D",B2908))-(FIND("D",B2908)+1)),"P",",")),
IF(ISNUMBER(FIND("CFW5",B2908)),
VALUE(MID(B2908,
IF(ISNUMBER(FIND("F",B2908)),FIND("F",B2908)+1,FIND("G",B2908)+1),
FIND("T",B2908)-(IF(ISNUMBER(FIND("F",B2908)),FIND("F",B2908)+1,FIND("G",B2908)+1))
)),
VALUE(MID(B2908,FIND("E0",B2908)+2,FIND("T",B2908,FIND("E0",B2908))-(FIND("E0",B2908)+2)))
))),"")</f>
        <v>13</v>
      </c>
      <c r="G2908">
        <f>IFERROR(
IF(ISNUMBER(FIND("T2",B2908)),220,
IF(ISNUMBER(FIND("T4",B2908)),440,
IF(ISNUMBER(FIND("T5",B2908)),575,
IF(ISNUMBER(FIND("T6",B2908)),690,"")))),
"")</f>
        <v>220</v>
      </c>
    </row>
    <row r="2909" spans="1:7" x14ac:dyDescent="0.25">
      <c r="A2909">
        <v>10193873</v>
      </c>
      <c r="B2909" t="str">
        <f>VLOOKUP(A2909,Planilha2!B:C,2,0)</f>
        <v>INVERSOR BRCFW110013T4OFAZ</v>
      </c>
      <c r="C2909" t="s">
        <v>3169</v>
      </c>
      <c r="D2909" t="str">
        <f>VLOOKUP(A2909,Planilha2!B:H,7,0)</f>
        <v>LINHA P5</v>
      </c>
      <c r="E2909" s="5">
        <v>5750</v>
      </c>
      <c r="F2909">
        <f>IFERROR(
IF(ISNUMBER(FIND("CFW110",B2909)),
VALUE(MID(B2909,FIND("CFW110",B2909)+6,FIND("T",B2909,FIND("CFW110",B2909))-(FIND("CFW110",B2909)+6))),
IF(ISNUMBER(FIND("D",B2909)),
VALUE(SUBSTITUTE(MID(B2909,FIND("D",B2909)+1,FIND("T",B2909,FIND("D",B2909))-(FIND("D",B2909)+1)),"P",",")),
IF(ISNUMBER(FIND("CFW5",B2909)),
VALUE(MID(B2909,
IF(ISNUMBER(FIND("F",B2909)),FIND("F",B2909)+1,FIND("G",B2909)+1),
FIND("T",B2909)-(IF(ISNUMBER(FIND("F",B2909)),FIND("F",B2909)+1,FIND("G",B2909)+1))
)),
VALUE(MID(B2909,FIND("E0",B2909)+2,FIND("T",B2909,FIND("E0",B2909))-(FIND("E0",B2909)+2)))
))),"")</f>
        <v>13</v>
      </c>
      <c r="G2909">
        <f>IFERROR(
IF(ISNUMBER(FIND("T2",B2909)),220,
IF(ISNUMBER(FIND("T4",B2909)),440,
IF(ISNUMBER(FIND("T5",B2909)),575,
IF(ISNUMBER(FIND("T6",B2909)),690,"")))),
"")</f>
        <v>440</v>
      </c>
    </row>
    <row r="2910" spans="1:7" x14ac:dyDescent="0.25">
      <c r="A2910">
        <v>10255163</v>
      </c>
      <c r="B2910" t="str">
        <f>VLOOKUP(A2910,Planilha2!B:C,2,0)</f>
        <v>INVERSOR BRCFW110024T2SZ</v>
      </c>
      <c r="C2910" t="s">
        <v>3169</v>
      </c>
      <c r="D2910" t="str">
        <f>VLOOKUP(A2910,Planilha2!B:H,7,0)</f>
        <v>LINHA P7</v>
      </c>
      <c r="E2910" s="5">
        <v>8700</v>
      </c>
      <c r="F2910">
        <f>IFERROR(
IF(ISNUMBER(FIND("CFW110",B2910)),
VALUE(MID(B2910,FIND("CFW110",B2910)+6,FIND("T",B2910,FIND("CFW110",B2910))-(FIND("CFW110",B2910)+6))),
IF(ISNUMBER(FIND("D",B2910)),
VALUE(SUBSTITUTE(MID(B2910,FIND("D",B2910)+1,FIND("T",B2910,FIND("D",B2910))-(FIND("D",B2910)+1)),"P",",")),
IF(ISNUMBER(FIND("CFW5",B2910)),
VALUE(MID(B2910,
IF(ISNUMBER(FIND("F",B2910)),FIND("F",B2910)+1,FIND("G",B2910)+1),
FIND("T",B2910)-(IF(ISNUMBER(FIND("F",B2910)),FIND("F",B2910)+1,FIND("G",B2910)+1))
)),
VALUE(MID(B2910,FIND("E0",B2910)+2,FIND("T",B2910,FIND("E0",B2910))-(FIND("E0",B2910)+2)))
))),"")</f>
        <v>24</v>
      </c>
      <c r="G2910">
        <f>IFERROR(
IF(ISNUMBER(FIND("T2",B2910)),220,
IF(ISNUMBER(FIND("T4",B2910)),440,
IF(ISNUMBER(FIND("T5",B2910)),575,
IF(ISNUMBER(FIND("T6",B2910)),690,"")))),
"")</f>
        <v>220</v>
      </c>
    </row>
    <row r="2911" spans="1:7" x14ac:dyDescent="0.25">
      <c r="A2911">
        <v>10234052</v>
      </c>
      <c r="B2911" t="str">
        <f>VLOOKUP(A2911,Planilha2!B:C,2,0)</f>
        <v>INVERSOR BRCFW110028T2SZ</v>
      </c>
      <c r="C2911" t="s">
        <v>3169</v>
      </c>
      <c r="D2911" t="str">
        <f>VLOOKUP(A2911,Planilha2!B:H,7,0)</f>
        <v>LINHA P7</v>
      </c>
      <c r="E2911" s="5">
        <v>8700</v>
      </c>
      <c r="F2911">
        <f>IFERROR(
IF(ISNUMBER(FIND("CFW110",B2911)),
VALUE(MID(B2911,FIND("CFW110",B2911)+6,FIND("T",B2911,FIND("CFW110",B2911))-(FIND("CFW110",B2911)+6))),
IF(ISNUMBER(FIND("D",B2911)),
VALUE(SUBSTITUTE(MID(B2911,FIND("D",B2911)+1,FIND("T",B2911,FIND("D",B2911))-(FIND("D",B2911)+1)),"P",",")),
IF(ISNUMBER(FIND("CFW5",B2911)),
VALUE(MID(B2911,
IF(ISNUMBER(FIND("F",B2911)),FIND("F",B2911)+1,FIND("G",B2911)+1),
FIND("T",B2911)-(IF(ISNUMBER(FIND("F",B2911)),FIND("F",B2911)+1,FIND("G",B2911)+1))
)),
VALUE(MID(B2911,FIND("E0",B2911)+2,FIND("T",B2911,FIND("E0",B2911))-(FIND("E0",B2911)+2)))
))),"")</f>
        <v>28</v>
      </c>
      <c r="G2911">
        <f>IFERROR(
IF(ISNUMBER(FIND("T2",B2911)),220,
IF(ISNUMBER(FIND("T4",B2911)),440,
IF(ISNUMBER(FIND("T5",B2911)),575,
IF(ISNUMBER(FIND("T6",B2911)),690,"")))),
"")</f>
        <v>220</v>
      </c>
    </row>
    <row r="2912" spans="1:7" x14ac:dyDescent="0.25">
      <c r="A2912">
        <v>10234053</v>
      </c>
      <c r="B2912" t="str">
        <f>VLOOKUP(A2912,Planilha2!B:C,2,0)</f>
        <v>INVERSOR BRCFW110033T2SZ</v>
      </c>
      <c r="C2912" t="s">
        <v>3169</v>
      </c>
      <c r="D2912" t="str">
        <f>VLOOKUP(A2912,Planilha2!B:H,7,0)</f>
        <v>LINHA P7</v>
      </c>
      <c r="E2912" s="5">
        <v>8800</v>
      </c>
      <c r="F2912">
        <f>IFERROR(
IF(ISNUMBER(FIND("CFW110",B2912)),
VALUE(MID(B2912,FIND("CFW110",B2912)+6,FIND("T",B2912,FIND("CFW110",B2912))-(FIND("CFW110",B2912)+6))),
IF(ISNUMBER(FIND("D",B2912)),
VALUE(SUBSTITUTE(MID(B2912,FIND("D",B2912)+1,FIND("T",B2912,FIND("D",B2912))-(FIND("D",B2912)+1)),"P",",")),
IF(ISNUMBER(FIND("CFW5",B2912)),
VALUE(MID(B2912,
IF(ISNUMBER(FIND("F",B2912)),FIND("F",B2912)+1,FIND("G",B2912)+1),
FIND("T",B2912)-(IF(ISNUMBER(FIND("F",B2912)),FIND("F",B2912)+1,FIND("G",B2912)+1))
)),
VALUE(MID(B2912,FIND("E0",B2912)+2,FIND("T",B2912,FIND("E0",B2912))-(FIND("E0",B2912)+2)))
))),"")</f>
        <v>33</v>
      </c>
      <c r="G2912">
        <f>IFERROR(
IF(ISNUMBER(FIND("T2",B2912)),220,
IF(ISNUMBER(FIND("T4",B2912)),440,
IF(ISNUMBER(FIND("T5",B2912)),575,
IF(ISNUMBER(FIND("T6",B2912)),690,"")))),
"")</f>
        <v>220</v>
      </c>
    </row>
    <row r="2913" spans="1:7" x14ac:dyDescent="0.25">
      <c r="A2913">
        <v>11312343</v>
      </c>
      <c r="B2913" t="str">
        <f>VLOOKUP(A2913,Planilha2!B:C,2,0)</f>
        <v>INVERSOR CFW700B17P0T4DB20</v>
      </c>
      <c r="C2913" t="s">
        <v>3169</v>
      </c>
      <c r="D2913" t="str">
        <f>VLOOKUP(A2913,Planilha2!B:H,7,0)</f>
        <v>OBSOLETOS DRIVES</v>
      </c>
      <c r="E2913" s="5">
        <v>4500</v>
      </c>
      <c r="F2913" t="str">
        <f>IFERROR(
IF(ISNUMBER(FIND("CFW110",B2913)),
VALUE(MID(B2913,FIND("CFW110",B2913)+6,FIND("T",B2913,FIND("CFW110",B2913))-(FIND("CFW110",B2913)+6))),
IF(ISNUMBER(FIND("D",B2913)),
VALUE(SUBSTITUTE(MID(B2913,FIND("D",B2913)+1,FIND("T",B2913,FIND("D",B2913))-(FIND("D",B2913)+1)),"P",",")),
IF(ISNUMBER(FIND("CFW5",B2913)),
VALUE(MID(B2913,
IF(ISNUMBER(FIND("F",B2913)),FIND("F",B2913)+1,FIND("G",B2913)+1),
FIND("T",B2913)-(IF(ISNUMBER(FIND("F",B2913)),FIND("F",B2913)+1,FIND("G",B2913)+1))
)),
VALUE(MID(B2913,FIND("E0",B2913)+2,FIND("T",B2913,FIND("E0",B2913))-(FIND("E0",B2913)+2)))
))),"")</f>
        <v/>
      </c>
      <c r="G2913">
        <f>IFERROR(
IF(ISNUMBER(FIND("T2",B2913)),220,
IF(ISNUMBER(FIND("T4",B2913)),440,
IF(ISNUMBER(FIND("T5",B2913)),575,
IF(ISNUMBER(FIND("T6",B2913)),690,"")))),
"")</f>
        <v>440</v>
      </c>
    </row>
    <row r="2914" spans="1:7" x14ac:dyDescent="0.25">
      <c r="A2914">
        <v>11312007</v>
      </c>
      <c r="B2914" t="str">
        <f>VLOOKUP(A2914,Planilha2!B:C,2,0)</f>
        <v>INVERSOR CFW700B24P0T2DB20</v>
      </c>
      <c r="C2914" t="s">
        <v>3169</v>
      </c>
      <c r="D2914" t="str">
        <f>VLOOKUP(A2914,Planilha2!B:H,7,0)</f>
        <v>OBSOLETOS DRIVES</v>
      </c>
      <c r="E2914" s="5">
        <v>16000</v>
      </c>
      <c r="F2914" t="str">
        <f>IFERROR(
IF(ISNUMBER(FIND("CFW110",B2914)),
VALUE(MID(B2914,FIND("CFW110",B2914)+6,FIND("T",B2914,FIND("CFW110",B2914))-(FIND("CFW110",B2914)+6))),
IF(ISNUMBER(FIND("D",B2914)),
VALUE(SUBSTITUTE(MID(B2914,FIND("D",B2914)+1,FIND("T",B2914,FIND("D",B2914))-(FIND("D",B2914)+1)),"P",",")),
IF(ISNUMBER(FIND("CFW5",B2914)),
VALUE(MID(B2914,
IF(ISNUMBER(FIND("F",B2914)),FIND("F",B2914)+1,FIND("G",B2914)+1),
FIND("T",B2914)-(IF(ISNUMBER(FIND("F",B2914)),FIND("F",B2914)+1,FIND("G",B2914)+1))
)),
VALUE(MID(B2914,FIND("E0",B2914)+2,FIND("T",B2914,FIND("E0",B2914))-(FIND("E0",B2914)+2)))
))),"")</f>
        <v/>
      </c>
      <c r="G2914">
        <f>IFERROR(
IF(ISNUMBER(FIND("T2",B2914)),220,
IF(ISNUMBER(FIND("T4",B2914)),440,
IF(ISNUMBER(FIND("T5",B2914)),575,
IF(ISNUMBER(FIND("T6",B2914)),690,"")))),
"")</f>
        <v>220</v>
      </c>
    </row>
    <row r="2915" spans="1:7" x14ac:dyDescent="0.25">
      <c r="A2915">
        <v>11312345</v>
      </c>
      <c r="B2915" t="str">
        <f>VLOOKUP(A2915,Planilha2!B:C,2,0)</f>
        <v>INVERSOR CFW700B24P0T4DB20</v>
      </c>
      <c r="C2915" t="s">
        <v>3169</v>
      </c>
      <c r="D2915" t="str">
        <f>VLOOKUP(A2915,Planilha2!B:H,7,0)</f>
        <v>OBSOLETOS DRIVES</v>
      </c>
      <c r="E2915" s="5">
        <v>4500</v>
      </c>
      <c r="F2915" t="str">
        <f>IFERROR(
IF(ISNUMBER(FIND("CFW110",B2915)),
VALUE(MID(B2915,FIND("CFW110",B2915)+6,FIND("T",B2915,FIND("CFW110",B2915))-(FIND("CFW110",B2915)+6))),
IF(ISNUMBER(FIND("D",B2915)),
VALUE(SUBSTITUTE(MID(B2915,FIND("D",B2915)+1,FIND("T",B2915,FIND("D",B2915))-(FIND("D",B2915)+1)),"P",",")),
IF(ISNUMBER(FIND("CFW5",B2915)),
VALUE(MID(B2915,
IF(ISNUMBER(FIND("F",B2915)),FIND("F",B2915)+1,FIND("G",B2915)+1),
FIND("T",B2915)-(IF(ISNUMBER(FIND("F",B2915)),FIND("F",B2915)+1,FIND("G",B2915)+1))
)),
VALUE(MID(B2915,FIND("E0",B2915)+2,FIND("T",B2915,FIND("E0",B2915))-(FIND("E0",B2915)+2)))
))),"")</f>
        <v/>
      </c>
      <c r="G2915">
        <f>IFERROR(
IF(ISNUMBER(FIND("T2",B2915)),220,
IF(ISNUMBER(FIND("T4",B2915)),440,
IF(ISNUMBER(FIND("T5",B2915)),575,
IF(ISNUMBER(FIND("T6",B2915)),690,"")))),
"")</f>
        <v>440</v>
      </c>
    </row>
    <row r="2916" spans="1:7" x14ac:dyDescent="0.25">
      <c r="A2916">
        <v>11312058</v>
      </c>
      <c r="B2916" t="str">
        <f>VLOOKUP(A2916,Planilha2!B:C,2,0)</f>
        <v>INVERSOR CFW700B28P0T2DB20</v>
      </c>
      <c r="C2916" t="s">
        <v>3169</v>
      </c>
      <c r="D2916" t="str">
        <f>VLOOKUP(A2916,Planilha2!B:H,7,0)</f>
        <v>OBSOLETOS DRIVES</v>
      </c>
      <c r="E2916" s="5">
        <v>9100</v>
      </c>
      <c r="F2916" t="str">
        <f>IFERROR(
IF(ISNUMBER(FIND("CFW110",B2916)),
VALUE(MID(B2916,FIND("CFW110",B2916)+6,FIND("T",B2916,FIND("CFW110",B2916))-(FIND("CFW110",B2916)+6))),
IF(ISNUMBER(FIND("D",B2916)),
VALUE(SUBSTITUTE(MID(B2916,FIND("D",B2916)+1,FIND("T",B2916,FIND("D",B2916))-(FIND("D",B2916)+1)),"P",",")),
IF(ISNUMBER(FIND("CFW5",B2916)),
VALUE(MID(B2916,
IF(ISNUMBER(FIND("F",B2916)),FIND("F",B2916)+1,FIND("G",B2916)+1),
FIND("T",B2916)-(IF(ISNUMBER(FIND("F",B2916)),FIND("F",B2916)+1,FIND("G",B2916)+1))
)),
VALUE(MID(B2916,FIND("E0",B2916)+2,FIND("T",B2916,FIND("E0",B2916))-(FIND("E0",B2916)+2)))
))),"")</f>
        <v/>
      </c>
      <c r="G2916">
        <f>IFERROR(
IF(ISNUMBER(FIND("T2",B2916)),220,
IF(ISNUMBER(FIND("T4",B2916)),440,
IF(ISNUMBER(FIND("T5",B2916)),575,
IF(ISNUMBER(FIND("T6",B2916)),690,"")))),
"")</f>
        <v>220</v>
      </c>
    </row>
    <row r="2917" spans="1:7" x14ac:dyDescent="0.25">
      <c r="A2917">
        <v>11312414</v>
      </c>
      <c r="B2917" t="str">
        <f>VLOOKUP(A2917,Planilha2!B:C,2,0)</f>
        <v>INVERSOR CFW700B31P0T4DB20</v>
      </c>
      <c r="C2917" t="s">
        <v>3169</v>
      </c>
      <c r="D2917" t="str">
        <f>VLOOKUP(A2917,Planilha2!B:H,7,0)</f>
        <v>OBSOLETOS DRIVES</v>
      </c>
      <c r="E2917" s="5">
        <v>5700</v>
      </c>
      <c r="F2917" t="str">
        <f>IFERROR(
IF(ISNUMBER(FIND("CFW110",B2917)),
VALUE(MID(B2917,FIND("CFW110",B2917)+6,FIND("T",B2917,FIND("CFW110",B2917))-(FIND("CFW110",B2917)+6))),
IF(ISNUMBER(FIND("D",B2917)),
VALUE(SUBSTITUTE(MID(B2917,FIND("D",B2917)+1,FIND("T",B2917,FIND("D",B2917))-(FIND("D",B2917)+1)),"P",",")),
IF(ISNUMBER(FIND("CFW5",B2917)),
VALUE(MID(B2917,
IF(ISNUMBER(FIND("F",B2917)),FIND("F",B2917)+1,FIND("G",B2917)+1),
FIND("T",B2917)-(IF(ISNUMBER(FIND("F",B2917)),FIND("F",B2917)+1,FIND("G",B2917)+1))
)),
VALUE(MID(B2917,FIND("E0",B2917)+2,FIND("T",B2917,FIND("E0",B2917))-(FIND("E0",B2917)+2)))
))),"")</f>
        <v/>
      </c>
      <c r="G2917">
        <f>IFERROR(
IF(ISNUMBER(FIND("T2",B2917)),220,
IF(ISNUMBER(FIND("T4",B2917)),440,
IF(ISNUMBER(FIND("T5",B2917)),575,
IF(ISNUMBER(FIND("T6",B2917)),690,"")))),
"")</f>
        <v>440</v>
      </c>
    </row>
    <row r="2918" spans="1:7" x14ac:dyDescent="0.25">
      <c r="A2918">
        <v>11312059</v>
      </c>
      <c r="B2918" t="str">
        <f>VLOOKUP(A2918,Planilha2!B:C,2,0)</f>
        <v>INVERSOR CFW700B33P5T2DB20</v>
      </c>
      <c r="C2918" t="s">
        <v>3169</v>
      </c>
      <c r="D2918" t="str">
        <f>VLOOKUP(A2918,Planilha2!B:H,7,0)</f>
        <v>OBSOLETOS DRIVES</v>
      </c>
      <c r="E2918" s="5">
        <v>9100</v>
      </c>
      <c r="F2918" t="str">
        <f>IFERROR(
IF(ISNUMBER(FIND("CFW110",B2918)),
VALUE(MID(B2918,FIND("CFW110",B2918)+6,FIND("T",B2918,FIND("CFW110",B2918))-(FIND("CFW110",B2918)+6))),
IF(ISNUMBER(FIND("D",B2918)),
VALUE(SUBSTITUTE(MID(B2918,FIND("D",B2918)+1,FIND("T",B2918,FIND("D",B2918))-(FIND("D",B2918)+1)),"P",",")),
IF(ISNUMBER(FIND("CFW5",B2918)),
VALUE(MID(B2918,
IF(ISNUMBER(FIND("F",B2918)),FIND("F",B2918)+1,FIND("G",B2918)+1),
FIND("T",B2918)-(IF(ISNUMBER(FIND("F",B2918)),FIND("F",B2918)+1,FIND("G",B2918)+1))
)),
VALUE(MID(B2918,FIND("E0",B2918)+2,FIND("T",B2918,FIND("E0",B2918))-(FIND("E0",B2918)+2)))
))),"")</f>
        <v/>
      </c>
      <c r="G2918">
        <f>IFERROR(
IF(ISNUMBER(FIND("T2",B2918)),220,
IF(ISNUMBER(FIND("T4",B2918)),440,
IF(ISNUMBER(FIND("T5",B2918)),575,
IF(ISNUMBER(FIND("T6",B2918)),690,"")))),
"")</f>
        <v>220</v>
      </c>
    </row>
    <row r="2919" spans="1:7" x14ac:dyDescent="0.25">
      <c r="A2919">
        <v>10234064</v>
      </c>
      <c r="B2919" t="str">
        <f>VLOOKUP(A2919,Planilha2!B:C,2,0)</f>
        <v>INVERSOR BRCFW110028T2OFAZ</v>
      </c>
      <c r="C2919" t="s">
        <v>3169</v>
      </c>
      <c r="D2919" t="str">
        <f>VLOOKUP(A2919,Planilha2!B:H,7,0)</f>
        <v>LINHA P7</v>
      </c>
      <c r="E2919" s="5">
        <v>8800</v>
      </c>
      <c r="F2919">
        <f>IFERROR(
IF(ISNUMBER(FIND("CFW110",B2919)),
VALUE(MID(B2919,FIND("CFW110",B2919)+6,FIND("T",B2919,FIND("CFW110",B2919))-(FIND("CFW110",B2919)+6))),
IF(ISNUMBER(FIND("D",B2919)),
VALUE(SUBSTITUTE(MID(B2919,FIND("D",B2919)+1,FIND("T",B2919,FIND("D",B2919))-(FIND("D",B2919)+1)),"P",",")),
IF(ISNUMBER(FIND("CFW5",B2919)),
VALUE(MID(B2919,
IF(ISNUMBER(FIND("F",B2919)),FIND("F",B2919)+1,FIND("G",B2919)+1),
FIND("T",B2919)-(IF(ISNUMBER(FIND("F",B2919)),FIND("F",B2919)+1,FIND("G",B2919)+1))
)),
VALUE(MID(B2919,FIND("E0",B2919)+2,FIND("T",B2919,FIND("E0",B2919))-(FIND("E0",B2919)+2)))
))),"")</f>
        <v>28</v>
      </c>
      <c r="G2919">
        <f>IFERROR(
IF(ISNUMBER(FIND("T2",B2919)),220,
IF(ISNUMBER(FIND("T4",B2919)),440,
IF(ISNUMBER(FIND("T5",B2919)),575,
IF(ISNUMBER(FIND("T6",B2919)),690,"")))),
"")</f>
        <v>220</v>
      </c>
    </row>
    <row r="2920" spans="1:7" x14ac:dyDescent="0.25">
      <c r="A2920">
        <v>11135343</v>
      </c>
      <c r="B2920" t="str">
        <f>VLOOKUP(A2920,Planilha2!B:C,2,0)</f>
        <v>INVERSOR BRCFW110006B2O54Z</v>
      </c>
      <c r="C2920" t="s">
        <v>3169</v>
      </c>
      <c r="D2920" t="str">
        <f>VLOOKUP(A2920,Planilha2!B:H,7,0)</f>
        <v>LINHA M1</v>
      </c>
      <c r="E2920" s="5">
        <v>13000</v>
      </c>
      <c r="F2920" t="str">
        <f>IFERROR(
IF(ISNUMBER(FIND("CFW110",B2920)),
VALUE(MID(B2920,FIND("CFW110",B2920)+6,FIND("T",B2920,FIND("CFW110",B2920))-(FIND("CFW110",B2920)+6))),
IF(ISNUMBER(FIND("D",B2920)),
VALUE(SUBSTITUTE(MID(B2920,FIND("D",B2920)+1,FIND("T",B2920,FIND("D",B2920))-(FIND("D",B2920)+1)),"P",",")),
IF(ISNUMBER(FIND("CFW5",B2920)),
VALUE(MID(B2920,
IF(ISNUMBER(FIND("F",B2920)),FIND("F",B2920)+1,FIND("G",B2920)+1),
FIND("T",B2920)-(IF(ISNUMBER(FIND("F",B2920)),FIND("F",B2920)+1,FIND("G",B2920)+1))
)),
VALUE(MID(B2920,FIND("E0",B2920)+2,FIND("T",B2920,FIND("E0",B2920))-(FIND("E0",B2920)+2)))
))),"")</f>
        <v/>
      </c>
      <c r="G2920" t="str">
        <f>IFERROR(
IF(ISNUMBER(FIND("T2",B2920)),220,
IF(ISNUMBER(FIND("T4",B2920)),440,
IF(ISNUMBER(FIND("T5",B2920)),575,
IF(ISNUMBER(FIND("T6",B2920)),690,"")))),
"")</f>
        <v/>
      </c>
    </row>
    <row r="2921" spans="1:7" x14ac:dyDescent="0.25">
      <c r="A2921">
        <v>11135345</v>
      </c>
      <c r="B2921" t="str">
        <f>VLOOKUP(A2921,Planilha2!B:C,2,0)</f>
        <v>INVERSOR BRCFW110007T2O54Z</v>
      </c>
      <c r="C2921" t="s">
        <v>3169</v>
      </c>
      <c r="D2921" t="str">
        <f>VLOOKUP(A2921,Planilha2!B:H,7,0)</f>
        <v>LINHA M1</v>
      </c>
      <c r="E2921" s="5">
        <v>13000</v>
      </c>
      <c r="F2921">
        <f>IFERROR(
IF(ISNUMBER(FIND("CFW110",B2921)),
VALUE(MID(B2921,FIND("CFW110",B2921)+6,FIND("T",B2921,FIND("CFW110",B2921))-(FIND("CFW110",B2921)+6))),
IF(ISNUMBER(FIND("D",B2921)),
VALUE(SUBSTITUTE(MID(B2921,FIND("D",B2921)+1,FIND("T",B2921,FIND("D",B2921))-(FIND("D",B2921)+1)),"P",",")),
IF(ISNUMBER(FIND("CFW5",B2921)),
VALUE(MID(B2921,
IF(ISNUMBER(FIND("F",B2921)),FIND("F",B2921)+1,FIND("G",B2921)+1),
FIND("T",B2921)-(IF(ISNUMBER(FIND("F",B2921)),FIND("F",B2921)+1,FIND("G",B2921)+1))
)),
VALUE(MID(B2921,FIND("E0",B2921)+2,FIND("T",B2921,FIND("E0",B2921))-(FIND("E0",B2921)+2)))
))),"")</f>
        <v>7</v>
      </c>
      <c r="G2921">
        <f>IFERROR(
IF(ISNUMBER(FIND("T2",B2921)),220,
IF(ISNUMBER(FIND("T4",B2921)),440,
IF(ISNUMBER(FIND("T5",B2921)),575,
IF(ISNUMBER(FIND("T6",B2921)),690,"")))),
"")</f>
        <v>220</v>
      </c>
    </row>
    <row r="2922" spans="1:7" x14ac:dyDescent="0.25">
      <c r="A2922">
        <v>11135342</v>
      </c>
      <c r="B2922" t="str">
        <f>VLOOKUP(A2922,Planilha2!B:C,2,0)</f>
        <v>INVERSOR BRCFW110010S2O54Z</v>
      </c>
      <c r="C2922" t="s">
        <v>3169</v>
      </c>
      <c r="D2922" t="str">
        <f>VLOOKUP(A2922,Planilha2!B:H,7,0)</f>
        <v>LINHA M1</v>
      </c>
      <c r="E2922" s="5">
        <v>13000</v>
      </c>
      <c r="F2922" t="str">
        <f>IFERROR(
IF(ISNUMBER(FIND("CFW110",B2922)),
VALUE(MID(B2922,FIND("CFW110",B2922)+6,FIND("T",B2922,FIND("CFW110",B2922))-(FIND("CFW110",B2922)+6))),
IF(ISNUMBER(FIND("D",B2922)),
VALUE(SUBSTITUTE(MID(B2922,FIND("D",B2922)+1,FIND("T",B2922,FIND("D",B2922))-(FIND("D",B2922)+1)),"P",",")),
IF(ISNUMBER(FIND("CFW5",B2922)),
VALUE(MID(B2922,
IF(ISNUMBER(FIND("F",B2922)),FIND("F",B2922)+1,FIND("G",B2922)+1),
FIND("T",B2922)-(IF(ISNUMBER(FIND("F",B2922)),FIND("F",B2922)+1,FIND("G",B2922)+1))
)),
VALUE(MID(B2922,FIND("E0",B2922)+2,FIND("T",B2922,FIND("E0",B2922))-(FIND("E0",B2922)+2)))
))),"")</f>
        <v/>
      </c>
      <c r="G2922" t="str">
        <f>IFERROR(
IF(ISNUMBER(FIND("T2",B2922)),220,
IF(ISNUMBER(FIND("T4",B2922)),440,
IF(ISNUMBER(FIND("T5",B2922)),575,
IF(ISNUMBER(FIND("T6",B2922)),690,"")))),
"")</f>
        <v/>
      </c>
    </row>
    <row r="2923" spans="1:7" x14ac:dyDescent="0.25">
      <c r="A2923">
        <v>11135347</v>
      </c>
      <c r="B2923" t="str">
        <f>VLOOKUP(A2923,Planilha2!B:C,2,0)</f>
        <v>INVERSOR BRCFW110013T2O54Z</v>
      </c>
      <c r="C2923" t="s">
        <v>3169</v>
      </c>
      <c r="D2923" t="str">
        <f>VLOOKUP(A2923,Planilha2!B:H,7,0)</f>
        <v>LINHA M1</v>
      </c>
      <c r="E2923" s="5">
        <v>13000</v>
      </c>
      <c r="F2923">
        <f>IFERROR(
IF(ISNUMBER(FIND("CFW110",B2923)),
VALUE(MID(B2923,FIND("CFW110",B2923)+6,FIND("T",B2923,FIND("CFW110",B2923))-(FIND("CFW110",B2923)+6))),
IF(ISNUMBER(FIND("D",B2923)),
VALUE(SUBSTITUTE(MID(B2923,FIND("D",B2923)+1,FIND("T",B2923,FIND("D",B2923))-(FIND("D",B2923)+1)),"P",",")),
IF(ISNUMBER(FIND("CFW5",B2923)),
VALUE(MID(B2923,
IF(ISNUMBER(FIND("F",B2923)),FIND("F",B2923)+1,FIND("G",B2923)+1),
FIND("T",B2923)-(IF(ISNUMBER(FIND("F",B2923)),FIND("F",B2923)+1,FIND("G",B2923)+1))
)),
VALUE(MID(B2923,FIND("E0",B2923)+2,FIND("T",B2923,FIND("E0",B2923))-(FIND("E0",B2923)+2)))
))),"")</f>
        <v>13</v>
      </c>
      <c r="G2923">
        <f>IFERROR(
IF(ISNUMBER(FIND("T2",B2923)),220,
IF(ISNUMBER(FIND("T4",B2923)),440,
IF(ISNUMBER(FIND("T5",B2923)),575,
IF(ISNUMBER(FIND("T6",B2923)),690,"")))),
"")</f>
        <v>220</v>
      </c>
    </row>
    <row r="2924" spans="1:7" x14ac:dyDescent="0.25">
      <c r="A2924">
        <v>11144121</v>
      </c>
      <c r="B2924" t="str">
        <f>VLOOKUP(A2924,Planilha2!B:C,2,0)</f>
        <v>INVERSOR BRCFW110024T4O54Z</v>
      </c>
      <c r="C2924" t="s">
        <v>3169</v>
      </c>
      <c r="D2924" t="str">
        <f>VLOOKUP(A2924,Planilha2!B:H,7,0)</f>
        <v>LINHA M3</v>
      </c>
      <c r="E2924" s="5">
        <v>15000</v>
      </c>
      <c r="F2924">
        <f>IFERROR(
IF(ISNUMBER(FIND("CFW110",B2924)),
VALUE(MID(B2924,FIND("CFW110",B2924)+6,FIND("T",B2924,FIND("CFW110",B2924))-(FIND("CFW110",B2924)+6))),
IF(ISNUMBER(FIND("D",B2924)),
VALUE(SUBSTITUTE(MID(B2924,FIND("D",B2924)+1,FIND("T",B2924,FIND("D",B2924))-(FIND("D",B2924)+1)),"P",",")),
IF(ISNUMBER(FIND("CFW5",B2924)),
VALUE(MID(B2924,
IF(ISNUMBER(FIND("F",B2924)),FIND("F",B2924)+1,FIND("G",B2924)+1),
FIND("T",B2924)-(IF(ISNUMBER(FIND("F",B2924)),FIND("F",B2924)+1,FIND("G",B2924)+1))
)),
VALUE(MID(B2924,FIND("E0",B2924)+2,FIND("T",B2924,FIND("E0",B2924))-(FIND("E0",B2924)+2)))
))),"")</f>
        <v>24</v>
      </c>
      <c r="G2924">
        <f>IFERROR(
IF(ISNUMBER(FIND("T2",B2924)),220,
IF(ISNUMBER(FIND("T4",B2924)),440,
IF(ISNUMBER(FIND("T5",B2924)),575,
IF(ISNUMBER(FIND("T6",B2924)),690,"")))),
"")</f>
        <v>440</v>
      </c>
    </row>
    <row r="2925" spans="1:7" x14ac:dyDescent="0.25">
      <c r="A2925">
        <v>11135346</v>
      </c>
      <c r="B2925" t="str">
        <f>VLOOKUP(A2925,Planilha2!B:C,2,0)</f>
        <v>INVERSOR BRCFW110010T2O54Z</v>
      </c>
      <c r="C2925" t="s">
        <v>3169</v>
      </c>
      <c r="D2925" t="str">
        <f>VLOOKUP(A2925,Planilha2!B:H,7,0)</f>
        <v>LINHA M1</v>
      </c>
      <c r="E2925" s="5">
        <v>13000</v>
      </c>
      <c r="F2925">
        <f>IFERROR(
IF(ISNUMBER(FIND("CFW110",B2925)),
VALUE(MID(B2925,FIND("CFW110",B2925)+6,FIND("T",B2925,FIND("CFW110",B2925))-(FIND("CFW110",B2925)+6))),
IF(ISNUMBER(FIND("D",B2925)),
VALUE(SUBSTITUTE(MID(B2925,FIND("D",B2925)+1,FIND("T",B2925,FIND("D",B2925))-(FIND("D",B2925)+1)),"P",",")),
IF(ISNUMBER(FIND("CFW5",B2925)),
VALUE(MID(B2925,
IF(ISNUMBER(FIND("F",B2925)),FIND("F",B2925)+1,FIND("G",B2925)+1),
FIND("T",B2925)-(IF(ISNUMBER(FIND("F",B2925)),FIND("F",B2925)+1,FIND("G",B2925)+1))
)),
VALUE(MID(B2925,FIND("E0",B2925)+2,FIND("T",B2925,FIND("E0",B2925))-(FIND("E0",B2925)+2)))
))),"")</f>
        <v>10</v>
      </c>
      <c r="G2925">
        <f>IFERROR(
IF(ISNUMBER(FIND("T2",B2925)),220,
IF(ISNUMBER(FIND("T4",B2925)),440,
IF(ISNUMBER(FIND("T5",B2925)),575,
IF(ISNUMBER(FIND("T6",B2925)),690,"")))),
"")</f>
        <v>220</v>
      </c>
    </row>
    <row r="2926" spans="1:7" x14ac:dyDescent="0.25">
      <c r="A2926">
        <v>11135484</v>
      </c>
      <c r="B2926" t="str">
        <f>VLOOKUP(A2926,Planilha2!B:C,2,0)</f>
        <v>INVERSOR BRCFW110003T4O54Z</v>
      </c>
      <c r="C2926" t="s">
        <v>3169</v>
      </c>
      <c r="D2926" t="str">
        <f>VLOOKUP(A2926,Planilha2!B:H,7,0)</f>
        <v>LINHA M3</v>
      </c>
      <c r="E2926" s="5">
        <v>13000</v>
      </c>
      <c r="F2926">
        <f>IFERROR(
IF(ISNUMBER(FIND("CFW110",B2926)),
VALUE(MID(B2926,FIND("CFW110",B2926)+6,FIND("T",B2926,FIND("CFW110",B2926))-(FIND("CFW110",B2926)+6))),
IF(ISNUMBER(FIND("D",B2926)),
VALUE(SUBSTITUTE(MID(B2926,FIND("D",B2926)+1,FIND("T",B2926,FIND("D",B2926))-(FIND("D",B2926)+1)),"P",",")),
IF(ISNUMBER(FIND("CFW5",B2926)),
VALUE(MID(B2926,
IF(ISNUMBER(FIND("F",B2926)),FIND("F",B2926)+1,FIND("G",B2926)+1),
FIND("T",B2926)-(IF(ISNUMBER(FIND("F",B2926)),FIND("F",B2926)+1,FIND("G",B2926)+1))
)),
VALUE(MID(B2926,FIND("E0",B2926)+2,FIND("T",B2926,FIND("E0",B2926))-(FIND("E0",B2926)+2)))
))),"")</f>
        <v>3</v>
      </c>
      <c r="G2926">
        <f>IFERROR(
IF(ISNUMBER(FIND("T2",B2926)),220,
IF(ISNUMBER(FIND("T4",B2926)),440,
IF(ISNUMBER(FIND("T5",B2926)),575,
IF(ISNUMBER(FIND("T6",B2926)),690,"")))),
"")</f>
        <v>440</v>
      </c>
    </row>
    <row r="2927" spans="1:7" x14ac:dyDescent="0.25">
      <c r="A2927">
        <v>11135486</v>
      </c>
      <c r="B2927" t="str">
        <f>VLOOKUP(A2927,Planilha2!B:C,2,0)</f>
        <v>INVERSOR BRCFW110007T4O54Z</v>
      </c>
      <c r="C2927" t="s">
        <v>3169</v>
      </c>
      <c r="D2927" t="str">
        <f>VLOOKUP(A2927,Planilha2!B:H,7,0)</f>
        <v>LINHA M3</v>
      </c>
      <c r="E2927" s="5">
        <v>13000</v>
      </c>
      <c r="F2927">
        <f>IFERROR(
IF(ISNUMBER(FIND("CFW110",B2927)),
VALUE(MID(B2927,FIND("CFW110",B2927)+6,FIND("T",B2927,FIND("CFW110",B2927))-(FIND("CFW110",B2927)+6))),
IF(ISNUMBER(FIND("D",B2927)),
VALUE(SUBSTITUTE(MID(B2927,FIND("D",B2927)+1,FIND("T",B2927,FIND("D",B2927))-(FIND("D",B2927)+1)),"P",",")),
IF(ISNUMBER(FIND("CFW5",B2927)),
VALUE(MID(B2927,
IF(ISNUMBER(FIND("F",B2927)),FIND("F",B2927)+1,FIND("G",B2927)+1),
FIND("T",B2927)-(IF(ISNUMBER(FIND("F",B2927)),FIND("F",B2927)+1,FIND("G",B2927)+1))
)),
VALUE(MID(B2927,FIND("E0",B2927)+2,FIND("T",B2927,FIND("E0",B2927))-(FIND("E0",B2927)+2)))
))),"")</f>
        <v>7</v>
      </c>
      <c r="G2927">
        <f>IFERROR(
IF(ISNUMBER(FIND("T2",B2927)),220,
IF(ISNUMBER(FIND("T4",B2927)),440,
IF(ISNUMBER(FIND("T5",B2927)),575,
IF(ISNUMBER(FIND("T6",B2927)),690,"")))),
"")</f>
        <v>440</v>
      </c>
    </row>
    <row r="2928" spans="1:7" x14ac:dyDescent="0.25">
      <c r="A2928">
        <v>11135344</v>
      </c>
      <c r="B2928" t="str">
        <f>VLOOKUP(A2928,Planilha2!B:C,2,0)</f>
        <v>INVERSOR BRCFW110007B2O54Z</v>
      </c>
      <c r="C2928" t="s">
        <v>3169</v>
      </c>
      <c r="D2928" t="str">
        <f>VLOOKUP(A2928,Planilha2!B:H,7,0)</f>
        <v>LINHA M1</v>
      </c>
      <c r="E2928" s="5">
        <v>13000</v>
      </c>
      <c r="F2928" t="str">
        <f>IFERROR(
IF(ISNUMBER(FIND("CFW110",B2928)),
VALUE(MID(B2928,FIND("CFW110",B2928)+6,FIND("T",B2928,FIND("CFW110",B2928))-(FIND("CFW110",B2928)+6))),
IF(ISNUMBER(FIND("D",B2928)),
VALUE(SUBSTITUTE(MID(B2928,FIND("D",B2928)+1,FIND("T",B2928,FIND("D",B2928))-(FIND("D",B2928)+1)),"P",",")),
IF(ISNUMBER(FIND("CFW5",B2928)),
VALUE(MID(B2928,
IF(ISNUMBER(FIND("F",B2928)),FIND("F",B2928)+1,FIND("G",B2928)+1),
FIND("T",B2928)-(IF(ISNUMBER(FIND("F",B2928)),FIND("F",B2928)+1,FIND("G",B2928)+1))
)),
VALUE(MID(B2928,FIND("E0",B2928)+2,FIND("T",B2928,FIND("E0",B2928))-(FIND("E0",B2928)+2)))
))),"")</f>
        <v/>
      </c>
      <c r="G2928" t="str">
        <f>IFERROR(
IF(ISNUMBER(FIND("T2",B2928)),220,
IF(ISNUMBER(FIND("T4",B2928)),440,
IF(ISNUMBER(FIND("T5",B2928)),575,
IF(ISNUMBER(FIND("T6",B2928)),690,"")))),
"")</f>
        <v/>
      </c>
    </row>
    <row r="2929" spans="1:7" x14ac:dyDescent="0.25">
      <c r="A2929">
        <v>11135478</v>
      </c>
      <c r="B2929" t="str">
        <f>VLOOKUP(A2929,Planilha2!B:C,2,0)</f>
        <v>INVERSOR BRCFW110016T2O54Z</v>
      </c>
      <c r="C2929" t="s">
        <v>3169</v>
      </c>
      <c r="D2929" t="str">
        <f>VLOOKUP(A2929,Planilha2!B:H,7,0)</f>
        <v>LINHA M1</v>
      </c>
      <c r="E2929" s="5">
        <v>13000</v>
      </c>
      <c r="F2929">
        <f>IFERROR(
IF(ISNUMBER(FIND("CFW110",B2929)),
VALUE(MID(B2929,FIND("CFW110",B2929)+6,FIND("T",B2929,FIND("CFW110",B2929))-(FIND("CFW110",B2929)+6))),
IF(ISNUMBER(FIND("D",B2929)),
VALUE(SUBSTITUTE(MID(B2929,FIND("D",B2929)+1,FIND("T",B2929,FIND("D",B2929))-(FIND("D",B2929)+1)),"P",",")),
IF(ISNUMBER(FIND("CFW5",B2929)),
VALUE(MID(B2929,
IF(ISNUMBER(FIND("F",B2929)),FIND("F",B2929)+1,FIND("G",B2929)+1),
FIND("T",B2929)-(IF(ISNUMBER(FIND("F",B2929)),FIND("F",B2929)+1,FIND("G",B2929)+1))
)),
VALUE(MID(B2929,FIND("E0",B2929)+2,FIND("T",B2929,FIND("E0",B2929))-(FIND("E0",B2929)+2)))
))),"")</f>
        <v>16</v>
      </c>
      <c r="G2929">
        <f>IFERROR(
IF(ISNUMBER(FIND("T2",B2929)),220,
IF(ISNUMBER(FIND("T4",B2929)),440,
IF(ISNUMBER(FIND("T5",B2929)),575,
IF(ISNUMBER(FIND("T6",B2929)),690,"")))),
"")</f>
        <v>220</v>
      </c>
    </row>
    <row r="2930" spans="1:7" x14ac:dyDescent="0.25">
      <c r="A2930">
        <v>11135485</v>
      </c>
      <c r="B2930" t="str">
        <f>VLOOKUP(A2930,Planilha2!B:C,2,0)</f>
        <v>INVERSOR BRCFW110005T4O54Z</v>
      </c>
      <c r="C2930" t="s">
        <v>3169</v>
      </c>
      <c r="D2930" t="str">
        <f>VLOOKUP(A2930,Planilha2!B:H,7,0)</f>
        <v>LINHA M3</v>
      </c>
      <c r="E2930" s="5">
        <v>13000</v>
      </c>
      <c r="F2930">
        <f>IFERROR(
IF(ISNUMBER(FIND("CFW110",B2930)),
VALUE(MID(B2930,FIND("CFW110",B2930)+6,FIND("T",B2930,FIND("CFW110",B2930))-(FIND("CFW110",B2930)+6))),
IF(ISNUMBER(FIND("D",B2930)),
VALUE(SUBSTITUTE(MID(B2930,FIND("D",B2930)+1,FIND("T",B2930,FIND("D",B2930))-(FIND("D",B2930)+1)),"P",",")),
IF(ISNUMBER(FIND("CFW5",B2930)),
VALUE(MID(B2930,
IF(ISNUMBER(FIND("F",B2930)),FIND("F",B2930)+1,FIND("G",B2930)+1),
FIND("T",B2930)-(IF(ISNUMBER(FIND("F",B2930)),FIND("F",B2930)+1,FIND("G",B2930)+1))
)),
VALUE(MID(B2930,FIND("E0",B2930)+2,FIND("T",B2930,FIND("E0",B2930))-(FIND("E0",B2930)+2)))
))),"")</f>
        <v>5</v>
      </c>
      <c r="G2930">
        <f>IFERROR(
IF(ISNUMBER(FIND("T2",B2930)),220,
IF(ISNUMBER(FIND("T4",B2930)),440,
IF(ISNUMBER(FIND("T5",B2930)),575,
IF(ISNUMBER(FIND("T6",B2930)),690,"")))),
"")</f>
        <v>440</v>
      </c>
    </row>
    <row r="2931" spans="1:7" x14ac:dyDescent="0.25">
      <c r="A2931">
        <v>11135479</v>
      </c>
      <c r="B2931" t="str">
        <f>VLOOKUP(A2931,Planilha2!B:C,2,0)</f>
        <v>INVERSOR BRCFW110024T2O54Z</v>
      </c>
      <c r="C2931" t="s">
        <v>3169</v>
      </c>
      <c r="D2931" t="str">
        <f>VLOOKUP(A2931,Planilha2!B:H,7,0)</f>
        <v>LINHA M1</v>
      </c>
      <c r="E2931" s="5">
        <v>15000</v>
      </c>
      <c r="F2931">
        <f>IFERROR(
IF(ISNUMBER(FIND("CFW110",B2931)),
VALUE(MID(B2931,FIND("CFW110",B2931)+6,FIND("T",B2931,FIND("CFW110",B2931))-(FIND("CFW110",B2931)+6))),
IF(ISNUMBER(FIND("D",B2931)),
VALUE(SUBSTITUTE(MID(B2931,FIND("D",B2931)+1,FIND("T",B2931,FIND("D",B2931))-(FIND("D",B2931)+1)),"P",",")),
IF(ISNUMBER(FIND("CFW5",B2931)),
VALUE(MID(B2931,
IF(ISNUMBER(FIND("F",B2931)),FIND("F",B2931)+1,FIND("G",B2931)+1),
FIND("T",B2931)-(IF(ISNUMBER(FIND("F",B2931)),FIND("F",B2931)+1,FIND("G",B2931)+1))
)),
VALUE(MID(B2931,FIND("E0",B2931)+2,FIND("T",B2931,FIND("E0",B2931))-(FIND("E0",B2931)+2)))
))),"")</f>
        <v>24</v>
      </c>
      <c r="G2931">
        <f>IFERROR(
IF(ISNUMBER(FIND("T2",B2931)),220,
IF(ISNUMBER(FIND("T4",B2931)),440,
IF(ISNUMBER(FIND("T5",B2931)),575,
IF(ISNUMBER(FIND("T6",B2931)),690,"")))),
"")</f>
        <v>220</v>
      </c>
    </row>
    <row r="2932" spans="1:7" x14ac:dyDescent="0.25">
      <c r="A2932">
        <v>11135480</v>
      </c>
      <c r="B2932" t="str">
        <f>VLOOKUP(A2932,Planilha2!B:C,2,0)</f>
        <v>INVERSOR BRCFW110028T2O54Z</v>
      </c>
      <c r="C2932" t="s">
        <v>3169</v>
      </c>
      <c r="D2932" t="str">
        <f>VLOOKUP(A2932,Planilha2!B:H,7,0)</f>
        <v>LINHA M1</v>
      </c>
      <c r="E2932" s="5">
        <v>15000</v>
      </c>
      <c r="F2932">
        <f>IFERROR(
IF(ISNUMBER(FIND("CFW110",B2932)),
VALUE(MID(B2932,FIND("CFW110",B2932)+6,FIND("T",B2932,FIND("CFW110",B2932))-(FIND("CFW110",B2932)+6))),
IF(ISNUMBER(FIND("D",B2932)),
VALUE(SUBSTITUTE(MID(B2932,FIND("D",B2932)+1,FIND("T",B2932,FIND("D",B2932))-(FIND("D",B2932)+1)),"P",",")),
IF(ISNUMBER(FIND("CFW5",B2932)),
VALUE(MID(B2932,
IF(ISNUMBER(FIND("F",B2932)),FIND("F",B2932)+1,FIND("G",B2932)+1),
FIND("T",B2932)-(IF(ISNUMBER(FIND("F",B2932)),FIND("F",B2932)+1,FIND("G",B2932)+1))
)),
VALUE(MID(B2932,FIND("E0",B2932)+2,FIND("T",B2932,FIND("E0",B2932))-(FIND("E0",B2932)+2)))
))),"")</f>
        <v>28</v>
      </c>
      <c r="G2932">
        <f>IFERROR(
IF(ISNUMBER(FIND("T2",B2932)),220,
IF(ISNUMBER(FIND("T4",B2932)),440,
IF(ISNUMBER(FIND("T5",B2932)),575,
IF(ISNUMBER(FIND("T6",B2932)),690,"")))),
"")</f>
        <v>220</v>
      </c>
    </row>
    <row r="2933" spans="1:7" x14ac:dyDescent="0.25">
      <c r="A2933">
        <v>11135645</v>
      </c>
      <c r="B2933" t="str">
        <f>VLOOKUP(A2933,Planilha2!B:C,2,0)</f>
        <v>INVERSOR BRCFW110010T4O54Z</v>
      </c>
      <c r="C2933" t="s">
        <v>3169</v>
      </c>
      <c r="D2933" t="str">
        <f>VLOOKUP(A2933,Planilha2!B:H,7,0)</f>
        <v>LINHA M3</v>
      </c>
      <c r="E2933" s="5">
        <v>13000</v>
      </c>
      <c r="F2933">
        <f>IFERROR(
IF(ISNUMBER(FIND("CFW110",B2933)),
VALUE(MID(B2933,FIND("CFW110",B2933)+6,FIND("T",B2933,FIND("CFW110",B2933))-(FIND("CFW110",B2933)+6))),
IF(ISNUMBER(FIND("D",B2933)),
VALUE(SUBSTITUTE(MID(B2933,FIND("D",B2933)+1,FIND("T",B2933,FIND("D",B2933))-(FIND("D",B2933)+1)),"P",",")),
IF(ISNUMBER(FIND("CFW5",B2933)),
VALUE(MID(B2933,
IF(ISNUMBER(FIND("F",B2933)),FIND("F",B2933)+1,FIND("G",B2933)+1),
FIND("T",B2933)-(IF(ISNUMBER(FIND("F",B2933)),FIND("F",B2933)+1,FIND("G",B2933)+1))
)),
VALUE(MID(B2933,FIND("E0",B2933)+2,FIND("T",B2933,FIND("E0",B2933))-(FIND("E0",B2933)+2)))
))),"")</f>
        <v>10</v>
      </c>
      <c r="G2933">
        <f>IFERROR(
IF(ISNUMBER(FIND("T2",B2933)),220,
IF(ISNUMBER(FIND("T4",B2933)),440,
IF(ISNUMBER(FIND("T5",B2933)),575,
IF(ISNUMBER(FIND("T6",B2933)),690,"")))),
"")</f>
        <v>440</v>
      </c>
    </row>
    <row r="2934" spans="1:7" x14ac:dyDescent="0.25">
      <c r="A2934">
        <v>11141153</v>
      </c>
      <c r="B2934" t="str">
        <f>VLOOKUP(A2934,Planilha2!B:C,2,0)</f>
        <v>INVERSOR BRCFW110017T4O54Z</v>
      </c>
      <c r="C2934" t="s">
        <v>3169</v>
      </c>
      <c r="D2934" t="str">
        <f>VLOOKUP(A2934,Planilha2!B:H,7,0)</f>
        <v>LINHA M3</v>
      </c>
      <c r="E2934" s="5">
        <v>15000</v>
      </c>
      <c r="F2934">
        <f>IFERROR(
IF(ISNUMBER(FIND("CFW110",B2934)),
VALUE(MID(B2934,FIND("CFW110",B2934)+6,FIND("T",B2934,FIND("CFW110",B2934))-(FIND("CFW110",B2934)+6))),
IF(ISNUMBER(FIND("D",B2934)),
VALUE(SUBSTITUTE(MID(B2934,FIND("D",B2934)+1,FIND("T",B2934,FIND("D",B2934))-(FIND("D",B2934)+1)),"P",",")),
IF(ISNUMBER(FIND("CFW5",B2934)),
VALUE(MID(B2934,
IF(ISNUMBER(FIND("F",B2934)),FIND("F",B2934)+1,FIND("G",B2934)+1),
FIND("T",B2934)-(IF(ISNUMBER(FIND("F",B2934)),FIND("F",B2934)+1,FIND("G",B2934)+1))
)),
VALUE(MID(B2934,FIND("E0",B2934)+2,FIND("T",B2934,FIND("E0",B2934))-(FIND("E0",B2934)+2)))
))),"")</f>
        <v>17</v>
      </c>
      <c r="G2934">
        <f>IFERROR(
IF(ISNUMBER(FIND("T2",B2934)),220,
IF(ISNUMBER(FIND("T4",B2934)),440,
IF(ISNUMBER(FIND("T5",B2934)),575,
IF(ISNUMBER(FIND("T6",B2934)),690,"")))),
"")</f>
        <v>440</v>
      </c>
    </row>
    <row r="2935" spans="1:7" x14ac:dyDescent="0.25">
      <c r="A2935">
        <v>11144118</v>
      </c>
      <c r="B2935" t="str">
        <f>VLOOKUP(A2935,Planilha2!B:C,2,0)</f>
        <v>INVERSOR BRCFW110013T4O54Z</v>
      </c>
      <c r="C2935" t="s">
        <v>3169</v>
      </c>
      <c r="D2935" t="str">
        <f>VLOOKUP(A2935,Planilha2!B:H,7,0)</f>
        <v>LINHA M3</v>
      </c>
      <c r="E2935" s="5">
        <v>13000</v>
      </c>
      <c r="F2935">
        <f>IFERROR(
IF(ISNUMBER(FIND("CFW110",B2935)),
VALUE(MID(B2935,FIND("CFW110",B2935)+6,FIND("T",B2935,FIND("CFW110",B2935))-(FIND("CFW110",B2935)+6))),
IF(ISNUMBER(FIND("D",B2935)),
VALUE(SUBSTITUTE(MID(B2935,FIND("D",B2935)+1,FIND("T",B2935,FIND("D",B2935))-(FIND("D",B2935)+1)),"P",",")),
IF(ISNUMBER(FIND("CFW5",B2935)),
VALUE(MID(B2935,
IF(ISNUMBER(FIND("F",B2935)),FIND("F",B2935)+1,FIND("G",B2935)+1),
FIND("T",B2935)-(IF(ISNUMBER(FIND("F",B2935)),FIND("F",B2935)+1,FIND("G",B2935)+1))
)),
VALUE(MID(B2935,FIND("E0",B2935)+2,FIND("T",B2935,FIND("E0",B2935))-(FIND("E0",B2935)+2)))
))),"")</f>
        <v>13</v>
      </c>
      <c r="G2935">
        <f>IFERROR(
IF(ISNUMBER(FIND("T2",B2935)),220,
IF(ISNUMBER(FIND("T4",B2935)),440,
IF(ISNUMBER(FIND("T5",B2935)),575,
IF(ISNUMBER(FIND("T6",B2935)),690,"")))),
"")</f>
        <v>440</v>
      </c>
    </row>
    <row r="2936" spans="1:7" x14ac:dyDescent="0.25">
      <c r="A2936">
        <v>11144123</v>
      </c>
      <c r="B2936" t="str">
        <f>VLOOKUP(A2936,Planilha2!B:C,2,0)</f>
        <v>INVERSOR BRCFW110031T4O54Z</v>
      </c>
      <c r="C2936" t="s">
        <v>3169</v>
      </c>
      <c r="D2936" t="str">
        <f>VLOOKUP(A2936,Planilha2!B:H,7,0)</f>
        <v>LINHA M3</v>
      </c>
      <c r="E2936" s="5">
        <v>15000</v>
      </c>
      <c r="F2936">
        <f>IFERROR(
IF(ISNUMBER(FIND("CFW110",B2936)),
VALUE(MID(B2936,FIND("CFW110",B2936)+6,FIND("T",B2936,FIND("CFW110",B2936))-(FIND("CFW110",B2936)+6))),
IF(ISNUMBER(FIND("D",B2936)),
VALUE(SUBSTITUTE(MID(B2936,FIND("D",B2936)+1,FIND("T",B2936,FIND("D",B2936))-(FIND("D",B2936)+1)),"P",",")),
IF(ISNUMBER(FIND("CFW5",B2936)),
VALUE(MID(B2936,
IF(ISNUMBER(FIND("F",B2936)),FIND("F",B2936)+1,FIND("G",B2936)+1),
FIND("T",B2936)-(IF(ISNUMBER(FIND("F",B2936)),FIND("F",B2936)+1,FIND("G",B2936)+1))
)),
VALUE(MID(B2936,FIND("E0",B2936)+2,FIND("T",B2936,FIND("E0",B2936))-(FIND("E0",B2936)+2)))
))),"")</f>
        <v>31</v>
      </c>
      <c r="G2936">
        <f>IFERROR(
IF(ISNUMBER(FIND("T2",B2936)),220,
IF(ISNUMBER(FIND("T4",B2936)),440,
IF(ISNUMBER(FIND("T5",B2936)),575,
IF(ISNUMBER(FIND("T6",B2936)),690,"")))),
"")</f>
        <v>440</v>
      </c>
    </row>
    <row r="2937" spans="1:7" x14ac:dyDescent="0.25">
      <c r="A2937">
        <v>12529352</v>
      </c>
      <c r="B2937" t="str">
        <f>VLOOKUP(A2937,Planilha2!B:C,2,0)</f>
        <v>INVERSOR BRCFW110024T4OFAYZ</v>
      </c>
      <c r="C2937" t="s">
        <v>3169</v>
      </c>
      <c r="D2937" t="str">
        <f>VLOOKUP(A2937,Planilha2!B:H,7,0)</f>
        <v>LINHA P7</v>
      </c>
      <c r="E2937" s="5">
        <v>9700</v>
      </c>
      <c r="F2937">
        <f>IFERROR(
IF(ISNUMBER(FIND("CFW110",B2937)),
VALUE(MID(B2937,FIND("CFW110",B2937)+6,FIND("T",B2937,FIND("CFW110",B2937))-(FIND("CFW110",B2937)+6))),
IF(ISNUMBER(FIND("D",B2937)),
VALUE(SUBSTITUTE(MID(B2937,FIND("D",B2937)+1,FIND("T",B2937,FIND("D",B2937))-(FIND("D",B2937)+1)),"P",",")),
IF(ISNUMBER(FIND("CFW5",B2937)),
VALUE(MID(B2937,
IF(ISNUMBER(FIND("F",B2937)),FIND("F",B2937)+1,FIND("G",B2937)+1),
FIND("T",B2937)-(IF(ISNUMBER(FIND("F",B2937)),FIND("F",B2937)+1,FIND("G",B2937)+1))
)),
VALUE(MID(B2937,FIND("E0",B2937)+2,FIND("T",B2937,FIND("E0",B2937))-(FIND("E0",B2937)+2)))
))),"")</f>
        <v>24</v>
      </c>
      <c r="G2937">
        <f>IFERROR(
IF(ISNUMBER(FIND("T2",B2937)),220,
IF(ISNUMBER(FIND("T4",B2937)),440,
IF(ISNUMBER(FIND("T5",B2937)),575,
IF(ISNUMBER(FIND("T6",B2937)),690,"")))),
"")</f>
        <v>440</v>
      </c>
    </row>
    <row r="2938" spans="1:7" x14ac:dyDescent="0.25">
      <c r="A2938">
        <v>11969031</v>
      </c>
      <c r="B2938" t="str">
        <f>VLOOKUP(A2938,Planilha2!B:C,2,0)</f>
        <v>INVERSOR CFW700A07P0T2DB20</v>
      </c>
      <c r="C2938" t="s">
        <v>3169</v>
      </c>
      <c r="D2938" t="str">
        <f>VLOOKUP(A2938,Planilha2!B:H,7,0)</f>
        <v>OBSOLETOS DRIVES</v>
      </c>
      <c r="E2938" s="5">
        <v>4500</v>
      </c>
      <c r="F2938" t="str">
        <f>IFERROR(
IF(ISNUMBER(FIND("CFW110",B2938)),
VALUE(MID(B2938,FIND("CFW110",B2938)+6,FIND("T",B2938,FIND("CFW110",B2938))-(FIND("CFW110",B2938)+6))),
IF(ISNUMBER(FIND("D",B2938)),
VALUE(SUBSTITUTE(MID(B2938,FIND("D",B2938)+1,FIND("T",B2938,FIND("D",B2938))-(FIND("D",B2938)+1)),"P",",")),
IF(ISNUMBER(FIND("CFW5",B2938)),
VALUE(MID(B2938,
IF(ISNUMBER(FIND("F",B2938)),FIND("F",B2938)+1,FIND("G",B2938)+1),
FIND("T",B2938)-(IF(ISNUMBER(FIND("F",B2938)),FIND("F",B2938)+1,FIND("G",B2938)+1))
)),
VALUE(MID(B2938,FIND("E0",B2938)+2,FIND("T",B2938,FIND("E0",B2938))-(FIND("E0",B2938)+2)))
))),"")</f>
        <v/>
      </c>
      <c r="G2938">
        <f>IFERROR(
IF(ISNUMBER(FIND("T2",B2938)),220,
IF(ISNUMBER(FIND("T4",B2938)),440,
IF(ISNUMBER(FIND("T5",B2938)),575,
IF(ISNUMBER(FIND("T6",B2938)),690,"")))),
"")</f>
        <v>220</v>
      </c>
    </row>
    <row r="2939" spans="1:7" x14ac:dyDescent="0.25">
      <c r="A2939">
        <v>11968971</v>
      </c>
      <c r="B2939" t="str">
        <f>VLOOKUP(A2939,Planilha2!B:C,2,0)</f>
        <v>INVERSOR CFW700A07P0B2DB20</v>
      </c>
      <c r="C2939" t="s">
        <v>3169</v>
      </c>
      <c r="D2939" t="str">
        <f>VLOOKUP(A2939,Planilha2!B:H,7,0)</f>
        <v>OBSOLETOS DRIVES</v>
      </c>
      <c r="E2939" s="5">
        <v>4500</v>
      </c>
      <c r="F2939" t="str">
        <f>IFERROR(
IF(ISNUMBER(FIND("CFW110",B2939)),
VALUE(MID(B2939,FIND("CFW110",B2939)+6,FIND("T",B2939,FIND("CFW110",B2939))-(FIND("CFW110",B2939)+6))),
IF(ISNUMBER(FIND("D",B2939)),
VALUE(SUBSTITUTE(MID(B2939,FIND("D",B2939)+1,FIND("T",B2939,FIND("D",B2939))-(FIND("D",B2939)+1)),"P",",")),
IF(ISNUMBER(FIND("CFW5",B2939)),
VALUE(MID(B2939,
IF(ISNUMBER(FIND("F",B2939)),FIND("F",B2939)+1,FIND("G",B2939)+1),
FIND("T",B2939)-(IF(ISNUMBER(FIND("F",B2939)),FIND("F",B2939)+1,FIND("G",B2939)+1))
)),
VALUE(MID(B2939,FIND("E0",B2939)+2,FIND("T",B2939,FIND("E0",B2939))-(FIND("E0",B2939)+2)))
))),"")</f>
        <v/>
      </c>
      <c r="G2939" t="str">
        <f>IFERROR(
IF(ISNUMBER(FIND("T2",B2939)),220,
IF(ISNUMBER(FIND("T4",B2939)),440,
IF(ISNUMBER(FIND("T5",B2939)),575,
IF(ISNUMBER(FIND("T6",B2939)),690,"")))),
"")</f>
        <v/>
      </c>
    </row>
    <row r="2940" spans="1:7" x14ac:dyDescent="0.25">
      <c r="A2940">
        <v>12049220</v>
      </c>
      <c r="B2940" t="str">
        <f>VLOOKUP(A2940,Planilha2!B:C,2,0)</f>
        <v>INVERSOR EUCFW110031T4OFAYWZ </v>
      </c>
      <c r="C2940" t="s">
        <v>3169</v>
      </c>
      <c r="D2940" t="str">
        <f>VLOOKUP(A2940,Planilha2!B:H,7,0)</f>
        <v>LINHA P7</v>
      </c>
      <c r="E2940" s="5">
        <v>10400</v>
      </c>
      <c r="F2940">
        <f>IFERROR(
IF(ISNUMBER(FIND("CFW110",B2940)),
VALUE(MID(B2940,FIND("CFW110",B2940)+6,FIND("T",B2940,FIND("CFW110",B2940))-(FIND("CFW110",B2940)+6))),
IF(ISNUMBER(FIND("D",B2940)),
VALUE(SUBSTITUTE(MID(B2940,FIND("D",B2940)+1,FIND("T",B2940,FIND("D",B2940))-(FIND("D",B2940)+1)),"P",",")),
IF(ISNUMBER(FIND("CFW5",B2940)),
VALUE(MID(B2940,
IF(ISNUMBER(FIND("F",B2940)),FIND("F",B2940)+1,FIND("G",B2940)+1),
FIND("T",B2940)-(IF(ISNUMBER(FIND("F",B2940)),FIND("F",B2940)+1,FIND("G",B2940)+1))
)),
VALUE(MID(B2940,FIND("E0",B2940)+2,FIND("T",B2940,FIND("E0",B2940))-(FIND("E0",B2940)+2)))
))),"")</f>
        <v>31</v>
      </c>
      <c r="G2940">
        <f>IFERROR(
IF(ISNUMBER(FIND("T2",B2940)),220,
IF(ISNUMBER(FIND("T4",B2940)),440,
IF(ISNUMBER(FIND("T5",B2940)),575,
IF(ISNUMBER(FIND("T6",B2940)),690,"")))),
"")</f>
        <v>440</v>
      </c>
    </row>
    <row r="2941" spans="1:7" x14ac:dyDescent="0.25">
      <c r="A2941">
        <v>12028734</v>
      </c>
      <c r="B2941" t="str">
        <f>VLOOKUP(A2941,Planilha2!B:C,2,0)</f>
        <v>INVERSOR EUCFW110010T4OFAYWZ</v>
      </c>
      <c r="C2941" t="s">
        <v>3169</v>
      </c>
      <c r="D2941" t="str">
        <f>VLOOKUP(A2941,Planilha2!B:H,7,0)</f>
        <v>LINHA P5</v>
      </c>
      <c r="E2941" s="5">
        <v>4500</v>
      </c>
      <c r="F2941">
        <f>IFERROR(
IF(ISNUMBER(FIND("CFW110",B2941)),
VALUE(MID(B2941,FIND("CFW110",B2941)+6,FIND("T",B2941,FIND("CFW110",B2941))-(FIND("CFW110",B2941)+6))),
IF(ISNUMBER(FIND("D",B2941)),
VALUE(SUBSTITUTE(MID(B2941,FIND("D",B2941)+1,FIND("T",B2941,FIND("D",B2941))-(FIND("D",B2941)+1)),"P",",")),
IF(ISNUMBER(FIND("CFW5",B2941)),
VALUE(MID(B2941,
IF(ISNUMBER(FIND("F",B2941)),FIND("F",B2941)+1,FIND("G",B2941)+1),
FIND("T",B2941)-(IF(ISNUMBER(FIND("F",B2941)),FIND("F",B2941)+1,FIND("G",B2941)+1))
)),
VALUE(MID(B2941,FIND("E0",B2941)+2,FIND("T",B2941,FIND("E0",B2941))-(FIND("E0",B2941)+2)))
))),"")</f>
        <v>10</v>
      </c>
      <c r="G2941">
        <f>IFERROR(
IF(ISNUMBER(FIND("T2",B2941)),220,
IF(ISNUMBER(FIND("T4",B2941)),440,
IF(ISNUMBER(FIND("T5",B2941)),575,
IF(ISNUMBER(FIND("T6",B2941)),690,"")))),
"")</f>
        <v>440</v>
      </c>
    </row>
    <row r="2942" spans="1:7" x14ac:dyDescent="0.25">
      <c r="A2942">
        <v>11873403</v>
      </c>
      <c r="B2942" t="str">
        <f>VLOOKUP(A2942,Planilha2!B:C,2,0)</f>
        <v>INVERSOR MSCFW110005T4OYZ</v>
      </c>
      <c r="C2942" t="s">
        <v>3169</v>
      </c>
      <c r="D2942" t="str">
        <f>VLOOKUP(A2942,Planilha2!B:H,7,0)</f>
        <v>LINHA P5</v>
      </c>
      <c r="E2942" s="5">
        <v>4500</v>
      </c>
      <c r="F2942">
        <f>IFERROR(
IF(ISNUMBER(FIND("CFW110",B2942)),
VALUE(MID(B2942,FIND("CFW110",B2942)+6,FIND("T",B2942,FIND("CFW110",B2942))-(FIND("CFW110",B2942)+6))),
IF(ISNUMBER(FIND("D",B2942)),
VALUE(SUBSTITUTE(MID(B2942,FIND("D",B2942)+1,FIND("T",B2942,FIND("D",B2942))-(FIND("D",B2942)+1)),"P",",")),
IF(ISNUMBER(FIND("CFW5",B2942)),
VALUE(MID(B2942,
IF(ISNUMBER(FIND("F",B2942)),FIND("F",B2942)+1,FIND("G",B2942)+1),
FIND("T",B2942)-(IF(ISNUMBER(FIND("F",B2942)),FIND("F",B2942)+1,FIND("G",B2942)+1))
)),
VALUE(MID(B2942,FIND("E0",B2942)+2,FIND("T",B2942,FIND("E0",B2942))-(FIND("E0",B2942)+2)))
))),"")</f>
        <v>5</v>
      </c>
      <c r="G2942">
        <f>IFERROR(
IF(ISNUMBER(FIND("T2",B2942)),220,
IF(ISNUMBER(FIND("T4",B2942)),440,
IF(ISNUMBER(FIND("T5",B2942)),575,
IF(ISNUMBER(FIND("T6",B2942)),690,"")))),
"")</f>
        <v>440</v>
      </c>
    </row>
    <row r="2943" spans="1:7" x14ac:dyDescent="0.25">
      <c r="A2943">
        <v>12004001</v>
      </c>
      <c r="B2943" t="str">
        <f>VLOOKUP(A2943,Planilha2!B:C,2,0)</f>
        <v>INVERSOR EUCFW110003T4OYWZ</v>
      </c>
      <c r="C2943" t="s">
        <v>3169</v>
      </c>
      <c r="D2943" t="str">
        <f>VLOOKUP(A2943,Planilha2!B:H,7,0)</f>
        <v>LINHA P5</v>
      </c>
      <c r="E2943" s="5">
        <v>5700</v>
      </c>
      <c r="F2943">
        <f>IFERROR(
IF(ISNUMBER(FIND("CFW110",B2943)),
VALUE(MID(B2943,FIND("CFW110",B2943)+6,FIND("T",B2943,FIND("CFW110",B2943))-(FIND("CFW110",B2943)+6))),
IF(ISNUMBER(FIND("D",B2943)),
VALUE(SUBSTITUTE(MID(B2943,FIND("D",B2943)+1,FIND("T",B2943,FIND("D",B2943))-(FIND("D",B2943)+1)),"P",",")),
IF(ISNUMBER(FIND("CFW5",B2943)),
VALUE(MID(B2943,
IF(ISNUMBER(FIND("F",B2943)),FIND("F",B2943)+1,FIND("G",B2943)+1),
FIND("T",B2943)-(IF(ISNUMBER(FIND("F",B2943)),FIND("F",B2943)+1,FIND("G",B2943)+1))
)),
VALUE(MID(B2943,FIND("E0",B2943)+2,FIND("T",B2943,FIND("E0",B2943))-(FIND("E0",B2943)+2)))
))),"")</f>
        <v>3</v>
      </c>
      <c r="G2943">
        <f>IFERROR(
IF(ISNUMBER(FIND("T2",B2943)),220,
IF(ISNUMBER(FIND("T4",B2943)),440,
IF(ISNUMBER(FIND("T5",B2943)),575,
IF(ISNUMBER(FIND("T6",B2943)),690,"")))),
"")</f>
        <v>440</v>
      </c>
    </row>
    <row r="2944" spans="1:7" x14ac:dyDescent="0.25">
      <c r="A2944">
        <v>12004002</v>
      </c>
      <c r="B2944" t="str">
        <f>VLOOKUP(A2944,Planilha2!B:C,2,0)</f>
        <v>INVERSOR EUCFW110005T4OYWZ</v>
      </c>
      <c r="C2944" t="s">
        <v>3169</v>
      </c>
      <c r="D2944" t="str">
        <f>VLOOKUP(A2944,Planilha2!B:H,7,0)</f>
        <v>LINHA P5</v>
      </c>
      <c r="E2944" s="5">
        <v>5900</v>
      </c>
      <c r="F2944">
        <f>IFERROR(
IF(ISNUMBER(FIND("CFW110",B2944)),
VALUE(MID(B2944,FIND("CFW110",B2944)+6,FIND("T",B2944,FIND("CFW110",B2944))-(FIND("CFW110",B2944)+6))),
IF(ISNUMBER(FIND("D",B2944)),
VALUE(SUBSTITUTE(MID(B2944,FIND("D",B2944)+1,FIND("T",B2944,FIND("D",B2944))-(FIND("D",B2944)+1)),"P",",")),
IF(ISNUMBER(FIND("CFW5",B2944)),
VALUE(MID(B2944,
IF(ISNUMBER(FIND("F",B2944)),FIND("F",B2944)+1,FIND("G",B2944)+1),
FIND("T",B2944)-(IF(ISNUMBER(FIND("F",B2944)),FIND("F",B2944)+1,FIND("G",B2944)+1))
)),
VALUE(MID(B2944,FIND("E0",B2944)+2,FIND("T",B2944,FIND("E0",B2944))-(FIND("E0",B2944)+2)))
))),"")</f>
        <v>5</v>
      </c>
      <c r="G2944">
        <f>IFERROR(
IF(ISNUMBER(FIND("T2",B2944)),220,
IF(ISNUMBER(FIND("T4",B2944)),440,
IF(ISNUMBER(FIND("T5",B2944)),575,
IF(ISNUMBER(FIND("T6",B2944)),690,"")))),
"")</f>
        <v>440</v>
      </c>
    </row>
    <row r="2945" spans="1:7" x14ac:dyDescent="0.25">
      <c r="A2945">
        <v>12004004</v>
      </c>
      <c r="B2945" t="str">
        <f>VLOOKUP(A2945,Planilha2!B:C,2,0)</f>
        <v>INVERSOR EUCFW110007T4OYWZ</v>
      </c>
      <c r="C2945" t="s">
        <v>3169</v>
      </c>
      <c r="D2945" t="str">
        <f>VLOOKUP(A2945,Planilha2!B:H,7,0)</f>
        <v>LINHA P5</v>
      </c>
      <c r="E2945" s="5">
        <v>5900</v>
      </c>
      <c r="F2945">
        <f>IFERROR(
IF(ISNUMBER(FIND("CFW110",B2945)),
VALUE(MID(B2945,FIND("CFW110",B2945)+6,FIND("T",B2945,FIND("CFW110",B2945))-(FIND("CFW110",B2945)+6))),
IF(ISNUMBER(FIND("D",B2945)),
VALUE(SUBSTITUTE(MID(B2945,FIND("D",B2945)+1,FIND("T",B2945,FIND("D",B2945))-(FIND("D",B2945)+1)),"P",",")),
IF(ISNUMBER(FIND("CFW5",B2945)),
VALUE(MID(B2945,
IF(ISNUMBER(FIND("F",B2945)),FIND("F",B2945)+1,FIND("G",B2945)+1),
FIND("T",B2945)-(IF(ISNUMBER(FIND("F",B2945)),FIND("F",B2945)+1,FIND("G",B2945)+1))
)),
VALUE(MID(B2945,FIND("E0",B2945)+2,FIND("T",B2945,FIND("E0",B2945))-(FIND("E0",B2945)+2)))
))),"")</f>
        <v>7</v>
      </c>
      <c r="G2945">
        <f>IFERROR(
IF(ISNUMBER(FIND("T2",B2945)),220,
IF(ISNUMBER(FIND("T4",B2945)),440,
IF(ISNUMBER(FIND("T5",B2945)),575,
IF(ISNUMBER(FIND("T6",B2945)),690,"")))),
"")</f>
        <v>440</v>
      </c>
    </row>
    <row r="2946" spans="1:7" x14ac:dyDescent="0.25">
      <c r="A2946">
        <v>12004005</v>
      </c>
      <c r="B2946" t="str">
        <f>VLOOKUP(A2946,Planilha2!B:C,2,0)</f>
        <v>INVERSOR EUCFW110010T4OYWZ</v>
      </c>
      <c r="C2946" t="s">
        <v>3169</v>
      </c>
      <c r="D2946" t="str">
        <f>VLOOKUP(A2946,Planilha2!B:H,7,0)</f>
        <v>LINHA P5</v>
      </c>
      <c r="E2946" s="5">
        <v>4500</v>
      </c>
      <c r="F2946">
        <f>IFERROR(
IF(ISNUMBER(FIND("CFW110",B2946)),
VALUE(MID(B2946,FIND("CFW110",B2946)+6,FIND("T",B2946,FIND("CFW110",B2946))-(FIND("CFW110",B2946)+6))),
IF(ISNUMBER(FIND("D",B2946)),
VALUE(SUBSTITUTE(MID(B2946,FIND("D",B2946)+1,FIND("T",B2946,FIND("D",B2946))-(FIND("D",B2946)+1)),"P",",")),
IF(ISNUMBER(FIND("CFW5",B2946)),
VALUE(MID(B2946,
IF(ISNUMBER(FIND("F",B2946)),FIND("F",B2946)+1,FIND("G",B2946)+1),
FIND("T",B2946)-(IF(ISNUMBER(FIND("F",B2946)),FIND("F",B2946)+1,FIND("G",B2946)+1))
)),
VALUE(MID(B2946,FIND("E0",B2946)+2,FIND("T",B2946,FIND("E0",B2946))-(FIND("E0",B2946)+2)))
))),"")</f>
        <v>10</v>
      </c>
      <c r="G2946">
        <f>IFERROR(
IF(ISNUMBER(FIND("T2",B2946)),220,
IF(ISNUMBER(FIND("T4",B2946)),440,
IF(ISNUMBER(FIND("T5",B2946)),575,
IF(ISNUMBER(FIND("T6",B2946)),690,"")))),
"")</f>
        <v>440</v>
      </c>
    </row>
    <row r="2947" spans="1:7" x14ac:dyDescent="0.25">
      <c r="A2947">
        <v>12004006</v>
      </c>
      <c r="B2947" t="str">
        <f>VLOOKUP(A2947,Planilha2!B:C,2,0)</f>
        <v>INVERSOR EUCFW110013T4OYWZ</v>
      </c>
      <c r="C2947" t="s">
        <v>3169</v>
      </c>
      <c r="D2947" t="str">
        <f>VLOOKUP(A2947,Planilha2!B:H,7,0)</f>
        <v>LINHA P5</v>
      </c>
      <c r="E2947" s="5">
        <v>6300</v>
      </c>
      <c r="F2947">
        <f>IFERROR(
IF(ISNUMBER(FIND("CFW110",B2947)),
VALUE(MID(B2947,FIND("CFW110",B2947)+6,FIND("T",B2947,FIND("CFW110",B2947))-(FIND("CFW110",B2947)+6))),
IF(ISNUMBER(FIND("D",B2947)),
VALUE(SUBSTITUTE(MID(B2947,FIND("D",B2947)+1,FIND("T",B2947,FIND("D",B2947))-(FIND("D",B2947)+1)),"P",",")),
IF(ISNUMBER(FIND("CFW5",B2947)),
VALUE(MID(B2947,
IF(ISNUMBER(FIND("F",B2947)),FIND("F",B2947)+1,FIND("G",B2947)+1),
FIND("T",B2947)-(IF(ISNUMBER(FIND("F",B2947)),FIND("F",B2947)+1,FIND("G",B2947)+1))
)),
VALUE(MID(B2947,FIND("E0",B2947)+2,FIND("T",B2947,FIND("E0",B2947))-(FIND("E0",B2947)+2)))
))),"")</f>
        <v>13</v>
      </c>
      <c r="G2947">
        <f>IFERROR(
IF(ISNUMBER(FIND("T2",B2947)),220,
IF(ISNUMBER(FIND("T4",B2947)),440,
IF(ISNUMBER(FIND("T5",B2947)),575,
IF(ISNUMBER(FIND("T6",B2947)),690,"")))),
"")</f>
        <v>440</v>
      </c>
    </row>
    <row r="2948" spans="1:7" x14ac:dyDescent="0.25">
      <c r="A2948">
        <v>12004576</v>
      </c>
      <c r="B2948" t="str">
        <f>VLOOKUP(A2948,Planilha2!B:C,2,0)</f>
        <v>INVERSOR EUCFW110017T4OYWZ</v>
      </c>
      <c r="C2948" t="s">
        <v>3169</v>
      </c>
      <c r="D2948" t="str">
        <f>VLOOKUP(A2948,Planilha2!B:H,7,0)</f>
        <v>LINHA P7</v>
      </c>
      <c r="E2948" s="5">
        <v>9100</v>
      </c>
      <c r="F2948">
        <f>IFERROR(
IF(ISNUMBER(FIND("CFW110",B2948)),
VALUE(MID(B2948,FIND("CFW110",B2948)+6,FIND("T",B2948,FIND("CFW110",B2948))-(FIND("CFW110",B2948)+6))),
IF(ISNUMBER(FIND("D",B2948)),
VALUE(SUBSTITUTE(MID(B2948,FIND("D",B2948)+1,FIND("T",B2948,FIND("D",B2948))-(FIND("D",B2948)+1)),"P",",")),
IF(ISNUMBER(FIND("CFW5",B2948)),
VALUE(MID(B2948,
IF(ISNUMBER(FIND("F",B2948)),FIND("F",B2948)+1,FIND("G",B2948)+1),
FIND("T",B2948)-(IF(ISNUMBER(FIND("F",B2948)),FIND("F",B2948)+1,FIND("G",B2948)+1))
)),
VALUE(MID(B2948,FIND("E0",B2948)+2,FIND("T",B2948,FIND("E0",B2948))-(FIND("E0",B2948)+2)))
))),"")</f>
        <v>17</v>
      </c>
      <c r="G2948">
        <f>IFERROR(
IF(ISNUMBER(FIND("T2",B2948)),220,
IF(ISNUMBER(FIND("T4",B2948)),440,
IF(ISNUMBER(FIND("T5",B2948)),575,
IF(ISNUMBER(FIND("T6",B2948)),690,"")))),
"")</f>
        <v>440</v>
      </c>
    </row>
    <row r="2949" spans="1:7" x14ac:dyDescent="0.25">
      <c r="A2949">
        <v>12004577</v>
      </c>
      <c r="B2949" t="str">
        <f>VLOOKUP(A2949,Planilha2!B:C,2,0)</f>
        <v>INVERSOR EUCFW110024T4OYWZ</v>
      </c>
      <c r="C2949" t="s">
        <v>3169</v>
      </c>
      <c r="D2949" t="str">
        <f>VLOOKUP(A2949,Planilha2!B:H,7,0)</f>
        <v>LINHA P7</v>
      </c>
      <c r="E2949" s="5">
        <v>10000</v>
      </c>
      <c r="F2949">
        <f>IFERROR(
IF(ISNUMBER(FIND("CFW110",B2949)),
VALUE(MID(B2949,FIND("CFW110",B2949)+6,FIND("T",B2949,FIND("CFW110",B2949))-(FIND("CFW110",B2949)+6))),
IF(ISNUMBER(FIND("D",B2949)),
VALUE(SUBSTITUTE(MID(B2949,FIND("D",B2949)+1,FIND("T",B2949,FIND("D",B2949))-(FIND("D",B2949)+1)),"P",",")),
IF(ISNUMBER(FIND("CFW5",B2949)),
VALUE(MID(B2949,
IF(ISNUMBER(FIND("F",B2949)),FIND("F",B2949)+1,FIND("G",B2949)+1),
FIND("T",B2949)-(IF(ISNUMBER(FIND("F",B2949)),FIND("F",B2949)+1,FIND("G",B2949)+1))
)),
VALUE(MID(B2949,FIND("E0",B2949)+2,FIND("T",B2949,FIND("E0",B2949))-(FIND("E0",B2949)+2)))
))),"")</f>
        <v>24</v>
      </c>
      <c r="G2949">
        <f>IFERROR(
IF(ISNUMBER(FIND("T2",B2949)),220,
IF(ISNUMBER(FIND("T4",B2949)),440,
IF(ISNUMBER(FIND("T5",B2949)),575,
IF(ISNUMBER(FIND("T6",B2949)),690,"")))),
"")</f>
        <v>440</v>
      </c>
    </row>
    <row r="2950" spans="1:7" x14ac:dyDescent="0.25">
      <c r="A2950">
        <v>12004638</v>
      </c>
      <c r="B2950" t="str">
        <f>VLOOKUP(A2950,Planilha2!B:C,2,0)</f>
        <v>INVERSOR EUCFW110031T4OYWZ</v>
      </c>
      <c r="C2950" t="s">
        <v>3169</v>
      </c>
      <c r="D2950" t="str">
        <f>VLOOKUP(A2950,Planilha2!B:H,7,0)</f>
        <v>LINHA P7</v>
      </c>
      <c r="E2950" s="5">
        <v>9500</v>
      </c>
      <c r="F2950">
        <f>IFERROR(
IF(ISNUMBER(FIND("CFW110",B2950)),
VALUE(MID(B2950,FIND("CFW110",B2950)+6,FIND("T",B2950,FIND("CFW110",B2950))-(FIND("CFW110",B2950)+6))),
IF(ISNUMBER(FIND("D",B2950)),
VALUE(SUBSTITUTE(MID(B2950,FIND("D",B2950)+1,FIND("T",B2950,FIND("D",B2950))-(FIND("D",B2950)+1)),"P",",")),
IF(ISNUMBER(FIND("CFW5",B2950)),
VALUE(MID(B2950,
IF(ISNUMBER(FIND("F",B2950)),FIND("F",B2950)+1,FIND("G",B2950)+1),
FIND("T",B2950)-(IF(ISNUMBER(FIND("F",B2950)),FIND("F",B2950)+1,FIND("G",B2950)+1))
)),
VALUE(MID(B2950,FIND("E0",B2950)+2,FIND("T",B2950,FIND("E0",B2950))-(FIND("E0",B2950)+2)))
))),"")</f>
        <v>31</v>
      </c>
      <c r="G2950">
        <f>IFERROR(
IF(ISNUMBER(FIND("T2",B2950)),220,
IF(ISNUMBER(FIND("T4",B2950)),440,
IF(ISNUMBER(FIND("T5",B2950)),575,
IF(ISNUMBER(FIND("T6",B2950)),690,"")))),
"")</f>
        <v>440</v>
      </c>
    </row>
    <row r="2951" spans="1:7" x14ac:dyDescent="0.25">
      <c r="A2951">
        <v>11872796</v>
      </c>
      <c r="B2951" t="str">
        <f>VLOOKUP(A2951,Planilha2!B:C,2,0)</f>
        <v>INVERSOR EUCFW110007S2OFAYZ</v>
      </c>
      <c r="C2951" t="s">
        <v>3169</v>
      </c>
      <c r="D2951" t="str">
        <f>VLOOKUP(A2951,Planilha2!B:H,7,0)</f>
        <v>LINHA P5</v>
      </c>
      <c r="E2951" s="5">
        <v>6100</v>
      </c>
      <c r="F2951" t="str">
        <f>IFERROR(
IF(ISNUMBER(FIND("CFW110",B2951)),
VALUE(MID(B2951,FIND("CFW110",B2951)+6,FIND("T",B2951,FIND("CFW110",B2951))-(FIND("CFW110",B2951)+6))),
IF(ISNUMBER(FIND("D",B2951)),
VALUE(SUBSTITUTE(MID(B2951,FIND("D",B2951)+1,FIND("T",B2951,FIND("D",B2951))-(FIND("D",B2951)+1)),"P",",")),
IF(ISNUMBER(FIND("CFW5",B2951)),
VALUE(MID(B2951,
IF(ISNUMBER(FIND("F",B2951)),FIND("F",B2951)+1,FIND("G",B2951)+1),
FIND("T",B2951)-(IF(ISNUMBER(FIND("F",B2951)),FIND("F",B2951)+1,FIND("G",B2951)+1))
)),
VALUE(MID(B2951,FIND("E0",B2951)+2,FIND("T",B2951,FIND("E0",B2951))-(FIND("E0",B2951)+2)))
))),"")</f>
        <v/>
      </c>
      <c r="G2951" t="str">
        <f>IFERROR(
IF(ISNUMBER(FIND("T2",B2951)),220,
IF(ISNUMBER(FIND("T4",B2951)),440,
IF(ISNUMBER(FIND("T5",B2951)),575,
IF(ISNUMBER(FIND("T6",B2951)),690,"")))),
"")</f>
        <v/>
      </c>
    </row>
    <row r="2952" spans="1:7" x14ac:dyDescent="0.25">
      <c r="A2952">
        <v>11872808</v>
      </c>
      <c r="B2952" t="str">
        <f>VLOOKUP(A2952,Planilha2!B:C,2,0)</f>
        <v>INVERSOR EUCFW110007T2OFAYZ</v>
      </c>
      <c r="C2952" t="s">
        <v>3169</v>
      </c>
      <c r="D2952" t="str">
        <f>VLOOKUP(A2952,Planilha2!B:H,7,0)</f>
        <v>LINHA P5</v>
      </c>
      <c r="E2952" s="5">
        <v>5700</v>
      </c>
      <c r="F2952">
        <f>IFERROR(
IF(ISNUMBER(FIND("CFW110",B2952)),
VALUE(MID(B2952,FIND("CFW110",B2952)+6,FIND("T",B2952,FIND("CFW110",B2952))-(FIND("CFW110",B2952)+6))),
IF(ISNUMBER(FIND("D",B2952)),
VALUE(SUBSTITUTE(MID(B2952,FIND("D",B2952)+1,FIND("T",B2952,FIND("D",B2952))-(FIND("D",B2952)+1)),"P",",")),
IF(ISNUMBER(FIND("CFW5",B2952)),
VALUE(MID(B2952,
IF(ISNUMBER(FIND("F",B2952)),FIND("F",B2952)+1,FIND("G",B2952)+1),
FIND("T",B2952)-(IF(ISNUMBER(FIND("F",B2952)),FIND("F",B2952)+1,FIND("G",B2952)+1))
)),
VALUE(MID(B2952,FIND("E0",B2952)+2,FIND("T",B2952,FIND("E0",B2952))-(FIND("E0",B2952)+2)))
))),"")</f>
        <v>7</v>
      </c>
      <c r="G2952">
        <f>IFERROR(
IF(ISNUMBER(FIND("T2",B2952)),220,
IF(ISNUMBER(FIND("T4",B2952)),440,
IF(ISNUMBER(FIND("T5",B2952)),575,
IF(ISNUMBER(FIND("T6",B2952)),690,"")))),
"")</f>
        <v>220</v>
      </c>
    </row>
    <row r="2953" spans="1:7" x14ac:dyDescent="0.25">
      <c r="A2953">
        <v>11872797</v>
      </c>
      <c r="B2953" t="str">
        <f>VLOOKUP(A2953,Planilha2!B:C,2,0)</f>
        <v>INVERSOR EUCFW110010S2OFAYZ</v>
      </c>
      <c r="C2953" t="s">
        <v>3169</v>
      </c>
      <c r="D2953" t="str">
        <f>VLOOKUP(A2953,Planilha2!B:H,7,0)</f>
        <v>LINHA P5</v>
      </c>
      <c r="E2953" s="5">
        <v>6100</v>
      </c>
      <c r="F2953" t="str">
        <f>IFERROR(
IF(ISNUMBER(FIND("CFW110",B2953)),
VALUE(MID(B2953,FIND("CFW110",B2953)+6,FIND("T",B2953,FIND("CFW110",B2953))-(FIND("CFW110",B2953)+6))),
IF(ISNUMBER(FIND("D",B2953)),
VALUE(SUBSTITUTE(MID(B2953,FIND("D",B2953)+1,FIND("T",B2953,FIND("D",B2953))-(FIND("D",B2953)+1)),"P",",")),
IF(ISNUMBER(FIND("CFW5",B2953)),
VALUE(MID(B2953,
IF(ISNUMBER(FIND("F",B2953)),FIND("F",B2953)+1,FIND("G",B2953)+1),
FIND("T",B2953)-(IF(ISNUMBER(FIND("F",B2953)),FIND("F",B2953)+1,FIND("G",B2953)+1))
)),
VALUE(MID(B2953,FIND("E0",B2953)+2,FIND("T",B2953,FIND("E0",B2953))-(FIND("E0",B2953)+2)))
))),"")</f>
        <v/>
      </c>
      <c r="G2953" t="str">
        <f>IFERROR(
IF(ISNUMBER(FIND("T2",B2953)),220,
IF(ISNUMBER(FIND("T4",B2953)),440,
IF(ISNUMBER(FIND("T5",B2953)),575,
IF(ISNUMBER(FIND("T6",B2953)),690,"")))),
"")</f>
        <v/>
      </c>
    </row>
    <row r="2954" spans="1:7" x14ac:dyDescent="0.25">
      <c r="A2954">
        <v>11872809</v>
      </c>
      <c r="B2954" t="str">
        <f>VLOOKUP(A2954,Planilha2!B:C,2,0)</f>
        <v>INVERSOR EUCFW110010T2OFAYZ</v>
      </c>
      <c r="C2954" t="s">
        <v>3169</v>
      </c>
      <c r="D2954" t="str">
        <f>VLOOKUP(A2954,Planilha2!B:H,7,0)</f>
        <v>LINHA P5</v>
      </c>
      <c r="E2954" s="5">
        <v>5700</v>
      </c>
      <c r="F2954">
        <f>IFERROR(
IF(ISNUMBER(FIND("CFW110",B2954)),
VALUE(MID(B2954,FIND("CFW110",B2954)+6,FIND("T",B2954,FIND("CFW110",B2954))-(FIND("CFW110",B2954)+6))),
IF(ISNUMBER(FIND("D",B2954)),
VALUE(SUBSTITUTE(MID(B2954,FIND("D",B2954)+1,FIND("T",B2954,FIND("D",B2954))-(FIND("D",B2954)+1)),"P",",")),
IF(ISNUMBER(FIND("CFW5",B2954)),
VALUE(MID(B2954,
IF(ISNUMBER(FIND("F",B2954)),FIND("F",B2954)+1,FIND("G",B2954)+1),
FIND("T",B2954)-(IF(ISNUMBER(FIND("F",B2954)),FIND("F",B2954)+1,FIND("G",B2954)+1))
)),
VALUE(MID(B2954,FIND("E0",B2954)+2,FIND("T",B2954,FIND("E0",B2954))-(FIND("E0",B2954)+2)))
))),"")</f>
        <v>10</v>
      </c>
      <c r="G2954">
        <f>IFERROR(
IF(ISNUMBER(FIND("T2",B2954)),220,
IF(ISNUMBER(FIND("T4",B2954)),440,
IF(ISNUMBER(FIND("T5",B2954)),575,
IF(ISNUMBER(FIND("T6",B2954)),690,"")))),
"")</f>
        <v>220</v>
      </c>
    </row>
    <row r="2955" spans="1:7" x14ac:dyDescent="0.25">
      <c r="A2955">
        <v>11872810</v>
      </c>
      <c r="B2955" t="str">
        <f>VLOOKUP(A2955,Planilha2!B:C,2,0)</f>
        <v>INVERSOR EUCFW110013T2OFAYZ</v>
      </c>
      <c r="C2955" t="s">
        <v>3169</v>
      </c>
      <c r="D2955" t="str">
        <f>VLOOKUP(A2955,Planilha2!B:H,7,0)</f>
        <v>LINHA P5</v>
      </c>
      <c r="E2955" s="5">
        <v>6100</v>
      </c>
      <c r="F2955">
        <f>IFERROR(
IF(ISNUMBER(FIND("CFW110",B2955)),
VALUE(MID(B2955,FIND("CFW110",B2955)+6,FIND("T",B2955,FIND("CFW110",B2955))-(FIND("CFW110",B2955)+6))),
IF(ISNUMBER(FIND("D",B2955)),
VALUE(SUBSTITUTE(MID(B2955,FIND("D",B2955)+1,FIND("T",B2955,FIND("D",B2955))-(FIND("D",B2955)+1)),"P",",")),
IF(ISNUMBER(FIND("CFW5",B2955)),
VALUE(MID(B2955,
IF(ISNUMBER(FIND("F",B2955)),FIND("F",B2955)+1,FIND("G",B2955)+1),
FIND("T",B2955)-(IF(ISNUMBER(FIND("F",B2955)),FIND("F",B2955)+1,FIND("G",B2955)+1))
)),
VALUE(MID(B2955,FIND("E0",B2955)+2,FIND("T",B2955,FIND("E0",B2955))-(FIND("E0",B2955)+2)))
))),"")</f>
        <v>13</v>
      </c>
      <c r="G2955">
        <f>IFERROR(
IF(ISNUMBER(FIND("T2",B2955)),220,
IF(ISNUMBER(FIND("T4",B2955)),440,
IF(ISNUMBER(FIND("T5",B2955)),575,
IF(ISNUMBER(FIND("T6",B2955)),690,"")))),
"")</f>
        <v>220</v>
      </c>
    </row>
    <row r="2956" spans="1:7" x14ac:dyDescent="0.25">
      <c r="A2956">
        <v>11872811</v>
      </c>
      <c r="B2956" t="str">
        <f>VLOOKUP(A2956,Planilha2!B:C,2,0)</f>
        <v>INVERSOR EUCFW110016T2OFAYZ</v>
      </c>
      <c r="C2956" t="s">
        <v>3169</v>
      </c>
      <c r="D2956" t="str">
        <f>VLOOKUP(A2956,Planilha2!B:H,7,0)</f>
        <v>LINHA P5</v>
      </c>
      <c r="E2956" s="5">
        <v>6300</v>
      </c>
      <c r="F2956">
        <f>IFERROR(
IF(ISNUMBER(FIND("CFW110",B2956)),
VALUE(MID(B2956,FIND("CFW110",B2956)+6,FIND("T",B2956,FIND("CFW110",B2956))-(FIND("CFW110",B2956)+6))),
IF(ISNUMBER(FIND("D",B2956)),
VALUE(SUBSTITUTE(MID(B2956,FIND("D",B2956)+1,FIND("T",B2956,FIND("D",B2956))-(FIND("D",B2956)+1)),"P",",")),
IF(ISNUMBER(FIND("CFW5",B2956)),
VALUE(MID(B2956,
IF(ISNUMBER(FIND("F",B2956)),FIND("F",B2956)+1,FIND("G",B2956)+1),
FIND("T",B2956)-(IF(ISNUMBER(FIND("F",B2956)),FIND("F",B2956)+1,FIND("G",B2956)+1))
)),
VALUE(MID(B2956,FIND("E0",B2956)+2,FIND("T",B2956,FIND("E0",B2956))-(FIND("E0",B2956)+2)))
))),"")</f>
        <v>16</v>
      </c>
      <c r="G2956">
        <f>IFERROR(
IF(ISNUMBER(FIND("T2",B2956)),220,
IF(ISNUMBER(FIND("T4",B2956)),440,
IF(ISNUMBER(FIND("T5",B2956)),575,
IF(ISNUMBER(FIND("T6",B2956)),690,"")))),
"")</f>
        <v>220</v>
      </c>
    </row>
    <row r="2957" spans="1:7" x14ac:dyDescent="0.25">
      <c r="A2957">
        <v>11872872</v>
      </c>
      <c r="B2957" t="str">
        <f>VLOOKUP(A2957,Planilha2!B:C,2,0)</f>
        <v>INVERSOR EUCFW110024T2OFAYZ</v>
      </c>
      <c r="C2957" t="s">
        <v>3169</v>
      </c>
      <c r="D2957" t="str">
        <f>VLOOKUP(A2957,Planilha2!B:H,7,0)</f>
        <v>LINHA P7</v>
      </c>
      <c r="E2957" s="5">
        <v>9100</v>
      </c>
      <c r="F2957">
        <f>IFERROR(
IF(ISNUMBER(FIND("CFW110",B2957)),
VALUE(MID(B2957,FIND("CFW110",B2957)+6,FIND("T",B2957,FIND("CFW110",B2957))-(FIND("CFW110",B2957)+6))),
IF(ISNUMBER(FIND("D",B2957)),
VALUE(SUBSTITUTE(MID(B2957,FIND("D",B2957)+1,FIND("T",B2957,FIND("D",B2957))-(FIND("D",B2957)+1)),"P",",")),
IF(ISNUMBER(FIND("CFW5",B2957)),
VALUE(MID(B2957,
IF(ISNUMBER(FIND("F",B2957)),FIND("F",B2957)+1,FIND("G",B2957)+1),
FIND("T",B2957)-(IF(ISNUMBER(FIND("F",B2957)),FIND("F",B2957)+1,FIND("G",B2957)+1))
)),
VALUE(MID(B2957,FIND("E0",B2957)+2,FIND("T",B2957,FIND("E0",B2957))-(FIND("E0",B2957)+2)))
))),"")</f>
        <v>24</v>
      </c>
      <c r="G2957">
        <f>IFERROR(
IF(ISNUMBER(FIND("T2",B2957)),220,
IF(ISNUMBER(FIND("T4",B2957)),440,
IF(ISNUMBER(FIND("T5",B2957)),575,
IF(ISNUMBER(FIND("T6",B2957)),690,"")))),
"")</f>
        <v>220</v>
      </c>
    </row>
    <row r="2958" spans="1:7" x14ac:dyDescent="0.25">
      <c r="A2958">
        <v>11872875</v>
      </c>
      <c r="B2958" t="str">
        <f>VLOOKUP(A2958,Planilha2!B:C,2,0)</f>
        <v>INVERSOR EUCFW110028T2OFAYZ</v>
      </c>
      <c r="C2958" t="s">
        <v>3169</v>
      </c>
      <c r="D2958" t="str">
        <f>VLOOKUP(A2958,Planilha2!B:H,7,0)</f>
        <v>LINHA P7</v>
      </c>
      <c r="E2958" s="5">
        <v>9100</v>
      </c>
      <c r="F2958">
        <f>IFERROR(
IF(ISNUMBER(FIND("CFW110",B2958)),
VALUE(MID(B2958,FIND("CFW110",B2958)+6,FIND("T",B2958,FIND("CFW110",B2958))-(FIND("CFW110",B2958)+6))),
IF(ISNUMBER(FIND("D",B2958)),
VALUE(SUBSTITUTE(MID(B2958,FIND("D",B2958)+1,FIND("T",B2958,FIND("D",B2958))-(FIND("D",B2958)+1)),"P",",")),
IF(ISNUMBER(FIND("CFW5",B2958)),
VALUE(MID(B2958,
IF(ISNUMBER(FIND("F",B2958)),FIND("F",B2958)+1,FIND("G",B2958)+1),
FIND("T",B2958)-(IF(ISNUMBER(FIND("F",B2958)),FIND("F",B2958)+1,FIND("G",B2958)+1))
)),
VALUE(MID(B2958,FIND("E0",B2958)+2,FIND("T",B2958,FIND("E0",B2958))-(FIND("E0",B2958)+2)))
))),"")</f>
        <v>28</v>
      </c>
      <c r="G2958">
        <f>IFERROR(
IF(ISNUMBER(FIND("T2",B2958)),220,
IF(ISNUMBER(FIND("T4",B2958)),440,
IF(ISNUMBER(FIND("T5",B2958)),575,
IF(ISNUMBER(FIND("T6",B2958)),690,"")))),
"")</f>
        <v>220</v>
      </c>
    </row>
    <row r="2959" spans="1:7" x14ac:dyDescent="0.25">
      <c r="A2959">
        <v>12045117</v>
      </c>
      <c r="B2959" t="str">
        <f>VLOOKUP(A2959,Planilha2!B:C,2,0)</f>
        <v>INVERSOR EUCFW110003T4OFAYWZ</v>
      </c>
      <c r="C2959" t="s">
        <v>3169</v>
      </c>
      <c r="D2959" t="str">
        <f>VLOOKUP(A2959,Planilha2!B:H,7,0)</f>
        <v>LINHA P5</v>
      </c>
      <c r="E2959" s="5">
        <v>5700</v>
      </c>
      <c r="F2959">
        <f>IFERROR(
IF(ISNUMBER(FIND("CFW110",B2959)),
VALUE(MID(B2959,FIND("CFW110",B2959)+6,FIND("T",B2959,FIND("CFW110",B2959))-(FIND("CFW110",B2959)+6))),
IF(ISNUMBER(FIND("D",B2959)),
VALUE(SUBSTITUTE(MID(B2959,FIND("D",B2959)+1,FIND("T",B2959,FIND("D",B2959))-(FIND("D",B2959)+1)),"P",",")),
IF(ISNUMBER(FIND("CFW5",B2959)),
VALUE(MID(B2959,
IF(ISNUMBER(FIND("F",B2959)),FIND("F",B2959)+1,FIND("G",B2959)+1),
FIND("T",B2959)-(IF(ISNUMBER(FIND("F",B2959)),FIND("F",B2959)+1,FIND("G",B2959)+1))
)),
VALUE(MID(B2959,FIND("E0",B2959)+2,FIND("T",B2959,FIND("E0",B2959))-(FIND("E0",B2959)+2)))
))),"")</f>
        <v>3</v>
      </c>
      <c r="G2959">
        <f>IFERROR(
IF(ISNUMBER(FIND("T2",B2959)),220,
IF(ISNUMBER(FIND("T4",B2959)),440,
IF(ISNUMBER(FIND("T5",B2959)),575,
IF(ISNUMBER(FIND("T6",B2959)),690,"")))),
"")</f>
        <v>440</v>
      </c>
    </row>
    <row r="2960" spans="1:7" x14ac:dyDescent="0.25">
      <c r="A2960">
        <v>12046301</v>
      </c>
      <c r="B2960" t="str">
        <f>VLOOKUP(A2960,Planilha2!B:C,2,0)</f>
        <v>INVERSOR EUCFW110013T4OFAYWZ</v>
      </c>
      <c r="C2960" t="s">
        <v>3169</v>
      </c>
      <c r="D2960" t="str">
        <f>VLOOKUP(A2960,Planilha2!B:H,7,0)</f>
        <v>LINHA P5</v>
      </c>
      <c r="E2960" s="5">
        <v>4500</v>
      </c>
      <c r="F2960">
        <f>IFERROR(
IF(ISNUMBER(FIND("CFW110",B2960)),
VALUE(MID(B2960,FIND("CFW110",B2960)+6,FIND("T",B2960,FIND("CFW110",B2960))-(FIND("CFW110",B2960)+6))),
IF(ISNUMBER(FIND("D",B2960)),
VALUE(SUBSTITUTE(MID(B2960,FIND("D",B2960)+1,FIND("T",B2960,FIND("D",B2960))-(FIND("D",B2960)+1)),"P",",")),
IF(ISNUMBER(FIND("CFW5",B2960)),
VALUE(MID(B2960,
IF(ISNUMBER(FIND("F",B2960)),FIND("F",B2960)+1,FIND("G",B2960)+1),
FIND("T",B2960)-(IF(ISNUMBER(FIND("F",B2960)),FIND("F",B2960)+1,FIND("G",B2960)+1))
)),
VALUE(MID(B2960,FIND("E0",B2960)+2,FIND("T",B2960,FIND("E0",B2960))-(FIND("E0",B2960)+2)))
))),"")</f>
        <v>13</v>
      </c>
      <c r="G2960">
        <f>IFERROR(
IF(ISNUMBER(FIND("T2",B2960)),220,
IF(ISNUMBER(FIND("T4",B2960)),440,
IF(ISNUMBER(FIND("T5",B2960)),575,
IF(ISNUMBER(FIND("T6",B2960)),690,"")))),
"")</f>
        <v>440</v>
      </c>
    </row>
    <row r="2961" spans="1:7" x14ac:dyDescent="0.25">
      <c r="A2961">
        <v>12046303</v>
      </c>
      <c r="B2961" t="str">
        <f>VLOOKUP(A2961,Planilha2!B:C,2,0)</f>
        <v>INVERSOR EUCFW110017T4OFAYWZ</v>
      </c>
      <c r="C2961" t="s">
        <v>3169</v>
      </c>
      <c r="D2961" t="str">
        <f>VLOOKUP(A2961,Planilha2!B:H,7,0)</f>
        <v>LINHA P7</v>
      </c>
      <c r="E2961" s="5">
        <v>4500</v>
      </c>
      <c r="F2961">
        <f>IFERROR(
IF(ISNUMBER(FIND("CFW110",B2961)),
VALUE(MID(B2961,FIND("CFW110",B2961)+6,FIND("T",B2961,FIND("CFW110",B2961))-(FIND("CFW110",B2961)+6))),
IF(ISNUMBER(FIND("D",B2961)),
VALUE(SUBSTITUTE(MID(B2961,FIND("D",B2961)+1,FIND("T",B2961,FIND("D",B2961))-(FIND("D",B2961)+1)),"P",",")),
IF(ISNUMBER(FIND("CFW5",B2961)),
VALUE(MID(B2961,
IF(ISNUMBER(FIND("F",B2961)),FIND("F",B2961)+1,FIND("G",B2961)+1),
FIND("T",B2961)-(IF(ISNUMBER(FIND("F",B2961)),FIND("F",B2961)+1,FIND("G",B2961)+1))
)),
VALUE(MID(B2961,FIND("E0",B2961)+2,FIND("T",B2961,FIND("E0",B2961))-(FIND("E0",B2961)+2)))
))),"")</f>
        <v>17</v>
      </c>
      <c r="G2961">
        <f>IFERROR(
IF(ISNUMBER(FIND("T2",B2961)),220,
IF(ISNUMBER(FIND("T4",B2961)),440,
IF(ISNUMBER(FIND("T5",B2961)),575,
IF(ISNUMBER(FIND("T6",B2961)),690,"")))),
"")</f>
        <v>440</v>
      </c>
    </row>
    <row r="2962" spans="1:7" x14ac:dyDescent="0.25">
      <c r="A2962">
        <v>12046349</v>
      </c>
      <c r="B2962" t="str">
        <f>VLOOKUP(A2962,Planilha2!B:C,2,0)</f>
        <v>INVERSOR EUCFW110024T4OFAYWZ</v>
      </c>
      <c r="C2962" t="s">
        <v>3169</v>
      </c>
      <c r="D2962" t="str">
        <f>VLOOKUP(A2962,Planilha2!B:H,7,0)</f>
        <v>LINHA P7</v>
      </c>
      <c r="E2962" s="5">
        <v>4500</v>
      </c>
      <c r="F2962">
        <f>IFERROR(
IF(ISNUMBER(FIND("CFW110",B2962)),
VALUE(MID(B2962,FIND("CFW110",B2962)+6,FIND("T",B2962,FIND("CFW110",B2962))-(FIND("CFW110",B2962)+6))),
IF(ISNUMBER(FIND("D",B2962)),
VALUE(SUBSTITUTE(MID(B2962,FIND("D",B2962)+1,FIND("T",B2962,FIND("D",B2962))-(FIND("D",B2962)+1)),"P",",")),
IF(ISNUMBER(FIND("CFW5",B2962)),
VALUE(MID(B2962,
IF(ISNUMBER(FIND("F",B2962)),FIND("F",B2962)+1,FIND("G",B2962)+1),
FIND("T",B2962)-(IF(ISNUMBER(FIND("F",B2962)),FIND("F",B2962)+1,FIND("G",B2962)+1))
)),
VALUE(MID(B2962,FIND("E0",B2962)+2,FIND("T",B2962,FIND("E0",B2962))-(FIND("E0",B2962)+2)))
))),"")</f>
        <v>24</v>
      </c>
      <c r="G2962">
        <f>IFERROR(
IF(ISNUMBER(FIND("T2",B2962)),220,
IF(ISNUMBER(FIND("T4",B2962)),440,
IF(ISNUMBER(FIND("T5",B2962)),575,
IF(ISNUMBER(FIND("T6",B2962)),690,"")))),
"")</f>
        <v>440</v>
      </c>
    </row>
    <row r="2963" spans="1:7" x14ac:dyDescent="0.25">
      <c r="A2963">
        <v>11872908</v>
      </c>
      <c r="B2963" t="str">
        <f>VLOOKUP(A2963,Planilha2!B:C,2,0)</f>
        <v>INVERSOR EUCFW110033T2OFAYZ</v>
      </c>
      <c r="C2963" t="s">
        <v>3169</v>
      </c>
      <c r="D2963" t="str">
        <f>VLOOKUP(A2963,Planilha2!B:H,7,0)</f>
        <v>LINHA P7</v>
      </c>
      <c r="E2963" s="5">
        <v>9100</v>
      </c>
      <c r="F2963">
        <f>IFERROR(
IF(ISNUMBER(FIND("CFW110",B2963)),
VALUE(MID(B2963,FIND("CFW110",B2963)+6,FIND("T",B2963,FIND("CFW110",B2963))-(FIND("CFW110",B2963)+6))),
IF(ISNUMBER(FIND("D",B2963)),
VALUE(SUBSTITUTE(MID(B2963,FIND("D",B2963)+1,FIND("T",B2963,FIND("D",B2963))-(FIND("D",B2963)+1)),"P",",")),
IF(ISNUMBER(FIND("CFW5",B2963)),
VALUE(MID(B2963,
IF(ISNUMBER(FIND("F",B2963)),FIND("F",B2963)+1,FIND("G",B2963)+1),
FIND("T",B2963)-(IF(ISNUMBER(FIND("F",B2963)),FIND("F",B2963)+1,FIND("G",B2963)+1))
)),
VALUE(MID(B2963,FIND("E0",B2963)+2,FIND("T",B2963,FIND("E0",B2963))-(FIND("E0",B2963)+2)))
))),"")</f>
        <v>33</v>
      </c>
      <c r="G2963">
        <f>IFERROR(
IF(ISNUMBER(FIND("T2",B2963)),220,
IF(ISNUMBER(FIND("T4",B2963)),440,
IF(ISNUMBER(FIND("T5",B2963)),575,
IF(ISNUMBER(FIND("T6",B2963)),690,"")))),
"")</f>
        <v>220</v>
      </c>
    </row>
    <row r="2964" spans="1:7" x14ac:dyDescent="0.25">
      <c r="A2964">
        <v>11874483</v>
      </c>
      <c r="B2964" t="str">
        <f>VLOOKUP(A2964,Planilha2!B:C,2,0)</f>
        <v>INVERSOR SACFW110033T2OYZ</v>
      </c>
      <c r="C2964" t="s">
        <v>3169</v>
      </c>
      <c r="D2964" t="str">
        <f>VLOOKUP(A2964,Planilha2!B:H,7,0)</f>
        <v>LINHA P7</v>
      </c>
      <c r="E2964" s="5">
        <v>4500</v>
      </c>
      <c r="F2964">
        <f>IFERROR(
IF(ISNUMBER(FIND("CFW110",B2964)),
VALUE(MID(B2964,FIND("CFW110",B2964)+6,FIND("T",B2964,FIND("CFW110",B2964))-(FIND("CFW110",B2964)+6))),
IF(ISNUMBER(FIND("D",B2964)),
VALUE(SUBSTITUTE(MID(B2964,FIND("D",B2964)+1,FIND("T",B2964,FIND("D",B2964))-(FIND("D",B2964)+1)),"P",",")),
IF(ISNUMBER(FIND("CFW5",B2964)),
VALUE(MID(B2964,
IF(ISNUMBER(FIND("F",B2964)),FIND("F",B2964)+1,FIND("G",B2964)+1),
FIND("T",B2964)-(IF(ISNUMBER(FIND("F",B2964)),FIND("F",B2964)+1,FIND("G",B2964)+1))
)),
VALUE(MID(B2964,FIND("E0",B2964)+2,FIND("T",B2964,FIND("E0",B2964))-(FIND("E0",B2964)+2)))
))),"")</f>
        <v>33</v>
      </c>
      <c r="G2964">
        <f>IFERROR(
IF(ISNUMBER(FIND("T2",B2964)),220,
IF(ISNUMBER(FIND("T4",B2964)),440,
IF(ISNUMBER(FIND("T5",B2964)),575,
IF(ISNUMBER(FIND("T6",B2964)),690,"")))),
"")</f>
        <v>220</v>
      </c>
    </row>
    <row r="2965" spans="1:7" x14ac:dyDescent="0.25">
      <c r="A2965">
        <v>11874486</v>
      </c>
      <c r="B2965" t="str">
        <f>VLOOKUP(A2965,Planilha2!B:C,2,0)</f>
        <v>INVERSOR SACFW110031T4OYZ</v>
      </c>
      <c r="C2965" t="s">
        <v>3169</v>
      </c>
      <c r="D2965" t="str">
        <f>VLOOKUP(A2965,Planilha2!B:H,7,0)</f>
        <v>LINHA P7</v>
      </c>
      <c r="E2965" s="5">
        <v>10400</v>
      </c>
      <c r="F2965">
        <f>IFERROR(
IF(ISNUMBER(FIND("CFW110",B2965)),
VALUE(MID(B2965,FIND("CFW110",B2965)+6,FIND("T",B2965,FIND("CFW110",B2965))-(FIND("CFW110",B2965)+6))),
IF(ISNUMBER(FIND("D",B2965)),
VALUE(SUBSTITUTE(MID(B2965,FIND("D",B2965)+1,FIND("T",B2965,FIND("D",B2965))-(FIND("D",B2965)+1)),"P",",")),
IF(ISNUMBER(FIND("CFW5",B2965)),
VALUE(MID(B2965,
IF(ISNUMBER(FIND("F",B2965)),FIND("F",B2965)+1,FIND("G",B2965)+1),
FIND("T",B2965)-(IF(ISNUMBER(FIND("F",B2965)),FIND("F",B2965)+1,FIND("G",B2965)+1))
)),
VALUE(MID(B2965,FIND("E0",B2965)+2,FIND("T",B2965,FIND("E0",B2965))-(FIND("E0",B2965)+2)))
))),"")</f>
        <v>31</v>
      </c>
      <c r="G2965">
        <f>IFERROR(
IF(ISNUMBER(FIND("T2",B2965)),220,
IF(ISNUMBER(FIND("T4",B2965)),440,
IF(ISNUMBER(FIND("T5",B2965)),575,
IF(ISNUMBER(FIND("T6",B2965)),690,"")))),
"")</f>
        <v>440</v>
      </c>
    </row>
    <row r="2966" spans="1:7" x14ac:dyDescent="0.25">
      <c r="A2966">
        <v>11874482</v>
      </c>
      <c r="B2966" t="str">
        <f>VLOOKUP(A2966,Planilha2!B:C,2,0)</f>
        <v>INVERSOR SACFW110028T2OYZ</v>
      </c>
      <c r="C2966" t="s">
        <v>3169</v>
      </c>
      <c r="D2966" t="str">
        <f>VLOOKUP(A2966,Planilha2!B:H,7,0)</f>
        <v>LINHA P7</v>
      </c>
      <c r="E2966" s="5">
        <v>4500</v>
      </c>
      <c r="F2966">
        <f>IFERROR(
IF(ISNUMBER(FIND("CFW110",B2966)),
VALUE(MID(B2966,FIND("CFW110",B2966)+6,FIND("T",B2966,FIND("CFW110",B2966))-(FIND("CFW110",B2966)+6))),
IF(ISNUMBER(FIND("D",B2966)),
VALUE(SUBSTITUTE(MID(B2966,FIND("D",B2966)+1,FIND("T",B2966,FIND("D",B2966))-(FIND("D",B2966)+1)),"P",",")),
IF(ISNUMBER(FIND("CFW5",B2966)),
VALUE(MID(B2966,
IF(ISNUMBER(FIND("F",B2966)),FIND("F",B2966)+1,FIND("G",B2966)+1),
FIND("T",B2966)-(IF(ISNUMBER(FIND("F",B2966)),FIND("F",B2966)+1,FIND("G",B2966)+1))
)),
VALUE(MID(B2966,FIND("E0",B2966)+2,FIND("T",B2966,FIND("E0",B2966))-(FIND("E0",B2966)+2)))
))),"")</f>
        <v>28</v>
      </c>
      <c r="G2966">
        <f>IFERROR(
IF(ISNUMBER(FIND("T2",B2966)),220,
IF(ISNUMBER(FIND("T4",B2966)),440,
IF(ISNUMBER(FIND("T5",B2966)),575,
IF(ISNUMBER(FIND("T6",B2966)),690,"")))),
"")</f>
        <v>220</v>
      </c>
    </row>
    <row r="2967" spans="1:7" x14ac:dyDescent="0.25">
      <c r="A2967">
        <v>11874485</v>
      </c>
      <c r="B2967" t="str">
        <f>VLOOKUP(A2967,Planilha2!B:C,2,0)</f>
        <v>INVERSOR SACFW110024T4OYZ</v>
      </c>
      <c r="C2967" t="s">
        <v>3169</v>
      </c>
      <c r="D2967" t="str">
        <f>VLOOKUP(A2967,Planilha2!B:H,7,0)</f>
        <v>LINHA P7</v>
      </c>
      <c r="E2967" s="5">
        <v>9700</v>
      </c>
      <c r="F2967">
        <f>IFERROR(
IF(ISNUMBER(FIND("CFW110",B2967)),
VALUE(MID(B2967,FIND("CFW110",B2967)+6,FIND("T",B2967,FIND("CFW110",B2967))-(FIND("CFW110",B2967)+6))),
IF(ISNUMBER(FIND("D",B2967)),
VALUE(SUBSTITUTE(MID(B2967,FIND("D",B2967)+1,FIND("T",B2967,FIND("D",B2967))-(FIND("D",B2967)+1)),"P",",")),
IF(ISNUMBER(FIND("CFW5",B2967)),
VALUE(MID(B2967,
IF(ISNUMBER(FIND("F",B2967)),FIND("F",B2967)+1,FIND("G",B2967)+1),
FIND("T",B2967)-(IF(ISNUMBER(FIND("F",B2967)),FIND("F",B2967)+1,FIND("G",B2967)+1))
)),
VALUE(MID(B2967,FIND("E0",B2967)+2,FIND("T",B2967,FIND("E0",B2967))-(FIND("E0",B2967)+2)))
))),"")</f>
        <v>24</v>
      </c>
      <c r="G2967">
        <f>IFERROR(
IF(ISNUMBER(FIND("T2",B2967)),220,
IF(ISNUMBER(FIND("T4",B2967)),440,
IF(ISNUMBER(FIND("T5",B2967)),575,
IF(ISNUMBER(FIND("T6",B2967)),690,"")))),
"")</f>
        <v>440</v>
      </c>
    </row>
    <row r="2968" spans="1:7" x14ac:dyDescent="0.25">
      <c r="A2968">
        <v>11874481</v>
      </c>
      <c r="B2968" t="str">
        <f>VLOOKUP(A2968,Planilha2!B:C,2,0)</f>
        <v>INVERSOR SACFW110024T2OYZ</v>
      </c>
      <c r="C2968" t="s">
        <v>3169</v>
      </c>
      <c r="D2968" t="str">
        <f>VLOOKUP(A2968,Planilha2!B:H,7,0)</f>
        <v>LINHA P7</v>
      </c>
      <c r="E2968" s="5">
        <v>9100</v>
      </c>
      <c r="F2968">
        <f>IFERROR(
IF(ISNUMBER(FIND("CFW110",B2968)),
VALUE(MID(B2968,FIND("CFW110",B2968)+6,FIND("T",B2968,FIND("CFW110",B2968))-(FIND("CFW110",B2968)+6))),
IF(ISNUMBER(FIND("D",B2968)),
VALUE(SUBSTITUTE(MID(B2968,FIND("D",B2968)+1,FIND("T",B2968,FIND("D",B2968))-(FIND("D",B2968)+1)),"P",",")),
IF(ISNUMBER(FIND("CFW5",B2968)),
VALUE(MID(B2968,
IF(ISNUMBER(FIND("F",B2968)),FIND("F",B2968)+1,FIND("G",B2968)+1),
FIND("T",B2968)-(IF(ISNUMBER(FIND("F",B2968)),FIND("F",B2968)+1,FIND("G",B2968)+1))
)),
VALUE(MID(B2968,FIND("E0",B2968)+2,FIND("T",B2968,FIND("E0",B2968))-(FIND("E0",B2968)+2)))
))),"")</f>
        <v>24</v>
      </c>
      <c r="G2968">
        <f>IFERROR(
IF(ISNUMBER(FIND("T2",B2968)),220,
IF(ISNUMBER(FIND("T4",B2968)),440,
IF(ISNUMBER(FIND("T5",B2968)),575,
IF(ISNUMBER(FIND("T6",B2968)),690,"")))),
"")</f>
        <v>220</v>
      </c>
    </row>
    <row r="2969" spans="1:7" x14ac:dyDescent="0.25">
      <c r="A2969">
        <v>11874484</v>
      </c>
      <c r="B2969" t="str">
        <f>VLOOKUP(A2969,Planilha2!B:C,2,0)</f>
        <v>INVERSOR SACFW110017T4OYZ</v>
      </c>
      <c r="C2969" t="s">
        <v>3169</v>
      </c>
      <c r="D2969" t="str">
        <f>VLOOKUP(A2969,Planilha2!B:H,7,0)</f>
        <v>LINHA P7</v>
      </c>
      <c r="E2969" s="5">
        <v>4500</v>
      </c>
      <c r="F2969">
        <f>IFERROR(
IF(ISNUMBER(FIND("CFW110",B2969)),
VALUE(MID(B2969,FIND("CFW110",B2969)+6,FIND("T",B2969,FIND("CFW110",B2969))-(FIND("CFW110",B2969)+6))),
IF(ISNUMBER(FIND("D",B2969)),
VALUE(SUBSTITUTE(MID(B2969,FIND("D",B2969)+1,FIND("T",B2969,FIND("D",B2969))-(FIND("D",B2969)+1)),"P",",")),
IF(ISNUMBER(FIND("CFW5",B2969)),
VALUE(MID(B2969,
IF(ISNUMBER(FIND("F",B2969)),FIND("F",B2969)+1,FIND("G",B2969)+1),
FIND("T",B2969)-(IF(ISNUMBER(FIND("F",B2969)),FIND("F",B2969)+1,FIND("G",B2969)+1))
)),
VALUE(MID(B2969,FIND("E0",B2969)+2,FIND("T",B2969,FIND("E0",B2969))-(FIND("E0",B2969)+2)))
))),"")</f>
        <v>17</v>
      </c>
      <c r="G2969">
        <f>IFERROR(
IF(ISNUMBER(FIND("T2",B2969)),220,
IF(ISNUMBER(FIND("T4",B2969)),440,
IF(ISNUMBER(FIND("T5",B2969)),575,
IF(ISNUMBER(FIND("T6",B2969)),690,"")))),
"")</f>
        <v>440</v>
      </c>
    </row>
    <row r="2970" spans="1:7" x14ac:dyDescent="0.25">
      <c r="A2970">
        <v>11874397</v>
      </c>
      <c r="B2970" t="str">
        <f>VLOOKUP(A2970,Planilha2!B:C,2,0)</f>
        <v>INVERSOR SACFW110016T2OYZ</v>
      </c>
      <c r="C2970" t="s">
        <v>3169</v>
      </c>
      <c r="D2970" t="str">
        <f>VLOOKUP(A2970,Planilha2!B:H,7,0)</f>
        <v>LINHA P5</v>
      </c>
      <c r="E2970" s="5">
        <v>4500</v>
      </c>
      <c r="F2970">
        <f>IFERROR(
IF(ISNUMBER(FIND("CFW110",B2970)),
VALUE(MID(B2970,FIND("CFW110",B2970)+6,FIND("T",B2970,FIND("CFW110",B2970))-(FIND("CFW110",B2970)+6))),
IF(ISNUMBER(FIND("D",B2970)),
VALUE(SUBSTITUTE(MID(B2970,FIND("D",B2970)+1,FIND("T",B2970,FIND("D",B2970))-(FIND("D",B2970)+1)),"P",",")),
IF(ISNUMBER(FIND("CFW5",B2970)),
VALUE(MID(B2970,
IF(ISNUMBER(FIND("F",B2970)),FIND("F",B2970)+1,FIND("G",B2970)+1),
FIND("T",B2970)-(IF(ISNUMBER(FIND("F",B2970)),FIND("F",B2970)+1,FIND("G",B2970)+1))
)),
VALUE(MID(B2970,FIND("E0",B2970)+2,FIND("T",B2970,FIND("E0",B2970))-(FIND("E0",B2970)+2)))
))),"")</f>
        <v>16</v>
      </c>
      <c r="G2970">
        <f>IFERROR(
IF(ISNUMBER(FIND("T2",B2970)),220,
IF(ISNUMBER(FIND("T4",B2970)),440,
IF(ISNUMBER(FIND("T5",B2970)),575,
IF(ISNUMBER(FIND("T6",B2970)),690,"")))),
"")</f>
        <v>220</v>
      </c>
    </row>
    <row r="2971" spans="1:7" x14ac:dyDescent="0.25">
      <c r="A2971">
        <v>11874478</v>
      </c>
      <c r="B2971" t="str">
        <f>VLOOKUP(A2971,Planilha2!B:C,2,0)</f>
        <v>INVERSOR SACFW110013T4OYZ</v>
      </c>
      <c r="C2971" t="s">
        <v>3169</v>
      </c>
      <c r="D2971" t="str">
        <f>VLOOKUP(A2971,Planilha2!B:H,7,0)</f>
        <v>LINHA P5</v>
      </c>
      <c r="E2971" s="5">
        <v>6300</v>
      </c>
      <c r="F2971">
        <f>IFERROR(
IF(ISNUMBER(FIND("CFW110",B2971)),
VALUE(MID(B2971,FIND("CFW110",B2971)+6,FIND("T",B2971,FIND("CFW110",B2971))-(FIND("CFW110",B2971)+6))),
IF(ISNUMBER(FIND("D",B2971)),
VALUE(SUBSTITUTE(MID(B2971,FIND("D",B2971)+1,FIND("T",B2971,FIND("D",B2971))-(FIND("D",B2971)+1)),"P",",")),
IF(ISNUMBER(FIND("CFW5",B2971)),
VALUE(MID(B2971,
IF(ISNUMBER(FIND("F",B2971)),FIND("F",B2971)+1,FIND("G",B2971)+1),
FIND("T",B2971)-(IF(ISNUMBER(FIND("F",B2971)),FIND("F",B2971)+1,FIND("G",B2971)+1))
)),
VALUE(MID(B2971,FIND("E0",B2971)+2,FIND("T",B2971,FIND("E0",B2971))-(FIND("E0",B2971)+2)))
))),"")</f>
        <v>13</v>
      </c>
      <c r="G2971">
        <f>IFERROR(
IF(ISNUMBER(FIND("T2",B2971)),220,
IF(ISNUMBER(FIND("T4",B2971)),440,
IF(ISNUMBER(FIND("T5",B2971)),575,
IF(ISNUMBER(FIND("T6",B2971)),690,"")))),
"")</f>
        <v>440</v>
      </c>
    </row>
    <row r="2972" spans="1:7" x14ac:dyDescent="0.25">
      <c r="A2972">
        <v>11874394</v>
      </c>
      <c r="B2972" t="str">
        <f>VLOOKUP(A2972,Planilha2!B:C,2,0)</f>
        <v>INVERSOR SACFW110013T2OYZ</v>
      </c>
      <c r="C2972" t="s">
        <v>3169</v>
      </c>
      <c r="D2972" t="str">
        <f>VLOOKUP(A2972,Planilha2!B:H,7,0)</f>
        <v>LINHA P5</v>
      </c>
      <c r="E2972" s="5">
        <v>4500</v>
      </c>
      <c r="F2972">
        <f>IFERROR(
IF(ISNUMBER(FIND("CFW110",B2972)),
VALUE(MID(B2972,FIND("CFW110",B2972)+6,FIND("T",B2972,FIND("CFW110",B2972))-(FIND("CFW110",B2972)+6))),
IF(ISNUMBER(FIND("D",B2972)),
VALUE(SUBSTITUTE(MID(B2972,FIND("D",B2972)+1,FIND("T",B2972,FIND("D",B2972))-(FIND("D",B2972)+1)),"P",",")),
IF(ISNUMBER(FIND("CFW5",B2972)),
VALUE(MID(B2972,
IF(ISNUMBER(FIND("F",B2972)),FIND("F",B2972)+1,FIND("G",B2972)+1),
FIND("T",B2972)-(IF(ISNUMBER(FIND("F",B2972)),FIND("F",B2972)+1,FIND("G",B2972)+1))
)),
VALUE(MID(B2972,FIND("E0",B2972)+2,FIND("T",B2972,FIND("E0",B2972))-(FIND("E0",B2972)+2)))
))),"")</f>
        <v>13</v>
      </c>
      <c r="G2972">
        <f>IFERROR(
IF(ISNUMBER(FIND("T2",B2972)),220,
IF(ISNUMBER(FIND("T4",B2972)),440,
IF(ISNUMBER(FIND("T5",B2972)),575,
IF(ISNUMBER(FIND("T6",B2972)),690,"")))),
"")</f>
        <v>220</v>
      </c>
    </row>
    <row r="2973" spans="1:7" x14ac:dyDescent="0.25">
      <c r="A2973">
        <v>11874456</v>
      </c>
      <c r="B2973" t="str">
        <f>VLOOKUP(A2973,Planilha2!B:C,2,0)</f>
        <v>INVERSOR SACFW110010T4OYZ</v>
      </c>
      <c r="C2973" t="s">
        <v>3169</v>
      </c>
      <c r="D2973" t="str">
        <f>VLOOKUP(A2973,Planilha2!B:H,7,0)</f>
        <v>LINHA P5</v>
      </c>
      <c r="E2973" s="5">
        <v>4500</v>
      </c>
      <c r="F2973">
        <f>IFERROR(
IF(ISNUMBER(FIND("CFW110",B2973)),
VALUE(MID(B2973,FIND("CFW110",B2973)+6,FIND("T",B2973,FIND("CFW110",B2973))-(FIND("CFW110",B2973)+6))),
IF(ISNUMBER(FIND("D",B2973)),
VALUE(SUBSTITUTE(MID(B2973,FIND("D",B2973)+1,FIND("T",B2973,FIND("D",B2973))-(FIND("D",B2973)+1)),"P",",")),
IF(ISNUMBER(FIND("CFW5",B2973)),
VALUE(MID(B2973,
IF(ISNUMBER(FIND("F",B2973)),FIND("F",B2973)+1,FIND("G",B2973)+1),
FIND("T",B2973)-(IF(ISNUMBER(FIND("F",B2973)),FIND("F",B2973)+1,FIND("G",B2973)+1))
)),
VALUE(MID(B2973,FIND("E0",B2973)+2,FIND("T",B2973,FIND("E0",B2973))-(FIND("E0",B2973)+2)))
))),"")</f>
        <v>10</v>
      </c>
      <c r="G2973">
        <f>IFERROR(
IF(ISNUMBER(FIND("T2",B2973)),220,
IF(ISNUMBER(FIND("T4",B2973)),440,
IF(ISNUMBER(FIND("T5",B2973)),575,
IF(ISNUMBER(FIND("T6",B2973)),690,"")))),
"")</f>
        <v>440</v>
      </c>
    </row>
    <row r="2974" spans="1:7" x14ac:dyDescent="0.25">
      <c r="A2974">
        <v>11874393</v>
      </c>
      <c r="B2974" t="str">
        <f>VLOOKUP(A2974,Planilha2!B:C,2,0)</f>
        <v>INVERSOR SACFW110010T2OYZ</v>
      </c>
      <c r="C2974" t="s">
        <v>3169</v>
      </c>
      <c r="D2974" t="str">
        <f>VLOOKUP(A2974,Planilha2!B:H,7,0)</f>
        <v>LINHA P5</v>
      </c>
      <c r="E2974" s="5">
        <v>4500</v>
      </c>
      <c r="F2974">
        <f>IFERROR(
IF(ISNUMBER(FIND("CFW110",B2974)),
VALUE(MID(B2974,FIND("CFW110",B2974)+6,FIND("T",B2974,FIND("CFW110",B2974))-(FIND("CFW110",B2974)+6))),
IF(ISNUMBER(FIND("D",B2974)),
VALUE(SUBSTITUTE(MID(B2974,FIND("D",B2974)+1,FIND("T",B2974,FIND("D",B2974))-(FIND("D",B2974)+1)),"P",",")),
IF(ISNUMBER(FIND("CFW5",B2974)),
VALUE(MID(B2974,
IF(ISNUMBER(FIND("F",B2974)),FIND("F",B2974)+1,FIND("G",B2974)+1),
FIND("T",B2974)-(IF(ISNUMBER(FIND("F",B2974)),FIND("F",B2974)+1,FIND("G",B2974)+1))
)),
VALUE(MID(B2974,FIND("E0",B2974)+2,FIND("T",B2974,FIND("E0",B2974))-(FIND("E0",B2974)+2)))
))),"")</f>
        <v>10</v>
      </c>
      <c r="G2974">
        <f>IFERROR(
IF(ISNUMBER(FIND("T2",B2974)),220,
IF(ISNUMBER(FIND("T4",B2974)),440,
IF(ISNUMBER(FIND("T5",B2974)),575,
IF(ISNUMBER(FIND("T6",B2974)),690,"")))),
"")</f>
        <v>220</v>
      </c>
    </row>
    <row r="2975" spans="1:7" x14ac:dyDescent="0.25">
      <c r="A2975">
        <v>11874068</v>
      </c>
      <c r="B2975" t="str">
        <f>VLOOKUP(A2975,Planilha2!B:C,2,0)</f>
        <v>INVERSOR NACFW110033T2OYZ</v>
      </c>
      <c r="C2975" t="s">
        <v>3169</v>
      </c>
      <c r="D2975" t="str">
        <f>VLOOKUP(A2975,Planilha2!B:H,7,0)</f>
        <v>LINHA P7</v>
      </c>
      <c r="E2975" s="5">
        <v>4500</v>
      </c>
      <c r="F2975">
        <f>IFERROR(
IF(ISNUMBER(FIND("CFW110",B2975)),
VALUE(MID(B2975,FIND("CFW110",B2975)+6,FIND("T",B2975,FIND("CFW110",B2975))-(FIND("CFW110",B2975)+6))),
IF(ISNUMBER(FIND("D",B2975)),
VALUE(SUBSTITUTE(MID(B2975,FIND("D",B2975)+1,FIND("T",B2975,FIND("D",B2975))-(FIND("D",B2975)+1)),"P",",")),
IF(ISNUMBER(FIND("CFW5",B2975)),
VALUE(MID(B2975,
IF(ISNUMBER(FIND("F",B2975)),FIND("F",B2975)+1,FIND("G",B2975)+1),
FIND("T",B2975)-(IF(ISNUMBER(FIND("F",B2975)),FIND("F",B2975)+1,FIND("G",B2975)+1))
)),
VALUE(MID(B2975,FIND("E0",B2975)+2,FIND("T",B2975,FIND("E0",B2975))-(FIND("E0",B2975)+2)))
))),"")</f>
        <v>33</v>
      </c>
      <c r="G2975">
        <f>IFERROR(
IF(ISNUMBER(FIND("T2",B2975)),220,
IF(ISNUMBER(FIND("T4",B2975)),440,
IF(ISNUMBER(FIND("T5",B2975)),575,
IF(ISNUMBER(FIND("T6",B2975)),690,"")))),
"")</f>
        <v>220</v>
      </c>
    </row>
    <row r="2976" spans="1:7" x14ac:dyDescent="0.25">
      <c r="A2976">
        <v>11874072</v>
      </c>
      <c r="B2976" t="str">
        <f>VLOOKUP(A2976,Planilha2!B:C,2,0)</f>
        <v>INVERSOR NACFW110031T4OYZ</v>
      </c>
      <c r="C2976" t="s">
        <v>3169</v>
      </c>
      <c r="D2976" t="str">
        <f>VLOOKUP(A2976,Planilha2!B:H,7,0)</f>
        <v>LINHA P7</v>
      </c>
      <c r="E2976" s="5">
        <v>10400</v>
      </c>
      <c r="F2976">
        <f>IFERROR(
IF(ISNUMBER(FIND("CFW110",B2976)),
VALUE(MID(B2976,FIND("CFW110",B2976)+6,FIND("T",B2976,FIND("CFW110",B2976))-(FIND("CFW110",B2976)+6))),
IF(ISNUMBER(FIND("D",B2976)),
VALUE(SUBSTITUTE(MID(B2976,FIND("D",B2976)+1,FIND("T",B2976,FIND("D",B2976))-(FIND("D",B2976)+1)),"P",",")),
IF(ISNUMBER(FIND("CFW5",B2976)),
VALUE(MID(B2976,
IF(ISNUMBER(FIND("F",B2976)),FIND("F",B2976)+1,FIND("G",B2976)+1),
FIND("T",B2976)-(IF(ISNUMBER(FIND("F",B2976)),FIND("F",B2976)+1,FIND("G",B2976)+1))
)),
VALUE(MID(B2976,FIND("E0",B2976)+2,FIND("T",B2976,FIND("E0",B2976))-(FIND("E0",B2976)+2)))
))),"")</f>
        <v>31</v>
      </c>
      <c r="G2976">
        <f>IFERROR(
IF(ISNUMBER(FIND("T2",B2976)),220,
IF(ISNUMBER(FIND("T4",B2976)),440,
IF(ISNUMBER(FIND("T5",B2976)),575,
IF(ISNUMBER(FIND("T6",B2976)),690,"")))),
"")</f>
        <v>440</v>
      </c>
    </row>
    <row r="2977" spans="1:7" x14ac:dyDescent="0.25">
      <c r="A2977">
        <v>11873997</v>
      </c>
      <c r="B2977" t="str">
        <f>VLOOKUP(A2977,Planilha2!B:C,2,0)</f>
        <v>INVERSOR NACFW110028T2OYZ</v>
      </c>
      <c r="C2977" t="s">
        <v>3169</v>
      </c>
      <c r="D2977" t="str">
        <f>VLOOKUP(A2977,Planilha2!B:H,7,0)</f>
        <v>LINHA P7</v>
      </c>
      <c r="E2977" s="5">
        <v>4500</v>
      </c>
      <c r="F2977">
        <f>IFERROR(
IF(ISNUMBER(FIND("CFW110",B2977)),
VALUE(MID(B2977,FIND("CFW110",B2977)+6,FIND("T",B2977,FIND("CFW110",B2977))-(FIND("CFW110",B2977)+6))),
IF(ISNUMBER(FIND("D",B2977)),
VALUE(SUBSTITUTE(MID(B2977,FIND("D",B2977)+1,FIND("T",B2977,FIND("D",B2977))-(FIND("D",B2977)+1)),"P",",")),
IF(ISNUMBER(FIND("CFW5",B2977)),
VALUE(MID(B2977,
IF(ISNUMBER(FIND("F",B2977)),FIND("F",B2977)+1,FIND("G",B2977)+1),
FIND("T",B2977)-(IF(ISNUMBER(FIND("F",B2977)),FIND("F",B2977)+1,FIND("G",B2977)+1))
)),
VALUE(MID(B2977,FIND("E0",B2977)+2,FIND("T",B2977,FIND("E0",B2977))-(FIND("E0",B2977)+2)))
))),"")</f>
        <v>28</v>
      </c>
      <c r="G2977">
        <f>IFERROR(
IF(ISNUMBER(FIND("T2",B2977)),220,
IF(ISNUMBER(FIND("T4",B2977)),440,
IF(ISNUMBER(FIND("T5",B2977)),575,
IF(ISNUMBER(FIND("T6",B2977)),690,"")))),
"")</f>
        <v>220</v>
      </c>
    </row>
    <row r="2978" spans="1:7" x14ac:dyDescent="0.25">
      <c r="A2978">
        <v>11874071</v>
      </c>
      <c r="B2978" t="str">
        <f>VLOOKUP(A2978,Planilha2!B:C,2,0)</f>
        <v>INVERSOR NACFW110024T4OYZ</v>
      </c>
      <c r="C2978" t="s">
        <v>3169</v>
      </c>
      <c r="D2978" t="str">
        <f>VLOOKUP(A2978,Planilha2!B:H,7,0)</f>
        <v>LINHA P7</v>
      </c>
      <c r="E2978" s="5">
        <v>9700</v>
      </c>
      <c r="F2978">
        <f>IFERROR(
IF(ISNUMBER(FIND("CFW110",B2978)),
VALUE(MID(B2978,FIND("CFW110",B2978)+6,FIND("T",B2978,FIND("CFW110",B2978))-(FIND("CFW110",B2978)+6))),
IF(ISNUMBER(FIND("D",B2978)),
VALUE(SUBSTITUTE(MID(B2978,FIND("D",B2978)+1,FIND("T",B2978,FIND("D",B2978))-(FIND("D",B2978)+1)),"P",",")),
IF(ISNUMBER(FIND("CFW5",B2978)),
VALUE(MID(B2978,
IF(ISNUMBER(FIND("F",B2978)),FIND("F",B2978)+1,FIND("G",B2978)+1),
FIND("T",B2978)-(IF(ISNUMBER(FIND("F",B2978)),FIND("F",B2978)+1,FIND("G",B2978)+1))
)),
VALUE(MID(B2978,FIND("E0",B2978)+2,FIND("T",B2978,FIND("E0",B2978))-(FIND("E0",B2978)+2)))
))),"")</f>
        <v>24</v>
      </c>
      <c r="G2978">
        <f>IFERROR(
IF(ISNUMBER(FIND("T2",B2978)),220,
IF(ISNUMBER(FIND("T4",B2978)),440,
IF(ISNUMBER(FIND("T5",B2978)),575,
IF(ISNUMBER(FIND("T6",B2978)),690,"")))),
"")</f>
        <v>440</v>
      </c>
    </row>
    <row r="2979" spans="1:7" x14ac:dyDescent="0.25">
      <c r="A2979">
        <v>11873996</v>
      </c>
      <c r="B2979" t="str">
        <f>VLOOKUP(A2979,Planilha2!B:C,2,0)</f>
        <v>INVERSOR NACFW110024T2OYZ</v>
      </c>
      <c r="C2979" t="s">
        <v>3169</v>
      </c>
      <c r="D2979" t="str">
        <f>VLOOKUP(A2979,Planilha2!B:H,7,0)</f>
        <v>LINHA P7</v>
      </c>
      <c r="E2979" s="5">
        <v>9100</v>
      </c>
      <c r="F2979">
        <f>IFERROR(
IF(ISNUMBER(FIND("CFW110",B2979)),
VALUE(MID(B2979,FIND("CFW110",B2979)+6,FIND("T",B2979,FIND("CFW110",B2979))-(FIND("CFW110",B2979)+6))),
IF(ISNUMBER(FIND("D",B2979)),
VALUE(SUBSTITUTE(MID(B2979,FIND("D",B2979)+1,FIND("T",B2979,FIND("D",B2979))-(FIND("D",B2979)+1)),"P",",")),
IF(ISNUMBER(FIND("CFW5",B2979)),
VALUE(MID(B2979,
IF(ISNUMBER(FIND("F",B2979)),FIND("F",B2979)+1,FIND("G",B2979)+1),
FIND("T",B2979)-(IF(ISNUMBER(FIND("F",B2979)),FIND("F",B2979)+1,FIND("G",B2979)+1))
)),
VALUE(MID(B2979,FIND("E0",B2979)+2,FIND("T",B2979,FIND("E0",B2979))-(FIND("E0",B2979)+2)))
))),"")</f>
        <v>24</v>
      </c>
      <c r="G2979">
        <f>IFERROR(
IF(ISNUMBER(FIND("T2",B2979)),220,
IF(ISNUMBER(FIND("T4",B2979)),440,
IF(ISNUMBER(FIND("T5",B2979)),575,
IF(ISNUMBER(FIND("T6",B2979)),690,"")))),
"")</f>
        <v>220</v>
      </c>
    </row>
    <row r="2980" spans="1:7" x14ac:dyDescent="0.25">
      <c r="A2980">
        <v>11874070</v>
      </c>
      <c r="B2980" t="str">
        <f>VLOOKUP(A2980,Planilha2!B:C,2,0)</f>
        <v>INVERSOR NACFW110017T4OYZ</v>
      </c>
      <c r="C2980" t="s">
        <v>3169</v>
      </c>
      <c r="D2980" t="str">
        <f>VLOOKUP(A2980,Planilha2!B:H,7,0)</f>
        <v>LINHA P7</v>
      </c>
      <c r="E2980" s="5">
        <v>4500</v>
      </c>
      <c r="F2980">
        <f>IFERROR(
IF(ISNUMBER(FIND("CFW110",B2980)),
VALUE(MID(B2980,FIND("CFW110",B2980)+6,FIND("T",B2980,FIND("CFW110",B2980))-(FIND("CFW110",B2980)+6))),
IF(ISNUMBER(FIND("D",B2980)),
VALUE(SUBSTITUTE(MID(B2980,FIND("D",B2980)+1,FIND("T",B2980,FIND("D",B2980))-(FIND("D",B2980)+1)),"P",",")),
IF(ISNUMBER(FIND("CFW5",B2980)),
VALUE(MID(B2980,
IF(ISNUMBER(FIND("F",B2980)),FIND("F",B2980)+1,FIND("G",B2980)+1),
FIND("T",B2980)-(IF(ISNUMBER(FIND("F",B2980)),FIND("F",B2980)+1,FIND("G",B2980)+1))
)),
VALUE(MID(B2980,FIND("E0",B2980)+2,FIND("T",B2980,FIND("E0",B2980))-(FIND("E0",B2980)+2)))
))),"")</f>
        <v>17</v>
      </c>
      <c r="G2980">
        <f>IFERROR(
IF(ISNUMBER(FIND("T2",B2980)),220,
IF(ISNUMBER(FIND("T4",B2980)),440,
IF(ISNUMBER(FIND("T5",B2980)),575,
IF(ISNUMBER(FIND("T6",B2980)),690,"")))),
"")</f>
        <v>440</v>
      </c>
    </row>
    <row r="2981" spans="1:7" x14ac:dyDescent="0.25">
      <c r="A2981">
        <v>11873988</v>
      </c>
      <c r="B2981" t="str">
        <f>VLOOKUP(A2981,Planilha2!B:C,2,0)</f>
        <v>INVERSOR NACFW110016T2OYZ</v>
      </c>
      <c r="C2981" t="s">
        <v>3169</v>
      </c>
      <c r="D2981" t="str">
        <f>VLOOKUP(A2981,Planilha2!B:H,7,0)</f>
        <v>LINHA P5</v>
      </c>
      <c r="E2981" s="5">
        <v>4500</v>
      </c>
      <c r="F2981">
        <f>IFERROR(
IF(ISNUMBER(FIND("CFW110",B2981)),
VALUE(MID(B2981,FIND("CFW110",B2981)+6,FIND("T",B2981,FIND("CFW110",B2981))-(FIND("CFW110",B2981)+6))),
IF(ISNUMBER(FIND("D",B2981)),
VALUE(SUBSTITUTE(MID(B2981,FIND("D",B2981)+1,FIND("T",B2981,FIND("D",B2981))-(FIND("D",B2981)+1)),"P",",")),
IF(ISNUMBER(FIND("CFW5",B2981)),
VALUE(MID(B2981,
IF(ISNUMBER(FIND("F",B2981)),FIND("F",B2981)+1,FIND("G",B2981)+1),
FIND("T",B2981)-(IF(ISNUMBER(FIND("F",B2981)),FIND("F",B2981)+1,FIND("G",B2981)+1))
)),
VALUE(MID(B2981,FIND("E0",B2981)+2,FIND("T",B2981,FIND("E0",B2981))-(FIND("E0",B2981)+2)))
))),"")</f>
        <v>16</v>
      </c>
      <c r="G2981">
        <f>IFERROR(
IF(ISNUMBER(FIND("T2",B2981)),220,
IF(ISNUMBER(FIND("T4",B2981)),440,
IF(ISNUMBER(FIND("T5",B2981)),575,
IF(ISNUMBER(FIND("T6",B2981)),690,"")))),
"")</f>
        <v>220</v>
      </c>
    </row>
    <row r="2982" spans="1:7" x14ac:dyDescent="0.25">
      <c r="A2982">
        <v>11873995</v>
      </c>
      <c r="B2982" t="str">
        <f>VLOOKUP(A2982,Planilha2!B:C,2,0)</f>
        <v>INVERSOR NACFW110013T4OYZ</v>
      </c>
      <c r="C2982" t="s">
        <v>3169</v>
      </c>
      <c r="D2982" t="str">
        <f>VLOOKUP(A2982,Planilha2!B:H,7,0)</f>
        <v>LINHA P5</v>
      </c>
      <c r="E2982" s="5">
        <v>6300</v>
      </c>
      <c r="F2982">
        <f>IFERROR(
IF(ISNUMBER(FIND("CFW110",B2982)),
VALUE(MID(B2982,FIND("CFW110",B2982)+6,FIND("T",B2982,FIND("CFW110",B2982))-(FIND("CFW110",B2982)+6))),
IF(ISNUMBER(FIND("D",B2982)),
VALUE(SUBSTITUTE(MID(B2982,FIND("D",B2982)+1,FIND("T",B2982,FIND("D",B2982))-(FIND("D",B2982)+1)),"P",",")),
IF(ISNUMBER(FIND("CFW5",B2982)),
VALUE(MID(B2982,
IF(ISNUMBER(FIND("F",B2982)),FIND("F",B2982)+1,FIND("G",B2982)+1),
FIND("T",B2982)-(IF(ISNUMBER(FIND("F",B2982)),FIND("F",B2982)+1,FIND("G",B2982)+1))
)),
VALUE(MID(B2982,FIND("E0",B2982)+2,FIND("T",B2982,FIND("E0",B2982))-(FIND("E0",B2982)+2)))
))),"")</f>
        <v>13</v>
      </c>
      <c r="G2982">
        <f>IFERROR(
IF(ISNUMBER(FIND("T2",B2982)),220,
IF(ISNUMBER(FIND("T4",B2982)),440,
IF(ISNUMBER(FIND("T5",B2982)),575,
IF(ISNUMBER(FIND("T6",B2982)),690,"")))),
"")</f>
        <v>440</v>
      </c>
    </row>
    <row r="2983" spans="1:7" x14ac:dyDescent="0.25">
      <c r="A2983">
        <v>11873897</v>
      </c>
      <c r="B2983" t="str">
        <f>VLOOKUP(A2983,Planilha2!B:C,2,0)</f>
        <v>INVERSOR NACFW110013T2OYZ</v>
      </c>
      <c r="C2983" t="s">
        <v>3169</v>
      </c>
      <c r="D2983" t="str">
        <f>VLOOKUP(A2983,Planilha2!B:H,7,0)</f>
        <v>LINHA P5</v>
      </c>
      <c r="E2983" s="5">
        <v>4500</v>
      </c>
      <c r="F2983">
        <f>IFERROR(
IF(ISNUMBER(FIND("CFW110",B2983)),
VALUE(MID(B2983,FIND("CFW110",B2983)+6,FIND("T",B2983,FIND("CFW110",B2983))-(FIND("CFW110",B2983)+6))),
IF(ISNUMBER(FIND("D",B2983)),
VALUE(SUBSTITUTE(MID(B2983,FIND("D",B2983)+1,FIND("T",B2983,FIND("D",B2983))-(FIND("D",B2983)+1)),"P",",")),
IF(ISNUMBER(FIND("CFW5",B2983)),
VALUE(MID(B2983,
IF(ISNUMBER(FIND("F",B2983)),FIND("F",B2983)+1,FIND("G",B2983)+1),
FIND("T",B2983)-(IF(ISNUMBER(FIND("F",B2983)),FIND("F",B2983)+1,FIND("G",B2983)+1))
)),
VALUE(MID(B2983,FIND("E0",B2983)+2,FIND("T",B2983,FIND("E0",B2983))-(FIND("E0",B2983)+2)))
))),"")</f>
        <v>13</v>
      </c>
      <c r="G2983">
        <f>IFERROR(
IF(ISNUMBER(FIND("T2",B2983)),220,
IF(ISNUMBER(FIND("T4",B2983)),440,
IF(ISNUMBER(FIND("T5",B2983)),575,
IF(ISNUMBER(FIND("T6",B2983)),690,"")))),
"")</f>
        <v>220</v>
      </c>
    </row>
    <row r="2984" spans="1:7" x14ac:dyDescent="0.25">
      <c r="A2984">
        <v>11873426</v>
      </c>
      <c r="B2984" t="str">
        <f>VLOOKUP(A2984,Planilha2!B:C,2,0)</f>
        <v>INVERSOR MSCFW110033T2OYZ</v>
      </c>
      <c r="C2984" t="s">
        <v>3169</v>
      </c>
      <c r="D2984" t="str">
        <f>VLOOKUP(A2984,Planilha2!B:H,7,0)</f>
        <v>LINHA P7</v>
      </c>
      <c r="E2984" s="5">
        <v>4500</v>
      </c>
      <c r="F2984">
        <f>IFERROR(
IF(ISNUMBER(FIND("CFW110",B2984)),
VALUE(MID(B2984,FIND("CFW110",B2984)+6,FIND("T",B2984,FIND("CFW110",B2984))-(FIND("CFW110",B2984)+6))),
IF(ISNUMBER(FIND("D",B2984)),
VALUE(SUBSTITUTE(MID(B2984,FIND("D",B2984)+1,FIND("T",B2984,FIND("D",B2984))-(FIND("D",B2984)+1)),"P",",")),
IF(ISNUMBER(FIND("CFW5",B2984)),
VALUE(MID(B2984,
IF(ISNUMBER(FIND("F",B2984)),FIND("F",B2984)+1,FIND("G",B2984)+1),
FIND("T",B2984)-(IF(ISNUMBER(FIND("F",B2984)),FIND("F",B2984)+1,FIND("G",B2984)+1))
)),
VALUE(MID(B2984,FIND("E0",B2984)+2,FIND("T",B2984,FIND("E0",B2984))-(FIND("E0",B2984)+2)))
))),"")</f>
        <v>33</v>
      </c>
      <c r="G2984">
        <f>IFERROR(
IF(ISNUMBER(FIND("T2",B2984)),220,
IF(ISNUMBER(FIND("T4",B2984)),440,
IF(ISNUMBER(FIND("T5",B2984)),575,
IF(ISNUMBER(FIND("T6",B2984)),690,"")))),
"")</f>
        <v>220</v>
      </c>
    </row>
    <row r="2985" spans="1:7" x14ac:dyDescent="0.25">
      <c r="A2985">
        <v>11873464</v>
      </c>
      <c r="B2985" t="str">
        <f>VLOOKUP(A2985,Planilha2!B:C,2,0)</f>
        <v>INVERSOR MSCFW110031T4OYZ</v>
      </c>
      <c r="C2985" t="s">
        <v>3169</v>
      </c>
      <c r="D2985" t="str">
        <f>VLOOKUP(A2985,Planilha2!B:H,7,0)</f>
        <v>LINHA P7</v>
      </c>
      <c r="E2985" s="5">
        <v>10400</v>
      </c>
      <c r="F2985">
        <f>IFERROR(
IF(ISNUMBER(FIND("CFW110",B2985)),
VALUE(MID(B2985,FIND("CFW110",B2985)+6,FIND("T",B2985,FIND("CFW110",B2985))-(FIND("CFW110",B2985)+6))),
IF(ISNUMBER(FIND("D",B2985)),
VALUE(SUBSTITUTE(MID(B2985,FIND("D",B2985)+1,FIND("T",B2985,FIND("D",B2985))-(FIND("D",B2985)+1)),"P",",")),
IF(ISNUMBER(FIND("CFW5",B2985)),
VALUE(MID(B2985,
IF(ISNUMBER(FIND("F",B2985)),FIND("F",B2985)+1,FIND("G",B2985)+1),
FIND("T",B2985)-(IF(ISNUMBER(FIND("F",B2985)),FIND("F",B2985)+1,FIND("G",B2985)+1))
)),
VALUE(MID(B2985,FIND("E0",B2985)+2,FIND("T",B2985,FIND("E0",B2985))-(FIND("E0",B2985)+2)))
))),"")</f>
        <v>31</v>
      </c>
      <c r="G2985">
        <f>IFERROR(
IF(ISNUMBER(FIND("T2",B2985)),220,
IF(ISNUMBER(FIND("T4",B2985)),440,
IF(ISNUMBER(FIND("T5",B2985)),575,
IF(ISNUMBER(FIND("T6",B2985)),690,"")))),
"")</f>
        <v>440</v>
      </c>
    </row>
    <row r="2986" spans="1:7" x14ac:dyDescent="0.25">
      <c r="A2986">
        <v>11873425</v>
      </c>
      <c r="B2986" t="str">
        <f>VLOOKUP(A2986,Planilha2!B:C,2,0)</f>
        <v>INVERSOR MSCFW110028T2OYZ</v>
      </c>
      <c r="C2986" t="s">
        <v>3169</v>
      </c>
      <c r="D2986" t="str">
        <f>VLOOKUP(A2986,Planilha2!B:H,7,0)</f>
        <v>LINHA P7</v>
      </c>
      <c r="E2986" s="5">
        <v>4500</v>
      </c>
      <c r="F2986">
        <f>IFERROR(
IF(ISNUMBER(FIND("CFW110",B2986)),
VALUE(MID(B2986,FIND("CFW110",B2986)+6,FIND("T",B2986,FIND("CFW110",B2986))-(FIND("CFW110",B2986)+6))),
IF(ISNUMBER(FIND("D",B2986)),
VALUE(SUBSTITUTE(MID(B2986,FIND("D",B2986)+1,FIND("T",B2986,FIND("D",B2986))-(FIND("D",B2986)+1)),"P",",")),
IF(ISNUMBER(FIND("CFW5",B2986)),
VALUE(MID(B2986,
IF(ISNUMBER(FIND("F",B2986)),FIND("F",B2986)+1,FIND("G",B2986)+1),
FIND("T",B2986)-(IF(ISNUMBER(FIND("F",B2986)),FIND("F",B2986)+1,FIND("G",B2986)+1))
)),
VALUE(MID(B2986,FIND("E0",B2986)+2,FIND("T",B2986,FIND("E0",B2986))-(FIND("E0",B2986)+2)))
))),"")</f>
        <v>28</v>
      </c>
      <c r="G2986">
        <f>IFERROR(
IF(ISNUMBER(FIND("T2",B2986)),220,
IF(ISNUMBER(FIND("T4",B2986)),440,
IF(ISNUMBER(FIND("T5",B2986)),575,
IF(ISNUMBER(FIND("T6",B2986)),690,"")))),
"")</f>
        <v>220</v>
      </c>
    </row>
    <row r="2987" spans="1:7" x14ac:dyDescent="0.25">
      <c r="A2987">
        <v>11873459</v>
      </c>
      <c r="B2987" t="str">
        <f>VLOOKUP(A2987,Planilha2!B:C,2,0)</f>
        <v>INVERSOR MSCFW110024T4OYZ</v>
      </c>
      <c r="C2987" t="s">
        <v>3169</v>
      </c>
      <c r="D2987" t="str">
        <f>VLOOKUP(A2987,Planilha2!B:H,7,0)</f>
        <v>LINHA P7</v>
      </c>
      <c r="E2987" s="5">
        <v>9700</v>
      </c>
      <c r="F2987">
        <f>IFERROR(
IF(ISNUMBER(FIND("CFW110",B2987)),
VALUE(MID(B2987,FIND("CFW110",B2987)+6,FIND("T",B2987,FIND("CFW110",B2987))-(FIND("CFW110",B2987)+6))),
IF(ISNUMBER(FIND("D",B2987)),
VALUE(SUBSTITUTE(MID(B2987,FIND("D",B2987)+1,FIND("T",B2987,FIND("D",B2987))-(FIND("D",B2987)+1)),"P",",")),
IF(ISNUMBER(FIND("CFW5",B2987)),
VALUE(MID(B2987,
IF(ISNUMBER(FIND("F",B2987)),FIND("F",B2987)+1,FIND("G",B2987)+1),
FIND("T",B2987)-(IF(ISNUMBER(FIND("F",B2987)),FIND("F",B2987)+1,FIND("G",B2987)+1))
)),
VALUE(MID(B2987,FIND("E0",B2987)+2,FIND("T",B2987,FIND("E0",B2987))-(FIND("E0",B2987)+2)))
))),"")</f>
        <v>24</v>
      </c>
      <c r="G2987">
        <f>IFERROR(
IF(ISNUMBER(FIND("T2",B2987)),220,
IF(ISNUMBER(FIND("T4",B2987)),440,
IF(ISNUMBER(FIND("T5",B2987)),575,
IF(ISNUMBER(FIND("T6",B2987)),690,"")))),
"")</f>
        <v>440</v>
      </c>
    </row>
    <row r="2988" spans="1:7" x14ac:dyDescent="0.25">
      <c r="A2988">
        <v>11873421</v>
      </c>
      <c r="B2988" t="str">
        <f>VLOOKUP(A2988,Planilha2!B:C,2,0)</f>
        <v>INVERSOR MSCFW110024T2OYZ</v>
      </c>
      <c r="C2988" t="s">
        <v>3169</v>
      </c>
      <c r="D2988" t="str">
        <f>VLOOKUP(A2988,Planilha2!B:H,7,0)</f>
        <v>LINHA P7</v>
      </c>
      <c r="E2988" s="5">
        <v>9100</v>
      </c>
      <c r="F2988">
        <f>IFERROR(
IF(ISNUMBER(FIND("CFW110",B2988)),
VALUE(MID(B2988,FIND("CFW110",B2988)+6,FIND("T",B2988,FIND("CFW110",B2988))-(FIND("CFW110",B2988)+6))),
IF(ISNUMBER(FIND("D",B2988)),
VALUE(SUBSTITUTE(MID(B2988,FIND("D",B2988)+1,FIND("T",B2988,FIND("D",B2988))-(FIND("D",B2988)+1)),"P",",")),
IF(ISNUMBER(FIND("CFW5",B2988)),
VALUE(MID(B2988,
IF(ISNUMBER(FIND("F",B2988)),FIND("F",B2988)+1,FIND("G",B2988)+1),
FIND("T",B2988)-(IF(ISNUMBER(FIND("F",B2988)),FIND("F",B2988)+1,FIND("G",B2988)+1))
)),
VALUE(MID(B2988,FIND("E0",B2988)+2,FIND("T",B2988,FIND("E0",B2988))-(FIND("E0",B2988)+2)))
))),"")</f>
        <v>24</v>
      </c>
      <c r="G2988">
        <f>IFERROR(
IF(ISNUMBER(FIND("T2",B2988)),220,
IF(ISNUMBER(FIND("T4",B2988)),440,
IF(ISNUMBER(FIND("T5",B2988)),575,
IF(ISNUMBER(FIND("T6",B2988)),690,"")))),
"")</f>
        <v>220</v>
      </c>
    </row>
    <row r="2989" spans="1:7" x14ac:dyDescent="0.25">
      <c r="A2989">
        <v>11873427</v>
      </c>
      <c r="B2989" t="str">
        <f>VLOOKUP(A2989,Planilha2!B:C,2,0)</f>
        <v>INVERSOR MSCFW110017T4OYZ</v>
      </c>
      <c r="C2989" t="s">
        <v>3169</v>
      </c>
      <c r="D2989" t="str">
        <f>VLOOKUP(A2989,Planilha2!B:H,7,0)</f>
        <v>LINHA P7</v>
      </c>
      <c r="E2989" s="5">
        <v>4500</v>
      </c>
      <c r="F2989">
        <f>IFERROR(
IF(ISNUMBER(FIND("CFW110",B2989)),
VALUE(MID(B2989,FIND("CFW110",B2989)+6,FIND("T",B2989,FIND("CFW110",B2989))-(FIND("CFW110",B2989)+6))),
IF(ISNUMBER(FIND("D",B2989)),
VALUE(SUBSTITUTE(MID(B2989,FIND("D",B2989)+1,FIND("T",B2989,FIND("D",B2989))-(FIND("D",B2989)+1)),"P",",")),
IF(ISNUMBER(FIND("CFW5",B2989)),
VALUE(MID(B2989,
IF(ISNUMBER(FIND("F",B2989)),FIND("F",B2989)+1,FIND("G",B2989)+1),
FIND("T",B2989)-(IF(ISNUMBER(FIND("F",B2989)),FIND("F",B2989)+1,FIND("G",B2989)+1))
)),
VALUE(MID(B2989,FIND("E0",B2989)+2,FIND("T",B2989,FIND("E0",B2989))-(FIND("E0",B2989)+2)))
))),"")</f>
        <v>17</v>
      </c>
      <c r="G2989">
        <f>IFERROR(
IF(ISNUMBER(FIND("T2",B2989)),220,
IF(ISNUMBER(FIND("T4",B2989)),440,
IF(ISNUMBER(FIND("T5",B2989)),575,
IF(ISNUMBER(FIND("T6",B2989)),690,"")))),
"")</f>
        <v>440</v>
      </c>
    </row>
    <row r="2990" spans="1:7" x14ac:dyDescent="0.25">
      <c r="A2990">
        <v>11873400</v>
      </c>
      <c r="B2990" t="str">
        <f>VLOOKUP(A2990,Planilha2!B:C,2,0)</f>
        <v>INVERSOR MSCFW110016T2OYZ</v>
      </c>
      <c r="C2990" t="s">
        <v>3169</v>
      </c>
      <c r="D2990" t="str">
        <f>VLOOKUP(A2990,Planilha2!B:H,7,0)</f>
        <v>LINHA P5</v>
      </c>
      <c r="E2990" s="5">
        <v>4500</v>
      </c>
      <c r="F2990">
        <f>IFERROR(
IF(ISNUMBER(FIND("CFW110",B2990)),
VALUE(MID(B2990,FIND("CFW110",B2990)+6,FIND("T",B2990,FIND("CFW110",B2990))-(FIND("CFW110",B2990)+6))),
IF(ISNUMBER(FIND("D",B2990)),
VALUE(SUBSTITUTE(MID(B2990,FIND("D",B2990)+1,FIND("T",B2990,FIND("D",B2990))-(FIND("D",B2990)+1)),"P",",")),
IF(ISNUMBER(FIND("CFW5",B2990)),
VALUE(MID(B2990,
IF(ISNUMBER(FIND("F",B2990)),FIND("F",B2990)+1,FIND("G",B2990)+1),
FIND("T",B2990)-(IF(ISNUMBER(FIND("F",B2990)),FIND("F",B2990)+1,FIND("G",B2990)+1))
)),
VALUE(MID(B2990,FIND("E0",B2990)+2,FIND("T",B2990,FIND("E0",B2990))-(FIND("E0",B2990)+2)))
))),"")</f>
        <v>16</v>
      </c>
      <c r="G2990">
        <f>IFERROR(
IF(ISNUMBER(FIND("T2",B2990)),220,
IF(ISNUMBER(FIND("T4",B2990)),440,
IF(ISNUMBER(FIND("T5",B2990)),575,
IF(ISNUMBER(FIND("T6",B2990)),690,"")))),
"")</f>
        <v>220</v>
      </c>
    </row>
    <row r="2991" spans="1:7" x14ac:dyDescent="0.25">
      <c r="A2991">
        <v>11873994</v>
      </c>
      <c r="B2991" t="str">
        <f>VLOOKUP(A2991,Planilha2!B:C,2,0)</f>
        <v>INVERSOR NACFW110010T4OYZ</v>
      </c>
      <c r="C2991" t="s">
        <v>3169</v>
      </c>
      <c r="D2991" t="str">
        <f>VLOOKUP(A2991,Planilha2!B:H,7,0)</f>
        <v>LINHA P5</v>
      </c>
      <c r="E2991" s="5">
        <v>4500</v>
      </c>
      <c r="F2991">
        <f>IFERROR(
IF(ISNUMBER(FIND("CFW110",B2991)),
VALUE(MID(B2991,FIND("CFW110",B2991)+6,FIND("T",B2991,FIND("CFW110",B2991))-(FIND("CFW110",B2991)+6))),
IF(ISNUMBER(FIND("D",B2991)),
VALUE(SUBSTITUTE(MID(B2991,FIND("D",B2991)+1,FIND("T",B2991,FIND("D",B2991))-(FIND("D",B2991)+1)),"P",",")),
IF(ISNUMBER(FIND("CFW5",B2991)),
VALUE(MID(B2991,
IF(ISNUMBER(FIND("F",B2991)),FIND("F",B2991)+1,FIND("G",B2991)+1),
FIND("T",B2991)-(IF(ISNUMBER(FIND("F",B2991)),FIND("F",B2991)+1,FIND("G",B2991)+1))
)),
VALUE(MID(B2991,FIND("E0",B2991)+2,FIND("T",B2991,FIND("E0",B2991))-(FIND("E0",B2991)+2)))
))),"")</f>
        <v>10</v>
      </c>
      <c r="G2991">
        <f>IFERROR(
IF(ISNUMBER(FIND("T2",B2991)),220,
IF(ISNUMBER(FIND("T4",B2991)),440,
IF(ISNUMBER(FIND("T5",B2991)),575,
IF(ISNUMBER(FIND("T6",B2991)),690,"")))),
"")</f>
        <v>440</v>
      </c>
    </row>
    <row r="2992" spans="1:7" x14ac:dyDescent="0.25">
      <c r="A2992">
        <v>11873896</v>
      </c>
      <c r="B2992" t="str">
        <f>VLOOKUP(A2992,Planilha2!B:C,2,0)</f>
        <v>INVERSOR NACFW110010T2OYZ</v>
      </c>
      <c r="C2992" t="s">
        <v>3169</v>
      </c>
      <c r="D2992" t="str">
        <f>VLOOKUP(A2992,Planilha2!B:H,7,0)</f>
        <v>LINHA P5</v>
      </c>
      <c r="E2992" s="5">
        <v>4500</v>
      </c>
      <c r="F2992">
        <f>IFERROR(
IF(ISNUMBER(FIND("CFW110",B2992)),
VALUE(MID(B2992,FIND("CFW110",B2992)+6,FIND("T",B2992,FIND("CFW110",B2992))-(FIND("CFW110",B2992)+6))),
IF(ISNUMBER(FIND("D",B2992)),
VALUE(SUBSTITUTE(MID(B2992,FIND("D",B2992)+1,FIND("T",B2992,FIND("D",B2992))-(FIND("D",B2992)+1)),"P",",")),
IF(ISNUMBER(FIND("CFW5",B2992)),
VALUE(MID(B2992,
IF(ISNUMBER(FIND("F",B2992)),FIND("F",B2992)+1,FIND("G",B2992)+1),
FIND("T",B2992)-(IF(ISNUMBER(FIND("F",B2992)),FIND("F",B2992)+1,FIND("G",B2992)+1))
)),
VALUE(MID(B2992,FIND("E0",B2992)+2,FIND("T",B2992,FIND("E0",B2992))-(FIND("E0",B2992)+2)))
))),"")</f>
        <v>10</v>
      </c>
      <c r="G2992">
        <f>IFERROR(
IF(ISNUMBER(FIND("T2",B2992)),220,
IF(ISNUMBER(FIND("T4",B2992)),440,
IF(ISNUMBER(FIND("T5",B2992)),575,
IF(ISNUMBER(FIND("T6",B2992)),690,"")))),
"")</f>
        <v>220</v>
      </c>
    </row>
    <row r="2993" spans="1:7" x14ac:dyDescent="0.25">
      <c r="A2993">
        <v>11873420</v>
      </c>
      <c r="B2993" t="str">
        <f>VLOOKUP(A2993,Planilha2!B:C,2,0)</f>
        <v>INVERSOR MSCFW110013T4OYZ</v>
      </c>
      <c r="C2993" t="s">
        <v>3169</v>
      </c>
      <c r="D2993" t="str">
        <f>VLOOKUP(A2993,Planilha2!B:H,7,0)</f>
        <v>LINHA P5</v>
      </c>
      <c r="E2993" s="5">
        <v>6300</v>
      </c>
      <c r="F2993">
        <f>IFERROR(
IF(ISNUMBER(FIND("CFW110",B2993)),
VALUE(MID(B2993,FIND("CFW110",B2993)+6,FIND("T",B2993,FIND("CFW110",B2993))-(FIND("CFW110",B2993)+6))),
IF(ISNUMBER(FIND("D",B2993)),
VALUE(SUBSTITUTE(MID(B2993,FIND("D",B2993)+1,FIND("T",B2993,FIND("D",B2993))-(FIND("D",B2993)+1)),"P",",")),
IF(ISNUMBER(FIND("CFW5",B2993)),
VALUE(MID(B2993,
IF(ISNUMBER(FIND("F",B2993)),FIND("F",B2993)+1,FIND("G",B2993)+1),
FIND("T",B2993)-(IF(ISNUMBER(FIND("F",B2993)),FIND("F",B2993)+1,FIND("G",B2993)+1))
)),
VALUE(MID(B2993,FIND("E0",B2993)+2,FIND("T",B2993,FIND("E0",B2993))-(FIND("E0",B2993)+2)))
))),"")</f>
        <v>13</v>
      </c>
      <c r="G2993">
        <f>IFERROR(
IF(ISNUMBER(FIND("T2",B2993)),220,
IF(ISNUMBER(FIND("T4",B2993)),440,
IF(ISNUMBER(FIND("T5",B2993)),575,
IF(ISNUMBER(FIND("T6",B2993)),690,"")))),
"")</f>
        <v>440</v>
      </c>
    </row>
    <row r="2994" spans="1:7" x14ac:dyDescent="0.25">
      <c r="A2994">
        <v>11873399</v>
      </c>
      <c r="B2994" t="str">
        <f>VLOOKUP(A2994,Planilha2!B:C,2,0)</f>
        <v>INVERSOR MSCFW110013T2OYZ</v>
      </c>
      <c r="C2994" t="s">
        <v>3169</v>
      </c>
      <c r="D2994" t="str">
        <f>VLOOKUP(A2994,Planilha2!B:H,7,0)</f>
        <v>LINHA P5</v>
      </c>
      <c r="E2994" s="5">
        <v>4500</v>
      </c>
      <c r="F2994">
        <f>IFERROR(
IF(ISNUMBER(FIND("CFW110",B2994)),
VALUE(MID(B2994,FIND("CFW110",B2994)+6,FIND("T",B2994,FIND("CFW110",B2994))-(FIND("CFW110",B2994)+6))),
IF(ISNUMBER(FIND("D",B2994)),
VALUE(SUBSTITUTE(MID(B2994,FIND("D",B2994)+1,FIND("T",B2994,FIND("D",B2994))-(FIND("D",B2994)+1)),"P",",")),
IF(ISNUMBER(FIND("CFW5",B2994)),
VALUE(MID(B2994,
IF(ISNUMBER(FIND("F",B2994)),FIND("F",B2994)+1,FIND("G",B2994)+1),
FIND("T",B2994)-(IF(ISNUMBER(FIND("F",B2994)),FIND("F",B2994)+1,FIND("G",B2994)+1))
)),
VALUE(MID(B2994,FIND("E0",B2994)+2,FIND("T",B2994,FIND("E0",B2994))-(FIND("E0",B2994)+2)))
))),"")</f>
        <v>13</v>
      </c>
      <c r="G2994">
        <f>IFERROR(
IF(ISNUMBER(FIND("T2",B2994)),220,
IF(ISNUMBER(FIND("T4",B2994)),440,
IF(ISNUMBER(FIND("T5",B2994)),575,
IF(ISNUMBER(FIND("T6",B2994)),690,"")))),
"")</f>
        <v>220</v>
      </c>
    </row>
    <row r="2995" spans="1:7" x14ac:dyDescent="0.25">
      <c r="A2995">
        <v>11873406</v>
      </c>
      <c r="B2995" t="str">
        <f>VLOOKUP(A2995,Planilha2!B:C,2,0)</f>
        <v>INVERSOR MSCFW110010T4OYZ</v>
      </c>
      <c r="C2995" t="s">
        <v>3169</v>
      </c>
      <c r="D2995" t="str">
        <f>VLOOKUP(A2995,Planilha2!B:H,7,0)</f>
        <v>LINHA P5</v>
      </c>
      <c r="E2995" s="5">
        <v>4500</v>
      </c>
      <c r="F2995">
        <f>IFERROR(
IF(ISNUMBER(FIND("CFW110",B2995)),
VALUE(MID(B2995,FIND("CFW110",B2995)+6,FIND("T",B2995,FIND("CFW110",B2995))-(FIND("CFW110",B2995)+6))),
IF(ISNUMBER(FIND("D",B2995)),
VALUE(SUBSTITUTE(MID(B2995,FIND("D",B2995)+1,FIND("T",B2995,FIND("D",B2995))-(FIND("D",B2995)+1)),"P",",")),
IF(ISNUMBER(FIND("CFW5",B2995)),
VALUE(MID(B2995,
IF(ISNUMBER(FIND("F",B2995)),FIND("F",B2995)+1,FIND("G",B2995)+1),
FIND("T",B2995)-(IF(ISNUMBER(FIND("F",B2995)),FIND("F",B2995)+1,FIND("G",B2995)+1))
)),
VALUE(MID(B2995,FIND("E0",B2995)+2,FIND("T",B2995,FIND("E0",B2995))-(FIND("E0",B2995)+2)))
))),"")</f>
        <v>10</v>
      </c>
      <c r="G2995">
        <f>IFERROR(
IF(ISNUMBER(FIND("T2",B2995)),220,
IF(ISNUMBER(FIND("T4",B2995)),440,
IF(ISNUMBER(FIND("T5",B2995)),575,
IF(ISNUMBER(FIND("T6",B2995)),690,"")))),
"")</f>
        <v>440</v>
      </c>
    </row>
    <row r="2996" spans="1:7" x14ac:dyDescent="0.25">
      <c r="A2996">
        <v>11873192</v>
      </c>
      <c r="B2996" t="str">
        <f>VLOOKUP(A2996,Planilha2!B:C,2,0)</f>
        <v>INVERSOR MSCFW110010T2OYZ</v>
      </c>
      <c r="C2996" t="s">
        <v>3169</v>
      </c>
      <c r="D2996" t="str">
        <f>VLOOKUP(A2996,Planilha2!B:H,7,0)</f>
        <v>LINHA P5</v>
      </c>
      <c r="E2996" s="5">
        <v>4500</v>
      </c>
      <c r="F2996">
        <f>IFERROR(
IF(ISNUMBER(FIND("CFW110",B2996)),
VALUE(MID(B2996,FIND("CFW110",B2996)+6,FIND("T",B2996,FIND("CFW110",B2996))-(FIND("CFW110",B2996)+6))),
IF(ISNUMBER(FIND("D",B2996)),
VALUE(SUBSTITUTE(MID(B2996,FIND("D",B2996)+1,FIND("T",B2996,FIND("D",B2996))-(FIND("D",B2996)+1)),"P",",")),
IF(ISNUMBER(FIND("CFW5",B2996)),
VALUE(MID(B2996,
IF(ISNUMBER(FIND("F",B2996)),FIND("F",B2996)+1,FIND("G",B2996)+1),
FIND("T",B2996)-(IF(ISNUMBER(FIND("F",B2996)),FIND("F",B2996)+1,FIND("G",B2996)+1))
)),
VALUE(MID(B2996,FIND("E0",B2996)+2,FIND("T",B2996,FIND("E0",B2996))-(FIND("E0",B2996)+2)))
))),"")</f>
        <v>10</v>
      </c>
      <c r="G2996">
        <f>IFERROR(
IF(ISNUMBER(FIND("T2",B2996)),220,
IF(ISNUMBER(FIND("T4",B2996)),440,
IF(ISNUMBER(FIND("T5",B2996)),575,
IF(ISNUMBER(FIND("T6",B2996)),690,"")))),
"")</f>
        <v>220</v>
      </c>
    </row>
    <row r="2997" spans="1:7" x14ac:dyDescent="0.25">
      <c r="A2997">
        <v>11874454</v>
      </c>
      <c r="B2997" t="str">
        <f>VLOOKUP(A2997,Planilha2!B:C,2,0)</f>
        <v>INVERSOR SACFW110007T4OYZ</v>
      </c>
      <c r="C2997" t="s">
        <v>3169</v>
      </c>
      <c r="D2997" t="str">
        <f>VLOOKUP(A2997,Planilha2!B:H,7,0)</f>
        <v>LINHA P5</v>
      </c>
      <c r="E2997" s="5">
        <v>4500</v>
      </c>
      <c r="F2997">
        <f>IFERROR(
IF(ISNUMBER(FIND("CFW110",B2997)),
VALUE(MID(B2997,FIND("CFW110",B2997)+6,FIND("T",B2997,FIND("CFW110",B2997))-(FIND("CFW110",B2997)+6))),
IF(ISNUMBER(FIND("D",B2997)),
VALUE(SUBSTITUTE(MID(B2997,FIND("D",B2997)+1,FIND("T",B2997,FIND("D",B2997))-(FIND("D",B2997)+1)),"P",",")),
IF(ISNUMBER(FIND("CFW5",B2997)),
VALUE(MID(B2997,
IF(ISNUMBER(FIND("F",B2997)),FIND("F",B2997)+1,FIND("G",B2997)+1),
FIND("T",B2997)-(IF(ISNUMBER(FIND("F",B2997)),FIND("F",B2997)+1,FIND("G",B2997)+1))
)),
VALUE(MID(B2997,FIND("E0",B2997)+2,FIND("T",B2997,FIND("E0",B2997))-(FIND("E0",B2997)+2)))
))),"")</f>
        <v>7</v>
      </c>
      <c r="G2997">
        <f>IFERROR(
IF(ISNUMBER(FIND("T2",B2997)),220,
IF(ISNUMBER(FIND("T4",B2997)),440,
IF(ISNUMBER(FIND("T5",B2997)),575,
IF(ISNUMBER(FIND("T6",B2997)),690,"")))),
"")</f>
        <v>440</v>
      </c>
    </row>
    <row r="2998" spans="1:7" x14ac:dyDescent="0.25">
      <c r="A2998">
        <v>11874392</v>
      </c>
      <c r="B2998" t="str">
        <f>VLOOKUP(A2998,Planilha2!B:C,2,0)</f>
        <v>INVERSOR SACFW110007T2OYZ</v>
      </c>
      <c r="C2998" t="s">
        <v>3169</v>
      </c>
      <c r="D2998" t="str">
        <f>VLOOKUP(A2998,Planilha2!B:H,7,0)</f>
        <v>LINHA P5</v>
      </c>
      <c r="E2998" s="5">
        <v>4500</v>
      </c>
      <c r="F2998">
        <f>IFERROR(
IF(ISNUMBER(FIND("CFW110",B2998)),
VALUE(MID(B2998,FIND("CFW110",B2998)+6,FIND("T",B2998,FIND("CFW110",B2998))-(FIND("CFW110",B2998)+6))),
IF(ISNUMBER(FIND("D",B2998)),
VALUE(SUBSTITUTE(MID(B2998,FIND("D",B2998)+1,FIND("T",B2998,FIND("D",B2998))-(FIND("D",B2998)+1)),"P",",")),
IF(ISNUMBER(FIND("CFW5",B2998)),
VALUE(MID(B2998,
IF(ISNUMBER(FIND("F",B2998)),FIND("F",B2998)+1,FIND("G",B2998)+1),
FIND("T",B2998)-(IF(ISNUMBER(FIND("F",B2998)),FIND("F",B2998)+1,FIND("G",B2998)+1))
)),
VALUE(MID(B2998,FIND("E0",B2998)+2,FIND("T",B2998,FIND("E0",B2998))-(FIND("E0",B2998)+2)))
))),"")</f>
        <v>7</v>
      </c>
      <c r="G2998">
        <f>IFERROR(
IF(ISNUMBER(FIND("T2",B2998)),220,
IF(ISNUMBER(FIND("T4",B2998)),440,
IF(ISNUMBER(FIND("T5",B2998)),575,
IF(ISNUMBER(FIND("T6",B2998)),690,"")))),
"")</f>
        <v>220</v>
      </c>
    </row>
    <row r="2999" spans="1:7" x14ac:dyDescent="0.25">
      <c r="A2999">
        <v>11874453</v>
      </c>
      <c r="B2999" t="str">
        <f>VLOOKUP(A2999,Planilha2!B:C,2,0)</f>
        <v>INVERSOR SACFW110005T4OYZ</v>
      </c>
      <c r="C2999" t="s">
        <v>3169</v>
      </c>
      <c r="D2999" t="str">
        <f>VLOOKUP(A2999,Planilha2!B:H,7,0)</f>
        <v>LINHA P5</v>
      </c>
      <c r="E2999" s="5">
        <v>4500</v>
      </c>
      <c r="F2999">
        <f>IFERROR(
IF(ISNUMBER(FIND("CFW110",B2999)),
VALUE(MID(B2999,FIND("CFW110",B2999)+6,FIND("T",B2999,FIND("CFW110",B2999))-(FIND("CFW110",B2999)+6))),
IF(ISNUMBER(FIND("D",B2999)),
VALUE(SUBSTITUTE(MID(B2999,FIND("D",B2999)+1,FIND("T",B2999,FIND("D",B2999))-(FIND("D",B2999)+1)),"P",",")),
IF(ISNUMBER(FIND("CFW5",B2999)),
VALUE(MID(B2999,
IF(ISNUMBER(FIND("F",B2999)),FIND("F",B2999)+1,FIND("G",B2999)+1),
FIND("T",B2999)-(IF(ISNUMBER(FIND("F",B2999)),FIND("F",B2999)+1,FIND("G",B2999)+1))
)),
VALUE(MID(B2999,FIND("E0",B2999)+2,FIND("T",B2999,FIND("E0",B2999))-(FIND("E0",B2999)+2)))
))),"")</f>
        <v>5</v>
      </c>
      <c r="G2999">
        <f>IFERROR(
IF(ISNUMBER(FIND("T2",B2999)),220,
IF(ISNUMBER(FIND("T4",B2999)),440,
IF(ISNUMBER(FIND("T5",B2999)),575,
IF(ISNUMBER(FIND("T6",B2999)),690,"")))),
"")</f>
        <v>440</v>
      </c>
    </row>
    <row r="3000" spans="1:7" x14ac:dyDescent="0.25">
      <c r="A3000">
        <v>11874451</v>
      </c>
      <c r="B3000" t="str">
        <f>VLOOKUP(A3000,Planilha2!B:C,2,0)</f>
        <v>INVERSOR SACFW110003T4OYZ</v>
      </c>
      <c r="C3000" t="s">
        <v>3169</v>
      </c>
      <c r="D3000" t="str">
        <f>VLOOKUP(A3000,Planilha2!B:H,7,0)</f>
        <v>LINHA P5</v>
      </c>
      <c r="E3000" s="5">
        <v>5700</v>
      </c>
      <c r="F3000">
        <f>IFERROR(
IF(ISNUMBER(FIND("CFW110",B3000)),
VALUE(MID(B3000,FIND("CFW110",B3000)+6,FIND("T",B3000,FIND("CFW110",B3000))-(FIND("CFW110",B3000)+6))),
IF(ISNUMBER(FIND("D",B3000)),
VALUE(SUBSTITUTE(MID(B3000,FIND("D",B3000)+1,FIND("T",B3000,FIND("D",B3000))-(FIND("D",B3000)+1)),"P",",")),
IF(ISNUMBER(FIND("CFW5",B3000)),
VALUE(MID(B3000,
IF(ISNUMBER(FIND("F",B3000)),FIND("F",B3000)+1,FIND("G",B3000)+1),
FIND("T",B3000)-(IF(ISNUMBER(FIND("F",B3000)),FIND("F",B3000)+1,FIND("G",B3000)+1))
)),
VALUE(MID(B3000,FIND("E0",B3000)+2,FIND("T",B3000,FIND("E0",B3000))-(FIND("E0",B3000)+2)))
))),"")</f>
        <v>3</v>
      </c>
      <c r="G3000">
        <f>IFERROR(
IF(ISNUMBER(FIND("T2",B3000)),220,
IF(ISNUMBER(FIND("T4",B3000)),440,
IF(ISNUMBER(FIND("T5",B3000)),575,
IF(ISNUMBER(FIND("T6",B3000)),690,"")))),
"")</f>
        <v>440</v>
      </c>
    </row>
    <row r="3001" spans="1:7" x14ac:dyDescent="0.25">
      <c r="A3001">
        <v>11873993</v>
      </c>
      <c r="B3001" t="str">
        <f>VLOOKUP(A3001,Planilha2!B:C,2,0)</f>
        <v>INVERSOR NACFW110007T4OYZ</v>
      </c>
      <c r="C3001" t="s">
        <v>3169</v>
      </c>
      <c r="D3001" t="str">
        <f>VLOOKUP(A3001,Planilha2!B:H,7,0)</f>
        <v>LINHA P5</v>
      </c>
      <c r="E3001" s="5">
        <v>4500</v>
      </c>
      <c r="F3001">
        <f>IFERROR(
IF(ISNUMBER(FIND("CFW110",B3001)),
VALUE(MID(B3001,FIND("CFW110",B3001)+6,FIND("T",B3001,FIND("CFW110",B3001))-(FIND("CFW110",B3001)+6))),
IF(ISNUMBER(FIND("D",B3001)),
VALUE(SUBSTITUTE(MID(B3001,FIND("D",B3001)+1,FIND("T",B3001,FIND("D",B3001))-(FIND("D",B3001)+1)),"P",",")),
IF(ISNUMBER(FIND("CFW5",B3001)),
VALUE(MID(B3001,
IF(ISNUMBER(FIND("F",B3001)),FIND("F",B3001)+1,FIND("G",B3001)+1),
FIND("T",B3001)-(IF(ISNUMBER(FIND("F",B3001)),FIND("F",B3001)+1,FIND("G",B3001)+1))
)),
VALUE(MID(B3001,FIND("E0",B3001)+2,FIND("T",B3001,FIND("E0",B3001))-(FIND("E0",B3001)+2)))
))),"")</f>
        <v>7</v>
      </c>
      <c r="G3001">
        <f>IFERROR(
IF(ISNUMBER(FIND("T2",B3001)),220,
IF(ISNUMBER(FIND("T4",B3001)),440,
IF(ISNUMBER(FIND("T5",B3001)),575,
IF(ISNUMBER(FIND("T6",B3001)),690,"")))),
"")</f>
        <v>440</v>
      </c>
    </row>
    <row r="3002" spans="1:7" x14ac:dyDescent="0.25">
      <c r="A3002">
        <v>11873895</v>
      </c>
      <c r="B3002" t="str">
        <f>VLOOKUP(A3002,Planilha2!B:C,2,0)</f>
        <v>INVERSOR NACFW110007T2OYZ</v>
      </c>
      <c r="C3002" t="s">
        <v>3169</v>
      </c>
      <c r="D3002" t="str">
        <f>VLOOKUP(A3002,Planilha2!B:H,7,0)</f>
        <v>LINHA P5</v>
      </c>
      <c r="E3002" s="5">
        <v>4500</v>
      </c>
      <c r="F3002">
        <f>IFERROR(
IF(ISNUMBER(FIND("CFW110",B3002)),
VALUE(MID(B3002,FIND("CFW110",B3002)+6,FIND("T",B3002,FIND("CFW110",B3002))-(FIND("CFW110",B3002)+6))),
IF(ISNUMBER(FIND("D",B3002)),
VALUE(SUBSTITUTE(MID(B3002,FIND("D",B3002)+1,FIND("T",B3002,FIND("D",B3002))-(FIND("D",B3002)+1)),"P",",")),
IF(ISNUMBER(FIND("CFW5",B3002)),
VALUE(MID(B3002,
IF(ISNUMBER(FIND("F",B3002)),FIND("F",B3002)+1,FIND("G",B3002)+1),
FIND("T",B3002)-(IF(ISNUMBER(FIND("F",B3002)),FIND("F",B3002)+1,FIND("G",B3002)+1))
)),
VALUE(MID(B3002,FIND("E0",B3002)+2,FIND("T",B3002,FIND("E0",B3002))-(FIND("E0",B3002)+2)))
))),"")</f>
        <v>7</v>
      </c>
      <c r="G3002">
        <f>IFERROR(
IF(ISNUMBER(FIND("T2",B3002)),220,
IF(ISNUMBER(FIND("T4",B3002)),440,
IF(ISNUMBER(FIND("T5",B3002)),575,
IF(ISNUMBER(FIND("T6",B3002)),690,"")))),
"")</f>
        <v>220</v>
      </c>
    </row>
    <row r="3003" spans="1:7" x14ac:dyDescent="0.25">
      <c r="A3003">
        <v>11873991</v>
      </c>
      <c r="B3003" t="str">
        <f>VLOOKUP(A3003,Planilha2!B:C,2,0)</f>
        <v>INVERSOR NACFW110005T4OYZ</v>
      </c>
      <c r="C3003" t="s">
        <v>3169</v>
      </c>
      <c r="D3003" t="str">
        <f>VLOOKUP(A3003,Planilha2!B:H,7,0)</f>
        <v>LINHA P5</v>
      </c>
      <c r="E3003" s="5">
        <v>4500</v>
      </c>
      <c r="F3003">
        <f>IFERROR(
IF(ISNUMBER(FIND("CFW110",B3003)),
VALUE(MID(B3003,FIND("CFW110",B3003)+6,FIND("T",B3003,FIND("CFW110",B3003))-(FIND("CFW110",B3003)+6))),
IF(ISNUMBER(FIND("D",B3003)),
VALUE(SUBSTITUTE(MID(B3003,FIND("D",B3003)+1,FIND("T",B3003,FIND("D",B3003))-(FIND("D",B3003)+1)),"P",",")),
IF(ISNUMBER(FIND("CFW5",B3003)),
VALUE(MID(B3003,
IF(ISNUMBER(FIND("F",B3003)),FIND("F",B3003)+1,FIND("G",B3003)+1),
FIND("T",B3003)-(IF(ISNUMBER(FIND("F",B3003)),FIND("F",B3003)+1,FIND("G",B3003)+1))
)),
VALUE(MID(B3003,FIND("E0",B3003)+2,FIND("T",B3003,FIND("E0",B3003))-(FIND("E0",B3003)+2)))
))),"")</f>
        <v>5</v>
      </c>
      <c r="G3003">
        <f>IFERROR(
IF(ISNUMBER(FIND("T2",B3003)),220,
IF(ISNUMBER(FIND("T4",B3003)),440,
IF(ISNUMBER(FIND("T5",B3003)),575,
IF(ISNUMBER(FIND("T6",B3003)),690,"")))),
"")</f>
        <v>440</v>
      </c>
    </row>
    <row r="3004" spans="1:7" x14ac:dyDescent="0.25">
      <c r="A3004">
        <v>11873990</v>
      </c>
      <c r="B3004" t="str">
        <f>VLOOKUP(A3004,Planilha2!B:C,2,0)</f>
        <v>INVERSOR NACFW110003T4OYZ</v>
      </c>
      <c r="C3004" t="s">
        <v>3169</v>
      </c>
      <c r="D3004" t="str">
        <f>VLOOKUP(A3004,Planilha2!B:H,7,0)</f>
        <v>LINHA P5</v>
      </c>
      <c r="E3004" s="5">
        <v>5700</v>
      </c>
      <c r="F3004">
        <f>IFERROR(
IF(ISNUMBER(FIND("CFW110",B3004)),
VALUE(MID(B3004,FIND("CFW110",B3004)+6,FIND("T",B3004,FIND("CFW110",B3004))-(FIND("CFW110",B3004)+6))),
IF(ISNUMBER(FIND("D",B3004)),
VALUE(SUBSTITUTE(MID(B3004,FIND("D",B3004)+1,FIND("T",B3004,FIND("D",B3004))-(FIND("D",B3004)+1)),"P",",")),
IF(ISNUMBER(FIND("CFW5",B3004)),
VALUE(MID(B3004,
IF(ISNUMBER(FIND("F",B3004)),FIND("F",B3004)+1,FIND("G",B3004)+1),
FIND("T",B3004)-(IF(ISNUMBER(FIND("F",B3004)),FIND("F",B3004)+1,FIND("G",B3004)+1))
)),
VALUE(MID(B3004,FIND("E0",B3004)+2,FIND("T",B3004,FIND("E0",B3004))-(FIND("E0",B3004)+2)))
))),"")</f>
        <v>3</v>
      </c>
      <c r="G3004">
        <f>IFERROR(
IF(ISNUMBER(FIND("T2",B3004)),220,
IF(ISNUMBER(FIND("T4",B3004)),440,
IF(ISNUMBER(FIND("T5",B3004)),575,
IF(ISNUMBER(FIND("T6",B3004)),690,"")))),
"")</f>
        <v>440</v>
      </c>
    </row>
    <row r="3005" spans="1:7" x14ac:dyDescent="0.25">
      <c r="A3005">
        <v>11873405</v>
      </c>
      <c r="B3005" t="str">
        <f>VLOOKUP(A3005,Planilha2!B:C,2,0)</f>
        <v>INVERSOR MSCFW110007T4OYZ</v>
      </c>
      <c r="C3005" t="s">
        <v>3169</v>
      </c>
      <c r="D3005" t="str">
        <f>VLOOKUP(A3005,Planilha2!B:H,7,0)</f>
        <v>LINHA P5</v>
      </c>
      <c r="E3005" s="5">
        <v>4500</v>
      </c>
      <c r="F3005">
        <f>IFERROR(
IF(ISNUMBER(FIND("CFW110",B3005)),
VALUE(MID(B3005,FIND("CFW110",B3005)+6,FIND("T",B3005,FIND("CFW110",B3005))-(FIND("CFW110",B3005)+6))),
IF(ISNUMBER(FIND("D",B3005)),
VALUE(SUBSTITUTE(MID(B3005,FIND("D",B3005)+1,FIND("T",B3005,FIND("D",B3005))-(FIND("D",B3005)+1)),"P",",")),
IF(ISNUMBER(FIND("CFW5",B3005)),
VALUE(MID(B3005,
IF(ISNUMBER(FIND("F",B3005)),FIND("F",B3005)+1,FIND("G",B3005)+1),
FIND("T",B3005)-(IF(ISNUMBER(FIND("F",B3005)),FIND("F",B3005)+1,FIND("G",B3005)+1))
)),
VALUE(MID(B3005,FIND("E0",B3005)+2,FIND("T",B3005,FIND("E0",B3005))-(FIND("E0",B3005)+2)))
))),"")</f>
        <v>7</v>
      </c>
      <c r="G3005">
        <f>IFERROR(
IF(ISNUMBER(FIND("T2",B3005)),220,
IF(ISNUMBER(FIND("T4",B3005)),440,
IF(ISNUMBER(FIND("T5",B3005)),575,
IF(ISNUMBER(FIND("T6",B3005)),690,"")))),
"")</f>
        <v>440</v>
      </c>
    </row>
    <row r="3006" spans="1:7" x14ac:dyDescent="0.25">
      <c r="A3006">
        <v>11873190</v>
      </c>
      <c r="B3006" t="str">
        <f>VLOOKUP(A3006,Planilha2!B:C,2,0)</f>
        <v>INVERSOR MSCFW110007T2OYZ</v>
      </c>
      <c r="C3006" t="s">
        <v>3169</v>
      </c>
      <c r="D3006" t="str">
        <f>VLOOKUP(A3006,Planilha2!B:H,7,0)</f>
        <v>LINHA P5</v>
      </c>
      <c r="E3006" s="5">
        <v>4500</v>
      </c>
      <c r="F3006">
        <f>IFERROR(
IF(ISNUMBER(FIND("CFW110",B3006)),
VALUE(MID(B3006,FIND("CFW110",B3006)+6,FIND("T",B3006,FIND("CFW110",B3006))-(FIND("CFW110",B3006)+6))),
IF(ISNUMBER(FIND("D",B3006)),
VALUE(SUBSTITUTE(MID(B3006,FIND("D",B3006)+1,FIND("T",B3006,FIND("D",B3006))-(FIND("D",B3006)+1)),"P",",")),
IF(ISNUMBER(FIND("CFW5",B3006)),
VALUE(MID(B3006,
IF(ISNUMBER(FIND("F",B3006)),FIND("F",B3006)+1,FIND("G",B3006)+1),
FIND("T",B3006)-(IF(ISNUMBER(FIND("F",B3006)),FIND("F",B3006)+1,FIND("G",B3006)+1))
)),
VALUE(MID(B3006,FIND("E0",B3006)+2,FIND("T",B3006,FIND("E0",B3006))-(FIND("E0",B3006)+2)))
))),"")</f>
        <v>7</v>
      </c>
      <c r="G3006">
        <f>IFERROR(
IF(ISNUMBER(FIND("T2",B3006)),220,
IF(ISNUMBER(FIND("T4",B3006)),440,
IF(ISNUMBER(FIND("T5",B3006)),575,
IF(ISNUMBER(FIND("T6",B3006)),690,"")))),
"")</f>
        <v>220</v>
      </c>
    </row>
    <row r="3007" spans="1:7" x14ac:dyDescent="0.25">
      <c r="A3007">
        <v>11873401</v>
      </c>
      <c r="B3007" t="str">
        <f>VLOOKUP(A3007,Planilha2!B:C,2,0)</f>
        <v>INVERSOR MSCFW110003T4OYZ</v>
      </c>
      <c r="C3007" t="s">
        <v>3169</v>
      </c>
      <c r="D3007" t="str">
        <f>VLOOKUP(A3007,Planilha2!B:H,7,0)</f>
        <v>LINHA P5</v>
      </c>
      <c r="E3007" s="5">
        <v>5700</v>
      </c>
      <c r="F3007">
        <f>IFERROR(
IF(ISNUMBER(FIND("CFW110",B3007)),
VALUE(MID(B3007,FIND("CFW110",B3007)+6,FIND("T",B3007,FIND("CFW110",B3007))-(FIND("CFW110",B3007)+6))),
IF(ISNUMBER(FIND("D",B3007)),
VALUE(SUBSTITUTE(MID(B3007,FIND("D",B3007)+1,FIND("T",B3007,FIND("D",B3007))-(FIND("D",B3007)+1)),"P",",")),
IF(ISNUMBER(FIND("CFW5",B3007)),
VALUE(MID(B3007,
IF(ISNUMBER(FIND("F",B3007)),FIND("F",B3007)+1,FIND("G",B3007)+1),
FIND("T",B3007)-(IF(ISNUMBER(FIND("F",B3007)),FIND("F",B3007)+1,FIND("G",B3007)+1))
)),
VALUE(MID(B3007,FIND("E0",B3007)+2,FIND("T",B3007,FIND("E0",B3007))-(FIND("E0",B3007)+2)))
))),"")</f>
        <v>3</v>
      </c>
      <c r="G3007">
        <f>IFERROR(
IF(ISNUMBER(FIND("T2",B3007)),220,
IF(ISNUMBER(FIND("T4",B3007)),440,
IF(ISNUMBER(FIND("T5",B3007)),575,
IF(ISNUMBER(FIND("T6",B3007)),690,"")))),
"")</f>
        <v>440</v>
      </c>
    </row>
    <row r="3008" spans="1:7" x14ac:dyDescent="0.25">
      <c r="A3008">
        <v>12151754</v>
      </c>
      <c r="B3008" t="str">
        <f>VLOOKUP(A3008,Planilha2!B:C,2,0)</f>
        <v>INVERSOR BRCFW110031T4OFAWZ</v>
      </c>
      <c r="C3008" t="s">
        <v>3169</v>
      </c>
      <c r="D3008" t="str">
        <f>VLOOKUP(A3008,Planilha2!B:H,7,0)</f>
        <v>LINHA P7</v>
      </c>
      <c r="E3008" s="5">
        <v>4500</v>
      </c>
      <c r="F3008">
        <f>IFERROR(
IF(ISNUMBER(FIND("CFW110",B3008)),
VALUE(MID(B3008,FIND("CFW110",B3008)+6,FIND("T",B3008,FIND("CFW110",B3008))-(FIND("CFW110",B3008)+6))),
IF(ISNUMBER(FIND("D",B3008)),
VALUE(SUBSTITUTE(MID(B3008,FIND("D",B3008)+1,FIND("T",B3008,FIND("D",B3008))-(FIND("D",B3008)+1)),"P",",")),
IF(ISNUMBER(FIND("CFW5",B3008)),
VALUE(MID(B3008,
IF(ISNUMBER(FIND("F",B3008)),FIND("F",B3008)+1,FIND("G",B3008)+1),
FIND("T",B3008)-(IF(ISNUMBER(FIND("F",B3008)),FIND("F",B3008)+1,FIND("G",B3008)+1))
)),
VALUE(MID(B3008,FIND("E0",B3008)+2,FIND("T",B3008,FIND("E0",B3008))-(FIND("E0",B3008)+2)))
))),"")</f>
        <v>31</v>
      </c>
      <c r="G3008">
        <f>IFERROR(
IF(ISNUMBER(FIND("T2",B3008)),220,
IF(ISNUMBER(FIND("T4",B3008)),440,
IF(ISNUMBER(FIND("T5",B3008)),575,
IF(ISNUMBER(FIND("T6",B3008)),690,"")))),
"")</f>
        <v>440</v>
      </c>
    </row>
    <row r="3009" spans="1:7" x14ac:dyDescent="0.25">
      <c r="A3009">
        <v>11996010</v>
      </c>
      <c r="B3009" t="str">
        <f>VLOOKUP(A3009,Planilha2!B:C,2,0)</f>
        <v>INVERSOR SACFW110012T5ONFZ</v>
      </c>
      <c r="C3009" t="s">
        <v>3169</v>
      </c>
      <c r="D3009" t="str">
        <f>VLOOKUP(A3009,Planilha2!B:H,7,0)</f>
        <v>LINHA P7</v>
      </c>
      <c r="E3009" s="5">
        <v>10400</v>
      </c>
      <c r="F3009">
        <f>IFERROR(
IF(ISNUMBER(FIND("CFW110",B3009)),
VALUE(MID(B3009,FIND("CFW110",B3009)+6,FIND("T",B3009,FIND("CFW110",B3009))-(FIND("CFW110",B3009)+6))),
IF(ISNUMBER(FIND("D",B3009)),
VALUE(SUBSTITUTE(MID(B3009,FIND("D",B3009)+1,FIND("T",B3009,FIND("D",B3009))-(FIND("D",B3009)+1)),"P",",")),
IF(ISNUMBER(FIND("CFW5",B3009)),
VALUE(MID(B3009,
IF(ISNUMBER(FIND("F",B3009)),FIND("F",B3009)+1,FIND("G",B3009)+1),
FIND("T",B3009)-(IF(ISNUMBER(FIND("F",B3009)),FIND("F",B3009)+1,FIND("G",B3009)+1))
)),
VALUE(MID(B3009,FIND("E0",B3009)+2,FIND("T",B3009,FIND("E0",B3009))-(FIND("E0",B3009)+2)))
))),"")</f>
        <v>12</v>
      </c>
      <c r="G3009">
        <f>IFERROR(
IF(ISNUMBER(FIND("T2",B3009)),220,
IF(ISNUMBER(FIND("T4",B3009)),440,
IF(ISNUMBER(FIND("T5",B3009)),575,
IF(ISNUMBER(FIND("T6",B3009)),690,"")))),
"")</f>
        <v>575</v>
      </c>
    </row>
    <row r="3010" spans="1:7" x14ac:dyDescent="0.25">
      <c r="A3010">
        <v>12176429</v>
      </c>
      <c r="B3010" t="str">
        <f>VLOOKUP(A3010,Planilha2!B:C,2,0)</f>
        <v>INVERSOR EUCFW110017T4O54FAYZ</v>
      </c>
      <c r="C3010" t="s">
        <v>3169</v>
      </c>
      <c r="D3010" t="str">
        <f>VLOOKUP(A3010,Planilha2!B:H,7,0)</f>
        <v>LINHA M3</v>
      </c>
      <c r="E3010" s="5">
        <v>15000</v>
      </c>
      <c r="F3010">
        <f>IFERROR(
IF(ISNUMBER(FIND("CFW110",B3010)),
VALUE(MID(B3010,FIND("CFW110",B3010)+6,FIND("T",B3010,FIND("CFW110",B3010))-(FIND("CFW110",B3010)+6))),
IF(ISNUMBER(FIND("D",B3010)),
VALUE(SUBSTITUTE(MID(B3010,FIND("D",B3010)+1,FIND("T",B3010,FIND("D",B3010))-(FIND("D",B3010)+1)),"P",",")),
IF(ISNUMBER(FIND("CFW5",B3010)),
VALUE(MID(B3010,
IF(ISNUMBER(FIND("F",B3010)),FIND("F",B3010)+1,FIND("G",B3010)+1),
FIND("T",B3010)-(IF(ISNUMBER(FIND("F",B3010)),FIND("F",B3010)+1,FIND("G",B3010)+1))
)),
VALUE(MID(B3010,FIND("E0",B3010)+2,FIND("T",B3010,FIND("E0",B3010))-(FIND("E0",B3010)+2)))
))),"")</f>
        <v>17</v>
      </c>
      <c r="G3010">
        <f>IFERROR(
IF(ISNUMBER(FIND("T2",B3010)),220,
IF(ISNUMBER(FIND("T4",B3010)),440,
IF(ISNUMBER(FIND("T5",B3010)),575,
IF(ISNUMBER(FIND("T6",B3010)),690,"")))),
"")</f>
        <v>440</v>
      </c>
    </row>
    <row r="3011" spans="1:7" x14ac:dyDescent="0.25">
      <c r="A3011">
        <v>11874734</v>
      </c>
      <c r="B3011" t="str">
        <f>VLOOKUP(A3011,Planilha2!B:C,2,0)</f>
        <v>INVERSOR CFW700A07P0T4DB20Y1</v>
      </c>
      <c r="C3011" t="s">
        <v>3169</v>
      </c>
      <c r="D3011" t="str">
        <f>VLOOKUP(A3011,Planilha2!B:H,7,0)</f>
        <v>OBSOLETOS DRIVES</v>
      </c>
      <c r="E3011" s="5">
        <v>5700</v>
      </c>
      <c r="F3011" t="str">
        <f>IFERROR(
IF(ISNUMBER(FIND("CFW110",B3011)),
VALUE(MID(B3011,FIND("CFW110",B3011)+6,FIND("T",B3011,FIND("CFW110",B3011))-(FIND("CFW110",B3011)+6))),
IF(ISNUMBER(FIND("D",B3011)),
VALUE(SUBSTITUTE(MID(B3011,FIND("D",B3011)+1,FIND("T",B3011,FIND("D",B3011))-(FIND("D",B3011)+1)),"P",",")),
IF(ISNUMBER(FIND("CFW5",B3011)),
VALUE(MID(B3011,
IF(ISNUMBER(FIND("F",B3011)),FIND("F",B3011)+1,FIND("G",B3011)+1),
FIND("T",B3011)-(IF(ISNUMBER(FIND("F",B3011)),FIND("F",B3011)+1,FIND("G",B3011)+1))
)),
VALUE(MID(B3011,FIND("E0",B3011)+2,FIND("T",B3011,FIND("E0",B3011))-(FIND("E0",B3011)+2)))
))),"")</f>
        <v/>
      </c>
      <c r="G3011">
        <f>IFERROR(
IF(ISNUMBER(FIND("T2",B3011)),220,
IF(ISNUMBER(FIND("T4",B3011)),440,
IF(ISNUMBER(FIND("T5",B3011)),575,
IF(ISNUMBER(FIND("T6",B3011)),690,"")))),
"")</f>
        <v>440</v>
      </c>
    </row>
    <row r="3012" spans="1:7" x14ac:dyDescent="0.25">
      <c r="A3012">
        <v>12176432</v>
      </c>
      <c r="B3012" t="str">
        <f>VLOOKUP(A3012,Planilha2!B:C,2,0)</f>
        <v>INVERSOR EUCFW110031T4O54FAYZ</v>
      </c>
      <c r="C3012" t="s">
        <v>3169</v>
      </c>
      <c r="D3012" t="str">
        <f>VLOOKUP(A3012,Planilha2!B:H,7,0)</f>
        <v>LINHA M3</v>
      </c>
      <c r="E3012" s="5">
        <v>15000</v>
      </c>
      <c r="F3012">
        <f>IFERROR(
IF(ISNUMBER(FIND("CFW110",B3012)),
VALUE(MID(B3012,FIND("CFW110",B3012)+6,FIND("T",B3012,FIND("CFW110",B3012))-(FIND("CFW110",B3012)+6))),
IF(ISNUMBER(FIND("D",B3012)),
VALUE(SUBSTITUTE(MID(B3012,FIND("D",B3012)+1,FIND("T",B3012,FIND("D",B3012))-(FIND("D",B3012)+1)),"P",",")),
IF(ISNUMBER(FIND("CFW5",B3012)),
VALUE(MID(B3012,
IF(ISNUMBER(FIND("F",B3012)),FIND("F",B3012)+1,FIND("G",B3012)+1),
FIND("T",B3012)-(IF(ISNUMBER(FIND("F",B3012)),FIND("F",B3012)+1,FIND("G",B3012)+1))
)),
VALUE(MID(B3012,FIND("E0",B3012)+2,FIND("T",B3012,FIND("E0",B3012))-(FIND("E0",B3012)+2)))
))),"")</f>
        <v>31</v>
      </c>
      <c r="G3012">
        <f>IFERROR(
IF(ISNUMBER(FIND("T2",B3012)),220,
IF(ISNUMBER(FIND("T4",B3012)),440,
IF(ISNUMBER(FIND("T5",B3012)),575,
IF(ISNUMBER(FIND("T6",B3012)),690,"")))),
"")</f>
        <v>440</v>
      </c>
    </row>
    <row r="3013" spans="1:7" x14ac:dyDescent="0.25">
      <c r="A3013">
        <v>11874763</v>
      </c>
      <c r="B3013" t="str">
        <f>VLOOKUP(A3013,Planilha2!B:C,2,0)</f>
        <v>INVERSOR CFW700A07P0T4DB20C3Y1</v>
      </c>
      <c r="C3013" t="s">
        <v>3169</v>
      </c>
      <c r="D3013" t="str">
        <f>VLOOKUP(A3013,Planilha2!B:H,7,0)</f>
        <v>OBSOLETOS DRIVES</v>
      </c>
      <c r="E3013" s="5">
        <v>5700</v>
      </c>
      <c r="F3013" t="str">
        <f>IFERROR(
IF(ISNUMBER(FIND("CFW110",B3013)),
VALUE(MID(B3013,FIND("CFW110",B3013)+6,FIND("T",B3013,FIND("CFW110",B3013))-(FIND("CFW110",B3013)+6))),
IF(ISNUMBER(FIND("D",B3013)),
VALUE(SUBSTITUTE(MID(B3013,FIND("D",B3013)+1,FIND("T",B3013,FIND("D",B3013))-(FIND("D",B3013)+1)),"P",",")),
IF(ISNUMBER(FIND("CFW5",B3013)),
VALUE(MID(B3013,
IF(ISNUMBER(FIND("F",B3013)),FIND("F",B3013)+1,FIND("G",B3013)+1),
FIND("T",B3013)-(IF(ISNUMBER(FIND("F",B3013)),FIND("F",B3013)+1,FIND("G",B3013)+1))
)),
VALUE(MID(B3013,FIND("E0",B3013)+2,FIND("T",B3013,FIND("E0",B3013))-(FIND("E0",B3013)+2)))
))),"")</f>
        <v/>
      </c>
      <c r="G3013">
        <f>IFERROR(
IF(ISNUMBER(FIND("T2",B3013)),220,
IF(ISNUMBER(FIND("T4",B3013)),440,
IF(ISNUMBER(FIND("T5",B3013)),575,
IF(ISNUMBER(FIND("T6",B3013)),690,"")))),
"")</f>
        <v>440</v>
      </c>
    </row>
    <row r="3014" spans="1:7" x14ac:dyDescent="0.25">
      <c r="A3014">
        <v>11874764</v>
      </c>
      <c r="B3014" t="str">
        <f>VLOOKUP(A3014,Planilha2!B:C,2,0)</f>
        <v>INVERSOR CFW700A10P0T4DB20C3Y1</v>
      </c>
      <c r="C3014" t="s">
        <v>3169</v>
      </c>
      <c r="D3014" t="str">
        <f>VLOOKUP(A3014,Planilha2!B:H,7,0)</f>
        <v>OBSOLETOS DRIVES</v>
      </c>
      <c r="E3014" s="5">
        <v>5700</v>
      </c>
      <c r="F3014" t="str">
        <f>IFERROR(
IF(ISNUMBER(FIND("CFW110",B3014)),
VALUE(MID(B3014,FIND("CFW110",B3014)+6,FIND("T",B3014,FIND("CFW110",B3014))-(FIND("CFW110",B3014)+6))),
IF(ISNUMBER(FIND("D",B3014)),
VALUE(SUBSTITUTE(MID(B3014,FIND("D",B3014)+1,FIND("T",B3014,FIND("D",B3014))-(FIND("D",B3014)+1)),"P",",")),
IF(ISNUMBER(FIND("CFW5",B3014)),
VALUE(MID(B3014,
IF(ISNUMBER(FIND("F",B3014)),FIND("F",B3014)+1,FIND("G",B3014)+1),
FIND("T",B3014)-(IF(ISNUMBER(FIND("F",B3014)),FIND("F",B3014)+1,FIND("G",B3014)+1))
)),
VALUE(MID(B3014,FIND("E0",B3014)+2,FIND("T",B3014,FIND("E0",B3014))-(FIND("E0",B3014)+2)))
))),"")</f>
        <v/>
      </c>
      <c r="G3014">
        <f>IFERROR(
IF(ISNUMBER(FIND("T2",B3014)),220,
IF(ISNUMBER(FIND("T4",B3014)),440,
IF(ISNUMBER(FIND("T5",B3014)),575,
IF(ISNUMBER(FIND("T6",B3014)),690,"")))),
"")</f>
        <v>440</v>
      </c>
    </row>
    <row r="3015" spans="1:7" x14ac:dyDescent="0.25">
      <c r="A3015">
        <v>12113298</v>
      </c>
      <c r="B3015" t="str">
        <f>VLOOKUP(A3015,Planilha2!B:C,2,0)</f>
        <v>INVERSOR CFW701A16P0T2DBN1C3</v>
      </c>
      <c r="C3015" t="s">
        <v>3169</v>
      </c>
      <c r="D3015" t="str">
        <f>VLOOKUP(A3015,Planilha2!B:H,7,0)</f>
        <v>OBSOLETOS DRIVES</v>
      </c>
      <c r="E3015" s="5">
        <v>4500</v>
      </c>
      <c r="F3015" t="str">
        <f>IFERROR(
IF(ISNUMBER(FIND("CFW110",B3015)),
VALUE(MID(B3015,FIND("CFW110",B3015)+6,FIND("T",B3015,FIND("CFW110",B3015))-(FIND("CFW110",B3015)+6))),
IF(ISNUMBER(FIND("D",B3015)),
VALUE(SUBSTITUTE(MID(B3015,FIND("D",B3015)+1,FIND("T",B3015,FIND("D",B3015))-(FIND("D",B3015)+1)),"P",",")),
IF(ISNUMBER(FIND("CFW5",B3015)),
VALUE(MID(B3015,
IF(ISNUMBER(FIND("F",B3015)),FIND("F",B3015)+1,FIND("G",B3015)+1),
FIND("T",B3015)-(IF(ISNUMBER(FIND("F",B3015)),FIND("F",B3015)+1,FIND("G",B3015)+1))
)),
VALUE(MID(B3015,FIND("E0",B3015)+2,FIND("T",B3015,FIND("E0",B3015))-(FIND("E0",B3015)+2)))
))),"")</f>
        <v/>
      </c>
      <c r="G3015">
        <f>IFERROR(
IF(ISNUMBER(FIND("T2",B3015)),220,
IF(ISNUMBER(FIND("T4",B3015)),440,
IF(ISNUMBER(FIND("T5",B3015)),575,
IF(ISNUMBER(FIND("T6",B3015)),690,"")))),
"")</f>
        <v>220</v>
      </c>
    </row>
    <row r="3016" spans="1:7" x14ac:dyDescent="0.25">
      <c r="A3016">
        <v>12113304</v>
      </c>
      <c r="B3016" t="str">
        <f>VLOOKUP(A3016,Planilha2!B:C,2,0)</f>
        <v>INVERSOR CFW701A13P5T4DBN1C3</v>
      </c>
      <c r="C3016" t="s">
        <v>3169</v>
      </c>
      <c r="D3016" t="str">
        <f>VLOOKUP(A3016,Planilha2!B:H,7,0)</f>
        <v>OBSOLETOS DRIVES</v>
      </c>
      <c r="E3016" s="5">
        <v>4500</v>
      </c>
      <c r="F3016" t="str">
        <f>IFERROR(
IF(ISNUMBER(FIND("CFW110",B3016)),
VALUE(MID(B3016,FIND("CFW110",B3016)+6,FIND("T",B3016,FIND("CFW110",B3016))-(FIND("CFW110",B3016)+6))),
IF(ISNUMBER(FIND("D",B3016)),
VALUE(SUBSTITUTE(MID(B3016,FIND("D",B3016)+1,FIND("T",B3016,FIND("D",B3016))-(FIND("D",B3016)+1)),"P",",")),
IF(ISNUMBER(FIND("CFW5",B3016)),
VALUE(MID(B3016,
IF(ISNUMBER(FIND("F",B3016)),FIND("F",B3016)+1,FIND("G",B3016)+1),
FIND("T",B3016)-(IF(ISNUMBER(FIND("F",B3016)),FIND("F",B3016)+1,FIND("G",B3016)+1))
)),
VALUE(MID(B3016,FIND("E0",B3016)+2,FIND("T",B3016,FIND("E0",B3016))-(FIND("E0",B3016)+2)))
))),"")</f>
        <v/>
      </c>
      <c r="G3016">
        <f>IFERROR(
IF(ISNUMBER(FIND("T2",B3016)),220,
IF(ISNUMBER(FIND("T4",B3016)),440,
IF(ISNUMBER(FIND("T5",B3016)),575,
IF(ISNUMBER(FIND("T6",B3016)),690,"")))),
"")</f>
        <v>440</v>
      </c>
    </row>
    <row r="3017" spans="1:7" x14ac:dyDescent="0.25">
      <c r="A3017">
        <v>12113285</v>
      </c>
      <c r="B3017" t="str">
        <f>VLOOKUP(A3017,Planilha2!B:C,2,0)</f>
        <v>INVERSOR CFW701A13P0T2DBN1C3</v>
      </c>
      <c r="C3017" t="s">
        <v>3169</v>
      </c>
      <c r="D3017" t="str">
        <f>VLOOKUP(A3017,Planilha2!B:H,7,0)</f>
        <v>OBSOLETOS DRIVES</v>
      </c>
      <c r="E3017" s="5">
        <v>4500</v>
      </c>
      <c r="F3017" t="str">
        <f>IFERROR(
IF(ISNUMBER(FIND("CFW110",B3017)),
VALUE(MID(B3017,FIND("CFW110",B3017)+6,FIND("T",B3017,FIND("CFW110",B3017))-(FIND("CFW110",B3017)+6))),
IF(ISNUMBER(FIND("D",B3017)),
VALUE(SUBSTITUTE(MID(B3017,FIND("D",B3017)+1,FIND("T",B3017,FIND("D",B3017))-(FIND("D",B3017)+1)),"P",",")),
IF(ISNUMBER(FIND("CFW5",B3017)),
VALUE(MID(B3017,
IF(ISNUMBER(FIND("F",B3017)),FIND("F",B3017)+1,FIND("G",B3017)+1),
FIND("T",B3017)-(IF(ISNUMBER(FIND("F",B3017)),FIND("F",B3017)+1,FIND("G",B3017)+1))
)),
VALUE(MID(B3017,FIND("E0",B3017)+2,FIND("T",B3017,FIND("E0",B3017))-(FIND("E0",B3017)+2)))
))),"")</f>
        <v/>
      </c>
      <c r="G3017">
        <f>IFERROR(
IF(ISNUMBER(FIND("T2",B3017)),220,
IF(ISNUMBER(FIND("T4",B3017)),440,
IF(ISNUMBER(FIND("T5",B3017)),575,
IF(ISNUMBER(FIND("T6",B3017)),690,"")))),
"")</f>
        <v>220</v>
      </c>
    </row>
    <row r="3018" spans="1:7" x14ac:dyDescent="0.25">
      <c r="A3018">
        <v>12113303</v>
      </c>
      <c r="B3018" t="str">
        <f>VLOOKUP(A3018,Planilha2!B:C,2,0)</f>
        <v>INVERSOR CFW701A10P0T4DBN1C3</v>
      </c>
      <c r="C3018" t="s">
        <v>3169</v>
      </c>
      <c r="D3018" t="str">
        <f>VLOOKUP(A3018,Planilha2!B:H,7,0)</f>
        <v>OBSOLETOS DRIVES</v>
      </c>
      <c r="E3018" s="5">
        <v>4500</v>
      </c>
      <c r="F3018" t="str">
        <f>IFERROR(
IF(ISNUMBER(FIND("CFW110",B3018)),
VALUE(MID(B3018,FIND("CFW110",B3018)+6,FIND("T",B3018,FIND("CFW110",B3018))-(FIND("CFW110",B3018)+6))),
IF(ISNUMBER(FIND("D",B3018)),
VALUE(SUBSTITUTE(MID(B3018,FIND("D",B3018)+1,FIND("T",B3018,FIND("D",B3018))-(FIND("D",B3018)+1)),"P",",")),
IF(ISNUMBER(FIND("CFW5",B3018)),
VALUE(MID(B3018,
IF(ISNUMBER(FIND("F",B3018)),FIND("F",B3018)+1,FIND("G",B3018)+1),
FIND("T",B3018)-(IF(ISNUMBER(FIND("F",B3018)),FIND("F",B3018)+1,FIND("G",B3018)+1))
)),
VALUE(MID(B3018,FIND("E0",B3018)+2,FIND("T",B3018,FIND("E0",B3018))-(FIND("E0",B3018)+2)))
))),"")</f>
        <v/>
      </c>
      <c r="G3018">
        <f>IFERROR(
IF(ISNUMBER(FIND("T2",B3018)),220,
IF(ISNUMBER(FIND("T4",B3018)),440,
IF(ISNUMBER(FIND("T5",B3018)),575,
IF(ISNUMBER(FIND("T6",B3018)),690,"")))),
"")</f>
        <v>440</v>
      </c>
    </row>
    <row r="3019" spans="1:7" x14ac:dyDescent="0.25">
      <c r="A3019">
        <v>12113284</v>
      </c>
      <c r="B3019" t="str">
        <f>VLOOKUP(A3019,Planilha2!B:C,2,0)</f>
        <v>INVERSOR CFW701A10P0T2DBN1C3</v>
      </c>
      <c r="C3019" t="s">
        <v>3169</v>
      </c>
      <c r="D3019" t="str">
        <f>VLOOKUP(A3019,Planilha2!B:H,7,0)</f>
        <v>OBSOLETOS DRIVES</v>
      </c>
      <c r="E3019" s="5">
        <v>4500</v>
      </c>
      <c r="F3019" t="str">
        <f>IFERROR(
IF(ISNUMBER(FIND("CFW110",B3019)),
VALUE(MID(B3019,FIND("CFW110",B3019)+6,FIND("T",B3019,FIND("CFW110",B3019))-(FIND("CFW110",B3019)+6))),
IF(ISNUMBER(FIND("D",B3019)),
VALUE(SUBSTITUTE(MID(B3019,FIND("D",B3019)+1,FIND("T",B3019,FIND("D",B3019))-(FIND("D",B3019)+1)),"P",",")),
IF(ISNUMBER(FIND("CFW5",B3019)),
VALUE(MID(B3019,
IF(ISNUMBER(FIND("F",B3019)),FIND("F",B3019)+1,FIND("G",B3019)+1),
FIND("T",B3019)-(IF(ISNUMBER(FIND("F",B3019)),FIND("F",B3019)+1,FIND("G",B3019)+1))
)),
VALUE(MID(B3019,FIND("E0",B3019)+2,FIND("T",B3019,FIND("E0",B3019))-(FIND("E0",B3019)+2)))
))),"")</f>
        <v/>
      </c>
      <c r="G3019">
        <f>IFERROR(
IF(ISNUMBER(FIND("T2",B3019)),220,
IF(ISNUMBER(FIND("T4",B3019)),440,
IF(ISNUMBER(FIND("T5",B3019)),575,
IF(ISNUMBER(FIND("T6",B3019)),690,"")))),
"")</f>
        <v>220</v>
      </c>
    </row>
    <row r="3020" spans="1:7" x14ac:dyDescent="0.25">
      <c r="A3020">
        <v>12113282</v>
      </c>
      <c r="B3020" t="str">
        <f>VLOOKUP(A3020,Planilha2!B:C,2,0)</f>
        <v>INVERSOR CFW701A10P0S2DBN1C3</v>
      </c>
      <c r="C3020" t="s">
        <v>3169</v>
      </c>
      <c r="D3020" t="str">
        <f>VLOOKUP(A3020,Planilha2!B:H,7,0)</f>
        <v>OBSOLETOS DRIVES</v>
      </c>
      <c r="E3020" s="5">
        <v>4500</v>
      </c>
      <c r="F3020" t="str">
        <f>IFERROR(
IF(ISNUMBER(FIND("CFW110",B3020)),
VALUE(MID(B3020,FIND("CFW110",B3020)+6,FIND("T",B3020,FIND("CFW110",B3020))-(FIND("CFW110",B3020)+6))),
IF(ISNUMBER(FIND("D",B3020)),
VALUE(SUBSTITUTE(MID(B3020,FIND("D",B3020)+1,FIND("T",B3020,FIND("D",B3020))-(FIND("D",B3020)+1)),"P",",")),
IF(ISNUMBER(FIND("CFW5",B3020)),
VALUE(MID(B3020,
IF(ISNUMBER(FIND("F",B3020)),FIND("F",B3020)+1,FIND("G",B3020)+1),
FIND("T",B3020)-(IF(ISNUMBER(FIND("F",B3020)),FIND("F",B3020)+1,FIND("G",B3020)+1))
)),
VALUE(MID(B3020,FIND("E0",B3020)+2,FIND("T",B3020,FIND("E0",B3020))-(FIND("E0",B3020)+2)))
))),"")</f>
        <v/>
      </c>
      <c r="G3020" t="str">
        <f>IFERROR(
IF(ISNUMBER(FIND("T2",B3020)),220,
IF(ISNUMBER(FIND("T4",B3020)),440,
IF(ISNUMBER(FIND("T5",B3020)),575,
IF(ISNUMBER(FIND("T6",B3020)),690,"")))),
"")</f>
        <v/>
      </c>
    </row>
    <row r="3021" spans="1:7" x14ac:dyDescent="0.25">
      <c r="A3021">
        <v>12113302</v>
      </c>
      <c r="B3021" t="str">
        <f>VLOOKUP(A3021,Planilha2!B:C,2,0)</f>
        <v>INVERSOR CFW701A07P0T4DBN1C3</v>
      </c>
      <c r="C3021" t="s">
        <v>3169</v>
      </c>
      <c r="D3021" t="str">
        <f>VLOOKUP(A3021,Planilha2!B:H,7,0)</f>
        <v>OBSOLETOS DRIVES</v>
      </c>
      <c r="E3021" s="5">
        <v>4500</v>
      </c>
      <c r="F3021" t="str">
        <f>IFERROR(
IF(ISNUMBER(FIND("CFW110",B3021)),
VALUE(MID(B3021,FIND("CFW110",B3021)+6,FIND("T",B3021,FIND("CFW110",B3021))-(FIND("CFW110",B3021)+6))),
IF(ISNUMBER(FIND("D",B3021)),
VALUE(SUBSTITUTE(MID(B3021,FIND("D",B3021)+1,FIND("T",B3021,FIND("D",B3021))-(FIND("D",B3021)+1)),"P",",")),
IF(ISNUMBER(FIND("CFW5",B3021)),
VALUE(MID(B3021,
IF(ISNUMBER(FIND("F",B3021)),FIND("F",B3021)+1,FIND("G",B3021)+1),
FIND("T",B3021)-(IF(ISNUMBER(FIND("F",B3021)),FIND("F",B3021)+1,FIND("G",B3021)+1))
)),
VALUE(MID(B3021,FIND("E0",B3021)+2,FIND("T",B3021,FIND("E0",B3021))-(FIND("E0",B3021)+2)))
))),"")</f>
        <v/>
      </c>
      <c r="G3021">
        <f>IFERROR(
IF(ISNUMBER(FIND("T2",B3021)),220,
IF(ISNUMBER(FIND("T4",B3021)),440,
IF(ISNUMBER(FIND("T5",B3021)),575,
IF(ISNUMBER(FIND("T6",B3021)),690,"")))),
"")</f>
        <v>440</v>
      </c>
    </row>
    <row r="3022" spans="1:7" x14ac:dyDescent="0.25">
      <c r="A3022">
        <v>12113283</v>
      </c>
      <c r="B3022" t="str">
        <f>VLOOKUP(A3022,Planilha2!B:C,2,0)</f>
        <v>INVERSOR CFW701A07P0T2DBN1C3</v>
      </c>
      <c r="C3022" t="s">
        <v>3169</v>
      </c>
      <c r="D3022" t="str">
        <f>VLOOKUP(A3022,Planilha2!B:H,7,0)</f>
        <v>OBSOLETOS DRIVES</v>
      </c>
      <c r="E3022" s="5">
        <v>4500</v>
      </c>
      <c r="F3022" t="str">
        <f>IFERROR(
IF(ISNUMBER(FIND("CFW110",B3022)),
VALUE(MID(B3022,FIND("CFW110",B3022)+6,FIND("T",B3022,FIND("CFW110",B3022))-(FIND("CFW110",B3022)+6))),
IF(ISNUMBER(FIND("D",B3022)),
VALUE(SUBSTITUTE(MID(B3022,FIND("D",B3022)+1,FIND("T",B3022,FIND("D",B3022))-(FIND("D",B3022)+1)),"P",",")),
IF(ISNUMBER(FIND("CFW5",B3022)),
VALUE(MID(B3022,
IF(ISNUMBER(FIND("F",B3022)),FIND("F",B3022)+1,FIND("G",B3022)+1),
FIND("T",B3022)-(IF(ISNUMBER(FIND("F",B3022)),FIND("F",B3022)+1,FIND("G",B3022)+1))
)),
VALUE(MID(B3022,FIND("E0",B3022)+2,FIND("T",B3022,FIND("E0",B3022))-(FIND("E0",B3022)+2)))
))),"")</f>
        <v/>
      </c>
      <c r="G3022">
        <f>IFERROR(
IF(ISNUMBER(FIND("T2",B3022)),220,
IF(ISNUMBER(FIND("T4",B3022)),440,
IF(ISNUMBER(FIND("T5",B3022)),575,
IF(ISNUMBER(FIND("T6",B3022)),690,"")))),
"")</f>
        <v>220</v>
      </c>
    </row>
    <row r="3023" spans="1:7" x14ac:dyDescent="0.25">
      <c r="A3023">
        <v>12113281</v>
      </c>
      <c r="B3023" t="str">
        <f>VLOOKUP(A3023,Planilha2!B:C,2,0)</f>
        <v>INVERSOR CFW701A07P0S2DBN1C3</v>
      </c>
      <c r="C3023" t="s">
        <v>3169</v>
      </c>
      <c r="D3023" t="str">
        <f>VLOOKUP(A3023,Planilha2!B:H,7,0)</f>
        <v>OBSOLETOS DRIVES</v>
      </c>
      <c r="E3023" s="5">
        <v>4500</v>
      </c>
      <c r="F3023" t="str">
        <f>IFERROR(
IF(ISNUMBER(FIND("CFW110",B3023)),
VALUE(MID(B3023,FIND("CFW110",B3023)+6,FIND("T",B3023,FIND("CFW110",B3023))-(FIND("CFW110",B3023)+6))),
IF(ISNUMBER(FIND("D",B3023)),
VALUE(SUBSTITUTE(MID(B3023,FIND("D",B3023)+1,FIND("T",B3023,FIND("D",B3023))-(FIND("D",B3023)+1)),"P",",")),
IF(ISNUMBER(FIND("CFW5",B3023)),
VALUE(MID(B3023,
IF(ISNUMBER(FIND("F",B3023)),FIND("F",B3023)+1,FIND("G",B3023)+1),
FIND("T",B3023)-(IF(ISNUMBER(FIND("F",B3023)),FIND("F",B3023)+1,FIND("G",B3023)+1))
)),
VALUE(MID(B3023,FIND("E0",B3023)+2,FIND("T",B3023,FIND("E0",B3023))-(FIND("E0",B3023)+2)))
))),"")</f>
        <v/>
      </c>
      <c r="G3023" t="str">
        <f>IFERROR(
IF(ISNUMBER(FIND("T2",B3023)),220,
IF(ISNUMBER(FIND("T4",B3023)),440,
IF(ISNUMBER(FIND("T5",B3023)),575,
IF(ISNUMBER(FIND("T6",B3023)),690,"")))),
"")</f>
        <v/>
      </c>
    </row>
    <row r="3024" spans="1:7" x14ac:dyDescent="0.25">
      <c r="A3024">
        <v>12113278</v>
      </c>
      <c r="B3024" t="str">
        <f>VLOOKUP(A3024,Planilha2!B:C,2,0)</f>
        <v>INVERSOR CFW701A06P0S2DBN1C3</v>
      </c>
      <c r="C3024" t="s">
        <v>3169</v>
      </c>
      <c r="D3024" t="str">
        <f>VLOOKUP(A3024,Planilha2!B:H,7,0)</f>
        <v>OBSOLETOS DRIVES</v>
      </c>
      <c r="E3024" s="5">
        <v>4500</v>
      </c>
      <c r="F3024" t="str">
        <f>IFERROR(
IF(ISNUMBER(FIND("CFW110",B3024)),
VALUE(MID(B3024,FIND("CFW110",B3024)+6,FIND("T",B3024,FIND("CFW110",B3024))-(FIND("CFW110",B3024)+6))),
IF(ISNUMBER(FIND("D",B3024)),
VALUE(SUBSTITUTE(MID(B3024,FIND("D",B3024)+1,FIND("T",B3024,FIND("D",B3024))-(FIND("D",B3024)+1)),"P",",")),
IF(ISNUMBER(FIND("CFW5",B3024)),
VALUE(MID(B3024,
IF(ISNUMBER(FIND("F",B3024)),FIND("F",B3024)+1,FIND("G",B3024)+1),
FIND("T",B3024)-(IF(ISNUMBER(FIND("F",B3024)),FIND("F",B3024)+1,FIND("G",B3024)+1))
)),
VALUE(MID(B3024,FIND("E0",B3024)+2,FIND("T",B3024,FIND("E0",B3024))-(FIND("E0",B3024)+2)))
))),"")</f>
        <v/>
      </c>
      <c r="G3024" t="str">
        <f>IFERROR(
IF(ISNUMBER(FIND("T2",B3024)),220,
IF(ISNUMBER(FIND("T4",B3024)),440,
IF(ISNUMBER(FIND("T5",B3024)),575,
IF(ISNUMBER(FIND("T6",B3024)),690,"")))),
"")</f>
        <v/>
      </c>
    </row>
    <row r="3025" spans="1:7" x14ac:dyDescent="0.25">
      <c r="A3025">
        <v>12113300</v>
      </c>
      <c r="B3025" t="str">
        <f>VLOOKUP(A3025,Planilha2!B:C,2,0)</f>
        <v>INVERSOR CFW701A05P0T4DBN1C3</v>
      </c>
      <c r="C3025" t="s">
        <v>3169</v>
      </c>
      <c r="D3025" t="str">
        <f>VLOOKUP(A3025,Planilha2!B:H,7,0)</f>
        <v>OBSOLETOS DRIVES</v>
      </c>
      <c r="E3025" s="5">
        <v>4500</v>
      </c>
      <c r="F3025" t="str">
        <f>IFERROR(
IF(ISNUMBER(FIND("CFW110",B3025)),
VALUE(MID(B3025,FIND("CFW110",B3025)+6,FIND("T",B3025,FIND("CFW110",B3025))-(FIND("CFW110",B3025)+6))),
IF(ISNUMBER(FIND("D",B3025)),
VALUE(SUBSTITUTE(MID(B3025,FIND("D",B3025)+1,FIND("T",B3025,FIND("D",B3025))-(FIND("D",B3025)+1)),"P",",")),
IF(ISNUMBER(FIND("CFW5",B3025)),
VALUE(MID(B3025,
IF(ISNUMBER(FIND("F",B3025)),FIND("F",B3025)+1,FIND("G",B3025)+1),
FIND("T",B3025)-(IF(ISNUMBER(FIND("F",B3025)),FIND("F",B3025)+1,FIND("G",B3025)+1))
)),
VALUE(MID(B3025,FIND("E0",B3025)+2,FIND("T",B3025,FIND("E0",B3025))-(FIND("E0",B3025)+2)))
))),"")</f>
        <v/>
      </c>
      <c r="G3025">
        <f>IFERROR(
IF(ISNUMBER(FIND("T2",B3025)),220,
IF(ISNUMBER(FIND("T4",B3025)),440,
IF(ISNUMBER(FIND("T5",B3025)),575,
IF(ISNUMBER(FIND("T6",B3025)),690,"")))),
"")</f>
        <v>440</v>
      </c>
    </row>
    <row r="3026" spans="1:7" x14ac:dyDescent="0.25">
      <c r="A3026">
        <v>12113299</v>
      </c>
      <c r="B3026" t="str">
        <f>VLOOKUP(A3026,Planilha2!B:C,2,0)</f>
        <v>INVERSOR CFW701A03P6T4DBN1C3</v>
      </c>
      <c r="C3026" t="s">
        <v>3169</v>
      </c>
      <c r="D3026" t="str">
        <f>VLOOKUP(A3026,Planilha2!B:H,7,0)</f>
        <v>OBSOLETOS DRIVES</v>
      </c>
      <c r="E3026" s="5">
        <v>4500</v>
      </c>
      <c r="F3026" t="str">
        <f>IFERROR(
IF(ISNUMBER(FIND("CFW110",B3026)),
VALUE(MID(B3026,FIND("CFW110",B3026)+6,FIND("T",B3026,FIND("CFW110",B3026))-(FIND("CFW110",B3026)+6))),
IF(ISNUMBER(FIND("D",B3026)),
VALUE(SUBSTITUTE(MID(B3026,FIND("D",B3026)+1,FIND("T",B3026,FIND("D",B3026))-(FIND("D",B3026)+1)),"P",",")),
IF(ISNUMBER(FIND("CFW5",B3026)),
VALUE(MID(B3026,
IF(ISNUMBER(FIND("F",B3026)),FIND("F",B3026)+1,FIND("G",B3026)+1),
FIND("T",B3026)-(IF(ISNUMBER(FIND("F",B3026)),FIND("F",B3026)+1,FIND("G",B3026)+1))
)),
VALUE(MID(B3026,FIND("E0",B3026)+2,FIND("T",B3026,FIND("E0",B3026))-(FIND("E0",B3026)+2)))
))),"")</f>
        <v/>
      </c>
      <c r="G3026">
        <f>IFERROR(
IF(ISNUMBER(FIND("T2",B3026)),220,
IF(ISNUMBER(FIND("T4",B3026)),440,
IF(ISNUMBER(FIND("T5",B3026)),575,
IF(ISNUMBER(FIND("T6",B3026)),690,"")))),
"")</f>
        <v>440</v>
      </c>
    </row>
    <row r="3027" spans="1:7" x14ac:dyDescent="0.25">
      <c r="A3027">
        <v>12221360</v>
      </c>
      <c r="B3027" t="str">
        <f>VLOOKUP(A3027,Planilha2!B:C,2,0)</f>
        <v>INVERSOR CFW701A02P0B2DB20</v>
      </c>
      <c r="C3027" t="s">
        <v>3169</v>
      </c>
      <c r="D3027" t="str">
        <f>VLOOKUP(A3027,Planilha2!B:H,7,0)</f>
        <v>OBSOLETOS DRIVES</v>
      </c>
      <c r="E3027" s="5">
        <v>4500</v>
      </c>
      <c r="F3027" t="str">
        <f>IFERROR(
IF(ISNUMBER(FIND("CFW110",B3027)),
VALUE(MID(B3027,FIND("CFW110",B3027)+6,FIND("T",B3027,FIND("CFW110",B3027))-(FIND("CFW110",B3027)+6))),
IF(ISNUMBER(FIND("D",B3027)),
VALUE(SUBSTITUTE(MID(B3027,FIND("D",B3027)+1,FIND("T",B3027,FIND("D",B3027))-(FIND("D",B3027)+1)),"P",",")),
IF(ISNUMBER(FIND("CFW5",B3027)),
VALUE(MID(B3027,
IF(ISNUMBER(FIND("F",B3027)),FIND("F",B3027)+1,FIND("G",B3027)+1),
FIND("T",B3027)-(IF(ISNUMBER(FIND("F",B3027)),FIND("F",B3027)+1,FIND("G",B3027)+1))
)),
VALUE(MID(B3027,FIND("E0",B3027)+2,FIND("T",B3027,FIND("E0",B3027))-(FIND("E0",B3027)+2)))
))),"")</f>
        <v/>
      </c>
      <c r="G3027" t="str">
        <f>IFERROR(
IF(ISNUMBER(FIND("T2",B3027)),220,
IF(ISNUMBER(FIND("T4",B3027)),440,
IF(ISNUMBER(FIND("T5",B3027)),575,
IF(ISNUMBER(FIND("T6",B3027)),690,"")))),
"")</f>
        <v/>
      </c>
    </row>
    <row r="3028" spans="1:7" x14ac:dyDescent="0.25">
      <c r="A3028">
        <v>12264729</v>
      </c>
      <c r="B3028" t="str">
        <f>VLOOKUP(A3028,Planilha2!B:C,2,0)</f>
        <v>INVERSOR CFW701B17P0T5DBN1C3</v>
      </c>
      <c r="C3028" t="s">
        <v>3169</v>
      </c>
      <c r="D3028" t="str">
        <f>VLOOKUP(A3028,Planilha2!B:H,7,0)</f>
        <v>OBSOLETOS DRIVES</v>
      </c>
      <c r="E3028" s="5">
        <v>4500</v>
      </c>
      <c r="F3028" t="str">
        <f>IFERROR(
IF(ISNUMBER(FIND("CFW110",B3028)),
VALUE(MID(B3028,FIND("CFW110",B3028)+6,FIND("T",B3028,FIND("CFW110",B3028))-(FIND("CFW110",B3028)+6))),
IF(ISNUMBER(FIND("D",B3028)),
VALUE(SUBSTITUTE(MID(B3028,FIND("D",B3028)+1,FIND("T",B3028,FIND("D",B3028))-(FIND("D",B3028)+1)),"P",",")),
IF(ISNUMBER(FIND("CFW5",B3028)),
VALUE(MID(B3028,
IF(ISNUMBER(FIND("F",B3028)),FIND("F",B3028)+1,FIND("G",B3028)+1),
FIND("T",B3028)-(IF(ISNUMBER(FIND("F",B3028)),FIND("F",B3028)+1,FIND("G",B3028)+1))
)),
VALUE(MID(B3028,FIND("E0",B3028)+2,FIND("T",B3028,FIND("E0",B3028))-(FIND("E0",B3028)+2)))
))),"")</f>
        <v/>
      </c>
      <c r="G3028">
        <f>IFERROR(
IF(ISNUMBER(FIND("T2",B3028)),220,
IF(ISNUMBER(FIND("T4",B3028)),440,
IF(ISNUMBER(FIND("T5",B3028)),575,
IF(ISNUMBER(FIND("T6",B3028)),690,"")))),
"")</f>
        <v>575</v>
      </c>
    </row>
    <row r="3029" spans="1:7" x14ac:dyDescent="0.25">
      <c r="A3029">
        <v>12263690</v>
      </c>
      <c r="B3029" t="str">
        <f>VLOOKUP(A3029,Planilha2!B:C,2,0)</f>
        <v>INVERSOR CFW701B12P0T5DBN1C3</v>
      </c>
      <c r="C3029" t="s">
        <v>3169</v>
      </c>
      <c r="D3029" t="str">
        <f>VLOOKUP(A3029,Planilha2!B:H,7,0)</f>
        <v>OBSOLETOS DRIVES</v>
      </c>
      <c r="E3029" s="5">
        <v>11440</v>
      </c>
      <c r="F3029" t="str">
        <f>IFERROR(
IF(ISNUMBER(FIND("CFW110",B3029)),
VALUE(MID(B3029,FIND("CFW110",B3029)+6,FIND("T",B3029,FIND("CFW110",B3029))-(FIND("CFW110",B3029)+6))),
IF(ISNUMBER(FIND("D",B3029)),
VALUE(SUBSTITUTE(MID(B3029,FIND("D",B3029)+1,FIND("T",B3029,FIND("D",B3029))-(FIND("D",B3029)+1)),"P",",")),
IF(ISNUMBER(FIND("CFW5",B3029)),
VALUE(MID(B3029,
IF(ISNUMBER(FIND("F",B3029)),FIND("F",B3029)+1,FIND("G",B3029)+1),
FIND("T",B3029)-(IF(ISNUMBER(FIND("F",B3029)),FIND("F",B3029)+1,FIND("G",B3029)+1))
)),
VALUE(MID(B3029,FIND("E0",B3029)+2,FIND("T",B3029,FIND("E0",B3029))-(FIND("E0",B3029)+2)))
))),"")</f>
        <v/>
      </c>
      <c r="G3029">
        <f>IFERROR(
IF(ISNUMBER(FIND("T2",B3029)),220,
IF(ISNUMBER(FIND("T4",B3029)),440,
IF(ISNUMBER(FIND("T5",B3029)),575,
IF(ISNUMBER(FIND("T6",B3029)),690,"")))),
"")</f>
        <v>575</v>
      </c>
    </row>
    <row r="3030" spans="1:7" x14ac:dyDescent="0.25">
      <c r="A3030">
        <v>12263689</v>
      </c>
      <c r="B3030" t="str">
        <f>VLOOKUP(A3030,Planilha2!B:C,2,0)</f>
        <v>INVERSOR CFW701B10P0T5DBN1C3</v>
      </c>
      <c r="C3030" t="s">
        <v>3169</v>
      </c>
      <c r="D3030" t="str">
        <f>VLOOKUP(A3030,Planilha2!B:H,7,0)</f>
        <v>OBSOLETOS DRIVES</v>
      </c>
      <c r="E3030" s="5">
        <v>4500</v>
      </c>
      <c r="F3030" t="str">
        <f>IFERROR(
IF(ISNUMBER(FIND("CFW110",B3030)),
VALUE(MID(B3030,FIND("CFW110",B3030)+6,FIND("T",B3030,FIND("CFW110",B3030))-(FIND("CFW110",B3030)+6))),
IF(ISNUMBER(FIND("D",B3030)),
VALUE(SUBSTITUTE(MID(B3030,FIND("D",B3030)+1,FIND("T",B3030,FIND("D",B3030))-(FIND("D",B3030)+1)),"P",",")),
IF(ISNUMBER(FIND("CFW5",B3030)),
VALUE(MID(B3030,
IF(ISNUMBER(FIND("F",B3030)),FIND("F",B3030)+1,FIND("G",B3030)+1),
FIND("T",B3030)-(IF(ISNUMBER(FIND("F",B3030)),FIND("F",B3030)+1,FIND("G",B3030)+1))
)),
VALUE(MID(B3030,FIND("E0",B3030)+2,FIND("T",B3030,FIND("E0",B3030))-(FIND("E0",B3030)+2)))
))),"")</f>
        <v/>
      </c>
      <c r="G3030">
        <f>IFERROR(
IF(ISNUMBER(FIND("T2",B3030)),220,
IF(ISNUMBER(FIND("T4",B3030)),440,
IF(ISNUMBER(FIND("T5",B3030)),575,
IF(ISNUMBER(FIND("T6",B3030)),690,"")))),
"")</f>
        <v>575</v>
      </c>
    </row>
    <row r="3031" spans="1:7" x14ac:dyDescent="0.25">
      <c r="A3031">
        <v>12263649</v>
      </c>
      <c r="B3031" t="str">
        <f>VLOOKUP(A3031,Planilha2!B:C,2,0)</f>
        <v>INVERSOR CFW701B10P0T5DB20C3</v>
      </c>
      <c r="C3031" t="s">
        <v>3169</v>
      </c>
      <c r="D3031" t="str">
        <f>VLOOKUP(A3031,Planilha2!B:H,7,0)</f>
        <v>OBSOLETOS DRIVES</v>
      </c>
      <c r="E3031" s="5">
        <v>4500</v>
      </c>
      <c r="F3031" t="str">
        <f>IFERROR(
IF(ISNUMBER(FIND("CFW110",B3031)),
VALUE(MID(B3031,FIND("CFW110",B3031)+6,FIND("T",B3031,FIND("CFW110",B3031))-(FIND("CFW110",B3031)+6))),
IF(ISNUMBER(FIND("D",B3031)),
VALUE(SUBSTITUTE(MID(B3031,FIND("D",B3031)+1,FIND("T",B3031,FIND("D",B3031))-(FIND("D",B3031)+1)),"P",",")),
IF(ISNUMBER(FIND("CFW5",B3031)),
VALUE(MID(B3031,
IF(ISNUMBER(FIND("F",B3031)),FIND("F",B3031)+1,FIND("G",B3031)+1),
FIND("T",B3031)-(IF(ISNUMBER(FIND("F",B3031)),FIND("F",B3031)+1,FIND("G",B3031)+1))
)),
VALUE(MID(B3031,FIND("E0",B3031)+2,FIND("T",B3031,FIND("E0",B3031))-(FIND("E0",B3031)+2)))
))),"")</f>
        <v/>
      </c>
      <c r="G3031">
        <f>IFERROR(
IF(ISNUMBER(FIND("T2",B3031)),220,
IF(ISNUMBER(FIND("T4",B3031)),440,
IF(ISNUMBER(FIND("T5",B3031)),575,
IF(ISNUMBER(FIND("T6",B3031)),690,"")))),
"")</f>
        <v>575</v>
      </c>
    </row>
    <row r="3032" spans="1:7" x14ac:dyDescent="0.25">
      <c r="A3032">
        <v>12263656</v>
      </c>
      <c r="B3032" t="str">
        <f>VLOOKUP(A3032,Planilha2!B:C,2,0)</f>
        <v>INVERSOR CFW701B07P0T5DBN1C3</v>
      </c>
      <c r="C3032" t="s">
        <v>3169</v>
      </c>
      <c r="D3032" t="str">
        <f>VLOOKUP(A3032,Planilha2!B:H,7,0)</f>
        <v>OBSOLETOS DRIVES</v>
      </c>
      <c r="E3032" s="5">
        <v>4500</v>
      </c>
      <c r="F3032" t="str">
        <f>IFERROR(
IF(ISNUMBER(FIND("CFW110",B3032)),
VALUE(MID(B3032,FIND("CFW110",B3032)+6,FIND("T",B3032,FIND("CFW110",B3032))-(FIND("CFW110",B3032)+6))),
IF(ISNUMBER(FIND("D",B3032)),
VALUE(SUBSTITUTE(MID(B3032,FIND("D",B3032)+1,FIND("T",B3032,FIND("D",B3032))-(FIND("D",B3032)+1)),"P",",")),
IF(ISNUMBER(FIND("CFW5",B3032)),
VALUE(MID(B3032,
IF(ISNUMBER(FIND("F",B3032)),FIND("F",B3032)+1,FIND("G",B3032)+1),
FIND("T",B3032)-(IF(ISNUMBER(FIND("F",B3032)),FIND("F",B3032)+1,FIND("G",B3032)+1))
)),
VALUE(MID(B3032,FIND("E0",B3032)+2,FIND("T",B3032,FIND("E0",B3032))-(FIND("E0",B3032)+2)))
))),"")</f>
        <v/>
      </c>
      <c r="G3032">
        <f>IFERROR(
IF(ISNUMBER(FIND("T2",B3032)),220,
IF(ISNUMBER(FIND("T4",B3032)),440,
IF(ISNUMBER(FIND("T5",B3032)),575,
IF(ISNUMBER(FIND("T6",B3032)),690,"")))),
"")</f>
        <v>575</v>
      </c>
    </row>
    <row r="3033" spans="1:7" x14ac:dyDescent="0.25">
      <c r="A3033">
        <v>12263648</v>
      </c>
      <c r="B3033" t="str">
        <f>VLOOKUP(A3033,Planilha2!B:C,2,0)</f>
        <v>INVERSOR CFW701B07P0T5DB20C3</v>
      </c>
      <c r="C3033" t="s">
        <v>3169</v>
      </c>
      <c r="D3033" t="str">
        <f>VLOOKUP(A3033,Planilha2!B:H,7,0)</f>
        <v>OBSOLETOS DRIVES</v>
      </c>
      <c r="E3033" s="5">
        <v>4500</v>
      </c>
      <c r="F3033" t="str">
        <f>IFERROR(
IF(ISNUMBER(FIND("CFW110",B3033)),
VALUE(MID(B3033,FIND("CFW110",B3033)+6,FIND("T",B3033,FIND("CFW110",B3033))-(FIND("CFW110",B3033)+6))),
IF(ISNUMBER(FIND("D",B3033)),
VALUE(SUBSTITUTE(MID(B3033,FIND("D",B3033)+1,FIND("T",B3033,FIND("D",B3033))-(FIND("D",B3033)+1)),"P",",")),
IF(ISNUMBER(FIND("CFW5",B3033)),
VALUE(MID(B3033,
IF(ISNUMBER(FIND("F",B3033)),FIND("F",B3033)+1,FIND("G",B3033)+1),
FIND("T",B3033)-(IF(ISNUMBER(FIND("F",B3033)),FIND("F",B3033)+1,FIND("G",B3033)+1))
)),
VALUE(MID(B3033,FIND("E0",B3033)+2,FIND("T",B3033,FIND("E0",B3033))-(FIND("E0",B3033)+2)))
))),"")</f>
        <v/>
      </c>
      <c r="G3033">
        <f>IFERROR(
IF(ISNUMBER(FIND("T2",B3033)),220,
IF(ISNUMBER(FIND("T4",B3033)),440,
IF(ISNUMBER(FIND("T5",B3033)),575,
IF(ISNUMBER(FIND("T6",B3033)),690,"")))),
"")</f>
        <v>575</v>
      </c>
    </row>
    <row r="3034" spans="1:7" x14ac:dyDescent="0.25">
      <c r="A3034">
        <v>12263653</v>
      </c>
      <c r="B3034" t="str">
        <f>VLOOKUP(A3034,Planilha2!B:C,2,0)</f>
        <v>INVERSOR CFW701B04P2T5DBN1C3</v>
      </c>
      <c r="C3034" t="s">
        <v>3169</v>
      </c>
      <c r="D3034" t="str">
        <f>VLOOKUP(A3034,Planilha2!B:H,7,0)</f>
        <v>OBSOLETOS DRIVES</v>
      </c>
      <c r="E3034" s="5">
        <v>4500</v>
      </c>
      <c r="F3034" t="str">
        <f>IFERROR(
IF(ISNUMBER(FIND("CFW110",B3034)),
VALUE(MID(B3034,FIND("CFW110",B3034)+6,FIND("T",B3034,FIND("CFW110",B3034))-(FIND("CFW110",B3034)+6))),
IF(ISNUMBER(FIND("D",B3034)),
VALUE(SUBSTITUTE(MID(B3034,FIND("D",B3034)+1,FIND("T",B3034,FIND("D",B3034))-(FIND("D",B3034)+1)),"P",",")),
IF(ISNUMBER(FIND("CFW5",B3034)),
VALUE(MID(B3034,
IF(ISNUMBER(FIND("F",B3034)),FIND("F",B3034)+1,FIND("G",B3034)+1),
FIND("T",B3034)-(IF(ISNUMBER(FIND("F",B3034)),FIND("F",B3034)+1,FIND("G",B3034)+1))
)),
VALUE(MID(B3034,FIND("E0",B3034)+2,FIND("T",B3034,FIND("E0",B3034))-(FIND("E0",B3034)+2)))
))),"")</f>
        <v/>
      </c>
      <c r="G3034">
        <f>IFERROR(
IF(ISNUMBER(FIND("T2",B3034)),220,
IF(ISNUMBER(FIND("T4",B3034)),440,
IF(ISNUMBER(FIND("T5",B3034)),575,
IF(ISNUMBER(FIND("T6",B3034)),690,"")))),
"")</f>
        <v>575</v>
      </c>
    </row>
    <row r="3035" spans="1:7" x14ac:dyDescent="0.25">
      <c r="A3035">
        <v>12263576</v>
      </c>
      <c r="B3035" t="str">
        <f>VLOOKUP(A3035,Planilha2!B:C,2,0)</f>
        <v>INVERSOR CFW701B04P2T5DB20C3</v>
      </c>
      <c r="C3035" t="s">
        <v>3169</v>
      </c>
      <c r="D3035" t="str">
        <f>VLOOKUP(A3035,Planilha2!B:H,7,0)</f>
        <v>OBSOLETOS DRIVES</v>
      </c>
      <c r="E3035" s="5">
        <v>4500</v>
      </c>
      <c r="F3035" t="str">
        <f>IFERROR(
IF(ISNUMBER(FIND("CFW110",B3035)),
VALUE(MID(B3035,FIND("CFW110",B3035)+6,FIND("T",B3035,FIND("CFW110",B3035))-(FIND("CFW110",B3035)+6))),
IF(ISNUMBER(FIND("D",B3035)),
VALUE(SUBSTITUTE(MID(B3035,FIND("D",B3035)+1,FIND("T",B3035,FIND("D",B3035))-(FIND("D",B3035)+1)),"P",",")),
IF(ISNUMBER(FIND("CFW5",B3035)),
VALUE(MID(B3035,
IF(ISNUMBER(FIND("F",B3035)),FIND("F",B3035)+1,FIND("G",B3035)+1),
FIND("T",B3035)-(IF(ISNUMBER(FIND("F",B3035)),FIND("F",B3035)+1,FIND("G",B3035)+1))
)),
VALUE(MID(B3035,FIND("E0",B3035)+2,FIND("T",B3035,FIND("E0",B3035))-(FIND("E0",B3035)+2)))
))),"")</f>
        <v/>
      </c>
      <c r="G3035">
        <f>IFERROR(
IF(ISNUMBER(FIND("T2",B3035)),220,
IF(ISNUMBER(FIND("T4",B3035)),440,
IF(ISNUMBER(FIND("T5",B3035)),575,
IF(ISNUMBER(FIND("T6",B3035)),690,"")))),
"")</f>
        <v>575</v>
      </c>
    </row>
    <row r="3036" spans="1:7" x14ac:dyDescent="0.25">
      <c r="A3036">
        <v>12263651</v>
      </c>
      <c r="B3036" t="str">
        <f>VLOOKUP(A3036,Planilha2!B:C,2,0)</f>
        <v>INVERSOR CFW701B02P9T5DBN1C3</v>
      </c>
      <c r="C3036" t="s">
        <v>3169</v>
      </c>
      <c r="D3036" t="str">
        <f>VLOOKUP(A3036,Planilha2!B:H,7,0)</f>
        <v>OBSOLETOS DRIVES</v>
      </c>
      <c r="E3036" s="5">
        <v>4500</v>
      </c>
      <c r="F3036" t="str">
        <f>IFERROR(
IF(ISNUMBER(FIND("CFW110",B3036)),
VALUE(MID(B3036,FIND("CFW110",B3036)+6,FIND("T",B3036,FIND("CFW110",B3036))-(FIND("CFW110",B3036)+6))),
IF(ISNUMBER(FIND("D",B3036)),
VALUE(SUBSTITUTE(MID(B3036,FIND("D",B3036)+1,FIND("T",B3036,FIND("D",B3036))-(FIND("D",B3036)+1)),"P",",")),
IF(ISNUMBER(FIND("CFW5",B3036)),
VALUE(MID(B3036,
IF(ISNUMBER(FIND("F",B3036)),FIND("F",B3036)+1,FIND("G",B3036)+1),
FIND("T",B3036)-(IF(ISNUMBER(FIND("F",B3036)),FIND("F",B3036)+1,FIND("G",B3036)+1))
)),
VALUE(MID(B3036,FIND("E0",B3036)+2,FIND("T",B3036,FIND("E0",B3036))-(FIND("E0",B3036)+2)))
))),"")</f>
        <v/>
      </c>
      <c r="G3036">
        <f>IFERROR(
IF(ISNUMBER(FIND("T2",B3036)),220,
IF(ISNUMBER(FIND("T4",B3036)),440,
IF(ISNUMBER(FIND("T5",B3036)),575,
IF(ISNUMBER(FIND("T6",B3036)),690,"")))),
"")</f>
        <v>575</v>
      </c>
    </row>
    <row r="3037" spans="1:7" x14ac:dyDescent="0.25">
      <c r="A3037">
        <v>12263575</v>
      </c>
      <c r="B3037" t="str">
        <f>VLOOKUP(A3037,Planilha2!B:C,2,0)</f>
        <v>INVERSOR CFW701B02P9T5DB20C3</v>
      </c>
      <c r="C3037" t="s">
        <v>3169</v>
      </c>
      <c r="D3037" t="str">
        <f>VLOOKUP(A3037,Planilha2!B:H,7,0)</f>
        <v>OBSOLETOS DRIVES</v>
      </c>
      <c r="E3037" s="5">
        <v>4500</v>
      </c>
      <c r="F3037" t="str">
        <f>IFERROR(
IF(ISNUMBER(FIND("CFW110",B3037)),
VALUE(MID(B3037,FIND("CFW110",B3037)+6,FIND("T",B3037,FIND("CFW110",B3037))-(FIND("CFW110",B3037)+6))),
IF(ISNUMBER(FIND("D",B3037)),
VALUE(SUBSTITUTE(MID(B3037,FIND("D",B3037)+1,FIND("T",B3037,FIND("D",B3037))-(FIND("D",B3037)+1)),"P",",")),
IF(ISNUMBER(FIND("CFW5",B3037)),
VALUE(MID(B3037,
IF(ISNUMBER(FIND("F",B3037)),FIND("F",B3037)+1,FIND("G",B3037)+1),
FIND("T",B3037)-(IF(ISNUMBER(FIND("F",B3037)),FIND("F",B3037)+1,FIND("G",B3037)+1))
)),
VALUE(MID(B3037,FIND("E0",B3037)+2,FIND("T",B3037,FIND("E0",B3037))-(FIND("E0",B3037)+2)))
))),"")</f>
        <v/>
      </c>
      <c r="G3037">
        <f>IFERROR(
IF(ISNUMBER(FIND("T2",B3037)),220,
IF(ISNUMBER(FIND("T4",B3037)),440,
IF(ISNUMBER(FIND("T5",B3037)),575,
IF(ISNUMBER(FIND("T6",B3037)),690,"")))),
"")</f>
        <v>575</v>
      </c>
    </row>
    <row r="3038" spans="1:7" x14ac:dyDescent="0.25">
      <c r="A3038">
        <v>12260376</v>
      </c>
      <c r="B3038" t="str">
        <f>VLOOKUP(A3038,Planilha2!B:C,2,0)</f>
        <v>INVERSOR CFW700B17P0T5DB20</v>
      </c>
      <c r="C3038" t="s">
        <v>3169</v>
      </c>
      <c r="D3038" t="str">
        <f>VLOOKUP(A3038,Planilha2!B:H,7,0)</f>
        <v>OBSOLETOS DRIVES</v>
      </c>
      <c r="E3038" s="5">
        <v>4500</v>
      </c>
      <c r="F3038" t="str">
        <f>IFERROR(
IF(ISNUMBER(FIND("CFW110",B3038)),
VALUE(MID(B3038,FIND("CFW110",B3038)+6,FIND("T",B3038,FIND("CFW110",B3038))-(FIND("CFW110",B3038)+6))),
IF(ISNUMBER(FIND("D",B3038)),
VALUE(SUBSTITUTE(MID(B3038,FIND("D",B3038)+1,FIND("T",B3038,FIND("D",B3038))-(FIND("D",B3038)+1)),"P",",")),
IF(ISNUMBER(FIND("CFW5",B3038)),
VALUE(MID(B3038,
IF(ISNUMBER(FIND("F",B3038)),FIND("F",B3038)+1,FIND("G",B3038)+1),
FIND("T",B3038)-(IF(ISNUMBER(FIND("F",B3038)),FIND("F",B3038)+1,FIND("G",B3038)+1))
)),
VALUE(MID(B3038,FIND("E0",B3038)+2,FIND("T",B3038,FIND("E0",B3038))-(FIND("E0",B3038)+2)))
))),"")</f>
        <v/>
      </c>
      <c r="G3038">
        <f>IFERROR(
IF(ISNUMBER(FIND("T2",B3038)),220,
IF(ISNUMBER(FIND("T4",B3038)),440,
IF(ISNUMBER(FIND("T5",B3038)),575,
IF(ISNUMBER(FIND("T6",B3038)),690,"")))),
"")</f>
        <v>575</v>
      </c>
    </row>
    <row r="3039" spans="1:7" x14ac:dyDescent="0.25">
      <c r="A3039">
        <v>11996058</v>
      </c>
      <c r="B3039" t="str">
        <f>VLOOKUP(A3039,Planilha2!B:C,2,0)</f>
        <v>INVERSOR NACFW110017T5ON1NFZ</v>
      </c>
      <c r="C3039" t="s">
        <v>3169</v>
      </c>
      <c r="D3039" t="str">
        <f>VLOOKUP(A3039,Planilha2!B:H,7,0)</f>
        <v>LINHA P7</v>
      </c>
      <c r="E3039" s="5">
        <v>26000</v>
      </c>
      <c r="F3039">
        <f>IFERROR(
IF(ISNUMBER(FIND("CFW110",B3039)),
VALUE(MID(B3039,FIND("CFW110",B3039)+6,FIND("T",B3039,FIND("CFW110",B3039))-(FIND("CFW110",B3039)+6))),
IF(ISNUMBER(FIND("D",B3039)),
VALUE(SUBSTITUTE(MID(B3039,FIND("D",B3039)+1,FIND("T",B3039,FIND("D",B3039))-(FIND("D",B3039)+1)),"P",",")),
IF(ISNUMBER(FIND("CFW5",B3039)),
VALUE(MID(B3039,
IF(ISNUMBER(FIND("F",B3039)),FIND("F",B3039)+1,FIND("G",B3039)+1),
FIND("T",B3039)-(IF(ISNUMBER(FIND("F",B3039)),FIND("F",B3039)+1,FIND("G",B3039)+1))
)),
VALUE(MID(B3039,FIND("E0",B3039)+2,FIND("T",B3039,FIND("E0",B3039))-(FIND("E0",B3039)+2)))
))),"")</f>
        <v>17</v>
      </c>
      <c r="G3039">
        <f>IFERROR(
IF(ISNUMBER(FIND("T2",B3039)),220,
IF(ISNUMBER(FIND("T4",B3039)),440,
IF(ISNUMBER(FIND("T5",B3039)),575,
IF(ISNUMBER(FIND("T6",B3039)),690,"")))),
"")</f>
        <v>575</v>
      </c>
    </row>
    <row r="3040" spans="1:7" x14ac:dyDescent="0.25">
      <c r="A3040">
        <v>12330857</v>
      </c>
      <c r="B3040" t="str">
        <f>VLOOKUP(A3040,Planilha2!B:C,2,0)</f>
        <v>INVERSOR CFW700B10P0T5DB20Y1</v>
      </c>
      <c r="C3040" t="s">
        <v>3169</v>
      </c>
      <c r="D3040" t="str">
        <f>VLOOKUP(A3040,Planilha2!B:H,7,0)</f>
        <v>OBSOLETOS DRIVES</v>
      </c>
      <c r="E3040" s="5">
        <v>11440</v>
      </c>
      <c r="F3040" t="str">
        <f>IFERROR(
IF(ISNUMBER(FIND("CFW110",B3040)),
VALUE(MID(B3040,FIND("CFW110",B3040)+6,FIND("T",B3040,FIND("CFW110",B3040))-(FIND("CFW110",B3040)+6))),
IF(ISNUMBER(FIND("D",B3040)),
VALUE(SUBSTITUTE(MID(B3040,FIND("D",B3040)+1,FIND("T",B3040,FIND("D",B3040))-(FIND("D",B3040)+1)),"P",",")),
IF(ISNUMBER(FIND("CFW5",B3040)),
VALUE(MID(B3040,
IF(ISNUMBER(FIND("F",B3040)),FIND("F",B3040)+1,FIND("G",B3040)+1),
FIND("T",B3040)-(IF(ISNUMBER(FIND("F",B3040)),FIND("F",B3040)+1,FIND("G",B3040)+1))
)),
VALUE(MID(B3040,FIND("E0",B3040)+2,FIND("T",B3040,FIND("E0",B3040))-(FIND("E0",B3040)+2)))
))),"")</f>
        <v/>
      </c>
      <c r="G3040">
        <f>IFERROR(
IF(ISNUMBER(FIND("T2",B3040)),220,
IF(ISNUMBER(FIND("T4",B3040)),440,
IF(ISNUMBER(FIND("T5",B3040)),575,
IF(ISNUMBER(FIND("T6",B3040)),690,"")))),
"")</f>
        <v>575</v>
      </c>
    </row>
    <row r="3041" spans="1:7" x14ac:dyDescent="0.25">
      <c r="A3041">
        <v>12664108</v>
      </c>
      <c r="B3041" t="str">
        <f>VLOOKUP(A3041,Planilha2!B:C,2,0)</f>
        <v>INVERSOR NACFW110006B2ON1WZ</v>
      </c>
      <c r="C3041" t="s">
        <v>3169</v>
      </c>
      <c r="D3041" t="str">
        <f>VLOOKUP(A3041,Planilha2!B:H,7,0)</f>
        <v>LINHA P5</v>
      </c>
      <c r="E3041" s="5">
        <v>4500</v>
      </c>
      <c r="F3041" t="str">
        <f>IFERROR(
IF(ISNUMBER(FIND("CFW110",B3041)),
VALUE(MID(B3041,FIND("CFW110",B3041)+6,FIND("T",B3041,FIND("CFW110",B3041))-(FIND("CFW110",B3041)+6))),
IF(ISNUMBER(FIND("D",B3041)),
VALUE(SUBSTITUTE(MID(B3041,FIND("D",B3041)+1,FIND("T",B3041,FIND("D",B3041))-(FIND("D",B3041)+1)),"P",",")),
IF(ISNUMBER(FIND("CFW5",B3041)),
VALUE(MID(B3041,
IF(ISNUMBER(FIND("F",B3041)),FIND("F",B3041)+1,FIND("G",B3041)+1),
FIND("T",B3041)-(IF(ISNUMBER(FIND("F",B3041)),FIND("F",B3041)+1,FIND("G",B3041)+1))
)),
VALUE(MID(B3041,FIND("E0",B3041)+2,FIND("T",B3041,FIND("E0",B3041))-(FIND("E0",B3041)+2)))
))),"")</f>
        <v/>
      </c>
      <c r="G3041" t="str">
        <f>IFERROR(
IF(ISNUMBER(FIND("T2",B3041)),220,
IF(ISNUMBER(FIND("T4",B3041)),440,
IF(ISNUMBER(FIND("T5",B3041)),575,
IF(ISNUMBER(FIND("T6",B3041)),690,"")))),
"")</f>
        <v/>
      </c>
    </row>
    <row r="3042" spans="1:7" x14ac:dyDescent="0.25">
      <c r="A3042">
        <v>12403467</v>
      </c>
      <c r="B3042" t="str">
        <f>VLOOKUP(A3042,Planilha2!B:C,2,0)</f>
        <v>INVERSOR SACFW110010S2OFAZ</v>
      </c>
      <c r="C3042" t="s">
        <v>3169</v>
      </c>
      <c r="D3042" t="str">
        <f>VLOOKUP(A3042,Planilha2!B:H,7,0)</f>
        <v>LINHA P5</v>
      </c>
      <c r="E3042" s="5">
        <v>4500</v>
      </c>
      <c r="F3042" t="str">
        <f>IFERROR(
IF(ISNUMBER(FIND("CFW110",B3042)),
VALUE(MID(B3042,FIND("CFW110",B3042)+6,FIND("T",B3042,FIND("CFW110",B3042))-(FIND("CFW110",B3042)+6))),
IF(ISNUMBER(FIND("D",B3042)),
VALUE(SUBSTITUTE(MID(B3042,FIND("D",B3042)+1,FIND("T",B3042,FIND("D",B3042))-(FIND("D",B3042)+1)),"P",",")),
IF(ISNUMBER(FIND("CFW5",B3042)),
VALUE(MID(B3042,
IF(ISNUMBER(FIND("F",B3042)),FIND("F",B3042)+1,FIND("G",B3042)+1),
FIND("T",B3042)-(IF(ISNUMBER(FIND("F",B3042)),FIND("F",B3042)+1,FIND("G",B3042)+1))
)),
VALUE(MID(B3042,FIND("E0",B3042)+2,FIND("T",B3042,FIND("E0",B3042))-(FIND("E0",B3042)+2)))
))),"")</f>
        <v/>
      </c>
      <c r="G3042" t="str">
        <f>IFERROR(
IF(ISNUMBER(FIND("T2",B3042)),220,
IF(ISNUMBER(FIND("T4",B3042)),440,
IF(ISNUMBER(FIND("T5",B3042)),575,
IF(ISNUMBER(FIND("T6",B3042)),690,"")))),
"")</f>
        <v/>
      </c>
    </row>
    <row r="3043" spans="1:7" x14ac:dyDescent="0.25">
      <c r="A3043">
        <v>12403465</v>
      </c>
      <c r="B3043" t="str">
        <f>VLOOKUP(A3043,Planilha2!B:C,2,0)</f>
        <v>INVERSOR SACFW110006S2OFAZ</v>
      </c>
      <c r="C3043" t="s">
        <v>3169</v>
      </c>
      <c r="D3043" t="str">
        <f>VLOOKUP(A3043,Planilha2!B:H,7,0)</f>
        <v>LINHA P5</v>
      </c>
      <c r="E3043" s="5">
        <v>4500</v>
      </c>
      <c r="F3043" t="str">
        <f>IFERROR(
IF(ISNUMBER(FIND("CFW110",B3043)),
VALUE(MID(B3043,FIND("CFW110",B3043)+6,FIND("T",B3043,FIND("CFW110",B3043))-(FIND("CFW110",B3043)+6))),
IF(ISNUMBER(FIND("D",B3043)),
VALUE(SUBSTITUTE(MID(B3043,FIND("D",B3043)+1,FIND("T",B3043,FIND("D",B3043))-(FIND("D",B3043)+1)),"P",",")),
IF(ISNUMBER(FIND("CFW5",B3043)),
VALUE(MID(B3043,
IF(ISNUMBER(FIND("F",B3043)),FIND("F",B3043)+1,FIND("G",B3043)+1),
FIND("T",B3043)-(IF(ISNUMBER(FIND("F",B3043)),FIND("F",B3043)+1,FIND("G",B3043)+1))
)),
VALUE(MID(B3043,FIND("E0",B3043)+2,FIND("T",B3043,FIND("E0",B3043))-(FIND("E0",B3043)+2)))
))),"")</f>
        <v/>
      </c>
      <c r="G3043" t="str">
        <f>IFERROR(
IF(ISNUMBER(FIND("T2",B3043)),220,
IF(ISNUMBER(FIND("T4",B3043)),440,
IF(ISNUMBER(FIND("T5",B3043)),575,
IF(ISNUMBER(FIND("T6",B3043)),690,"")))),
"")</f>
        <v/>
      </c>
    </row>
    <row r="3044" spans="1:7" x14ac:dyDescent="0.25">
      <c r="A3044">
        <v>12579134</v>
      </c>
      <c r="B3044" t="str">
        <f>VLOOKUP(A3044,Planilha2!B:C,2,0)</f>
        <v>INVERSOR CFW701B33P5T2DB55C3</v>
      </c>
      <c r="C3044" t="s">
        <v>3169</v>
      </c>
      <c r="D3044" t="str">
        <f>VLOOKUP(A3044,Planilha2!B:H,7,0)</f>
        <v>OBSOLETOS DRIVES</v>
      </c>
      <c r="E3044" s="5">
        <v>13300</v>
      </c>
      <c r="F3044" t="str">
        <f>IFERROR(
IF(ISNUMBER(FIND("CFW110",B3044)),
VALUE(MID(B3044,FIND("CFW110",B3044)+6,FIND("T",B3044,FIND("CFW110",B3044))-(FIND("CFW110",B3044)+6))),
IF(ISNUMBER(FIND("D",B3044)),
VALUE(SUBSTITUTE(MID(B3044,FIND("D",B3044)+1,FIND("T",B3044,FIND("D",B3044))-(FIND("D",B3044)+1)),"P",",")),
IF(ISNUMBER(FIND("CFW5",B3044)),
VALUE(MID(B3044,
IF(ISNUMBER(FIND("F",B3044)),FIND("F",B3044)+1,FIND("G",B3044)+1),
FIND("T",B3044)-(IF(ISNUMBER(FIND("F",B3044)),FIND("F",B3044)+1,FIND("G",B3044)+1))
)),
VALUE(MID(B3044,FIND("E0",B3044)+2,FIND("T",B3044,FIND("E0",B3044))-(FIND("E0",B3044)+2)))
))),"")</f>
        <v/>
      </c>
      <c r="G3044">
        <f>IFERROR(
IF(ISNUMBER(FIND("T2",B3044)),220,
IF(ISNUMBER(FIND("T4",B3044)),440,
IF(ISNUMBER(FIND("T5",B3044)),575,
IF(ISNUMBER(FIND("T6",B3044)),690,"")))),
"")</f>
        <v>220</v>
      </c>
    </row>
    <row r="3045" spans="1:7" x14ac:dyDescent="0.25">
      <c r="A3045">
        <v>12579152</v>
      </c>
      <c r="B3045" t="str">
        <f>VLOOKUP(A3045,Planilha2!B:C,2,0)</f>
        <v>INVERSOR CFW701B17P0T4DB55C3</v>
      </c>
      <c r="C3045" t="s">
        <v>3169</v>
      </c>
      <c r="D3045" t="str">
        <f>VLOOKUP(A3045,Planilha2!B:H,7,0)</f>
        <v>OBSOLETOS DRIVES</v>
      </c>
      <c r="E3045" s="5">
        <v>10400</v>
      </c>
      <c r="F3045" t="str">
        <f>IFERROR(
IF(ISNUMBER(FIND("CFW110",B3045)),
VALUE(MID(B3045,FIND("CFW110",B3045)+6,FIND("T",B3045,FIND("CFW110",B3045))-(FIND("CFW110",B3045)+6))),
IF(ISNUMBER(FIND("D",B3045)),
VALUE(SUBSTITUTE(MID(B3045,FIND("D",B3045)+1,FIND("T",B3045,FIND("D",B3045))-(FIND("D",B3045)+1)),"P",",")),
IF(ISNUMBER(FIND("CFW5",B3045)),
VALUE(MID(B3045,
IF(ISNUMBER(FIND("F",B3045)),FIND("F",B3045)+1,FIND("G",B3045)+1),
FIND("T",B3045)-(IF(ISNUMBER(FIND("F",B3045)),FIND("F",B3045)+1,FIND("G",B3045)+1))
)),
VALUE(MID(B3045,FIND("E0",B3045)+2,FIND("T",B3045,FIND("E0",B3045))-(FIND("E0",B3045)+2)))
))),"")</f>
        <v/>
      </c>
      <c r="G3045">
        <f>IFERROR(
IF(ISNUMBER(FIND("T2",B3045)),220,
IF(ISNUMBER(FIND("T4",B3045)),440,
IF(ISNUMBER(FIND("T5",B3045)),575,
IF(ISNUMBER(FIND("T6",B3045)),690,"")))),
"")</f>
        <v>440</v>
      </c>
    </row>
    <row r="3046" spans="1:7" x14ac:dyDescent="0.25">
      <c r="A3046">
        <v>12579132</v>
      </c>
      <c r="B3046" t="str">
        <f>VLOOKUP(A3046,Planilha2!B:C,2,0)</f>
        <v>INVERSOR CFW701B24P0T2DB55C3</v>
      </c>
      <c r="C3046" t="s">
        <v>3169</v>
      </c>
      <c r="D3046" t="str">
        <f>VLOOKUP(A3046,Planilha2!B:H,7,0)</f>
        <v>OBSOLETOS DRIVES</v>
      </c>
      <c r="E3046" s="5">
        <v>13300</v>
      </c>
      <c r="F3046" t="str">
        <f>IFERROR(
IF(ISNUMBER(FIND("CFW110",B3046)),
VALUE(MID(B3046,FIND("CFW110",B3046)+6,FIND("T",B3046,FIND("CFW110",B3046))-(FIND("CFW110",B3046)+6))),
IF(ISNUMBER(FIND("D",B3046)),
VALUE(SUBSTITUTE(MID(B3046,FIND("D",B3046)+1,FIND("T",B3046,FIND("D",B3046))-(FIND("D",B3046)+1)),"P",",")),
IF(ISNUMBER(FIND("CFW5",B3046)),
VALUE(MID(B3046,
IF(ISNUMBER(FIND("F",B3046)),FIND("F",B3046)+1,FIND("G",B3046)+1),
FIND("T",B3046)-(IF(ISNUMBER(FIND("F",B3046)),FIND("F",B3046)+1,FIND("G",B3046)+1))
)),
VALUE(MID(B3046,FIND("E0",B3046)+2,FIND("T",B3046,FIND("E0",B3046))-(FIND("E0",B3046)+2)))
))),"")</f>
        <v/>
      </c>
      <c r="G3046">
        <f>IFERROR(
IF(ISNUMBER(FIND("T2",B3046)),220,
IF(ISNUMBER(FIND("T4",B3046)),440,
IF(ISNUMBER(FIND("T5",B3046)),575,
IF(ISNUMBER(FIND("T6",B3046)),690,"")))),
"")</f>
        <v>220</v>
      </c>
    </row>
    <row r="3047" spans="1:7" x14ac:dyDescent="0.25">
      <c r="A3047">
        <v>12579153</v>
      </c>
      <c r="B3047" t="str">
        <f>VLOOKUP(A3047,Planilha2!B:C,2,0)</f>
        <v>INVERSOR CFW701B24P0T4DB55C3</v>
      </c>
      <c r="C3047" t="s">
        <v>3169</v>
      </c>
      <c r="D3047" t="str">
        <f>VLOOKUP(A3047,Planilha2!B:H,7,0)</f>
        <v>OBSOLETOS DRIVES</v>
      </c>
      <c r="E3047" s="5">
        <v>10400</v>
      </c>
      <c r="F3047" t="str">
        <f>IFERROR(
IF(ISNUMBER(FIND("CFW110",B3047)),
VALUE(MID(B3047,FIND("CFW110",B3047)+6,FIND("T",B3047,FIND("CFW110",B3047))-(FIND("CFW110",B3047)+6))),
IF(ISNUMBER(FIND("D",B3047)),
VALUE(SUBSTITUTE(MID(B3047,FIND("D",B3047)+1,FIND("T",B3047,FIND("D",B3047))-(FIND("D",B3047)+1)),"P",",")),
IF(ISNUMBER(FIND("CFW5",B3047)),
VALUE(MID(B3047,
IF(ISNUMBER(FIND("F",B3047)),FIND("F",B3047)+1,FIND("G",B3047)+1),
FIND("T",B3047)-(IF(ISNUMBER(FIND("F",B3047)),FIND("F",B3047)+1,FIND("G",B3047)+1))
)),
VALUE(MID(B3047,FIND("E0",B3047)+2,FIND("T",B3047,FIND("E0",B3047))-(FIND("E0",B3047)+2)))
))),"")</f>
        <v/>
      </c>
      <c r="G3047">
        <f>IFERROR(
IF(ISNUMBER(FIND("T2",B3047)),220,
IF(ISNUMBER(FIND("T4",B3047)),440,
IF(ISNUMBER(FIND("T5",B3047)),575,
IF(ISNUMBER(FIND("T6",B3047)),690,"")))),
"")</f>
        <v>440</v>
      </c>
    </row>
    <row r="3048" spans="1:7" x14ac:dyDescent="0.25">
      <c r="A3048">
        <v>12579133</v>
      </c>
      <c r="B3048" t="str">
        <f>VLOOKUP(A3048,Planilha2!B:C,2,0)</f>
        <v>INVERSOR CFW701B28P0T2DB55C3</v>
      </c>
      <c r="C3048" t="s">
        <v>3169</v>
      </c>
      <c r="D3048" t="str">
        <f>VLOOKUP(A3048,Planilha2!B:H,7,0)</f>
        <v>OBSOLETOS DRIVES</v>
      </c>
      <c r="E3048" s="5">
        <v>5700</v>
      </c>
      <c r="F3048" t="str">
        <f>IFERROR(
IF(ISNUMBER(FIND("CFW110",B3048)),
VALUE(MID(B3048,FIND("CFW110",B3048)+6,FIND("T",B3048,FIND("CFW110",B3048))-(FIND("CFW110",B3048)+6))),
IF(ISNUMBER(FIND("D",B3048)),
VALUE(SUBSTITUTE(MID(B3048,FIND("D",B3048)+1,FIND("T",B3048,FIND("D",B3048))-(FIND("D",B3048)+1)),"P",",")),
IF(ISNUMBER(FIND("CFW5",B3048)),
VALUE(MID(B3048,
IF(ISNUMBER(FIND("F",B3048)),FIND("F",B3048)+1,FIND("G",B3048)+1),
FIND("T",B3048)-(IF(ISNUMBER(FIND("F",B3048)),FIND("F",B3048)+1,FIND("G",B3048)+1))
)),
VALUE(MID(B3048,FIND("E0",B3048)+2,FIND("T",B3048,FIND("E0",B3048))-(FIND("E0",B3048)+2)))
))),"")</f>
        <v/>
      </c>
      <c r="G3048">
        <f>IFERROR(
IF(ISNUMBER(FIND("T2",B3048)),220,
IF(ISNUMBER(FIND("T4",B3048)),440,
IF(ISNUMBER(FIND("T5",B3048)),575,
IF(ISNUMBER(FIND("T6",B3048)),690,"")))),
"")</f>
        <v>220</v>
      </c>
    </row>
    <row r="3049" spans="1:7" x14ac:dyDescent="0.25">
      <c r="A3049">
        <v>12579154</v>
      </c>
      <c r="B3049" t="str">
        <f>VLOOKUP(A3049,Planilha2!B:C,2,0)</f>
        <v>INVERSOR CFW701B31P0T4DB55C3</v>
      </c>
      <c r="C3049" t="s">
        <v>3169</v>
      </c>
      <c r="D3049" t="str">
        <f>VLOOKUP(A3049,Planilha2!B:H,7,0)</f>
        <v>OBSOLETOS DRIVES</v>
      </c>
      <c r="E3049" s="5">
        <v>10400</v>
      </c>
      <c r="F3049" t="str">
        <f>IFERROR(
IF(ISNUMBER(FIND("CFW110",B3049)),
VALUE(MID(B3049,FIND("CFW110",B3049)+6,FIND("T",B3049,FIND("CFW110",B3049))-(FIND("CFW110",B3049)+6))),
IF(ISNUMBER(FIND("D",B3049)),
VALUE(SUBSTITUTE(MID(B3049,FIND("D",B3049)+1,FIND("T",B3049,FIND("D",B3049))-(FIND("D",B3049)+1)),"P",",")),
IF(ISNUMBER(FIND("CFW5",B3049)),
VALUE(MID(B3049,
IF(ISNUMBER(FIND("F",B3049)),FIND("F",B3049)+1,FIND("G",B3049)+1),
FIND("T",B3049)-(IF(ISNUMBER(FIND("F",B3049)),FIND("F",B3049)+1,FIND("G",B3049)+1))
)),
VALUE(MID(B3049,FIND("E0",B3049)+2,FIND("T",B3049,FIND("E0",B3049))-(FIND("E0",B3049)+2)))
))),"")</f>
        <v/>
      </c>
      <c r="G3049">
        <f>IFERROR(
IF(ISNUMBER(FIND("T2",B3049)),220,
IF(ISNUMBER(FIND("T4",B3049)),440,
IF(ISNUMBER(FIND("T5",B3049)),575,
IF(ISNUMBER(FIND("T6",B3049)),690,"")))),
"")</f>
        <v>440</v>
      </c>
    </row>
    <row r="3050" spans="1:7" x14ac:dyDescent="0.25">
      <c r="A3050">
        <v>12619858</v>
      </c>
      <c r="B3050" t="str">
        <f>VLOOKUP(A3050,Planilha2!B:C,2,0)</f>
        <v>INVERSOR CFW701B17P0T4DB55C3DS</v>
      </c>
      <c r="C3050" t="s">
        <v>3169</v>
      </c>
      <c r="D3050" t="str">
        <f>VLOOKUP(A3050,Planilha2!B:H,7,0)</f>
        <v>OBSOLETOS DRIVES</v>
      </c>
      <c r="E3050" s="5">
        <v>9100</v>
      </c>
      <c r="F3050" t="str">
        <f>IFERROR(
IF(ISNUMBER(FIND("CFW110",B3050)),
VALUE(MID(B3050,FIND("CFW110",B3050)+6,FIND("T",B3050,FIND("CFW110",B3050))-(FIND("CFW110",B3050)+6))),
IF(ISNUMBER(FIND("D",B3050)),
VALUE(SUBSTITUTE(MID(B3050,FIND("D",B3050)+1,FIND("T",B3050,FIND("D",B3050))-(FIND("D",B3050)+1)),"P",",")),
IF(ISNUMBER(FIND("CFW5",B3050)),
VALUE(MID(B3050,
IF(ISNUMBER(FIND("F",B3050)),FIND("F",B3050)+1,FIND("G",B3050)+1),
FIND("T",B3050)-(IF(ISNUMBER(FIND("F",B3050)),FIND("F",B3050)+1,FIND("G",B3050)+1))
)),
VALUE(MID(B3050,FIND("E0",B3050)+2,FIND("T",B3050,FIND("E0",B3050))-(FIND("E0",B3050)+2)))
))),"")</f>
        <v/>
      </c>
      <c r="G3050">
        <f>IFERROR(
IF(ISNUMBER(FIND("T2",B3050)),220,
IF(ISNUMBER(FIND("T4",B3050)),440,
IF(ISNUMBER(FIND("T5",B3050)),575,
IF(ISNUMBER(FIND("T6",B3050)),690,"")))),
"")</f>
        <v>440</v>
      </c>
    </row>
    <row r="3051" spans="1:7" x14ac:dyDescent="0.25">
      <c r="A3051">
        <v>12619860</v>
      </c>
      <c r="B3051" t="str">
        <f>VLOOKUP(A3051,Planilha2!B:C,2,0)</f>
        <v>INVERSOR CFW701B24P0T4DB55C3DS</v>
      </c>
      <c r="C3051" t="s">
        <v>3169</v>
      </c>
      <c r="D3051" t="str">
        <f>VLOOKUP(A3051,Planilha2!B:H,7,0)</f>
        <v>OBSOLETOS DRIVES</v>
      </c>
      <c r="E3051" s="5">
        <v>9700</v>
      </c>
      <c r="F3051" t="str">
        <f>IFERROR(
IF(ISNUMBER(FIND("CFW110",B3051)),
VALUE(MID(B3051,FIND("CFW110",B3051)+6,FIND("T",B3051,FIND("CFW110",B3051))-(FIND("CFW110",B3051)+6))),
IF(ISNUMBER(FIND("D",B3051)),
VALUE(SUBSTITUTE(MID(B3051,FIND("D",B3051)+1,FIND("T",B3051,FIND("D",B3051))-(FIND("D",B3051)+1)),"P",",")),
IF(ISNUMBER(FIND("CFW5",B3051)),
VALUE(MID(B3051,
IF(ISNUMBER(FIND("F",B3051)),FIND("F",B3051)+1,FIND("G",B3051)+1),
FIND("T",B3051)-(IF(ISNUMBER(FIND("F",B3051)),FIND("F",B3051)+1,FIND("G",B3051)+1))
)),
VALUE(MID(B3051,FIND("E0",B3051)+2,FIND("T",B3051,FIND("E0",B3051))-(FIND("E0",B3051)+2)))
))),"")</f>
        <v/>
      </c>
      <c r="G3051">
        <f>IFERROR(
IF(ISNUMBER(FIND("T2",B3051)),220,
IF(ISNUMBER(FIND("T4",B3051)),440,
IF(ISNUMBER(FIND("T5",B3051)),575,
IF(ISNUMBER(FIND("T6",B3051)),690,"")))),
"")</f>
        <v>440</v>
      </c>
    </row>
    <row r="3052" spans="1:7" x14ac:dyDescent="0.25">
      <c r="A3052">
        <v>12619862</v>
      </c>
      <c r="B3052" t="str">
        <f>VLOOKUP(A3052,Planilha2!B:C,2,0)</f>
        <v>INVERSOR CFW701B31P0T4DB55C3DS</v>
      </c>
      <c r="C3052" t="s">
        <v>3169</v>
      </c>
      <c r="D3052" t="str">
        <f>VLOOKUP(A3052,Planilha2!B:H,7,0)</f>
        <v>OBSOLETOS DRIVES</v>
      </c>
      <c r="E3052" s="5">
        <v>10400</v>
      </c>
      <c r="F3052" t="str">
        <f>IFERROR(
IF(ISNUMBER(FIND("CFW110",B3052)),
VALUE(MID(B3052,FIND("CFW110",B3052)+6,FIND("T",B3052,FIND("CFW110",B3052))-(FIND("CFW110",B3052)+6))),
IF(ISNUMBER(FIND("D",B3052)),
VALUE(SUBSTITUTE(MID(B3052,FIND("D",B3052)+1,FIND("T",B3052,FIND("D",B3052))-(FIND("D",B3052)+1)),"P",",")),
IF(ISNUMBER(FIND("CFW5",B3052)),
VALUE(MID(B3052,
IF(ISNUMBER(FIND("F",B3052)),FIND("F",B3052)+1,FIND("G",B3052)+1),
FIND("T",B3052)-(IF(ISNUMBER(FIND("F",B3052)),FIND("F",B3052)+1,FIND("G",B3052)+1))
)),
VALUE(MID(B3052,FIND("E0",B3052)+2,FIND("T",B3052,FIND("E0",B3052))-(FIND("E0",B3052)+2)))
))),"")</f>
        <v/>
      </c>
      <c r="G3052">
        <f>IFERROR(
IF(ISNUMBER(FIND("T2",B3052)),220,
IF(ISNUMBER(FIND("T4",B3052)),440,
IF(ISNUMBER(FIND("T5",B3052)),575,
IF(ISNUMBER(FIND("T6",B3052)),690,"")))),
"")</f>
        <v>440</v>
      </c>
    </row>
    <row r="3053" spans="1:7" x14ac:dyDescent="0.25">
      <c r="A3053">
        <v>12619863</v>
      </c>
      <c r="B3053" t="str">
        <f>VLOOKUP(A3053,Planilha2!B:C,2,0)</f>
        <v>INVERSOR CFW701B33P5T2DB55C3DS</v>
      </c>
      <c r="C3053" t="s">
        <v>3169</v>
      </c>
      <c r="D3053" t="str">
        <f>VLOOKUP(A3053,Planilha2!B:H,7,0)</f>
        <v>OBSOLETOS DRIVES</v>
      </c>
      <c r="E3053" s="5">
        <v>9100</v>
      </c>
      <c r="F3053" t="str">
        <f>IFERROR(
IF(ISNUMBER(FIND("CFW110",B3053)),
VALUE(MID(B3053,FIND("CFW110",B3053)+6,FIND("T",B3053,FIND("CFW110",B3053))-(FIND("CFW110",B3053)+6))),
IF(ISNUMBER(FIND("D",B3053)),
VALUE(SUBSTITUTE(MID(B3053,FIND("D",B3053)+1,FIND("T",B3053,FIND("D",B3053))-(FIND("D",B3053)+1)),"P",",")),
IF(ISNUMBER(FIND("CFW5",B3053)),
VALUE(MID(B3053,
IF(ISNUMBER(FIND("F",B3053)),FIND("F",B3053)+1,FIND("G",B3053)+1),
FIND("T",B3053)-(IF(ISNUMBER(FIND("F",B3053)),FIND("F",B3053)+1,FIND("G",B3053)+1))
)),
VALUE(MID(B3053,FIND("E0",B3053)+2,FIND("T",B3053,FIND("E0",B3053))-(FIND("E0",B3053)+2)))
))),"")</f>
        <v/>
      </c>
      <c r="G3053">
        <f>IFERROR(
IF(ISNUMBER(FIND("T2",B3053)),220,
IF(ISNUMBER(FIND("T4",B3053)),440,
IF(ISNUMBER(FIND("T5",B3053)),575,
IF(ISNUMBER(FIND("T6",B3053)),690,"")))),
"")</f>
        <v>220</v>
      </c>
    </row>
    <row r="3054" spans="1:7" x14ac:dyDescent="0.25">
      <c r="A3054">
        <v>12619859</v>
      </c>
      <c r="B3054" t="str">
        <f>VLOOKUP(A3054,Planilha2!B:C,2,0)</f>
        <v>INVERSOR CFW701B24P0T2DB55C3DS</v>
      </c>
      <c r="C3054" t="s">
        <v>3169</v>
      </c>
      <c r="D3054" t="str">
        <f>VLOOKUP(A3054,Planilha2!B:H,7,0)</f>
        <v>OBSOLETOS DRIVES</v>
      </c>
      <c r="E3054" s="5">
        <v>4500</v>
      </c>
      <c r="F3054" t="str">
        <f>IFERROR(
IF(ISNUMBER(FIND("CFW110",B3054)),
VALUE(MID(B3054,FIND("CFW110",B3054)+6,FIND("T",B3054,FIND("CFW110",B3054))-(FIND("CFW110",B3054)+6))),
IF(ISNUMBER(FIND("D",B3054)),
VALUE(SUBSTITUTE(MID(B3054,FIND("D",B3054)+1,FIND("T",B3054,FIND("D",B3054))-(FIND("D",B3054)+1)),"P",",")),
IF(ISNUMBER(FIND("CFW5",B3054)),
VALUE(MID(B3054,
IF(ISNUMBER(FIND("F",B3054)),FIND("F",B3054)+1,FIND("G",B3054)+1),
FIND("T",B3054)-(IF(ISNUMBER(FIND("F",B3054)),FIND("F",B3054)+1,FIND("G",B3054)+1))
)),
VALUE(MID(B3054,FIND("E0",B3054)+2,FIND("T",B3054,FIND("E0",B3054))-(FIND("E0",B3054)+2)))
))),"")</f>
        <v/>
      </c>
      <c r="G3054">
        <f>IFERROR(
IF(ISNUMBER(FIND("T2",B3054)),220,
IF(ISNUMBER(FIND("T4",B3054)),440,
IF(ISNUMBER(FIND("T5",B3054)),575,
IF(ISNUMBER(FIND("T6",B3054)),690,"")))),
"")</f>
        <v>220</v>
      </c>
    </row>
    <row r="3055" spans="1:7" x14ac:dyDescent="0.25">
      <c r="A3055">
        <v>12619861</v>
      </c>
      <c r="B3055" t="str">
        <f>VLOOKUP(A3055,Planilha2!B:C,2,0)</f>
        <v>INVERSOR CFW701B28P0T2DB55C3DS</v>
      </c>
      <c r="C3055" t="s">
        <v>3169</v>
      </c>
      <c r="D3055" t="str">
        <f>VLOOKUP(A3055,Planilha2!B:H,7,0)</f>
        <v>OBSOLETOS DRIVES</v>
      </c>
      <c r="E3055" s="5">
        <v>4500</v>
      </c>
      <c r="F3055" t="str">
        <f>IFERROR(
IF(ISNUMBER(FIND("CFW110",B3055)),
VALUE(MID(B3055,FIND("CFW110",B3055)+6,FIND("T",B3055,FIND("CFW110",B3055))-(FIND("CFW110",B3055)+6))),
IF(ISNUMBER(FIND("D",B3055)),
VALUE(SUBSTITUTE(MID(B3055,FIND("D",B3055)+1,FIND("T",B3055,FIND("D",B3055))-(FIND("D",B3055)+1)),"P",",")),
IF(ISNUMBER(FIND("CFW5",B3055)),
VALUE(MID(B3055,
IF(ISNUMBER(FIND("F",B3055)),FIND("F",B3055)+1,FIND("G",B3055)+1),
FIND("T",B3055)-(IF(ISNUMBER(FIND("F",B3055)),FIND("F",B3055)+1,FIND("G",B3055)+1))
)),
VALUE(MID(B3055,FIND("E0",B3055)+2,FIND("T",B3055,FIND("E0",B3055))-(FIND("E0",B3055)+2)))
))),"")</f>
        <v/>
      </c>
      <c r="G3055">
        <f>IFERROR(
IF(ISNUMBER(FIND("T2",B3055)),220,
IF(ISNUMBER(FIND("T4",B3055)),440,
IF(ISNUMBER(FIND("T5",B3055)),575,
IF(ISNUMBER(FIND("T6",B3055)),690,"")))),
"")</f>
        <v>220</v>
      </c>
    </row>
    <row r="3056" spans="1:7" x14ac:dyDescent="0.25">
      <c r="A3056">
        <v>14362161</v>
      </c>
      <c r="B3056" t="str">
        <f>VLOOKUP(A3056,Planilha2!B:C,2,0)</f>
        <v>INVERSOR CFW700B33P5T2DB20HOTSO</v>
      </c>
      <c r="C3056" t="s">
        <v>3169</v>
      </c>
      <c r="D3056" t="str">
        <f>VLOOKUP(A3056,Planilha2!B:H,7,0)</f>
        <v>LINHA P7</v>
      </c>
      <c r="E3056" s="5">
        <v>4780</v>
      </c>
      <c r="F3056" t="str">
        <f>IFERROR(
IF(ISNUMBER(FIND("CFW110",B3056)),
VALUE(MID(B3056,FIND("CFW110",B3056)+6,FIND("T",B3056,FIND("CFW110",B3056))-(FIND("CFW110",B3056)+6))),
IF(ISNUMBER(FIND("D",B3056)),
VALUE(SUBSTITUTE(MID(B3056,FIND("D",B3056)+1,FIND("T",B3056,FIND("D",B3056))-(FIND("D",B3056)+1)),"P",",")),
IF(ISNUMBER(FIND("CFW5",B3056)),
VALUE(MID(B3056,
IF(ISNUMBER(FIND("F",B3056)),FIND("F",B3056)+1,FIND("G",B3056)+1),
FIND("T",B3056)-(IF(ISNUMBER(FIND("F",B3056)),FIND("F",B3056)+1,FIND("G",B3056)+1))
)),
VALUE(MID(B3056,FIND("E0",B3056)+2,FIND("T",B3056,FIND("E0",B3056))-(FIND("E0",B3056)+2)))
))),"")</f>
        <v/>
      </c>
      <c r="G3056">
        <f>IFERROR(
IF(ISNUMBER(FIND("T2",B3056)),220,
IF(ISNUMBER(FIND("T4",B3056)),440,
IF(ISNUMBER(FIND("T5",B3056)),575,
IF(ISNUMBER(FIND("T6",B3056)),690,"")))),
"")</f>
        <v>220</v>
      </c>
    </row>
    <row r="3057" spans="1:7" x14ac:dyDescent="0.25">
      <c r="A3057">
        <v>14390632</v>
      </c>
      <c r="B3057" t="str">
        <f>VLOOKUP(A3057,Planilha2!B:C,2,0)</f>
        <v>INVERSOR BRCFW110013T4OFAYWHMSJZ</v>
      </c>
      <c r="C3057" t="s">
        <v>3169</v>
      </c>
      <c r="D3057" t="str">
        <f>VLOOKUP(A3057,Planilha2!B:H,7,0)</f>
        <v>LINHA P5</v>
      </c>
      <c r="E3057" s="5">
        <v>4961</v>
      </c>
      <c r="F3057">
        <f>IFERROR(
IF(ISNUMBER(FIND("CFW110",B3057)),
VALUE(MID(B3057,FIND("CFW110",B3057)+6,FIND("T",B3057,FIND("CFW110",B3057))-(FIND("CFW110",B3057)+6))),
IF(ISNUMBER(FIND("D",B3057)),
VALUE(SUBSTITUTE(MID(B3057,FIND("D",B3057)+1,FIND("T",B3057,FIND("D",B3057))-(FIND("D",B3057)+1)),"P",",")),
IF(ISNUMBER(FIND("CFW5",B3057)),
VALUE(MID(B3057,
IF(ISNUMBER(FIND("F",B3057)),FIND("F",B3057)+1,FIND("G",B3057)+1),
FIND("T",B3057)-(IF(ISNUMBER(FIND("F",B3057)),FIND("F",B3057)+1,FIND("G",B3057)+1))
)),
VALUE(MID(B3057,FIND("E0",B3057)+2,FIND("T",B3057,FIND("E0",B3057))-(FIND("E0",B3057)+2)))
))),"")</f>
        <v>13</v>
      </c>
      <c r="G3057">
        <f>IFERROR(
IF(ISNUMBER(FIND("T2",B3057)),220,
IF(ISNUMBER(FIND("T4",B3057)),440,
IF(ISNUMBER(FIND("T5",B3057)),575,
IF(ISNUMBER(FIND("T6",B3057)),690,"")))),
"")</f>
        <v>440</v>
      </c>
    </row>
    <row r="3058" spans="1:7" x14ac:dyDescent="0.25">
      <c r="A3058">
        <v>13534980</v>
      </c>
      <c r="B3058" t="str">
        <f>VLOOKUP(A3058,Planilha2!B:C,2,0)</f>
        <v>INVERSOR BRCFW110006B2O55Z</v>
      </c>
      <c r="C3058" t="s">
        <v>3169</v>
      </c>
      <c r="D3058" t="str">
        <f>VLOOKUP(A3058,Planilha2!B:H,7,0)</f>
        <v>LINHA M3</v>
      </c>
      <c r="E3058" s="5">
        <v>4500</v>
      </c>
      <c r="F3058" t="str">
        <f>IFERROR(
IF(ISNUMBER(FIND("CFW110",B3058)),
VALUE(MID(B3058,FIND("CFW110",B3058)+6,FIND("T",B3058,FIND("CFW110",B3058))-(FIND("CFW110",B3058)+6))),
IF(ISNUMBER(FIND("D",B3058)),
VALUE(SUBSTITUTE(MID(B3058,FIND("D",B3058)+1,FIND("T",B3058,FIND("D",B3058))-(FIND("D",B3058)+1)),"P",",")),
IF(ISNUMBER(FIND("CFW5",B3058)),
VALUE(MID(B3058,
IF(ISNUMBER(FIND("F",B3058)),FIND("F",B3058)+1,FIND("G",B3058)+1),
FIND("T",B3058)-(IF(ISNUMBER(FIND("F",B3058)),FIND("F",B3058)+1,FIND("G",B3058)+1))
)),
VALUE(MID(B3058,FIND("E0",B3058)+2,FIND("T",B3058,FIND("E0",B3058))-(FIND("E0",B3058)+2)))
))),"")</f>
        <v/>
      </c>
      <c r="G3058" t="str">
        <f>IFERROR(
IF(ISNUMBER(FIND("T2",B3058)),220,
IF(ISNUMBER(FIND("T4",B3058)),440,
IF(ISNUMBER(FIND("T5",B3058)),575,
IF(ISNUMBER(FIND("T6",B3058)),690,"")))),
"")</f>
        <v/>
      </c>
    </row>
    <row r="3059" spans="1:7" x14ac:dyDescent="0.25">
      <c r="A3059">
        <v>13534982</v>
      </c>
      <c r="B3059" t="str">
        <f>VLOOKUP(A3059,Planilha2!B:C,2,0)</f>
        <v>INVERSOR BRCFW110007B2O55Z</v>
      </c>
      <c r="C3059" t="s">
        <v>3169</v>
      </c>
      <c r="D3059" t="str">
        <f>VLOOKUP(A3059,Planilha2!B:H,7,0)</f>
        <v>LINHA M3</v>
      </c>
      <c r="E3059" s="5">
        <v>4500</v>
      </c>
      <c r="F3059" t="str">
        <f>IFERROR(
IF(ISNUMBER(FIND("CFW110",B3059)),
VALUE(MID(B3059,FIND("CFW110",B3059)+6,FIND("T",B3059,FIND("CFW110",B3059))-(FIND("CFW110",B3059)+6))),
IF(ISNUMBER(FIND("D",B3059)),
VALUE(SUBSTITUTE(MID(B3059,FIND("D",B3059)+1,FIND("T",B3059,FIND("D",B3059))-(FIND("D",B3059)+1)),"P",",")),
IF(ISNUMBER(FIND("CFW5",B3059)),
VALUE(MID(B3059,
IF(ISNUMBER(FIND("F",B3059)),FIND("F",B3059)+1,FIND("G",B3059)+1),
FIND("T",B3059)-(IF(ISNUMBER(FIND("F",B3059)),FIND("F",B3059)+1,FIND("G",B3059)+1))
)),
VALUE(MID(B3059,FIND("E0",B3059)+2,FIND("T",B3059,FIND("E0",B3059))-(FIND("E0",B3059)+2)))
))),"")</f>
        <v/>
      </c>
      <c r="G3059" t="str">
        <f>IFERROR(
IF(ISNUMBER(FIND("T2",B3059)),220,
IF(ISNUMBER(FIND("T4",B3059)),440,
IF(ISNUMBER(FIND("T5",B3059)),575,
IF(ISNUMBER(FIND("T6",B3059)),690,"")))),
"")</f>
        <v/>
      </c>
    </row>
    <row r="3060" spans="1:7" x14ac:dyDescent="0.25">
      <c r="A3060">
        <v>13534981</v>
      </c>
      <c r="B3060" t="str">
        <f>VLOOKUP(A3060,Planilha2!B:C,2,0)</f>
        <v>INVERSOR BRCFW110006B2O55DSZ</v>
      </c>
      <c r="C3060" t="s">
        <v>3169</v>
      </c>
      <c r="D3060" t="str">
        <f>VLOOKUP(A3060,Planilha2!B:H,7,0)</f>
        <v>LINHA M3</v>
      </c>
      <c r="E3060" s="5">
        <v>4500</v>
      </c>
      <c r="F3060" t="str">
        <f>IFERROR(
IF(ISNUMBER(FIND("CFW110",B3060)),
VALUE(MID(B3060,FIND("CFW110",B3060)+6,FIND("T",B3060,FIND("CFW110",B3060))-(FIND("CFW110",B3060)+6))),
IF(ISNUMBER(FIND("D",B3060)),
VALUE(SUBSTITUTE(MID(B3060,FIND("D",B3060)+1,FIND("T",B3060,FIND("D",B3060))-(FIND("D",B3060)+1)),"P",",")),
IF(ISNUMBER(FIND("CFW5",B3060)),
VALUE(MID(B3060,
IF(ISNUMBER(FIND("F",B3060)),FIND("F",B3060)+1,FIND("G",B3060)+1),
FIND("T",B3060)-(IF(ISNUMBER(FIND("F",B3060)),FIND("F",B3060)+1,FIND("G",B3060)+1))
)),
VALUE(MID(B3060,FIND("E0",B3060)+2,FIND("T",B3060,FIND("E0",B3060))-(FIND("E0",B3060)+2)))
))),"")</f>
        <v/>
      </c>
      <c r="G3060" t="str">
        <f>IFERROR(
IF(ISNUMBER(FIND("T2",B3060)),220,
IF(ISNUMBER(FIND("T4",B3060)),440,
IF(ISNUMBER(FIND("T5",B3060)),575,
IF(ISNUMBER(FIND("T6",B3060)),690,"")))),
"")</f>
        <v/>
      </c>
    </row>
    <row r="3061" spans="1:7" x14ac:dyDescent="0.25">
      <c r="A3061">
        <v>13534983</v>
      </c>
      <c r="B3061" t="str">
        <f>VLOOKUP(A3061,Planilha2!B:C,2,0)</f>
        <v>INVERSOR BRCFW110007B2O55DSZ</v>
      </c>
      <c r="C3061" t="s">
        <v>3169</v>
      </c>
      <c r="D3061" t="str">
        <f>VLOOKUP(A3061,Planilha2!B:H,7,0)</f>
        <v>LINHA M3</v>
      </c>
      <c r="E3061" s="5">
        <v>4500</v>
      </c>
      <c r="F3061" t="str">
        <f>IFERROR(
IF(ISNUMBER(FIND("CFW110",B3061)),
VALUE(MID(B3061,FIND("CFW110",B3061)+6,FIND("T",B3061,FIND("CFW110",B3061))-(FIND("CFW110",B3061)+6))),
IF(ISNUMBER(FIND("D",B3061)),
VALUE(SUBSTITUTE(MID(B3061,FIND("D",B3061)+1,FIND("T",B3061,FIND("D",B3061))-(FIND("D",B3061)+1)),"P",",")),
IF(ISNUMBER(FIND("CFW5",B3061)),
VALUE(MID(B3061,
IF(ISNUMBER(FIND("F",B3061)),FIND("F",B3061)+1,FIND("G",B3061)+1),
FIND("T",B3061)-(IF(ISNUMBER(FIND("F",B3061)),FIND("F",B3061)+1,FIND("G",B3061)+1))
)),
VALUE(MID(B3061,FIND("E0",B3061)+2,FIND("T",B3061,FIND("E0",B3061))-(FIND("E0",B3061)+2)))
))),"")</f>
        <v/>
      </c>
      <c r="G3061" t="str">
        <f>IFERROR(
IF(ISNUMBER(FIND("T2",B3061)),220,
IF(ISNUMBER(FIND("T4",B3061)),440,
IF(ISNUMBER(FIND("T5",B3061)),575,
IF(ISNUMBER(FIND("T6",B3061)),690,"")))),
"")</f>
        <v/>
      </c>
    </row>
    <row r="3062" spans="1:7" x14ac:dyDescent="0.25">
      <c r="A3062">
        <v>13528216</v>
      </c>
      <c r="B3062" t="str">
        <f>VLOOKUP(A3062,Planilha2!B:C,2,0)</f>
        <v>INVERSOR EUCFW110006S2O55FAZ</v>
      </c>
      <c r="C3062" t="s">
        <v>3169</v>
      </c>
      <c r="D3062" t="str">
        <f>VLOOKUP(A3062,Planilha2!B:H,7,0)</f>
        <v>LINHA M3</v>
      </c>
      <c r="E3062" s="5">
        <v>4500</v>
      </c>
      <c r="F3062" t="str">
        <f>IFERROR(
IF(ISNUMBER(FIND("CFW110",B3062)),
VALUE(MID(B3062,FIND("CFW110",B3062)+6,FIND("T",B3062,FIND("CFW110",B3062))-(FIND("CFW110",B3062)+6))),
IF(ISNUMBER(FIND("D",B3062)),
VALUE(SUBSTITUTE(MID(B3062,FIND("D",B3062)+1,FIND("T",B3062,FIND("D",B3062))-(FIND("D",B3062)+1)),"P",",")),
IF(ISNUMBER(FIND("CFW5",B3062)),
VALUE(MID(B3062,
IF(ISNUMBER(FIND("F",B3062)),FIND("F",B3062)+1,FIND("G",B3062)+1),
FIND("T",B3062)-(IF(ISNUMBER(FIND("F",B3062)),FIND("F",B3062)+1,FIND("G",B3062)+1))
)),
VALUE(MID(B3062,FIND("E0",B3062)+2,FIND("T",B3062,FIND("E0",B3062))-(FIND("E0",B3062)+2)))
))),"")</f>
        <v/>
      </c>
      <c r="G3062" t="str">
        <f>IFERROR(
IF(ISNUMBER(FIND("T2",B3062)),220,
IF(ISNUMBER(FIND("T4",B3062)),440,
IF(ISNUMBER(FIND("T5",B3062)),575,
IF(ISNUMBER(FIND("T6",B3062)),690,"")))),
"")</f>
        <v/>
      </c>
    </row>
    <row r="3063" spans="1:7" x14ac:dyDescent="0.25">
      <c r="A3063">
        <v>13534985</v>
      </c>
      <c r="B3063" t="str">
        <f>VLOOKUP(A3063,Planilha2!B:C,2,0)</f>
        <v>INVERSOR EUCFW110006S2O55FADSZ</v>
      </c>
      <c r="C3063" t="s">
        <v>3169</v>
      </c>
      <c r="D3063" t="str">
        <f>VLOOKUP(A3063,Planilha2!B:H,7,0)</f>
        <v>LINHA M3</v>
      </c>
      <c r="E3063" s="5">
        <v>11000</v>
      </c>
      <c r="F3063" t="str">
        <f>IFERROR(
IF(ISNUMBER(FIND("CFW110",B3063)),
VALUE(MID(B3063,FIND("CFW110",B3063)+6,FIND("T",B3063,FIND("CFW110",B3063))-(FIND("CFW110",B3063)+6))),
IF(ISNUMBER(FIND("D",B3063)),
VALUE(SUBSTITUTE(MID(B3063,FIND("D",B3063)+1,FIND("T",B3063,FIND("D",B3063))-(FIND("D",B3063)+1)),"P",",")),
IF(ISNUMBER(FIND("CFW5",B3063)),
VALUE(MID(B3063,
IF(ISNUMBER(FIND("F",B3063)),FIND("F",B3063)+1,FIND("G",B3063)+1),
FIND("T",B3063)-(IF(ISNUMBER(FIND("F",B3063)),FIND("F",B3063)+1,FIND("G",B3063)+1))
)),
VALUE(MID(B3063,FIND("E0",B3063)+2,FIND("T",B3063,FIND("E0",B3063))-(FIND("E0",B3063)+2)))
))),"")</f>
        <v/>
      </c>
      <c r="G3063" t="str">
        <f>IFERROR(
IF(ISNUMBER(FIND("T2",B3063)),220,
IF(ISNUMBER(FIND("T4",B3063)),440,
IF(ISNUMBER(FIND("T5",B3063)),575,
IF(ISNUMBER(FIND("T6",B3063)),690,"")))),
"")</f>
        <v/>
      </c>
    </row>
    <row r="3064" spans="1:7" x14ac:dyDescent="0.25">
      <c r="A3064">
        <v>13534986</v>
      </c>
      <c r="B3064" t="str">
        <f>VLOOKUP(A3064,Planilha2!B:C,2,0)</f>
        <v>INVERSOR EUCFW110007S2O55FAZ</v>
      </c>
      <c r="C3064" t="s">
        <v>3169</v>
      </c>
      <c r="D3064" t="str">
        <f>VLOOKUP(A3064,Planilha2!B:H,7,0)</f>
        <v>LINHA M3</v>
      </c>
      <c r="E3064" s="5">
        <v>4500</v>
      </c>
      <c r="F3064" t="str">
        <f>IFERROR(
IF(ISNUMBER(FIND("CFW110",B3064)),
VALUE(MID(B3064,FIND("CFW110",B3064)+6,FIND("T",B3064,FIND("CFW110",B3064))-(FIND("CFW110",B3064)+6))),
IF(ISNUMBER(FIND("D",B3064)),
VALUE(SUBSTITUTE(MID(B3064,FIND("D",B3064)+1,FIND("T",B3064,FIND("D",B3064))-(FIND("D",B3064)+1)),"P",",")),
IF(ISNUMBER(FIND("CFW5",B3064)),
VALUE(MID(B3064,
IF(ISNUMBER(FIND("F",B3064)),FIND("F",B3064)+1,FIND("G",B3064)+1),
FIND("T",B3064)-(IF(ISNUMBER(FIND("F",B3064)),FIND("F",B3064)+1,FIND("G",B3064)+1))
)),
VALUE(MID(B3064,FIND("E0",B3064)+2,FIND("T",B3064,FIND("E0",B3064))-(FIND("E0",B3064)+2)))
))),"")</f>
        <v/>
      </c>
      <c r="G3064" t="str">
        <f>IFERROR(
IF(ISNUMBER(FIND("T2",B3064)),220,
IF(ISNUMBER(FIND("T4",B3064)),440,
IF(ISNUMBER(FIND("T5",B3064)),575,
IF(ISNUMBER(FIND("T6",B3064)),690,"")))),
"")</f>
        <v/>
      </c>
    </row>
    <row r="3065" spans="1:7" x14ac:dyDescent="0.25">
      <c r="A3065">
        <v>13534998</v>
      </c>
      <c r="B3065" t="str">
        <f>VLOOKUP(A3065,Planilha2!B:C,2,0)</f>
        <v>INVERSOR EUCFW110007S2O55FADSZ</v>
      </c>
      <c r="C3065" t="s">
        <v>3169</v>
      </c>
      <c r="D3065" t="str">
        <f>VLOOKUP(A3065,Planilha2!B:H,7,0)</f>
        <v>LINHA M3</v>
      </c>
      <c r="E3065" s="5">
        <v>4500</v>
      </c>
      <c r="F3065" t="str">
        <f>IFERROR(
IF(ISNUMBER(FIND("CFW110",B3065)),
VALUE(MID(B3065,FIND("CFW110",B3065)+6,FIND("T",B3065,FIND("CFW110",B3065))-(FIND("CFW110",B3065)+6))),
IF(ISNUMBER(FIND("D",B3065)),
VALUE(SUBSTITUTE(MID(B3065,FIND("D",B3065)+1,FIND("T",B3065,FIND("D",B3065))-(FIND("D",B3065)+1)),"P",",")),
IF(ISNUMBER(FIND("CFW5",B3065)),
VALUE(MID(B3065,
IF(ISNUMBER(FIND("F",B3065)),FIND("F",B3065)+1,FIND("G",B3065)+1),
FIND("T",B3065)-(IF(ISNUMBER(FIND("F",B3065)),FIND("F",B3065)+1,FIND("G",B3065)+1))
)),
VALUE(MID(B3065,FIND("E0",B3065)+2,FIND("T",B3065,FIND("E0",B3065))-(FIND("E0",B3065)+2)))
))),"")</f>
        <v/>
      </c>
      <c r="G3065" t="str">
        <f>IFERROR(
IF(ISNUMBER(FIND("T2",B3065)),220,
IF(ISNUMBER(FIND("T4",B3065)),440,
IF(ISNUMBER(FIND("T5",B3065)),575,
IF(ISNUMBER(FIND("T6",B3065)),690,"")))),
"")</f>
        <v/>
      </c>
    </row>
    <row r="3066" spans="1:7" x14ac:dyDescent="0.25">
      <c r="A3066">
        <v>13535000</v>
      </c>
      <c r="B3066" t="str">
        <f>VLOOKUP(A3066,Planilha2!B:C,2,0)</f>
        <v>INVERSOR BRCFW110010S2O55FAZ</v>
      </c>
      <c r="C3066" t="s">
        <v>3169</v>
      </c>
      <c r="D3066" t="str">
        <f>VLOOKUP(A3066,Planilha2!B:H,7,0)</f>
        <v>LINHA M3</v>
      </c>
      <c r="E3066" s="5">
        <v>4500</v>
      </c>
      <c r="F3066" t="str">
        <f>IFERROR(
IF(ISNUMBER(FIND("CFW110",B3066)),
VALUE(MID(B3066,FIND("CFW110",B3066)+6,FIND("T",B3066,FIND("CFW110",B3066))-(FIND("CFW110",B3066)+6))),
IF(ISNUMBER(FIND("D",B3066)),
VALUE(SUBSTITUTE(MID(B3066,FIND("D",B3066)+1,FIND("T",B3066,FIND("D",B3066))-(FIND("D",B3066)+1)),"P",",")),
IF(ISNUMBER(FIND("CFW5",B3066)),
VALUE(MID(B3066,
IF(ISNUMBER(FIND("F",B3066)),FIND("F",B3066)+1,FIND("G",B3066)+1),
FIND("T",B3066)-(IF(ISNUMBER(FIND("F",B3066)),FIND("F",B3066)+1,FIND("G",B3066)+1))
)),
VALUE(MID(B3066,FIND("E0",B3066)+2,FIND("T",B3066,FIND("E0",B3066))-(FIND("E0",B3066)+2)))
))),"")</f>
        <v/>
      </c>
      <c r="G3066" t="str">
        <f>IFERROR(
IF(ISNUMBER(FIND("T2",B3066)),220,
IF(ISNUMBER(FIND("T4",B3066)),440,
IF(ISNUMBER(FIND("T5",B3066)),575,
IF(ISNUMBER(FIND("T6",B3066)),690,"")))),
"")</f>
        <v/>
      </c>
    </row>
    <row r="3067" spans="1:7" x14ac:dyDescent="0.25">
      <c r="A3067">
        <v>13535001</v>
      </c>
      <c r="B3067" t="str">
        <f>VLOOKUP(A3067,Planilha2!B:C,2,0)</f>
        <v>INVERSOR BRCFW110010S2O55FADSZ</v>
      </c>
      <c r="C3067" t="s">
        <v>3169</v>
      </c>
      <c r="D3067" t="str">
        <f>VLOOKUP(A3067,Planilha2!B:H,7,0)</f>
        <v>LINHA M3</v>
      </c>
      <c r="E3067" s="5">
        <v>4500</v>
      </c>
      <c r="F3067" t="str">
        <f>IFERROR(
IF(ISNUMBER(FIND("CFW110",B3067)),
VALUE(MID(B3067,FIND("CFW110",B3067)+6,FIND("T",B3067,FIND("CFW110",B3067))-(FIND("CFW110",B3067)+6))),
IF(ISNUMBER(FIND("D",B3067)),
VALUE(SUBSTITUTE(MID(B3067,FIND("D",B3067)+1,FIND("T",B3067,FIND("D",B3067))-(FIND("D",B3067)+1)),"P",",")),
IF(ISNUMBER(FIND("CFW5",B3067)),
VALUE(MID(B3067,
IF(ISNUMBER(FIND("F",B3067)),FIND("F",B3067)+1,FIND("G",B3067)+1),
FIND("T",B3067)-(IF(ISNUMBER(FIND("F",B3067)),FIND("F",B3067)+1,FIND("G",B3067)+1))
)),
VALUE(MID(B3067,FIND("E0",B3067)+2,FIND("T",B3067,FIND("E0",B3067))-(FIND("E0",B3067)+2)))
))),"")</f>
        <v/>
      </c>
      <c r="G3067" t="str">
        <f>IFERROR(
IF(ISNUMBER(FIND("T2",B3067)),220,
IF(ISNUMBER(FIND("T4",B3067)),440,
IF(ISNUMBER(FIND("T5",B3067)),575,
IF(ISNUMBER(FIND("T6",B3067)),690,"")))),
"")</f>
        <v/>
      </c>
    </row>
    <row r="3068" spans="1:7" x14ac:dyDescent="0.25">
      <c r="A3068">
        <v>13535003</v>
      </c>
      <c r="B3068" t="str">
        <f>VLOOKUP(A3068,Planilha2!B:C,2,0)</f>
        <v>INVERSOR EUCFW110010S2O55FAZ</v>
      </c>
      <c r="C3068" t="s">
        <v>3169</v>
      </c>
      <c r="D3068" t="str">
        <f>VLOOKUP(A3068,Planilha2!B:H,7,0)</f>
        <v>LINHA M3</v>
      </c>
      <c r="E3068" s="5">
        <v>4500</v>
      </c>
      <c r="F3068" t="str">
        <f>IFERROR(
IF(ISNUMBER(FIND("CFW110",B3068)),
VALUE(MID(B3068,FIND("CFW110",B3068)+6,FIND("T",B3068,FIND("CFW110",B3068))-(FIND("CFW110",B3068)+6))),
IF(ISNUMBER(FIND("D",B3068)),
VALUE(SUBSTITUTE(MID(B3068,FIND("D",B3068)+1,FIND("T",B3068,FIND("D",B3068))-(FIND("D",B3068)+1)),"P",",")),
IF(ISNUMBER(FIND("CFW5",B3068)),
VALUE(MID(B3068,
IF(ISNUMBER(FIND("F",B3068)),FIND("F",B3068)+1,FIND("G",B3068)+1),
FIND("T",B3068)-(IF(ISNUMBER(FIND("F",B3068)),FIND("F",B3068)+1,FIND("G",B3068)+1))
)),
VALUE(MID(B3068,FIND("E0",B3068)+2,FIND("T",B3068,FIND("E0",B3068))-(FIND("E0",B3068)+2)))
))),"")</f>
        <v/>
      </c>
      <c r="G3068" t="str">
        <f>IFERROR(
IF(ISNUMBER(FIND("T2",B3068)),220,
IF(ISNUMBER(FIND("T4",B3068)),440,
IF(ISNUMBER(FIND("T5",B3068)),575,
IF(ISNUMBER(FIND("T6",B3068)),690,"")))),
"")</f>
        <v/>
      </c>
    </row>
    <row r="3069" spans="1:7" x14ac:dyDescent="0.25">
      <c r="A3069">
        <v>13535005</v>
      </c>
      <c r="B3069" t="str">
        <f>VLOOKUP(A3069,Planilha2!B:C,2,0)</f>
        <v>INVERSOR EUCFW110010S2O55FADSZ</v>
      </c>
      <c r="C3069" t="s">
        <v>3169</v>
      </c>
      <c r="D3069" t="str">
        <f>VLOOKUP(A3069,Planilha2!B:H,7,0)</f>
        <v>LINHA M3</v>
      </c>
      <c r="E3069" s="5">
        <v>4500</v>
      </c>
      <c r="F3069" t="str">
        <f>IFERROR(
IF(ISNUMBER(FIND("CFW110",B3069)),
VALUE(MID(B3069,FIND("CFW110",B3069)+6,FIND("T",B3069,FIND("CFW110",B3069))-(FIND("CFW110",B3069)+6))),
IF(ISNUMBER(FIND("D",B3069)),
VALUE(SUBSTITUTE(MID(B3069,FIND("D",B3069)+1,FIND("T",B3069,FIND("D",B3069))-(FIND("D",B3069)+1)),"P",",")),
IF(ISNUMBER(FIND("CFW5",B3069)),
VALUE(MID(B3069,
IF(ISNUMBER(FIND("F",B3069)),FIND("F",B3069)+1,FIND("G",B3069)+1),
FIND("T",B3069)-(IF(ISNUMBER(FIND("F",B3069)),FIND("F",B3069)+1,FIND("G",B3069)+1))
)),
VALUE(MID(B3069,FIND("E0",B3069)+2,FIND("T",B3069,FIND("E0",B3069))-(FIND("E0",B3069)+2)))
))),"")</f>
        <v/>
      </c>
      <c r="G3069" t="str">
        <f>IFERROR(
IF(ISNUMBER(FIND("T2",B3069)),220,
IF(ISNUMBER(FIND("T4",B3069)),440,
IF(ISNUMBER(FIND("T5",B3069)),575,
IF(ISNUMBER(FIND("T6",B3069)),690,"")))),
"")</f>
        <v/>
      </c>
    </row>
    <row r="3070" spans="1:7" x14ac:dyDescent="0.25">
      <c r="A3070">
        <v>13535007</v>
      </c>
      <c r="B3070" t="str">
        <f>VLOOKUP(A3070,Planilha2!B:C,2,0)</f>
        <v>INVERSOR BRCFW110007T2O55Z</v>
      </c>
      <c r="C3070" t="s">
        <v>3169</v>
      </c>
      <c r="D3070" t="str">
        <f>VLOOKUP(A3070,Planilha2!B:H,7,0)</f>
        <v>LINHA M3</v>
      </c>
      <c r="E3070" s="5">
        <v>4500</v>
      </c>
      <c r="F3070">
        <f>IFERROR(
IF(ISNUMBER(FIND("CFW110",B3070)),
VALUE(MID(B3070,FIND("CFW110",B3070)+6,FIND("T",B3070,FIND("CFW110",B3070))-(FIND("CFW110",B3070)+6))),
IF(ISNUMBER(FIND("D",B3070)),
VALUE(SUBSTITUTE(MID(B3070,FIND("D",B3070)+1,FIND("T",B3070,FIND("D",B3070))-(FIND("D",B3070)+1)),"P",",")),
IF(ISNUMBER(FIND("CFW5",B3070)),
VALUE(MID(B3070,
IF(ISNUMBER(FIND("F",B3070)),FIND("F",B3070)+1,FIND("G",B3070)+1),
FIND("T",B3070)-(IF(ISNUMBER(FIND("F",B3070)),FIND("F",B3070)+1,FIND("G",B3070)+1))
)),
VALUE(MID(B3070,FIND("E0",B3070)+2,FIND("T",B3070,FIND("E0",B3070))-(FIND("E0",B3070)+2)))
))),"")</f>
        <v>7</v>
      </c>
      <c r="G3070">
        <f>IFERROR(
IF(ISNUMBER(FIND("T2",B3070)),220,
IF(ISNUMBER(FIND("T4",B3070)),440,
IF(ISNUMBER(FIND("T5",B3070)),575,
IF(ISNUMBER(FIND("T6",B3070)),690,"")))),
"")</f>
        <v>220</v>
      </c>
    </row>
    <row r="3071" spans="1:7" x14ac:dyDescent="0.25">
      <c r="A3071">
        <v>13535019</v>
      </c>
      <c r="B3071" t="str">
        <f>VLOOKUP(A3071,Planilha2!B:C,2,0)</f>
        <v>INVERSOR BRCFW110007T2O55DSZ</v>
      </c>
      <c r="C3071" t="s">
        <v>3169</v>
      </c>
      <c r="D3071" t="str">
        <f>VLOOKUP(A3071,Planilha2!B:H,7,0)</f>
        <v>LINHA M3</v>
      </c>
      <c r="E3071" s="5">
        <v>4500</v>
      </c>
      <c r="F3071">
        <f>IFERROR(
IF(ISNUMBER(FIND("CFW110",B3071)),
VALUE(MID(B3071,FIND("CFW110",B3071)+6,FIND("T",B3071,FIND("CFW110",B3071))-(FIND("CFW110",B3071)+6))),
IF(ISNUMBER(FIND("D",B3071)),
VALUE(SUBSTITUTE(MID(B3071,FIND("D",B3071)+1,FIND("T",B3071,FIND("D",B3071))-(FIND("D",B3071)+1)),"P",",")),
IF(ISNUMBER(FIND("CFW5",B3071)),
VALUE(MID(B3071,
IF(ISNUMBER(FIND("F",B3071)),FIND("F",B3071)+1,FIND("G",B3071)+1),
FIND("T",B3071)-(IF(ISNUMBER(FIND("F",B3071)),FIND("F",B3071)+1,FIND("G",B3071)+1))
)),
VALUE(MID(B3071,FIND("E0",B3071)+2,FIND("T",B3071,FIND("E0",B3071))-(FIND("E0",B3071)+2)))
))),"")</f>
        <v>7</v>
      </c>
      <c r="G3071">
        <f>IFERROR(
IF(ISNUMBER(FIND("T2",B3071)),220,
IF(ISNUMBER(FIND("T4",B3071)),440,
IF(ISNUMBER(FIND("T5",B3071)),575,
IF(ISNUMBER(FIND("T6",B3071)),690,"")))),
"")</f>
        <v>220</v>
      </c>
    </row>
    <row r="3072" spans="1:7" x14ac:dyDescent="0.25">
      <c r="A3072">
        <v>13535022</v>
      </c>
      <c r="B3072" t="str">
        <f>VLOOKUP(A3072,Planilha2!B:C,2,0)</f>
        <v>INVERSOR NACFW110007T2O55Z</v>
      </c>
      <c r="C3072" t="s">
        <v>3169</v>
      </c>
      <c r="D3072" t="str">
        <f>VLOOKUP(A3072,Planilha2!B:H,7,0)</f>
        <v>LINHA M3</v>
      </c>
      <c r="E3072" s="5">
        <v>4500</v>
      </c>
      <c r="F3072">
        <f>IFERROR(
IF(ISNUMBER(FIND("CFW110",B3072)),
VALUE(MID(B3072,FIND("CFW110",B3072)+6,FIND("T",B3072,FIND("CFW110",B3072))-(FIND("CFW110",B3072)+6))),
IF(ISNUMBER(FIND("D",B3072)),
VALUE(SUBSTITUTE(MID(B3072,FIND("D",B3072)+1,FIND("T",B3072,FIND("D",B3072))-(FIND("D",B3072)+1)),"P",",")),
IF(ISNUMBER(FIND("CFW5",B3072)),
VALUE(MID(B3072,
IF(ISNUMBER(FIND("F",B3072)),FIND("F",B3072)+1,FIND("G",B3072)+1),
FIND("T",B3072)-(IF(ISNUMBER(FIND("F",B3072)),FIND("F",B3072)+1,FIND("G",B3072)+1))
)),
VALUE(MID(B3072,FIND("E0",B3072)+2,FIND("T",B3072,FIND("E0",B3072))-(FIND("E0",B3072)+2)))
))),"")</f>
        <v>7</v>
      </c>
      <c r="G3072">
        <f>IFERROR(
IF(ISNUMBER(FIND("T2",B3072)),220,
IF(ISNUMBER(FIND("T4",B3072)),440,
IF(ISNUMBER(FIND("T5",B3072)),575,
IF(ISNUMBER(FIND("T6",B3072)),690,"")))),
"")</f>
        <v>220</v>
      </c>
    </row>
    <row r="3073" spans="1:7" x14ac:dyDescent="0.25">
      <c r="A3073">
        <v>13535024</v>
      </c>
      <c r="B3073" t="str">
        <f>VLOOKUP(A3073,Planilha2!B:C,2,0)</f>
        <v>INVERSOR NACFW110007T2O55DSZ</v>
      </c>
      <c r="C3073" t="s">
        <v>3169</v>
      </c>
      <c r="D3073" t="str">
        <f>VLOOKUP(A3073,Planilha2!B:H,7,0)</f>
        <v>LINHA M3</v>
      </c>
      <c r="E3073" s="5">
        <v>4500</v>
      </c>
      <c r="F3073">
        <f>IFERROR(
IF(ISNUMBER(FIND("CFW110",B3073)),
VALUE(MID(B3073,FIND("CFW110",B3073)+6,FIND("T",B3073,FIND("CFW110",B3073))-(FIND("CFW110",B3073)+6))),
IF(ISNUMBER(FIND("D",B3073)),
VALUE(SUBSTITUTE(MID(B3073,FIND("D",B3073)+1,FIND("T",B3073,FIND("D",B3073))-(FIND("D",B3073)+1)),"P",",")),
IF(ISNUMBER(FIND("CFW5",B3073)),
VALUE(MID(B3073,
IF(ISNUMBER(FIND("F",B3073)),FIND("F",B3073)+1,FIND("G",B3073)+1),
FIND("T",B3073)-(IF(ISNUMBER(FIND("F",B3073)),FIND("F",B3073)+1,FIND("G",B3073)+1))
)),
VALUE(MID(B3073,FIND("E0",B3073)+2,FIND("T",B3073,FIND("E0",B3073))-(FIND("E0",B3073)+2)))
))),"")</f>
        <v>7</v>
      </c>
      <c r="G3073">
        <f>IFERROR(
IF(ISNUMBER(FIND("T2",B3073)),220,
IF(ISNUMBER(FIND("T4",B3073)),440,
IF(ISNUMBER(FIND("T5",B3073)),575,
IF(ISNUMBER(FIND("T6",B3073)),690,"")))),
"")</f>
        <v>220</v>
      </c>
    </row>
    <row r="3074" spans="1:7" x14ac:dyDescent="0.25">
      <c r="A3074">
        <v>13535055</v>
      </c>
      <c r="B3074" t="str">
        <f>VLOOKUP(A3074,Planilha2!B:C,2,0)</f>
        <v>INVERSOR BRCFW110010T2O55Z</v>
      </c>
      <c r="C3074" t="s">
        <v>3169</v>
      </c>
      <c r="D3074" t="str">
        <f>VLOOKUP(A3074,Planilha2!B:H,7,0)</f>
        <v>LINHA M3</v>
      </c>
      <c r="E3074" s="5">
        <v>4500</v>
      </c>
      <c r="F3074">
        <f>IFERROR(
IF(ISNUMBER(FIND("CFW110",B3074)),
VALUE(MID(B3074,FIND("CFW110",B3074)+6,FIND("T",B3074,FIND("CFW110",B3074))-(FIND("CFW110",B3074)+6))),
IF(ISNUMBER(FIND("D",B3074)),
VALUE(SUBSTITUTE(MID(B3074,FIND("D",B3074)+1,FIND("T",B3074,FIND("D",B3074))-(FIND("D",B3074)+1)),"P",",")),
IF(ISNUMBER(FIND("CFW5",B3074)),
VALUE(MID(B3074,
IF(ISNUMBER(FIND("F",B3074)),FIND("F",B3074)+1,FIND("G",B3074)+1),
FIND("T",B3074)-(IF(ISNUMBER(FIND("F",B3074)),FIND("F",B3074)+1,FIND("G",B3074)+1))
)),
VALUE(MID(B3074,FIND("E0",B3074)+2,FIND("T",B3074,FIND("E0",B3074))-(FIND("E0",B3074)+2)))
))),"")</f>
        <v>10</v>
      </c>
      <c r="G3074">
        <f>IFERROR(
IF(ISNUMBER(FIND("T2",B3074)),220,
IF(ISNUMBER(FIND("T4",B3074)),440,
IF(ISNUMBER(FIND("T5",B3074)),575,
IF(ISNUMBER(FIND("T6",B3074)),690,"")))),
"")</f>
        <v>220</v>
      </c>
    </row>
    <row r="3075" spans="1:7" x14ac:dyDescent="0.25">
      <c r="A3075">
        <v>13535057</v>
      </c>
      <c r="B3075" t="str">
        <f>VLOOKUP(A3075,Planilha2!B:C,2,0)</f>
        <v>INVERSOR BRCFW110010T2O55DSZ</v>
      </c>
      <c r="C3075" t="s">
        <v>3169</v>
      </c>
      <c r="D3075" t="str">
        <f>VLOOKUP(A3075,Planilha2!B:H,7,0)</f>
        <v>LINHA M3</v>
      </c>
      <c r="E3075" s="5">
        <v>4500</v>
      </c>
      <c r="F3075">
        <f>IFERROR(
IF(ISNUMBER(FIND("CFW110",B3075)),
VALUE(MID(B3075,FIND("CFW110",B3075)+6,FIND("T",B3075,FIND("CFW110",B3075))-(FIND("CFW110",B3075)+6))),
IF(ISNUMBER(FIND("D",B3075)),
VALUE(SUBSTITUTE(MID(B3075,FIND("D",B3075)+1,FIND("T",B3075,FIND("D",B3075))-(FIND("D",B3075)+1)),"P",",")),
IF(ISNUMBER(FIND("CFW5",B3075)),
VALUE(MID(B3075,
IF(ISNUMBER(FIND("F",B3075)),FIND("F",B3075)+1,FIND("G",B3075)+1),
FIND("T",B3075)-(IF(ISNUMBER(FIND("F",B3075)),FIND("F",B3075)+1,FIND("G",B3075)+1))
)),
VALUE(MID(B3075,FIND("E0",B3075)+2,FIND("T",B3075,FIND("E0",B3075))-(FIND("E0",B3075)+2)))
))),"")</f>
        <v>10</v>
      </c>
      <c r="G3075">
        <f>IFERROR(
IF(ISNUMBER(FIND("T2",B3075)),220,
IF(ISNUMBER(FIND("T4",B3075)),440,
IF(ISNUMBER(FIND("T5",B3075)),575,
IF(ISNUMBER(FIND("T6",B3075)),690,"")))),
"")</f>
        <v>220</v>
      </c>
    </row>
    <row r="3076" spans="1:7" x14ac:dyDescent="0.25">
      <c r="A3076">
        <v>13535139</v>
      </c>
      <c r="B3076" t="str">
        <f>VLOOKUP(A3076,Planilha2!B:C,2,0)</f>
        <v>INVERSOR NACFW110010T2O55Z</v>
      </c>
      <c r="C3076" t="s">
        <v>3169</v>
      </c>
      <c r="D3076" t="str">
        <f>VLOOKUP(A3076,Planilha2!B:H,7,0)</f>
        <v>LINHA M3</v>
      </c>
      <c r="E3076" s="5">
        <v>4500</v>
      </c>
      <c r="F3076">
        <f>IFERROR(
IF(ISNUMBER(FIND("CFW110",B3076)),
VALUE(MID(B3076,FIND("CFW110",B3076)+6,FIND("T",B3076,FIND("CFW110",B3076))-(FIND("CFW110",B3076)+6))),
IF(ISNUMBER(FIND("D",B3076)),
VALUE(SUBSTITUTE(MID(B3076,FIND("D",B3076)+1,FIND("T",B3076,FIND("D",B3076))-(FIND("D",B3076)+1)),"P",",")),
IF(ISNUMBER(FIND("CFW5",B3076)),
VALUE(MID(B3076,
IF(ISNUMBER(FIND("F",B3076)),FIND("F",B3076)+1,FIND("G",B3076)+1),
FIND("T",B3076)-(IF(ISNUMBER(FIND("F",B3076)),FIND("F",B3076)+1,FIND("G",B3076)+1))
)),
VALUE(MID(B3076,FIND("E0",B3076)+2,FIND("T",B3076,FIND("E0",B3076))-(FIND("E0",B3076)+2)))
))),"")</f>
        <v>10</v>
      </c>
      <c r="G3076">
        <f>IFERROR(
IF(ISNUMBER(FIND("T2",B3076)),220,
IF(ISNUMBER(FIND("T4",B3076)),440,
IF(ISNUMBER(FIND("T5",B3076)),575,
IF(ISNUMBER(FIND("T6",B3076)),690,"")))),
"")</f>
        <v>220</v>
      </c>
    </row>
    <row r="3077" spans="1:7" x14ac:dyDescent="0.25">
      <c r="A3077">
        <v>13535142</v>
      </c>
      <c r="B3077" t="str">
        <f>VLOOKUP(A3077,Planilha2!B:C,2,0)</f>
        <v>INVERSOR NACFW110010T2O55DSZ</v>
      </c>
      <c r="C3077" t="s">
        <v>3169</v>
      </c>
      <c r="D3077" t="str">
        <f>VLOOKUP(A3077,Planilha2!B:H,7,0)</f>
        <v>LINHA M3</v>
      </c>
      <c r="E3077" s="5">
        <v>15000</v>
      </c>
      <c r="F3077">
        <f>IFERROR(
IF(ISNUMBER(FIND("CFW110",B3077)),
VALUE(MID(B3077,FIND("CFW110",B3077)+6,FIND("T",B3077,FIND("CFW110",B3077))-(FIND("CFW110",B3077)+6))),
IF(ISNUMBER(FIND("D",B3077)),
VALUE(SUBSTITUTE(MID(B3077,FIND("D",B3077)+1,FIND("T",B3077,FIND("D",B3077))-(FIND("D",B3077)+1)),"P",",")),
IF(ISNUMBER(FIND("CFW5",B3077)),
VALUE(MID(B3077,
IF(ISNUMBER(FIND("F",B3077)),FIND("F",B3077)+1,FIND("G",B3077)+1),
FIND("T",B3077)-(IF(ISNUMBER(FIND("F",B3077)),FIND("F",B3077)+1,FIND("G",B3077)+1))
)),
VALUE(MID(B3077,FIND("E0",B3077)+2,FIND("T",B3077,FIND("E0",B3077))-(FIND("E0",B3077)+2)))
))),"")</f>
        <v>10</v>
      </c>
      <c r="G3077">
        <f>IFERROR(
IF(ISNUMBER(FIND("T2",B3077)),220,
IF(ISNUMBER(FIND("T4",B3077)),440,
IF(ISNUMBER(FIND("T5",B3077)),575,
IF(ISNUMBER(FIND("T6",B3077)),690,"")))),
"")</f>
        <v>220</v>
      </c>
    </row>
    <row r="3078" spans="1:7" x14ac:dyDescent="0.25">
      <c r="A3078">
        <v>13536210</v>
      </c>
      <c r="B3078" t="str">
        <f>VLOOKUP(A3078,Planilha2!B:C,2,0)</f>
        <v>INVERSOR BRCFW110013T2O55Z</v>
      </c>
      <c r="C3078" t="s">
        <v>3169</v>
      </c>
      <c r="D3078" t="str">
        <f>VLOOKUP(A3078,Planilha2!B:H,7,0)</f>
        <v>LINHA M3</v>
      </c>
      <c r="E3078" s="5">
        <v>4500</v>
      </c>
      <c r="F3078">
        <f>IFERROR(
IF(ISNUMBER(FIND("CFW110",B3078)),
VALUE(MID(B3078,FIND("CFW110",B3078)+6,FIND("T",B3078,FIND("CFW110",B3078))-(FIND("CFW110",B3078)+6))),
IF(ISNUMBER(FIND("D",B3078)),
VALUE(SUBSTITUTE(MID(B3078,FIND("D",B3078)+1,FIND("T",B3078,FIND("D",B3078))-(FIND("D",B3078)+1)),"P",",")),
IF(ISNUMBER(FIND("CFW5",B3078)),
VALUE(MID(B3078,
IF(ISNUMBER(FIND("F",B3078)),FIND("F",B3078)+1,FIND("G",B3078)+1),
FIND("T",B3078)-(IF(ISNUMBER(FIND("F",B3078)),FIND("F",B3078)+1,FIND("G",B3078)+1))
)),
VALUE(MID(B3078,FIND("E0",B3078)+2,FIND("T",B3078,FIND("E0",B3078))-(FIND("E0",B3078)+2)))
))),"")</f>
        <v>13</v>
      </c>
      <c r="G3078">
        <f>IFERROR(
IF(ISNUMBER(FIND("T2",B3078)),220,
IF(ISNUMBER(FIND("T4",B3078)),440,
IF(ISNUMBER(FIND("T5",B3078)),575,
IF(ISNUMBER(FIND("T6",B3078)),690,"")))),
"")</f>
        <v>220</v>
      </c>
    </row>
    <row r="3079" spans="1:7" x14ac:dyDescent="0.25">
      <c r="A3079">
        <v>13536636</v>
      </c>
      <c r="B3079" t="str">
        <f>VLOOKUP(A3079,Planilha2!B:C,2,0)</f>
        <v>INVERSOR BRCFW110013T2O55DSZ</v>
      </c>
      <c r="C3079" t="s">
        <v>3169</v>
      </c>
      <c r="D3079" t="str">
        <f>VLOOKUP(A3079,Planilha2!B:H,7,0)</f>
        <v>LINHA M3</v>
      </c>
      <c r="E3079" s="5">
        <v>4500</v>
      </c>
      <c r="F3079">
        <f>IFERROR(
IF(ISNUMBER(FIND("CFW110",B3079)),
VALUE(MID(B3079,FIND("CFW110",B3079)+6,FIND("T",B3079,FIND("CFW110",B3079))-(FIND("CFW110",B3079)+6))),
IF(ISNUMBER(FIND("D",B3079)),
VALUE(SUBSTITUTE(MID(B3079,FIND("D",B3079)+1,FIND("T",B3079,FIND("D",B3079))-(FIND("D",B3079)+1)),"P",",")),
IF(ISNUMBER(FIND("CFW5",B3079)),
VALUE(MID(B3079,
IF(ISNUMBER(FIND("F",B3079)),FIND("F",B3079)+1,FIND("G",B3079)+1),
FIND("T",B3079)-(IF(ISNUMBER(FIND("F",B3079)),FIND("F",B3079)+1,FIND("G",B3079)+1))
)),
VALUE(MID(B3079,FIND("E0",B3079)+2,FIND("T",B3079,FIND("E0",B3079))-(FIND("E0",B3079)+2)))
))),"")</f>
        <v>13</v>
      </c>
      <c r="G3079">
        <f>IFERROR(
IF(ISNUMBER(FIND("T2",B3079)),220,
IF(ISNUMBER(FIND("T4",B3079)),440,
IF(ISNUMBER(FIND("T5",B3079)),575,
IF(ISNUMBER(FIND("T6",B3079)),690,"")))),
"")</f>
        <v>220</v>
      </c>
    </row>
    <row r="3080" spans="1:7" x14ac:dyDescent="0.25">
      <c r="A3080">
        <v>13536637</v>
      </c>
      <c r="B3080" t="str">
        <f>VLOOKUP(A3080,Planilha2!B:C,2,0)</f>
        <v>INVERSOR NACFW110013T2O55Z</v>
      </c>
      <c r="C3080" t="s">
        <v>3169</v>
      </c>
      <c r="D3080" t="str">
        <f>VLOOKUP(A3080,Planilha2!B:H,7,0)</f>
        <v>LINHA M3</v>
      </c>
      <c r="E3080" s="5">
        <v>4500</v>
      </c>
      <c r="F3080">
        <f>IFERROR(
IF(ISNUMBER(FIND("CFW110",B3080)),
VALUE(MID(B3080,FIND("CFW110",B3080)+6,FIND("T",B3080,FIND("CFW110",B3080))-(FIND("CFW110",B3080)+6))),
IF(ISNUMBER(FIND("D",B3080)),
VALUE(SUBSTITUTE(MID(B3080,FIND("D",B3080)+1,FIND("T",B3080,FIND("D",B3080))-(FIND("D",B3080)+1)),"P",",")),
IF(ISNUMBER(FIND("CFW5",B3080)),
VALUE(MID(B3080,
IF(ISNUMBER(FIND("F",B3080)),FIND("F",B3080)+1,FIND("G",B3080)+1),
FIND("T",B3080)-(IF(ISNUMBER(FIND("F",B3080)),FIND("F",B3080)+1,FIND("G",B3080)+1))
)),
VALUE(MID(B3080,FIND("E0",B3080)+2,FIND("T",B3080,FIND("E0",B3080))-(FIND("E0",B3080)+2)))
))),"")</f>
        <v>13</v>
      </c>
      <c r="G3080">
        <f>IFERROR(
IF(ISNUMBER(FIND("T2",B3080)),220,
IF(ISNUMBER(FIND("T4",B3080)),440,
IF(ISNUMBER(FIND("T5",B3080)),575,
IF(ISNUMBER(FIND("T6",B3080)),690,"")))),
"")</f>
        <v>220</v>
      </c>
    </row>
    <row r="3081" spans="1:7" x14ac:dyDescent="0.25">
      <c r="A3081">
        <v>13536868</v>
      </c>
      <c r="B3081" t="str">
        <f>VLOOKUP(A3081,Planilha2!B:C,2,0)</f>
        <v>INVERSOR NACFW110013T2O55DSZ</v>
      </c>
      <c r="C3081" t="s">
        <v>3169</v>
      </c>
      <c r="D3081" t="str">
        <f>VLOOKUP(A3081,Planilha2!B:H,7,0)</f>
        <v>LINHA M3</v>
      </c>
      <c r="E3081" s="5">
        <v>4500</v>
      </c>
      <c r="F3081">
        <f>IFERROR(
IF(ISNUMBER(FIND("CFW110",B3081)),
VALUE(MID(B3081,FIND("CFW110",B3081)+6,FIND("T",B3081,FIND("CFW110",B3081))-(FIND("CFW110",B3081)+6))),
IF(ISNUMBER(FIND("D",B3081)),
VALUE(SUBSTITUTE(MID(B3081,FIND("D",B3081)+1,FIND("T",B3081,FIND("D",B3081))-(FIND("D",B3081)+1)),"P",",")),
IF(ISNUMBER(FIND("CFW5",B3081)),
VALUE(MID(B3081,
IF(ISNUMBER(FIND("F",B3081)),FIND("F",B3081)+1,FIND("G",B3081)+1),
FIND("T",B3081)-(IF(ISNUMBER(FIND("F",B3081)),FIND("F",B3081)+1,FIND("G",B3081)+1))
)),
VALUE(MID(B3081,FIND("E0",B3081)+2,FIND("T",B3081,FIND("E0",B3081))-(FIND("E0",B3081)+2)))
))),"")</f>
        <v>13</v>
      </c>
      <c r="G3081">
        <f>IFERROR(
IF(ISNUMBER(FIND("T2",B3081)),220,
IF(ISNUMBER(FIND("T4",B3081)),440,
IF(ISNUMBER(FIND("T5",B3081)),575,
IF(ISNUMBER(FIND("T6",B3081)),690,"")))),
"")</f>
        <v>220</v>
      </c>
    </row>
    <row r="3082" spans="1:7" x14ac:dyDescent="0.25">
      <c r="A3082">
        <v>13536871</v>
      </c>
      <c r="B3082" t="str">
        <f>VLOOKUP(A3082,Planilha2!B:C,2,0)</f>
        <v>INVERSOR BRCFW110016T2O55DSZ</v>
      </c>
      <c r="C3082" t="s">
        <v>3169</v>
      </c>
      <c r="D3082" t="str">
        <f>VLOOKUP(A3082,Planilha2!B:H,7,0)</f>
        <v>LINHA M3</v>
      </c>
      <c r="E3082" s="5">
        <v>9100</v>
      </c>
      <c r="F3082">
        <f>IFERROR(
IF(ISNUMBER(FIND("CFW110",B3082)),
VALUE(MID(B3082,FIND("CFW110",B3082)+6,FIND("T",B3082,FIND("CFW110",B3082))-(FIND("CFW110",B3082)+6))),
IF(ISNUMBER(FIND("D",B3082)),
VALUE(SUBSTITUTE(MID(B3082,FIND("D",B3082)+1,FIND("T",B3082,FIND("D",B3082))-(FIND("D",B3082)+1)),"P",",")),
IF(ISNUMBER(FIND("CFW5",B3082)),
VALUE(MID(B3082,
IF(ISNUMBER(FIND("F",B3082)),FIND("F",B3082)+1,FIND("G",B3082)+1),
FIND("T",B3082)-(IF(ISNUMBER(FIND("F",B3082)),FIND("F",B3082)+1,FIND("G",B3082)+1))
)),
VALUE(MID(B3082,FIND("E0",B3082)+2,FIND("T",B3082,FIND("E0",B3082))-(FIND("E0",B3082)+2)))
))),"")</f>
        <v>16</v>
      </c>
      <c r="G3082">
        <f>IFERROR(
IF(ISNUMBER(FIND("T2",B3082)),220,
IF(ISNUMBER(FIND("T4",B3082)),440,
IF(ISNUMBER(FIND("T5",B3082)),575,
IF(ISNUMBER(FIND("T6",B3082)),690,"")))),
"")</f>
        <v>220</v>
      </c>
    </row>
    <row r="3083" spans="1:7" x14ac:dyDescent="0.25">
      <c r="A3083">
        <v>13536872</v>
      </c>
      <c r="B3083" t="str">
        <f>VLOOKUP(A3083,Planilha2!B:C,2,0)</f>
        <v>INVERSOR NACFW110016T2O55Z</v>
      </c>
      <c r="C3083" t="s">
        <v>3169</v>
      </c>
      <c r="D3083" t="str">
        <f>VLOOKUP(A3083,Planilha2!B:H,7,0)</f>
        <v>LINHA M3</v>
      </c>
      <c r="E3083" s="5">
        <v>4500</v>
      </c>
      <c r="F3083">
        <f>IFERROR(
IF(ISNUMBER(FIND("CFW110",B3083)),
VALUE(MID(B3083,FIND("CFW110",B3083)+6,FIND("T",B3083,FIND("CFW110",B3083))-(FIND("CFW110",B3083)+6))),
IF(ISNUMBER(FIND("D",B3083)),
VALUE(SUBSTITUTE(MID(B3083,FIND("D",B3083)+1,FIND("T",B3083,FIND("D",B3083))-(FIND("D",B3083)+1)),"P",",")),
IF(ISNUMBER(FIND("CFW5",B3083)),
VALUE(MID(B3083,
IF(ISNUMBER(FIND("F",B3083)),FIND("F",B3083)+1,FIND("G",B3083)+1),
FIND("T",B3083)-(IF(ISNUMBER(FIND("F",B3083)),FIND("F",B3083)+1,FIND("G",B3083)+1))
)),
VALUE(MID(B3083,FIND("E0",B3083)+2,FIND("T",B3083,FIND("E0",B3083))-(FIND("E0",B3083)+2)))
))),"")</f>
        <v>16</v>
      </c>
      <c r="G3083">
        <f>IFERROR(
IF(ISNUMBER(FIND("T2",B3083)),220,
IF(ISNUMBER(FIND("T4",B3083)),440,
IF(ISNUMBER(FIND("T5",B3083)),575,
IF(ISNUMBER(FIND("T6",B3083)),690,"")))),
"")</f>
        <v>220</v>
      </c>
    </row>
    <row r="3084" spans="1:7" x14ac:dyDescent="0.25">
      <c r="A3084">
        <v>13536873</v>
      </c>
      <c r="B3084" t="str">
        <f>VLOOKUP(A3084,Planilha2!B:C,2,0)</f>
        <v>INVERSOR NACFW110016T2O55DSZ</v>
      </c>
      <c r="C3084" t="s">
        <v>3169</v>
      </c>
      <c r="D3084" t="str">
        <f>VLOOKUP(A3084,Planilha2!B:H,7,0)</f>
        <v>LINHA M3</v>
      </c>
      <c r="E3084" s="5">
        <v>9100</v>
      </c>
      <c r="F3084">
        <f>IFERROR(
IF(ISNUMBER(FIND("CFW110",B3084)),
VALUE(MID(B3084,FIND("CFW110",B3084)+6,FIND("T",B3084,FIND("CFW110",B3084))-(FIND("CFW110",B3084)+6))),
IF(ISNUMBER(FIND("D",B3084)),
VALUE(SUBSTITUTE(MID(B3084,FIND("D",B3084)+1,FIND("T",B3084,FIND("D",B3084))-(FIND("D",B3084)+1)),"P",",")),
IF(ISNUMBER(FIND("CFW5",B3084)),
VALUE(MID(B3084,
IF(ISNUMBER(FIND("F",B3084)),FIND("F",B3084)+1,FIND("G",B3084)+1),
FIND("T",B3084)-(IF(ISNUMBER(FIND("F",B3084)),FIND("F",B3084)+1,FIND("G",B3084)+1))
)),
VALUE(MID(B3084,FIND("E0",B3084)+2,FIND("T",B3084,FIND("E0",B3084))-(FIND("E0",B3084)+2)))
))),"")</f>
        <v>16</v>
      </c>
      <c r="G3084">
        <f>IFERROR(
IF(ISNUMBER(FIND("T2",B3084)),220,
IF(ISNUMBER(FIND("T4",B3084)),440,
IF(ISNUMBER(FIND("T5",B3084)),575,
IF(ISNUMBER(FIND("T6",B3084)),690,"")))),
"")</f>
        <v>220</v>
      </c>
    </row>
    <row r="3085" spans="1:7" x14ac:dyDescent="0.25">
      <c r="A3085">
        <v>13536874</v>
      </c>
      <c r="B3085" t="str">
        <f>VLOOKUP(A3085,Planilha2!B:C,2,0)</f>
        <v>INVERSOR BRCFW110003T4O55Z</v>
      </c>
      <c r="C3085" t="s">
        <v>3169</v>
      </c>
      <c r="D3085" t="str">
        <f>VLOOKUP(A3085,Planilha2!B:H,7,0)</f>
        <v>LINHA M3</v>
      </c>
      <c r="E3085" s="5">
        <v>5050</v>
      </c>
      <c r="F3085">
        <f>IFERROR(
IF(ISNUMBER(FIND("CFW110",B3085)),
VALUE(MID(B3085,FIND("CFW110",B3085)+6,FIND("T",B3085,FIND("CFW110",B3085))-(FIND("CFW110",B3085)+6))),
IF(ISNUMBER(FIND("D",B3085)),
VALUE(SUBSTITUTE(MID(B3085,FIND("D",B3085)+1,FIND("T",B3085,FIND("D",B3085))-(FIND("D",B3085)+1)),"P",",")),
IF(ISNUMBER(FIND("CFW5",B3085)),
VALUE(MID(B3085,
IF(ISNUMBER(FIND("F",B3085)),FIND("F",B3085)+1,FIND("G",B3085)+1),
FIND("T",B3085)-(IF(ISNUMBER(FIND("F",B3085)),FIND("F",B3085)+1,FIND("G",B3085)+1))
)),
VALUE(MID(B3085,FIND("E0",B3085)+2,FIND("T",B3085,FIND("E0",B3085))-(FIND("E0",B3085)+2)))
))),"")</f>
        <v>3</v>
      </c>
      <c r="G3085">
        <f>IFERROR(
IF(ISNUMBER(FIND("T2",B3085)),220,
IF(ISNUMBER(FIND("T4",B3085)),440,
IF(ISNUMBER(FIND("T5",B3085)),575,
IF(ISNUMBER(FIND("T6",B3085)),690,"")))),
"")</f>
        <v>440</v>
      </c>
    </row>
    <row r="3086" spans="1:7" x14ac:dyDescent="0.25">
      <c r="A3086">
        <v>13536876</v>
      </c>
      <c r="B3086" t="str">
        <f>VLOOKUP(A3086,Planilha2!B:C,2,0)</f>
        <v>INVERSOR BRCFW110003T4O55DSZ</v>
      </c>
      <c r="C3086" t="s">
        <v>3169</v>
      </c>
      <c r="D3086" t="str">
        <f>VLOOKUP(A3086,Planilha2!B:H,7,0)</f>
        <v>LINHA M3</v>
      </c>
      <c r="E3086" s="5">
        <v>4500</v>
      </c>
      <c r="F3086">
        <f>IFERROR(
IF(ISNUMBER(FIND("CFW110",B3086)),
VALUE(MID(B3086,FIND("CFW110",B3086)+6,FIND("T",B3086,FIND("CFW110",B3086))-(FIND("CFW110",B3086)+6))),
IF(ISNUMBER(FIND("D",B3086)),
VALUE(SUBSTITUTE(MID(B3086,FIND("D",B3086)+1,FIND("T",B3086,FIND("D",B3086))-(FIND("D",B3086)+1)),"P",",")),
IF(ISNUMBER(FIND("CFW5",B3086)),
VALUE(MID(B3086,
IF(ISNUMBER(FIND("F",B3086)),FIND("F",B3086)+1,FIND("G",B3086)+1),
FIND("T",B3086)-(IF(ISNUMBER(FIND("F",B3086)),FIND("F",B3086)+1,FIND("G",B3086)+1))
)),
VALUE(MID(B3086,FIND("E0",B3086)+2,FIND("T",B3086,FIND("E0",B3086))-(FIND("E0",B3086)+2)))
))),"")</f>
        <v>3</v>
      </c>
      <c r="G3086">
        <f>IFERROR(
IF(ISNUMBER(FIND("T2",B3086)),220,
IF(ISNUMBER(FIND("T4",B3086)),440,
IF(ISNUMBER(FIND("T5",B3086)),575,
IF(ISNUMBER(FIND("T6",B3086)),690,"")))),
"")</f>
        <v>440</v>
      </c>
    </row>
    <row r="3087" spans="1:7" x14ac:dyDescent="0.25">
      <c r="A3087">
        <v>13536877</v>
      </c>
      <c r="B3087" t="str">
        <f>VLOOKUP(A3087,Planilha2!B:C,2,0)</f>
        <v>INVERSOR EUCFW110003T4O55FAZ</v>
      </c>
      <c r="C3087" t="s">
        <v>3169</v>
      </c>
      <c r="D3087" t="str">
        <f>VLOOKUP(A3087,Planilha2!B:H,7,0)</f>
        <v>LINHA M3</v>
      </c>
      <c r="E3087" s="5">
        <v>4500</v>
      </c>
      <c r="F3087">
        <f>IFERROR(
IF(ISNUMBER(FIND("CFW110",B3087)),
VALUE(MID(B3087,FIND("CFW110",B3087)+6,FIND("T",B3087,FIND("CFW110",B3087))-(FIND("CFW110",B3087)+6))),
IF(ISNUMBER(FIND("D",B3087)),
VALUE(SUBSTITUTE(MID(B3087,FIND("D",B3087)+1,FIND("T",B3087,FIND("D",B3087))-(FIND("D",B3087)+1)),"P",",")),
IF(ISNUMBER(FIND("CFW5",B3087)),
VALUE(MID(B3087,
IF(ISNUMBER(FIND("F",B3087)),FIND("F",B3087)+1,FIND("G",B3087)+1),
FIND("T",B3087)-(IF(ISNUMBER(FIND("F",B3087)),FIND("F",B3087)+1,FIND("G",B3087)+1))
)),
VALUE(MID(B3087,FIND("E0",B3087)+2,FIND("T",B3087,FIND("E0",B3087))-(FIND("E0",B3087)+2)))
))),"")</f>
        <v>3</v>
      </c>
      <c r="G3087">
        <f>IFERROR(
IF(ISNUMBER(FIND("T2",B3087)),220,
IF(ISNUMBER(FIND("T4",B3087)),440,
IF(ISNUMBER(FIND("T5",B3087)),575,
IF(ISNUMBER(FIND("T6",B3087)),690,"")))),
"")</f>
        <v>440</v>
      </c>
    </row>
    <row r="3088" spans="1:7" x14ac:dyDescent="0.25">
      <c r="A3088">
        <v>13536908</v>
      </c>
      <c r="B3088" t="str">
        <f>VLOOKUP(A3088,Planilha2!B:C,2,0)</f>
        <v>INVERSOR EUCFW110003T4O55FADSZ</v>
      </c>
      <c r="C3088" t="s">
        <v>3169</v>
      </c>
      <c r="D3088" t="str">
        <f>VLOOKUP(A3088,Planilha2!B:H,7,0)</f>
        <v>LINHA M3</v>
      </c>
      <c r="E3088" s="5">
        <v>4500</v>
      </c>
      <c r="F3088">
        <f>IFERROR(
IF(ISNUMBER(FIND("CFW110",B3088)),
VALUE(MID(B3088,FIND("CFW110",B3088)+6,FIND("T",B3088,FIND("CFW110",B3088))-(FIND("CFW110",B3088)+6))),
IF(ISNUMBER(FIND("D",B3088)),
VALUE(SUBSTITUTE(MID(B3088,FIND("D",B3088)+1,FIND("T",B3088,FIND("D",B3088))-(FIND("D",B3088)+1)),"P",",")),
IF(ISNUMBER(FIND("CFW5",B3088)),
VALUE(MID(B3088,
IF(ISNUMBER(FIND("F",B3088)),FIND("F",B3088)+1,FIND("G",B3088)+1),
FIND("T",B3088)-(IF(ISNUMBER(FIND("F",B3088)),FIND("F",B3088)+1,FIND("G",B3088)+1))
)),
VALUE(MID(B3088,FIND("E0",B3088)+2,FIND("T",B3088,FIND("E0",B3088))-(FIND("E0",B3088)+2)))
))),"")</f>
        <v>3</v>
      </c>
      <c r="G3088">
        <f>IFERROR(
IF(ISNUMBER(FIND("T2",B3088)),220,
IF(ISNUMBER(FIND("T4",B3088)),440,
IF(ISNUMBER(FIND("T5",B3088)),575,
IF(ISNUMBER(FIND("T6",B3088)),690,"")))),
"")</f>
        <v>440</v>
      </c>
    </row>
    <row r="3089" spans="1:7" x14ac:dyDescent="0.25">
      <c r="A3089">
        <v>13536909</v>
      </c>
      <c r="B3089" t="str">
        <f>VLOOKUP(A3089,Planilha2!B:C,2,0)</f>
        <v>INVERSOR BRCFW110005T4O55Z</v>
      </c>
      <c r="C3089" t="s">
        <v>3169</v>
      </c>
      <c r="D3089" t="str">
        <f>VLOOKUP(A3089,Planilha2!B:H,7,0)</f>
        <v>LINHA M3</v>
      </c>
      <c r="E3089" s="5">
        <v>4500</v>
      </c>
      <c r="F3089">
        <f>IFERROR(
IF(ISNUMBER(FIND("CFW110",B3089)),
VALUE(MID(B3089,FIND("CFW110",B3089)+6,FIND("T",B3089,FIND("CFW110",B3089))-(FIND("CFW110",B3089)+6))),
IF(ISNUMBER(FIND("D",B3089)),
VALUE(SUBSTITUTE(MID(B3089,FIND("D",B3089)+1,FIND("T",B3089,FIND("D",B3089))-(FIND("D",B3089)+1)),"P",",")),
IF(ISNUMBER(FIND("CFW5",B3089)),
VALUE(MID(B3089,
IF(ISNUMBER(FIND("F",B3089)),FIND("F",B3089)+1,FIND("G",B3089)+1),
FIND("T",B3089)-(IF(ISNUMBER(FIND("F",B3089)),FIND("F",B3089)+1,FIND("G",B3089)+1))
)),
VALUE(MID(B3089,FIND("E0",B3089)+2,FIND("T",B3089,FIND("E0",B3089))-(FIND("E0",B3089)+2)))
))),"")</f>
        <v>5</v>
      </c>
      <c r="G3089">
        <f>IFERROR(
IF(ISNUMBER(FIND("T2",B3089)),220,
IF(ISNUMBER(FIND("T4",B3089)),440,
IF(ISNUMBER(FIND("T5",B3089)),575,
IF(ISNUMBER(FIND("T6",B3089)),690,"")))),
"")</f>
        <v>440</v>
      </c>
    </row>
    <row r="3090" spans="1:7" x14ac:dyDescent="0.25">
      <c r="A3090">
        <v>13536910</v>
      </c>
      <c r="B3090" t="str">
        <f>VLOOKUP(A3090,Planilha2!B:C,2,0)</f>
        <v>INVERSOR BRCFW110005T4O55DSZ</v>
      </c>
      <c r="C3090" t="s">
        <v>3169</v>
      </c>
      <c r="D3090" t="str">
        <f>VLOOKUP(A3090,Planilha2!B:H,7,0)</f>
        <v>LINHA M3</v>
      </c>
      <c r="E3090" s="5">
        <v>4500</v>
      </c>
      <c r="F3090">
        <f>IFERROR(
IF(ISNUMBER(FIND("CFW110",B3090)),
VALUE(MID(B3090,FIND("CFW110",B3090)+6,FIND("T",B3090,FIND("CFW110",B3090))-(FIND("CFW110",B3090)+6))),
IF(ISNUMBER(FIND("D",B3090)),
VALUE(SUBSTITUTE(MID(B3090,FIND("D",B3090)+1,FIND("T",B3090,FIND("D",B3090))-(FIND("D",B3090)+1)),"P",",")),
IF(ISNUMBER(FIND("CFW5",B3090)),
VALUE(MID(B3090,
IF(ISNUMBER(FIND("F",B3090)),FIND("F",B3090)+1,FIND("G",B3090)+1),
FIND("T",B3090)-(IF(ISNUMBER(FIND("F",B3090)),FIND("F",B3090)+1,FIND("G",B3090)+1))
)),
VALUE(MID(B3090,FIND("E0",B3090)+2,FIND("T",B3090,FIND("E0",B3090))-(FIND("E0",B3090)+2)))
))),"")</f>
        <v>5</v>
      </c>
      <c r="G3090">
        <f>IFERROR(
IF(ISNUMBER(FIND("T2",B3090)),220,
IF(ISNUMBER(FIND("T4",B3090)),440,
IF(ISNUMBER(FIND("T5",B3090)),575,
IF(ISNUMBER(FIND("T6",B3090)),690,"")))),
"")</f>
        <v>440</v>
      </c>
    </row>
    <row r="3091" spans="1:7" x14ac:dyDescent="0.25">
      <c r="A3091">
        <v>13536912</v>
      </c>
      <c r="B3091" t="str">
        <f>VLOOKUP(A3091,Planilha2!B:C,2,0)</f>
        <v>INVERSOR EUCFW110005T4O55FAZ</v>
      </c>
      <c r="C3091" t="s">
        <v>3169</v>
      </c>
      <c r="D3091" t="str">
        <f>VLOOKUP(A3091,Planilha2!B:H,7,0)</f>
        <v>LINHA M3</v>
      </c>
      <c r="E3091" s="5">
        <v>4500</v>
      </c>
      <c r="F3091">
        <f>IFERROR(
IF(ISNUMBER(FIND("CFW110",B3091)),
VALUE(MID(B3091,FIND("CFW110",B3091)+6,FIND("T",B3091,FIND("CFW110",B3091))-(FIND("CFW110",B3091)+6))),
IF(ISNUMBER(FIND("D",B3091)),
VALUE(SUBSTITUTE(MID(B3091,FIND("D",B3091)+1,FIND("T",B3091,FIND("D",B3091))-(FIND("D",B3091)+1)),"P",",")),
IF(ISNUMBER(FIND("CFW5",B3091)),
VALUE(MID(B3091,
IF(ISNUMBER(FIND("F",B3091)),FIND("F",B3091)+1,FIND("G",B3091)+1),
FIND("T",B3091)-(IF(ISNUMBER(FIND("F",B3091)),FIND("F",B3091)+1,FIND("G",B3091)+1))
)),
VALUE(MID(B3091,FIND("E0",B3091)+2,FIND("T",B3091,FIND("E0",B3091))-(FIND("E0",B3091)+2)))
))),"")</f>
        <v>5</v>
      </c>
      <c r="G3091">
        <f>IFERROR(
IF(ISNUMBER(FIND("T2",B3091)),220,
IF(ISNUMBER(FIND("T4",B3091)),440,
IF(ISNUMBER(FIND("T5",B3091)),575,
IF(ISNUMBER(FIND("T6",B3091)),690,"")))),
"")</f>
        <v>440</v>
      </c>
    </row>
    <row r="3092" spans="1:7" x14ac:dyDescent="0.25">
      <c r="A3092">
        <v>13536914</v>
      </c>
      <c r="B3092" t="str">
        <f>VLOOKUP(A3092,Planilha2!B:C,2,0)</f>
        <v>INVERSOR EUCFW110005T4O55FADSZ</v>
      </c>
      <c r="C3092" t="s">
        <v>3169</v>
      </c>
      <c r="D3092" t="str">
        <f>VLOOKUP(A3092,Planilha2!B:H,7,0)</f>
        <v>LINHA M3</v>
      </c>
      <c r="E3092" s="5">
        <v>4500</v>
      </c>
      <c r="F3092">
        <f>IFERROR(
IF(ISNUMBER(FIND("CFW110",B3092)),
VALUE(MID(B3092,FIND("CFW110",B3092)+6,FIND("T",B3092,FIND("CFW110",B3092))-(FIND("CFW110",B3092)+6))),
IF(ISNUMBER(FIND("D",B3092)),
VALUE(SUBSTITUTE(MID(B3092,FIND("D",B3092)+1,FIND("T",B3092,FIND("D",B3092))-(FIND("D",B3092)+1)),"P",",")),
IF(ISNUMBER(FIND("CFW5",B3092)),
VALUE(MID(B3092,
IF(ISNUMBER(FIND("F",B3092)),FIND("F",B3092)+1,FIND("G",B3092)+1),
FIND("T",B3092)-(IF(ISNUMBER(FIND("F",B3092)),FIND("F",B3092)+1,FIND("G",B3092)+1))
)),
VALUE(MID(B3092,FIND("E0",B3092)+2,FIND("T",B3092,FIND("E0",B3092))-(FIND("E0",B3092)+2)))
))),"")</f>
        <v>5</v>
      </c>
      <c r="G3092">
        <f>IFERROR(
IF(ISNUMBER(FIND("T2",B3092)),220,
IF(ISNUMBER(FIND("T4",B3092)),440,
IF(ISNUMBER(FIND("T5",B3092)),575,
IF(ISNUMBER(FIND("T6",B3092)),690,"")))),
"")</f>
        <v>440</v>
      </c>
    </row>
    <row r="3093" spans="1:7" x14ac:dyDescent="0.25">
      <c r="A3093">
        <v>13536915</v>
      </c>
      <c r="B3093" t="str">
        <f>VLOOKUP(A3093,Planilha2!B:C,2,0)</f>
        <v>INVERSOR BRCFW110007T4O55Z</v>
      </c>
      <c r="C3093" t="s">
        <v>3169</v>
      </c>
      <c r="D3093" t="str">
        <f>VLOOKUP(A3093,Planilha2!B:H,7,0)</f>
        <v>LINHA M3</v>
      </c>
      <c r="E3093" s="5">
        <v>4500</v>
      </c>
      <c r="F3093">
        <f>IFERROR(
IF(ISNUMBER(FIND("CFW110",B3093)),
VALUE(MID(B3093,FIND("CFW110",B3093)+6,FIND("T",B3093,FIND("CFW110",B3093))-(FIND("CFW110",B3093)+6))),
IF(ISNUMBER(FIND("D",B3093)),
VALUE(SUBSTITUTE(MID(B3093,FIND("D",B3093)+1,FIND("T",B3093,FIND("D",B3093))-(FIND("D",B3093)+1)),"P",",")),
IF(ISNUMBER(FIND("CFW5",B3093)),
VALUE(MID(B3093,
IF(ISNUMBER(FIND("F",B3093)),FIND("F",B3093)+1,FIND("G",B3093)+1),
FIND("T",B3093)-(IF(ISNUMBER(FIND("F",B3093)),FIND("F",B3093)+1,FIND("G",B3093)+1))
)),
VALUE(MID(B3093,FIND("E0",B3093)+2,FIND("T",B3093,FIND("E0",B3093))-(FIND("E0",B3093)+2)))
))),"")</f>
        <v>7</v>
      </c>
      <c r="G3093">
        <f>IFERROR(
IF(ISNUMBER(FIND("T2",B3093)),220,
IF(ISNUMBER(FIND("T4",B3093)),440,
IF(ISNUMBER(FIND("T5",B3093)),575,
IF(ISNUMBER(FIND("T6",B3093)),690,"")))),
"")</f>
        <v>440</v>
      </c>
    </row>
    <row r="3094" spans="1:7" x14ac:dyDescent="0.25">
      <c r="A3094">
        <v>13536916</v>
      </c>
      <c r="B3094" t="str">
        <f>VLOOKUP(A3094,Planilha2!B:C,2,0)</f>
        <v>INVERSOR BRCFW110007T4O55DSZ</v>
      </c>
      <c r="C3094" t="s">
        <v>3169</v>
      </c>
      <c r="D3094" t="str">
        <f>VLOOKUP(A3094,Planilha2!B:H,7,0)</f>
        <v>LINHA M3</v>
      </c>
      <c r="E3094" s="5">
        <v>4500</v>
      </c>
      <c r="F3094">
        <f>IFERROR(
IF(ISNUMBER(FIND("CFW110",B3094)),
VALUE(MID(B3094,FIND("CFW110",B3094)+6,FIND("T",B3094,FIND("CFW110",B3094))-(FIND("CFW110",B3094)+6))),
IF(ISNUMBER(FIND("D",B3094)),
VALUE(SUBSTITUTE(MID(B3094,FIND("D",B3094)+1,FIND("T",B3094,FIND("D",B3094))-(FIND("D",B3094)+1)),"P",",")),
IF(ISNUMBER(FIND("CFW5",B3094)),
VALUE(MID(B3094,
IF(ISNUMBER(FIND("F",B3094)),FIND("F",B3094)+1,FIND("G",B3094)+1),
FIND("T",B3094)-(IF(ISNUMBER(FIND("F",B3094)),FIND("F",B3094)+1,FIND("G",B3094)+1))
)),
VALUE(MID(B3094,FIND("E0",B3094)+2,FIND("T",B3094,FIND("E0",B3094))-(FIND("E0",B3094)+2)))
))),"")</f>
        <v>7</v>
      </c>
      <c r="G3094">
        <f>IFERROR(
IF(ISNUMBER(FIND("T2",B3094)),220,
IF(ISNUMBER(FIND("T4",B3094)),440,
IF(ISNUMBER(FIND("T5",B3094)),575,
IF(ISNUMBER(FIND("T6",B3094)),690,"")))),
"")</f>
        <v>440</v>
      </c>
    </row>
    <row r="3095" spans="1:7" x14ac:dyDescent="0.25">
      <c r="A3095">
        <v>13536939</v>
      </c>
      <c r="B3095" t="str">
        <f>VLOOKUP(A3095,Planilha2!B:C,2,0)</f>
        <v>INVERSOR EUCFW110007T4O55FAZ</v>
      </c>
      <c r="C3095" t="s">
        <v>3169</v>
      </c>
      <c r="D3095" t="str">
        <f>VLOOKUP(A3095,Planilha2!B:H,7,0)</f>
        <v>LINHA M3</v>
      </c>
      <c r="E3095" s="5">
        <v>4500</v>
      </c>
      <c r="F3095">
        <f>IFERROR(
IF(ISNUMBER(FIND("CFW110",B3095)),
VALUE(MID(B3095,FIND("CFW110",B3095)+6,FIND("T",B3095,FIND("CFW110",B3095))-(FIND("CFW110",B3095)+6))),
IF(ISNUMBER(FIND("D",B3095)),
VALUE(SUBSTITUTE(MID(B3095,FIND("D",B3095)+1,FIND("T",B3095,FIND("D",B3095))-(FIND("D",B3095)+1)),"P",",")),
IF(ISNUMBER(FIND("CFW5",B3095)),
VALUE(MID(B3095,
IF(ISNUMBER(FIND("F",B3095)),FIND("F",B3095)+1,FIND("G",B3095)+1),
FIND("T",B3095)-(IF(ISNUMBER(FIND("F",B3095)),FIND("F",B3095)+1,FIND("G",B3095)+1))
)),
VALUE(MID(B3095,FIND("E0",B3095)+2,FIND("T",B3095,FIND("E0",B3095))-(FIND("E0",B3095)+2)))
))),"")</f>
        <v>7</v>
      </c>
      <c r="G3095">
        <f>IFERROR(
IF(ISNUMBER(FIND("T2",B3095)),220,
IF(ISNUMBER(FIND("T4",B3095)),440,
IF(ISNUMBER(FIND("T5",B3095)),575,
IF(ISNUMBER(FIND("T6",B3095)),690,"")))),
"")</f>
        <v>440</v>
      </c>
    </row>
    <row r="3096" spans="1:7" x14ac:dyDescent="0.25">
      <c r="A3096">
        <v>13536940</v>
      </c>
      <c r="B3096" t="str">
        <f>VLOOKUP(A3096,Planilha2!B:C,2,0)</f>
        <v>INVERSOR EUCFW110007T4O55FADSZ</v>
      </c>
      <c r="C3096" t="s">
        <v>3169</v>
      </c>
      <c r="D3096" t="str">
        <f>VLOOKUP(A3096,Planilha2!B:H,7,0)</f>
        <v>LINHA M3</v>
      </c>
      <c r="E3096" s="5">
        <v>8700</v>
      </c>
      <c r="F3096">
        <f>IFERROR(
IF(ISNUMBER(FIND("CFW110",B3096)),
VALUE(MID(B3096,FIND("CFW110",B3096)+6,FIND("T",B3096,FIND("CFW110",B3096))-(FIND("CFW110",B3096)+6))),
IF(ISNUMBER(FIND("D",B3096)),
VALUE(SUBSTITUTE(MID(B3096,FIND("D",B3096)+1,FIND("T",B3096,FIND("D",B3096))-(FIND("D",B3096)+1)),"P",",")),
IF(ISNUMBER(FIND("CFW5",B3096)),
VALUE(MID(B3096,
IF(ISNUMBER(FIND("F",B3096)),FIND("F",B3096)+1,FIND("G",B3096)+1),
FIND("T",B3096)-(IF(ISNUMBER(FIND("F",B3096)),FIND("F",B3096)+1,FIND("G",B3096)+1))
)),
VALUE(MID(B3096,FIND("E0",B3096)+2,FIND("T",B3096,FIND("E0",B3096))-(FIND("E0",B3096)+2)))
))),"")</f>
        <v>7</v>
      </c>
      <c r="G3096">
        <f>IFERROR(
IF(ISNUMBER(FIND("T2",B3096)),220,
IF(ISNUMBER(FIND("T4",B3096)),440,
IF(ISNUMBER(FIND("T5",B3096)),575,
IF(ISNUMBER(FIND("T6",B3096)),690,"")))),
"")</f>
        <v>440</v>
      </c>
    </row>
    <row r="3097" spans="1:7" x14ac:dyDescent="0.25">
      <c r="A3097">
        <v>13536941</v>
      </c>
      <c r="B3097" t="str">
        <f>VLOOKUP(A3097,Planilha2!B:C,2,0)</f>
        <v>INVERSOR BRCFW110010T4O55Z</v>
      </c>
      <c r="C3097" t="s">
        <v>3169</v>
      </c>
      <c r="D3097" t="str">
        <f>VLOOKUP(A3097,Planilha2!B:H,7,0)</f>
        <v>LINHA M3</v>
      </c>
      <c r="E3097" s="5">
        <v>6000</v>
      </c>
      <c r="F3097">
        <f>IFERROR(
IF(ISNUMBER(FIND("CFW110",B3097)),
VALUE(MID(B3097,FIND("CFW110",B3097)+6,FIND("T",B3097,FIND("CFW110",B3097))-(FIND("CFW110",B3097)+6))),
IF(ISNUMBER(FIND("D",B3097)),
VALUE(SUBSTITUTE(MID(B3097,FIND("D",B3097)+1,FIND("T",B3097,FIND("D",B3097))-(FIND("D",B3097)+1)),"P",",")),
IF(ISNUMBER(FIND("CFW5",B3097)),
VALUE(MID(B3097,
IF(ISNUMBER(FIND("F",B3097)),FIND("F",B3097)+1,FIND("G",B3097)+1),
FIND("T",B3097)-(IF(ISNUMBER(FIND("F",B3097)),FIND("F",B3097)+1,FIND("G",B3097)+1))
)),
VALUE(MID(B3097,FIND("E0",B3097)+2,FIND("T",B3097,FIND("E0",B3097))-(FIND("E0",B3097)+2)))
))),"")</f>
        <v>10</v>
      </c>
      <c r="G3097">
        <f>IFERROR(
IF(ISNUMBER(FIND("T2",B3097)),220,
IF(ISNUMBER(FIND("T4",B3097)),440,
IF(ISNUMBER(FIND("T5",B3097)),575,
IF(ISNUMBER(FIND("T6",B3097)),690,"")))),
"")</f>
        <v>440</v>
      </c>
    </row>
    <row r="3098" spans="1:7" x14ac:dyDescent="0.25">
      <c r="A3098">
        <v>13536942</v>
      </c>
      <c r="B3098" t="str">
        <f>VLOOKUP(A3098,Planilha2!B:C,2,0)</f>
        <v>INVERSOR BRCFW110010T4O55DSZ</v>
      </c>
      <c r="C3098" t="s">
        <v>3169</v>
      </c>
      <c r="D3098" t="str">
        <f>VLOOKUP(A3098,Planilha2!B:H,7,0)</f>
        <v>LINHA M3</v>
      </c>
      <c r="E3098" s="5">
        <v>4500</v>
      </c>
      <c r="F3098">
        <f>IFERROR(
IF(ISNUMBER(FIND("CFW110",B3098)),
VALUE(MID(B3098,FIND("CFW110",B3098)+6,FIND("T",B3098,FIND("CFW110",B3098))-(FIND("CFW110",B3098)+6))),
IF(ISNUMBER(FIND("D",B3098)),
VALUE(SUBSTITUTE(MID(B3098,FIND("D",B3098)+1,FIND("T",B3098,FIND("D",B3098))-(FIND("D",B3098)+1)),"P",",")),
IF(ISNUMBER(FIND("CFW5",B3098)),
VALUE(MID(B3098,
IF(ISNUMBER(FIND("F",B3098)),FIND("F",B3098)+1,FIND("G",B3098)+1),
FIND("T",B3098)-(IF(ISNUMBER(FIND("F",B3098)),FIND("F",B3098)+1,FIND("G",B3098)+1))
)),
VALUE(MID(B3098,FIND("E0",B3098)+2,FIND("T",B3098,FIND("E0",B3098))-(FIND("E0",B3098)+2)))
))),"")</f>
        <v>10</v>
      </c>
      <c r="G3098">
        <f>IFERROR(
IF(ISNUMBER(FIND("T2",B3098)),220,
IF(ISNUMBER(FIND("T4",B3098)),440,
IF(ISNUMBER(FIND("T5",B3098)),575,
IF(ISNUMBER(FIND("T6",B3098)),690,"")))),
"")</f>
        <v>440</v>
      </c>
    </row>
    <row r="3099" spans="1:7" x14ac:dyDescent="0.25">
      <c r="A3099">
        <v>13536944</v>
      </c>
      <c r="B3099" t="str">
        <f>VLOOKUP(A3099,Planilha2!B:C,2,0)</f>
        <v>INVERSOR EUCFW110010T4O55FADSZ</v>
      </c>
      <c r="C3099" t="s">
        <v>3169</v>
      </c>
      <c r="D3099" t="str">
        <f>VLOOKUP(A3099,Planilha2!B:H,7,0)</f>
        <v>LINHA M3</v>
      </c>
      <c r="E3099" s="5">
        <v>4500</v>
      </c>
      <c r="F3099">
        <f>IFERROR(
IF(ISNUMBER(FIND("CFW110",B3099)),
VALUE(MID(B3099,FIND("CFW110",B3099)+6,FIND("T",B3099,FIND("CFW110",B3099))-(FIND("CFW110",B3099)+6))),
IF(ISNUMBER(FIND("D",B3099)),
VALUE(SUBSTITUTE(MID(B3099,FIND("D",B3099)+1,FIND("T",B3099,FIND("D",B3099))-(FIND("D",B3099)+1)),"P",",")),
IF(ISNUMBER(FIND("CFW5",B3099)),
VALUE(MID(B3099,
IF(ISNUMBER(FIND("F",B3099)),FIND("F",B3099)+1,FIND("G",B3099)+1),
FIND("T",B3099)-(IF(ISNUMBER(FIND("F",B3099)),FIND("F",B3099)+1,FIND("G",B3099)+1))
)),
VALUE(MID(B3099,FIND("E0",B3099)+2,FIND("T",B3099,FIND("E0",B3099))-(FIND("E0",B3099)+2)))
))),"")</f>
        <v>10</v>
      </c>
      <c r="G3099">
        <f>IFERROR(
IF(ISNUMBER(FIND("T2",B3099)),220,
IF(ISNUMBER(FIND("T4",B3099)),440,
IF(ISNUMBER(FIND("T5",B3099)),575,
IF(ISNUMBER(FIND("T6",B3099)),690,"")))),
"")</f>
        <v>440</v>
      </c>
    </row>
    <row r="3100" spans="1:7" x14ac:dyDescent="0.25">
      <c r="A3100">
        <v>13536947</v>
      </c>
      <c r="B3100" t="str">
        <f>VLOOKUP(A3100,Planilha2!B:C,2,0)</f>
        <v>INVERSOR BRCFW110013T4O55Z</v>
      </c>
      <c r="C3100" t="s">
        <v>3169</v>
      </c>
      <c r="D3100" t="str">
        <f>VLOOKUP(A3100,Planilha2!B:H,7,0)</f>
        <v>LINHA M3</v>
      </c>
      <c r="E3100" s="5">
        <v>4500</v>
      </c>
      <c r="F3100">
        <f>IFERROR(
IF(ISNUMBER(FIND("CFW110",B3100)),
VALUE(MID(B3100,FIND("CFW110",B3100)+6,FIND("T",B3100,FIND("CFW110",B3100))-(FIND("CFW110",B3100)+6))),
IF(ISNUMBER(FIND("D",B3100)),
VALUE(SUBSTITUTE(MID(B3100,FIND("D",B3100)+1,FIND("T",B3100,FIND("D",B3100))-(FIND("D",B3100)+1)),"P",",")),
IF(ISNUMBER(FIND("CFW5",B3100)),
VALUE(MID(B3100,
IF(ISNUMBER(FIND("F",B3100)),FIND("F",B3100)+1,FIND("G",B3100)+1),
FIND("T",B3100)-(IF(ISNUMBER(FIND("F",B3100)),FIND("F",B3100)+1,FIND("G",B3100)+1))
)),
VALUE(MID(B3100,FIND("E0",B3100)+2,FIND("T",B3100,FIND("E0",B3100))-(FIND("E0",B3100)+2)))
))),"")</f>
        <v>13</v>
      </c>
      <c r="G3100">
        <f>IFERROR(
IF(ISNUMBER(FIND("T2",B3100)),220,
IF(ISNUMBER(FIND("T4",B3100)),440,
IF(ISNUMBER(FIND("T5",B3100)),575,
IF(ISNUMBER(FIND("T6",B3100)),690,"")))),
"")</f>
        <v>440</v>
      </c>
    </row>
    <row r="3101" spans="1:7" x14ac:dyDescent="0.25">
      <c r="A3101">
        <v>13536968</v>
      </c>
      <c r="B3101" t="str">
        <f>VLOOKUP(A3101,Planilha2!B:C,2,0)</f>
        <v>INVERSOR BRCFW110013T4O55DSZ</v>
      </c>
      <c r="C3101" t="s">
        <v>3169</v>
      </c>
      <c r="D3101" t="str">
        <f>VLOOKUP(A3101,Planilha2!B:H,7,0)</f>
        <v>LINHA M3</v>
      </c>
      <c r="E3101" s="5">
        <v>4500</v>
      </c>
      <c r="F3101">
        <f>IFERROR(
IF(ISNUMBER(FIND("CFW110",B3101)),
VALUE(MID(B3101,FIND("CFW110",B3101)+6,FIND("T",B3101,FIND("CFW110",B3101))-(FIND("CFW110",B3101)+6))),
IF(ISNUMBER(FIND("D",B3101)),
VALUE(SUBSTITUTE(MID(B3101,FIND("D",B3101)+1,FIND("T",B3101,FIND("D",B3101))-(FIND("D",B3101)+1)),"P",",")),
IF(ISNUMBER(FIND("CFW5",B3101)),
VALUE(MID(B3101,
IF(ISNUMBER(FIND("F",B3101)),FIND("F",B3101)+1,FIND("G",B3101)+1),
FIND("T",B3101)-(IF(ISNUMBER(FIND("F",B3101)),FIND("F",B3101)+1,FIND("G",B3101)+1))
)),
VALUE(MID(B3101,FIND("E0",B3101)+2,FIND("T",B3101,FIND("E0",B3101))-(FIND("E0",B3101)+2)))
))),"")</f>
        <v>13</v>
      </c>
      <c r="G3101">
        <f>IFERROR(
IF(ISNUMBER(FIND("T2",B3101)),220,
IF(ISNUMBER(FIND("T4",B3101)),440,
IF(ISNUMBER(FIND("T5",B3101)),575,
IF(ISNUMBER(FIND("T6",B3101)),690,"")))),
"")</f>
        <v>440</v>
      </c>
    </row>
    <row r="3102" spans="1:7" x14ac:dyDescent="0.25">
      <c r="A3102">
        <v>13536969</v>
      </c>
      <c r="B3102" t="str">
        <f>VLOOKUP(A3102,Planilha2!B:C,2,0)</f>
        <v>INVERSOR EUCFW110013T4O55FAZ</v>
      </c>
      <c r="C3102" t="s">
        <v>3169</v>
      </c>
      <c r="D3102" t="str">
        <f>VLOOKUP(A3102,Planilha2!B:H,7,0)</f>
        <v>LINHA M3</v>
      </c>
      <c r="E3102" s="5">
        <v>4500</v>
      </c>
      <c r="F3102">
        <f>IFERROR(
IF(ISNUMBER(FIND("CFW110",B3102)),
VALUE(MID(B3102,FIND("CFW110",B3102)+6,FIND("T",B3102,FIND("CFW110",B3102))-(FIND("CFW110",B3102)+6))),
IF(ISNUMBER(FIND("D",B3102)),
VALUE(SUBSTITUTE(MID(B3102,FIND("D",B3102)+1,FIND("T",B3102,FIND("D",B3102))-(FIND("D",B3102)+1)),"P",",")),
IF(ISNUMBER(FIND("CFW5",B3102)),
VALUE(MID(B3102,
IF(ISNUMBER(FIND("F",B3102)),FIND("F",B3102)+1,FIND("G",B3102)+1),
FIND("T",B3102)-(IF(ISNUMBER(FIND("F",B3102)),FIND("F",B3102)+1,FIND("G",B3102)+1))
)),
VALUE(MID(B3102,FIND("E0",B3102)+2,FIND("T",B3102,FIND("E0",B3102))-(FIND("E0",B3102)+2)))
))),"")</f>
        <v>13</v>
      </c>
      <c r="G3102">
        <f>IFERROR(
IF(ISNUMBER(FIND("T2",B3102)),220,
IF(ISNUMBER(FIND("T4",B3102)),440,
IF(ISNUMBER(FIND("T5",B3102)),575,
IF(ISNUMBER(FIND("T6",B3102)),690,"")))),
"")</f>
        <v>440</v>
      </c>
    </row>
    <row r="3103" spans="1:7" x14ac:dyDescent="0.25">
      <c r="A3103">
        <v>13536970</v>
      </c>
      <c r="B3103" t="str">
        <f>VLOOKUP(A3103,Planilha2!B:C,2,0)</f>
        <v>INVERSOR EUCFW110013T4O55FADSZ</v>
      </c>
      <c r="C3103" t="s">
        <v>3169</v>
      </c>
      <c r="D3103" t="str">
        <f>VLOOKUP(A3103,Planilha2!B:H,7,0)</f>
        <v>LINHA M3</v>
      </c>
      <c r="E3103" s="5">
        <v>13712</v>
      </c>
      <c r="F3103">
        <f>IFERROR(
IF(ISNUMBER(FIND("CFW110",B3103)),
VALUE(MID(B3103,FIND("CFW110",B3103)+6,FIND("T",B3103,FIND("CFW110",B3103))-(FIND("CFW110",B3103)+6))),
IF(ISNUMBER(FIND("D",B3103)),
VALUE(SUBSTITUTE(MID(B3103,FIND("D",B3103)+1,FIND("T",B3103,FIND("D",B3103))-(FIND("D",B3103)+1)),"P",",")),
IF(ISNUMBER(FIND("CFW5",B3103)),
VALUE(MID(B3103,
IF(ISNUMBER(FIND("F",B3103)),FIND("F",B3103)+1,FIND("G",B3103)+1),
FIND("T",B3103)-(IF(ISNUMBER(FIND("F",B3103)),FIND("F",B3103)+1,FIND("G",B3103)+1))
)),
VALUE(MID(B3103,FIND("E0",B3103)+2,FIND("T",B3103,FIND("E0",B3103))-(FIND("E0",B3103)+2)))
))),"")</f>
        <v>13</v>
      </c>
      <c r="G3103">
        <f>IFERROR(
IF(ISNUMBER(FIND("T2",B3103)),220,
IF(ISNUMBER(FIND("T4",B3103)),440,
IF(ISNUMBER(FIND("T5",B3103)),575,
IF(ISNUMBER(FIND("T6",B3103)),690,"")))),
"")</f>
        <v>440</v>
      </c>
    </row>
    <row r="3104" spans="1:7" x14ac:dyDescent="0.25">
      <c r="A3104">
        <v>13537270</v>
      </c>
      <c r="B3104" t="str">
        <f>VLOOKUP(A3104,Planilha2!B:C,2,0)</f>
        <v>INVERSOR BRCFW110024T2O55Z</v>
      </c>
      <c r="C3104" t="s">
        <v>3169</v>
      </c>
      <c r="D3104" t="str">
        <f>VLOOKUP(A3104,Planilha2!B:H,7,0)</f>
        <v>LINHA M3</v>
      </c>
      <c r="E3104" s="5">
        <v>9100</v>
      </c>
      <c r="F3104">
        <f>IFERROR(
IF(ISNUMBER(FIND("CFW110",B3104)),
VALUE(MID(B3104,FIND("CFW110",B3104)+6,FIND("T",B3104,FIND("CFW110",B3104))-(FIND("CFW110",B3104)+6))),
IF(ISNUMBER(FIND("D",B3104)),
VALUE(SUBSTITUTE(MID(B3104,FIND("D",B3104)+1,FIND("T",B3104,FIND("D",B3104))-(FIND("D",B3104)+1)),"P",",")),
IF(ISNUMBER(FIND("CFW5",B3104)),
VALUE(MID(B3104,
IF(ISNUMBER(FIND("F",B3104)),FIND("F",B3104)+1,FIND("G",B3104)+1),
FIND("T",B3104)-(IF(ISNUMBER(FIND("F",B3104)),FIND("F",B3104)+1,FIND("G",B3104)+1))
)),
VALUE(MID(B3104,FIND("E0",B3104)+2,FIND("T",B3104,FIND("E0",B3104))-(FIND("E0",B3104)+2)))
))),"")</f>
        <v>24</v>
      </c>
      <c r="G3104">
        <f>IFERROR(
IF(ISNUMBER(FIND("T2",B3104)),220,
IF(ISNUMBER(FIND("T4",B3104)),440,
IF(ISNUMBER(FIND("T5",B3104)),575,
IF(ISNUMBER(FIND("T6",B3104)),690,"")))),
"")</f>
        <v>220</v>
      </c>
    </row>
    <row r="3105" spans="1:7" x14ac:dyDescent="0.25">
      <c r="A3105">
        <v>13537271</v>
      </c>
      <c r="B3105" t="str">
        <f>VLOOKUP(A3105,Planilha2!B:C,2,0)</f>
        <v>INVERSOR BRCFW110024T2O55DSZ</v>
      </c>
      <c r="C3105" t="s">
        <v>3169</v>
      </c>
      <c r="D3105" t="str">
        <f>VLOOKUP(A3105,Planilha2!B:H,7,0)</f>
        <v>LINHA M3</v>
      </c>
      <c r="E3105" s="5">
        <v>9100</v>
      </c>
      <c r="F3105">
        <f>IFERROR(
IF(ISNUMBER(FIND("CFW110",B3105)),
VALUE(MID(B3105,FIND("CFW110",B3105)+6,FIND("T",B3105,FIND("CFW110",B3105))-(FIND("CFW110",B3105)+6))),
IF(ISNUMBER(FIND("D",B3105)),
VALUE(SUBSTITUTE(MID(B3105,FIND("D",B3105)+1,FIND("T",B3105,FIND("D",B3105))-(FIND("D",B3105)+1)),"P",",")),
IF(ISNUMBER(FIND("CFW5",B3105)),
VALUE(MID(B3105,
IF(ISNUMBER(FIND("F",B3105)),FIND("F",B3105)+1,FIND("G",B3105)+1),
FIND("T",B3105)-(IF(ISNUMBER(FIND("F",B3105)),FIND("F",B3105)+1,FIND("G",B3105)+1))
)),
VALUE(MID(B3105,FIND("E0",B3105)+2,FIND("T",B3105,FIND("E0",B3105))-(FIND("E0",B3105)+2)))
))),"")</f>
        <v>24</v>
      </c>
      <c r="G3105">
        <f>IFERROR(
IF(ISNUMBER(FIND("T2",B3105)),220,
IF(ISNUMBER(FIND("T4",B3105)),440,
IF(ISNUMBER(FIND("T5",B3105)),575,
IF(ISNUMBER(FIND("T6",B3105)),690,"")))),
"")</f>
        <v>220</v>
      </c>
    </row>
    <row r="3106" spans="1:7" x14ac:dyDescent="0.25">
      <c r="A3106">
        <v>13537272</v>
      </c>
      <c r="B3106" t="str">
        <f>VLOOKUP(A3106,Planilha2!B:C,2,0)</f>
        <v>INVERSOR NACFW110024T2O55Z</v>
      </c>
      <c r="C3106" t="s">
        <v>3169</v>
      </c>
      <c r="D3106" t="str">
        <f>VLOOKUP(A3106,Planilha2!B:H,7,0)</f>
        <v>LINHA M3</v>
      </c>
      <c r="E3106" s="5">
        <v>9100</v>
      </c>
      <c r="F3106">
        <f>IFERROR(
IF(ISNUMBER(FIND("CFW110",B3106)),
VALUE(MID(B3106,FIND("CFW110",B3106)+6,FIND("T",B3106,FIND("CFW110",B3106))-(FIND("CFW110",B3106)+6))),
IF(ISNUMBER(FIND("D",B3106)),
VALUE(SUBSTITUTE(MID(B3106,FIND("D",B3106)+1,FIND("T",B3106,FIND("D",B3106))-(FIND("D",B3106)+1)),"P",",")),
IF(ISNUMBER(FIND("CFW5",B3106)),
VALUE(MID(B3106,
IF(ISNUMBER(FIND("F",B3106)),FIND("F",B3106)+1,FIND("G",B3106)+1),
FIND("T",B3106)-(IF(ISNUMBER(FIND("F",B3106)),FIND("F",B3106)+1,FIND("G",B3106)+1))
)),
VALUE(MID(B3106,FIND("E0",B3106)+2,FIND("T",B3106,FIND("E0",B3106))-(FIND("E0",B3106)+2)))
))),"")</f>
        <v>24</v>
      </c>
      <c r="G3106">
        <f>IFERROR(
IF(ISNUMBER(FIND("T2",B3106)),220,
IF(ISNUMBER(FIND("T4",B3106)),440,
IF(ISNUMBER(FIND("T5",B3106)),575,
IF(ISNUMBER(FIND("T6",B3106)),690,"")))),
"")</f>
        <v>220</v>
      </c>
    </row>
    <row r="3107" spans="1:7" x14ac:dyDescent="0.25">
      <c r="A3107">
        <v>13537273</v>
      </c>
      <c r="B3107" t="str">
        <f>VLOOKUP(A3107,Planilha2!B:C,2,0)</f>
        <v>INVERSOR NACFW110024T2O55DSZ</v>
      </c>
      <c r="C3107" t="s">
        <v>3169</v>
      </c>
      <c r="D3107" t="str">
        <f>VLOOKUP(A3107,Planilha2!B:H,7,0)</f>
        <v>LINHA M3</v>
      </c>
      <c r="E3107" s="5">
        <v>4500</v>
      </c>
      <c r="F3107">
        <f>IFERROR(
IF(ISNUMBER(FIND("CFW110",B3107)),
VALUE(MID(B3107,FIND("CFW110",B3107)+6,FIND("T",B3107,FIND("CFW110",B3107))-(FIND("CFW110",B3107)+6))),
IF(ISNUMBER(FIND("D",B3107)),
VALUE(SUBSTITUTE(MID(B3107,FIND("D",B3107)+1,FIND("T",B3107,FIND("D",B3107))-(FIND("D",B3107)+1)),"P",",")),
IF(ISNUMBER(FIND("CFW5",B3107)),
VALUE(MID(B3107,
IF(ISNUMBER(FIND("F",B3107)),FIND("F",B3107)+1,FIND("G",B3107)+1),
FIND("T",B3107)-(IF(ISNUMBER(FIND("F",B3107)),FIND("F",B3107)+1,FIND("G",B3107)+1))
)),
VALUE(MID(B3107,FIND("E0",B3107)+2,FIND("T",B3107,FIND("E0",B3107))-(FIND("E0",B3107)+2)))
))),"")</f>
        <v>24</v>
      </c>
      <c r="G3107">
        <f>IFERROR(
IF(ISNUMBER(FIND("T2",B3107)),220,
IF(ISNUMBER(FIND("T4",B3107)),440,
IF(ISNUMBER(FIND("T5",B3107)),575,
IF(ISNUMBER(FIND("T6",B3107)),690,"")))),
"")</f>
        <v>220</v>
      </c>
    </row>
    <row r="3108" spans="1:7" x14ac:dyDescent="0.25">
      <c r="A3108">
        <v>13537274</v>
      </c>
      <c r="B3108" t="str">
        <f>VLOOKUP(A3108,Planilha2!B:C,2,0)</f>
        <v>INVERSOR BRCFW110028T2O55Z</v>
      </c>
      <c r="C3108" t="s">
        <v>3169</v>
      </c>
      <c r="D3108" t="str">
        <f>VLOOKUP(A3108,Planilha2!B:H,7,0)</f>
        <v>LINHA M3</v>
      </c>
      <c r="E3108" s="5">
        <v>9100</v>
      </c>
      <c r="F3108">
        <f>IFERROR(
IF(ISNUMBER(FIND("CFW110",B3108)),
VALUE(MID(B3108,FIND("CFW110",B3108)+6,FIND("T",B3108,FIND("CFW110",B3108))-(FIND("CFW110",B3108)+6))),
IF(ISNUMBER(FIND("D",B3108)),
VALUE(SUBSTITUTE(MID(B3108,FIND("D",B3108)+1,FIND("T",B3108,FIND("D",B3108))-(FIND("D",B3108)+1)),"P",",")),
IF(ISNUMBER(FIND("CFW5",B3108)),
VALUE(MID(B3108,
IF(ISNUMBER(FIND("F",B3108)),FIND("F",B3108)+1,FIND("G",B3108)+1),
FIND("T",B3108)-(IF(ISNUMBER(FIND("F",B3108)),FIND("F",B3108)+1,FIND("G",B3108)+1))
)),
VALUE(MID(B3108,FIND("E0",B3108)+2,FIND("T",B3108,FIND("E0",B3108))-(FIND("E0",B3108)+2)))
))),"")</f>
        <v>28</v>
      </c>
      <c r="G3108">
        <f>IFERROR(
IF(ISNUMBER(FIND("T2",B3108)),220,
IF(ISNUMBER(FIND("T4",B3108)),440,
IF(ISNUMBER(FIND("T5",B3108)),575,
IF(ISNUMBER(FIND("T6",B3108)),690,"")))),
"")</f>
        <v>220</v>
      </c>
    </row>
    <row r="3109" spans="1:7" x14ac:dyDescent="0.25">
      <c r="A3109">
        <v>13537276</v>
      </c>
      <c r="B3109" t="str">
        <f>VLOOKUP(A3109,Planilha2!B:C,2,0)</f>
        <v>INVERSOR BRCFW110028T2O55DSZ</v>
      </c>
      <c r="C3109" t="s">
        <v>3169</v>
      </c>
      <c r="D3109" t="str">
        <f>VLOOKUP(A3109,Planilha2!B:H,7,0)</f>
        <v>LINHA M3</v>
      </c>
      <c r="E3109" s="5">
        <v>9100</v>
      </c>
      <c r="F3109">
        <f>IFERROR(
IF(ISNUMBER(FIND("CFW110",B3109)),
VALUE(MID(B3109,FIND("CFW110",B3109)+6,FIND("T",B3109,FIND("CFW110",B3109))-(FIND("CFW110",B3109)+6))),
IF(ISNUMBER(FIND("D",B3109)),
VALUE(SUBSTITUTE(MID(B3109,FIND("D",B3109)+1,FIND("T",B3109,FIND("D",B3109))-(FIND("D",B3109)+1)),"P",",")),
IF(ISNUMBER(FIND("CFW5",B3109)),
VALUE(MID(B3109,
IF(ISNUMBER(FIND("F",B3109)),FIND("F",B3109)+1,FIND("G",B3109)+1),
FIND("T",B3109)-(IF(ISNUMBER(FIND("F",B3109)),FIND("F",B3109)+1,FIND("G",B3109)+1))
)),
VALUE(MID(B3109,FIND("E0",B3109)+2,FIND("T",B3109,FIND("E0",B3109))-(FIND("E0",B3109)+2)))
))),"")</f>
        <v>28</v>
      </c>
      <c r="G3109">
        <f>IFERROR(
IF(ISNUMBER(FIND("T2",B3109)),220,
IF(ISNUMBER(FIND("T4",B3109)),440,
IF(ISNUMBER(FIND("T5",B3109)),575,
IF(ISNUMBER(FIND("T6",B3109)),690,"")))),
"")</f>
        <v>220</v>
      </c>
    </row>
    <row r="3110" spans="1:7" x14ac:dyDescent="0.25">
      <c r="A3110">
        <v>13537277</v>
      </c>
      <c r="B3110" t="str">
        <f>VLOOKUP(A3110,Planilha2!B:C,2,0)</f>
        <v>INVERSOR NACFW110028T2O55Z</v>
      </c>
      <c r="C3110" t="s">
        <v>3169</v>
      </c>
      <c r="D3110" t="str">
        <f>VLOOKUP(A3110,Planilha2!B:H,7,0)</f>
        <v>LINHA M3</v>
      </c>
      <c r="E3110" s="5">
        <v>9100</v>
      </c>
      <c r="F3110">
        <f>IFERROR(
IF(ISNUMBER(FIND("CFW110",B3110)),
VALUE(MID(B3110,FIND("CFW110",B3110)+6,FIND("T",B3110,FIND("CFW110",B3110))-(FIND("CFW110",B3110)+6))),
IF(ISNUMBER(FIND("D",B3110)),
VALUE(SUBSTITUTE(MID(B3110,FIND("D",B3110)+1,FIND("T",B3110,FIND("D",B3110))-(FIND("D",B3110)+1)),"P",",")),
IF(ISNUMBER(FIND("CFW5",B3110)),
VALUE(MID(B3110,
IF(ISNUMBER(FIND("F",B3110)),FIND("F",B3110)+1,FIND("G",B3110)+1),
FIND("T",B3110)-(IF(ISNUMBER(FIND("F",B3110)),FIND("F",B3110)+1,FIND("G",B3110)+1))
)),
VALUE(MID(B3110,FIND("E0",B3110)+2,FIND("T",B3110,FIND("E0",B3110))-(FIND("E0",B3110)+2)))
))),"")</f>
        <v>28</v>
      </c>
      <c r="G3110">
        <f>IFERROR(
IF(ISNUMBER(FIND("T2",B3110)),220,
IF(ISNUMBER(FIND("T4",B3110)),440,
IF(ISNUMBER(FIND("T5",B3110)),575,
IF(ISNUMBER(FIND("T6",B3110)),690,"")))),
"")</f>
        <v>220</v>
      </c>
    </row>
    <row r="3111" spans="1:7" x14ac:dyDescent="0.25">
      <c r="A3111">
        <v>13537308</v>
      </c>
      <c r="B3111" t="str">
        <f>VLOOKUP(A3111,Planilha2!B:C,2,0)</f>
        <v>INVERSOR NACFW110028T2O55DSZ</v>
      </c>
      <c r="C3111" t="s">
        <v>3169</v>
      </c>
      <c r="D3111" t="str">
        <f>VLOOKUP(A3111,Planilha2!B:H,7,0)</f>
        <v>LINHA M3</v>
      </c>
      <c r="E3111" s="5">
        <v>9100</v>
      </c>
      <c r="F3111">
        <f>IFERROR(
IF(ISNUMBER(FIND("CFW110",B3111)),
VALUE(MID(B3111,FIND("CFW110",B3111)+6,FIND("T",B3111,FIND("CFW110",B3111))-(FIND("CFW110",B3111)+6))),
IF(ISNUMBER(FIND("D",B3111)),
VALUE(SUBSTITUTE(MID(B3111,FIND("D",B3111)+1,FIND("T",B3111,FIND("D",B3111))-(FIND("D",B3111)+1)),"P",",")),
IF(ISNUMBER(FIND("CFW5",B3111)),
VALUE(MID(B3111,
IF(ISNUMBER(FIND("F",B3111)),FIND("F",B3111)+1,FIND("G",B3111)+1),
FIND("T",B3111)-(IF(ISNUMBER(FIND("F",B3111)),FIND("F",B3111)+1,FIND("G",B3111)+1))
)),
VALUE(MID(B3111,FIND("E0",B3111)+2,FIND("T",B3111,FIND("E0",B3111))-(FIND("E0",B3111)+2)))
))),"")</f>
        <v>28</v>
      </c>
      <c r="G3111">
        <f>IFERROR(
IF(ISNUMBER(FIND("T2",B3111)),220,
IF(ISNUMBER(FIND("T4",B3111)),440,
IF(ISNUMBER(FIND("T5",B3111)),575,
IF(ISNUMBER(FIND("T6",B3111)),690,"")))),
"")</f>
        <v>220</v>
      </c>
    </row>
    <row r="3112" spans="1:7" x14ac:dyDescent="0.25">
      <c r="A3112">
        <v>13537309</v>
      </c>
      <c r="B3112" t="str">
        <f>VLOOKUP(A3112,Planilha2!B:C,2,0)</f>
        <v>INVERSOR BRCFW110033T2O55Z</v>
      </c>
      <c r="C3112" t="s">
        <v>3169</v>
      </c>
      <c r="D3112" t="str">
        <f>VLOOKUP(A3112,Planilha2!B:H,7,0)</f>
        <v>LINHA M3</v>
      </c>
      <c r="E3112" s="5">
        <v>9100</v>
      </c>
      <c r="F3112">
        <f>IFERROR(
IF(ISNUMBER(FIND("CFW110",B3112)),
VALUE(MID(B3112,FIND("CFW110",B3112)+6,FIND("T",B3112,FIND("CFW110",B3112))-(FIND("CFW110",B3112)+6))),
IF(ISNUMBER(FIND("D",B3112)),
VALUE(SUBSTITUTE(MID(B3112,FIND("D",B3112)+1,FIND("T",B3112,FIND("D",B3112))-(FIND("D",B3112)+1)),"P",",")),
IF(ISNUMBER(FIND("CFW5",B3112)),
VALUE(MID(B3112,
IF(ISNUMBER(FIND("F",B3112)),FIND("F",B3112)+1,FIND("G",B3112)+1),
FIND("T",B3112)-(IF(ISNUMBER(FIND("F",B3112)),FIND("F",B3112)+1,FIND("G",B3112)+1))
)),
VALUE(MID(B3112,FIND("E0",B3112)+2,FIND("T",B3112,FIND("E0",B3112))-(FIND("E0",B3112)+2)))
))),"")</f>
        <v>33</v>
      </c>
      <c r="G3112">
        <f>IFERROR(
IF(ISNUMBER(FIND("T2",B3112)),220,
IF(ISNUMBER(FIND("T4",B3112)),440,
IF(ISNUMBER(FIND("T5",B3112)),575,
IF(ISNUMBER(FIND("T6",B3112)),690,"")))),
"")</f>
        <v>220</v>
      </c>
    </row>
    <row r="3113" spans="1:7" x14ac:dyDescent="0.25">
      <c r="A3113">
        <v>13537310</v>
      </c>
      <c r="B3113" t="str">
        <f>VLOOKUP(A3113,Planilha2!B:C,2,0)</f>
        <v>INVERSOR BRCFW110033T2O55DSZ</v>
      </c>
      <c r="C3113" t="s">
        <v>3169</v>
      </c>
      <c r="D3113" t="str">
        <f>VLOOKUP(A3113,Planilha2!B:H,7,0)</f>
        <v>LINHA M3</v>
      </c>
      <c r="E3113" s="5">
        <v>9100</v>
      </c>
      <c r="F3113">
        <f>IFERROR(
IF(ISNUMBER(FIND("CFW110",B3113)),
VALUE(MID(B3113,FIND("CFW110",B3113)+6,FIND("T",B3113,FIND("CFW110",B3113))-(FIND("CFW110",B3113)+6))),
IF(ISNUMBER(FIND("D",B3113)),
VALUE(SUBSTITUTE(MID(B3113,FIND("D",B3113)+1,FIND("T",B3113,FIND("D",B3113))-(FIND("D",B3113)+1)),"P",",")),
IF(ISNUMBER(FIND("CFW5",B3113)),
VALUE(MID(B3113,
IF(ISNUMBER(FIND("F",B3113)),FIND("F",B3113)+1,FIND("G",B3113)+1),
FIND("T",B3113)-(IF(ISNUMBER(FIND("F",B3113)),FIND("F",B3113)+1,FIND("G",B3113)+1))
)),
VALUE(MID(B3113,FIND("E0",B3113)+2,FIND("T",B3113,FIND("E0",B3113))-(FIND("E0",B3113)+2)))
))),"")</f>
        <v>33</v>
      </c>
      <c r="G3113">
        <f>IFERROR(
IF(ISNUMBER(FIND("T2",B3113)),220,
IF(ISNUMBER(FIND("T4",B3113)),440,
IF(ISNUMBER(FIND("T5",B3113)),575,
IF(ISNUMBER(FIND("T6",B3113)),690,"")))),
"")</f>
        <v>220</v>
      </c>
    </row>
    <row r="3114" spans="1:7" x14ac:dyDescent="0.25">
      <c r="A3114">
        <v>13537311</v>
      </c>
      <c r="B3114" t="str">
        <f>VLOOKUP(A3114,Planilha2!B:C,2,0)</f>
        <v>INVERSOR NACFW110033T2O55Z</v>
      </c>
      <c r="C3114" t="s">
        <v>3169</v>
      </c>
      <c r="D3114" t="str">
        <f>VLOOKUP(A3114,Planilha2!B:H,7,0)</f>
        <v>LINHA M3</v>
      </c>
      <c r="E3114" s="5">
        <v>9100</v>
      </c>
      <c r="F3114">
        <f>IFERROR(
IF(ISNUMBER(FIND("CFW110",B3114)),
VALUE(MID(B3114,FIND("CFW110",B3114)+6,FIND("T",B3114,FIND("CFW110",B3114))-(FIND("CFW110",B3114)+6))),
IF(ISNUMBER(FIND("D",B3114)),
VALUE(SUBSTITUTE(MID(B3114,FIND("D",B3114)+1,FIND("T",B3114,FIND("D",B3114))-(FIND("D",B3114)+1)),"P",",")),
IF(ISNUMBER(FIND("CFW5",B3114)),
VALUE(MID(B3114,
IF(ISNUMBER(FIND("F",B3114)),FIND("F",B3114)+1,FIND("G",B3114)+1),
FIND("T",B3114)-(IF(ISNUMBER(FIND("F",B3114)),FIND("F",B3114)+1,FIND("G",B3114)+1))
)),
VALUE(MID(B3114,FIND("E0",B3114)+2,FIND("T",B3114,FIND("E0",B3114))-(FIND("E0",B3114)+2)))
))),"")</f>
        <v>33</v>
      </c>
      <c r="G3114">
        <f>IFERROR(
IF(ISNUMBER(FIND("T2",B3114)),220,
IF(ISNUMBER(FIND("T4",B3114)),440,
IF(ISNUMBER(FIND("T5",B3114)),575,
IF(ISNUMBER(FIND("T6",B3114)),690,"")))),
"")</f>
        <v>220</v>
      </c>
    </row>
    <row r="3115" spans="1:7" x14ac:dyDescent="0.25">
      <c r="A3115">
        <v>13537312</v>
      </c>
      <c r="B3115" t="str">
        <f>VLOOKUP(A3115,Planilha2!B:C,2,0)</f>
        <v>INVERSOR NACFW110033T2O55DSZ</v>
      </c>
      <c r="C3115" t="s">
        <v>3169</v>
      </c>
      <c r="D3115" t="str">
        <f>VLOOKUP(A3115,Planilha2!B:H,7,0)</f>
        <v>LINHA M3</v>
      </c>
      <c r="E3115" s="5">
        <v>9100</v>
      </c>
      <c r="F3115">
        <f>IFERROR(
IF(ISNUMBER(FIND("CFW110",B3115)),
VALUE(MID(B3115,FIND("CFW110",B3115)+6,FIND("T",B3115,FIND("CFW110",B3115))-(FIND("CFW110",B3115)+6))),
IF(ISNUMBER(FIND("D",B3115)),
VALUE(SUBSTITUTE(MID(B3115,FIND("D",B3115)+1,FIND("T",B3115,FIND("D",B3115))-(FIND("D",B3115)+1)),"P",",")),
IF(ISNUMBER(FIND("CFW5",B3115)),
VALUE(MID(B3115,
IF(ISNUMBER(FIND("F",B3115)),FIND("F",B3115)+1,FIND("G",B3115)+1),
FIND("T",B3115)-(IF(ISNUMBER(FIND("F",B3115)),FIND("F",B3115)+1,FIND("G",B3115)+1))
)),
VALUE(MID(B3115,FIND("E0",B3115)+2,FIND("T",B3115,FIND("E0",B3115))-(FIND("E0",B3115)+2)))
))),"")</f>
        <v>33</v>
      </c>
      <c r="G3115">
        <f>IFERROR(
IF(ISNUMBER(FIND("T2",B3115)),220,
IF(ISNUMBER(FIND("T4",B3115)),440,
IF(ISNUMBER(FIND("T5",B3115)),575,
IF(ISNUMBER(FIND("T6",B3115)),690,"")))),
"")</f>
        <v>220</v>
      </c>
    </row>
    <row r="3116" spans="1:7" x14ac:dyDescent="0.25">
      <c r="A3116">
        <v>13537313</v>
      </c>
      <c r="B3116" t="str">
        <f>VLOOKUP(A3116,Planilha2!B:C,2,0)</f>
        <v>INVERSOR BRCFW110017T4O55Z</v>
      </c>
      <c r="C3116" t="s">
        <v>3169</v>
      </c>
      <c r="D3116" t="str">
        <f>VLOOKUP(A3116,Planilha2!B:H,7,0)</f>
        <v>LINHA M3</v>
      </c>
      <c r="E3116" s="5">
        <v>14000</v>
      </c>
      <c r="F3116">
        <f>IFERROR(
IF(ISNUMBER(FIND("CFW110",B3116)),
VALUE(MID(B3116,FIND("CFW110",B3116)+6,FIND("T",B3116,FIND("CFW110",B3116))-(FIND("CFW110",B3116)+6))),
IF(ISNUMBER(FIND("D",B3116)),
VALUE(SUBSTITUTE(MID(B3116,FIND("D",B3116)+1,FIND("T",B3116,FIND("D",B3116))-(FIND("D",B3116)+1)),"P",",")),
IF(ISNUMBER(FIND("CFW5",B3116)),
VALUE(MID(B3116,
IF(ISNUMBER(FIND("F",B3116)),FIND("F",B3116)+1,FIND("G",B3116)+1),
FIND("T",B3116)-(IF(ISNUMBER(FIND("F",B3116)),FIND("F",B3116)+1,FIND("G",B3116)+1))
)),
VALUE(MID(B3116,FIND("E0",B3116)+2,FIND("T",B3116,FIND("E0",B3116))-(FIND("E0",B3116)+2)))
))),"")</f>
        <v>17</v>
      </c>
      <c r="G3116">
        <f>IFERROR(
IF(ISNUMBER(FIND("T2",B3116)),220,
IF(ISNUMBER(FIND("T4",B3116)),440,
IF(ISNUMBER(FIND("T5",B3116)),575,
IF(ISNUMBER(FIND("T6",B3116)),690,"")))),
"")</f>
        <v>440</v>
      </c>
    </row>
    <row r="3117" spans="1:7" x14ac:dyDescent="0.25">
      <c r="A3117">
        <v>13537315</v>
      </c>
      <c r="B3117" t="str">
        <f>VLOOKUP(A3117,Planilha2!B:C,2,0)</f>
        <v>INVERSOR BRCFW110017T4O55DSZ</v>
      </c>
      <c r="C3117" t="s">
        <v>3169</v>
      </c>
      <c r="D3117" t="str">
        <f>VLOOKUP(A3117,Planilha2!B:H,7,0)</f>
        <v>LINHA M3</v>
      </c>
      <c r="E3117" s="5">
        <v>9100</v>
      </c>
      <c r="F3117">
        <f>IFERROR(
IF(ISNUMBER(FIND("CFW110",B3117)),
VALUE(MID(B3117,FIND("CFW110",B3117)+6,FIND("T",B3117,FIND("CFW110",B3117))-(FIND("CFW110",B3117)+6))),
IF(ISNUMBER(FIND("D",B3117)),
VALUE(SUBSTITUTE(MID(B3117,FIND("D",B3117)+1,FIND("T",B3117,FIND("D",B3117))-(FIND("D",B3117)+1)),"P",",")),
IF(ISNUMBER(FIND("CFW5",B3117)),
VALUE(MID(B3117,
IF(ISNUMBER(FIND("F",B3117)),FIND("F",B3117)+1,FIND("G",B3117)+1),
FIND("T",B3117)-(IF(ISNUMBER(FIND("F",B3117)),FIND("F",B3117)+1,FIND("G",B3117)+1))
)),
VALUE(MID(B3117,FIND("E0",B3117)+2,FIND("T",B3117,FIND("E0",B3117))-(FIND("E0",B3117)+2)))
))),"")</f>
        <v>17</v>
      </c>
      <c r="G3117">
        <f>IFERROR(
IF(ISNUMBER(FIND("T2",B3117)),220,
IF(ISNUMBER(FIND("T4",B3117)),440,
IF(ISNUMBER(FIND("T5",B3117)),575,
IF(ISNUMBER(FIND("T6",B3117)),690,"")))),
"")</f>
        <v>440</v>
      </c>
    </row>
    <row r="3118" spans="1:7" x14ac:dyDescent="0.25">
      <c r="A3118">
        <v>13537316</v>
      </c>
      <c r="B3118" t="str">
        <f>VLOOKUP(A3118,Planilha2!B:C,2,0)</f>
        <v>INVERSOR EUCFW110017T4O55FAZ</v>
      </c>
      <c r="C3118" t="s">
        <v>3169</v>
      </c>
      <c r="D3118" t="str">
        <f>VLOOKUP(A3118,Planilha2!B:H,7,0)</f>
        <v>LINHA M3</v>
      </c>
      <c r="E3118" s="5">
        <v>9100</v>
      </c>
      <c r="F3118">
        <f>IFERROR(
IF(ISNUMBER(FIND("CFW110",B3118)),
VALUE(MID(B3118,FIND("CFW110",B3118)+6,FIND("T",B3118,FIND("CFW110",B3118))-(FIND("CFW110",B3118)+6))),
IF(ISNUMBER(FIND("D",B3118)),
VALUE(SUBSTITUTE(MID(B3118,FIND("D",B3118)+1,FIND("T",B3118,FIND("D",B3118))-(FIND("D",B3118)+1)),"P",",")),
IF(ISNUMBER(FIND("CFW5",B3118)),
VALUE(MID(B3118,
IF(ISNUMBER(FIND("F",B3118)),FIND("F",B3118)+1,FIND("G",B3118)+1),
FIND("T",B3118)-(IF(ISNUMBER(FIND("F",B3118)),FIND("F",B3118)+1,FIND("G",B3118)+1))
)),
VALUE(MID(B3118,FIND("E0",B3118)+2,FIND("T",B3118,FIND("E0",B3118))-(FIND("E0",B3118)+2)))
))),"")</f>
        <v>17</v>
      </c>
      <c r="G3118">
        <f>IFERROR(
IF(ISNUMBER(FIND("T2",B3118)),220,
IF(ISNUMBER(FIND("T4",B3118)),440,
IF(ISNUMBER(FIND("T5",B3118)),575,
IF(ISNUMBER(FIND("T6",B3118)),690,"")))),
"")</f>
        <v>440</v>
      </c>
    </row>
    <row r="3119" spans="1:7" x14ac:dyDescent="0.25">
      <c r="A3119">
        <v>13537318</v>
      </c>
      <c r="B3119" t="str">
        <f>VLOOKUP(A3119,Planilha2!B:C,2,0)</f>
        <v>INVERSOR EUCFW110017T4O55FADSZ</v>
      </c>
      <c r="C3119" t="s">
        <v>3169</v>
      </c>
      <c r="D3119" t="str">
        <f>VLOOKUP(A3119,Planilha2!B:H,7,0)</f>
        <v>LINHA M3</v>
      </c>
      <c r="E3119" s="5">
        <v>9100</v>
      </c>
      <c r="F3119">
        <f>IFERROR(
IF(ISNUMBER(FIND("CFW110",B3119)),
VALUE(MID(B3119,FIND("CFW110",B3119)+6,FIND("T",B3119,FIND("CFW110",B3119))-(FIND("CFW110",B3119)+6))),
IF(ISNUMBER(FIND("D",B3119)),
VALUE(SUBSTITUTE(MID(B3119,FIND("D",B3119)+1,FIND("T",B3119,FIND("D",B3119))-(FIND("D",B3119)+1)),"P",",")),
IF(ISNUMBER(FIND("CFW5",B3119)),
VALUE(MID(B3119,
IF(ISNUMBER(FIND("F",B3119)),FIND("F",B3119)+1,FIND("G",B3119)+1),
FIND("T",B3119)-(IF(ISNUMBER(FIND("F",B3119)),FIND("F",B3119)+1,FIND("G",B3119)+1))
)),
VALUE(MID(B3119,FIND("E0",B3119)+2,FIND("T",B3119,FIND("E0",B3119))-(FIND("E0",B3119)+2)))
))),"")</f>
        <v>17</v>
      </c>
      <c r="G3119">
        <f>IFERROR(
IF(ISNUMBER(FIND("T2",B3119)),220,
IF(ISNUMBER(FIND("T4",B3119)),440,
IF(ISNUMBER(FIND("T5",B3119)),575,
IF(ISNUMBER(FIND("T6",B3119)),690,"")))),
"")</f>
        <v>440</v>
      </c>
    </row>
    <row r="3120" spans="1:7" x14ac:dyDescent="0.25">
      <c r="A3120">
        <v>13537323</v>
      </c>
      <c r="B3120" t="str">
        <f>VLOOKUP(A3120,Planilha2!B:C,2,0)</f>
        <v>INVERSOR BRCFW110024T4O55DSZ</v>
      </c>
      <c r="C3120" t="s">
        <v>3169</v>
      </c>
      <c r="D3120" t="str">
        <f>VLOOKUP(A3120,Planilha2!B:H,7,0)</f>
        <v>LINHA M3</v>
      </c>
      <c r="E3120" s="5">
        <v>9100</v>
      </c>
      <c r="F3120">
        <f>IFERROR(
IF(ISNUMBER(FIND("CFW110",B3120)),
VALUE(MID(B3120,FIND("CFW110",B3120)+6,FIND("T",B3120,FIND("CFW110",B3120))-(FIND("CFW110",B3120)+6))),
IF(ISNUMBER(FIND("D",B3120)),
VALUE(SUBSTITUTE(MID(B3120,FIND("D",B3120)+1,FIND("T",B3120,FIND("D",B3120))-(FIND("D",B3120)+1)),"P",",")),
IF(ISNUMBER(FIND("CFW5",B3120)),
VALUE(MID(B3120,
IF(ISNUMBER(FIND("F",B3120)),FIND("F",B3120)+1,FIND("G",B3120)+1),
FIND("T",B3120)-(IF(ISNUMBER(FIND("F",B3120)),FIND("F",B3120)+1,FIND("G",B3120)+1))
)),
VALUE(MID(B3120,FIND("E0",B3120)+2,FIND("T",B3120,FIND("E0",B3120))-(FIND("E0",B3120)+2)))
))),"")</f>
        <v>24</v>
      </c>
      <c r="G3120">
        <f>IFERROR(
IF(ISNUMBER(FIND("T2",B3120)),220,
IF(ISNUMBER(FIND("T4",B3120)),440,
IF(ISNUMBER(FIND("T5",B3120)),575,
IF(ISNUMBER(FIND("T6",B3120)),690,"")))),
"")</f>
        <v>440</v>
      </c>
    </row>
    <row r="3121" spans="1:7" x14ac:dyDescent="0.25">
      <c r="A3121">
        <v>13537324</v>
      </c>
      <c r="B3121" t="str">
        <f>VLOOKUP(A3121,Planilha2!B:C,2,0)</f>
        <v>INVERSOR EUCFW110024T4O55FAZ</v>
      </c>
      <c r="C3121" t="s">
        <v>3169</v>
      </c>
      <c r="D3121" t="str">
        <f>VLOOKUP(A3121,Planilha2!B:H,7,0)</f>
        <v>LINHA M3</v>
      </c>
      <c r="E3121" s="5">
        <v>9100</v>
      </c>
      <c r="F3121">
        <f>IFERROR(
IF(ISNUMBER(FIND("CFW110",B3121)),
VALUE(MID(B3121,FIND("CFW110",B3121)+6,FIND("T",B3121,FIND("CFW110",B3121))-(FIND("CFW110",B3121)+6))),
IF(ISNUMBER(FIND("D",B3121)),
VALUE(SUBSTITUTE(MID(B3121,FIND("D",B3121)+1,FIND("T",B3121,FIND("D",B3121))-(FIND("D",B3121)+1)),"P",",")),
IF(ISNUMBER(FIND("CFW5",B3121)),
VALUE(MID(B3121,
IF(ISNUMBER(FIND("F",B3121)),FIND("F",B3121)+1,FIND("G",B3121)+1),
FIND("T",B3121)-(IF(ISNUMBER(FIND("F",B3121)),FIND("F",B3121)+1,FIND("G",B3121)+1))
)),
VALUE(MID(B3121,FIND("E0",B3121)+2,FIND("T",B3121,FIND("E0",B3121))-(FIND("E0",B3121)+2)))
))),"")</f>
        <v>24</v>
      </c>
      <c r="G3121">
        <f>IFERROR(
IF(ISNUMBER(FIND("T2",B3121)),220,
IF(ISNUMBER(FIND("T4",B3121)),440,
IF(ISNUMBER(FIND("T5",B3121)),575,
IF(ISNUMBER(FIND("T6",B3121)),690,"")))),
"")</f>
        <v>440</v>
      </c>
    </row>
    <row r="3122" spans="1:7" x14ac:dyDescent="0.25">
      <c r="A3122">
        <v>13537325</v>
      </c>
      <c r="B3122" t="str">
        <f>VLOOKUP(A3122,Planilha2!B:C,2,0)</f>
        <v>INVERSOR EUCFW110024T4O55FADSZ</v>
      </c>
      <c r="C3122" t="s">
        <v>3169</v>
      </c>
      <c r="D3122" t="str">
        <f>VLOOKUP(A3122,Planilha2!B:H,7,0)</f>
        <v>LINHA M3</v>
      </c>
      <c r="E3122" s="5">
        <v>9100</v>
      </c>
      <c r="F3122">
        <f>IFERROR(
IF(ISNUMBER(FIND("CFW110",B3122)),
VALUE(MID(B3122,FIND("CFW110",B3122)+6,FIND("T",B3122,FIND("CFW110",B3122))-(FIND("CFW110",B3122)+6))),
IF(ISNUMBER(FIND("D",B3122)),
VALUE(SUBSTITUTE(MID(B3122,FIND("D",B3122)+1,FIND("T",B3122,FIND("D",B3122))-(FIND("D",B3122)+1)),"P",",")),
IF(ISNUMBER(FIND("CFW5",B3122)),
VALUE(MID(B3122,
IF(ISNUMBER(FIND("F",B3122)),FIND("F",B3122)+1,FIND("G",B3122)+1),
FIND("T",B3122)-(IF(ISNUMBER(FIND("F",B3122)),FIND("F",B3122)+1,FIND("G",B3122)+1))
)),
VALUE(MID(B3122,FIND("E0",B3122)+2,FIND("T",B3122,FIND("E0",B3122))-(FIND("E0",B3122)+2)))
))),"")</f>
        <v>24</v>
      </c>
      <c r="G3122">
        <f>IFERROR(
IF(ISNUMBER(FIND("T2",B3122)),220,
IF(ISNUMBER(FIND("T4",B3122)),440,
IF(ISNUMBER(FIND("T5",B3122)),575,
IF(ISNUMBER(FIND("T6",B3122)),690,"")))),
"")</f>
        <v>440</v>
      </c>
    </row>
    <row r="3123" spans="1:7" x14ac:dyDescent="0.25">
      <c r="A3123">
        <v>13537327</v>
      </c>
      <c r="B3123" t="str">
        <f>VLOOKUP(A3123,Planilha2!B:C,2,0)</f>
        <v>INVERSOR BRCFW110031T4O55Z</v>
      </c>
      <c r="C3123" t="s">
        <v>3169</v>
      </c>
      <c r="D3123" t="str">
        <f>VLOOKUP(A3123,Planilha2!B:H,7,0)</f>
        <v>LINHA M3</v>
      </c>
      <c r="E3123" s="5">
        <v>10400</v>
      </c>
      <c r="F3123">
        <f>IFERROR(
IF(ISNUMBER(FIND("CFW110",B3123)),
VALUE(MID(B3123,FIND("CFW110",B3123)+6,FIND("T",B3123,FIND("CFW110",B3123))-(FIND("CFW110",B3123)+6))),
IF(ISNUMBER(FIND("D",B3123)),
VALUE(SUBSTITUTE(MID(B3123,FIND("D",B3123)+1,FIND("T",B3123,FIND("D",B3123))-(FIND("D",B3123)+1)),"P",",")),
IF(ISNUMBER(FIND("CFW5",B3123)),
VALUE(MID(B3123,
IF(ISNUMBER(FIND("F",B3123)),FIND("F",B3123)+1,FIND("G",B3123)+1),
FIND("T",B3123)-(IF(ISNUMBER(FIND("F",B3123)),FIND("F",B3123)+1,FIND("G",B3123)+1))
)),
VALUE(MID(B3123,FIND("E0",B3123)+2,FIND("T",B3123,FIND("E0",B3123))-(FIND("E0",B3123)+2)))
))),"")</f>
        <v>31</v>
      </c>
      <c r="G3123">
        <f>IFERROR(
IF(ISNUMBER(FIND("T2",B3123)),220,
IF(ISNUMBER(FIND("T4",B3123)),440,
IF(ISNUMBER(FIND("T5",B3123)),575,
IF(ISNUMBER(FIND("T6",B3123)),690,"")))),
"")</f>
        <v>440</v>
      </c>
    </row>
    <row r="3124" spans="1:7" x14ac:dyDescent="0.25">
      <c r="A3124">
        <v>13537338</v>
      </c>
      <c r="B3124" t="str">
        <f>VLOOKUP(A3124,Planilha2!B:C,2,0)</f>
        <v>INVERSOR BRCFW110031T4O55DSZ</v>
      </c>
      <c r="C3124" t="s">
        <v>3169</v>
      </c>
      <c r="D3124" t="str">
        <f>VLOOKUP(A3124,Planilha2!B:H,7,0)</f>
        <v>LINHA M3</v>
      </c>
      <c r="E3124" s="5">
        <v>10400</v>
      </c>
      <c r="F3124">
        <f>IFERROR(
IF(ISNUMBER(FIND("CFW110",B3124)),
VALUE(MID(B3124,FIND("CFW110",B3124)+6,FIND("T",B3124,FIND("CFW110",B3124))-(FIND("CFW110",B3124)+6))),
IF(ISNUMBER(FIND("D",B3124)),
VALUE(SUBSTITUTE(MID(B3124,FIND("D",B3124)+1,FIND("T",B3124,FIND("D",B3124))-(FIND("D",B3124)+1)),"P",",")),
IF(ISNUMBER(FIND("CFW5",B3124)),
VALUE(MID(B3124,
IF(ISNUMBER(FIND("F",B3124)),FIND("F",B3124)+1,FIND("G",B3124)+1),
FIND("T",B3124)-(IF(ISNUMBER(FIND("F",B3124)),FIND("F",B3124)+1,FIND("G",B3124)+1))
)),
VALUE(MID(B3124,FIND("E0",B3124)+2,FIND("T",B3124,FIND("E0",B3124))-(FIND("E0",B3124)+2)))
))),"")</f>
        <v>31</v>
      </c>
      <c r="G3124">
        <f>IFERROR(
IF(ISNUMBER(FIND("T2",B3124)),220,
IF(ISNUMBER(FIND("T4",B3124)),440,
IF(ISNUMBER(FIND("T5",B3124)),575,
IF(ISNUMBER(FIND("T6",B3124)),690,"")))),
"")</f>
        <v>440</v>
      </c>
    </row>
    <row r="3125" spans="1:7" x14ac:dyDescent="0.25">
      <c r="A3125">
        <v>13537339</v>
      </c>
      <c r="B3125" t="str">
        <f>VLOOKUP(A3125,Planilha2!B:C,2,0)</f>
        <v>INVERSOR EUCFW110031T4O55FAZ</v>
      </c>
      <c r="C3125" t="s">
        <v>3169</v>
      </c>
      <c r="D3125" t="str">
        <f>VLOOKUP(A3125,Planilha2!B:H,7,0)</f>
        <v>LINHA M3</v>
      </c>
      <c r="E3125" s="5">
        <v>10400</v>
      </c>
      <c r="F3125">
        <f>IFERROR(
IF(ISNUMBER(FIND("CFW110",B3125)),
VALUE(MID(B3125,FIND("CFW110",B3125)+6,FIND("T",B3125,FIND("CFW110",B3125))-(FIND("CFW110",B3125)+6))),
IF(ISNUMBER(FIND("D",B3125)),
VALUE(SUBSTITUTE(MID(B3125,FIND("D",B3125)+1,FIND("T",B3125,FIND("D",B3125))-(FIND("D",B3125)+1)),"P",",")),
IF(ISNUMBER(FIND("CFW5",B3125)),
VALUE(MID(B3125,
IF(ISNUMBER(FIND("F",B3125)),FIND("F",B3125)+1,FIND("G",B3125)+1),
FIND("T",B3125)-(IF(ISNUMBER(FIND("F",B3125)),FIND("F",B3125)+1,FIND("G",B3125)+1))
)),
VALUE(MID(B3125,FIND("E0",B3125)+2,FIND("T",B3125,FIND("E0",B3125))-(FIND("E0",B3125)+2)))
))),"")</f>
        <v>31</v>
      </c>
      <c r="G3125">
        <f>IFERROR(
IF(ISNUMBER(FIND("T2",B3125)),220,
IF(ISNUMBER(FIND("T4",B3125)),440,
IF(ISNUMBER(FIND("T5",B3125)),575,
IF(ISNUMBER(FIND("T6",B3125)),690,"")))),
"")</f>
        <v>440</v>
      </c>
    </row>
    <row r="3126" spans="1:7" x14ac:dyDescent="0.25">
      <c r="A3126">
        <v>14452119</v>
      </c>
      <c r="B3126" t="str">
        <f>VLOOKUP(A3126,Planilha2!B:C,2,0)</f>
        <v>INVERSOR EUCFW110031T4O55FAYZ</v>
      </c>
      <c r="C3126" t="s">
        <v>3169</v>
      </c>
      <c r="D3126" t="str">
        <f>VLOOKUP(A3126,Planilha2!B:H,7,0)</f>
        <v>LINHA M3</v>
      </c>
      <c r="E3126" s="5">
        <v>10722</v>
      </c>
      <c r="F3126">
        <f>IFERROR(
IF(ISNUMBER(FIND("CFW110",B3126)),
VALUE(MID(B3126,FIND("CFW110",B3126)+6,FIND("T",B3126,FIND("CFW110",B3126))-(FIND("CFW110",B3126)+6))),
IF(ISNUMBER(FIND("D",B3126)),
VALUE(SUBSTITUTE(MID(B3126,FIND("D",B3126)+1,FIND("T",B3126,FIND("D",B3126))-(FIND("D",B3126)+1)),"P",",")),
IF(ISNUMBER(FIND("CFW5",B3126)),
VALUE(MID(B3126,
IF(ISNUMBER(FIND("F",B3126)),FIND("F",B3126)+1,FIND("G",B3126)+1),
FIND("T",B3126)-(IF(ISNUMBER(FIND("F",B3126)),FIND("F",B3126)+1,FIND("G",B3126)+1))
)),
VALUE(MID(B3126,FIND("E0",B3126)+2,FIND("T",B3126,FIND("E0",B3126))-(FIND("E0",B3126)+2)))
))),"")</f>
        <v>31</v>
      </c>
      <c r="G3126">
        <f>IFERROR(
IF(ISNUMBER(FIND("T2",B3126)),220,
IF(ISNUMBER(FIND("T4",B3126)),440,
IF(ISNUMBER(FIND("T5",B3126)),575,
IF(ISNUMBER(FIND("T6",B3126)),690,"")))),
"")</f>
        <v>440</v>
      </c>
    </row>
    <row r="3127" spans="1:7" x14ac:dyDescent="0.25">
      <c r="A3127">
        <v>14479685</v>
      </c>
      <c r="B3127" t="str">
        <f>VLOOKUP(A3127,Planilha2!B:C,2,0)</f>
        <v>INVERSOR BRCFW110010T4OYWSIZ</v>
      </c>
      <c r="C3127" t="s">
        <v>3169</v>
      </c>
      <c r="D3127" t="str">
        <f>VLOOKUP(A3127,Planilha2!B:H,7,0)</f>
        <v>LINHA P5</v>
      </c>
      <c r="E3127" t="s">
        <v>3172</v>
      </c>
      <c r="F3127">
        <f>IFERROR(
IF(ISNUMBER(FIND("CFW110",B3127)),
VALUE(MID(B3127,FIND("CFW110",B3127)+6,FIND("T",B3127,FIND("CFW110",B3127))-(FIND("CFW110",B3127)+6))),
IF(ISNUMBER(FIND("D",B3127)),
VALUE(SUBSTITUTE(MID(B3127,FIND("D",B3127)+1,FIND("T",B3127,FIND("D",B3127))-(FIND("D",B3127)+1)),"P",",")),
IF(ISNUMBER(FIND("CFW5",B3127)),
VALUE(MID(B3127,
IF(ISNUMBER(FIND("F",B3127)),FIND("F",B3127)+1,FIND("G",B3127)+1),
FIND("T",B3127)-(IF(ISNUMBER(FIND("F",B3127)),FIND("F",B3127)+1,FIND("G",B3127)+1))
)),
VALUE(MID(B3127,FIND("E0",B3127)+2,FIND("T",B3127,FIND("E0",B3127))-(FIND("E0",B3127)+2)))
))),"")</f>
        <v>10</v>
      </c>
      <c r="G3127">
        <f>IFERROR(
IF(ISNUMBER(FIND("T2",B3127)),220,
IF(ISNUMBER(FIND("T4",B3127)),440,
IF(ISNUMBER(FIND("T5",B3127)),575,
IF(ISNUMBER(FIND("T6",B3127)),690,"")))),
"")</f>
        <v>440</v>
      </c>
    </row>
    <row r="3128" spans="1:7" x14ac:dyDescent="0.25">
      <c r="A3128">
        <v>14479686</v>
      </c>
      <c r="B3128" t="str">
        <f>VLOOKUP(A3128,Planilha2!B:C,2,0)</f>
        <v>INVERSOR BRCFW110024T4OYWSIZ</v>
      </c>
      <c r="C3128" t="s">
        <v>3169</v>
      </c>
      <c r="D3128" t="str">
        <f>VLOOKUP(A3128,Planilha2!B:H,7,0)</f>
        <v>LINHA P7</v>
      </c>
      <c r="E3128" t="s">
        <v>3172</v>
      </c>
      <c r="F3128">
        <f>IFERROR(
IF(ISNUMBER(FIND("CFW110",B3128)),
VALUE(MID(B3128,FIND("CFW110",B3128)+6,FIND("T",B3128,FIND("CFW110",B3128))-(FIND("CFW110",B3128)+6))),
IF(ISNUMBER(FIND("D",B3128)),
VALUE(SUBSTITUTE(MID(B3128,FIND("D",B3128)+1,FIND("T",B3128,FIND("D",B3128))-(FIND("D",B3128)+1)),"P",",")),
IF(ISNUMBER(FIND("CFW5",B3128)),
VALUE(MID(B3128,
IF(ISNUMBER(FIND("F",B3128)),FIND("F",B3128)+1,FIND("G",B3128)+1),
FIND("T",B3128)-(IF(ISNUMBER(FIND("F",B3128)),FIND("F",B3128)+1,FIND("G",B3128)+1))
)),
VALUE(MID(B3128,FIND("E0",B3128)+2,FIND("T",B3128,FIND("E0",B3128))-(FIND("E0",B3128)+2)))
))),"")</f>
        <v>24</v>
      </c>
      <c r="G3128">
        <f>IFERROR(
IF(ISNUMBER(FIND("T2",B3128)),220,
IF(ISNUMBER(FIND("T4",B3128)),440,
IF(ISNUMBER(FIND("T5",B3128)),575,
IF(ISNUMBER(FIND("T6",B3128)),690,"")))),
"")</f>
        <v>440</v>
      </c>
    </row>
    <row r="3129" spans="1:7" x14ac:dyDescent="0.25">
      <c r="A3129">
        <v>14479687</v>
      </c>
      <c r="B3129" t="str">
        <f>VLOOKUP(A3129,Planilha2!B:C,2,0)</f>
        <v>INVERSOR BRCFW110017T4OYWSIZ</v>
      </c>
      <c r="C3129" t="s">
        <v>3169</v>
      </c>
      <c r="D3129" t="str">
        <f>VLOOKUP(A3129,Planilha2!B:H,7,0)</f>
        <v>LINHA P7</v>
      </c>
      <c r="E3129" t="s">
        <v>3172</v>
      </c>
      <c r="F3129">
        <f>IFERROR(
IF(ISNUMBER(FIND("CFW110",B3129)),
VALUE(MID(B3129,FIND("CFW110",B3129)+6,FIND("T",B3129,FIND("CFW110",B3129))-(FIND("CFW110",B3129)+6))),
IF(ISNUMBER(FIND("D",B3129)),
VALUE(SUBSTITUTE(MID(B3129,FIND("D",B3129)+1,FIND("T",B3129,FIND("D",B3129))-(FIND("D",B3129)+1)),"P",",")),
IF(ISNUMBER(FIND("CFW5",B3129)),
VALUE(MID(B3129,
IF(ISNUMBER(FIND("F",B3129)),FIND("F",B3129)+1,FIND("G",B3129)+1),
FIND("T",B3129)-(IF(ISNUMBER(FIND("F",B3129)),FIND("F",B3129)+1,FIND("G",B3129)+1))
)),
VALUE(MID(B3129,FIND("E0",B3129)+2,FIND("T",B3129,FIND("E0",B3129))-(FIND("E0",B3129)+2)))
))),"")</f>
        <v>17</v>
      </c>
      <c r="G3129">
        <f>IFERROR(
IF(ISNUMBER(FIND("T2",B3129)),220,
IF(ISNUMBER(FIND("T4",B3129)),440,
IF(ISNUMBER(FIND("T5",B3129)),575,
IF(ISNUMBER(FIND("T6",B3129)),690,"")))),
"")</f>
        <v>440</v>
      </c>
    </row>
    <row r="3130" spans="1:7" x14ac:dyDescent="0.25">
      <c r="A3130">
        <v>14479912</v>
      </c>
      <c r="B3130" t="str">
        <f>VLOOKUP(A3130,Planilha2!B:C,2,0)</f>
        <v>INVERSOR BRCFW110031T4OYWSIZ</v>
      </c>
      <c r="C3130" t="s">
        <v>3169</v>
      </c>
      <c r="D3130" t="str">
        <f>VLOOKUP(A3130,Planilha2!B:H,7,0)</f>
        <v>LINHA P7</v>
      </c>
      <c r="E3130" t="s">
        <v>3172</v>
      </c>
      <c r="F3130">
        <f>IFERROR(
IF(ISNUMBER(FIND("CFW110",B3130)),
VALUE(MID(B3130,FIND("CFW110",B3130)+6,FIND("T",B3130,FIND("CFW110",B3130))-(FIND("CFW110",B3130)+6))),
IF(ISNUMBER(FIND("D",B3130)),
VALUE(SUBSTITUTE(MID(B3130,FIND("D",B3130)+1,FIND("T",B3130,FIND("D",B3130))-(FIND("D",B3130)+1)),"P",",")),
IF(ISNUMBER(FIND("CFW5",B3130)),
VALUE(MID(B3130,
IF(ISNUMBER(FIND("F",B3130)),FIND("F",B3130)+1,FIND("G",B3130)+1),
FIND("T",B3130)-(IF(ISNUMBER(FIND("F",B3130)),FIND("F",B3130)+1,FIND("G",B3130)+1))
)),
VALUE(MID(B3130,FIND("E0",B3130)+2,FIND("T",B3130,FIND("E0",B3130))-(FIND("E0",B3130)+2)))
))),"")</f>
        <v>31</v>
      </c>
      <c r="G3130">
        <f>IFERROR(
IF(ISNUMBER(FIND("T2",B3130)),220,
IF(ISNUMBER(FIND("T4",B3130)),440,
IF(ISNUMBER(FIND("T5",B3130)),575,
IF(ISNUMBER(FIND("T6",B3130)),690,"")))),
"")</f>
        <v>440</v>
      </c>
    </row>
    <row r="3131" spans="1:7" x14ac:dyDescent="0.25">
      <c r="A3131">
        <v>14479913</v>
      </c>
      <c r="B3131" t="str">
        <f>VLOOKUP(A3131,Planilha2!B:C,2,0)</f>
        <v>INVERSOR BRCFW110007T2OYWSIZ</v>
      </c>
      <c r="C3131" t="s">
        <v>3169</v>
      </c>
      <c r="D3131" t="str">
        <f>VLOOKUP(A3131,Planilha2!B:H,7,0)</f>
        <v>LINHA P5</v>
      </c>
      <c r="E3131" s="5">
        <v>4500</v>
      </c>
      <c r="F3131">
        <f>IFERROR(
IF(ISNUMBER(FIND("CFW110",B3131)),
VALUE(MID(B3131,FIND("CFW110",B3131)+6,FIND("T",B3131,FIND("CFW110",B3131))-(FIND("CFW110",B3131)+6))),
IF(ISNUMBER(FIND("D",B3131)),
VALUE(SUBSTITUTE(MID(B3131,FIND("D",B3131)+1,FIND("T",B3131,FIND("D",B3131))-(FIND("D",B3131)+1)),"P",",")),
IF(ISNUMBER(FIND("CFW5",B3131)),
VALUE(MID(B3131,
IF(ISNUMBER(FIND("F",B3131)),FIND("F",B3131)+1,FIND("G",B3131)+1),
FIND("T",B3131)-(IF(ISNUMBER(FIND("F",B3131)),FIND("F",B3131)+1,FIND("G",B3131)+1))
)),
VALUE(MID(B3131,FIND("E0",B3131)+2,FIND("T",B3131,FIND("E0",B3131))-(FIND("E0",B3131)+2)))
))),"")</f>
        <v>7</v>
      </c>
      <c r="G3131">
        <f>IFERROR(
IF(ISNUMBER(FIND("T2",B3131)),220,
IF(ISNUMBER(FIND("T4",B3131)),440,
IF(ISNUMBER(FIND("T5",B3131)),575,
IF(ISNUMBER(FIND("T6",B3131)),690,"")))),
"")</f>
        <v>220</v>
      </c>
    </row>
    <row r="3132" spans="1:7" x14ac:dyDescent="0.25">
      <c r="A3132">
        <v>14875795</v>
      </c>
      <c r="B3132" t="str">
        <f>VLOOKUP(A3132,Planilha2!B:C,2,0)</f>
        <v>INVERSOR MPW090024T3848G2Z</v>
      </c>
      <c r="C3132" t="s">
        <v>3169</v>
      </c>
      <c r="D3132" t="str">
        <f>VLOOKUP(A3132,Planilha2!B:H,7,0)</f>
        <v>LINHA P4</v>
      </c>
      <c r="E3132" s="5">
        <v>2800</v>
      </c>
      <c r="F3132" t="str">
        <f>IFERROR(
IF(ISNUMBER(FIND("CFW110",B3132)),
VALUE(MID(B3132,FIND("CFW110",B3132)+6,FIND("T",B3132,FIND("CFW110",B3132))-(FIND("CFW110",B3132)+6))),
IF(ISNUMBER(FIND("D",B3132)),
VALUE(SUBSTITUTE(MID(B3132,FIND("D",B3132)+1,FIND("T",B3132,FIND("D",B3132))-(FIND("D",B3132)+1)),"P",",")),
IF(ISNUMBER(FIND("CFW5",B3132)),
VALUE(MID(B3132,
IF(ISNUMBER(FIND("F",B3132)),FIND("F",B3132)+1,FIND("G",B3132)+1),
FIND("T",B3132)-(IF(ISNUMBER(FIND("F",B3132)),FIND("F",B3132)+1,FIND("G",B3132)+1))
)),
VALUE(MID(B3132,FIND("E0",B3132)+2,FIND("T",B3132,FIND("E0",B3132))-(FIND("E0",B3132)+2)))
))),"")</f>
        <v/>
      </c>
      <c r="G3132" t="str">
        <f>IFERROR(
IF(ISNUMBER(FIND("T2",B3132)),220,
IF(ISNUMBER(FIND("T4",B3132)),440,
IF(ISNUMBER(FIND("T5",B3132)),575,
IF(ISNUMBER(FIND("T6",B3132)),690,"")))),
"")</f>
        <v/>
      </c>
    </row>
    <row r="3133" spans="1:7" x14ac:dyDescent="0.25">
      <c r="A3133">
        <v>13922752</v>
      </c>
      <c r="B3133" t="str">
        <f>VLOOKUP(A3133,Planilha2!B:C,2,0)</f>
        <v>INVERSOR EUCFW110031T4O55FADSYZ</v>
      </c>
      <c r="C3133" t="s">
        <v>3169</v>
      </c>
      <c r="D3133" t="str">
        <f>VLOOKUP(A3133,Planilha2!B:H,7,0)</f>
        <v>LINHA M3</v>
      </c>
      <c r="E3133" s="5">
        <v>10722</v>
      </c>
      <c r="F3133">
        <f>IFERROR(
IF(ISNUMBER(FIND("CFW110",B3133)),
VALUE(MID(B3133,FIND("CFW110",B3133)+6,FIND("T",B3133,FIND("CFW110",B3133))-(FIND("CFW110",B3133)+6))),
IF(ISNUMBER(FIND("D",B3133)),
VALUE(SUBSTITUTE(MID(B3133,FIND("D",B3133)+1,FIND("T",B3133,FIND("D",B3133))-(FIND("D",B3133)+1)),"P",",")),
IF(ISNUMBER(FIND("CFW5",B3133)),
VALUE(MID(B3133,
IF(ISNUMBER(FIND("F",B3133)),FIND("F",B3133)+1,FIND("G",B3133)+1),
FIND("T",B3133)-(IF(ISNUMBER(FIND("F",B3133)),FIND("F",B3133)+1,FIND("G",B3133)+1))
)),
VALUE(MID(B3133,FIND("E0",B3133)+2,FIND("T",B3133,FIND("E0",B3133))-(FIND("E0",B3133)+2)))
))),"")</f>
        <v>31</v>
      </c>
      <c r="G3133">
        <f>IFERROR(
IF(ISNUMBER(FIND("T2",B3133)),220,
IF(ISNUMBER(FIND("T4",B3133)),440,
IF(ISNUMBER(FIND("T5",B3133)),575,
IF(ISNUMBER(FIND("T6",B3133)),690,"")))),
"")</f>
        <v>440</v>
      </c>
    </row>
    <row r="3134" spans="1:7" x14ac:dyDescent="0.25">
      <c r="A3134">
        <v>14184255</v>
      </c>
      <c r="B3134" t="str">
        <f>VLOOKUP(A3134,Planilha2!B:C,2,0)</f>
        <v>INVERSOR BRCFW110010T4O55FAZ</v>
      </c>
      <c r="C3134" t="s">
        <v>3169</v>
      </c>
      <c r="D3134" t="str">
        <f>VLOOKUP(A3134,Planilha2!B:H,7,0)</f>
        <v>LINHA M3</v>
      </c>
      <c r="E3134" s="5">
        <v>4500</v>
      </c>
      <c r="F3134">
        <f>IFERROR(
IF(ISNUMBER(FIND("CFW110",B3134)),
VALUE(MID(B3134,FIND("CFW110",B3134)+6,FIND("T",B3134,FIND("CFW110",B3134))-(FIND("CFW110",B3134)+6))),
IF(ISNUMBER(FIND("D",B3134)),
VALUE(SUBSTITUTE(MID(B3134,FIND("D",B3134)+1,FIND("T",B3134,FIND("D",B3134))-(FIND("D",B3134)+1)),"P",",")),
IF(ISNUMBER(FIND("CFW5",B3134)),
VALUE(MID(B3134,
IF(ISNUMBER(FIND("F",B3134)),FIND("F",B3134)+1,FIND("G",B3134)+1),
FIND("T",B3134)-(IF(ISNUMBER(FIND("F",B3134)),FIND("F",B3134)+1,FIND("G",B3134)+1))
)),
VALUE(MID(B3134,FIND("E0",B3134)+2,FIND("T",B3134,FIND("E0",B3134))-(FIND("E0",B3134)+2)))
))),"")</f>
        <v>10</v>
      </c>
      <c r="G3134">
        <f>IFERROR(
IF(ISNUMBER(FIND("T2",B3134)),220,
IF(ISNUMBER(FIND("T4",B3134)),440,
IF(ISNUMBER(FIND("T5",B3134)),575,
IF(ISNUMBER(FIND("T6",B3134)),690,"")))),
"")</f>
        <v>440</v>
      </c>
    </row>
    <row r="3135" spans="1:7" x14ac:dyDescent="0.25">
      <c r="A3135">
        <v>14184312</v>
      </c>
      <c r="B3135" t="str">
        <f>VLOOKUP(A3135,Planilha2!B:C,2,0)</f>
        <v>INVERSOR BRCFW110031T4O55FAZ</v>
      </c>
      <c r="C3135" t="s">
        <v>3169</v>
      </c>
      <c r="D3135" t="str">
        <f>VLOOKUP(A3135,Planilha2!B:H,7,0)</f>
        <v>LINHA M3</v>
      </c>
      <c r="E3135" s="5">
        <v>4500</v>
      </c>
      <c r="F3135">
        <f>IFERROR(
IF(ISNUMBER(FIND("CFW110",B3135)),
VALUE(MID(B3135,FIND("CFW110",B3135)+6,FIND("T",B3135,FIND("CFW110",B3135))-(FIND("CFW110",B3135)+6))),
IF(ISNUMBER(FIND("D",B3135)),
VALUE(SUBSTITUTE(MID(B3135,FIND("D",B3135)+1,FIND("T",B3135,FIND("D",B3135))-(FIND("D",B3135)+1)),"P",",")),
IF(ISNUMBER(FIND("CFW5",B3135)),
VALUE(MID(B3135,
IF(ISNUMBER(FIND("F",B3135)),FIND("F",B3135)+1,FIND("G",B3135)+1),
FIND("T",B3135)-(IF(ISNUMBER(FIND("F",B3135)),FIND("F",B3135)+1,FIND("G",B3135)+1))
)),
VALUE(MID(B3135,FIND("E0",B3135)+2,FIND("T",B3135,FIND("E0",B3135))-(FIND("E0",B3135)+2)))
))),"")</f>
        <v>31</v>
      </c>
      <c r="G3135">
        <f>IFERROR(
IF(ISNUMBER(FIND("T2",B3135)),220,
IF(ISNUMBER(FIND("T4",B3135)),440,
IF(ISNUMBER(FIND("T5",B3135)),575,
IF(ISNUMBER(FIND("T6",B3135)),690,"")))),
"")</f>
        <v>440</v>
      </c>
    </row>
    <row r="3136" spans="1:7" x14ac:dyDescent="0.25">
      <c r="A3136">
        <v>14184309</v>
      </c>
      <c r="B3136" t="str">
        <f>VLOOKUP(A3136,Planilha2!B:C,2,0)</f>
        <v>INVERSOR BRCFW110024T4O55FAZ</v>
      </c>
      <c r="C3136" t="s">
        <v>3169</v>
      </c>
      <c r="D3136" t="str">
        <f>VLOOKUP(A3136,Planilha2!B:H,7,0)</f>
        <v>LINHA M3</v>
      </c>
      <c r="E3136" s="5">
        <v>4500</v>
      </c>
      <c r="F3136">
        <f>IFERROR(
IF(ISNUMBER(FIND("CFW110",B3136)),
VALUE(MID(B3136,FIND("CFW110",B3136)+6,FIND("T",B3136,FIND("CFW110",B3136))-(FIND("CFW110",B3136)+6))),
IF(ISNUMBER(FIND("D",B3136)),
VALUE(SUBSTITUTE(MID(B3136,FIND("D",B3136)+1,FIND("T",B3136,FIND("D",B3136))-(FIND("D",B3136)+1)),"P",",")),
IF(ISNUMBER(FIND("CFW5",B3136)),
VALUE(MID(B3136,
IF(ISNUMBER(FIND("F",B3136)),FIND("F",B3136)+1,FIND("G",B3136)+1),
FIND("T",B3136)-(IF(ISNUMBER(FIND("F",B3136)),FIND("F",B3136)+1,FIND("G",B3136)+1))
)),
VALUE(MID(B3136,FIND("E0",B3136)+2,FIND("T",B3136,FIND("E0",B3136))-(FIND("E0",B3136)+2)))
))),"")</f>
        <v>24</v>
      </c>
      <c r="G3136">
        <f>IFERROR(
IF(ISNUMBER(FIND("T2",B3136)),220,
IF(ISNUMBER(FIND("T4",B3136)),440,
IF(ISNUMBER(FIND("T5",B3136)),575,
IF(ISNUMBER(FIND("T6",B3136)),690,"")))),
"")</f>
        <v>440</v>
      </c>
    </row>
    <row r="3137" spans="1:7" x14ac:dyDescent="0.25">
      <c r="A3137">
        <v>14184308</v>
      </c>
      <c r="B3137" t="str">
        <f>VLOOKUP(A3137,Planilha2!B:C,2,0)</f>
        <v>INVERSOR BRCFW110013T4O55FAZ</v>
      </c>
      <c r="C3137" t="s">
        <v>3169</v>
      </c>
      <c r="D3137" t="str">
        <f>VLOOKUP(A3137,Planilha2!B:H,7,0)</f>
        <v>LINHA M3</v>
      </c>
      <c r="E3137" s="5">
        <v>4500</v>
      </c>
      <c r="F3137">
        <f>IFERROR(
IF(ISNUMBER(FIND("CFW110",B3137)),
VALUE(MID(B3137,FIND("CFW110",B3137)+6,FIND("T",B3137,FIND("CFW110",B3137))-(FIND("CFW110",B3137)+6))),
IF(ISNUMBER(FIND("D",B3137)),
VALUE(SUBSTITUTE(MID(B3137,FIND("D",B3137)+1,FIND("T",B3137,FIND("D",B3137))-(FIND("D",B3137)+1)),"P",",")),
IF(ISNUMBER(FIND("CFW5",B3137)),
VALUE(MID(B3137,
IF(ISNUMBER(FIND("F",B3137)),FIND("F",B3137)+1,FIND("G",B3137)+1),
FIND("T",B3137)-(IF(ISNUMBER(FIND("F",B3137)),FIND("F",B3137)+1,FIND("G",B3137)+1))
)),
VALUE(MID(B3137,FIND("E0",B3137)+2,FIND("T",B3137,FIND("E0",B3137))-(FIND("E0",B3137)+2)))
))),"")</f>
        <v>13</v>
      </c>
      <c r="G3137">
        <f>IFERROR(
IF(ISNUMBER(FIND("T2",B3137)),220,
IF(ISNUMBER(FIND("T4",B3137)),440,
IF(ISNUMBER(FIND("T5",B3137)),575,
IF(ISNUMBER(FIND("T6",B3137)),690,"")))),
"")</f>
        <v>440</v>
      </c>
    </row>
    <row r="3138" spans="1:7" x14ac:dyDescent="0.25">
      <c r="A3138">
        <v>14184252</v>
      </c>
      <c r="B3138" t="str">
        <f>VLOOKUP(A3138,Planilha2!B:C,2,0)</f>
        <v>INVERSOR BRCFW110024T2O55FAZ</v>
      </c>
      <c r="C3138" t="s">
        <v>3169</v>
      </c>
      <c r="D3138" t="str">
        <f>VLOOKUP(A3138,Planilha2!B:H,7,0)</f>
        <v>LINHA M3</v>
      </c>
      <c r="E3138" s="5">
        <v>4500</v>
      </c>
      <c r="F3138">
        <f>IFERROR(
IF(ISNUMBER(FIND("CFW110",B3138)),
VALUE(MID(B3138,FIND("CFW110",B3138)+6,FIND("T",B3138,FIND("CFW110",B3138))-(FIND("CFW110",B3138)+6))),
IF(ISNUMBER(FIND("D",B3138)),
VALUE(SUBSTITUTE(MID(B3138,FIND("D",B3138)+1,FIND("T",B3138,FIND("D",B3138))-(FIND("D",B3138)+1)),"P",",")),
IF(ISNUMBER(FIND("CFW5",B3138)),
VALUE(MID(B3138,
IF(ISNUMBER(FIND("F",B3138)),FIND("F",B3138)+1,FIND("G",B3138)+1),
FIND("T",B3138)-(IF(ISNUMBER(FIND("F",B3138)),FIND("F",B3138)+1,FIND("G",B3138)+1))
)),
VALUE(MID(B3138,FIND("E0",B3138)+2,FIND("T",B3138,FIND("E0",B3138))-(FIND("E0",B3138)+2)))
))),"")</f>
        <v>24</v>
      </c>
      <c r="G3138">
        <f>IFERROR(
IF(ISNUMBER(FIND("T2",B3138)),220,
IF(ISNUMBER(FIND("T4",B3138)),440,
IF(ISNUMBER(FIND("T5",B3138)),575,
IF(ISNUMBER(FIND("T6",B3138)),690,"")))),
"")</f>
        <v>220</v>
      </c>
    </row>
    <row r="3139" spans="1:7" x14ac:dyDescent="0.25">
      <c r="A3139">
        <v>14184172</v>
      </c>
      <c r="B3139" t="str">
        <f>VLOOKUP(A3139,Planilha2!B:C,2,0)</f>
        <v>INVERSOR BRCFW110033T2O55FAZ</v>
      </c>
      <c r="C3139" t="s">
        <v>3169</v>
      </c>
      <c r="D3139" t="str">
        <f>VLOOKUP(A3139,Planilha2!B:H,7,0)</f>
        <v>LINHA M3</v>
      </c>
      <c r="E3139" s="5">
        <v>4500</v>
      </c>
      <c r="F3139">
        <f>IFERROR(
IF(ISNUMBER(FIND("CFW110",B3139)),
VALUE(MID(B3139,FIND("CFW110",B3139)+6,FIND("T",B3139,FIND("CFW110",B3139))-(FIND("CFW110",B3139)+6))),
IF(ISNUMBER(FIND("D",B3139)),
VALUE(SUBSTITUTE(MID(B3139,FIND("D",B3139)+1,FIND("T",B3139,FIND("D",B3139))-(FIND("D",B3139)+1)),"P",",")),
IF(ISNUMBER(FIND("CFW5",B3139)),
VALUE(MID(B3139,
IF(ISNUMBER(FIND("F",B3139)),FIND("F",B3139)+1,FIND("G",B3139)+1),
FIND("T",B3139)-(IF(ISNUMBER(FIND("F",B3139)),FIND("F",B3139)+1,FIND("G",B3139)+1))
)),
VALUE(MID(B3139,FIND("E0",B3139)+2,FIND("T",B3139,FIND("E0",B3139))-(FIND("E0",B3139)+2)))
))),"")</f>
        <v>33</v>
      </c>
      <c r="G3139">
        <f>IFERROR(
IF(ISNUMBER(FIND("T2",B3139)),220,
IF(ISNUMBER(FIND("T4",B3139)),440,
IF(ISNUMBER(FIND("T5",B3139)),575,
IF(ISNUMBER(FIND("T6",B3139)),690,"")))),
"")</f>
        <v>220</v>
      </c>
    </row>
    <row r="3140" spans="1:7" x14ac:dyDescent="0.25">
      <c r="A3140">
        <v>14184171</v>
      </c>
      <c r="B3140" t="str">
        <f>VLOOKUP(A3140,Planilha2!B:C,2,0)</f>
        <v>INVERSOR BRCFW110028T2O55FAZ</v>
      </c>
      <c r="C3140" t="s">
        <v>3169</v>
      </c>
      <c r="D3140" t="str">
        <f>VLOOKUP(A3140,Planilha2!B:H,7,0)</f>
        <v>LINHA M3</v>
      </c>
      <c r="E3140" s="5">
        <v>4500</v>
      </c>
      <c r="F3140">
        <f>IFERROR(
IF(ISNUMBER(FIND("CFW110",B3140)),
VALUE(MID(B3140,FIND("CFW110",B3140)+6,FIND("T",B3140,FIND("CFW110",B3140))-(FIND("CFW110",B3140)+6))),
IF(ISNUMBER(FIND("D",B3140)),
VALUE(SUBSTITUTE(MID(B3140,FIND("D",B3140)+1,FIND("T",B3140,FIND("D",B3140))-(FIND("D",B3140)+1)),"P",",")),
IF(ISNUMBER(FIND("CFW5",B3140)),
VALUE(MID(B3140,
IF(ISNUMBER(FIND("F",B3140)),FIND("F",B3140)+1,FIND("G",B3140)+1),
FIND("T",B3140)-(IF(ISNUMBER(FIND("F",B3140)),FIND("F",B3140)+1,FIND("G",B3140)+1))
)),
VALUE(MID(B3140,FIND("E0",B3140)+2,FIND("T",B3140,FIND("E0",B3140))-(FIND("E0",B3140)+2)))
))),"")</f>
        <v>28</v>
      </c>
      <c r="G3140">
        <f>IFERROR(
IF(ISNUMBER(FIND("T2",B3140)),220,
IF(ISNUMBER(FIND("T4",B3140)),440,
IF(ISNUMBER(FIND("T5",B3140)),575,
IF(ISNUMBER(FIND("T6",B3140)),690,"")))),
"")</f>
        <v>220</v>
      </c>
    </row>
    <row r="3141" spans="1:7" x14ac:dyDescent="0.25">
      <c r="A3141">
        <v>15324519</v>
      </c>
      <c r="B3141" t="str">
        <f>VLOOKUP(A3141,Planilha2!B:C,2,0)</f>
        <v>INVERSOR MPW090016T3848G2Z</v>
      </c>
      <c r="C3141" t="s">
        <v>3169</v>
      </c>
      <c r="D3141" t="str">
        <f>VLOOKUP(A3141,Planilha2!B:H,7,0)</f>
        <v>LINHA P4</v>
      </c>
      <c r="E3141" s="5">
        <v>6408</v>
      </c>
    </row>
    <row r="3142" spans="1:7" x14ac:dyDescent="0.25">
      <c r="A3142">
        <v>15329102</v>
      </c>
      <c r="B3142" t="str">
        <f>VLOOKUP(A3142,Planilha2!B:C,2,0)</f>
        <v>INVERSOR MPW090024T2223G2Z</v>
      </c>
      <c r="C3142" t="s">
        <v>3169</v>
      </c>
      <c r="D3142" t="str">
        <f>VLOOKUP(A3142,Planilha2!B:H,7,0)</f>
        <v>LINHA P4</v>
      </c>
      <c r="E3142" s="5">
        <v>5300</v>
      </c>
    </row>
    <row r="3143" spans="1:7" x14ac:dyDescent="0.25">
      <c r="A3143">
        <v>15329103</v>
      </c>
      <c r="B3143" t="str">
        <f>VLOOKUP(A3143,Planilha2!B:C,2,0)</f>
        <v>INVERSOR MPW090028T2223G2Z</v>
      </c>
      <c r="C3143" t="s">
        <v>3169</v>
      </c>
      <c r="D3143" t="str">
        <f>VLOOKUP(A3143,Planilha2!B:H,7,0)</f>
        <v>LINHA P4</v>
      </c>
      <c r="E3143" s="5">
        <v>5300</v>
      </c>
    </row>
    <row r="3144" spans="1:7" x14ac:dyDescent="0.25">
      <c r="A3144">
        <v>15329105</v>
      </c>
      <c r="B3144" t="str">
        <f>VLOOKUP(A3144,Planilha2!B:C,2,0)</f>
        <v>INVERSOR MPW090033T2223G2Z</v>
      </c>
      <c r="C3144" t="s">
        <v>3169</v>
      </c>
      <c r="D3144" t="str">
        <f>VLOOKUP(A3144,Planilha2!B:H,7,0)</f>
        <v>LINHA P4</v>
      </c>
      <c r="E3144" s="5">
        <v>5300</v>
      </c>
    </row>
    <row r="3145" spans="1:7" x14ac:dyDescent="0.25">
      <c r="A3145">
        <v>14255061</v>
      </c>
      <c r="B3145" t="str">
        <f>VLOOKUP(A3145,Planilha2!B:C,2,0)</f>
        <v>INVERSOR CFW700B10P0T4DB55C3Y1</v>
      </c>
      <c r="C3145" t="s">
        <v>3169</v>
      </c>
      <c r="D3145" t="str">
        <f>VLOOKUP(A3145,Planilha2!B:H,7,0)</f>
        <v>OBSOLETOS DRIVES</v>
      </c>
      <c r="E3145" s="5">
        <v>4500</v>
      </c>
    </row>
    <row r="3146" spans="1:7" x14ac:dyDescent="0.25">
      <c r="A3146">
        <v>14292971</v>
      </c>
      <c r="B3146" t="str">
        <f>VLOOKUP(A3146,Planilha2!B:C,2,0)</f>
        <v>INVERSOR BRCFW110017T4OFASSZ</v>
      </c>
      <c r="C3146" t="s">
        <v>3169</v>
      </c>
      <c r="D3146" t="str">
        <f>VLOOKUP(A3146,Planilha2!B:H,7,0)</f>
        <v>LINHA P7</v>
      </c>
      <c r="E3146" s="5">
        <v>8900</v>
      </c>
    </row>
    <row r="3147" spans="1:7" x14ac:dyDescent="0.25">
      <c r="A3147">
        <v>14518482</v>
      </c>
      <c r="B3147" t="str">
        <f>VLOOKUP(A3147,Planilha2!B:C,2,0)</f>
        <v>INVERSOR BRCFW110024T4OFAH4Z</v>
      </c>
      <c r="C3147" t="s">
        <v>3169</v>
      </c>
      <c r="D3147" t="str">
        <f>VLOOKUP(A3147,Planilha2!B:H,7,0)</f>
        <v>LINHA P7</v>
      </c>
      <c r="E3147" s="5">
        <v>8900</v>
      </c>
    </row>
    <row r="3148" spans="1:7" x14ac:dyDescent="0.25">
      <c r="A3148">
        <v>14538183</v>
      </c>
      <c r="B3148" t="str">
        <f>VLOOKUP(A3148,Planilha2!B:C,2,0)</f>
        <v>INVERSOR BRCFW110007T2OSSZ</v>
      </c>
      <c r="C3148" t="s">
        <v>3169</v>
      </c>
      <c r="D3148" t="str">
        <f>VLOOKUP(A3148,Planilha2!B:H,7,0)</f>
        <v>LINHA P5</v>
      </c>
      <c r="E3148" s="5">
        <v>5050</v>
      </c>
    </row>
    <row r="3149" spans="1:7" x14ac:dyDescent="0.25">
      <c r="A3149">
        <v>14579978</v>
      </c>
      <c r="B3149" t="str">
        <f>VLOOKUP(A3149,Planilha2!B:C,2,0)</f>
        <v>INVERSOR BRCFW110031T4OSSZ</v>
      </c>
      <c r="C3149" t="s">
        <v>3169</v>
      </c>
      <c r="D3149" t="str">
        <f>VLOOKUP(A3149,Planilha2!B:H,7,0)</f>
        <v>LINHA P7</v>
      </c>
      <c r="E3149" s="5">
        <v>10400</v>
      </c>
    </row>
    <row r="3150" spans="1:7" x14ac:dyDescent="0.25">
      <c r="A3150">
        <v>15504588</v>
      </c>
      <c r="B3150" t="str">
        <f>VLOOKUP(A3150,Planilha2!B:C,2,0)</f>
        <v>INVERSOR EUCFW110007T4OFAYSUZ</v>
      </c>
      <c r="C3150" t="s">
        <v>3169</v>
      </c>
      <c r="D3150" t="str">
        <f>VLOOKUP(A3150,Planilha2!B:H,7,0)</f>
        <v>LINHA P5</v>
      </c>
      <c r="E3150" t="s">
        <v>3172</v>
      </c>
    </row>
    <row r="3151" spans="1:7" x14ac:dyDescent="0.25">
      <c r="A3151">
        <v>14518610</v>
      </c>
      <c r="B3151" t="str">
        <f>VLOOKUP(A3151,Planilha2!B:C,2,0)</f>
        <v>INVERSOR BRCFW110031T4OFAH4Z</v>
      </c>
      <c r="C3151" t="s">
        <v>3169</v>
      </c>
      <c r="D3151" t="str">
        <f>VLOOKUP(A3151,Planilha2!B:H,7,0)</f>
        <v>LINHA P7</v>
      </c>
      <c r="E3151" s="5">
        <v>4892</v>
      </c>
    </row>
    <row r="3152" spans="1:7" x14ac:dyDescent="0.25">
      <c r="A3152">
        <v>14541095</v>
      </c>
      <c r="B3152" t="str">
        <f>VLOOKUP(A3152,Planilha2!B:C,2,0)</f>
        <v>INVERSOR BRCFW110013T4OYWSIZ</v>
      </c>
      <c r="C3152" t="s">
        <v>3169</v>
      </c>
      <c r="D3152" t="str">
        <f>VLOOKUP(A3152,Planilha2!B:H,7,0)</f>
        <v>LINHA P5</v>
      </c>
      <c r="E3152" s="5">
        <v>6300</v>
      </c>
    </row>
  </sheetData>
  <autoFilter ref="F1:G3152" xr:uid="{736321AA-FAF7-483E-8B49-A4C2373148F9}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96EF-2136-45A1-82FD-14439A757599}">
  <sheetPr codeName="Planilha2"/>
  <dimension ref="A1:Q3152"/>
  <sheetViews>
    <sheetView workbookViewId="0">
      <selection activeCell="B1" sqref="B1:B1048576"/>
    </sheetView>
  </sheetViews>
  <sheetFormatPr defaultRowHeight="15" x14ac:dyDescent="0.25"/>
  <sheetData>
    <row r="1" spans="1:17" ht="30" x14ac:dyDescent="0.2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3" t="s">
        <v>18</v>
      </c>
      <c r="B2" s="3">
        <v>10193860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24</v>
      </c>
      <c r="K2" s="3" t="s">
        <v>25</v>
      </c>
      <c r="L2" s="4">
        <v>0</v>
      </c>
      <c r="M2" s="3" t="s">
        <v>26</v>
      </c>
      <c r="N2" s="3" t="s">
        <v>24</v>
      </c>
      <c r="O2" s="4">
        <v>1</v>
      </c>
      <c r="P2" s="4">
        <v>4</v>
      </c>
      <c r="Q2" s="4">
        <v>1</v>
      </c>
    </row>
    <row r="3" spans="1:17" x14ac:dyDescent="0.25">
      <c r="A3" s="3" t="s">
        <v>18</v>
      </c>
      <c r="B3" s="3">
        <v>10193861</v>
      </c>
      <c r="C3" s="3" t="s">
        <v>27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24</v>
      </c>
      <c r="K3" s="3" t="s">
        <v>25</v>
      </c>
      <c r="L3" s="4">
        <v>0</v>
      </c>
      <c r="M3" s="3" t="s">
        <v>26</v>
      </c>
      <c r="N3" s="3" t="s">
        <v>24</v>
      </c>
      <c r="O3" s="4">
        <v>1</v>
      </c>
      <c r="P3" s="4">
        <v>4</v>
      </c>
      <c r="Q3" s="4">
        <v>1</v>
      </c>
    </row>
    <row r="4" spans="1:17" x14ac:dyDescent="0.25">
      <c r="A4" s="3" t="s">
        <v>18</v>
      </c>
      <c r="B4" s="3">
        <v>10193862</v>
      </c>
      <c r="C4" s="3" t="s">
        <v>28</v>
      </c>
      <c r="D4" s="3" t="s">
        <v>20</v>
      </c>
      <c r="E4" s="3" t="s">
        <v>21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24</v>
      </c>
      <c r="K4" s="3" t="s">
        <v>25</v>
      </c>
      <c r="L4" s="4">
        <v>0</v>
      </c>
      <c r="M4" s="3" t="s">
        <v>26</v>
      </c>
      <c r="N4" s="3" t="s">
        <v>24</v>
      </c>
      <c r="O4" s="4">
        <v>1</v>
      </c>
      <c r="P4" s="4">
        <v>4</v>
      </c>
      <c r="Q4" s="4">
        <v>1</v>
      </c>
    </row>
    <row r="5" spans="1:17" x14ac:dyDescent="0.25">
      <c r="A5" s="3" t="s">
        <v>18</v>
      </c>
      <c r="B5" s="3">
        <v>10193863</v>
      </c>
      <c r="C5" s="3" t="s">
        <v>29</v>
      </c>
      <c r="D5" s="3" t="s">
        <v>20</v>
      </c>
      <c r="E5" s="3" t="s">
        <v>21</v>
      </c>
      <c r="F5" s="3" t="s">
        <v>21</v>
      </c>
      <c r="G5" s="3" t="s">
        <v>30</v>
      </c>
      <c r="H5" s="3" t="s">
        <v>31</v>
      </c>
      <c r="I5" s="3" t="s">
        <v>24</v>
      </c>
      <c r="J5" s="3" t="s">
        <v>24</v>
      </c>
      <c r="K5" s="3" t="s">
        <v>25</v>
      </c>
      <c r="L5" s="4">
        <v>0</v>
      </c>
      <c r="M5" s="3" t="s">
        <v>26</v>
      </c>
      <c r="N5" s="3" t="s">
        <v>24</v>
      </c>
      <c r="O5" s="4">
        <v>1</v>
      </c>
      <c r="P5" s="4">
        <v>8</v>
      </c>
      <c r="Q5" s="4">
        <v>1</v>
      </c>
    </row>
    <row r="6" spans="1:17" x14ac:dyDescent="0.25">
      <c r="A6" s="3" t="s">
        <v>18</v>
      </c>
      <c r="B6" s="3">
        <v>10193864</v>
      </c>
      <c r="C6" s="3" t="s">
        <v>32</v>
      </c>
      <c r="D6" s="3" t="s">
        <v>20</v>
      </c>
      <c r="E6" s="3" t="s">
        <v>21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24</v>
      </c>
      <c r="K6" s="3" t="s">
        <v>25</v>
      </c>
      <c r="L6" s="4">
        <v>0</v>
      </c>
      <c r="M6" s="3" t="s">
        <v>26</v>
      </c>
      <c r="N6" s="3" t="s">
        <v>24</v>
      </c>
      <c r="O6" s="4">
        <v>1</v>
      </c>
      <c r="P6" s="4">
        <v>4</v>
      </c>
      <c r="Q6" s="4">
        <v>1</v>
      </c>
    </row>
    <row r="7" spans="1:17" x14ac:dyDescent="0.25">
      <c r="A7" s="3" t="s">
        <v>18</v>
      </c>
      <c r="B7" s="3">
        <v>10193865</v>
      </c>
      <c r="C7" s="3" t="s">
        <v>33</v>
      </c>
      <c r="D7" s="3" t="s">
        <v>20</v>
      </c>
      <c r="E7" s="3" t="s">
        <v>21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24</v>
      </c>
      <c r="K7" s="3" t="s">
        <v>25</v>
      </c>
      <c r="L7" s="4">
        <v>0</v>
      </c>
      <c r="M7" s="3" t="s">
        <v>26</v>
      </c>
      <c r="N7" s="3" t="s">
        <v>24</v>
      </c>
      <c r="O7" s="4">
        <v>1</v>
      </c>
      <c r="P7" s="4">
        <v>4</v>
      </c>
      <c r="Q7" s="4">
        <v>1</v>
      </c>
    </row>
    <row r="8" spans="1:17" x14ac:dyDescent="0.25">
      <c r="A8" s="3" t="s">
        <v>18</v>
      </c>
      <c r="B8" s="3">
        <v>10193866</v>
      </c>
      <c r="C8" s="3" t="s">
        <v>34</v>
      </c>
      <c r="D8" s="3" t="s">
        <v>20</v>
      </c>
      <c r="E8" s="3" t="s">
        <v>21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24</v>
      </c>
      <c r="K8" s="3" t="s">
        <v>25</v>
      </c>
      <c r="L8" s="4">
        <v>0</v>
      </c>
      <c r="M8" s="3" t="s">
        <v>26</v>
      </c>
      <c r="N8" s="3" t="s">
        <v>24</v>
      </c>
      <c r="O8" s="4">
        <v>1</v>
      </c>
      <c r="P8" s="4">
        <v>4</v>
      </c>
      <c r="Q8" s="4">
        <v>1</v>
      </c>
    </row>
    <row r="9" spans="1:17" x14ac:dyDescent="0.25">
      <c r="A9" s="3" t="s">
        <v>18</v>
      </c>
      <c r="B9" s="3">
        <v>10193867</v>
      </c>
      <c r="C9" s="3" t="s">
        <v>35</v>
      </c>
      <c r="D9" s="3" t="s">
        <v>20</v>
      </c>
      <c r="E9" s="3" t="s">
        <v>21</v>
      </c>
      <c r="F9" s="3" t="s">
        <v>21</v>
      </c>
      <c r="G9" s="3" t="s">
        <v>36</v>
      </c>
      <c r="H9" s="3" t="s">
        <v>37</v>
      </c>
      <c r="I9" s="3" t="s">
        <v>24</v>
      </c>
      <c r="J9" s="3" t="s">
        <v>24</v>
      </c>
      <c r="K9" s="3" t="s">
        <v>25</v>
      </c>
      <c r="L9" s="4">
        <v>0</v>
      </c>
      <c r="M9" s="3" t="s">
        <v>26</v>
      </c>
      <c r="N9" s="3" t="s">
        <v>24</v>
      </c>
      <c r="O9" s="4">
        <v>1</v>
      </c>
      <c r="P9" s="4">
        <v>10</v>
      </c>
      <c r="Q9" s="4">
        <v>1</v>
      </c>
    </row>
    <row r="10" spans="1:17" x14ac:dyDescent="0.25">
      <c r="A10" s="3" t="s">
        <v>18</v>
      </c>
      <c r="B10" s="3">
        <v>10193868</v>
      </c>
      <c r="C10" s="3" t="s">
        <v>38</v>
      </c>
      <c r="D10" s="3" t="s">
        <v>20</v>
      </c>
      <c r="E10" s="3" t="s">
        <v>21</v>
      </c>
      <c r="F10" s="3" t="s">
        <v>21</v>
      </c>
      <c r="G10" s="3" t="s">
        <v>36</v>
      </c>
      <c r="H10" s="3" t="s">
        <v>37</v>
      </c>
      <c r="I10" s="3" t="s">
        <v>24</v>
      </c>
      <c r="J10" s="3" t="s">
        <v>24</v>
      </c>
      <c r="K10" s="3" t="s">
        <v>25</v>
      </c>
      <c r="L10" s="4">
        <v>0</v>
      </c>
      <c r="M10" s="3" t="s">
        <v>26</v>
      </c>
      <c r="N10" s="3" t="s">
        <v>24</v>
      </c>
      <c r="O10" s="4">
        <v>1</v>
      </c>
      <c r="P10" s="4">
        <v>10</v>
      </c>
      <c r="Q10" s="4">
        <v>1</v>
      </c>
    </row>
    <row r="11" spans="1:17" x14ac:dyDescent="0.25">
      <c r="A11" s="3" t="s">
        <v>18</v>
      </c>
      <c r="B11" s="3">
        <v>10193872</v>
      </c>
      <c r="C11" s="3" t="s">
        <v>39</v>
      </c>
      <c r="D11" s="3" t="s">
        <v>20</v>
      </c>
      <c r="E11" s="3" t="s">
        <v>21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24</v>
      </c>
      <c r="K11" s="3" t="s">
        <v>25</v>
      </c>
      <c r="L11" s="4">
        <v>0</v>
      </c>
      <c r="M11" s="3" t="s">
        <v>26</v>
      </c>
      <c r="N11" s="3" t="s">
        <v>24</v>
      </c>
      <c r="O11" s="4">
        <v>1</v>
      </c>
      <c r="P11" s="4">
        <v>4</v>
      </c>
      <c r="Q11" s="4">
        <v>1</v>
      </c>
    </row>
    <row r="12" spans="1:17" x14ac:dyDescent="0.25">
      <c r="A12" s="3" t="s">
        <v>18</v>
      </c>
      <c r="B12" s="3">
        <v>10193873</v>
      </c>
      <c r="C12" s="3" t="s">
        <v>40</v>
      </c>
      <c r="D12" s="3" t="s">
        <v>20</v>
      </c>
      <c r="E12" s="3" t="s">
        <v>21</v>
      </c>
      <c r="F12" s="3" t="s">
        <v>21</v>
      </c>
      <c r="G12" s="3" t="s">
        <v>30</v>
      </c>
      <c r="H12" s="3" t="s">
        <v>31</v>
      </c>
      <c r="I12" s="3" t="s">
        <v>24</v>
      </c>
      <c r="J12" s="3" t="s">
        <v>24</v>
      </c>
      <c r="K12" s="3" t="s">
        <v>25</v>
      </c>
      <c r="L12" s="4">
        <v>0</v>
      </c>
      <c r="M12" s="3" t="s">
        <v>26</v>
      </c>
      <c r="N12" s="3" t="s">
        <v>24</v>
      </c>
      <c r="O12" s="4">
        <v>1</v>
      </c>
      <c r="P12" s="4">
        <v>8</v>
      </c>
      <c r="Q12" s="4">
        <v>1</v>
      </c>
    </row>
    <row r="13" spans="1:17" x14ac:dyDescent="0.25">
      <c r="A13" s="3" t="s">
        <v>18</v>
      </c>
      <c r="B13" s="3">
        <v>10193874</v>
      </c>
      <c r="C13" s="3" t="s">
        <v>41</v>
      </c>
      <c r="D13" s="3" t="s">
        <v>20</v>
      </c>
      <c r="E13" s="3" t="s">
        <v>21</v>
      </c>
      <c r="F13" s="3" t="s">
        <v>21</v>
      </c>
      <c r="G13" s="3" t="s">
        <v>42</v>
      </c>
      <c r="H13" s="3" t="s">
        <v>43</v>
      </c>
      <c r="I13" s="3" t="s">
        <v>24</v>
      </c>
      <c r="J13" s="3" t="s">
        <v>24</v>
      </c>
      <c r="K13" s="3" t="s">
        <v>25</v>
      </c>
      <c r="L13" s="4">
        <v>0</v>
      </c>
      <c r="M13" s="3" t="s">
        <v>26</v>
      </c>
      <c r="N13" s="3" t="s">
        <v>24</v>
      </c>
      <c r="O13" s="4">
        <v>1</v>
      </c>
      <c r="P13" s="4">
        <v>8</v>
      </c>
      <c r="Q13" s="4">
        <v>1</v>
      </c>
    </row>
    <row r="14" spans="1:17" x14ac:dyDescent="0.25">
      <c r="A14" s="3" t="s">
        <v>18</v>
      </c>
      <c r="B14" s="3">
        <v>10193875</v>
      </c>
      <c r="C14" s="3" t="s">
        <v>44</v>
      </c>
      <c r="D14" s="3" t="s">
        <v>20</v>
      </c>
      <c r="E14" s="3" t="s">
        <v>21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24</v>
      </c>
      <c r="K14" s="3" t="s">
        <v>25</v>
      </c>
      <c r="L14" s="4">
        <v>0</v>
      </c>
      <c r="M14" s="3" t="s">
        <v>26</v>
      </c>
      <c r="N14" s="3" t="s">
        <v>24</v>
      </c>
      <c r="O14" s="4">
        <v>1</v>
      </c>
      <c r="P14" s="4">
        <v>4</v>
      </c>
      <c r="Q14" s="4">
        <v>1</v>
      </c>
    </row>
    <row r="15" spans="1:17" x14ac:dyDescent="0.25">
      <c r="A15" s="3" t="s">
        <v>18</v>
      </c>
      <c r="B15" s="3">
        <v>10193877</v>
      </c>
      <c r="C15" s="3" t="s">
        <v>45</v>
      </c>
      <c r="D15" s="3" t="s">
        <v>20</v>
      </c>
      <c r="E15" s="3" t="s">
        <v>21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24</v>
      </c>
      <c r="K15" s="3" t="s">
        <v>25</v>
      </c>
      <c r="L15" s="4">
        <v>0</v>
      </c>
      <c r="M15" s="3" t="s">
        <v>26</v>
      </c>
      <c r="N15" s="3" t="s">
        <v>24</v>
      </c>
      <c r="O15" s="4">
        <v>1</v>
      </c>
      <c r="P15" s="4">
        <v>4</v>
      </c>
      <c r="Q15" s="4">
        <v>1</v>
      </c>
    </row>
    <row r="16" spans="1:17" x14ac:dyDescent="0.25">
      <c r="A16" s="3" t="s">
        <v>18</v>
      </c>
      <c r="B16" s="3">
        <v>10193889</v>
      </c>
      <c r="C16" s="3" t="s">
        <v>46</v>
      </c>
      <c r="D16" s="3" t="s">
        <v>20</v>
      </c>
      <c r="E16" s="3" t="s">
        <v>21</v>
      </c>
      <c r="F16" s="3" t="s">
        <v>21</v>
      </c>
      <c r="G16" s="3" t="s">
        <v>30</v>
      </c>
      <c r="H16" s="3" t="s">
        <v>31</v>
      </c>
      <c r="I16" s="3" t="s">
        <v>24</v>
      </c>
      <c r="J16" s="3" t="s">
        <v>24</v>
      </c>
      <c r="K16" s="3" t="s">
        <v>25</v>
      </c>
      <c r="L16" s="4">
        <v>0</v>
      </c>
      <c r="M16" s="3" t="s">
        <v>26</v>
      </c>
      <c r="N16" s="3" t="s">
        <v>24</v>
      </c>
      <c r="O16" s="4">
        <v>1</v>
      </c>
      <c r="P16" s="4">
        <v>9</v>
      </c>
      <c r="Q16" s="4">
        <v>1</v>
      </c>
    </row>
    <row r="17" spans="1:17" x14ac:dyDescent="0.25">
      <c r="A17" s="3" t="s">
        <v>18</v>
      </c>
      <c r="B17" s="3">
        <v>10234047</v>
      </c>
      <c r="C17" s="3" t="s">
        <v>47</v>
      </c>
      <c r="D17" s="3" t="s">
        <v>20</v>
      </c>
      <c r="E17" s="3" t="s">
        <v>21</v>
      </c>
      <c r="F17" s="3" t="s">
        <v>21</v>
      </c>
      <c r="G17" s="3" t="s">
        <v>30</v>
      </c>
      <c r="H17" s="3" t="s">
        <v>31</v>
      </c>
      <c r="I17" s="3" t="s">
        <v>24</v>
      </c>
      <c r="J17" s="3" t="s">
        <v>24</v>
      </c>
      <c r="K17" s="3" t="s">
        <v>25</v>
      </c>
      <c r="L17" s="4">
        <v>0</v>
      </c>
      <c r="M17" s="3" t="s">
        <v>26</v>
      </c>
      <c r="N17" s="3" t="s">
        <v>24</v>
      </c>
      <c r="O17" s="4">
        <v>1</v>
      </c>
      <c r="P17" s="4">
        <v>9</v>
      </c>
      <c r="Q17" s="4">
        <v>1</v>
      </c>
    </row>
    <row r="18" spans="1:17" x14ac:dyDescent="0.25">
      <c r="A18" s="3" t="s">
        <v>18</v>
      </c>
      <c r="B18" s="3">
        <v>10234048</v>
      </c>
      <c r="C18" s="3" t="s">
        <v>48</v>
      </c>
      <c r="D18" s="3" t="s">
        <v>20</v>
      </c>
      <c r="E18" s="3" t="s">
        <v>21</v>
      </c>
      <c r="F18" s="3" t="s">
        <v>21</v>
      </c>
      <c r="G18" s="3" t="s">
        <v>30</v>
      </c>
      <c r="H18" s="3" t="s">
        <v>31</v>
      </c>
      <c r="I18" s="3" t="s">
        <v>24</v>
      </c>
      <c r="J18" s="3" t="s">
        <v>24</v>
      </c>
      <c r="K18" s="3" t="s">
        <v>25</v>
      </c>
      <c r="L18" s="4">
        <v>0</v>
      </c>
      <c r="M18" s="3" t="s">
        <v>26</v>
      </c>
      <c r="N18" s="3" t="s">
        <v>24</v>
      </c>
      <c r="O18" s="4">
        <v>1</v>
      </c>
      <c r="P18" s="4">
        <v>9</v>
      </c>
      <c r="Q18" s="4">
        <v>1</v>
      </c>
    </row>
    <row r="19" spans="1:17" x14ac:dyDescent="0.25">
      <c r="A19" s="3" t="s">
        <v>18</v>
      </c>
      <c r="B19" s="3">
        <v>10234049</v>
      </c>
      <c r="C19" s="3" t="s">
        <v>49</v>
      </c>
      <c r="D19" s="3" t="s">
        <v>20</v>
      </c>
      <c r="E19" s="3" t="s">
        <v>21</v>
      </c>
      <c r="F19" s="3" t="s">
        <v>21</v>
      </c>
      <c r="G19" s="3" t="s">
        <v>30</v>
      </c>
      <c r="H19" s="3" t="s">
        <v>31</v>
      </c>
      <c r="I19" s="3" t="s">
        <v>24</v>
      </c>
      <c r="J19" s="3" t="s">
        <v>24</v>
      </c>
      <c r="K19" s="3" t="s">
        <v>25</v>
      </c>
      <c r="L19" s="4">
        <v>0</v>
      </c>
      <c r="M19" s="3" t="s">
        <v>26</v>
      </c>
      <c r="N19" s="3" t="s">
        <v>24</v>
      </c>
      <c r="O19" s="4">
        <v>1</v>
      </c>
      <c r="P19" s="4">
        <v>8</v>
      </c>
      <c r="Q19" s="4">
        <v>1</v>
      </c>
    </row>
    <row r="20" spans="1:17" x14ac:dyDescent="0.25">
      <c r="A20" s="3" t="s">
        <v>18</v>
      </c>
      <c r="B20" s="3">
        <v>10234050</v>
      </c>
      <c r="C20" s="3" t="s">
        <v>50</v>
      </c>
      <c r="D20" s="3" t="s">
        <v>20</v>
      </c>
      <c r="E20" s="3" t="s">
        <v>21</v>
      </c>
      <c r="F20" s="3" t="s">
        <v>21</v>
      </c>
      <c r="G20" s="3" t="s">
        <v>30</v>
      </c>
      <c r="H20" s="3" t="s">
        <v>31</v>
      </c>
      <c r="I20" s="3" t="s">
        <v>24</v>
      </c>
      <c r="J20" s="3" t="s">
        <v>24</v>
      </c>
      <c r="K20" s="3" t="s">
        <v>25</v>
      </c>
      <c r="L20" s="4">
        <v>0</v>
      </c>
      <c r="M20" s="3" t="s">
        <v>26</v>
      </c>
      <c r="N20" s="3" t="s">
        <v>24</v>
      </c>
      <c r="O20" s="4">
        <v>1</v>
      </c>
      <c r="P20" s="4">
        <v>8</v>
      </c>
      <c r="Q20" s="4">
        <v>1</v>
      </c>
    </row>
    <row r="21" spans="1:17" x14ac:dyDescent="0.25">
      <c r="A21" s="3" t="s">
        <v>18</v>
      </c>
      <c r="B21" s="3">
        <v>10234051</v>
      </c>
      <c r="C21" s="3" t="s">
        <v>51</v>
      </c>
      <c r="D21" s="3" t="s">
        <v>20</v>
      </c>
      <c r="E21" s="3" t="s">
        <v>21</v>
      </c>
      <c r="F21" s="3" t="s">
        <v>21</v>
      </c>
      <c r="G21" s="3" t="s">
        <v>30</v>
      </c>
      <c r="H21" s="3" t="s">
        <v>31</v>
      </c>
      <c r="I21" s="3" t="s">
        <v>24</v>
      </c>
      <c r="J21" s="3" t="s">
        <v>24</v>
      </c>
      <c r="K21" s="3" t="s">
        <v>25</v>
      </c>
      <c r="L21" s="4">
        <v>0</v>
      </c>
      <c r="M21" s="3" t="s">
        <v>26</v>
      </c>
      <c r="N21" s="3" t="s">
        <v>24</v>
      </c>
      <c r="O21" s="4">
        <v>1</v>
      </c>
      <c r="P21" s="4">
        <v>8</v>
      </c>
      <c r="Q21" s="4">
        <v>1</v>
      </c>
    </row>
    <row r="22" spans="1:17" x14ac:dyDescent="0.25">
      <c r="A22" s="3" t="s">
        <v>18</v>
      </c>
      <c r="B22" s="3">
        <v>10234052</v>
      </c>
      <c r="C22" s="3" t="s">
        <v>52</v>
      </c>
      <c r="D22" s="3" t="s">
        <v>20</v>
      </c>
      <c r="E22" s="3" t="s">
        <v>21</v>
      </c>
      <c r="F22" s="3" t="s">
        <v>21</v>
      </c>
      <c r="G22" s="3" t="s">
        <v>42</v>
      </c>
      <c r="H22" s="3" t="s">
        <v>43</v>
      </c>
      <c r="I22" s="3" t="s">
        <v>24</v>
      </c>
      <c r="J22" s="3" t="s">
        <v>24</v>
      </c>
      <c r="K22" s="3" t="s">
        <v>25</v>
      </c>
      <c r="L22" s="4">
        <v>0</v>
      </c>
      <c r="M22" s="3" t="s">
        <v>26</v>
      </c>
      <c r="N22" s="3" t="s">
        <v>24</v>
      </c>
      <c r="O22" s="4">
        <v>1</v>
      </c>
      <c r="P22" s="4">
        <v>8</v>
      </c>
      <c r="Q22" s="4">
        <v>1</v>
      </c>
    </row>
    <row r="23" spans="1:17" x14ac:dyDescent="0.25">
      <c r="A23" s="3" t="s">
        <v>18</v>
      </c>
      <c r="B23" s="3">
        <v>10234053</v>
      </c>
      <c r="C23" s="3" t="s">
        <v>53</v>
      </c>
      <c r="D23" s="3" t="s">
        <v>20</v>
      </c>
      <c r="E23" s="3" t="s">
        <v>21</v>
      </c>
      <c r="F23" s="3" t="s">
        <v>21</v>
      </c>
      <c r="G23" s="3" t="s">
        <v>42</v>
      </c>
      <c r="H23" s="3" t="s">
        <v>43</v>
      </c>
      <c r="I23" s="3" t="s">
        <v>24</v>
      </c>
      <c r="J23" s="3" t="s">
        <v>24</v>
      </c>
      <c r="K23" s="3" t="s">
        <v>25</v>
      </c>
      <c r="L23" s="4">
        <v>0</v>
      </c>
      <c r="M23" s="3" t="s">
        <v>26</v>
      </c>
      <c r="N23" s="3" t="s">
        <v>24</v>
      </c>
      <c r="O23" s="4">
        <v>1</v>
      </c>
      <c r="P23" s="4">
        <v>8</v>
      </c>
      <c r="Q23" s="4">
        <v>1</v>
      </c>
    </row>
    <row r="24" spans="1:17" x14ac:dyDescent="0.25">
      <c r="A24" s="3" t="s">
        <v>18</v>
      </c>
      <c r="B24" s="3">
        <v>10234054</v>
      </c>
      <c r="C24" s="3" t="s">
        <v>54</v>
      </c>
      <c r="D24" s="3" t="s">
        <v>20</v>
      </c>
      <c r="E24" s="3" t="s">
        <v>21</v>
      </c>
      <c r="F24" s="3" t="s">
        <v>21</v>
      </c>
      <c r="G24" s="3" t="s">
        <v>36</v>
      </c>
      <c r="H24" s="3" t="s">
        <v>37</v>
      </c>
      <c r="I24" s="3" t="s">
        <v>24</v>
      </c>
      <c r="J24" s="3" t="s">
        <v>24</v>
      </c>
      <c r="K24" s="3" t="s">
        <v>25</v>
      </c>
      <c r="L24" s="4">
        <v>0</v>
      </c>
      <c r="M24" s="3" t="s">
        <v>26</v>
      </c>
      <c r="N24" s="3" t="s">
        <v>24</v>
      </c>
      <c r="O24" s="4">
        <v>1</v>
      </c>
      <c r="P24" s="4">
        <v>10</v>
      </c>
      <c r="Q24" s="4">
        <v>1</v>
      </c>
    </row>
    <row r="25" spans="1:17" x14ac:dyDescent="0.25">
      <c r="A25" s="3" t="s">
        <v>18</v>
      </c>
      <c r="B25" s="3">
        <v>10234055</v>
      </c>
      <c r="C25" s="3" t="s">
        <v>55</v>
      </c>
      <c r="D25" s="3" t="s">
        <v>20</v>
      </c>
      <c r="E25" s="3" t="s">
        <v>21</v>
      </c>
      <c r="F25" s="3" t="s">
        <v>21</v>
      </c>
      <c r="G25" s="3" t="s">
        <v>30</v>
      </c>
      <c r="H25" s="3" t="s">
        <v>31</v>
      </c>
      <c r="I25" s="3" t="s">
        <v>24</v>
      </c>
      <c r="J25" s="3" t="s">
        <v>24</v>
      </c>
      <c r="K25" s="3" t="s">
        <v>25</v>
      </c>
      <c r="L25" s="4">
        <v>0</v>
      </c>
      <c r="M25" s="3" t="s">
        <v>26</v>
      </c>
      <c r="N25" s="3" t="s">
        <v>24</v>
      </c>
      <c r="O25" s="4">
        <v>1</v>
      </c>
      <c r="P25" s="4">
        <v>9</v>
      </c>
      <c r="Q25" s="4">
        <v>1</v>
      </c>
    </row>
    <row r="26" spans="1:17" x14ac:dyDescent="0.25">
      <c r="A26" s="3" t="s">
        <v>18</v>
      </c>
      <c r="B26" s="3">
        <v>10234056</v>
      </c>
      <c r="C26" s="3" t="s">
        <v>56</v>
      </c>
      <c r="D26" s="3" t="s">
        <v>20</v>
      </c>
      <c r="E26" s="3" t="s">
        <v>21</v>
      </c>
      <c r="F26" s="3" t="s">
        <v>21</v>
      </c>
      <c r="G26" s="3" t="s">
        <v>30</v>
      </c>
      <c r="H26" s="3" t="s">
        <v>31</v>
      </c>
      <c r="I26" s="3" t="s">
        <v>24</v>
      </c>
      <c r="J26" s="3" t="s">
        <v>24</v>
      </c>
      <c r="K26" s="3" t="s">
        <v>25</v>
      </c>
      <c r="L26" s="4">
        <v>0</v>
      </c>
      <c r="M26" s="3" t="s">
        <v>26</v>
      </c>
      <c r="N26" s="3" t="s">
        <v>24</v>
      </c>
      <c r="O26" s="4">
        <v>1</v>
      </c>
      <c r="P26" s="4">
        <v>9</v>
      </c>
      <c r="Q26" s="4">
        <v>1</v>
      </c>
    </row>
    <row r="27" spans="1:17" x14ac:dyDescent="0.25">
      <c r="A27" s="3" t="s">
        <v>18</v>
      </c>
      <c r="B27" s="3">
        <v>10234057</v>
      </c>
      <c r="C27" s="3" t="s">
        <v>57</v>
      </c>
      <c r="D27" s="3" t="s">
        <v>20</v>
      </c>
      <c r="E27" s="3" t="s">
        <v>21</v>
      </c>
      <c r="F27" s="3" t="s">
        <v>21</v>
      </c>
      <c r="G27" s="3" t="s">
        <v>30</v>
      </c>
      <c r="H27" s="3" t="s">
        <v>31</v>
      </c>
      <c r="I27" s="3" t="s">
        <v>24</v>
      </c>
      <c r="J27" s="3" t="s">
        <v>24</v>
      </c>
      <c r="K27" s="3" t="s">
        <v>25</v>
      </c>
      <c r="L27" s="4">
        <v>0</v>
      </c>
      <c r="M27" s="3" t="s">
        <v>26</v>
      </c>
      <c r="N27" s="3" t="s">
        <v>24</v>
      </c>
      <c r="O27" s="4">
        <v>1</v>
      </c>
      <c r="P27" s="4">
        <v>8</v>
      </c>
      <c r="Q27" s="4">
        <v>1</v>
      </c>
    </row>
    <row r="28" spans="1:17" x14ac:dyDescent="0.25">
      <c r="A28" s="3" t="s">
        <v>18</v>
      </c>
      <c r="B28" s="3">
        <v>10234058</v>
      </c>
      <c r="C28" s="3" t="s">
        <v>58</v>
      </c>
      <c r="D28" s="3" t="s">
        <v>20</v>
      </c>
      <c r="E28" s="3" t="s">
        <v>21</v>
      </c>
      <c r="F28" s="3" t="s">
        <v>21</v>
      </c>
      <c r="G28" s="3" t="s">
        <v>42</v>
      </c>
      <c r="H28" s="3" t="s">
        <v>43</v>
      </c>
      <c r="I28" s="3" t="s">
        <v>24</v>
      </c>
      <c r="J28" s="3" t="s">
        <v>24</v>
      </c>
      <c r="K28" s="3" t="s">
        <v>25</v>
      </c>
      <c r="L28" s="4">
        <v>0</v>
      </c>
      <c r="M28" s="3" t="s">
        <v>26</v>
      </c>
      <c r="N28" s="3" t="s">
        <v>24</v>
      </c>
      <c r="O28" s="4">
        <v>1</v>
      </c>
      <c r="P28" s="4">
        <v>8</v>
      </c>
      <c r="Q28" s="4">
        <v>1</v>
      </c>
    </row>
    <row r="29" spans="1:17" x14ac:dyDescent="0.25">
      <c r="A29" s="3" t="s">
        <v>18</v>
      </c>
      <c r="B29" s="3">
        <v>10234059</v>
      </c>
      <c r="C29" s="3" t="s">
        <v>59</v>
      </c>
      <c r="D29" s="3" t="s">
        <v>20</v>
      </c>
      <c r="E29" s="3" t="s">
        <v>21</v>
      </c>
      <c r="F29" s="3" t="s">
        <v>21</v>
      </c>
      <c r="G29" s="3" t="s">
        <v>42</v>
      </c>
      <c r="H29" s="3" t="s">
        <v>43</v>
      </c>
      <c r="I29" s="3" t="s">
        <v>24</v>
      </c>
      <c r="J29" s="3" t="s">
        <v>24</v>
      </c>
      <c r="K29" s="3" t="s">
        <v>25</v>
      </c>
      <c r="L29" s="4">
        <v>0</v>
      </c>
      <c r="M29" s="3" t="s">
        <v>26</v>
      </c>
      <c r="N29" s="3" t="s">
        <v>24</v>
      </c>
      <c r="O29" s="4">
        <v>1</v>
      </c>
      <c r="P29" s="4">
        <v>8</v>
      </c>
      <c r="Q29" s="4">
        <v>1</v>
      </c>
    </row>
    <row r="30" spans="1:17" x14ac:dyDescent="0.25">
      <c r="A30" s="3" t="s">
        <v>18</v>
      </c>
      <c r="B30" s="3">
        <v>10234060</v>
      </c>
      <c r="C30" s="3" t="s">
        <v>60</v>
      </c>
      <c r="D30" s="3" t="s">
        <v>20</v>
      </c>
      <c r="E30" s="3" t="s">
        <v>21</v>
      </c>
      <c r="F30" s="3" t="s">
        <v>21</v>
      </c>
      <c r="G30" s="3" t="s">
        <v>42</v>
      </c>
      <c r="H30" s="3" t="s">
        <v>43</v>
      </c>
      <c r="I30" s="3" t="s">
        <v>24</v>
      </c>
      <c r="J30" s="3" t="s">
        <v>24</v>
      </c>
      <c r="K30" s="3" t="s">
        <v>25</v>
      </c>
      <c r="L30" s="4">
        <v>0</v>
      </c>
      <c r="M30" s="3" t="s">
        <v>26</v>
      </c>
      <c r="N30" s="3" t="s">
        <v>24</v>
      </c>
      <c r="O30" s="4">
        <v>1</v>
      </c>
      <c r="P30" s="4">
        <v>8</v>
      </c>
      <c r="Q30" s="4">
        <v>1</v>
      </c>
    </row>
    <row r="31" spans="1:17" x14ac:dyDescent="0.25">
      <c r="A31" s="3" t="s">
        <v>18</v>
      </c>
      <c r="B31" s="3">
        <v>10234061</v>
      </c>
      <c r="C31" s="3" t="s">
        <v>61</v>
      </c>
      <c r="D31" s="3" t="s">
        <v>20</v>
      </c>
      <c r="E31" s="3" t="s">
        <v>21</v>
      </c>
      <c r="F31" s="3" t="s">
        <v>21</v>
      </c>
      <c r="G31" s="3" t="s">
        <v>30</v>
      </c>
      <c r="H31" s="3" t="s">
        <v>31</v>
      </c>
      <c r="I31" s="3" t="s">
        <v>24</v>
      </c>
      <c r="J31" s="3" t="s">
        <v>24</v>
      </c>
      <c r="K31" s="3" t="s">
        <v>25</v>
      </c>
      <c r="L31" s="4">
        <v>0</v>
      </c>
      <c r="M31" s="3" t="s">
        <v>26</v>
      </c>
      <c r="N31" s="3" t="s">
        <v>24</v>
      </c>
      <c r="O31" s="4">
        <v>1</v>
      </c>
      <c r="P31" s="4">
        <v>8</v>
      </c>
      <c r="Q31" s="4">
        <v>1</v>
      </c>
    </row>
    <row r="32" spans="1:17" x14ac:dyDescent="0.25">
      <c r="A32" s="3" t="s">
        <v>18</v>
      </c>
      <c r="B32" s="3">
        <v>10234062</v>
      </c>
      <c r="C32" s="3" t="s">
        <v>62</v>
      </c>
      <c r="D32" s="3" t="s">
        <v>20</v>
      </c>
      <c r="E32" s="3" t="s">
        <v>21</v>
      </c>
      <c r="F32" s="3" t="s">
        <v>21</v>
      </c>
      <c r="G32" s="3" t="s">
        <v>30</v>
      </c>
      <c r="H32" s="3" t="s">
        <v>31</v>
      </c>
      <c r="I32" s="3" t="s">
        <v>24</v>
      </c>
      <c r="J32" s="3" t="s">
        <v>24</v>
      </c>
      <c r="K32" s="3" t="s">
        <v>25</v>
      </c>
      <c r="L32" s="4">
        <v>0</v>
      </c>
      <c r="M32" s="3" t="s">
        <v>26</v>
      </c>
      <c r="N32" s="3" t="s">
        <v>24</v>
      </c>
      <c r="O32" s="4">
        <v>1</v>
      </c>
      <c r="P32" s="4">
        <v>8</v>
      </c>
      <c r="Q32" s="4">
        <v>1</v>
      </c>
    </row>
    <row r="33" spans="1:17" x14ac:dyDescent="0.25">
      <c r="A33" s="3" t="s">
        <v>18</v>
      </c>
      <c r="B33" s="3">
        <v>10234064</v>
      </c>
      <c r="C33" s="3" t="s">
        <v>63</v>
      </c>
      <c r="D33" s="3" t="s">
        <v>20</v>
      </c>
      <c r="E33" s="3" t="s">
        <v>21</v>
      </c>
      <c r="F33" s="3" t="s">
        <v>21</v>
      </c>
      <c r="G33" s="3" t="s">
        <v>42</v>
      </c>
      <c r="H33" s="3" t="s">
        <v>43</v>
      </c>
      <c r="I33" s="3" t="s">
        <v>24</v>
      </c>
      <c r="J33" s="3" t="s">
        <v>24</v>
      </c>
      <c r="K33" s="3" t="s">
        <v>25</v>
      </c>
      <c r="L33" s="4">
        <v>0</v>
      </c>
      <c r="M33" s="3" t="s">
        <v>26</v>
      </c>
      <c r="N33" s="3" t="s">
        <v>24</v>
      </c>
      <c r="O33" s="4">
        <v>1</v>
      </c>
      <c r="P33" s="4">
        <v>8</v>
      </c>
      <c r="Q33" s="4">
        <v>1</v>
      </c>
    </row>
    <row r="34" spans="1:17" x14ac:dyDescent="0.25">
      <c r="A34" s="3" t="s">
        <v>18</v>
      </c>
      <c r="B34" s="3">
        <v>10234065</v>
      </c>
      <c r="C34" s="3" t="s">
        <v>64</v>
      </c>
      <c r="D34" s="3" t="s">
        <v>20</v>
      </c>
      <c r="E34" s="3" t="s">
        <v>21</v>
      </c>
      <c r="F34" s="3" t="s">
        <v>21</v>
      </c>
      <c r="G34" s="3" t="s">
        <v>36</v>
      </c>
      <c r="H34" s="3" t="s">
        <v>37</v>
      </c>
      <c r="I34" s="3" t="s">
        <v>24</v>
      </c>
      <c r="J34" s="3" t="s">
        <v>24</v>
      </c>
      <c r="K34" s="3" t="s">
        <v>25</v>
      </c>
      <c r="L34" s="4">
        <v>0</v>
      </c>
      <c r="M34" s="3" t="s">
        <v>26</v>
      </c>
      <c r="N34" s="3" t="s">
        <v>24</v>
      </c>
      <c r="O34" s="4">
        <v>1</v>
      </c>
      <c r="P34" s="4">
        <v>10</v>
      </c>
      <c r="Q34" s="4">
        <v>1</v>
      </c>
    </row>
    <row r="35" spans="1:17" x14ac:dyDescent="0.25">
      <c r="A35" s="3" t="s">
        <v>18</v>
      </c>
      <c r="B35" s="3">
        <v>10234066</v>
      </c>
      <c r="C35" s="3" t="s">
        <v>65</v>
      </c>
      <c r="D35" s="3" t="s">
        <v>20</v>
      </c>
      <c r="E35" s="3" t="s">
        <v>21</v>
      </c>
      <c r="F35" s="3" t="s">
        <v>21</v>
      </c>
      <c r="G35" s="3" t="s">
        <v>36</v>
      </c>
      <c r="H35" s="3" t="s">
        <v>37</v>
      </c>
      <c r="I35" s="3" t="s">
        <v>24</v>
      </c>
      <c r="J35" s="3" t="s">
        <v>24</v>
      </c>
      <c r="K35" s="3" t="s">
        <v>25</v>
      </c>
      <c r="L35" s="4">
        <v>0</v>
      </c>
      <c r="M35" s="3" t="s">
        <v>26</v>
      </c>
      <c r="N35" s="3" t="s">
        <v>24</v>
      </c>
      <c r="O35" s="4">
        <v>1</v>
      </c>
      <c r="P35" s="4">
        <v>10</v>
      </c>
      <c r="Q35" s="4">
        <v>1</v>
      </c>
    </row>
    <row r="36" spans="1:17" x14ac:dyDescent="0.25">
      <c r="A36" s="3" t="s">
        <v>18</v>
      </c>
      <c r="B36" s="3">
        <v>10234067</v>
      </c>
      <c r="C36" s="3" t="s">
        <v>66</v>
      </c>
      <c r="D36" s="3" t="s">
        <v>20</v>
      </c>
      <c r="E36" s="3" t="s">
        <v>21</v>
      </c>
      <c r="F36" s="3" t="s">
        <v>21</v>
      </c>
      <c r="G36" s="3" t="s">
        <v>30</v>
      </c>
      <c r="H36" s="3" t="s">
        <v>31</v>
      </c>
      <c r="I36" s="3" t="s">
        <v>24</v>
      </c>
      <c r="J36" s="3" t="s">
        <v>24</v>
      </c>
      <c r="K36" s="3" t="s">
        <v>25</v>
      </c>
      <c r="L36" s="4">
        <v>0</v>
      </c>
      <c r="M36" s="3" t="s">
        <v>26</v>
      </c>
      <c r="N36" s="3" t="s">
        <v>24</v>
      </c>
      <c r="O36" s="4">
        <v>1</v>
      </c>
      <c r="P36" s="4">
        <v>9</v>
      </c>
      <c r="Q36" s="4">
        <v>1</v>
      </c>
    </row>
    <row r="37" spans="1:17" x14ac:dyDescent="0.25">
      <c r="A37" s="3" t="s">
        <v>18</v>
      </c>
      <c r="B37" s="3">
        <v>10234068</v>
      </c>
      <c r="C37" s="3" t="s">
        <v>67</v>
      </c>
      <c r="D37" s="3" t="s">
        <v>20</v>
      </c>
      <c r="E37" s="3" t="s">
        <v>21</v>
      </c>
      <c r="F37" s="3" t="s">
        <v>21</v>
      </c>
      <c r="G37" s="3" t="s">
        <v>30</v>
      </c>
      <c r="H37" s="3" t="s">
        <v>31</v>
      </c>
      <c r="I37" s="3" t="s">
        <v>24</v>
      </c>
      <c r="J37" s="3" t="s">
        <v>24</v>
      </c>
      <c r="K37" s="3" t="s">
        <v>25</v>
      </c>
      <c r="L37" s="4">
        <v>0</v>
      </c>
      <c r="M37" s="3" t="s">
        <v>26</v>
      </c>
      <c r="N37" s="3" t="s">
        <v>24</v>
      </c>
      <c r="O37" s="4">
        <v>1</v>
      </c>
      <c r="P37" s="4">
        <v>9</v>
      </c>
      <c r="Q37" s="4">
        <v>1</v>
      </c>
    </row>
    <row r="38" spans="1:17" x14ac:dyDescent="0.25">
      <c r="A38" s="3" t="s">
        <v>18</v>
      </c>
      <c r="B38" s="3">
        <v>10234070</v>
      </c>
      <c r="C38" s="3" t="s">
        <v>68</v>
      </c>
      <c r="D38" s="3" t="s">
        <v>20</v>
      </c>
      <c r="E38" s="3" t="s">
        <v>21</v>
      </c>
      <c r="F38" s="3" t="s">
        <v>21</v>
      </c>
      <c r="G38" s="3" t="s">
        <v>36</v>
      </c>
      <c r="H38" s="3" t="s">
        <v>37</v>
      </c>
      <c r="I38" s="3" t="s">
        <v>24</v>
      </c>
      <c r="J38" s="3" t="s">
        <v>24</v>
      </c>
      <c r="K38" s="3" t="s">
        <v>25</v>
      </c>
      <c r="L38" s="4">
        <v>0</v>
      </c>
      <c r="M38" s="3" t="s">
        <v>26</v>
      </c>
      <c r="N38" s="3" t="s">
        <v>24</v>
      </c>
      <c r="O38" s="4">
        <v>1</v>
      </c>
      <c r="P38" s="4">
        <v>10</v>
      </c>
      <c r="Q38" s="4">
        <v>1</v>
      </c>
    </row>
    <row r="39" spans="1:17" x14ac:dyDescent="0.25">
      <c r="A39" s="3" t="s">
        <v>18</v>
      </c>
      <c r="B39" s="3">
        <v>10255161</v>
      </c>
      <c r="C39" s="3" t="s">
        <v>69</v>
      </c>
      <c r="D39" s="3" t="s">
        <v>20</v>
      </c>
      <c r="E39" s="3" t="s">
        <v>21</v>
      </c>
      <c r="F39" s="3" t="s">
        <v>21</v>
      </c>
      <c r="G39" s="3" t="s">
        <v>30</v>
      </c>
      <c r="H39" s="3" t="s">
        <v>31</v>
      </c>
      <c r="I39" s="3" t="s">
        <v>24</v>
      </c>
      <c r="J39" s="3" t="s">
        <v>24</v>
      </c>
      <c r="K39" s="3" t="s">
        <v>25</v>
      </c>
      <c r="L39" s="4">
        <v>0</v>
      </c>
      <c r="M39" s="3" t="s">
        <v>26</v>
      </c>
      <c r="N39" s="3" t="s">
        <v>24</v>
      </c>
      <c r="O39" s="4">
        <v>1</v>
      </c>
      <c r="P39" s="4">
        <v>9</v>
      </c>
      <c r="Q39" s="4">
        <v>1</v>
      </c>
    </row>
    <row r="40" spans="1:17" x14ac:dyDescent="0.25">
      <c r="A40" s="3" t="s">
        <v>18</v>
      </c>
      <c r="B40" s="3">
        <v>10255162</v>
      </c>
      <c r="C40" s="3" t="s">
        <v>70</v>
      </c>
      <c r="D40" s="3" t="s">
        <v>20</v>
      </c>
      <c r="E40" s="3" t="s">
        <v>21</v>
      </c>
      <c r="F40" s="3" t="s">
        <v>21</v>
      </c>
      <c r="G40" s="3" t="s">
        <v>30</v>
      </c>
      <c r="H40" s="3" t="s">
        <v>31</v>
      </c>
      <c r="I40" s="3" t="s">
        <v>24</v>
      </c>
      <c r="J40" s="3" t="s">
        <v>24</v>
      </c>
      <c r="K40" s="3" t="s">
        <v>25</v>
      </c>
      <c r="L40" s="4">
        <v>0</v>
      </c>
      <c r="M40" s="3" t="s">
        <v>26</v>
      </c>
      <c r="N40" s="3" t="s">
        <v>24</v>
      </c>
      <c r="O40" s="4">
        <v>1</v>
      </c>
      <c r="P40" s="4">
        <v>8</v>
      </c>
      <c r="Q40" s="4">
        <v>1</v>
      </c>
    </row>
    <row r="41" spans="1:17" x14ac:dyDescent="0.25">
      <c r="A41" s="3" t="s">
        <v>18</v>
      </c>
      <c r="B41" s="3">
        <v>10255163</v>
      </c>
      <c r="C41" s="3" t="s">
        <v>71</v>
      </c>
      <c r="D41" s="3" t="s">
        <v>20</v>
      </c>
      <c r="E41" s="3" t="s">
        <v>21</v>
      </c>
      <c r="F41" s="3" t="s">
        <v>21</v>
      </c>
      <c r="G41" s="3" t="s">
        <v>42</v>
      </c>
      <c r="H41" s="3" t="s">
        <v>43</v>
      </c>
      <c r="I41" s="3" t="s">
        <v>24</v>
      </c>
      <c r="J41" s="3" t="s">
        <v>24</v>
      </c>
      <c r="K41" s="3" t="s">
        <v>25</v>
      </c>
      <c r="L41" s="4">
        <v>0</v>
      </c>
      <c r="M41" s="3" t="s">
        <v>26</v>
      </c>
      <c r="N41" s="3" t="s">
        <v>24</v>
      </c>
      <c r="O41" s="4">
        <v>1</v>
      </c>
      <c r="P41" s="4">
        <v>8</v>
      </c>
      <c r="Q41" s="4">
        <v>1</v>
      </c>
    </row>
    <row r="42" spans="1:17" x14ac:dyDescent="0.25">
      <c r="A42" s="3" t="s">
        <v>18</v>
      </c>
      <c r="B42" s="3">
        <v>10255164</v>
      </c>
      <c r="C42" s="3" t="s">
        <v>72</v>
      </c>
      <c r="D42" s="3" t="s">
        <v>20</v>
      </c>
      <c r="E42" s="3" t="s">
        <v>21</v>
      </c>
      <c r="F42" s="3" t="s">
        <v>21</v>
      </c>
      <c r="G42" s="3" t="s">
        <v>36</v>
      </c>
      <c r="H42" s="3" t="s">
        <v>37</v>
      </c>
      <c r="I42" s="3" t="s">
        <v>24</v>
      </c>
      <c r="J42" s="3" t="s">
        <v>24</v>
      </c>
      <c r="K42" s="3" t="s">
        <v>25</v>
      </c>
      <c r="L42" s="4">
        <v>0</v>
      </c>
      <c r="M42" s="3" t="s">
        <v>26</v>
      </c>
      <c r="N42" s="3" t="s">
        <v>24</v>
      </c>
      <c r="O42" s="4">
        <v>1</v>
      </c>
      <c r="P42" s="4">
        <v>10</v>
      </c>
      <c r="Q42" s="4">
        <v>1</v>
      </c>
    </row>
    <row r="43" spans="1:17" x14ac:dyDescent="0.25">
      <c r="A43" s="3" t="s">
        <v>18</v>
      </c>
      <c r="B43" s="3">
        <v>10255165</v>
      </c>
      <c r="C43" s="3" t="s">
        <v>73</v>
      </c>
      <c r="D43" s="3" t="s">
        <v>20</v>
      </c>
      <c r="E43" s="3" t="s">
        <v>21</v>
      </c>
      <c r="F43" s="3" t="s">
        <v>21</v>
      </c>
      <c r="G43" s="3" t="s">
        <v>30</v>
      </c>
      <c r="H43" s="3" t="s">
        <v>31</v>
      </c>
      <c r="I43" s="3" t="s">
        <v>24</v>
      </c>
      <c r="J43" s="3" t="s">
        <v>24</v>
      </c>
      <c r="K43" s="3" t="s">
        <v>25</v>
      </c>
      <c r="L43" s="4">
        <v>0</v>
      </c>
      <c r="M43" s="3" t="s">
        <v>26</v>
      </c>
      <c r="N43" s="3" t="s">
        <v>24</v>
      </c>
      <c r="O43" s="4">
        <v>1</v>
      </c>
      <c r="P43" s="4">
        <v>9</v>
      </c>
      <c r="Q43" s="4">
        <v>1</v>
      </c>
    </row>
    <row r="44" spans="1:17" x14ac:dyDescent="0.25">
      <c r="A44" s="3" t="s">
        <v>18</v>
      </c>
      <c r="B44" s="3">
        <v>10304067</v>
      </c>
      <c r="C44" s="3" t="s">
        <v>74</v>
      </c>
      <c r="D44" s="3" t="s">
        <v>20</v>
      </c>
      <c r="E44" s="3" t="s">
        <v>21</v>
      </c>
      <c r="F44" s="3" t="s">
        <v>21</v>
      </c>
      <c r="G44" s="3" t="s">
        <v>36</v>
      </c>
      <c r="H44" s="3" t="s">
        <v>37</v>
      </c>
      <c r="I44" s="3" t="s">
        <v>24</v>
      </c>
      <c r="J44" s="3" t="s">
        <v>24</v>
      </c>
      <c r="K44" s="3" t="s">
        <v>25</v>
      </c>
      <c r="L44" s="4">
        <v>0</v>
      </c>
      <c r="M44" s="3" t="s">
        <v>26</v>
      </c>
      <c r="N44" s="3" t="s">
        <v>24</v>
      </c>
      <c r="O44" s="4">
        <v>1</v>
      </c>
      <c r="P44" s="4">
        <v>10</v>
      </c>
      <c r="Q44" s="4">
        <v>1</v>
      </c>
    </row>
    <row r="45" spans="1:17" x14ac:dyDescent="0.25">
      <c r="A45" s="3" t="s">
        <v>18</v>
      </c>
      <c r="B45" s="3">
        <v>10304068</v>
      </c>
      <c r="C45" s="3" t="s">
        <v>75</v>
      </c>
      <c r="D45" s="3" t="s">
        <v>20</v>
      </c>
      <c r="E45" s="3" t="s">
        <v>21</v>
      </c>
      <c r="F45" s="3" t="s">
        <v>21</v>
      </c>
      <c r="G45" s="3" t="s">
        <v>36</v>
      </c>
      <c r="H45" s="3" t="s">
        <v>37</v>
      </c>
      <c r="I45" s="3" t="s">
        <v>24</v>
      </c>
      <c r="J45" s="3" t="s">
        <v>24</v>
      </c>
      <c r="K45" s="3" t="s">
        <v>25</v>
      </c>
      <c r="L45" s="4">
        <v>0</v>
      </c>
      <c r="M45" s="3" t="s">
        <v>26</v>
      </c>
      <c r="N45" s="3" t="s">
        <v>24</v>
      </c>
      <c r="O45" s="4">
        <v>1</v>
      </c>
      <c r="P45" s="4">
        <v>10</v>
      </c>
      <c r="Q45" s="4">
        <v>1</v>
      </c>
    </row>
    <row r="46" spans="1:17" x14ac:dyDescent="0.25">
      <c r="A46" s="3" t="s">
        <v>18</v>
      </c>
      <c r="B46" s="3">
        <v>10574691</v>
      </c>
      <c r="C46" s="3" t="s">
        <v>76</v>
      </c>
      <c r="D46" s="3" t="s">
        <v>20</v>
      </c>
      <c r="E46" s="3" t="s">
        <v>21</v>
      </c>
      <c r="F46" s="3" t="s">
        <v>21</v>
      </c>
      <c r="G46" s="3" t="s">
        <v>30</v>
      </c>
      <c r="H46" s="3" t="s">
        <v>31</v>
      </c>
      <c r="I46" s="3" t="s">
        <v>24</v>
      </c>
      <c r="J46" s="3" t="s">
        <v>24</v>
      </c>
      <c r="K46" s="3" t="s">
        <v>25</v>
      </c>
      <c r="L46" s="4">
        <v>0</v>
      </c>
      <c r="M46" s="3" t="s">
        <v>26</v>
      </c>
      <c r="N46" s="3" t="s">
        <v>24</v>
      </c>
      <c r="O46" s="4">
        <v>1</v>
      </c>
      <c r="P46" s="4">
        <v>9</v>
      </c>
      <c r="Q46" s="4">
        <v>1</v>
      </c>
    </row>
    <row r="47" spans="1:17" x14ac:dyDescent="0.25">
      <c r="A47" s="3" t="s">
        <v>18</v>
      </c>
      <c r="B47" s="3">
        <v>10574692</v>
      </c>
      <c r="C47" s="3" t="s">
        <v>77</v>
      </c>
      <c r="D47" s="3" t="s">
        <v>20</v>
      </c>
      <c r="E47" s="3" t="s">
        <v>21</v>
      </c>
      <c r="F47" s="3" t="s">
        <v>21</v>
      </c>
      <c r="G47" s="3" t="s">
        <v>30</v>
      </c>
      <c r="H47" s="3" t="s">
        <v>31</v>
      </c>
      <c r="I47" s="3" t="s">
        <v>24</v>
      </c>
      <c r="J47" s="3" t="s">
        <v>24</v>
      </c>
      <c r="K47" s="3" t="s">
        <v>25</v>
      </c>
      <c r="L47" s="4">
        <v>0</v>
      </c>
      <c r="M47" s="3" t="s">
        <v>26</v>
      </c>
      <c r="N47" s="3" t="s">
        <v>24</v>
      </c>
      <c r="O47" s="4">
        <v>1</v>
      </c>
      <c r="P47" s="4">
        <v>9</v>
      </c>
      <c r="Q47" s="4">
        <v>1</v>
      </c>
    </row>
    <row r="48" spans="1:17" x14ac:dyDescent="0.25">
      <c r="A48" s="3" t="s">
        <v>18</v>
      </c>
      <c r="B48" s="3">
        <v>10574693</v>
      </c>
      <c r="C48" s="3" t="s">
        <v>78</v>
      </c>
      <c r="D48" s="3" t="s">
        <v>20</v>
      </c>
      <c r="E48" s="3" t="s">
        <v>21</v>
      </c>
      <c r="F48" s="3" t="s">
        <v>21</v>
      </c>
      <c r="G48" s="3" t="s">
        <v>30</v>
      </c>
      <c r="H48" s="3" t="s">
        <v>31</v>
      </c>
      <c r="I48" s="3" t="s">
        <v>24</v>
      </c>
      <c r="J48" s="3" t="s">
        <v>24</v>
      </c>
      <c r="K48" s="3" t="s">
        <v>25</v>
      </c>
      <c r="L48" s="4">
        <v>0</v>
      </c>
      <c r="M48" s="3" t="s">
        <v>26</v>
      </c>
      <c r="N48" s="3" t="s">
        <v>24</v>
      </c>
      <c r="O48" s="4">
        <v>1</v>
      </c>
      <c r="P48" s="4">
        <v>9</v>
      </c>
      <c r="Q48" s="4">
        <v>1</v>
      </c>
    </row>
    <row r="49" spans="1:17" x14ac:dyDescent="0.25">
      <c r="A49" s="3" t="s">
        <v>18</v>
      </c>
      <c r="B49" s="3">
        <v>10574694</v>
      </c>
      <c r="C49" s="3" t="s">
        <v>79</v>
      </c>
      <c r="D49" s="3" t="s">
        <v>20</v>
      </c>
      <c r="E49" s="3" t="s">
        <v>21</v>
      </c>
      <c r="F49" s="3" t="s">
        <v>21</v>
      </c>
      <c r="G49" s="3" t="s">
        <v>30</v>
      </c>
      <c r="H49" s="3" t="s">
        <v>31</v>
      </c>
      <c r="I49" s="3" t="s">
        <v>24</v>
      </c>
      <c r="J49" s="3" t="s">
        <v>24</v>
      </c>
      <c r="K49" s="3" t="s">
        <v>25</v>
      </c>
      <c r="L49" s="4">
        <v>0</v>
      </c>
      <c r="M49" s="3" t="s">
        <v>26</v>
      </c>
      <c r="N49" s="3" t="s">
        <v>24</v>
      </c>
      <c r="O49" s="4">
        <v>1</v>
      </c>
      <c r="P49" s="4">
        <v>8</v>
      </c>
      <c r="Q49" s="4">
        <v>1</v>
      </c>
    </row>
    <row r="50" spans="1:17" x14ac:dyDescent="0.25">
      <c r="A50" s="3" t="s">
        <v>18</v>
      </c>
      <c r="B50" s="3">
        <v>10574695</v>
      </c>
      <c r="C50" s="3" t="s">
        <v>80</v>
      </c>
      <c r="D50" s="3" t="s">
        <v>20</v>
      </c>
      <c r="E50" s="3" t="s">
        <v>21</v>
      </c>
      <c r="F50" s="3" t="s">
        <v>21</v>
      </c>
      <c r="G50" s="3" t="s">
        <v>30</v>
      </c>
      <c r="H50" s="3" t="s">
        <v>31</v>
      </c>
      <c r="I50" s="3" t="s">
        <v>24</v>
      </c>
      <c r="J50" s="3" t="s">
        <v>24</v>
      </c>
      <c r="K50" s="3" t="s">
        <v>25</v>
      </c>
      <c r="L50" s="4">
        <v>0</v>
      </c>
      <c r="M50" s="3" t="s">
        <v>26</v>
      </c>
      <c r="N50" s="3" t="s">
        <v>24</v>
      </c>
      <c r="O50" s="4">
        <v>1</v>
      </c>
      <c r="P50" s="4">
        <v>9</v>
      </c>
      <c r="Q50" s="4">
        <v>1</v>
      </c>
    </row>
    <row r="51" spans="1:17" x14ac:dyDescent="0.25">
      <c r="A51" s="3" t="s">
        <v>18</v>
      </c>
      <c r="B51" s="3">
        <v>10574696</v>
      </c>
      <c r="C51" s="3" t="s">
        <v>81</v>
      </c>
      <c r="D51" s="3" t="s">
        <v>20</v>
      </c>
      <c r="E51" s="3" t="s">
        <v>21</v>
      </c>
      <c r="F51" s="3" t="s">
        <v>21</v>
      </c>
      <c r="G51" s="3" t="s">
        <v>30</v>
      </c>
      <c r="H51" s="3" t="s">
        <v>31</v>
      </c>
      <c r="I51" s="3" t="s">
        <v>24</v>
      </c>
      <c r="J51" s="3" t="s">
        <v>24</v>
      </c>
      <c r="K51" s="3" t="s">
        <v>25</v>
      </c>
      <c r="L51" s="4">
        <v>0</v>
      </c>
      <c r="M51" s="3" t="s">
        <v>26</v>
      </c>
      <c r="N51" s="3" t="s">
        <v>24</v>
      </c>
      <c r="O51" s="4">
        <v>1</v>
      </c>
      <c r="P51" s="4">
        <v>8</v>
      </c>
      <c r="Q51" s="4">
        <v>1</v>
      </c>
    </row>
    <row r="52" spans="1:17" x14ac:dyDescent="0.25">
      <c r="A52" s="3" t="s">
        <v>18</v>
      </c>
      <c r="B52" s="3">
        <v>10574697</v>
      </c>
      <c r="C52" s="3" t="s">
        <v>82</v>
      </c>
      <c r="D52" s="3" t="s">
        <v>20</v>
      </c>
      <c r="E52" s="3" t="s">
        <v>21</v>
      </c>
      <c r="F52" s="3" t="s">
        <v>21</v>
      </c>
      <c r="G52" s="3" t="s">
        <v>30</v>
      </c>
      <c r="H52" s="3" t="s">
        <v>31</v>
      </c>
      <c r="I52" s="3" t="s">
        <v>24</v>
      </c>
      <c r="J52" s="3" t="s">
        <v>24</v>
      </c>
      <c r="K52" s="3" t="s">
        <v>25</v>
      </c>
      <c r="L52" s="4">
        <v>0</v>
      </c>
      <c r="M52" s="3" t="s">
        <v>26</v>
      </c>
      <c r="N52" s="3" t="s">
        <v>24</v>
      </c>
      <c r="O52" s="4">
        <v>1</v>
      </c>
      <c r="P52" s="4">
        <v>8</v>
      </c>
      <c r="Q52" s="4">
        <v>1</v>
      </c>
    </row>
    <row r="53" spans="1:17" x14ac:dyDescent="0.25">
      <c r="A53" s="3" t="s">
        <v>18</v>
      </c>
      <c r="B53" s="3">
        <v>10574698</v>
      </c>
      <c r="C53" s="3" t="s">
        <v>83</v>
      </c>
      <c r="D53" s="3" t="s">
        <v>20</v>
      </c>
      <c r="E53" s="3" t="s">
        <v>21</v>
      </c>
      <c r="F53" s="3" t="s">
        <v>21</v>
      </c>
      <c r="G53" s="3" t="s">
        <v>30</v>
      </c>
      <c r="H53" s="3" t="s">
        <v>31</v>
      </c>
      <c r="I53" s="3" t="s">
        <v>24</v>
      </c>
      <c r="J53" s="3" t="s">
        <v>24</v>
      </c>
      <c r="K53" s="3" t="s">
        <v>25</v>
      </c>
      <c r="L53" s="4">
        <v>0</v>
      </c>
      <c r="M53" s="3" t="s">
        <v>26</v>
      </c>
      <c r="N53" s="3" t="s">
        <v>24</v>
      </c>
      <c r="O53" s="4">
        <v>1</v>
      </c>
      <c r="P53" s="4">
        <v>8</v>
      </c>
      <c r="Q53" s="4">
        <v>1</v>
      </c>
    </row>
    <row r="54" spans="1:17" x14ac:dyDescent="0.25">
      <c r="A54" s="3" t="s">
        <v>18</v>
      </c>
      <c r="B54" s="3">
        <v>10574699</v>
      </c>
      <c r="C54" s="3" t="s">
        <v>84</v>
      </c>
      <c r="D54" s="3" t="s">
        <v>20</v>
      </c>
      <c r="E54" s="3" t="s">
        <v>21</v>
      </c>
      <c r="F54" s="3" t="s">
        <v>21</v>
      </c>
      <c r="G54" s="3" t="s">
        <v>42</v>
      </c>
      <c r="H54" s="3" t="s">
        <v>43</v>
      </c>
      <c r="I54" s="3" t="s">
        <v>24</v>
      </c>
      <c r="J54" s="3" t="s">
        <v>24</v>
      </c>
      <c r="K54" s="3" t="s">
        <v>25</v>
      </c>
      <c r="L54" s="4">
        <v>0</v>
      </c>
      <c r="M54" s="3" t="s">
        <v>26</v>
      </c>
      <c r="N54" s="3" t="s">
        <v>24</v>
      </c>
      <c r="O54" s="4">
        <v>1</v>
      </c>
      <c r="P54" s="4">
        <v>8</v>
      </c>
      <c r="Q54" s="4">
        <v>1</v>
      </c>
    </row>
    <row r="55" spans="1:17" x14ac:dyDescent="0.25">
      <c r="A55" s="3" t="s">
        <v>18</v>
      </c>
      <c r="B55" s="3">
        <v>10574700</v>
      </c>
      <c r="C55" s="3" t="s">
        <v>85</v>
      </c>
      <c r="D55" s="3" t="s">
        <v>20</v>
      </c>
      <c r="E55" s="3" t="s">
        <v>21</v>
      </c>
      <c r="F55" s="3" t="s">
        <v>21</v>
      </c>
      <c r="G55" s="3" t="s">
        <v>42</v>
      </c>
      <c r="H55" s="3" t="s">
        <v>43</v>
      </c>
      <c r="I55" s="3" t="s">
        <v>24</v>
      </c>
      <c r="J55" s="3" t="s">
        <v>24</v>
      </c>
      <c r="K55" s="3" t="s">
        <v>25</v>
      </c>
      <c r="L55" s="4">
        <v>0</v>
      </c>
      <c r="M55" s="3" t="s">
        <v>26</v>
      </c>
      <c r="N55" s="3" t="s">
        <v>24</v>
      </c>
      <c r="O55" s="4">
        <v>1</v>
      </c>
      <c r="P55" s="4">
        <v>8</v>
      </c>
      <c r="Q55" s="4">
        <v>1</v>
      </c>
    </row>
    <row r="56" spans="1:17" x14ac:dyDescent="0.25">
      <c r="A56" s="3" t="s">
        <v>18</v>
      </c>
      <c r="B56" s="3">
        <v>10574701</v>
      </c>
      <c r="C56" s="3" t="s">
        <v>86</v>
      </c>
      <c r="D56" s="3" t="s">
        <v>20</v>
      </c>
      <c r="E56" s="3" t="s">
        <v>21</v>
      </c>
      <c r="F56" s="3" t="s">
        <v>21</v>
      </c>
      <c r="G56" s="3" t="s">
        <v>42</v>
      </c>
      <c r="H56" s="3" t="s">
        <v>43</v>
      </c>
      <c r="I56" s="3" t="s">
        <v>24</v>
      </c>
      <c r="J56" s="3" t="s">
        <v>24</v>
      </c>
      <c r="K56" s="3" t="s">
        <v>25</v>
      </c>
      <c r="L56" s="4">
        <v>0</v>
      </c>
      <c r="M56" s="3" t="s">
        <v>26</v>
      </c>
      <c r="N56" s="3" t="s">
        <v>24</v>
      </c>
      <c r="O56" s="4">
        <v>1</v>
      </c>
      <c r="P56" s="4">
        <v>8</v>
      </c>
      <c r="Q56" s="4">
        <v>1</v>
      </c>
    </row>
    <row r="57" spans="1:17" x14ac:dyDescent="0.25">
      <c r="A57" s="3" t="s">
        <v>18</v>
      </c>
      <c r="B57" s="3">
        <v>10574702</v>
      </c>
      <c r="C57" s="3" t="s">
        <v>87</v>
      </c>
      <c r="D57" s="3" t="s">
        <v>20</v>
      </c>
      <c r="E57" s="3" t="s">
        <v>21</v>
      </c>
      <c r="F57" s="3" t="s">
        <v>21</v>
      </c>
      <c r="G57" s="3" t="s">
        <v>22</v>
      </c>
      <c r="H57" s="3" t="s">
        <v>23</v>
      </c>
      <c r="I57" s="3" t="s">
        <v>24</v>
      </c>
      <c r="J57" s="3" t="s">
        <v>24</v>
      </c>
      <c r="K57" s="3" t="s">
        <v>25</v>
      </c>
      <c r="L57" s="4">
        <v>0</v>
      </c>
      <c r="M57" s="3" t="s">
        <v>26</v>
      </c>
      <c r="N57" s="3" t="s">
        <v>24</v>
      </c>
      <c r="O57" s="4">
        <v>1</v>
      </c>
      <c r="P57" s="4">
        <v>4</v>
      </c>
      <c r="Q57" s="4">
        <v>1</v>
      </c>
    </row>
    <row r="58" spans="1:17" x14ac:dyDescent="0.25">
      <c r="A58" s="3" t="s">
        <v>18</v>
      </c>
      <c r="B58" s="3">
        <v>10574703</v>
      </c>
      <c r="C58" s="3" t="s">
        <v>88</v>
      </c>
      <c r="D58" s="3" t="s">
        <v>20</v>
      </c>
      <c r="E58" s="3" t="s">
        <v>21</v>
      </c>
      <c r="F58" s="3" t="s">
        <v>21</v>
      </c>
      <c r="G58" s="3" t="s">
        <v>22</v>
      </c>
      <c r="H58" s="3" t="s">
        <v>23</v>
      </c>
      <c r="I58" s="3" t="s">
        <v>24</v>
      </c>
      <c r="J58" s="3" t="s">
        <v>24</v>
      </c>
      <c r="K58" s="3" t="s">
        <v>25</v>
      </c>
      <c r="L58" s="4">
        <v>0</v>
      </c>
      <c r="M58" s="3" t="s">
        <v>26</v>
      </c>
      <c r="N58" s="3" t="s">
        <v>24</v>
      </c>
      <c r="O58" s="4">
        <v>1</v>
      </c>
      <c r="P58" s="4">
        <v>4</v>
      </c>
      <c r="Q58" s="4">
        <v>1</v>
      </c>
    </row>
    <row r="59" spans="1:17" x14ac:dyDescent="0.25">
      <c r="A59" s="3" t="s">
        <v>18</v>
      </c>
      <c r="B59" s="3">
        <v>10574704</v>
      </c>
      <c r="C59" s="3" t="s">
        <v>89</v>
      </c>
      <c r="D59" s="3" t="s">
        <v>20</v>
      </c>
      <c r="E59" s="3" t="s">
        <v>21</v>
      </c>
      <c r="F59" s="3" t="s">
        <v>21</v>
      </c>
      <c r="G59" s="3" t="s">
        <v>22</v>
      </c>
      <c r="H59" s="3" t="s">
        <v>23</v>
      </c>
      <c r="I59" s="3" t="s">
        <v>24</v>
      </c>
      <c r="J59" s="3" t="s">
        <v>24</v>
      </c>
      <c r="K59" s="3" t="s">
        <v>25</v>
      </c>
      <c r="L59" s="4">
        <v>0</v>
      </c>
      <c r="M59" s="3" t="s">
        <v>26</v>
      </c>
      <c r="N59" s="3" t="s">
        <v>24</v>
      </c>
      <c r="O59" s="4">
        <v>1</v>
      </c>
      <c r="P59" s="4">
        <v>4</v>
      </c>
      <c r="Q59" s="4">
        <v>1</v>
      </c>
    </row>
    <row r="60" spans="1:17" x14ac:dyDescent="0.25">
      <c r="A60" s="3" t="s">
        <v>18</v>
      </c>
      <c r="B60" s="3">
        <v>10574705</v>
      </c>
      <c r="C60" s="3" t="s">
        <v>90</v>
      </c>
      <c r="D60" s="3" t="s">
        <v>20</v>
      </c>
      <c r="E60" s="3" t="s">
        <v>21</v>
      </c>
      <c r="F60" s="3" t="s">
        <v>21</v>
      </c>
      <c r="G60" s="3" t="s">
        <v>36</v>
      </c>
      <c r="H60" s="3" t="s">
        <v>37</v>
      </c>
      <c r="I60" s="3" t="s">
        <v>24</v>
      </c>
      <c r="J60" s="3" t="s">
        <v>24</v>
      </c>
      <c r="K60" s="3" t="s">
        <v>25</v>
      </c>
      <c r="L60" s="4">
        <v>0</v>
      </c>
      <c r="M60" s="3" t="s">
        <v>26</v>
      </c>
      <c r="N60" s="3" t="s">
        <v>24</v>
      </c>
      <c r="O60" s="4">
        <v>1</v>
      </c>
      <c r="P60" s="4">
        <v>10</v>
      </c>
      <c r="Q60" s="4">
        <v>1</v>
      </c>
    </row>
    <row r="61" spans="1:17" x14ac:dyDescent="0.25">
      <c r="A61" s="3" t="s">
        <v>18</v>
      </c>
      <c r="B61" s="3">
        <v>10574706</v>
      </c>
      <c r="C61" s="3" t="s">
        <v>91</v>
      </c>
      <c r="D61" s="3" t="s">
        <v>20</v>
      </c>
      <c r="E61" s="3" t="s">
        <v>21</v>
      </c>
      <c r="F61" s="3" t="s">
        <v>21</v>
      </c>
      <c r="G61" s="3" t="s">
        <v>36</v>
      </c>
      <c r="H61" s="3" t="s">
        <v>37</v>
      </c>
      <c r="I61" s="3" t="s">
        <v>24</v>
      </c>
      <c r="J61" s="3" t="s">
        <v>24</v>
      </c>
      <c r="K61" s="3" t="s">
        <v>25</v>
      </c>
      <c r="L61" s="4">
        <v>0</v>
      </c>
      <c r="M61" s="3" t="s">
        <v>26</v>
      </c>
      <c r="N61" s="3" t="s">
        <v>24</v>
      </c>
      <c r="O61" s="4">
        <v>1</v>
      </c>
      <c r="P61" s="4">
        <v>10</v>
      </c>
      <c r="Q61" s="4">
        <v>1</v>
      </c>
    </row>
    <row r="62" spans="1:17" x14ac:dyDescent="0.25">
      <c r="A62" s="3" t="s">
        <v>18</v>
      </c>
      <c r="B62" s="3">
        <v>10574707</v>
      </c>
      <c r="C62" s="3" t="s">
        <v>92</v>
      </c>
      <c r="D62" s="3" t="s">
        <v>20</v>
      </c>
      <c r="E62" s="3" t="s">
        <v>21</v>
      </c>
      <c r="F62" s="3" t="s">
        <v>21</v>
      </c>
      <c r="G62" s="3" t="s">
        <v>30</v>
      </c>
      <c r="H62" s="3" t="s">
        <v>31</v>
      </c>
      <c r="I62" s="3" t="s">
        <v>24</v>
      </c>
      <c r="J62" s="3" t="s">
        <v>24</v>
      </c>
      <c r="K62" s="3" t="s">
        <v>25</v>
      </c>
      <c r="L62" s="4">
        <v>0</v>
      </c>
      <c r="M62" s="3" t="s">
        <v>26</v>
      </c>
      <c r="N62" s="3" t="s">
        <v>24</v>
      </c>
      <c r="O62" s="4">
        <v>1</v>
      </c>
      <c r="P62" s="4">
        <v>9</v>
      </c>
      <c r="Q62" s="4">
        <v>1</v>
      </c>
    </row>
    <row r="63" spans="1:17" x14ac:dyDescent="0.25">
      <c r="A63" s="3" t="s">
        <v>18</v>
      </c>
      <c r="B63" s="3">
        <v>10574708</v>
      </c>
      <c r="C63" s="3" t="s">
        <v>93</v>
      </c>
      <c r="D63" s="3" t="s">
        <v>20</v>
      </c>
      <c r="E63" s="3" t="s">
        <v>21</v>
      </c>
      <c r="F63" s="3" t="s">
        <v>21</v>
      </c>
      <c r="G63" s="3" t="s">
        <v>30</v>
      </c>
      <c r="H63" s="3" t="s">
        <v>31</v>
      </c>
      <c r="I63" s="3" t="s">
        <v>24</v>
      </c>
      <c r="J63" s="3" t="s">
        <v>24</v>
      </c>
      <c r="K63" s="3" t="s">
        <v>25</v>
      </c>
      <c r="L63" s="4">
        <v>0</v>
      </c>
      <c r="M63" s="3" t="s">
        <v>26</v>
      </c>
      <c r="N63" s="3" t="s">
        <v>24</v>
      </c>
      <c r="O63" s="4">
        <v>1</v>
      </c>
      <c r="P63" s="4">
        <v>9</v>
      </c>
      <c r="Q63" s="4">
        <v>1</v>
      </c>
    </row>
    <row r="64" spans="1:17" x14ac:dyDescent="0.25">
      <c r="A64" s="3" t="s">
        <v>18</v>
      </c>
      <c r="B64" s="3">
        <v>10574709</v>
      </c>
      <c r="C64" s="3" t="s">
        <v>94</v>
      </c>
      <c r="D64" s="3" t="s">
        <v>20</v>
      </c>
      <c r="E64" s="3" t="s">
        <v>21</v>
      </c>
      <c r="F64" s="3" t="s">
        <v>21</v>
      </c>
      <c r="G64" s="3" t="s">
        <v>30</v>
      </c>
      <c r="H64" s="3" t="s">
        <v>31</v>
      </c>
      <c r="I64" s="3" t="s">
        <v>24</v>
      </c>
      <c r="J64" s="3" t="s">
        <v>24</v>
      </c>
      <c r="K64" s="3" t="s">
        <v>25</v>
      </c>
      <c r="L64" s="4">
        <v>0</v>
      </c>
      <c r="M64" s="3" t="s">
        <v>26</v>
      </c>
      <c r="N64" s="3" t="s">
        <v>24</v>
      </c>
      <c r="O64" s="4">
        <v>1</v>
      </c>
      <c r="P64" s="4">
        <v>9</v>
      </c>
      <c r="Q64" s="4">
        <v>1</v>
      </c>
    </row>
    <row r="65" spans="1:17" x14ac:dyDescent="0.25">
      <c r="A65" s="3" t="s">
        <v>18</v>
      </c>
      <c r="B65" s="3">
        <v>10574710</v>
      </c>
      <c r="C65" s="3" t="s">
        <v>95</v>
      </c>
      <c r="D65" s="3" t="s">
        <v>20</v>
      </c>
      <c r="E65" s="3" t="s">
        <v>21</v>
      </c>
      <c r="F65" s="3" t="s">
        <v>21</v>
      </c>
      <c r="G65" s="3" t="s">
        <v>30</v>
      </c>
      <c r="H65" s="3" t="s">
        <v>31</v>
      </c>
      <c r="I65" s="3" t="s">
        <v>24</v>
      </c>
      <c r="J65" s="3" t="s">
        <v>24</v>
      </c>
      <c r="K65" s="3" t="s">
        <v>25</v>
      </c>
      <c r="L65" s="4">
        <v>0</v>
      </c>
      <c r="M65" s="3" t="s">
        <v>26</v>
      </c>
      <c r="N65" s="3" t="s">
        <v>24</v>
      </c>
      <c r="O65" s="4">
        <v>1</v>
      </c>
      <c r="P65" s="4">
        <v>8</v>
      </c>
      <c r="Q65" s="4">
        <v>1</v>
      </c>
    </row>
    <row r="66" spans="1:17" x14ac:dyDescent="0.25">
      <c r="A66" s="3" t="s">
        <v>18</v>
      </c>
      <c r="B66" s="3">
        <v>10574711</v>
      </c>
      <c r="C66" s="3" t="s">
        <v>96</v>
      </c>
      <c r="D66" s="3" t="s">
        <v>20</v>
      </c>
      <c r="E66" s="3" t="s">
        <v>21</v>
      </c>
      <c r="F66" s="3" t="s">
        <v>21</v>
      </c>
      <c r="G66" s="3" t="s">
        <v>30</v>
      </c>
      <c r="H66" s="3" t="s">
        <v>31</v>
      </c>
      <c r="I66" s="3" t="s">
        <v>24</v>
      </c>
      <c r="J66" s="3" t="s">
        <v>24</v>
      </c>
      <c r="K66" s="3" t="s">
        <v>25</v>
      </c>
      <c r="L66" s="4">
        <v>0</v>
      </c>
      <c r="M66" s="3" t="s">
        <v>26</v>
      </c>
      <c r="N66" s="3" t="s">
        <v>24</v>
      </c>
      <c r="O66" s="4">
        <v>1</v>
      </c>
      <c r="P66" s="4">
        <v>8</v>
      </c>
      <c r="Q66" s="4">
        <v>1</v>
      </c>
    </row>
    <row r="67" spans="1:17" x14ac:dyDescent="0.25">
      <c r="A67" s="3" t="s">
        <v>18</v>
      </c>
      <c r="B67" s="3">
        <v>10574712</v>
      </c>
      <c r="C67" s="3" t="s">
        <v>97</v>
      </c>
      <c r="D67" s="3" t="s">
        <v>20</v>
      </c>
      <c r="E67" s="3" t="s">
        <v>21</v>
      </c>
      <c r="F67" s="3" t="s">
        <v>21</v>
      </c>
      <c r="G67" s="3" t="s">
        <v>42</v>
      </c>
      <c r="H67" s="3" t="s">
        <v>43</v>
      </c>
      <c r="I67" s="3" t="s">
        <v>24</v>
      </c>
      <c r="J67" s="3" t="s">
        <v>24</v>
      </c>
      <c r="K67" s="3" t="s">
        <v>25</v>
      </c>
      <c r="L67" s="4">
        <v>0</v>
      </c>
      <c r="M67" s="3" t="s">
        <v>26</v>
      </c>
      <c r="N67" s="3" t="s">
        <v>24</v>
      </c>
      <c r="O67" s="4">
        <v>1</v>
      </c>
      <c r="P67" s="4">
        <v>8</v>
      </c>
      <c r="Q67" s="4">
        <v>1</v>
      </c>
    </row>
    <row r="68" spans="1:17" x14ac:dyDescent="0.25">
      <c r="A68" s="3" t="s">
        <v>18</v>
      </c>
      <c r="B68" s="3">
        <v>10574713</v>
      </c>
      <c r="C68" s="3" t="s">
        <v>98</v>
      </c>
      <c r="D68" s="3" t="s">
        <v>20</v>
      </c>
      <c r="E68" s="3" t="s">
        <v>21</v>
      </c>
      <c r="F68" s="3" t="s">
        <v>21</v>
      </c>
      <c r="G68" s="3" t="s">
        <v>42</v>
      </c>
      <c r="H68" s="3" t="s">
        <v>43</v>
      </c>
      <c r="I68" s="3" t="s">
        <v>24</v>
      </c>
      <c r="J68" s="3" t="s">
        <v>24</v>
      </c>
      <c r="K68" s="3" t="s">
        <v>25</v>
      </c>
      <c r="L68" s="4">
        <v>0</v>
      </c>
      <c r="M68" s="3" t="s">
        <v>26</v>
      </c>
      <c r="N68" s="3" t="s">
        <v>24</v>
      </c>
      <c r="O68" s="4">
        <v>1</v>
      </c>
      <c r="P68" s="4">
        <v>8</v>
      </c>
      <c r="Q68" s="4">
        <v>1</v>
      </c>
    </row>
    <row r="69" spans="1:17" x14ac:dyDescent="0.25">
      <c r="A69" s="3" t="s">
        <v>18</v>
      </c>
      <c r="B69" s="3">
        <v>10574714</v>
      </c>
      <c r="C69" s="3" t="s">
        <v>99</v>
      </c>
      <c r="D69" s="3" t="s">
        <v>20</v>
      </c>
      <c r="E69" s="3" t="s">
        <v>21</v>
      </c>
      <c r="F69" s="3" t="s">
        <v>21</v>
      </c>
      <c r="G69" s="3" t="s">
        <v>42</v>
      </c>
      <c r="H69" s="3" t="s">
        <v>43</v>
      </c>
      <c r="I69" s="3" t="s">
        <v>24</v>
      </c>
      <c r="J69" s="3" t="s">
        <v>24</v>
      </c>
      <c r="K69" s="3" t="s">
        <v>25</v>
      </c>
      <c r="L69" s="4">
        <v>0</v>
      </c>
      <c r="M69" s="3" t="s">
        <v>26</v>
      </c>
      <c r="N69" s="3" t="s">
        <v>24</v>
      </c>
      <c r="O69" s="4">
        <v>1</v>
      </c>
      <c r="P69" s="4">
        <v>8</v>
      </c>
      <c r="Q69" s="4">
        <v>1</v>
      </c>
    </row>
    <row r="70" spans="1:17" x14ac:dyDescent="0.25">
      <c r="A70" s="3" t="s">
        <v>18</v>
      </c>
      <c r="B70" s="3">
        <v>10574715</v>
      </c>
      <c r="C70" s="3" t="s">
        <v>100</v>
      </c>
      <c r="D70" s="3" t="s">
        <v>20</v>
      </c>
      <c r="E70" s="3" t="s">
        <v>21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24</v>
      </c>
      <c r="K70" s="3" t="s">
        <v>25</v>
      </c>
      <c r="L70" s="4">
        <v>0</v>
      </c>
      <c r="M70" s="3" t="s">
        <v>26</v>
      </c>
      <c r="N70" s="3" t="s">
        <v>24</v>
      </c>
      <c r="O70" s="4">
        <v>1</v>
      </c>
      <c r="P70" s="4">
        <v>4</v>
      </c>
      <c r="Q70" s="4">
        <v>1</v>
      </c>
    </row>
    <row r="71" spans="1:17" x14ac:dyDescent="0.25">
      <c r="A71" s="3" t="s">
        <v>18</v>
      </c>
      <c r="B71" s="3">
        <v>10574716</v>
      </c>
      <c r="C71" s="3" t="s">
        <v>101</v>
      </c>
      <c r="D71" s="3" t="s">
        <v>20</v>
      </c>
      <c r="E71" s="3" t="s">
        <v>21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24</v>
      </c>
      <c r="K71" s="3" t="s">
        <v>25</v>
      </c>
      <c r="L71" s="4">
        <v>0</v>
      </c>
      <c r="M71" s="3" t="s">
        <v>26</v>
      </c>
      <c r="N71" s="3" t="s">
        <v>24</v>
      </c>
      <c r="O71" s="4">
        <v>1</v>
      </c>
      <c r="P71" s="4">
        <v>4</v>
      </c>
      <c r="Q71" s="4">
        <v>1</v>
      </c>
    </row>
    <row r="72" spans="1:17" x14ac:dyDescent="0.25">
      <c r="A72" s="3" t="s">
        <v>18</v>
      </c>
      <c r="B72" s="3">
        <v>10574717</v>
      </c>
      <c r="C72" s="3" t="s">
        <v>102</v>
      </c>
      <c r="D72" s="3" t="s">
        <v>20</v>
      </c>
      <c r="E72" s="3" t="s">
        <v>21</v>
      </c>
      <c r="F72" s="3" t="s">
        <v>21</v>
      </c>
      <c r="G72" s="3" t="s">
        <v>22</v>
      </c>
      <c r="H72" s="3" t="s">
        <v>23</v>
      </c>
      <c r="I72" s="3" t="s">
        <v>24</v>
      </c>
      <c r="J72" s="3" t="s">
        <v>24</v>
      </c>
      <c r="K72" s="3" t="s">
        <v>25</v>
      </c>
      <c r="L72" s="4">
        <v>0</v>
      </c>
      <c r="M72" s="3" t="s">
        <v>26</v>
      </c>
      <c r="N72" s="3" t="s">
        <v>24</v>
      </c>
      <c r="O72" s="4">
        <v>1</v>
      </c>
      <c r="P72" s="4">
        <v>4</v>
      </c>
      <c r="Q72" s="4">
        <v>1</v>
      </c>
    </row>
    <row r="73" spans="1:17" x14ac:dyDescent="0.25">
      <c r="A73" s="3" t="s">
        <v>18</v>
      </c>
      <c r="B73" s="3">
        <v>10574718</v>
      </c>
      <c r="C73" s="3" t="s">
        <v>103</v>
      </c>
      <c r="D73" s="3" t="s">
        <v>20</v>
      </c>
      <c r="E73" s="3" t="s">
        <v>21</v>
      </c>
      <c r="F73" s="3" t="s">
        <v>21</v>
      </c>
      <c r="G73" s="3" t="s">
        <v>36</v>
      </c>
      <c r="H73" s="3" t="s">
        <v>37</v>
      </c>
      <c r="I73" s="3" t="s">
        <v>24</v>
      </c>
      <c r="J73" s="3" t="s">
        <v>24</v>
      </c>
      <c r="K73" s="3" t="s">
        <v>25</v>
      </c>
      <c r="L73" s="4">
        <v>0</v>
      </c>
      <c r="M73" s="3" t="s">
        <v>26</v>
      </c>
      <c r="N73" s="3" t="s">
        <v>24</v>
      </c>
      <c r="O73" s="4">
        <v>1</v>
      </c>
      <c r="P73" s="4">
        <v>6</v>
      </c>
      <c r="Q73" s="4">
        <v>1</v>
      </c>
    </row>
    <row r="74" spans="1:17" x14ac:dyDescent="0.25">
      <c r="A74" s="3" t="s">
        <v>18</v>
      </c>
      <c r="B74" s="3">
        <v>10574719</v>
      </c>
      <c r="C74" s="3" t="s">
        <v>104</v>
      </c>
      <c r="D74" s="3" t="s">
        <v>20</v>
      </c>
      <c r="E74" s="3" t="s">
        <v>21</v>
      </c>
      <c r="F74" s="3" t="s">
        <v>21</v>
      </c>
      <c r="G74" s="3" t="s">
        <v>36</v>
      </c>
      <c r="H74" s="3" t="s">
        <v>37</v>
      </c>
      <c r="I74" s="3" t="s">
        <v>24</v>
      </c>
      <c r="J74" s="3" t="s">
        <v>24</v>
      </c>
      <c r="K74" s="3" t="s">
        <v>25</v>
      </c>
      <c r="L74" s="4">
        <v>0</v>
      </c>
      <c r="M74" s="3" t="s">
        <v>26</v>
      </c>
      <c r="N74" s="3" t="s">
        <v>24</v>
      </c>
      <c r="O74" s="4">
        <v>1</v>
      </c>
      <c r="P74" s="4">
        <v>6</v>
      </c>
      <c r="Q74" s="4">
        <v>1</v>
      </c>
    </row>
    <row r="75" spans="1:17" x14ac:dyDescent="0.25">
      <c r="A75" s="3" t="s">
        <v>18</v>
      </c>
      <c r="B75" s="3">
        <v>10574720</v>
      </c>
      <c r="C75" s="3" t="s">
        <v>105</v>
      </c>
      <c r="D75" s="3" t="s">
        <v>20</v>
      </c>
      <c r="E75" s="3" t="s">
        <v>21</v>
      </c>
      <c r="F75" s="3" t="s">
        <v>21</v>
      </c>
      <c r="G75" s="3" t="s">
        <v>30</v>
      </c>
      <c r="H75" s="3" t="s">
        <v>31</v>
      </c>
      <c r="I75" s="3" t="s">
        <v>24</v>
      </c>
      <c r="J75" s="3" t="s">
        <v>24</v>
      </c>
      <c r="K75" s="3" t="s">
        <v>25</v>
      </c>
      <c r="L75" s="4">
        <v>0</v>
      </c>
      <c r="M75" s="3" t="s">
        <v>26</v>
      </c>
      <c r="N75" s="3" t="s">
        <v>24</v>
      </c>
      <c r="O75" s="4">
        <v>1</v>
      </c>
      <c r="P75" s="4">
        <v>9</v>
      </c>
      <c r="Q75" s="4">
        <v>1</v>
      </c>
    </row>
    <row r="76" spans="1:17" x14ac:dyDescent="0.25">
      <c r="A76" s="3" t="s">
        <v>18</v>
      </c>
      <c r="B76" s="3">
        <v>10574721</v>
      </c>
      <c r="C76" s="3" t="s">
        <v>106</v>
      </c>
      <c r="D76" s="3" t="s">
        <v>20</v>
      </c>
      <c r="E76" s="3" t="s">
        <v>21</v>
      </c>
      <c r="F76" s="3" t="s">
        <v>21</v>
      </c>
      <c r="G76" s="3" t="s">
        <v>30</v>
      </c>
      <c r="H76" s="3" t="s">
        <v>31</v>
      </c>
      <c r="I76" s="3" t="s">
        <v>24</v>
      </c>
      <c r="J76" s="3" t="s">
        <v>24</v>
      </c>
      <c r="K76" s="3" t="s">
        <v>25</v>
      </c>
      <c r="L76" s="4">
        <v>0</v>
      </c>
      <c r="M76" s="3" t="s">
        <v>26</v>
      </c>
      <c r="N76" s="3" t="s">
        <v>24</v>
      </c>
      <c r="O76" s="4">
        <v>1</v>
      </c>
      <c r="P76" s="4">
        <v>9</v>
      </c>
      <c r="Q76" s="4">
        <v>1</v>
      </c>
    </row>
    <row r="77" spans="1:17" x14ac:dyDescent="0.25">
      <c r="A77" s="3" t="s">
        <v>18</v>
      </c>
      <c r="B77" s="3">
        <v>10574722</v>
      </c>
      <c r="C77" s="3" t="s">
        <v>107</v>
      </c>
      <c r="D77" s="3" t="s">
        <v>20</v>
      </c>
      <c r="E77" s="3" t="s">
        <v>21</v>
      </c>
      <c r="F77" s="3" t="s">
        <v>21</v>
      </c>
      <c r="G77" s="3" t="s">
        <v>30</v>
      </c>
      <c r="H77" s="3" t="s">
        <v>31</v>
      </c>
      <c r="I77" s="3" t="s">
        <v>24</v>
      </c>
      <c r="J77" s="3" t="s">
        <v>24</v>
      </c>
      <c r="K77" s="3" t="s">
        <v>25</v>
      </c>
      <c r="L77" s="4">
        <v>0</v>
      </c>
      <c r="M77" s="3" t="s">
        <v>26</v>
      </c>
      <c r="N77" s="3" t="s">
        <v>24</v>
      </c>
      <c r="O77" s="4">
        <v>1</v>
      </c>
      <c r="P77" s="4">
        <v>8</v>
      </c>
      <c r="Q77" s="4">
        <v>1</v>
      </c>
    </row>
    <row r="78" spans="1:17" x14ac:dyDescent="0.25">
      <c r="A78" s="3" t="s">
        <v>18</v>
      </c>
      <c r="B78" s="3">
        <v>10574723</v>
      </c>
      <c r="C78" s="3" t="s">
        <v>108</v>
      </c>
      <c r="D78" s="3" t="s">
        <v>20</v>
      </c>
      <c r="E78" s="3" t="s">
        <v>21</v>
      </c>
      <c r="F78" s="3" t="s">
        <v>21</v>
      </c>
      <c r="G78" s="3" t="s">
        <v>30</v>
      </c>
      <c r="H78" s="3" t="s">
        <v>31</v>
      </c>
      <c r="I78" s="3" t="s">
        <v>24</v>
      </c>
      <c r="J78" s="3" t="s">
        <v>24</v>
      </c>
      <c r="K78" s="3" t="s">
        <v>25</v>
      </c>
      <c r="L78" s="4">
        <v>0</v>
      </c>
      <c r="M78" s="3" t="s">
        <v>26</v>
      </c>
      <c r="N78" s="3" t="s">
        <v>24</v>
      </c>
      <c r="O78" s="4">
        <v>1</v>
      </c>
      <c r="P78" s="4">
        <v>9</v>
      </c>
      <c r="Q78" s="4">
        <v>1</v>
      </c>
    </row>
    <row r="79" spans="1:17" x14ac:dyDescent="0.25">
      <c r="A79" s="3" t="s">
        <v>18</v>
      </c>
      <c r="B79" s="3">
        <v>10574724</v>
      </c>
      <c r="C79" s="3" t="s">
        <v>109</v>
      </c>
      <c r="D79" s="3" t="s">
        <v>20</v>
      </c>
      <c r="E79" s="3" t="s">
        <v>21</v>
      </c>
      <c r="F79" s="3" t="s">
        <v>21</v>
      </c>
      <c r="G79" s="3" t="s">
        <v>30</v>
      </c>
      <c r="H79" s="3" t="s">
        <v>31</v>
      </c>
      <c r="I79" s="3" t="s">
        <v>24</v>
      </c>
      <c r="J79" s="3" t="s">
        <v>24</v>
      </c>
      <c r="K79" s="3" t="s">
        <v>25</v>
      </c>
      <c r="L79" s="4">
        <v>0</v>
      </c>
      <c r="M79" s="3" t="s">
        <v>26</v>
      </c>
      <c r="N79" s="3" t="s">
        <v>24</v>
      </c>
      <c r="O79" s="4">
        <v>1</v>
      </c>
      <c r="P79" s="4">
        <v>8</v>
      </c>
      <c r="Q79" s="4">
        <v>1</v>
      </c>
    </row>
    <row r="80" spans="1:17" x14ac:dyDescent="0.25">
      <c r="A80" s="3" t="s">
        <v>18</v>
      </c>
      <c r="B80" s="3">
        <v>10574725</v>
      </c>
      <c r="C80" s="3" t="s">
        <v>110</v>
      </c>
      <c r="D80" s="3" t="s">
        <v>20</v>
      </c>
      <c r="E80" s="3" t="s">
        <v>21</v>
      </c>
      <c r="F80" s="3" t="s">
        <v>21</v>
      </c>
      <c r="G80" s="3" t="s">
        <v>30</v>
      </c>
      <c r="H80" s="3" t="s">
        <v>31</v>
      </c>
      <c r="I80" s="3" t="s">
        <v>24</v>
      </c>
      <c r="J80" s="3" t="s">
        <v>24</v>
      </c>
      <c r="K80" s="3" t="s">
        <v>25</v>
      </c>
      <c r="L80" s="4">
        <v>0</v>
      </c>
      <c r="M80" s="3" t="s">
        <v>26</v>
      </c>
      <c r="N80" s="3" t="s">
        <v>24</v>
      </c>
      <c r="O80" s="4">
        <v>1</v>
      </c>
      <c r="P80" s="4">
        <v>8</v>
      </c>
      <c r="Q80" s="4">
        <v>1</v>
      </c>
    </row>
    <row r="81" spans="1:17" x14ac:dyDescent="0.25">
      <c r="A81" s="3" t="s">
        <v>18</v>
      </c>
      <c r="B81" s="3">
        <v>10574726</v>
      </c>
      <c r="C81" s="3" t="s">
        <v>111</v>
      </c>
      <c r="D81" s="3" t="s">
        <v>20</v>
      </c>
      <c r="E81" s="3" t="s">
        <v>21</v>
      </c>
      <c r="F81" s="3" t="s">
        <v>21</v>
      </c>
      <c r="G81" s="3" t="s">
        <v>30</v>
      </c>
      <c r="H81" s="3" t="s">
        <v>31</v>
      </c>
      <c r="I81" s="3" t="s">
        <v>24</v>
      </c>
      <c r="J81" s="3" t="s">
        <v>24</v>
      </c>
      <c r="K81" s="3" t="s">
        <v>25</v>
      </c>
      <c r="L81" s="4">
        <v>0</v>
      </c>
      <c r="M81" s="3" t="s">
        <v>26</v>
      </c>
      <c r="N81" s="3" t="s">
        <v>24</v>
      </c>
      <c r="O81" s="4">
        <v>1</v>
      </c>
      <c r="P81" s="4">
        <v>8</v>
      </c>
      <c r="Q81" s="4">
        <v>1</v>
      </c>
    </row>
    <row r="82" spans="1:17" x14ac:dyDescent="0.25">
      <c r="A82" s="3" t="s">
        <v>18</v>
      </c>
      <c r="B82" s="3">
        <v>10574727</v>
      </c>
      <c r="C82" s="3" t="s">
        <v>112</v>
      </c>
      <c r="D82" s="3" t="s">
        <v>20</v>
      </c>
      <c r="E82" s="3" t="s">
        <v>21</v>
      </c>
      <c r="F82" s="3" t="s">
        <v>21</v>
      </c>
      <c r="G82" s="3" t="s">
        <v>42</v>
      </c>
      <c r="H82" s="3" t="s">
        <v>43</v>
      </c>
      <c r="I82" s="3" t="s">
        <v>24</v>
      </c>
      <c r="J82" s="3" t="s">
        <v>24</v>
      </c>
      <c r="K82" s="3" t="s">
        <v>25</v>
      </c>
      <c r="L82" s="4">
        <v>0</v>
      </c>
      <c r="M82" s="3" t="s">
        <v>26</v>
      </c>
      <c r="N82" s="3" t="s">
        <v>24</v>
      </c>
      <c r="O82" s="4">
        <v>1</v>
      </c>
      <c r="P82" s="4">
        <v>8</v>
      </c>
      <c r="Q82" s="4">
        <v>1</v>
      </c>
    </row>
    <row r="83" spans="1:17" x14ac:dyDescent="0.25">
      <c r="A83" s="3" t="s">
        <v>18</v>
      </c>
      <c r="B83" s="3">
        <v>10574728</v>
      </c>
      <c r="C83" s="3" t="s">
        <v>113</v>
      </c>
      <c r="D83" s="3" t="s">
        <v>20</v>
      </c>
      <c r="E83" s="3" t="s">
        <v>21</v>
      </c>
      <c r="F83" s="3" t="s">
        <v>21</v>
      </c>
      <c r="G83" s="3" t="s">
        <v>42</v>
      </c>
      <c r="H83" s="3" t="s">
        <v>43</v>
      </c>
      <c r="I83" s="3" t="s">
        <v>24</v>
      </c>
      <c r="J83" s="3" t="s">
        <v>24</v>
      </c>
      <c r="K83" s="3" t="s">
        <v>25</v>
      </c>
      <c r="L83" s="4">
        <v>0</v>
      </c>
      <c r="M83" s="3" t="s">
        <v>26</v>
      </c>
      <c r="N83" s="3" t="s">
        <v>24</v>
      </c>
      <c r="O83" s="4">
        <v>1</v>
      </c>
      <c r="P83" s="4">
        <v>8</v>
      </c>
      <c r="Q83" s="4">
        <v>1</v>
      </c>
    </row>
    <row r="84" spans="1:17" x14ac:dyDescent="0.25">
      <c r="A84" s="3" t="s">
        <v>18</v>
      </c>
      <c r="B84" s="3">
        <v>10574729</v>
      </c>
      <c r="C84" s="3" t="s">
        <v>114</v>
      </c>
      <c r="D84" s="3" t="s">
        <v>20</v>
      </c>
      <c r="E84" s="3" t="s">
        <v>21</v>
      </c>
      <c r="F84" s="3" t="s">
        <v>21</v>
      </c>
      <c r="G84" s="3" t="s">
        <v>42</v>
      </c>
      <c r="H84" s="3" t="s">
        <v>43</v>
      </c>
      <c r="I84" s="3" t="s">
        <v>24</v>
      </c>
      <c r="J84" s="3" t="s">
        <v>24</v>
      </c>
      <c r="K84" s="3" t="s">
        <v>25</v>
      </c>
      <c r="L84" s="4">
        <v>0</v>
      </c>
      <c r="M84" s="3" t="s">
        <v>26</v>
      </c>
      <c r="N84" s="3" t="s">
        <v>24</v>
      </c>
      <c r="O84" s="4">
        <v>1</v>
      </c>
      <c r="P84" s="4">
        <v>8</v>
      </c>
      <c r="Q84" s="4">
        <v>1</v>
      </c>
    </row>
    <row r="85" spans="1:17" x14ac:dyDescent="0.25">
      <c r="A85" s="3" t="s">
        <v>18</v>
      </c>
      <c r="B85" s="3">
        <v>10574730</v>
      </c>
      <c r="C85" s="3" t="s">
        <v>115</v>
      </c>
      <c r="D85" s="3" t="s">
        <v>20</v>
      </c>
      <c r="E85" s="3" t="s">
        <v>21</v>
      </c>
      <c r="F85" s="3" t="s">
        <v>21</v>
      </c>
      <c r="G85" s="3" t="s">
        <v>22</v>
      </c>
      <c r="H85" s="3" t="s">
        <v>23</v>
      </c>
      <c r="I85" s="3" t="s">
        <v>24</v>
      </c>
      <c r="J85" s="3" t="s">
        <v>24</v>
      </c>
      <c r="K85" s="3" t="s">
        <v>25</v>
      </c>
      <c r="L85" s="4">
        <v>0</v>
      </c>
      <c r="M85" s="3" t="s">
        <v>26</v>
      </c>
      <c r="N85" s="3" t="s">
        <v>24</v>
      </c>
      <c r="O85" s="4">
        <v>1</v>
      </c>
      <c r="P85" s="4">
        <v>4</v>
      </c>
      <c r="Q85" s="4">
        <v>1</v>
      </c>
    </row>
    <row r="86" spans="1:17" x14ac:dyDescent="0.25">
      <c r="A86" s="3" t="s">
        <v>18</v>
      </c>
      <c r="B86" s="3">
        <v>10574731</v>
      </c>
      <c r="C86" s="3" t="s">
        <v>116</v>
      </c>
      <c r="D86" s="3" t="s">
        <v>20</v>
      </c>
      <c r="E86" s="3" t="s">
        <v>21</v>
      </c>
      <c r="F86" s="3" t="s">
        <v>21</v>
      </c>
      <c r="G86" s="3" t="s">
        <v>22</v>
      </c>
      <c r="H86" s="3" t="s">
        <v>23</v>
      </c>
      <c r="I86" s="3" t="s">
        <v>24</v>
      </c>
      <c r="J86" s="3" t="s">
        <v>24</v>
      </c>
      <c r="K86" s="3" t="s">
        <v>25</v>
      </c>
      <c r="L86" s="4">
        <v>0</v>
      </c>
      <c r="M86" s="3" t="s">
        <v>26</v>
      </c>
      <c r="N86" s="3" t="s">
        <v>24</v>
      </c>
      <c r="O86" s="4">
        <v>1</v>
      </c>
      <c r="P86" s="4">
        <v>4</v>
      </c>
      <c r="Q86" s="4">
        <v>1</v>
      </c>
    </row>
    <row r="87" spans="1:17" x14ac:dyDescent="0.25">
      <c r="A87" s="3" t="s">
        <v>18</v>
      </c>
      <c r="B87" s="3">
        <v>10574732</v>
      </c>
      <c r="C87" s="3" t="s">
        <v>117</v>
      </c>
      <c r="D87" s="3" t="s">
        <v>20</v>
      </c>
      <c r="E87" s="3" t="s">
        <v>21</v>
      </c>
      <c r="F87" s="3" t="s">
        <v>21</v>
      </c>
      <c r="G87" s="3" t="s">
        <v>22</v>
      </c>
      <c r="H87" s="3" t="s">
        <v>23</v>
      </c>
      <c r="I87" s="3" t="s">
        <v>24</v>
      </c>
      <c r="J87" s="3" t="s">
        <v>24</v>
      </c>
      <c r="K87" s="3" t="s">
        <v>25</v>
      </c>
      <c r="L87" s="4">
        <v>0</v>
      </c>
      <c r="M87" s="3" t="s">
        <v>26</v>
      </c>
      <c r="N87" s="3" t="s">
        <v>24</v>
      </c>
      <c r="O87" s="4">
        <v>1</v>
      </c>
      <c r="P87" s="4">
        <v>4</v>
      </c>
      <c r="Q87" s="4">
        <v>1</v>
      </c>
    </row>
    <row r="88" spans="1:17" x14ac:dyDescent="0.25">
      <c r="A88" s="3" t="s">
        <v>18</v>
      </c>
      <c r="B88" s="3">
        <v>10574733</v>
      </c>
      <c r="C88" s="3" t="s">
        <v>118</v>
      </c>
      <c r="D88" s="3" t="s">
        <v>20</v>
      </c>
      <c r="E88" s="3" t="s">
        <v>21</v>
      </c>
      <c r="F88" s="3" t="s">
        <v>21</v>
      </c>
      <c r="G88" s="3" t="s">
        <v>30</v>
      </c>
      <c r="H88" s="3" t="s">
        <v>31</v>
      </c>
      <c r="I88" s="3" t="s">
        <v>24</v>
      </c>
      <c r="J88" s="3" t="s">
        <v>24</v>
      </c>
      <c r="K88" s="3" t="s">
        <v>25</v>
      </c>
      <c r="L88" s="4">
        <v>0</v>
      </c>
      <c r="M88" s="3" t="s">
        <v>26</v>
      </c>
      <c r="N88" s="3" t="s">
        <v>24</v>
      </c>
      <c r="O88" s="4">
        <v>1</v>
      </c>
      <c r="P88" s="4">
        <v>9</v>
      </c>
      <c r="Q88" s="4">
        <v>1</v>
      </c>
    </row>
    <row r="89" spans="1:17" x14ac:dyDescent="0.25">
      <c r="A89" s="3" t="s">
        <v>18</v>
      </c>
      <c r="B89" s="3">
        <v>10574734</v>
      </c>
      <c r="C89" s="3" t="s">
        <v>119</v>
      </c>
      <c r="D89" s="3" t="s">
        <v>20</v>
      </c>
      <c r="E89" s="3" t="s">
        <v>21</v>
      </c>
      <c r="F89" s="3" t="s">
        <v>21</v>
      </c>
      <c r="G89" s="3" t="s">
        <v>30</v>
      </c>
      <c r="H89" s="3" t="s">
        <v>31</v>
      </c>
      <c r="I89" s="3" t="s">
        <v>24</v>
      </c>
      <c r="J89" s="3" t="s">
        <v>24</v>
      </c>
      <c r="K89" s="3" t="s">
        <v>25</v>
      </c>
      <c r="L89" s="4">
        <v>0</v>
      </c>
      <c r="M89" s="3" t="s">
        <v>26</v>
      </c>
      <c r="N89" s="3" t="s">
        <v>24</v>
      </c>
      <c r="O89" s="4">
        <v>1</v>
      </c>
      <c r="P89" s="4">
        <v>9</v>
      </c>
      <c r="Q89" s="4">
        <v>1</v>
      </c>
    </row>
    <row r="90" spans="1:17" x14ac:dyDescent="0.25">
      <c r="A90" s="3" t="s">
        <v>18</v>
      </c>
      <c r="B90" s="3">
        <v>10574735</v>
      </c>
      <c r="C90" s="3" t="s">
        <v>120</v>
      </c>
      <c r="D90" s="3" t="s">
        <v>20</v>
      </c>
      <c r="E90" s="3" t="s">
        <v>21</v>
      </c>
      <c r="F90" s="3" t="s">
        <v>21</v>
      </c>
      <c r="G90" s="3" t="s">
        <v>30</v>
      </c>
      <c r="H90" s="3" t="s">
        <v>31</v>
      </c>
      <c r="I90" s="3" t="s">
        <v>24</v>
      </c>
      <c r="J90" s="3" t="s">
        <v>24</v>
      </c>
      <c r="K90" s="3" t="s">
        <v>25</v>
      </c>
      <c r="L90" s="4">
        <v>0</v>
      </c>
      <c r="M90" s="3" t="s">
        <v>26</v>
      </c>
      <c r="N90" s="3" t="s">
        <v>24</v>
      </c>
      <c r="O90" s="4">
        <v>1</v>
      </c>
      <c r="P90" s="4">
        <v>9</v>
      </c>
      <c r="Q90" s="4">
        <v>1</v>
      </c>
    </row>
    <row r="91" spans="1:17" x14ac:dyDescent="0.25">
      <c r="A91" s="3" t="s">
        <v>18</v>
      </c>
      <c r="B91" s="3">
        <v>10574736</v>
      </c>
      <c r="C91" s="3" t="s">
        <v>121</v>
      </c>
      <c r="D91" s="3" t="s">
        <v>20</v>
      </c>
      <c r="E91" s="3" t="s">
        <v>21</v>
      </c>
      <c r="F91" s="3" t="s">
        <v>21</v>
      </c>
      <c r="G91" s="3" t="s">
        <v>30</v>
      </c>
      <c r="H91" s="3" t="s">
        <v>31</v>
      </c>
      <c r="I91" s="3" t="s">
        <v>24</v>
      </c>
      <c r="J91" s="3" t="s">
        <v>24</v>
      </c>
      <c r="K91" s="3" t="s">
        <v>25</v>
      </c>
      <c r="L91" s="4">
        <v>0</v>
      </c>
      <c r="M91" s="3" t="s">
        <v>26</v>
      </c>
      <c r="N91" s="3" t="s">
        <v>24</v>
      </c>
      <c r="O91" s="4">
        <v>1</v>
      </c>
      <c r="P91" s="4">
        <v>8</v>
      </c>
      <c r="Q91" s="4">
        <v>1</v>
      </c>
    </row>
    <row r="92" spans="1:17" x14ac:dyDescent="0.25">
      <c r="A92" s="3" t="s">
        <v>18</v>
      </c>
      <c r="B92" s="3">
        <v>10574737</v>
      </c>
      <c r="C92" s="3" t="s">
        <v>122</v>
      </c>
      <c r="D92" s="3" t="s">
        <v>20</v>
      </c>
      <c r="E92" s="3" t="s">
        <v>21</v>
      </c>
      <c r="F92" s="3" t="s">
        <v>21</v>
      </c>
      <c r="G92" s="3" t="s">
        <v>30</v>
      </c>
      <c r="H92" s="3" t="s">
        <v>31</v>
      </c>
      <c r="I92" s="3" t="s">
        <v>24</v>
      </c>
      <c r="J92" s="3" t="s">
        <v>24</v>
      </c>
      <c r="K92" s="3" t="s">
        <v>25</v>
      </c>
      <c r="L92" s="4">
        <v>0</v>
      </c>
      <c r="M92" s="3" t="s">
        <v>26</v>
      </c>
      <c r="N92" s="3" t="s">
        <v>24</v>
      </c>
      <c r="O92" s="4">
        <v>1</v>
      </c>
      <c r="P92" s="4">
        <v>8</v>
      </c>
      <c r="Q92" s="4">
        <v>1</v>
      </c>
    </row>
    <row r="93" spans="1:17" x14ac:dyDescent="0.25">
      <c r="A93" s="3" t="s">
        <v>18</v>
      </c>
      <c r="B93" s="3">
        <v>10574738</v>
      </c>
      <c r="C93" s="3" t="s">
        <v>123</v>
      </c>
      <c r="D93" s="3" t="s">
        <v>20</v>
      </c>
      <c r="E93" s="3" t="s">
        <v>21</v>
      </c>
      <c r="F93" s="3" t="s">
        <v>21</v>
      </c>
      <c r="G93" s="3" t="s">
        <v>42</v>
      </c>
      <c r="H93" s="3" t="s">
        <v>43</v>
      </c>
      <c r="I93" s="3" t="s">
        <v>24</v>
      </c>
      <c r="J93" s="3" t="s">
        <v>24</v>
      </c>
      <c r="K93" s="3" t="s">
        <v>25</v>
      </c>
      <c r="L93" s="4">
        <v>0</v>
      </c>
      <c r="M93" s="3" t="s">
        <v>26</v>
      </c>
      <c r="N93" s="3" t="s">
        <v>24</v>
      </c>
      <c r="O93" s="4">
        <v>1</v>
      </c>
      <c r="P93" s="4">
        <v>8</v>
      </c>
      <c r="Q93" s="4">
        <v>1</v>
      </c>
    </row>
    <row r="94" spans="1:17" x14ac:dyDescent="0.25">
      <c r="A94" s="3" t="s">
        <v>18</v>
      </c>
      <c r="B94" s="3">
        <v>10574739</v>
      </c>
      <c r="C94" s="3" t="s">
        <v>124</v>
      </c>
      <c r="D94" s="3" t="s">
        <v>20</v>
      </c>
      <c r="E94" s="3" t="s">
        <v>21</v>
      </c>
      <c r="F94" s="3" t="s">
        <v>21</v>
      </c>
      <c r="G94" s="3" t="s">
        <v>42</v>
      </c>
      <c r="H94" s="3" t="s">
        <v>43</v>
      </c>
      <c r="I94" s="3" t="s">
        <v>24</v>
      </c>
      <c r="J94" s="3" t="s">
        <v>24</v>
      </c>
      <c r="K94" s="3" t="s">
        <v>25</v>
      </c>
      <c r="L94" s="4">
        <v>0</v>
      </c>
      <c r="M94" s="3" t="s">
        <v>26</v>
      </c>
      <c r="N94" s="3" t="s">
        <v>24</v>
      </c>
      <c r="O94" s="4">
        <v>1</v>
      </c>
      <c r="P94" s="4">
        <v>8</v>
      </c>
      <c r="Q94" s="4">
        <v>1</v>
      </c>
    </row>
    <row r="95" spans="1:17" x14ac:dyDescent="0.25">
      <c r="A95" s="3" t="s">
        <v>18</v>
      </c>
      <c r="B95" s="3">
        <v>10574740</v>
      </c>
      <c r="C95" s="3" t="s">
        <v>125</v>
      </c>
      <c r="D95" s="3" t="s">
        <v>20</v>
      </c>
      <c r="E95" s="3" t="s">
        <v>21</v>
      </c>
      <c r="F95" s="3" t="s">
        <v>21</v>
      </c>
      <c r="G95" s="3" t="s">
        <v>42</v>
      </c>
      <c r="H95" s="3" t="s">
        <v>43</v>
      </c>
      <c r="I95" s="3" t="s">
        <v>24</v>
      </c>
      <c r="J95" s="3" t="s">
        <v>24</v>
      </c>
      <c r="K95" s="3" t="s">
        <v>25</v>
      </c>
      <c r="L95" s="4">
        <v>0</v>
      </c>
      <c r="M95" s="3" t="s">
        <v>26</v>
      </c>
      <c r="N95" s="3" t="s">
        <v>24</v>
      </c>
      <c r="O95" s="4">
        <v>1</v>
      </c>
      <c r="P95" s="4">
        <v>8</v>
      </c>
      <c r="Q95" s="4">
        <v>1</v>
      </c>
    </row>
    <row r="96" spans="1:17" x14ac:dyDescent="0.25">
      <c r="A96" s="3" t="s">
        <v>18</v>
      </c>
      <c r="B96" s="3">
        <v>10574741</v>
      </c>
      <c r="C96" s="3" t="s">
        <v>126</v>
      </c>
      <c r="D96" s="3" t="s">
        <v>20</v>
      </c>
      <c r="E96" s="3" t="s">
        <v>21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24</v>
      </c>
      <c r="K96" s="3" t="s">
        <v>25</v>
      </c>
      <c r="L96" s="4">
        <v>0</v>
      </c>
      <c r="M96" s="3" t="s">
        <v>26</v>
      </c>
      <c r="N96" s="3" t="s">
        <v>24</v>
      </c>
      <c r="O96" s="4">
        <v>1</v>
      </c>
      <c r="P96" s="4">
        <v>4</v>
      </c>
      <c r="Q96" s="4">
        <v>1</v>
      </c>
    </row>
    <row r="97" spans="1:17" x14ac:dyDescent="0.25">
      <c r="A97" s="3" t="s">
        <v>18</v>
      </c>
      <c r="B97" s="3">
        <v>10574742</v>
      </c>
      <c r="C97" s="3" t="s">
        <v>127</v>
      </c>
      <c r="D97" s="3" t="s">
        <v>20</v>
      </c>
      <c r="E97" s="3" t="s">
        <v>21</v>
      </c>
      <c r="F97" s="3" t="s">
        <v>21</v>
      </c>
      <c r="G97" s="3" t="s">
        <v>22</v>
      </c>
      <c r="H97" s="3" t="s">
        <v>23</v>
      </c>
      <c r="I97" s="3" t="s">
        <v>24</v>
      </c>
      <c r="J97" s="3" t="s">
        <v>24</v>
      </c>
      <c r="K97" s="3" t="s">
        <v>25</v>
      </c>
      <c r="L97" s="4">
        <v>0</v>
      </c>
      <c r="M97" s="3" t="s">
        <v>26</v>
      </c>
      <c r="N97" s="3" t="s">
        <v>24</v>
      </c>
      <c r="O97" s="4">
        <v>1</v>
      </c>
      <c r="P97" s="4">
        <v>4</v>
      </c>
      <c r="Q97" s="4">
        <v>1</v>
      </c>
    </row>
    <row r="98" spans="1:17" x14ac:dyDescent="0.25">
      <c r="A98" s="3" t="s">
        <v>18</v>
      </c>
      <c r="B98" s="3">
        <v>10574743</v>
      </c>
      <c r="C98" s="3" t="s">
        <v>128</v>
      </c>
      <c r="D98" s="3" t="s">
        <v>20</v>
      </c>
      <c r="E98" s="3" t="s">
        <v>21</v>
      </c>
      <c r="F98" s="3" t="s">
        <v>21</v>
      </c>
      <c r="G98" s="3" t="s">
        <v>22</v>
      </c>
      <c r="H98" s="3" t="s">
        <v>23</v>
      </c>
      <c r="I98" s="3" t="s">
        <v>24</v>
      </c>
      <c r="J98" s="3" t="s">
        <v>24</v>
      </c>
      <c r="K98" s="3" t="s">
        <v>25</v>
      </c>
      <c r="L98" s="4">
        <v>0</v>
      </c>
      <c r="M98" s="3" t="s">
        <v>26</v>
      </c>
      <c r="N98" s="3" t="s">
        <v>24</v>
      </c>
      <c r="O98" s="4">
        <v>1</v>
      </c>
      <c r="P98" s="4">
        <v>4</v>
      </c>
      <c r="Q98" s="4">
        <v>1</v>
      </c>
    </row>
    <row r="99" spans="1:17" x14ac:dyDescent="0.25">
      <c r="A99" s="3" t="s">
        <v>18</v>
      </c>
      <c r="B99" s="3">
        <v>10574744</v>
      </c>
      <c r="C99" s="3" t="s">
        <v>129</v>
      </c>
      <c r="D99" s="3" t="s">
        <v>20</v>
      </c>
      <c r="E99" s="3" t="s">
        <v>21</v>
      </c>
      <c r="F99" s="3" t="s">
        <v>21</v>
      </c>
      <c r="G99" s="3" t="s">
        <v>30</v>
      </c>
      <c r="H99" s="3" t="s">
        <v>31</v>
      </c>
      <c r="I99" s="3" t="s">
        <v>24</v>
      </c>
      <c r="J99" s="3" t="s">
        <v>24</v>
      </c>
      <c r="K99" s="3" t="s">
        <v>25</v>
      </c>
      <c r="L99" s="4">
        <v>0</v>
      </c>
      <c r="M99" s="3" t="s">
        <v>26</v>
      </c>
      <c r="N99" s="3" t="s">
        <v>24</v>
      </c>
      <c r="O99" s="4">
        <v>1</v>
      </c>
      <c r="P99" s="4">
        <v>8</v>
      </c>
      <c r="Q99" s="4">
        <v>1</v>
      </c>
    </row>
    <row r="100" spans="1:17" x14ac:dyDescent="0.25">
      <c r="A100" s="3" t="s">
        <v>18</v>
      </c>
      <c r="B100" s="3">
        <v>10574745</v>
      </c>
      <c r="C100" s="3" t="s">
        <v>130</v>
      </c>
      <c r="D100" s="3" t="s">
        <v>20</v>
      </c>
      <c r="E100" s="3" t="s">
        <v>21</v>
      </c>
      <c r="F100" s="3" t="s">
        <v>21</v>
      </c>
      <c r="G100" s="3" t="s">
        <v>30</v>
      </c>
      <c r="H100" s="3" t="s">
        <v>31</v>
      </c>
      <c r="I100" s="3" t="s">
        <v>24</v>
      </c>
      <c r="J100" s="3" t="s">
        <v>24</v>
      </c>
      <c r="K100" s="3" t="s">
        <v>25</v>
      </c>
      <c r="L100" s="4">
        <v>0</v>
      </c>
      <c r="M100" s="3" t="s">
        <v>26</v>
      </c>
      <c r="N100" s="3" t="s">
        <v>24</v>
      </c>
      <c r="O100" s="4">
        <v>1</v>
      </c>
      <c r="P100" s="4">
        <v>9</v>
      </c>
      <c r="Q100" s="4">
        <v>1</v>
      </c>
    </row>
    <row r="101" spans="1:17" x14ac:dyDescent="0.25">
      <c r="A101" s="3" t="s">
        <v>18</v>
      </c>
      <c r="B101" s="3">
        <v>10574746</v>
      </c>
      <c r="C101" s="3" t="s">
        <v>131</v>
      </c>
      <c r="D101" s="3" t="s">
        <v>20</v>
      </c>
      <c r="E101" s="3" t="s">
        <v>21</v>
      </c>
      <c r="F101" s="3" t="s">
        <v>21</v>
      </c>
      <c r="G101" s="3" t="s">
        <v>30</v>
      </c>
      <c r="H101" s="3" t="s">
        <v>31</v>
      </c>
      <c r="I101" s="3" t="s">
        <v>24</v>
      </c>
      <c r="J101" s="3" t="s">
        <v>24</v>
      </c>
      <c r="K101" s="3" t="s">
        <v>25</v>
      </c>
      <c r="L101" s="4">
        <v>0</v>
      </c>
      <c r="M101" s="3" t="s">
        <v>26</v>
      </c>
      <c r="N101" s="3" t="s">
        <v>24</v>
      </c>
      <c r="O101" s="4">
        <v>1</v>
      </c>
      <c r="P101" s="4">
        <v>9</v>
      </c>
      <c r="Q101" s="4">
        <v>1</v>
      </c>
    </row>
    <row r="102" spans="1:17" x14ac:dyDescent="0.25">
      <c r="A102" s="3" t="s">
        <v>18</v>
      </c>
      <c r="B102" s="3">
        <v>10574747</v>
      </c>
      <c r="C102" s="3" t="s">
        <v>132</v>
      </c>
      <c r="D102" s="3" t="s">
        <v>20</v>
      </c>
      <c r="E102" s="3" t="s">
        <v>21</v>
      </c>
      <c r="F102" s="3" t="s">
        <v>21</v>
      </c>
      <c r="G102" s="3" t="s">
        <v>30</v>
      </c>
      <c r="H102" s="3" t="s">
        <v>31</v>
      </c>
      <c r="I102" s="3" t="s">
        <v>24</v>
      </c>
      <c r="J102" s="3" t="s">
        <v>24</v>
      </c>
      <c r="K102" s="3" t="s">
        <v>25</v>
      </c>
      <c r="L102" s="4">
        <v>0</v>
      </c>
      <c r="M102" s="3" t="s">
        <v>26</v>
      </c>
      <c r="N102" s="3" t="s">
        <v>24</v>
      </c>
      <c r="O102" s="4">
        <v>1</v>
      </c>
      <c r="P102" s="4">
        <v>9</v>
      </c>
      <c r="Q102" s="4">
        <v>1</v>
      </c>
    </row>
    <row r="103" spans="1:17" x14ac:dyDescent="0.25">
      <c r="A103" s="3" t="s">
        <v>18</v>
      </c>
      <c r="B103" s="3">
        <v>10574748</v>
      </c>
      <c r="C103" s="3" t="s">
        <v>133</v>
      </c>
      <c r="D103" s="3" t="s">
        <v>20</v>
      </c>
      <c r="E103" s="3" t="s">
        <v>21</v>
      </c>
      <c r="F103" s="3" t="s">
        <v>21</v>
      </c>
      <c r="G103" s="3" t="s">
        <v>30</v>
      </c>
      <c r="H103" s="3" t="s">
        <v>31</v>
      </c>
      <c r="I103" s="3" t="s">
        <v>24</v>
      </c>
      <c r="J103" s="3" t="s">
        <v>24</v>
      </c>
      <c r="K103" s="3" t="s">
        <v>25</v>
      </c>
      <c r="L103" s="4">
        <v>0</v>
      </c>
      <c r="M103" s="3" t="s">
        <v>26</v>
      </c>
      <c r="N103" s="3" t="s">
        <v>24</v>
      </c>
      <c r="O103" s="4">
        <v>1</v>
      </c>
      <c r="P103" s="4">
        <v>9</v>
      </c>
      <c r="Q103" s="4">
        <v>1</v>
      </c>
    </row>
    <row r="104" spans="1:17" x14ac:dyDescent="0.25">
      <c r="A104" s="3" t="s">
        <v>18</v>
      </c>
      <c r="B104" s="3">
        <v>10574749</v>
      </c>
      <c r="C104" s="3" t="s">
        <v>134</v>
      </c>
      <c r="D104" s="3" t="s">
        <v>20</v>
      </c>
      <c r="E104" s="3" t="s">
        <v>21</v>
      </c>
      <c r="F104" s="3" t="s">
        <v>21</v>
      </c>
      <c r="G104" s="3" t="s">
        <v>30</v>
      </c>
      <c r="H104" s="3" t="s">
        <v>31</v>
      </c>
      <c r="I104" s="3" t="s">
        <v>24</v>
      </c>
      <c r="J104" s="3" t="s">
        <v>24</v>
      </c>
      <c r="K104" s="3" t="s">
        <v>25</v>
      </c>
      <c r="L104" s="4">
        <v>0</v>
      </c>
      <c r="M104" s="3" t="s">
        <v>26</v>
      </c>
      <c r="N104" s="3" t="s">
        <v>24</v>
      </c>
      <c r="O104" s="4">
        <v>1</v>
      </c>
      <c r="P104" s="4">
        <v>9</v>
      </c>
      <c r="Q104" s="4">
        <v>1</v>
      </c>
    </row>
    <row r="105" spans="1:17" x14ac:dyDescent="0.25">
      <c r="A105" s="3" t="s">
        <v>18</v>
      </c>
      <c r="B105" s="3">
        <v>10574750</v>
      </c>
      <c r="C105" s="3" t="s">
        <v>135</v>
      </c>
      <c r="D105" s="3" t="s">
        <v>20</v>
      </c>
      <c r="E105" s="3" t="s">
        <v>21</v>
      </c>
      <c r="F105" s="3" t="s">
        <v>21</v>
      </c>
      <c r="G105" s="3" t="s">
        <v>30</v>
      </c>
      <c r="H105" s="3" t="s">
        <v>31</v>
      </c>
      <c r="I105" s="3" t="s">
        <v>24</v>
      </c>
      <c r="J105" s="3" t="s">
        <v>24</v>
      </c>
      <c r="K105" s="3" t="s">
        <v>25</v>
      </c>
      <c r="L105" s="4">
        <v>0</v>
      </c>
      <c r="M105" s="3" t="s">
        <v>26</v>
      </c>
      <c r="N105" s="3" t="s">
        <v>24</v>
      </c>
      <c r="O105" s="4">
        <v>1</v>
      </c>
      <c r="P105" s="4">
        <v>8</v>
      </c>
      <c r="Q105" s="4">
        <v>1</v>
      </c>
    </row>
    <row r="106" spans="1:17" x14ac:dyDescent="0.25">
      <c r="A106" s="3" t="s">
        <v>18</v>
      </c>
      <c r="B106" s="3">
        <v>10574751</v>
      </c>
      <c r="C106" s="3" t="s">
        <v>136</v>
      </c>
      <c r="D106" s="3" t="s">
        <v>20</v>
      </c>
      <c r="E106" s="3" t="s">
        <v>21</v>
      </c>
      <c r="F106" s="3" t="s">
        <v>21</v>
      </c>
      <c r="G106" s="3" t="s">
        <v>30</v>
      </c>
      <c r="H106" s="3" t="s">
        <v>31</v>
      </c>
      <c r="I106" s="3" t="s">
        <v>24</v>
      </c>
      <c r="J106" s="3" t="s">
        <v>24</v>
      </c>
      <c r="K106" s="3" t="s">
        <v>25</v>
      </c>
      <c r="L106" s="4">
        <v>0</v>
      </c>
      <c r="M106" s="3" t="s">
        <v>26</v>
      </c>
      <c r="N106" s="3" t="s">
        <v>24</v>
      </c>
      <c r="O106" s="4">
        <v>1</v>
      </c>
      <c r="P106" s="4">
        <v>8</v>
      </c>
      <c r="Q106" s="4">
        <v>1</v>
      </c>
    </row>
    <row r="107" spans="1:17" x14ac:dyDescent="0.25">
      <c r="A107" s="3" t="s">
        <v>18</v>
      </c>
      <c r="B107" s="3">
        <v>10574752</v>
      </c>
      <c r="C107" s="3" t="s">
        <v>137</v>
      </c>
      <c r="D107" s="3" t="s">
        <v>20</v>
      </c>
      <c r="E107" s="3" t="s">
        <v>21</v>
      </c>
      <c r="F107" s="3" t="s">
        <v>21</v>
      </c>
      <c r="G107" s="3" t="s">
        <v>42</v>
      </c>
      <c r="H107" s="3" t="s">
        <v>43</v>
      </c>
      <c r="I107" s="3" t="s">
        <v>24</v>
      </c>
      <c r="J107" s="3" t="s">
        <v>24</v>
      </c>
      <c r="K107" s="3" t="s">
        <v>25</v>
      </c>
      <c r="L107" s="4">
        <v>0</v>
      </c>
      <c r="M107" s="3" t="s">
        <v>26</v>
      </c>
      <c r="N107" s="3" t="s">
        <v>24</v>
      </c>
      <c r="O107" s="4">
        <v>1</v>
      </c>
      <c r="P107" s="4">
        <v>8</v>
      </c>
      <c r="Q107" s="4">
        <v>1</v>
      </c>
    </row>
    <row r="108" spans="1:17" x14ac:dyDescent="0.25">
      <c r="A108" s="3" t="s">
        <v>18</v>
      </c>
      <c r="B108" s="3">
        <v>10574753</v>
      </c>
      <c r="C108" s="3" t="s">
        <v>138</v>
      </c>
      <c r="D108" s="3" t="s">
        <v>20</v>
      </c>
      <c r="E108" s="3" t="s">
        <v>21</v>
      </c>
      <c r="F108" s="3" t="s">
        <v>21</v>
      </c>
      <c r="G108" s="3" t="s">
        <v>42</v>
      </c>
      <c r="H108" s="3" t="s">
        <v>43</v>
      </c>
      <c r="I108" s="3" t="s">
        <v>24</v>
      </c>
      <c r="J108" s="3" t="s">
        <v>24</v>
      </c>
      <c r="K108" s="3" t="s">
        <v>25</v>
      </c>
      <c r="L108" s="4">
        <v>0</v>
      </c>
      <c r="M108" s="3" t="s">
        <v>26</v>
      </c>
      <c r="N108" s="3" t="s">
        <v>24</v>
      </c>
      <c r="O108" s="4">
        <v>1</v>
      </c>
      <c r="P108" s="4">
        <v>8</v>
      </c>
      <c r="Q108" s="4">
        <v>1</v>
      </c>
    </row>
    <row r="109" spans="1:17" x14ac:dyDescent="0.25">
      <c r="A109" s="3" t="s">
        <v>18</v>
      </c>
      <c r="B109" s="3">
        <v>10574754</v>
      </c>
      <c r="C109" s="3" t="s">
        <v>139</v>
      </c>
      <c r="D109" s="3" t="s">
        <v>20</v>
      </c>
      <c r="E109" s="3" t="s">
        <v>21</v>
      </c>
      <c r="F109" s="3" t="s">
        <v>21</v>
      </c>
      <c r="G109" s="3" t="s">
        <v>42</v>
      </c>
      <c r="H109" s="3" t="s">
        <v>43</v>
      </c>
      <c r="I109" s="3" t="s">
        <v>24</v>
      </c>
      <c r="J109" s="3" t="s">
        <v>24</v>
      </c>
      <c r="K109" s="3" t="s">
        <v>25</v>
      </c>
      <c r="L109" s="4">
        <v>0</v>
      </c>
      <c r="M109" s="3" t="s">
        <v>26</v>
      </c>
      <c r="N109" s="3" t="s">
        <v>24</v>
      </c>
      <c r="O109" s="4">
        <v>1</v>
      </c>
      <c r="P109" s="4">
        <v>8</v>
      </c>
      <c r="Q109" s="4">
        <v>1</v>
      </c>
    </row>
    <row r="110" spans="1:17" x14ac:dyDescent="0.25">
      <c r="A110" s="3" t="s">
        <v>18</v>
      </c>
      <c r="B110" s="3">
        <v>10574760</v>
      </c>
      <c r="C110" s="3" t="s">
        <v>140</v>
      </c>
      <c r="D110" s="3" t="s">
        <v>20</v>
      </c>
      <c r="E110" s="3" t="s">
        <v>21</v>
      </c>
      <c r="F110" s="3" t="s">
        <v>21</v>
      </c>
      <c r="G110" s="3" t="s">
        <v>30</v>
      </c>
      <c r="H110" s="3" t="s">
        <v>31</v>
      </c>
      <c r="I110" s="3" t="s">
        <v>24</v>
      </c>
      <c r="J110" s="3" t="s">
        <v>24</v>
      </c>
      <c r="K110" s="3" t="s">
        <v>25</v>
      </c>
      <c r="L110" s="4">
        <v>0</v>
      </c>
      <c r="M110" s="3" t="s">
        <v>26</v>
      </c>
      <c r="N110" s="3" t="s">
        <v>24</v>
      </c>
      <c r="O110" s="4">
        <v>1</v>
      </c>
      <c r="P110" s="4">
        <v>9</v>
      </c>
      <c r="Q110" s="4">
        <v>1</v>
      </c>
    </row>
    <row r="111" spans="1:17" x14ac:dyDescent="0.25">
      <c r="A111" s="3" t="s">
        <v>18</v>
      </c>
      <c r="B111" s="3">
        <v>10574761</v>
      </c>
      <c r="C111" s="3" t="s">
        <v>141</v>
      </c>
      <c r="D111" s="3" t="s">
        <v>20</v>
      </c>
      <c r="E111" s="3" t="s">
        <v>21</v>
      </c>
      <c r="F111" s="3" t="s">
        <v>21</v>
      </c>
      <c r="G111" s="3" t="s">
        <v>30</v>
      </c>
      <c r="H111" s="3" t="s">
        <v>31</v>
      </c>
      <c r="I111" s="3" t="s">
        <v>24</v>
      </c>
      <c r="J111" s="3" t="s">
        <v>24</v>
      </c>
      <c r="K111" s="3" t="s">
        <v>25</v>
      </c>
      <c r="L111" s="4">
        <v>0</v>
      </c>
      <c r="M111" s="3" t="s">
        <v>26</v>
      </c>
      <c r="N111" s="3" t="s">
        <v>24</v>
      </c>
      <c r="O111" s="4">
        <v>1</v>
      </c>
      <c r="P111" s="4">
        <v>9</v>
      </c>
      <c r="Q111" s="4">
        <v>1</v>
      </c>
    </row>
    <row r="112" spans="1:17" x14ac:dyDescent="0.25">
      <c r="A112" s="3" t="s">
        <v>18</v>
      </c>
      <c r="B112" s="3">
        <v>10574762</v>
      </c>
      <c r="C112" s="3" t="s">
        <v>142</v>
      </c>
      <c r="D112" s="3" t="s">
        <v>20</v>
      </c>
      <c r="E112" s="3" t="s">
        <v>21</v>
      </c>
      <c r="F112" s="3" t="s">
        <v>21</v>
      </c>
      <c r="G112" s="3" t="s">
        <v>30</v>
      </c>
      <c r="H112" s="3" t="s">
        <v>31</v>
      </c>
      <c r="I112" s="3" t="s">
        <v>24</v>
      </c>
      <c r="J112" s="3" t="s">
        <v>24</v>
      </c>
      <c r="K112" s="3" t="s">
        <v>25</v>
      </c>
      <c r="L112" s="4">
        <v>0</v>
      </c>
      <c r="M112" s="3" t="s">
        <v>26</v>
      </c>
      <c r="N112" s="3" t="s">
        <v>24</v>
      </c>
      <c r="O112" s="4">
        <v>1</v>
      </c>
      <c r="P112" s="4">
        <v>9</v>
      </c>
      <c r="Q112" s="4">
        <v>1</v>
      </c>
    </row>
    <row r="113" spans="1:17" x14ac:dyDescent="0.25">
      <c r="A113" s="3" t="s">
        <v>18</v>
      </c>
      <c r="B113" s="3">
        <v>10574763</v>
      </c>
      <c r="C113" s="3" t="s">
        <v>143</v>
      </c>
      <c r="D113" s="3" t="s">
        <v>20</v>
      </c>
      <c r="E113" s="3" t="s">
        <v>21</v>
      </c>
      <c r="F113" s="3" t="s">
        <v>21</v>
      </c>
      <c r="G113" s="3" t="s">
        <v>30</v>
      </c>
      <c r="H113" s="3" t="s">
        <v>31</v>
      </c>
      <c r="I113" s="3" t="s">
        <v>24</v>
      </c>
      <c r="J113" s="3" t="s">
        <v>24</v>
      </c>
      <c r="K113" s="3" t="s">
        <v>25</v>
      </c>
      <c r="L113" s="4">
        <v>0</v>
      </c>
      <c r="M113" s="3" t="s">
        <v>26</v>
      </c>
      <c r="N113" s="3" t="s">
        <v>24</v>
      </c>
      <c r="O113" s="4">
        <v>1</v>
      </c>
      <c r="P113" s="4">
        <v>8</v>
      </c>
      <c r="Q113" s="4">
        <v>1</v>
      </c>
    </row>
    <row r="114" spans="1:17" x14ac:dyDescent="0.25">
      <c r="A114" s="3" t="s">
        <v>18</v>
      </c>
      <c r="B114" s="3">
        <v>10574764</v>
      </c>
      <c r="C114" s="3" t="s">
        <v>144</v>
      </c>
      <c r="D114" s="3" t="s">
        <v>20</v>
      </c>
      <c r="E114" s="3" t="s">
        <v>21</v>
      </c>
      <c r="F114" s="3" t="s">
        <v>21</v>
      </c>
      <c r="G114" s="3" t="s">
        <v>30</v>
      </c>
      <c r="H114" s="3" t="s">
        <v>31</v>
      </c>
      <c r="I114" s="3" t="s">
        <v>24</v>
      </c>
      <c r="J114" s="3" t="s">
        <v>24</v>
      </c>
      <c r="K114" s="3" t="s">
        <v>25</v>
      </c>
      <c r="L114" s="4">
        <v>0</v>
      </c>
      <c r="M114" s="3" t="s">
        <v>26</v>
      </c>
      <c r="N114" s="3" t="s">
        <v>24</v>
      </c>
      <c r="O114" s="4">
        <v>1</v>
      </c>
      <c r="P114" s="4">
        <v>8</v>
      </c>
      <c r="Q114" s="4">
        <v>1</v>
      </c>
    </row>
    <row r="115" spans="1:17" x14ac:dyDescent="0.25">
      <c r="A115" s="3" t="s">
        <v>18</v>
      </c>
      <c r="B115" s="3">
        <v>10574765</v>
      </c>
      <c r="C115" s="3" t="s">
        <v>145</v>
      </c>
      <c r="D115" s="3" t="s">
        <v>20</v>
      </c>
      <c r="E115" s="3" t="s">
        <v>21</v>
      </c>
      <c r="F115" s="3" t="s">
        <v>21</v>
      </c>
      <c r="G115" s="3" t="s">
        <v>42</v>
      </c>
      <c r="H115" s="3" t="s">
        <v>43</v>
      </c>
      <c r="I115" s="3" t="s">
        <v>24</v>
      </c>
      <c r="J115" s="3" t="s">
        <v>24</v>
      </c>
      <c r="K115" s="3" t="s">
        <v>25</v>
      </c>
      <c r="L115" s="4">
        <v>0</v>
      </c>
      <c r="M115" s="3" t="s">
        <v>26</v>
      </c>
      <c r="N115" s="3" t="s">
        <v>24</v>
      </c>
      <c r="O115" s="4">
        <v>1</v>
      </c>
      <c r="P115" s="4">
        <v>8</v>
      </c>
      <c r="Q115" s="4">
        <v>1</v>
      </c>
    </row>
    <row r="116" spans="1:17" x14ac:dyDescent="0.25">
      <c r="A116" s="3" t="s">
        <v>18</v>
      </c>
      <c r="B116" s="3">
        <v>10574766</v>
      </c>
      <c r="C116" s="3" t="s">
        <v>146</v>
      </c>
      <c r="D116" s="3" t="s">
        <v>20</v>
      </c>
      <c r="E116" s="3" t="s">
        <v>21</v>
      </c>
      <c r="F116" s="3" t="s">
        <v>21</v>
      </c>
      <c r="G116" s="3" t="s">
        <v>42</v>
      </c>
      <c r="H116" s="3" t="s">
        <v>43</v>
      </c>
      <c r="I116" s="3" t="s">
        <v>24</v>
      </c>
      <c r="J116" s="3" t="s">
        <v>24</v>
      </c>
      <c r="K116" s="3" t="s">
        <v>25</v>
      </c>
      <c r="L116" s="4">
        <v>0</v>
      </c>
      <c r="M116" s="3" t="s">
        <v>26</v>
      </c>
      <c r="N116" s="3" t="s">
        <v>24</v>
      </c>
      <c r="O116" s="4">
        <v>1</v>
      </c>
      <c r="P116" s="4">
        <v>8</v>
      </c>
      <c r="Q116" s="4">
        <v>1</v>
      </c>
    </row>
    <row r="117" spans="1:17" x14ac:dyDescent="0.25">
      <c r="A117" s="3" t="s">
        <v>18</v>
      </c>
      <c r="B117" s="3">
        <v>10574767</v>
      </c>
      <c r="C117" s="3" t="s">
        <v>147</v>
      </c>
      <c r="D117" s="3" t="s">
        <v>20</v>
      </c>
      <c r="E117" s="3" t="s">
        <v>21</v>
      </c>
      <c r="F117" s="3" t="s">
        <v>21</v>
      </c>
      <c r="G117" s="3" t="s">
        <v>42</v>
      </c>
      <c r="H117" s="3" t="s">
        <v>43</v>
      </c>
      <c r="I117" s="3" t="s">
        <v>24</v>
      </c>
      <c r="J117" s="3" t="s">
        <v>24</v>
      </c>
      <c r="K117" s="3" t="s">
        <v>25</v>
      </c>
      <c r="L117" s="4">
        <v>0</v>
      </c>
      <c r="M117" s="3" t="s">
        <v>26</v>
      </c>
      <c r="N117" s="3" t="s">
        <v>24</v>
      </c>
      <c r="O117" s="4">
        <v>1</v>
      </c>
      <c r="P117" s="4">
        <v>8</v>
      </c>
      <c r="Q117" s="4">
        <v>1</v>
      </c>
    </row>
    <row r="118" spans="1:17" x14ac:dyDescent="0.25">
      <c r="A118" s="3" t="s">
        <v>18</v>
      </c>
      <c r="B118" s="3">
        <v>10574768</v>
      </c>
      <c r="C118" s="3" t="s">
        <v>148</v>
      </c>
      <c r="D118" s="3" t="s">
        <v>20</v>
      </c>
      <c r="E118" s="3" t="s">
        <v>21</v>
      </c>
      <c r="F118" s="3" t="s">
        <v>21</v>
      </c>
      <c r="G118" s="3" t="s">
        <v>22</v>
      </c>
      <c r="H118" s="3" t="s">
        <v>23</v>
      </c>
      <c r="I118" s="3" t="s">
        <v>24</v>
      </c>
      <c r="J118" s="3" t="s">
        <v>24</v>
      </c>
      <c r="K118" s="3" t="s">
        <v>25</v>
      </c>
      <c r="L118" s="4">
        <v>0</v>
      </c>
      <c r="M118" s="3" t="s">
        <v>26</v>
      </c>
      <c r="N118" s="3" t="s">
        <v>24</v>
      </c>
      <c r="O118" s="4">
        <v>1</v>
      </c>
      <c r="P118" s="4">
        <v>4</v>
      </c>
      <c r="Q118" s="4">
        <v>1</v>
      </c>
    </row>
    <row r="119" spans="1:17" x14ac:dyDescent="0.25">
      <c r="A119" s="3" t="s">
        <v>18</v>
      </c>
      <c r="B119" s="3">
        <v>10574769</v>
      </c>
      <c r="C119" s="3" t="s">
        <v>149</v>
      </c>
      <c r="D119" s="3" t="s">
        <v>20</v>
      </c>
      <c r="E119" s="3" t="s">
        <v>21</v>
      </c>
      <c r="F119" s="3" t="s">
        <v>21</v>
      </c>
      <c r="G119" s="3" t="s">
        <v>22</v>
      </c>
      <c r="H119" s="3" t="s">
        <v>23</v>
      </c>
      <c r="I119" s="3" t="s">
        <v>24</v>
      </c>
      <c r="J119" s="3" t="s">
        <v>24</v>
      </c>
      <c r="K119" s="3" t="s">
        <v>25</v>
      </c>
      <c r="L119" s="4">
        <v>0</v>
      </c>
      <c r="M119" s="3" t="s">
        <v>26</v>
      </c>
      <c r="N119" s="3" t="s">
        <v>24</v>
      </c>
      <c r="O119" s="4">
        <v>1</v>
      </c>
      <c r="P119" s="4">
        <v>4</v>
      </c>
      <c r="Q119" s="4">
        <v>1</v>
      </c>
    </row>
    <row r="120" spans="1:17" x14ac:dyDescent="0.25">
      <c r="A120" s="3" t="s">
        <v>18</v>
      </c>
      <c r="B120" s="3">
        <v>10574770</v>
      </c>
      <c r="C120" s="3" t="s">
        <v>150</v>
      </c>
      <c r="D120" s="3" t="s">
        <v>20</v>
      </c>
      <c r="E120" s="3" t="s">
        <v>21</v>
      </c>
      <c r="F120" s="3" t="s">
        <v>21</v>
      </c>
      <c r="G120" s="3" t="s">
        <v>22</v>
      </c>
      <c r="H120" s="3" t="s">
        <v>23</v>
      </c>
      <c r="I120" s="3" t="s">
        <v>24</v>
      </c>
      <c r="J120" s="3" t="s">
        <v>24</v>
      </c>
      <c r="K120" s="3" t="s">
        <v>25</v>
      </c>
      <c r="L120" s="4">
        <v>0</v>
      </c>
      <c r="M120" s="3" t="s">
        <v>26</v>
      </c>
      <c r="N120" s="3" t="s">
        <v>24</v>
      </c>
      <c r="O120" s="4">
        <v>1</v>
      </c>
      <c r="P120" s="4">
        <v>4</v>
      </c>
      <c r="Q120" s="4">
        <v>1</v>
      </c>
    </row>
    <row r="121" spans="1:17" x14ac:dyDescent="0.25">
      <c r="A121" s="3" t="s">
        <v>18</v>
      </c>
      <c r="B121" s="3">
        <v>10574771</v>
      </c>
      <c r="C121" s="3" t="s">
        <v>151</v>
      </c>
      <c r="D121" s="3" t="s">
        <v>20</v>
      </c>
      <c r="E121" s="3" t="s">
        <v>21</v>
      </c>
      <c r="F121" s="3" t="s">
        <v>21</v>
      </c>
      <c r="G121" s="3" t="s">
        <v>36</v>
      </c>
      <c r="H121" s="3" t="s">
        <v>37</v>
      </c>
      <c r="I121" s="3" t="s">
        <v>24</v>
      </c>
      <c r="J121" s="3" t="s">
        <v>24</v>
      </c>
      <c r="K121" s="3" t="s">
        <v>25</v>
      </c>
      <c r="L121" s="4">
        <v>0</v>
      </c>
      <c r="M121" s="3" t="s">
        <v>26</v>
      </c>
      <c r="N121" s="3" t="s">
        <v>24</v>
      </c>
      <c r="O121" s="4">
        <v>1</v>
      </c>
      <c r="P121" s="4">
        <v>10</v>
      </c>
      <c r="Q121" s="4">
        <v>1</v>
      </c>
    </row>
    <row r="122" spans="1:17" x14ac:dyDescent="0.25">
      <c r="A122" s="3" t="s">
        <v>18</v>
      </c>
      <c r="B122" s="3">
        <v>10574772</v>
      </c>
      <c r="C122" s="3" t="s">
        <v>152</v>
      </c>
      <c r="D122" s="3" t="s">
        <v>20</v>
      </c>
      <c r="E122" s="3" t="s">
        <v>21</v>
      </c>
      <c r="F122" s="3" t="s">
        <v>21</v>
      </c>
      <c r="G122" s="3" t="s">
        <v>36</v>
      </c>
      <c r="H122" s="3" t="s">
        <v>37</v>
      </c>
      <c r="I122" s="3" t="s">
        <v>24</v>
      </c>
      <c r="J122" s="3" t="s">
        <v>24</v>
      </c>
      <c r="K122" s="3" t="s">
        <v>25</v>
      </c>
      <c r="L122" s="4">
        <v>0</v>
      </c>
      <c r="M122" s="3" t="s">
        <v>26</v>
      </c>
      <c r="N122" s="3" t="s">
        <v>24</v>
      </c>
      <c r="O122" s="4">
        <v>1</v>
      </c>
      <c r="P122" s="4">
        <v>10</v>
      </c>
      <c r="Q122" s="4">
        <v>1</v>
      </c>
    </row>
    <row r="123" spans="1:17" x14ac:dyDescent="0.25">
      <c r="A123" s="3" t="s">
        <v>18</v>
      </c>
      <c r="B123" s="3">
        <v>10574773</v>
      </c>
      <c r="C123" s="3" t="s">
        <v>153</v>
      </c>
      <c r="D123" s="3" t="s">
        <v>20</v>
      </c>
      <c r="E123" s="3" t="s">
        <v>21</v>
      </c>
      <c r="F123" s="3" t="s">
        <v>21</v>
      </c>
      <c r="G123" s="3" t="s">
        <v>30</v>
      </c>
      <c r="H123" s="3" t="s">
        <v>31</v>
      </c>
      <c r="I123" s="3" t="s">
        <v>24</v>
      </c>
      <c r="J123" s="3" t="s">
        <v>24</v>
      </c>
      <c r="K123" s="3" t="s">
        <v>25</v>
      </c>
      <c r="L123" s="4">
        <v>0</v>
      </c>
      <c r="M123" s="3" t="s">
        <v>26</v>
      </c>
      <c r="N123" s="3" t="s">
        <v>24</v>
      </c>
      <c r="O123" s="4">
        <v>1</v>
      </c>
      <c r="P123" s="4">
        <v>9</v>
      </c>
      <c r="Q123" s="4">
        <v>1</v>
      </c>
    </row>
    <row r="124" spans="1:17" x14ac:dyDescent="0.25">
      <c r="A124" s="3" t="s">
        <v>18</v>
      </c>
      <c r="B124" s="3">
        <v>10574774</v>
      </c>
      <c r="C124" s="3" t="s">
        <v>154</v>
      </c>
      <c r="D124" s="3" t="s">
        <v>20</v>
      </c>
      <c r="E124" s="3" t="s">
        <v>21</v>
      </c>
      <c r="F124" s="3" t="s">
        <v>21</v>
      </c>
      <c r="G124" s="3" t="s">
        <v>30</v>
      </c>
      <c r="H124" s="3" t="s">
        <v>31</v>
      </c>
      <c r="I124" s="3" t="s">
        <v>24</v>
      </c>
      <c r="J124" s="3" t="s">
        <v>24</v>
      </c>
      <c r="K124" s="3" t="s">
        <v>25</v>
      </c>
      <c r="L124" s="4">
        <v>0</v>
      </c>
      <c r="M124" s="3" t="s">
        <v>26</v>
      </c>
      <c r="N124" s="3" t="s">
        <v>24</v>
      </c>
      <c r="O124" s="4">
        <v>1</v>
      </c>
      <c r="P124" s="4">
        <v>9</v>
      </c>
      <c r="Q124" s="4">
        <v>1</v>
      </c>
    </row>
    <row r="125" spans="1:17" x14ac:dyDescent="0.25">
      <c r="A125" s="3" t="s">
        <v>18</v>
      </c>
      <c r="B125" s="3">
        <v>10574775</v>
      </c>
      <c r="C125" s="3" t="s">
        <v>155</v>
      </c>
      <c r="D125" s="3" t="s">
        <v>20</v>
      </c>
      <c r="E125" s="3" t="s">
        <v>21</v>
      </c>
      <c r="F125" s="3" t="s">
        <v>21</v>
      </c>
      <c r="G125" s="3" t="s">
        <v>30</v>
      </c>
      <c r="H125" s="3" t="s">
        <v>31</v>
      </c>
      <c r="I125" s="3" t="s">
        <v>24</v>
      </c>
      <c r="J125" s="3" t="s">
        <v>24</v>
      </c>
      <c r="K125" s="3" t="s">
        <v>25</v>
      </c>
      <c r="L125" s="4">
        <v>0</v>
      </c>
      <c r="M125" s="3" t="s">
        <v>26</v>
      </c>
      <c r="N125" s="3" t="s">
        <v>24</v>
      </c>
      <c r="O125" s="4">
        <v>1</v>
      </c>
      <c r="P125" s="4">
        <v>9</v>
      </c>
      <c r="Q125" s="4">
        <v>1</v>
      </c>
    </row>
    <row r="126" spans="1:17" x14ac:dyDescent="0.25">
      <c r="A126" s="3" t="s">
        <v>18</v>
      </c>
      <c r="B126" s="3">
        <v>10574776</v>
      </c>
      <c r="C126" s="3" t="s">
        <v>156</v>
      </c>
      <c r="D126" s="3" t="s">
        <v>20</v>
      </c>
      <c r="E126" s="3" t="s">
        <v>21</v>
      </c>
      <c r="F126" s="3" t="s">
        <v>21</v>
      </c>
      <c r="G126" s="3" t="s">
        <v>30</v>
      </c>
      <c r="H126" s="3" t="s">
        <v>31</v>
      </c>
      <c r="I126" s="3" t="s">
        <v>24</v>
      </c>
      <c r="J126" s="3" t="s">
        <v>24</v>
      </c>
      <c r="K126" s="3" t="s">
        <v>25</v>
      </c>
      <c r="L126" s="4">
        <v>0</v>
      </c>
      <c r="M126" s="3" t="s">
        <v>26</v>
      </c>
      <c r="N126" s="3" t="s">
        <v>24</v>
      </c>
      <c r="O126" s="4">
        <v>1</v>
      </c>
      <c r="P126" s="4">
        <v>8</v>
      </c>
      <c r="Q126" s="4">
        <v>1</v>
      </c>
    </row>
    <row r="127" spans="1:17" x14ac:dyDescent="0.25">
      <c r="A127" s="3" t="s">
        <v>18</v>
      </c>
      <c r="B127" s="3">
        <v>10574777</v>
      </c>
      <c r="C127" s="3" t="s">
        <v>157</v>
      </c>
      <c r="D127" s="3" t="s">
        <v>20</v>
      </c>
      <c r="E127" s="3" t="s">
        <v>21</v>
      </c>
      <c r="F127" s="3" t="s">
        <v>21</v>
      </c>
      <c r="G127" s="3" t="s">
        <v>30</v>
      </c>
      <c r="H127" s="3" t="s">
        <v>31</v>
      </c>
      <c r="I127" s="3" t="s">
        <v>24</v>
      </c>
      <c r="J127" s="3" t="s">
        <v>24</v>
      </c>
      <c r="K127" s="3" t="s">
        <v>25</v>
      </c>
      <c r="L127" s="4">
        <v>0</v>
      </c>
      <c r="M127" s="3" t="s">
        <v>26</v>
      </c>
      <c r="N127" s="3" t="s">
        <v>24</v>
      </c>
      <c r="O127" s="4">
        <v>1</v>
      </c>
      <c r="P127" s="4">
        <v>9</v>
      </c>
      <c r="Q127" s="4">
        <v>1</v>
      </c>
    </row>
    <row r="128" spans="1:17" x14ac:dyDescent="0.25">
      <c r="A128" s="3" t="s">
        <v>18</v>
      </c>
      <c r="B128" s="3">
        <v>10574778</v>
      </c>
      <c r="C128" s="3" t="s">
        <v>158</v>
      </c>
      <c r="D128" s="3" t="s">
        <v>20</v>
      </c>
      <c r="E128" s="3" t="s">
        <v>21</v>
      </c>
      <c r="F128" s="3" t="s">
        <v>21</v>
      </c>
      <c r="G128" s="3" t="s">
        <v>30</v>
      </c>
      <c r="H128" s="3" t="s">
        <v>31</v>
      </c>
      <c r="I128" s="3" t="s">
        <v>24</v>
      </c>
      <c r="J128" s="3" t="s">
        <v>24</v>
      </c>
      <c r="K128" s="3" t="s">
        <v>25</v>
      </c>
      <c r="L128" s="4">
        <v>0</v>
      </c>
      <c r="M128" s="3" t="s">
        <v>26</v>
      </c>
      <c r="N128" s="3" t="s">
        <v>24</v>
      </c>
      <c r="O128" s="4">
        <v>1</v>
      </c>
      <c r="P128" s="4">
        <v>8</v>
      </c>
      <c r="Q128" s="4">
        <v>1</v>
      </c>
    </row>
    <row r="129" spans="1:17" x14ac:dyDescent="0.25">
      <c r="A129" s="3" t="s">
        <v>18</v>
      </c>
      <c r="B129" s="3">
        <v>10574779</v>
      </c>
      <c r="C129" s="3" t="s">
        <v>159</v>
      </c>
      <c r="D129" s="3" t="s">
        <v>20</v>
      </c>
      <c r="E129" s="3" t="s">
        <v>21</v>
      </c>
      <c r="F129" s="3" t="s">
        <v>21</v>
      </c>
      <c r="G129" s="3" t="s">
        <v>30</v>
      </c>
      <c r="H129" s="3" t="s">
        <v>31</v>
      </c>
      <c r="I129" s="3" t="s">
        <v>24</v>
      </c>
      <c r="J129" s="3" t="s">
        <v>24</v>
      </c>
      <c r="K129" s="3" t="s">
        <v>25</v>
      </c>
      <c r="L129" s="4">
        <v>0</v>
      </c>
      <c r="M129" s="3" t="s">
        <v>26</v>
      </c>
      <c r="N129" s="3" t="s">
        <v>24</v>
      </c>
      <c r="O129" s="4">
        <v>1</v>
      </c>
      <c r="P129" s="4">
        <v>8</v>
      </c>
      <c r="Q129" s="4">
        <v>1</v>
      </c>
    </row>
    <row r="130" spans="1:17" x14ac:dyDescent="0.25">
      <c r="A130" s="3" t="s">
        <v>18</v>
      </c>
      <c r="B130" s="3">
        <v>10574780</v>
      </c>
      <c r="C130" s="3" t="s">
        <v>160</v>
      </c>
      <c r="D130" s="3" t="s">
        <v>20</v>
      </c>
      <c r="E130" s="3" t="s">
        <v>21</v>
      </c>
      <c r="F130" s="3" t="s">
        <v>21</v>
      </c>
      <c r="G130" s="3" t="s">
        <v>30</v>
      </c>
      <c r="H130" s="3" t="s">
        <v>31</v>
      </c>
      <c r="I130" s="3" t="s">
        <v>24</v>
      </c>
      <c r="J130" s="3" t="s">
        <v>24</v>
      </c>
      <c r="K130" s="3" t="s">
        <v>25</v>
      </c>
      <c r="L130" s="4">
        <v>0</v>
      </c>
      <c r="M130" s="3" t="s">
        <v>26</v>
      </c>
      <c r="N130" s="3" t="s">
        <v>24</v>
      </c>
      <c r="O130" s="4">
        <v>1</v>
      </c>
      <c r="P130" s="4">
        <v>8</v>
      </c>
      <c r="Q130" s="4">
        <v>1</v>
      </c>
    </row>
    <row r="131" spans="1:17" x14ac:dyDescent="0.25">
      <c r="A131" s="3" t="s">
        <v>18</v>
      </c>
      <c r="B131" s="3">
        <v>10574781</v>
      </c>
      <c r="C131" s="3" t="s">
        <v>161</v>
      </c>
      <c r="D131" s="3" t="s">
        <v>20</v>
      </c>
      <c r="E131" s="3" t="s">
        <v>21</v>
      </c>
      <c r="F131" s="3" t="s">
        <v>21</v>
      </c>
      <c r="G131" s="3" t="s">
        <v>42</v>
      </c>
      <c r="H131" s="3" t="s">
        <v>43</v>
      </c>
      <c r="I131" s="3" t="s">
        <v>24</v>
      </c>
      <c r="J131" s="3" t="s">
        <v>24</v>
      </c>
      <c r="K131" s="3" t="s">
        <v>25</v>
      </c>
      <c r="L131" s="4">
        <v>0</v>
      </c>
      <c r="M131" s="3" t="s">
        <v>26</v>
      </c>
      <c r="N131" s="3" t="s">
        <v>24</v>
      </c>
      <c r="O131" s="4">
        <v>1</v>
      </c>
      <c r="P131" s="4">
        <v>8</v>
      </c>
      <c r="Q131" s="4">
        <v>1</v>
      </c>
    </row>
    <row r="132" spans="1:17" x14ac:dyDescent="0.25">
      <c r="A132" s="3" t="s">
        <v>18</v>
      </c>
      <c r="B132" s="3">
        <v>10574782</v>
      </c>
      <c r="C132" s="3" t="s">
        <v>162</v>
      </c>
      <c r="D132" s="3" t="s">
        <v>20</v>
      </c>
      <c r="E132" s="3" t="s">
        <v>21</v>
      </c>
      <c r="F132" s="3" t="s">
        <v>21</v>
      </c>
      <c r="G132" s="3" t="s">
        <v>42</v>
      </c>
      <c r="H132" s="3" t="s">
        <v>43</v>
      </c>
      <c r="I132" s="3" t="s">
        <v>24</v>
      </c>
      <c r="J132" s="3" t="s">
        <v>24</v>
      </c>
      <c r="K132" s="3" t="s">
        <v>25</v>
      </c>
      <c r="L132" s="4">
        <v>0</v>
      </c>
      <c r="M132" s="3" t="s">
        <v>26</v>
      </c>
      <c r="N132" s="3" t="s">
        <v>24</v>
      </c>
      <c r="O132" s="4">
        <v>1</v>
      </c>
      <c r="P132" s="4">
        <v>8</v>
      </c>
      <c r="Q132" s="4">
        <v>1</v>
      </c>
    </row>
    <row r="133" spans="1:17" x14ac:dyDescent="0.25">
      <c r="A133" s="3" t="s">
        <v>18</v>
      </c>
      <c r="B133" s="3">
        <v>10574783</v>
      </c>
      <c r="C133" s="3" t="s">
        <v>163</v>
      </c>
      <c r="D133" s="3" t="s">
        <v>20</v>
      </c>
      <c r="E133" s="3" t="s">
        <v>21</v>
      </c>
      <c r="F133" s="3" t="s">
        <v>21</v>
      </c>
      <c r="G133" s="3" t="s">
        <v>42</v>
      </c>
      <c r="H133" s="3" t="s">
        <v>43</v>
      </c>
      <c r="I133" s="3" t="s">
        <v>24</v>
      </c>
      <c r="J133" s="3" t="s">
        <v>24</v>
      </c>
      <c r="K133" s="3" t="s">
        <v>25</v>
      </c>
      <c r="L133" s="4">
        <v>0</v>
      </c>
      <c r="M133" s="3" t="s">
        <v>26</v>
      </c>
      <c r="N133" s="3" t="s">
        <v>24</v>
      </c>
      <c r="O133" s="4">
        <v>1</v>
      </c>
      <c r="P133" s="4">
        <v>8</v>
      </c>
      <c r="Q133" s="4">
        <v>1</v>
      </c>
    </row>
    <row r="134" spans="1:17" x14ac:dyDescent="0.25">
      <c r="A134" s="3" t="s">
        <v>18</v>
      </c>
      <c r="B134" s="3">
        <v>10574784</v>
      </c>
      <c r="C134" s="3" t="s">
        <v>164</v>
      </c>
      <c r="D134" s="3" t="s">
        <v>20</v>
      </c>
      <c r="E134" s="3" t="s">
        <v>21</v>
      </c>
      <c r="F134" s="3" t="s">
        <v>21</v>
      </c>
      <c r="G134" s="3" t="s">
        <v>22</v>
      </c>
      <c r="H134" s="3" t="s">
        <v>23</v>
      </c>
      <c r="I134" s="3" t="s">
        <v>24</v>
      </c>
      <c r="J134" s="3" t="s">
        <v>24</v>
      </c>
      <c r="K134" s="3" t="s">
        <v>25</v>
      </c>
      <c r="L134" s="4">
        <v>0</v>
      </c>
      <c r="M134" s="3" t="s">
        <v>26</v>
      </c>
      <c r="N134" s="3" t="s">
        <v>24</v>
      </c>
      <c r="O134" s="4">
        <v>1</v>
      </c>
      <c r="P134" s="4">
        <v>4</v>
      </c>
      <c r="Q134" s="4">
        <v>1</v>
      </c>
    </row>
    <row r="135" spans="1:17" x14ac:dyDescent="0.25">
      <c r="A135" s="3" t="s">
        <v>18</v>
      </c>
      <c r="B135" s="3">
        <v>10574785</v>
      </c>
      <c r="C135" s="3" t="s">
        <v>165</v>
      </c>
      <c r="D135" s="3" t="s">
        <v>20</v>
      </c>
      <c r="E135" s="3" t="s">
        <v>21</v>
      </c>
      <c r="F135" s="3" t="s">
        <v>21</v>
      </c>
      <c r="G135" s="3" t="s">
        <v>22</v>
      </c>
      <c r="H135" s="3" t="s">
        <v>23</v>
      </c>
      <c r="I135" s="3" t="s">
        <v>24</v>
      </c>
      <c r="J135" s="3" t="s">
        <v>24</v>
      </c>
      <c r="K135" s="3" t="s">
        <v>25</v>
      </c>
      <c r="L135" s="4">
        <v>0</v>
      </c>
      <c r="M135" s="3" t="s">
        <v>26</v>
      </c>
      <c r="N135" s="3" t="s">
        <v>24</v>
      </c>
      <c r="O135" s="4">
        <v>1</v>
      </c>
      <c r="P135" s="4">
        <v>4</v>
      </c>
      <c r="Q135" s="4">
        <v>1</v>
      </c>
    </row>
    <row r="136" spans="1:17" x14ac:dyDescent="0.25">
      <c r="A136" s="3" t="s">
        <v>18</v>
      </c>
      <c r="B136" s="3">
        <v>10574786</v>
      </c>
      <c r="C136" s="3" t="s">
        <v>166</v>
      </c>
      <c r="D136" s="3" t="s">
        <v>20</v>
      </c>
      <c r="E136" s="3" t="s">
        <v>21</v>
      </c>
      <c r="F136" s="3" t="s">
        <v>21</v>
      </c>
      <c r="G136" s="3" t="s">
        <v>22</v>
      </c>
      <c r="H136" s="3" t="s">
        <v>23</v>
      </c>
      <c r="I136" s="3" t="s">
        <v>24</v>
      </c>
      <c r="J136" s="3" t="s">
        <v>24</v>
      </c>
      <c r="K136" s="3" t="s">
        <v>25</v>
      </c>
      <c r="L136" s="4">
        <v>0</v>
      </c>
      <c r="M136" s="3" t="s">
        <v>26</v>
      </c>
      <c r="N136" s="3" t="s">
        <v>24</v>
      </c>
      <c r="O136" s="4">
        <v>1</v>
      </c>
      <c r="P136" s="4">
        <v>4</v>
      </c>
      <c r="Q136" s="4">
        <v>1</v>
      </c>
    </row>
    <row r="137" spans="1:17" x14ac:dyDescent="0.25">
      <c r="A137" s="3" t="s">
        <v>18</v>
      </c>
      <c r="B137" s="3">
        <v>10574787</v>
      </c>
      <c r="C137" s="3" t="s">
        <v>167</v>
      </c>
      <c r="D137" s="3" t="s">
        <v>20</v>
      </c>
      <c r="E137" s="3" t="s">
        <v>21</v>
      </c>
      <c r="F137" s="3" t="s">
        <v>21</v>
      </c>
      <c r="G137" s="3" t="s">
        <v>36</v>
      </c>
      <c r="H137" s="3" t="s">
        <v>37</v>
      </c>
      <c r="I137" s="3" t="s">
        <v>24</v>
      </c>
      <c r="J137" s="3" t="s">
        <v>24</v>
      </c>
      <c r="K137" s="3" t="s">
        <v>25</v>
      </c>
      <c r="L137" s="4">
        <v>0</v>
      </c>
      <c r="M137" s="3" t="s">
        <v>26</v>
      </c>
      <c r="N137" s="3" t="s">
        <v>24</v>
      </c>
      <c r="O137" s="4">
        <v>1</v>
      </c>
      <c r="P137" s="4">
        <v>10</v>
      </c>
      <c r="Q137" s="4">
        <v>1</v>
      </c>
    </row>
    <row r="138" spans="1:17" x14ac:dyDescent="0.25">
      <c r="A138" s="3" t="s">
        <v>18</v>
      </c>
      <c r="B138" s="3">
        <v>10574788</v>
      </c>
      <c r="C138" s="3" t="s">
        <v>168</v>
      </c>
      <c r="D138" s="3" t="s">
        <v>20</v>
      </c>
      <c r="E138" s="3" t="s">
        <v>21</v>
      </c>
      <c r="F138" s="3" t="s">
        <v>21</v>
      </c>
      <c r="G138" s="3" t="s">
        <v>36</v>
      </c>
      <c r="H138" s="3" t="s">
        <v>37</v>
      </c>
      <c r="I138" s="3" t="s">
        <v>24</v>
      </c>
      <c r="J138" s="3" t="s">
        <v>24</v>
      </c>
      <c r="K138" s="3" t="s">
        <v>25</v>
      </c>
      <c r="L138" s="4">
        <v>0</v>
      </c>
      <c r="M138" s="3" t="s">
        <v>26</v>
      </c>
      <c r="N138" s="3" t="s">
        <v>24</v>
      </c>
      <c r="O138" s="4">
        <v>1</v>
      </c>
      <c r="P138" s="4">
        <v>10</v>
      </c>
      <c r="Q138" s="4">
        <v>1</v>
      </c>
    </row>
    <row r="139" spans="1:17" x14ac:dyDescent="0.25">
      <c r="A139" s="3" t="s">
        <v>18</v>
      </c>
      <c r="B139" s="3">
        <v>10574789</v>
      </c>
      <c r="C139" s="3" t="s">
        <v>169</v>
      </c>
      <c r="D139" s="3" t="s">
        <v>20</v>
      </c>
      <c r="E139" s="3" t="s">
        <v>21</v>
      </c>
      <c r="F139" s="3" t="s">
        <v>21</v>
      </c>
      <c r="G139" s="3" t="s">
        <v>30</v>
      </c>
      <c r="H139" s="3" t="s">
        <v>31</v>
      </c>
      <c r="I139" s="3" t="s">
        <v>24</v>
      </c>
      <c r="J139" s="3" t="s">
        <v>24</v>
      </c>
      <c r="K139" s="3" t="s">
        <v>25</v>
      </c>
      <c r="L139" s="4">
        <v>0</v>
      </c>
      <c r="M139" s="3" t="s">
        <v>26</v>
      </c>
      <c r="N139" s="3" t="s">
        <v>24</v>
      </c>
      <c r="O139" s="4">
        <v>1</v>
      </c>
      <c r="P139" s="4">
        <v>9</v>
      </c>
      <c r="Q139" s="4">
        <v>1</v>
      </c>
    </row>
    <row r="140" spans="1:17" x14ac:dyDescent="0.25">
      <c r="A140" s="3" t="s">
        <v>18</v>
      </c>
      <c r="B140" s="3">
        <v>10574790</v>
      </c>
      <c r="C140" s="3" t="s">
        <v>170</v>
      </c>
      <c r="D140" s="3" t="s">
        <v>20</v>
      </c>
      <c r="E140" s="3" t="s">
        <v>21</v>
      </c>
      <c r="F140" s="3" t="s">
        <v>21</v>
      </c>
      <c r="G140" s="3" t="s">
        <v>30</v>
      </c>
      <c r="H140" s="3" t="s">
        <v>31</v>
      </c>
      <c r="I140" s="3" t="s">
        <v>24</v>
      </c>
      <c r="J140" s="3" t="s">
        <v>24</v>
      </c>
      <c r="K140" s="3" t="s">
        <v>25</v>
      </c>
      <c r="L140" s="4">
        <v>0</v>
      </c>
      <c r="M140" s="3" t="s">
        <v>26</v>
      </c>
      <c r="N140" s="3" t="s">
        <v>24</v>
      </c>
      <c r="O140" s="4">
        <v>1</v>
      </c>
      <c r="P140" s="4">
        <v>9</v>
      </c>
      <c r="Q140" s="4">
        <v>1</v>
      </c>
    </row>
    <row r="141" spans="1:17" x14ac:dyDescent="0.25">
      <c r="A141" s="3" t="s">
        <v>18</v>
      </c>
      <c r="B141" s="3">
        <v>10574791</v>
      </c>
      <c r="C141" s="3" t="s">
        <v>171</v>
      </c>
      <c r="D141" s="3" t="s">
        <v>20</v>
      </c>
      <c r="E141" s="3" t="s">
        <v>21</v>
      </c>
      <c r="F141" s="3" t="s">
        <v>21</v>
      </c>
      <c r="G141" s="3" t="s">
        <v>30</v>
      </c>
      <c r="H141" s="3" t="s">
        <v>31</v>
      </c>
      <c r="I141" s="3" t="s">
        <v>24</v>
      </c>
      <c r="J141" s="3" t="s">
        <v>24</v>
      </c>
      <c r="K141" s="3" t="s">
        <v>25</v>
      </c>
      <c r="L141" s="4">
        <v>0</v>
      </c>
      <c r="M141" s="3" t="s">
        <v>26</v>
      </c>
      <c r="N141" s="3" t="s">
        <v>24</v>
      </c>
      <c r="O141" s="4">
        <v>1</v>
      </c>
      <c r="P141" s="4">
        <v>9</v>
      </c>
      <c r="Q141" s="4">
        <v>1</v>
      </c>
    </row>
    <row r="142" spans="1:17" x14ac:dyDescent="0.25">
      <c r="A142" s="3" t="s">
        <v>18</v>
      </c>
      <c r="B142" s="3">
        <v>10574792</v>
      </c>
      <c r="C142" s="3" t="s">
        <v>172</v>
      </c>
      <c r="D142" s="3" t="s">
        <v>20</v>
      </c>
      <c r="E142" s="3" t="s">
        <v>21</v>
      </c>
      <c r="F142" s="3" t="s">
        <v>21</v>
      </c>
      <c r="G142" s="3" t="s">
        <v>30</v>
      </c>
      <c r="H142" s="3" t="s">
        <v>31</v>
      </c>
      <c r="I142" s="3" t="s">
        <v>24</v>
      </c>
      <c r="J142" s="3" t="s">
        <v>24</v>
      </c>
      <c r="K142" s="3" t="s">
        <v>25</v>
      </c>
      <c r="L142" s="4">
        <v>0</v>
      </c>
      <c r="M142" s="3" t="s">
        <v>26</v>
      </c>
      <c r="N142" s="3" t="s">
        <v>24</v>
      </c>
      <c r="O142" s="4">
        <v>1</v>
      </c>
      <c r="P142" s="4">
        <v>8</v>
      </c>
      <c r="Q142" s="4">
        <v>1</v>
      </c>
    </row>
    <row r="143" spans="1:17" x14ac:dyDescent="0.25">
      <c r="A143" s="3" t="s">
        <v>18</v>
      </c>
      <c r="B143" s="3">
        <v>10574793</v>
      </c>
      <c r="C143" s="3" t="s">
        <v>173</v>
      </c>
      <c r="D143" s="3" t="s">
        <v>20</v>
      </c>
      <c r="E143" s="3" t="s">
        <v>21</v>
      </c>
      <c r="F143" s="3" t="s">
        <v>21</v>
      </c>
      <c r="G143" s="3" t="s">
        <v>30</v>
      </c>
      <c r="H143" s="3" t="s">
        <v>31</v>
      </c>
      <c r="I143" s="3" t="s">
        <v>24</v>
      </c>
      <c r="J143" s="3" t="s">
        <v>24</v>
      </c>
      <c r="K143" s="3" t="s">
        <v>25</v>
      </c>
      <c r="L143" s="4">
        <v>0</v>
      </c>
      <c r="M143" s="3" t="s">
        <v>26</v>
      </c>
      <c r="N143" s="3" t="s">
        <v>24</v>
      </c>
      <c r="O143" s="4">
        <v>1</v>
      </c>
      <c r="P143" s="4">
        <v>8</v>
      </c>
      <c r="Q143" s="4">
        <v>1</v>
      </c>
    </row>
    <row r="144" spans="1:17" x14ac:dyDescent="0.25">
      <c r="A144" s="3" t="s">
        <v>18</v>
      </c>
      <c r="B144" s="3">
        <v>10574794</v>
      </c>
      <c r="C144" s="3" t="s">
        <v>174</v>
      </c>
      <c r="D144" s="3" t="s">
        <v>20</v>
      </c>
      <c r="E144" s="3" t="s">
        <v>21</v>
      </c>
      <c r="F144" s="3" t="s">
        <v>21</v>
      </c>
      <c r="G144" s="3" t="s">
        <v>42</v>
      </c>
      <c r="H144" s="3" t="s">
        <v>43</v>
      </c>
      <c r="I144" s="3" t="s">
        <v>24</v>
      </c>
      <c r="J144" s="3" t="s">
        <v>24</v>
      </c>
      <c r="K144" s="3" t="s">
        <v>25</v>
      </c>
      <c r="L144" s="4">
        <v>0</v>
      </c>
      <c r="M144" s="3" t="s">
        <v>26</v>
      </c>
      <c r="N144" s="3" t="s">
        <v>24</v>
      </c>
      <c r="O144" s="4">
        <v>1</v>
      </c>
      <c r="P144" s="4">
        <v>8</v>
      </c>
      <c r="Q144" s="4">
        <v>1</v>
      </c>
    </row>
    <row r="145" spans="1:17" x14ac:dyDescent="0.25">
      <c r="A145" s="3" t="s">
        <v>18</v>
      </c>
      <c r="B145" s="3">
        <v>10574795</v>
      </c>
      <c r="C145" s="3" t="s">
        <v>175</v>
      </c>
      <c r="D145" s="3" t="s">
        <v>20</v>
      </c>
      <c r="E145" s="3" t="s">
        <v>21</v>
      </c>
      <c r="F145" s="3" t="s">
        <v>21</v>
      </c>
      <c r="G145" s="3" t="s">
        <v>42</v>
      </c>
      <c r="H145" s="3" t="s">
        <v>43</v>
      </c>
      <c r="I145" s="3" t="s">
        <v>24</v>
      </c>
      <c r="J145" s="3" t="s">
        <v>24</v>
      </c>
      <c r="K145" s="3" t="s">
        <v>25</v>
      </c>
      <c r="L145" s="4">
        <v>0</v>
      </c>
      <c r="M145" s="3" t="s">
        <v>26</v>
      </c>
      <c r="N145" s="3" t="s">
        <v>24</v>
      </c>
      <c r="O145" s="4">
        <v>1</v>
      </c>
      <c r="P145" s="4">
        <v>8</v>
      </c>
      <c r="Q145" s="4">
        <v>1</v>
      </c>
    </row>
    <row r="146" spans="1:17" x14ac:dyDescent="0.25">
      <c r="A146" s="3" t="s">
        <v>18</v>
      </c>
      <c r="B146" s="3">
        <v>10574796</v>
      </c>
      <c r="C146" s="3" t="s">
        <v>176</v>
      </c>
      <c r="D146" s="3" t="s">
        <v>20</v>
      </c>
      <c r="E146" s="3" t="s">
        <v>21</v>
      </c>
      <c r="F146" s="3" t="s">
        <v>21</v>
      </c>
      <c r="G146" s="3" t="s">
        <v>42</v>
      </c>
      <c r="H146" s="3" t="s">
        <v>43</v>
      </c>
      <c r="I146" s="3" t="s">
        <v>24</v>
      </c>
      <c r="J146" s="3" t="s">
        <v>24</v>
      </c>
      <c r="K146" s="3" t="s">
        <v>25</v>
      </c>
      <c r="L146" s="4">
        <v>0</v>
      </c>
      <c r="M146" s="3" t="s">
        <v>26</v>
      </c>
      <c r="N146" s="3" t="s">
        <v>24</v>
      </c>
      <c r="O146" s="4">
        <v>1</v>
      </c>
      <c r="P146" s="4">
        <v>8</v>
      </c>
      <c r="Q146" s="4">
        <v>1</v>
      </c>
    </row>
    <row r="147" spans="1:17" x14ac:dyDescent="0.25">
      <c r="A147" s="3" t="s">
        <v>18</v>
      </c>
      <c r="B147" s="3">
        <v>10574797</v>
      </c>
      <c r="C147" s="3" t="s">
        <v>177</v>
      </c>
      <c r="D147" s="3" t="s">
        <v>20</v>
      </c>
      <c r="E147" s="3" t="s">
        <v>21</v>
      </c>
      <c r="F147" s="3" t="s">
        <v>21</v>
      </c>
      <c r="G147" s="3" t="s">
        <v>22</v>
      </c>
      <c r="H147" s="3" t="s">
        <v>23</v>
      </c>
      <c r="I147" s="3" t="s">
        <v>24</v>
      </c>
      <c r="J147" s="3" t="s">
        <v>24</v>
      </c>
      <c r="K147" s="3" t="s">
        <v>25</v>
      </c>
      <c r="L147" s="4">
        <v>0</v>
      </c>
      <c r="M147" s="3" t="s">
        <v>26</v>
      </c>
      <c r="N147" s="3" t="s">
        <v>24</v>
      </c>
      <c r="O147" s="4">
        <v>1</v>
      </c>
      <c r="P147" s="4">
        <v>4</v>
      </c>
      <c r="Q147" s="4">
        <v>1</v>
      </c>
    </row>
    <row r="148" spans="1:17" x14ac:dyDescent="0.25">
      <c r="A148" s="3" t="s">
        <v>18</v>
      </c>
      <c r="B148" s="3">
        <v>10574798</v>
      </c>
      <c r="C148" s="3" t="s">
        <v>178</v>
      </c>
      <c r="D148" s="3" t="s">
        <v>20</v>
      </c>
      <c r="E148" s="3" t="s">
        <v>21</v>
      </c>
      <c r="F148" s="3" t="s">
        <v>21</v>
      </c>
      <c r="G148" s="3" t="s">
        <v>22</v>
      </c>
      <c r="H148" s="3" t="s">
        <v>23</v>
      </c>
      <c r="I148" s="3" t="s">
        <v>24</v>
      </c>
      <c r="J148" s="3" t="s">
        <v>24</v>
      </c>
      <c r="K148" s="3" t="s">
        <v>25</v>
      </c>
      <c r="L148" s="4">
        <v>0</v>
      </c>
      <c r="M148" s="3" t="s">
        <v>26</v>
      </c>
      <c r="N148" s="3" t="s">
        <v>24</v>
      </c>
      <c r="O148" s="4">
        <v>1</v>
      </c>
      <c r="P148" s="4">
        <v>4</v>
      </c>
      <c r="Q148" s="4">
        <v>1</v>
      </c>
    </row>
    <row r="149" spans="1:17" x14ac:dyDescent="0.25">
      <c r="A149" s="3" t="s">
        <v>18</v>
      </c>
      <c r="B149" s="3">
        <v>10574799</v>
      </c>
      <c r="C149" s="3" t="s">
        <v>179</v>
      </c>
      <c r="D149" s="3" t="s">
        <v>20</v>
      </c>
      <c r="E149" s="3" t="s">
        <v>21</v>
      </c>
      <c r="F149" s="3" t="s">
        <v>21</v>
      </c>
      <c r="G149" s="3" t="s">
        <v>22</v>
      </c>
      <c r="H149" s="3" t="s">
        <v>23</v>
      </c>
      <c r="I149" s="3" t="s">
        <v>24</v>
      </c>
      <c r="J149" s="3" t="s">
        <v>24</v>
      </c>
      <c r="K149" s="3" t="s">
        <v>25</v>
      </c>
      <c r="L149" s="4">
        <v>0</v>
      </c>
      <c r="M149" s="3" t="s">
        <v>26</v>
      </c>
      <c r="N149" s="3" t="s">
        <v>24</v>
      </c>
      <c r="O149" s="4">
        <v>1</v>
      </c>
      <c r="P149" s="4">
        <v>4</v>
      </c>
      <c r="Q149" s="4">
        <v>1</v>
      </c>
    </row>
    <row r="150" spans="1:17" x14ac:dyDescent="0.25">
      <c r="A150" s="3" t="s">
        <v>18</v>
      </c>
      <c r="B150" s="3">
        <v>10574800</v>
      </c>
      <c r="C150" s="3" t="s">
        <v>180</v>
      </c>
      <c r="D150" s="3" t="s">
        <v>20</v>
      </c>
      <c r="E150" s="3" t="s">
        <v>21</v>
      </c>
      <c r="F150" s="3" t="s">
        <v>21</v>
      </c>
      <c r="G150" s="3" t="s">
        <v>30</v>
      </c>
      <c r="H150" s="3" t="s">
        <v>31</v>
      </c>
      <c r="I150" s="3" t="s">
        <v>24</v>
      </c>
      <c r="J150" s="3" t="s">
        <v>24</v>
      </c>
      <c r="K150" s="3" t="s">
        <v>25</v>
      </c>
      <c r="L150" s="4">
        <v>0</v>
      </c>
      <c r="M150" s="3" t="s">
        <v>26</v>
      </c>
      <c r="N150" s="3" t="s">
        <v>24</v>
      </c>
      <c r="O150" s="4">
        <v>1</v>
      </c>
      <c r="P150" s="4">
        <v>9</v>
      </c>
      <c r="Q150" s="4">
        <v>1</v>
      </c>
    </row>
    <row r="151" spans="1:17" x14ac:dyDescent="0.25">
      <c r="A151" s="3" t="s">
        <v>18</v>
      </c>
      <c r="B151" s="3">
        <v>10574801</v>
      </c>
      <c r="C151" s="3" t="s">
        <v>181</v>
      </c>
      <c r="D151" s="3" t="s">
        <v>20</v>
      </c>
      <c r="E151" s="3" t="s">
        <v>21</v>
      </c>
      <c r="F151" s="3" t="s">
        <v>21</v>
      </c>
      <c r="G151" s="3" t="s">
        <v>30</v>
      </c>
      <c r="H151" s="3" t="s">
        <v>31</v>
      </c>
      <c r="I151" s="3" t="s">
        <v>24</v>
      </c>
      <c r="J151" s="3" t="s">
        <v>24</v>
      </c>
      <c r="K151" s="3" t="s">
        <v>25</v>
      </c>
      <c r="L151" s="4">
        <v>0</v>
      </c>
      <c r="M151" s="3" t="s">
        <v>26</v>
      </c>
      <c r="N151" s="3" t="s">
        <v>24</v>
      </c>
      <c r="O151" s="4">
        <v>1</v>
      </c>
      <c r="P151" s="4">
        <v>9</v>
      </c>
      <c r="Q151" s="4">
        <v>1</v>
      </c>
    </row>
    <row r="152" spans="1:17" x14ac:dyDescent="0.25">
      <c r="A152" s="3" t="s">
        <v>18</v>
      </c>
      <c r="B152" s="3">
        <v>10574802</v>
      </c>
      <c r="C152" s="3" t="s">
        <v>182</v>
      </c>
      <c r="D152" s="3" t="s">
        <v>20</v>
      </c>
      <c r="E152" s="3" t="s">
        <v>21</v>
      </c>
      <c r="F152" s="3" t="s">
        <v>21</v>
      </c>
      <c r="G152" s="3" t="s">
        <v>30</v>
      </c>
      <c r="H152" s="3" t="s">
        <v>31</v>
      </c>
      <c r="I152" s="3" t="s">
        <v>24</v>
      </c>
      <c r="J152" s="3" t="s">
        <v>24</v>
      </c>
      <c r="K152" s="3" t="s">
        <v>25</v>
      </c>
      <c r="L152" s="4">
        <v>0</v>
      </c>
      <c r="M152" s="3" t="s">
        <v>26</v>
      </c>
      <c r="N152" s="3" t="s">
        <v>24</v>
      </c>
      <c r="O152" s="4">
        <v>1</v>
      </c>
      <c r="P152" s="4">
        <v>9</v>
      </c>
      <c r="Q152" s="4">
        <v>1</v>
      </c>
    </row>
    <row r="153" spans="1:17" x14ac:dyDescent="0.25">
      <c r="A153" s="3" t="s">
        <v>18</v>
      </c>
      <c r="B153" s="3">
        <v>10574803</v>
      </c>
      <c r="C153" s="3" t="s">
        <v>183</v>
      </c>
      <c r="D153" s="3" t="s">
        <v>20</v>
      </c>
      <c r="E153" s="3" t="s">
        <v>21</v>
      </c>
      <c r="F153" s="3" t="s">
        <v>21</v>
      </c>
      <c r="G153" s="3" t="s">
        <v>30</v>
      </c>
      <c r="H153" s="3" t="s">
        <v>31</v>
      </c>
      <c r="I153" s="3" t="s">
        <v>24</v>
      </c>
      <c r="J153" s="3" t="s">
        <v>24</v>
      </c>
      <c r="K153" s="3" t="s">
        <v>25</v>
      </c>
      <c r="L153" s="4">
        <v>0</v>
      </c>
      <c r="M153" s="3" t="s">
        <v>26</v>
      </c>
      <c r="N153" s="3" t="s">
        <v>24</v>
      </c>
      <c r="O153" s="4">
        <v>1</v>
      </c>
      <c r="P153" s="4">
        <v>8</v>
      </c>
      <c r="Q153" s="4">
        <v>1</v>
      </c>
    </row>
    <row r="154" spans="1:17" x14ac:dyDescent="0.25">
      <c r="A154" s="3" t="s">
        <v>18</v>
      </c>
      <c r="B154" s="3">
        <v>10574804</v>
      </c>
      <c r="C154" s="3" t="s">
        <v>184</v>
      </c>
      <c r="D154" s="3" t="s">
        <v>20</v>
      </c>
      <c r="E154" s="3" t="s">
        <v>21</v>
      </c>
      <c r="F154" s="3" t="s">
        <v>21</v>
      </c>
      <c r="G154" s="3" t="s">
        <v>30</v>
      </c>
      <c r="H154" s="3" t="s">
        <v>31</v>
      </c>
      <c r="I154" s="3" t="s">
        <v>24</v>
      </c>
      <c r="J154" s="3" t="s">
        <v>24</v>
      </c>
      <c r="K154" s="3" t="s">
        <v>25</v>
      </c>
      <c r="L154" s="4">
        <v>0</v>
      </c>
      <c r="M154" s="3" t="s">
        <v>26</v>
      </c>
      <c r="N154" s="3" t="s">
        <v>24</v>
      </c>
      <c r="O154" s="4">
        <v>1</v>
      </c>
      <c r="P154" s="4">
        <v>9</v>
      </c>
      <c r="Q154" s="4">
        <v>1</v>
      </c>
    </row>
    <row r="155" spans="1:17" x14ac:dyDescent="0.25">
      <c r="A155" s="3" t="s">
        <v>18</v>
      </c>
      <c r="B155" s="3">
        <v>10574805</v>
      </c>
      <c r="C155" s="3" t="s">
        <v>185</v>
      </c>
      <c r="D155" s="3" t="s">
        <v>20</v>
      </c>
      <c r="E155" s="3" t="s">
        <v>21</v>
      </c>
      <c r="F155" s="3" t="s">
        <v>21</v>
      </c>
      <c r="G155" s="3" t="s">
        <v>30</v>
      </c>
      <c r="H155" s="3" t="s">
        <v>31</v>
      </c>
      <c r="I155" s="3" t="s">
        <v>24</v>
      </c>
      <c r="J155" s="3" t="s">
        <v>24</v>
      </c>
      <c r="K155" s="3" t="s">
        <v>25</v>
      </c>
      <c r="L155" s="4">
        <v>0</v>
      </c>
      <c r="M155" s="3" t="s">
        <v>26</v>
      </c>
      <c r="N155" s="3" t="s">
        <v>24</v>
      </c>
      <c r="O155" s="4">
        <v>1</v>
      </c>
      <c r="P155" s="4">
        <v>8</v>
      </c>
      <c r="Q155" s="4">
        <v>1</v>
      </c>
    </row>
    <row r="156" spans="1:17" x14ac:dyDescent="0.25">
      <c r="A156" s="3" t="s">
        <v>18</v>
      </c>
      <c r="B156" s="3">
        <v>10574806</v>
      </c>
      <c r="C156" s="3" t="s">
        <v>186</v>
      </c>
      <c r="D156" s="3" t="s">
        <v>20</v>
      </c>
      <c r="E156" s="3" t="s">
        <v>21</v>
      </c>
      <c r="F156" s="3" t="s">
        <v>21</v>
      </c>
      <c r="G156" s="3" t="s">
        <v>30</v>
      </c>
      <c r="H156" s="3" t="s">
        <v>31</v>
      </c>
      <c r="I156" s="3" t="s">
        <v>24</v>
      </c>
      <c r="J156" s="3" t="s">
        <v>24</v>
      </c>
      <c r="K156" s="3" t="s">
        <v>25</v>
      </c>
      <c r="L156" s="4">
        <v>0</v>
      </c>
      <c r="M156" s="3" t="s">
        <v>26</v>
      </c>
      <c r="N156" s="3" t="s">
        <v>24</v>
      </c>
      <c r="O156" s="4">
        <v>1</v>
      </c>
      <c r="P156" s="4">
        <v>8</v>
      </c>
      <c r="Q156" s="4">
        <v>1</v>
      </c>
    </row>
    <row r="157" spans="1:17" x14ac:dyDescent="0.25">
      <c r="A157" s="3" t="s">
        <v>18</v>
      </c>
      <c r="B157" s="3">
        <v>10574807</v>
      </c>
      <c r="C157" s="3" t="s">
        <v>187</v>
      </c>
      <c r="D157" s="3" t="s">
        <v>20</v>
      </c>
      <c r="E157" s="3" t="s">
        <v>21</v>
      </c>
      <c r="F157" s="3" t="s">
        <v>21</v>
      </c>
      <c r="G157" s="3" t="s">
        <v>30</v>
      </c>
      <c r="H157" s="3" t="s">
        <v>31</v>
      </c>
      <c r="I157" s="3" t="s">
        <v>24</v>
      </c>
      <c r="J157" s="3" t="s">
        <v>24</v>
      </c>
      <c r="K157" s="3" t="s">
        <v>25</v>
      </c>
      <c r="L157" s="4">
        <v>0</v>
      </c>
      <c r="M157" s="3" t="s">
        <v>26</v>
      </c>
      <c r="N157" s="3" t="s">
        <v>24</v>
      </c>
      <c r="O157" s="4">
        <v>1</v>
      </c>
      <c r="P157" s="4">
        <v>8</v>
      </c>
      <c r="Q157" s="4">
        <v>1</v>
      </c>
    </row>
    <row r="158" spans="1:17" x14ac:dyDescent="0.25">
      <c r="A158" s="3" t="s">
        <v>18</v>
      </c>
      <c r="B158" s="3">
        <v>10574808</v>
      </c>
      <c r="C158" s="3" t="s">
        <v>188</v>
      </c>
      <c r="D158" s="3" t="s">
        <v>20</v>
      </c>
      <c r="E158" s="3" t="s">
        <v>21</v>
      </c>
      <c r="F158" s="3" t="s">
        <v>21</v>
      </c>
      <c r="G158" s="3" t="s">
        <v>42</v>
      </c>
      <c r="H158" s="3" t="s">
        <v>43</v>
      </c>
      <c r="I158" s="3" t="s">
        <v>24</v>
      </c>
      <c r="J158" s="3" t="s">
        <v>24</v>
      </c>
      <c r="K158" s="3" t="s">
        <v>25</v>
      </c>
      <c r="L158" s="4">
        <v>0</v>
      </c>
      <c r="M158" s="3" t="s">
        <v>26</v>
      </c>
      <c r="N158" s="3" t="s">
        <v>24</v>
      </c>
      <c r="O158" s="4">
        <v>1</v>
      </c>
      <c r="P158" s="4">
        <v>8</v>
      </c>
      <c r="Q158" s="4">
        <v>1</v>
      </c>
    </row>
    <row r="159" spans="1:17" x14ac:dyDescent="0.25">
      <c r="A159" s="3" t="s">
        <v>18</v>
      </c>
      <c r="B159" s="3">
        <v>10574809</v>
      </c>
      <c r="C159" s="3" t="s">
        <v>189</v>
      </c>
      <c r="D159" s="3" t="s">
        <v>20</v>
      </c>
      <c r="E159" s="3" t="s">
        <v>21</v>
      </c>
      <c r="F159" s="3" t="s">
        <v>21</v>
      </c>
      <c r="G159" s="3" t="s">
        <v>42</v>
      </c>
      <c r="H159" s="3" t="s">
        <v>43</v>
      </c>
      <c r="I159" s="3" t="s">
        <v>24</v>
      </c>
      <c r="J159" s="3" t="s">
        <v>24</v>
      </c>
      <c r="K159" s="3" t="s">
        <v>25</v>
      </c>
      <c r="L159" s="4">
        <v>0</v>
      </c>
      <c r="M159" s="3" t="s">
        <v>26</v>
      </c>
      <c r="N159" s="3" t="s">
        <v>24</v>
      </c>
      <c r="O159" s="4">
        <v>1</v>
      </c>
      <c r="P159" s="4">
        <v>8</v>
      </c>
      <c r="Q159" s="4">
        <v>1</v>
      </c>
    </row>
    <row r="160" spans="1:17" x14ac:dyDescent="0.25">
      <c r="A160" s="3" t="s">
        <v>18</v>
      </c>
      <c r="B160" s="3">
        <v>10575262</v>
      </c>
      <c r="C160" s="3" t="s">
        <v>190</v>
      </c>
      <c r="D160" s="3" t="s">
        <v>20</v>
      </c>
      <c r="E160" s="3" t="s">
        <v>21</v>
      </c>
      <c r="F160" s="3" t="s">
        <v>21</v>
      </c>
      <c r="G160" s="3" t="s">
        <v>42</v>
      </c>
      <c r="H160" s="3" t="s">
        <v>43</v>
      </c>
      <c r="I160" s="3" t="s">
        <v>24</v>
      </c>
      <c r="J160" s="3" t="s">
        <v>24</v>
      </c>
      <c r="K160" s="3" t="s">
        <v>25</v>
      </c>
      <c r="L160" s="4">
        <v>0</v>
      </c>
      <c r="M160" s="3" t="s">
        <v>26</v>
      </c>
      <c r="N160" s="3" t="s">
        <v>24</v>
      </c>
      <c r="O160" s="4">
        <v>1</v>
      </c>
      <c r="P160" s="4">
        <v>8</v>
      </c>
      <c r="Q160" s="4">
        <v>1</v>
      </c>
    </row>
    <row r="161" spans="1:17" x14ac:dyDescent="0.25">
      <c r="A161" s="3" t="s">
        <v>18</v>
      </c>
      <c r="B161" s="3">
        <v>10575263</v>
      </c>
      <c r="C161" s="3" t="s">
        <v>191</v>
      </c>
      <c r="D161" s="3" t="s">
        <v>20</v>
      </c>
      <c r="E161" s="3" t="s">
        <v>21</v>
      </c>
      <c r="F161" s="3" t="s">
        <v>21</v>
      </c>
      <c r="G161" s="3" t="s">
        <v>22</v>
      </c>
      <c r="H161" s="3" t="s">
        <v>23</v>
      </c>
      <c r="I161" s="3" t="s">
        <v>24</v>
      </c>
      <c r="J161" s="3" t="s">
        <v>24</v>
      </c>
      <c r="K161" s="3" t="s">
        <v>25</v>
      </c>
      <c r="L161" s="4">
        <v>0</v>
      </c>
      <c r="M161" s="3" t="s">
        <v>26</v>
      </c>
      <c r="N161" s="3" t="s">
        <v>24</v>
      </c>
      <c r="O161" s="4">
        <v>1</v>
      </c>
      <c r="P161" s="4">
        <v>4</v>
      </c>
      <c r="Q161" s="4">
        <v>1</v>
      </c>
    </row>
    <row r="162" spans="1:17" x14ac:dyDescent="0.25">
      <c r="A162" s="3" t="s">
        <v>18</v>
      </c>
      <c r="B162" s="3">
        <v>10575264</v>
      </c>
      <c r="C162" s="3" t="s">
        <v>192</v>
      </c>
      <c r="D162" s="3" t="s">
        <v>20</v>
      </c>
      <c r="E162" s="3" t="s">
        <v>21</v>
      </c>
      <c r="F162" s="3" t="s">
        <v>21</v>
      </c>
      <c r="G162" s="3" t="s">
        <v>22</v>
      </c>
      <c r="H162" s="3" t="s">
        <v>23</v>
      </c>
      <c r="I162" s="3" t="s">
        <v>24</v>
      </c>
      <c r="J162" s="3" t="s">
        <v>24</v>
      </c>
      <c r="K162" s="3" t="s">
        <v>25</v>
      </c>
      <c r="L162" s="4">
        <v>0</v>
      </c>
      <c r="M162" s="3" t="s">
        <v>26</v>
      </c>
      <c r="N162" s="3" t="s">
        <v>24</v>
      </c>
      <c r="O162" s="4">
        <v>1</v>
      </c>
      <c r="P162" s="4">
        <v>4</v>
      </c>
      <c r="Q162" s="4">
        <v>1</v>
      </c>
    </row>
    <row r="163" spans="1:17" x14ac:dyDescent="0.25">
      <c r="A163" s="3" t="s">
        <v>18</v>
      </c>
      <c r="B163" s="3">
        <v>10575265</v>
      </c>
      <c r="C163" s="3" t="s">
        <v>193</v>
      </c>
      <c r="D163" s="3" t="s">
        <v>20</v>
      </c>
      <c r="E163" s="3" t="s">
        <v>21</v>
      </c>
      <c r="F163" s="3" t="s">
        <v>21</v>
      </c>
      <c r="G163" s="3" t="s">
        <v>22</v>
      </c>
      <c r="H163" s="3" t="s">
        <v>23</v>
      </c>
      <c r="I163" s="3" t="s">
        <v>24</v>
      </c>
      <c r="J163" s="3" t="s">
        <v>24</v>
      </c>
      <c r="K163" s="3" t="s">
        <v>25</v>
      </c>
      <c r="L163" s="4">
        <v>0</v>
      </c>
      <c r="M163" s="3" t="s">
        <v>26</v>
      </c>
      <c r="N163" s="3" t="s">
        <v>24</v>
      </c>
      <c r="O163" s="4">
        <v>1</v>
      </c>
      <c r="P163" s="4">
        <v>4</v>
      </c>
      <c r="Q163" s="4">
        <v>1</v>
      </c>
    </row>
    <row r="164" spans="1:17" x14ac:dyDescent="0.25">
      <c r="A164" s="3" t="s">
        <v>18</v>
      </c>
      <c r="B164" s="3">
        <v>10575266</v>
      </c>
      <c r="C164" s="3" t="s">
        <v>194</v>
      </c>
      <c r="D164" s="3" t="s">
        <v>20</v>
      </c>
      <c r="E164" s="3" t="s">
        <v>21</v>
      </c>
      <c r="F164" s="3" t="s">
        <v>21</v>
      </c>
      <c r="G164" s="3" t="s">
        <v>36</v>
      </c>
      <c r="H164" s="3" t="s">
        <v>37</v>
      </c>
      <c r="I164" s="3" t="s">
        <v>24</v>
      </c>
      <c r="J164" s="3" t="s">
        <v>24</v>
      </c>
      <c r="K164" s="3" t="s">
        <v>25</v>
      </c>
      <c r="L164" s="4">
        <v>0</v>
      </c>
      <c r="M164" s="3" t="s">
        <v>26</v>
      </c>
      <c r="N164" s="3" t="s">
        <v>24</v>
      </c>
      <c r="O164" s="4">
        <v>1</v>
      </c>
      <c r="P164" s="4">
        <v>10</v>
      </c>
      <c r="Q164" s="4">
        <v>1</v>
      </c>
    </row>
    <row r="165" spans="1:17" x14ac:dyDescent="0.25">
      <c r="A165" s="3" t="s">
        <v>18</v>
      </c>
      <c r="B165" s="3">
        <v>10575267</v>
      </c>
      <c r="C165" s="3" t="s">
        <v>195</v>
      </c>
      <c r="D165" s="3" t="s">
        <v>20</v>
      </c>
      <c r="E165" s="3" t="s">
        <v>21</v>
      </c>
      <c r="F165" s="3" t="s">
        <v>21</v>
      </c>
      <c r="G165" s="3" t="s">
        <v>36</v>
      </c>
      <c r="H165" s="3" t="s">
        <v>37</v>
      </c>
      <c r="I165" s="3" t="s">
        <v>24</v>
      </c>
      <c r="J165" s="3" t="s">
        <v>24</v>
      </c>
      <c r="K165" s="3" t="s">
        <v>25</v>
      </c>
      <c r="L165" s="4">
        <v>0</v>
      </c>
      <c r="M165" s="3" t="s">
        <v>26</v>
      </c>
      <c r="N165" s="3" t="s">
        <v>24</v>
      </c>
      <c r="O165" s="4">
        <v>1</v>
      </c>
      <c r="P165" s="4">
        <v>10</v>
      </c>
      <c r="Q165" s="4">
        <v>1</v>
      </c>
    </row>
    <row r="166" spans="1:17" x14ac:dyDescent="0.25">
      <c r="A166" s="3" t="s">
        <v>18</v>
      </c>
      <c r="B166" s="3">
        <v>10575268</v>
      </c>
      <c r="C166" s="3" t="s">
        <v>196</v>
      </c>
      <c r="D166" s="3" t="s">
        <v>20</v>
      </c>
      <c r="E166" s="3" t="s">
        <v>21</v>
      </c>
      <c r="F166" s="3" t="s">
        <v>21</v>
      </c>
      <c r="G166" s="3" t="s">
        <v>30</v>
      </c>
      <c r="H166" s="3" t="s">
        <v>31</v>
      </c>
      <c r="I166" s="3" t="s">
        <v>24</v>
      </c>
      <c r="J166" s="3" t="s">
        <v>24</v>
      </c>
      <c r="K166" s="3" t="s">
        <v>25</v>
      </c>
      <c r="L166" s="4">
        <v>0</v>
      </c>
      <c r="M166" s="3" t="s">
        <v>26</v>
      </c>
      <c r="N166" s="3" t="s">
        <v>24</v>
      </c>
      <c r="O166" s="4">
        <v>1</v>
      </c>
      <c r="P166" s="4">
        <v>9</v>
      </c>
      <c r="Q166" s="4">
        <v>1</v>
      </c>
    </row>
    <row r="167" spans="1:17" x14ac:dyDescent="0.25">
      <c r="A167" s="3" t="s">
        <v>18</v>
      </c>
      <c r="B167" s="3">
        <v>10575269</v>
      </c>
      <c r="C167" s="3" t="s">
        <v>197</v>
      </c>
      <c r="D167" s="3" t="s">
        <v>20</v>
      </c>
      <c r="E167" s="3" t="s">
        <v>21</v>
      </c>
      <c r="F167" s="3" t="s">
        <v>21</v>
      </c>
      <c r="G167" s="3" t="s">
        <v>30</v>
      </c>
      <c r="H167" s="3" t="s">
        <v>31</v>
      </c>
      <c r="I167" s="3" t="s">
        <v>24</v>
      </c>
      <c r="J167" s="3" t="s">
        <v>24</v>
      </c>
      <c r="K167" s="3" t="s">
        <v>25</v>
      </c>
      <c r="L167" s="4">
        <v>0</v>
      </c>
      <c r="M167" s="3" t="s">
        <v>26</v>
      </c>
      <c r="N167" s="3" t="s">
        <v>24</v>
      </c>
      <c r="O167" s="4">
        <v>1</v>
      </c>
      <c r="P167" s="4">
        <v>9</v>
      </c>
      <c r="Q167" s="4">
        <v>1</v>
      </c>
    </row>
    <row r="168" spans="1:17" x14ac:dyDescent="0.25">
      <c r="A168" s="3" t="s">
        <v>18</v>
      </c>
      <c r="B168" s="3">
        <v>10575270</v>
      </c>
      <c r="C168" s="3" t="s">
        <v>198</v>
      </c>
      <c r="D168" s="3" t="s">
        <v>20</v>
      </c>
      <c r="E168" s="3" t="s">
        <v>21</v>
      </c>
      <c r="F168" s="3" t="s">
        <v>21</v>
      </c>
      <c r="G168" s="3" t="s">
        <v>30</v>
      </c>
      <c r="H168" s="3" t="s">
        <v>31</v>
      </c>
      <c r="I168" s="3" t="s">
        <v>24</v>
      </c>
      <c r="J168" s="3" t="s">
        <v>24</v>
      </c>
      <c r="K168" s="3" t="s">
        <v>25</v>
      </c>
      <c r="L168" s="4">
        <v>0</v>
      </c>
      <c r="M168" s="3" t="s">
        <v>26</v>
      </c>
      <c r="N168" s="3" t="s">
        <v>24</v>
      </c>
      <c r="O168" s="4">
        <v>1</v>
      </c>
      <c r="P168" s="4">
        <v>9</v>
      </c>
      <c r="Q168" s="4">
        <v>1</v>
      </c>
    </row>
    <row r="169" spans="1:17" x14ac:dyDescent="0.25">
      <c r="A169" s="3" t="s">
        <v>18</v>
      </c>
      <c r="B169" s="3">
        <v>10575271</v>
      </c>
      <c r="C169" s="3" t="s">
        <v>199</v>
      </c>
      <c r="D169" s="3" t="s">
        <v>20</v>
      </c>
      <c r="E169" s="3" t="s">
        <v>21</v>
      </c>
      <c r="F169" s="3" t="s">
        <v>21</v>
      </c>
      <c r="G169" s="3" t="s">
        <v>30</v>
      </c>
      <c r="H169" s="3" t="s">
        <v>31</v>
      </c>
      <c r="I169" s="3" t="s">
        <v>24</v>
      </c>
      <c r="J169" s="3" t="s">
        <v>24</v>
      </c>
      <c r="K169" s="3" t="s">
        <v>25</v>
      </c>
      <c r="L169" s="4">
        <v>0</v>
      </c>
      <c r="M169" s="3" t="s">
        <v>26</v>
      </c>
      <c r="N169" s="3" t="s">
        <v>24</v>
      </c>
      <c r="O169" s="4">
        <v>1</v>
      </c>
      <c r="P169" s="4">
        <v>8</v>
      </c>
      <c r="Q169" s="4">
        <v>1</v>
      </c>
    </row>
    <row r="170" spans="1:17" x14ac:dyDescent="0.25">
      <c r="A170" s="3" t="s">
        <v>18</v>
      </c>
      <c r="B170" s="3">
        <v>10575272</v>
      </c>
      <c r="C170" s="3" t="s">
        <v>200</v>
      </c>
      <c r="D170" s="3" t="s">
        <v>20</v>
      </c>
      <c r="E170" s="3" t="s">
        <v>21</v>
      </c>
      <c r="F170" s="3" t="s">
        <v>21</v>
      </c>
      <c r="G170" s="3" t="s">
        <v>30</v>
      </c>
      <c r="H170" s="3" t="s">
        <v>31</v>
      </c>
      <c r="I170" s="3" t="s">
        <v>24</v>
      </c>
      <c r="J170" s="3" t="s">
        <v>24</v>
      </c>
      <c r="K170" s="3" t="s">
        <v>25</v>
      </c>
      <c r="L170" s="4">
        <v>0</v>
      </c>
      <c r="M170" s="3" t="s">
        <v>26</v>
      </c>
      <c r="N170" s="3" t="s">
        <v>24</v>
      </c>
      <c r="O170" s="4">
        <v>1</v>
      </c>
      <c r="P170" s="4">
        <v>8</v>
      </c>
      <c r="Q170" s="4">
        <v>1</v>
      </c>
    </row>
    <row r="171" spans="1:17" x14ac:dyDescent="0.25">
      <c r="A171" s="3" t="s">
        <v>18</v>
      </c>
      <c r="B171" s="3">
        <v>10575273</v>
      </c>
      <c r="C171" s="3" t="s">
        <v>201</v>
      </c>
      <c r="D171" s="3" t="s">
        <v>20</v>
      </c>
      <c r="E171" s="3" t="s">
        <v>21</v>
      </c>
      <c r="F171" s="3" t="s">
        <v>21</v>
      </c>
      <c r="G171" s="3" t="s">
        <v>42</v>
      </c>
      <c r="H171" s="3" t="s">
        <v>43</v>
      </c>
      <c r="I171" s="3" t="s">
        <v>24</v>
      </c>
      <c r="J171" s="3" t="s">
        <v>24</v>
      </c>
      <c r="K171" s="3" t="s">
        <v>25</v>
      </c>
      <c r="L171" s="4">
        <v>0</v>
      </c>
      <c r="M171" s="3" t="s">
        <v>26</v>
      </c>
      <c r="N171" s="3" t="s">
        <v>24</v>
      </c>
      <c r="O171" s="4">
        <v>1</v>
      </c>
      <c r="P171" s="4">
        <v>8</v>
      </c>
      <c r="Q171" s="4">
        <v>1</v>
      </c>
    </row>
    <row r="172" spans="1:17" x14ac:dyDescent="0.25">
      <c r="A172" s="3" t="s">
        <v>18</v>
      </c>
      <c r="B172" s="3">
        <v>10575274</v>
      </c>
      <c r="C172" s="3" t="s">
        <v>202</v>
      </c>
      <c r="D172" s="3" t="s">
        <v>20</v>
      </c>
      <c r="E172" s="3" t="s">
        <v>21</v>
      </c>
      <c r="F172" s="3" t="s">
        <v>21</v>
      </c>
      <c r="G172" s="3" t="s">
        <v>42</v>
      </c>
      <c r="H172" s="3" t="s">
        <v>43</v>
      </c>
      <c r="I172" s="3" t="s">
        <v>24</v>
      </c>
      <c r="J172" s="3" t="s">
        <v>24</v>
      </c>
      <c r="K172" s="3" t="s">
        <v>25</v>
      </c>
      <c r="L172" s="4">
        <v>0</v>
      </c>
      <c r="M172" s="3" t="s">
        <v>26</v>
      </c>
      <c r="N172" s="3" t="s">
        <v>24</v>
      </c>
      <c r="O172" s="4">
        <v>1</v>
      </c>
      <c r="P172" s="4">
        <v>8</v>
      </c>
      <c r="Q172" s="4">
        <v>1</v>
      </c>
    </row>
    <row r="173" spans="1:17" x14ac:dyDescent="0.25">
      <c r="A173" s="3" t="s">
        <v>18</v>
      </c>
      <c r="B173" s="3">
        <v>10575275</v>
      </c>
      <c r="C173" s="3" t="s">
        <v>203</v>
      </c>
      <c r="D173" s="3" t="s">
        <v>20</v>
      </c>
      <c r="E173" s="3" t="s">
        <v>21</v>
      </c>
      <c r="F173" s="3" t="s">
        <v>21</v>
      </c>
      <c r="G173" s="3" t="s">
        <v>42</v>
      </c>
      <c r="H173" s="3" t="s">
        <v>43</v>
      </c>
      <c r="I173" s="3" t="s">
        <v>24</v>
      </c>
      <c r="J173" s="3" t="s">
        <v>24</v>
      </c>
      <c r="K173" s="3" t="s">
        <v>25</v>
      </c>
      <c r="L173" s="4">
        <v>0</v>
      </c>
      <c r="M173" s="3" t="s">
        <v>26</v>
      </c>
      <c r="N173" s="3" t="s">
        <v>24</v>
      </c>
      <c r="O173" s="4">
        <v>1</v>
      </c>
      <c r="P173" s="4">
        <v>8</v>
      </c>
      <c r="Q173" s="4">
        <v>1</v>
      </c>
    </row>
    <row r="174" spans="1:17" x14ac:dyDescent="0.25">
      <c r="A174" s="3" t="s">
        <v>18</v>
      </c>
      <c r="B174" s="3">
        <v>10575276</v>
      </c>
      <c r="C174" s="3" t="s">
        <v>204</v>
      </c>
      <c r="D174" s="3" t="s">
        <v>20</v>
      </c>
      <c r="E174" s="3" t="s">
        <v>21</v>
      </c>
      <c r="F174" s="3" t="s">
        <v>21</v>
      </c>
      <c r="G174" s="3" t="s">
        <v>22</v>
      </c>
      <c r="H174" s="3" t="s">
        <v>23</v>
      </c>
      <c r="I174" s="3" t="s">
        <v>24</v>
      </c>
      <c r="J174" s="3" t="s">
        <v>24</v>
      </c>
      <c r="K174" s="3" t="s">
        <v>25</v>
      </c>
      <c r="L174" s="4">
        <v>0</v>
      </c>
      <c r="M174" s="3" t="s">
        <v>26</v>
      </c>
      <c r="N174" s="3" t="s">
        <v>24</v>
      </c>
      <c r="O174" s="4">
        <v>1</v>
      </c>
      <c r="P174" s="4">
        <v>4</v>
      </c>
      <c r="Q174" s="4">
        <v>1</v>
      </c>
    </row>
    <row r="175" spans="1:17" x14ac:dyDescent="0.25">
      <c r="A175" s="3" t="s">
        <v>18</v>
      </c>
      <c r="B175" s="3">
        <v>10575277</v>
      </c>
      <c r="C175" s="3" t="s">
        <v>205</v>
      </c>
      <c r="D175" s="3" t="s">
        <v>20</v>
      </c>
      <c r="E175" s="3" t="s">
        <v>21</v>
      </c>
      <c r="F175" s="3" t="s">
        <v>21</v>
      </c>
      <c r="G175" s="3" t="s">
        <v>22</v>
      </c>
      <c r="H175" s="3" t="s">
        <v>23</v>
      </c>
      <c r="I175" s="3" t="s">
        <v>24</v>
      </c>
      <c r="J175" s="3" t="s">
        <v>24</v>
      </c>
      <c r="K175" s="3" t="s">
        <v>25</v>
      </c>
      <c r="L175" s="4">
        <v>0</v>
      </c>
      <c r="M175" s="3" t="s">
        <v>26</v>
      </c>
      <c r="N175" s="3" t="s">
        <v>24</v>
      </c>
      <c r="O175" s="4">
        <v>1</v>
      </c>
      <c r="P175" s="4">
        <v>4</v>
      </c>
      <c r="Q175" s="4">
        <v>1</v>
      </c>
    </row>
    <row r="176" spans="1:17" x14ac:dyDescent="0.25">
      <c r="A176" s="3" t="s">
        <v>18</v>
      </c>
      <c r="B176" s="3">
        <v>10575278</v>
      </c>
      <c r="C176" s="3" t="s">
        <v>206</v>
      </c>
      <c r="D176" s="3" t="s">
        <v>20</v>
      </c>
      <c r="E176" s="3" t="s">
        <v>21</v>
      </c>
      <c r="F176" s="3" t="s">
        <v>21</v>
      </c>
      <c r="G176" s="3" t="s">
        <v>22</v>
      </c>
      <c r="H176" s="3" t="s">
        <v>23</v>
      </c>
      <c r="I176" s="3" t="s">
        <v>24</v>
      </c>
      <c r="J176" s="3" t="s">
        <v>24</v>
      </c>
      <c r="K176" s="3" t="s">
        <v>25</v>
      </c>
      <c r="L176" s="4">
        <v>0</v>
      </c>
      <c r="M176" s="3" t="s">
        <v>26</v>
      </c>
      <c r="N176" s="3" t="s">
        <v>24</v>
      </c>
      <c r="O176" s="4">
        <v>1</v>
      </c>
      <c r="P176" s="4">
        <v>4</v>
      </c>
      <c r="Q176" s="4">
        <v>1</v>
      </c>
    </row>
    <row r="177" spans="1:17" x14ac:dyDescent="0.25">
      <c r="A177" s="3" t="s">
        <v>18</v>
      </c>
      <c r="B177" s="3">
        <v>10575279</v>
      </c>
      <c r="C177" s="3" t="s">
        <v>207</v>
      </c>
      <c r="D177" s="3" t="s">
        <v>20</v>
      </c>
      <c r="E177" s="3" t="s">
        <v>21</v>
      </c>
      <c r="F177" s="3" t="s">
        <v>21</v>
      </c>
      <c r="G177" s="3" t="s">
        <v>36</v>
      </c>
      <c r="H177" s="3" t="s">
        <v>37</v>
      </c>
      <c r="I177" s="3" t="s">
        <v>24</v>
      </c>
      <c r="J177" s="3" t="s">
        <v>24</v>
      </c>
      <c r="K177" s="3" t="s">
        <v>25</v>
      </c>
      <c r="L177" s="4">
        <v>0</v>
      </c>
      <c r="M177" s="3" t="s">
        <v>26</v>
      </c>
      <c r="N177" s="3" t="s">
        <v>24</v>
      </c>
      <c r="O177" s="4">
        <v>1</v>
      </c>
      <c r="P177" s="4">
        <v>10</v>
      </c>
      <c r="Q177" s="4">
        <v>1</v>
      </c>
    </row>
    <row r="178" spans="1:17" x14ac:dyDescent="0.25">
      <c r="A178" s="3" t="s">
        <v>18</v>
      </c>
      <c r="B178" s="3">
        <v>10575280</v>
      </c>
      <c r="C178" s="3" t="s">
        <v>208</v>
      </c>
      <c r="D178" s="3" t="s">
        <v>20</v>
      </c>
      <c r="E178" s="3" t="s">
        <v>21</v>
      </c>
      <c r="F178" s="3" t="s">
        <v>21</v>
      </c>
      <c r="G178" s="3" t="s">
        <v>36</v>
      </c>
      <c r="H178" s="3" t="s">
        <v>37</v>
      </c>
      <c r="I178" s="3" t="s">
        <v>24</v>
      </c>
      <c r="J178" s="3" t="s">
        <v>24</v>
      </c>
      <c r="K178" s="3" t="s">
        <v>25</v>
      </c>
      <c r="L178" s="4">
        <v>0</v>
      </c>
      <c r="M178" s="3" t="s">
        <v>26</v>
      </c>
      <c r="N178" s="3" t="s">
        <v>24</v>
      </c>
      <c r="O178" s="4">
        <v>1</v>
      </c>
      <c r="P178" s="4">
        <v>10</v>
      </c>
      <c r="Q178" s="4">
        <v>1</v>
      </c>
    </row>
    <row r="179" spans="1:17" x14ac:dyDescent="0.25">
      <c r="A179" s="3" t="s">
        <v>18</v>
      </c>
      <c r="B179" s="3">
        <v>10586808</v>
      </c>
      <c r="C179" s="3" t="s">
        <v>209</v>
      </c>
      <c r="D179" s="3" t="s">
        <v>20</v>
      </c>
      <c r="E179" s="3" t="s">
        <v>21</v>
      </c>
      <c r="F179" s="3" t="s">
        <v>21</v>
      </c>
      <c r="G179" s="3" t="s">
        <v>30</v>
      </c>
      <c r="H179" s="3" t="s">
        <v>31</v>
      </c>
      <c r="I179" s="3" t="s">
        <v>24</v>
      </c>
      <c r="J179" s="3" t="s">
        <v>24</v>
      </c>
      <c r="K179" s="3" t="s">
        <v>25</v>
      </c>
      <c r="L179" s="4">
        <v>0</v>
      </c>
      <c r="M179" s="3" t="s">
        <v>26</v>
      </c>
      <c r="N179" s="3" t="s">
        <v>24</v>
      </c>
      <c r="O179" s="4">
        <v>1</v>
      </c>
      <c r="P179" s="4">
        <v>9</v>
      </c>
      <c r="Q179" s="4">
        <v>1</v>
      </c>
    </row>
    <row r="180" spans="1:17" x14ac:dyDescent="0.25">
      <c r="A180" s="3" t="s">
        <v>18</v>
      </c>
      <c r="B180" s="3">
        <v>10587076</v>
      </c>
      <c r="C180" s="3" t="s">
        <v>210</v>
      </c>
      <c r="D180" s="3" t="s">
        <v>20</v>
      </c>
      <c r="E180" s="3" t="s">
        <v>21</v>
      </c>
      <c r="F180" s="3" t="s">
        <v>21</v>
      </c>
      <c r="G180" s="3" t="s">
        <v>42</v>
      </c>
      <c r="H180" s="3" t="s">
        <v>43</v>
      </c>
      <c r="I180" s="3" t="s">
        <v>24</v>
      </c>
      <c r="J180" s="3" t="s">
        <v>24</v>
      </c>
      <c r="K180" s="3" t="s">
        <v>25</v>
      </c>
      <c r="L180" s="4">
        <v>0</v>
      </c>
      <c r="M180" s="3" t="s">
        <v>26</v>
      </c>
      <c r="N180" s="3" t="s">
        <v>24</v>
      </c>
      <c r="O180" s="4">
        <v>1</v>
      </c>
      <c r="P180" s="4">
        <v>8</v>
      </c>
      <c r="Q180" s="4">
        <v>1</v>
      </c>
    </row>
    <row r="181" spans="1:17" x14ac:dyDescent="0.25">
      <c r="A181" s="3" t="s">
        <v>18</v>
      </c>
      <c r="B181" s="3">
        <v>10587077</v>
      </c>
      <c r="C181" s="3" t="s">
        <v>211</v>
      </c>
      <c r="D181" s="3" t="s">
        <v>20</v>
      </c>
      <c r="E181" s="3" t="s">
        <v>21</v>
      </c>
      <c r="F181" s="3" t="s">
        <v>21</v>
      </c>
      <c r="G181" s="3" t="s">
        <v>42</v>
      </c>
      <c r="H181" s="3" t="s">
        <v>43</v>
      </c>
      <c r="I181" s="3" t="s">
        <v>24</v>
      </c>
      <c r="J181" s="3" t="s">
        <v>24</v>
      </c>
      <c r="K181" s="3" t="s">
        <v>25</v>
      </c>
      <c r="L181" s="4">
        <v>0</v>
      </c>
      <c r="M181" s="3" t="s">
        <v>26</v>
      </c>
      <c r="N181" s="3" t="s">
        <v>24</v>
      </c>
      <c r="O181" s="4">
        <v>1</v>
      </c>
      <c r="P181" s="4">
        <v>8</v>
      </c>
      <c r="Q181" s="4">
        <v>1</v>
      </c>
    </row>
    <row r="182" spans="1:17" x14ac:dyDescent="0.25">
      <c r="A182" s="3" t="s">
        <v>18</v>
      </c>
      <c r="B182" s="3">
        <v>10587078</v>
      </c>
      <c r="C182" s="3" t="s">
        <v>212</v>
      </c>
      <c r="D182" s="3" t="s">
        <v>20</v>
      </c>
      <c r="E182" s="3" t="s">
        <v>21</v>
      </c>
      <c r="F182" s="3" t="s">
        <v>21</v>
      </c>
      <c r="G182" s="3" t="s">
        <v>42</v>
      </c>
      <c r="H182" s="3" t="s">
        <v>43</v>
      </c>
      <c r="I182" s="3" t="s">
        <v>24</v>
      </c>
      <c r="J182" s="3" t="s">
        <v>24</v>
      </c>
      <c r="K182" s="3" t="s">
        <v>25</v>
      </c>
      <c r="L182" s="4">
        <v>0</v>
      </c>
      <c r="M182" s="3" t="s">
        <v>26</v>
      </c>
      <c r="N182" s="3" t="s">
        <v>24</v>
      </c>
      <c r="O182" s="4">
        <v>1</v>
      </c>
      <c r="P182" s="4">
        <v>8</v>
      </c>
      <c r="Q182" s="4">
        <v>1</v>
      </c>
    </row>
    <row r="183" spans="1:17" x14ac:dyDescent="0.25">
      <c r="A183" s="3" t="s">
        <v>18</v>
      </c>
      <c r="B183" s="3">
        <v>10587101</v>
      </c>
      <c r="C183" s="3" t="s">
        <v>213</v>
      </c>
      <c r="D183" s="3" t="s">
        <v>20</v>
      </c>
      <c r="E183" s="3" t="s">
        <v>21</v>
      </c>
      <c r="F183" s="3" t="s">
        <v>21</v>
      </c>
      <c r="G183" s="3" t="s">
        <v>30</v>
      </c>
      <c r="H183" s="3" t="s">
        <v>31</v>
      </c>
      <c r="I183" s="3" t="s">
        <v>24</v>
      </c>
      <c r="J183" s="3" t="s">
        <v>24</v>
      </c>
      <c r="K183" s="3" t="s">
        <v>25</v>
      </c>
      <c r="L183" s="4">
        <v>0</v>
      </c>
      <c r="M183" s="3" t="s">
        <v>26</v>
      </c>
      <c r="N183" s="3" t="s">
        <v>24</v>
      </c>
      <c r="O183" s="4">
        <v>1</v>
      </c>
      <c r="P183" s="4">
        <v>8</v>
      </c>
      <c r="Q183" s="4">
        <v>1</v>
      </c>
    </row>
    <row r="184" spans="1:17" x14ac:dyDescent="0.25">
      <c r="A184" s="3" t="s">
        <v>18</v>
      </c>
      <c r="B184" s="3">
        <v>10587102</v>
      </c>
      <c r="C184" s="3" t="s">
        <v>214</v>
      </c>
      <c r="D184" s="3" t="s">
        <v>20</v>
      </c>
      <c r="E184" s="3" t="s">
        <v>21</v>
      </c>
      <c r="F184" s="3" t="s">
        <v>21</v>
      </c>
      <c r="G184" s="3" t="s">
        <v>30</v>
      </c>
      <c r="H184" s="3" t="s">
        <v>31</v>
      </c>
      <c r="I184" s="3" t="s">
        <v>24</v>
      </c>
      <c r="J184" s="3" t="s">
        <v>24</v>
      </c>
      <c r="K184" s="3" t="s">
        <v>25</v>
      </c>
      <c r="L184" s="4">
        <v>0</v>
      </c>
      <c r="M184" s="3" t="s">
        <v>26</v>
      </c>
      <c r="N184" s="3" t="s">
        <v>24</v>
      </c>
      <c r="O184" s="4">
        <v>1</v>
      </c>
      <c r="P184" s="4">
        <v>9</v>
      </c>
      <c r="Q184" s="4">
        <v>1</v>
      </c>
    </row>
    <row r="185" spans="1:17" x14ac:dyDescent="0.25">
      <c r="A185" s="3" t="s">
        <v>18</v>
      </c>
      <c r="B185" s="3">
        <v>10587103</v>
      </c>
      <c r="C185" s="3" t="s">
        <v>215</v>
      </c>
      <c r="D185" s="3" t="s">
        <v>20</v>
      </c>
      <c r="E185" s="3" t="s">
        <v>21</v>
      </c>
      <c r="F185" s="3" t="s">
        <v>21</v>
      </c>
      <c r="G185" s="3" t="s">
        <v>30</v>
      </c>
      <c r="H185" s="3" t="s">
        <v>31</v>
      </c>
      <c r="I185" s="3" t="s">
        <v>24</v>
      </c>
      <c r="J185" s="3" t="s">
        <v>24</v>
      </c>
      <c r="K185" s="3" t="s">
        <v>25</v>
      </c>
      <c r="L185" s="4">
        <v>0</v>
      </c>
      <c r="M185" s="3" t="s">
        <v>26</v>
      </c>
      <c r="N185" s="3" t="s">
        <v>24</v>
      </c>
      <c r="O185" s="4">
        <v>1</v>
      </c>
      <c r="P185" s="4">
        <v>9</v>
      </c>
      <c r="Q185" s="4">
        <v>1</v>
      </c>
    </row>
    <row r="186" spans="1:17" x14ac:dyDescent="0.25">
      <c r="A186" s="3" t="s">
        <v>18</v>
      </c>
      <c r="B186" s="3">
        <v>10587384</v>
      </c>
      <c r="C186" s="3" t="s">
        <v>216</v>
      </c>
      <c r="D186" s="3" t="s">
        <v>20</v>
      </c>
      <c r="E186" s="3" t="s">
        <v>21</v>
      </c>
      <c r="F186" s="3" t="s">
        <v>21</v>
      </c>
      <c r="G186" s="3" t="s">
        <v>30</v>
      </c>
      <c r="H186" s="3" t="s">
        <v>31</v>
      </c>
      <c r="I186" s="3" t="s">
        <v>24</v>
      </c>
      <c r="J186" s="3" t="s">
        <v>24</v>
      </c>
      <c r="K186" s="3" t="s">
        <v>25</v>
      </c>
      <c r="L186" s="4">
        <v>0</v>
      </c>
      <c r="M186" s="3" t="s">
        <v>26</v>
      </c>
      <c r="N186" s="3" t="s">
        <v>24</v>
      </c>
      <c r="O186" s="4">
        <v>1</v>
      </c>
      <c r="P186" s="4">
        <v>8</v>
      </c>
      <c r="Q186" s="4">
        <v>1</v>
      </c>
    </row>
    <row r="187" spans="1:17" x14ac:dyDescent="0.25">
      <c r="A187" s="3" t="s">
        <v>18</v>
      </c>
      <c r="B187" s="3">
        <v>10587385</v>
      </c>
      <c r="C187" s="3" t="s">
        <v>217</v>
      </c>
      <c r="D187" s="3" t="s">
        <v>20</v>
      </c>
      <c r="E187" s="3" t="s">
        <v>21</v>
      </c>
      <c r="F187" s="3" t="s">
        <v>21</v>
      </c>
      <c r="G187" s="3" t="s">
        <v>30</v>
      </c>
      <c r="H187" s="3" t="s">
        <v>31</v>
      </c>
      <c r="I187" s="3" t="s">
        <v>24</v>
      </c>
      <c r="J187" s="3" t="s">
        <v>24</v>
      </c>
      <c r="K187" s="3" t="s">
        <v>25</v>
      </c>
      <c r="L187" s="4">
        <v>0</v>
      </c>
      <c r="M187" s="3" t="s">
        <v>26</v>
      </c>
      <c r="N187" s="3" t="s">
        <v>24</v>
      </c>
      <c r="O187" s="4">
        <v>1</v>
      </c>
      <c r="P187" s="4">
        <v>8</v>
      </c>
      <c r="Q187" s="4">
        <v>1</v>
      </c>
    </row>
    <row r="188" spans="1:17" x14ac:dyDescent="0.25">
      <c r="A188" s="3" t="s">
        <v>18</v>
      </c>
      <c r="B188" s="3">
        <v>10587386</v>
      </c>
      <c r="C188" s="3" t="s">
        <v>218</v>
      </c>
      <c r="D188" s="3" t="s">
        <v>20</v>
      </c>
      <c r="E188" s="3" t="s">
        <v>21</v>
      </c>
      <c r="F188" s="3" t="s">
        <v>21</v>
      </c>
      <c r="G188" s="3" t="s">
        <v>30</v>
      </c>
      <c r="H188" s="3" t="s">
        <v>31</v>
      </c>
      <c r="I188" s="3" t="s">
        <v>24</v>
      </c>
      <c r="J188" s="3" t="s">
        <v>24</v>
      </c>
      <c r="K188" s="3" t="s">
        <v>25</v>
      </c>
      <c r="L188" s="4">
        <v>0</v>
      </c>
      <c r="M188" s="3" t="s">
        <v>26</v>
      </c>
      <c r="N188" s="3" t="s">
        <v>24</v>
      </c>
      <c r="O188" s="4">
        <v>1</v>
      </c>
      <c r="P188" s="4">
        <v>8</v>
      </c>
      <c r="Q188" s="4">
        <v>1</v>
      </c>
    </row>
    <row r="189" spans="1:17" x14ac:dyDescent="0.25">
      <c r="A189" s="3" t="s">
        <v>18</v>
      </c>
      <c r="B189" s="3">
        <v>10587388</v>
      </c>
      <c r="C189" s="3" t="s">
        <v>219</v>
      </c>
      <c r="D189" s="3" t="s">
        <v>20</v>
      </c>
      <c r="E189" s="3" t="s">
        <v>21</v>
      </c>
      <c r="F189" s="3" t="s">
        <v>21</v>
      </c>
      <c r="G189" s="3" t="s">
        <v>30</v>
      </c>
      <c r="H189" s="3" t="s">
        <v>31</v>
      </c>
      <c r="I189" s="3" t="s">
        <v>24</v>
      </c>
      <c r="J189" s="3" t="s">
        <v>24</v>
      </c>
      <c r="K189" s="3" t="s">
        <v>25</v>
      </c>
      <c r="L189" s="4">
        <v>0</v>
      </c>
      <c r="M189" s="3" t="s">
        <v>26</v>
      </c>
      <c r="N189" s="3" t="s">
        <v>24</v>
      </c>
      <c r="O189" s="4">
        <v>1</v>
      </c>
      <c r="P189" s="4">
        <v>9</v>
      </c>
      <c r="Q189" s="4">
        <v>1</v>
      </c>
    </row>
    <row r="190" spans="1:17" x14ac:dyDescent="0.25">
      <c r="A190" s="3" t="s">
        <v>18</v>
      </c>
      <c r="B190" s="3">
        <v>10587389</v>
      </c>
      <c r="C190" s="3" t="s">
        <v>220</v>
      </c>
      <c r="D190" s="3" t="s">
        <v>20</v>
      </c>
      <c r="E190" s="3" t="s">
        <v>21</v>
      </c>
      <c r="F190" s="3" t="s">
        <v>21</v>
      </c>
      <c r="G190" s="3" t="s">
        <v>30</v>
      </c>
      <c r="H190" s="3" t="s">
        <v>31</v>
      </c>
      <c r="I190" s="3" t="s">
        <v>24</v>
      </c>
      <c r="J190" s="3" t="s">
        <v>24</v>
      </c>
      <c r="K190" s="3" t="s">
        <v>25</v>
      </c>
      <c r="L190" s="4">
        <v>0</v>
      </c>
      <c r="M190" s="3" t="s">
        <v>26</v>
      </c>
      <c r="N190" s="3" t="s">
        <v>24</v>
      </c>
      <c r="O190" s="4">
        <v>1</v>
      </c>
      <c r="P190" s="4">
        <v>9</v>
      </c>
      <c r="Q190" s="4">
        <v>1</v>
      </c>
    </row>
    <row r="191" spans="1:17" x14ac:dyDescent="0.25">
      <c r="A191" s="3" t="s">
        <v>18</v>
      </c>
      <c r="B191" s="3">
        <v>10587390</v>
      </c>
      <c r="C191" s="3" t="s">
        <v>221</v>
      </c>
      <c r="D191" s="3" t="s">
        <v>20</v>
      </c>
      <c r="E191" s="3" t="s">
        <v>21</v>
      </c>
      <c r="F191" s="3" t="s">
        <v>21</v>
      </c>
      <c r="G191" s="3" t="s">
        <v>30</v>
      </c>
      <c r="H191" s="3" t="s">
        <v>31</v>
      </c>
      <c r="I191" s="3" t="s">
        <v>24</v>
      </c>
      <c r="J191" s="3" t="s">
        <v>24</v>
      </c>
      <c r="K191" s="3" t="s">
        <v>25</v>
      </c>
      <c r="L191" s="4">
        <v>0</v>
      </c>
      <c r="M191" s="3" t="s">
        <v>26</v>
      </c>
      <c r="N191" s="3" t="s">
        <v>24</v>
      </c>
      <c r="O191" s="4">
        <v>1</v>
      </c>
      <c r="P191" s="4">
        <v>9</v>
      </c>
      <c r="Q191" s="4">
        <v>1</v>
      </c>
    </row>
    <row r="192" spans="1:17" x14ac:dyDescent="0.25">
      <c r="A192" s="3" t="s">
        <v>18</v>
      </c>
      <c r="B192" s="3">
        <v>10587391</v>
      </c>
      <c r="C192" s="3" t="s">
        <v>222</v>
      </c>
      <c r="D192" s="3" t="s">
        <v>20</v>
      </c>
      <c r="E192" s="3" t="s">
        <v>21</v>
      </c>
      <c r="F192" s="3" t="s">
        <v>21</v>
      </c>
      <c r="G192" s="3" t="s">
        <v>30</v>
      </c>
      <c r="H192" s="3" t="s">
        <v>31</v>
      </c>
      <c r="I192" s="3" t="s">
        <v>24</v>
      </c>
      <c r="J192" s="3" t="s">
        <v>24</v>
      </c>
      <c r="K192" s="3" t="s">
        <v>25</v>
      </c>
      <c r="L192" s="4">
        <v>0</v>
      </c>
      <c r="M192" s="3" t="s">
        <v>26</v>
      </c>
      <c r="N192" s="3" t="s">
        <v>24</v>
      </c>
      <c r="O192" s="4">
        <v>1</v>
      </c>
      <c r="P192" s="4">
        <v>8</v>
      </c>
      <c r="Q192" s="4">
        <v>1</v>
      </c>
    </row>
    <row r="193" spans="1:17" x14ac:dyDescent="0.25">
      <c r="A193" s="3" t="s">
        <v>18</v>
      </c>
      <c r="B193" s="3">
        <v>10587392</v>
      </c>
      <c r="C193" s="3" t="s">
        <v>223</v>
      </c>
      <c r="D193" s="3" t="s">
        <v>20</v>
      </c>
      <c r="E193" s="3" t="s">
        <v>21</v>
      </c>
      <c r="F193" s="3" t="s">
        <v>21</v>
      </c>
      <c r="G193" s="3" t="s">
        <v>30</v>
      </c>
      <c r="H193" s="3" t="s">
        <v>31</v>
      </c>
      <c r="I193" s="3" t="s">
        <v>24</v>
      </c>
      <c r="J193" s="3" t="s">
        <v>24</v>
      </c>
      <c r="K193" s="3" t="s">
        <v>25</v>
      </c>
      <c r="L193" s="4">
        <v>0</v>
      </c>
      <c r="M193" s="3" t="s">
        <v>26</v>
      </c>
      <c r="N193" s="3" t="s">
        <v>24</v>
      </c>
      <c r="O193" s="4">
        <v>1</v>
      </c>
      <c r="P193" s="4">
        <v>8</v>
      </c>
      <c r="Q193" s="4">
        <v>1</v>
      </c>
    </row>
    <row r="194" spans="1:17" x14ac:dyDescent="0.25">
      <c r="A194" s="3" t="s">
        <v>18</v>
      </c>
      <c r="B194" s="3">
        <v>10587394</v>
      </c>
      <c r="C194" s="3" t="s">
        <v>224</v>
      </c>
      <c r="D194" s="3" t="s">
        <v>20</v>
      </c>
      <c r="E194" s="3" t="s">
        <v>21</v>
      </c>
      <c r="F194" s="3" t="s">
        <v>21</v>
      </c>
      <c r="G194" s="3" t="s">
        <v>42</v>
      </c>
      <c r="H194" s="3" t="s">
        <v>43</v>
      </c>
      <c r="I194" s="3" t="s">
        <v>24</v>
      </c>
      <c r="J194" s="3" t="s">
        <v>24</v>
      </c>
      <c r="K194" s="3" t="s">
        <v>25</v>
      </c>
      <c r="L194" s="4">
        <v>0</v>
      </c>
      <c r="M194" s="3" t="s">
        <v>26</v>
      </c>
      <c r="N194" s="3" t="s">
        <v>24</v>
      </c>
      <c r="O194" s="4">
        <v>1</v>
      </c>
      <c r="P194" s="4">
        <v>8</v>
      </c>
      <c r="Q194" s="4">
        <v>1</v>
      </c>
    </row>
    <row r="195" spans="1:17" x14ac:dyDescent="0.25">
      <c r="A195" s="3" t="s">
        <v>18</v>
      </c>
      <c r="B195" s="3">
        <v>10587395</v>
      </c>
      <c r="C195" s="3" t="s">
        <v>225</v>
      </c>
      <c r="D195" s="3" t="s">
        <v>20</v>
      </c>
      <c r="E195" s="3" t="s">
        <v>21</v>
      </c>
      <c r="F195" s="3" t="s">
        <v>21</v>
      </c>
      <c r="G195" s="3" t="s">
        <v>42</v>
      </c>
      <c r="H195" s="3" t="s">
        <v>43</v>
      </c>
      <c r="I195" s="3" t="s">
        <v>24</v>
      </c>
      <c r="J195" s="3" t="s">
        <v>24</v>
      </c>
      <c r="K195" s="3" t="s">
        <v>25</v>
      </c>
      <c r="L195" s="4">
        <v>0</v>
      </c>
      <c r="M195" s="3" t="s">
        <v>26</v>
      </c>
      <c r="N195" s="3" t="s">
        <v>24</v>
      </c>
      <c r="O195" s="4">
        <v>1</v>
      </c>
      <c r="P195" s="4">
        <v>8</v>
      </c>
      <c r="Q195" s="4">
        <v>1</v>
      </c>
    </row>
    <row r="196" spans="1:17" x14ac:dyDescent="0.25">
      <c r="A196" s="3" t="s">
        <v>18</v>
      </c>
      <c r="B196" s="3">
        <v>10587396</v>
      </c>
      <c r="C196" s="3" t="s">
        <v>226</v>
      </c>
      <c r="D196" s="3" t="s">
        <v>20</v>
      </c>
      <c r="E196" s="3" t="s">
        <v>21</v>
      </c>
      <c r="F196" s="3" t="s">
        <v>21</v>
      </c>
      <c r="G196" s="3" t="s">
        <v>42</v>
      </c>
      <c r="H196" s="3" t="s">
        <v>43</v>
      </c>
      <c r="I196" s="3" t="s">
        <v>24</v>
      </c>
      <c r="J196" s="3" t="s">
        <v>24</v>
      </c>
      <c r="K196" s="3" t="s">
        <v>25</v>
      </c>
      <c r="L196" s="4">
        <v>0</v>
      </c>
      <c r="M196" s="3" t="s">
        <v>26</v>
      </c>
      <c r="N196" s="3" t="s">
        <v>24</v>
      </c>
      <c r="O196" s="4">
        <v>1</v>
      </c>
      <c r="P196" s="4">
        <v>8</v>
      </c>
      <c r="Q196" s="4">
        <v>1</v>
      </c>
    </row>
    <row r="197" spans="1:17" x14ac:dyDescent="0.25">
      <c r="A197" s="3" t="s">
        <v>18</v>
      </c>
      <c r="B197" s="3">
        <v>10587397</v>
      </c>
      <c r="C197" s="3" t="s">
        <v>227</v>
      </c>
      <c r="D197" s="3" t="s">
        <v>20</v>
      </c>
      <c r="E197" s="3" t="s">
        <v>21</v>
      </c>
      <c r="F197" s="3" t="s">
        <v>21</v>
      </c>
      <c r="G197" s="3" t="s">
        <v>22</v>
      </c>
      <c r="H197" s="3" t="s">
        <v>23</v>
      </c>
      <c r="I197" s="3" t="s">
        <v>24</v>
      </c>
      <c r="J197" s="3" t="s">
        <v>24</v>
      </c>
      <c r="K197" s="3" t="s">
        <v>25</v>
      </c>
      <c r="L197" s="4">
        <v>0</v>
      </c>
      <c r="M197" s="3" t="s">
        <v>26</v>
      </c>
      <c r="N197" s="3" t="s">
        <v>24</v>
      </c>
      <c r="O197" s="4">
        <v>1</v>
      </c>
      <c r="P197" s="4">
        <v>4</v>
      </c>
      <c r="Q197" s="4">
        <v>1</v>
      </c>
    </row>
    <row r="198" spans="1:17" x14ac:dyDescent="0.25">
      <c r="A198" s="3" t="s">
        <v>18</v>
      </c>
      <c r="B198" s="3">
        <v>10587682</v>
      </c>
      <c r="C198" s="3" t="s">
        <v>228</v>
      </c>
      <c r="D198" s="3" t="s">
        <v>20</v>
      </c>
      <c r="E198" s="3" t="s">
        <v>21</v>
      </c>
      <c r="F198" s="3" t="s">
        <v>21</v>
      </c>
      <c r="G198" s="3" t="s">
        <v>22</v>
      </c>
      <c r="H198" s="3" t="s">
        <v>23</v>
      </c>
      <c r="I198" s="3" t="s">
        <v>24</v>
      </c>
      <c r="J198" s="3" t="s">
        <v>24</v>
      </c>
      <c r="K198" s="3" t="s">
        <v>25</v>
      </c>
      <c r="L198" s="4">
        <v>0</v>
      </c>
      <c r="M198" s="3" t="s">
        <v>26</v>
      </c>
      <c r="N198" s="3" t="s">
        <v>24</v>
      </c>
      <c r="O198" s="4">
        <v>1</v>
      </c>
      <c r="P198" s="4">
        <v>4</v>
      </c>
      <c r="Q198" s="4">
        <v>1</v>
      </c>
    </row>
    <row r="199" spans="1:17" x14ac:dyDescent="0.25">
      <c r="A199" s="3" t="s">
        <v>18</v>
      </c>
      <c r="B199" s="3">
        <v>10587683</v>
      </c>
      <c r="C199" s="3" t="s">
        <v>229</v>
      </c>
      <c r="D199" s="3" t="s">
        <v>20</v>
      </c>
      <c r="E199" s="3" t="s">
        <v>21</v>
      </c>
      <c r="F199" s="3" t="s">
        <v>21</v>
      </c>
      <c r="G199" s="3" t="s">
        <v>22</v>
      </c>
      <c r="H199" s="3" t="s">
        <v>23</v>
      </c>
      <c r="I199" s="3" t="s">
        <v>24</v>
      </c>
      <c r="J199" s="3" t="s">
        <v>24</v>
      </c>
      <c r="K199" s="3" t="s">
        <v>25</v>
      </c>
      <c r="L199" s="4">
        <v>0</v>
      </c>
      <c r="M199" s="3" t="s">
        <v>26</v>
      </c>
      <c r="N199" s="3" t="s">
        <v>24</v>
      </c>
      <c r="O199" s="4">
        <v>1</v>
      </c>
      <c r="P199" s="4">
        <v>4</v>
      </c>
      <c r="Q199" s="4">
        <v>1</v>
      </c>
    </row>
    <row r="200" spans="1:17" x14ac:dyDescent="0.25">
      <c r="A200" s="3" t="s">
        <v>18</v>
      </c>
      <c r="B200" s="3">
        <v>10587684</v>
      </c>
      <c r="C200" s="3" t="s">
        <v>230</v>
      </c>
      <c r="D200" s="3" t="s">
        <v>20</v>
      </c>
      <c r="E200" s="3" t="s">
        <v>21</v>
      </c>
      <c r="F200" s="3" t="s">
        <v>21</v>
      </c>
      <c r="G200" s="3" t="s">
        <v>36</v>
      </c>
      <c r="H200" s="3" t="s">
        <v>37</v>
      </c>
      <c r="I200" s="3" t="s">
        <v>24</v>
      </c>
      <c r="J200" s="3" t="s">
        <v>24</v>
      </c>
      <c r="K200" s="3" t="s">
        <v>25</v>
      </c>
      <c r="L200" s="4">
        <v>0</v>
      </c>
      <c r="M200" s="3" t="s">
        <v>26</v>
      </c>
      <c r="N200" s="3" t="s">
        <v>24</v>
      </c>
      <c r="O200" s="4">
        <v>1</v>
      </c>
      <c r="P200" s="4">
        <v>10</v>
      </c>
      <c r="Q200" s="4">
        <v>1</v>
      </c>
    </row>
    <row r="201" spans="1:17" x14ac:dyDescent="0.25">
      <c r="A201" s="3" t="s">
        <v>18</v>
      </c>
      <c r="B201" s="3">
        <v>10587685</v>
      </c>
      <c r="C201" s="3" t="s">
        <v>231</v>
      </c>
      <c r="D201" s="3" t="s">
        <v>20</v>
      </c>
      <c r="E201" s="3" t="s">
        <v>21</v>
      </c>
      <c r="F201" s="3" t="s">
        <v>21</v>
      </c>
      <c r="G201" s="3" t="s">
        <v>36</v>
      </c>
      <c r="H201" s="3" t="s">
        <v>37</v>
      </c>
      <c r="I201" s="3" t="s">
        <v>24</v>
      </c>
      <c r="J201" s="3" t="s">
        <v>24</v>
      </c>
      <c r="K201" s="3" t="s">
        <v>25</v>
      </c>
      <c r="L201" s="4">
        <v>0</v>
      </c>
      <c r="M201" s="3" t="s">
        <v>26</v>
      </c>
      <c r="N201" s="3" t="s">
        <v>24</v>
      </c>
      <c r="O201" s="4">
        <v>1</v>
      </c>
      <c r="P201" s="4">
        <v>10</v>
      </c>
      <c r="Q201" s="4">
        <v>1</v>
      </c>
    </row>
    <row r="202" spans="1:17" x14ac:dyDescent="0.25">
      <c r="A202" s="3" t="s">
        <v>18</v>
      </c>
      <c r="B202" s="3">
        <v>10858679</v>
      </c>
      <c r="C202" s="3" t="s">
        <v>232</v>
      </c>
      <c r="D202" s="3" t="s">
        <v>20</v>
      </c>
      <c r="E202" s="3" t="s">
        <v>21</v>
      </c>
      <c r="F202" s="3" t="s">
        <v>21</v>
      </c>
      <c r="G202" s="3" t="s">
        <v>233</v>
      </c>
      <c r="H202" s="3" t="s">
        <v>234</v>
      </c>
      <c r="I202" s="3" t="s">
        <v>24</v>
      </c>
      <c r="J202" s="3" t="s">
        <v>24</v>
      </c>
      <c r="K202" s="3" t="s">
        <v>25</v>
      </c>
      <c r="L202" s="4">
        <v>0</v>
      </c>
      <c r="M202" s="3" t="s">
        <v>26</v>
      </c>
      <c r="N202" s="3" t="s">
        <v>24</v>
      </c>
      <c r="O202" s="4">
        <v>1</v>
      </c>
      <c r="P202" s="4">
        <v>3</v>
      </c>
      <c r="Q202" s="4">
        <v>1</v>
      </c>
    </row>
    <row r="203" spans="1:17" x14ac:dyDescent="0.25">
      <c r="A203" s="3" t="s">
        <v>18</v>
      </c>
      <c r="B203" s="3">
        <v>10858685</v>
      </c>
      <c r="C203" s="3" t="s">
        <v>235</v>
      </c>
      <c r="D203" s="3" t="s">
        <v>20</v>
      </c>
      <c r="E203" s="3" t="s">
        <v>21</v>
      </c>
      <c r="F203" s="3" t="s">
        <v>21</v>
      </c>
      <c r="G203" s="3" t="s">
        <v>233</v>
      </c>
      <c r="H203" s="3" t="s">
        <v>234</v>
      </c>
      <c r="I203" s="3" t="s">
        <v>24</v>
      </c>
      <c r="J203" s="3" t="s">
        <v>24</v>
      </c>
      <c r="K203" s="3" t="s">
        <v>25</v>
      </c>
      <c r="L203" s="4">
        <v>0</v>
      </c>
      <c r="M203" s="3" t="s">
        <v>26</v>
      </c>
      <c r="N203" s="3" t="s">
        <v>24</v>
      </c>
      <c r="O203" s="4">
        <v>1</v>
      </c>
      <c r="P203" s="4">
        <v>3</v>
      </c>
      <c r="Q203" s="4">
        <v>1</v>
      </c>
    </row>
    <row r="204" spans="1:17" x14ac:dyDescent="0.25">
      <c r="A204" s="3" t="s">
        <v>18</v>
      </c>
      <c r="B204" s="3">
        <v>10858699</v>
      </c>
      <c r="C204" s="3" t="s">
        <v>236</v>
      </c>
      <c r="D204" s="3" t="s">
        <v>20</v>
      </c>
      <c r="E204" s="3" t="s">
        <v>21</v>
      </c>
      <c r="F204" s="3" t="s">
        <v>21</v>
      </c>
      <c r="G204" s="3" t="s">
        <v>233</v>
      </c>
      <c r="H204" s="3" t="s">
        <v>234</v>
      </c>
      <c r="I204" s="3" t="s">
        <v>24</v>
      </c>
      <c r="J204" s="3" t="s">
        <v>24</v>
      </c>
      <c r="K204" s="3" t="s">
        <v>25</v>
      </c>
      <c r="L204" s="4">
        <v>0</v>
      </c>
      <c r="M204" s="3" t="s">
        <v>26</v>
      </c>
      <c r="N204" s="3" t="s">
        <v>24</v>
      </c>
      <c r="O204" s="4">
        <v>1</v>
      </c>
      <c r="P204" s="4">
        <v>3</v>
      </c>
      <c r="Q204" s="4">
        <v>1</v>
      </c>
    </row>
    <row r="205" spans="1:17" x14ac:dyDescent="0.25">
      <c r="A205" s="3" t="s">
        <v>18</v>
      </c>
      <c r="B205" s="3">
        <v>10858714</v>
      </c>
      <c r="C205" s="3" t="s">
        <v>237</v>
      </c>
      <c r="D205" s="3" t="s">
        <v>20</v>
      </c>
      <c r="E205" s="3" t="s">
        <v>21</v>
      </c>
      <c r="F205" s="3" t="s">
        <v>21</v>
      </c>
      <c r="G205" s="3" t="s">
        <v>233</v>
      </c>
      <c r="H205" s="3" t="s">
        <v>234</v>
      </c>
      <c r="I205" s="3" t="s">
        <v>24</v>
      </c>
      <c r="J205" s="3" t="s">
        <v>24</v>
      </c>
      <c r="K205" s="3" t="s">
        <v>25</v>
      </c>
      <c r="L205" s="4">
        <v>0</v>
      </c>
      <c r="M205" s="3" t="s">
        <v>26</v>
      </c>
      <c r="N205" s="3" t="s">
        <v>24</v>
      </c>
      <c r="O205" s="4">
        <v>1</v>
      </c>
      <c r="P205" s="4">
        <v>3</v>
      </c>
      <c r="Q205" s="4">
        <v>1</v>
      </c>
    </row>
    <row r="206" spans="1:17" x14ac:dyDescent="0.25">
      <c r="A206" s="3" t="s">
        <v>18</v>
      </c>
      <c r="B206" s="3">
        <v>10858751</v>
      </c>
      <c r="C206" s="3" t="s">
        <v>238</v>
      </c>
      <c r="D206" s="3" t="s">
        <v>20</v>
      </c>
      <c r="E206" s="3" t="s">
        <v>21</v>
      </c>
      <c r="F206" s="3" t="s">
        <v>21</v>
      </c>
      <c r="G206" s="3" t="s">
        <v>233</v>
      </c>
      <c r="H206" s="3" t="s">
        <v>234</v>
      </c>
      <c r="I206" s="3" t="s">
        <v>24</v>
      </c>
      <c r="J206" s="3" t="s">
        <v>24</v>
      </c>
      <c r="K206" s="3" t="s">
        <v>25</v>
      </c>
      <c r="L206" s="4">
        <v>0</v>
      </c>
      <c r="M206" s="3" t="s">
        <v>26</v>
      </c>
      <c r="N206" s="3" t="s">
        <v>24</v>
      </c>
      <c r="O206" s="4">
        <v>1</v>
      </c>
      <c r="P206" s="4">
        <v>3</v>
      </c>
      <c r="Q206" s="4">
        <v>1</v>
      </c>
    </row>
    <row r="207" spans="1:17" x14ac:dyDescent="0.25">
      <c r="A207" s="3" t="s">
        <v>18</v>
      </c>
      <c r="B207" s="3">
        <v>10858752</v>
      </c>
      <c r="C207" s="3" t="s">
        <v>239</v>
      </c>
      <c r="D207" s="3" t="s">
        <v>20</v>
      </c>
      <c r="E207" s="3" t="s">
        <v>21</v>
      </c>
      <c r="F207" s="3" t="s">
        <v>21</v>
      </c>
      <c r="G207" s="3" t="s">
        <v>233</v>
      </c>
      <c r="H207" s="3" t="s">
        <v>234</v>
      </c>
      <c r="I207" s="3" t="s">
        <v>24</v>
      </c>
      <c r="J207" s="3" t="s">
        <v>24</v>
      </c>
      <c r="K207" s="3" t="s">
        <v>25</v>
      </c>
      <c r="L207" s="4">
        <v>0</v>
      </c>
      <c r="M207" s="3" t="s">
        <v>26</v>
      </c>
      <c r="N207" s="3" t="s">
        <v>24</v>
      </c>
      <c r="O207" s="4">
        <v>1</v>
      </c>
      <c r="P207" s="4">
        <v>2</v>
      </c>
      <c r="Q207" s="4">
        <v>1</v>
      </c>
    </row>
    <row r="208" spans="1:17" x14ac:dyDescent="0.25">
      <c r="A208" s="3" t="s">
        <v>18</v>
      </c>
      <c r="B208" s="3">
        <v>10858753</v>
      </c>
      <c r="C208" s="3" t="s">
        <v>240</v>
      </c>
      <c r="D208" s="3" t="s">
        <v>20</v>
      </c>
      <c r="E208" s="3" t="s">
        <v>21</v>
      </c>
      <c r="F208" s="3" t="s">
        <v>21</v>
      </c>
      <c r="G208" s="3" t="s">
        <v>233</v>
      </c>
      <c r="H208" s="3" t="s">
        <v>234</v>
      </c>
      <c r="I208" s="3" t="s">
        <v>24</v>
      </c>
      <c r="J208" s="3" t="s">
        <v>24</v>
      </c>
      <c r="K208" s="3" t="s">
        <v>25</v>
      </c>
      <c r="L208" s="4">
        <v>0</v>
      </c>
      <c r="M208" s="3" t="s">
        <v>26</v>
      </c>
      <c r="N208" s="3" t="s">
        <v>24</v>
      </c>
      <c r="O208" s="4">
        <v>1</v>
      </c>
      <c r="P208" s="4">
        <v>2</v>
      </c>
      <c r="Q208" s="4">
        <v>1</v>
      </c>
    </row>
    <row r="209" spans="1:17" x14ac:dyDescent="0.25">
      <c r="A209" s="3" t="s">
        <v>18</v>
      </c>
      <c r="B209" s="3">
        <v>10858763</v>
      </c>
      <c r="C209" s="3" t="s">
        <v>241</v>
      </c>
      <c r="D209" s="3" t="s">
        <v>20</v>
      </c>
      <c r="E209" s="3" t="s">
        <v>21</v>
      </c>
      <c r="F209" s="3" t="s">
        <v>21</v>
      </c>
      <c r="G209" s="3" t="s">
        <v>233</v>
      </c>
      <c r="H209" s="3" t="s">
        <v>234</v>
      </c>
      <c r="I209" s="3" t="s">
        <v>24</v>
      </c>
      <c r="J209" s="3" t="s">
        <v>24</v>
      </c>
      <c r="K209" s="3" t="s">
        <v>25</v>
      </c>
      <c r="L209" s="4">
        <v>0</v>
      </c>
      <c r="M209" s="3" t="s">
        <v>26</v>
      </c>
      <c r="N209" s="3" t="s">
        <v>24</v>
      </c>
      <c r="O209" s="4">
        <v>1</v>
      </c>
      <c r="P209" s="4">
        <v>3</v>
      </c>
      <c r="Q209" s="4">
        <v>1</v>
      </c>
    </row>
    <row r="210" spans="1:17" x14ac:dyDescent="0.25">
      <c r="A210" s="3" t="s">
        <v>18</v>
      </c>
      <c r="B210" s="3">
        <v>10858767</v>
      </c>
      <c r="C210" s="3" t="s">
        <v>242</v>
      </c>
      <c r="D210" s="3" t="s">
        <v>20</v>
      </c>
      <c r="E210" s="3" t="s">
        <v>21</v>
      </c>
      <c r="F210" s="3" t="s">
        <v>21</v>
      </c>
      <c r="G210" s="3" t="s">
        <v>233</v>
      </c>
      <c r="H210" s="3" t="s">
        <v>234</v>
      </c>
      <c r="I210" s="3" t="s">
        <v>24</v>
      </c>
      <c r="J210" s="3" t="s">
        <v>24</v>
      </c>
      <c r="K210" s="3" t="s">
        <v>25</v>
      </c>
      <c r="L210" s="4">
        <v>0</v>
      </c>
      <c r="M210" s="3" t="s">
        <v>26</v>
      </c>
      <c r="N210" s="3" t="s">
        <v>24</v>
      </c>
      <c r="O210" s="4">
        <v>1</v>
      </c>
      <c r="P210" s="4">
        <v>3</v>
      </c>
      <c r="Q210" s="4">
        <v>1</v>
      </c>
    </row>
    <row r="211" spans="1:17" x14ac:dyDescent="0.25">
      <c r="A211" s="3" t="s">
        <v>18</v>
      </c>
      <c r="B211" s="3">
        <v>10858771</v>
      </c>
      <c r="C211" s="3" t="s">
        <v>243</v>
      </c>
      <c r="D211" s="3" t="s">
        <v>20</v>
      </c>
      <c r="E211" s="3" t="s">
        <v>21</v>
      </c>
      <c r="F211" s="3" t="s">
        <v>21</v>
      </c>
      <c r="G211" s="3" t="s">
        <v>233</v>
      </c>
      <c r="H211" s="3" t="s">
        <v>234</v>
      </c>
      <c r="I211" s="3" t="s">
        <v>24</v>
      </c>
      <c r="J211" s="3" t="s">
        <v>24</v>
      </c>
      <c r="K211" s="3" t="s">
        <v>25</v>
      </c>
      <c r="L211" s="4">
        <v>0</v>
      </c>
      <c r="M211" s="3" t="s">
        <v>26</v>
      </c>
      <c r="N211" s="3" t="s">
        <v>24</v>
      </c>
      <c r="O211" s="4">
        <v>1</v>
      </c>
      <c r="P211" s="4">
        <v>3</v>
      </c>
      <c r="Q211" s="4">
        <v>1</v>
      </c>
    </row>
    <row r="212" spans="1:17" x14ac:dyDescent="0.25">
      <c r="A212" s="3" t="s">
        <v>18</v>
      </c>
      <c r="B212" s="3">
        <v>10858777</v>
      </c>
      <c r="C212" s="3" t="s">
        <v>244</v>
      </c>
      <c r="D212" s="3" t="s">
        <v>20</v>
      </c>
      <c r="E212" s="3" t="s">
        <v>21</v>
      </c>
      <c r="F212" s="3" t="s">
        <v>21</v>
      </c>
      <c r="G212" s="3" t="s">
        <v>233</v>
      </c>
      <c r="H212" s="3" t="s">
        <v>234</v>
      </c>
      <c r="I212" s="3" t="s">
        <v>24</v>
      </c>
      <c r="J212" s="3" t="s">
        <v>24</v>
      </c>
      <c r="K212" s="3" t="s">
        <v>25</v>
      </c>
      <c r="L212" s="4">
        <v>0</v>
      </c>
      <c r="M212" s="3" t="s">
        <v>26</v>
      </c>
      <c r="N212" s="3" t="s">
        <v>24</v>
      </c>
      <c r="O212" s="4">
        <v>1</v>
      </c>
      <c r="P212" s="4">
        <v>2</v>
      </c>
      <c r="Q212" s="4">
        <v>1</v>
      </c>
    </row>
    <row r="213" spans="1:17" x14ac:dyDescent="0.25">
      <c r="A213" s="3" t="s">
        <v>18</v>
      </c>
      <c r="B213" s="3">
        <v>10858810</v>
      </c>
      <c r="C213" s="3" t="s">
        <v>245</v>
      </c>
      <c r="D213" s="3" t="s">
        <v>20</v>
      </c>
      <c r="E213" s="3" t="s">
        <v>21</v>
      </c>
      <c r="F213" s="3" t="s">
        <v>21</v>
      </c>
      <c r="G213" s="3" t="s">
        <v>233</v>
      </c>
      <c r="H213" s="3" t="s">
        <v>234</v>
      </c>
      <c r="I213" s="3" t="s">
        <v>24</v>
      </c>
      <c r="J213" s="3" t="s">
        <v>24</v>
      </c>
      <c r="K213" s="3" t="s">
        <v>25</v>
      </c>
      <c r="L213" s="4">
        <v>0</v>
      </c>
      <c r="M213" s="3" t="s">
        <v>26</v>
      </c>
      <c r="N213" s="3" t="s">
        <v>24</v>
      </c>
      <c r="O213" s="4">
        <v>1</v>
      </c>
      <c r="P213" s="4">
        <v>2</v>
      </c>
      <c r="Q213" s="4">
        <v>1</v>
      </c>
    </row>
    <row r="214" spans="1:17" x14ac:dyDescent="0.25">
      <c r="A214" s="3" t="s">
        <v>18</v>
      </c>
      <c r="B214" s="3">
        <v>10858812</v>
      </c>
      <c r="C214" s="3" t="s">
        <v>246</v>
      </c>
      <c r="D214" s="3" t="s">
        <v>20</v>
      </c>
      <c r="E214" s="3" t="s">
        <v>21</v>
      </c>
      <c r="F214" s="3" t="s">
        <v>21</v>
      </c>
      <c r="G214" s="3" t="s">
        <v>233</v>
      </c>
      <c r="H214" s="3" t="s">
        <v>234</v>
      </c>
      <c r="I214" s="3" t="s">
        <v>24</v>
      </c>
      <c r="J214" s="3" t="s">
        <v>24</v>
      </c>
      <c r="K214" s="3" t="s">
        <v>25</v>
      </c>
      <c r="L214" s="4">
        <v>0</v>
      </c>
      <c r="M214" s="3" t="s">
        <v>26</v>
      </c>
      <c r="N214" s="3" t="s">
        <v>24</v>
      </c>
      <c r="O214" s="4">
        <v>1</v>
      </c>
      <c r="P214" s="4">
        <v>2</v>
      </c>
      <c r="Q214" s="4">
        <v>1</v>
      </c>
    </row>
    <row r="215" spans="1:17" x14ac:dyDescent="0.25">
      <c r="A215" s="3" t="s">
        <v>18</v>
      </c>
      <c r="B215" s="3">
        <v>10858814</v>
      </c>
      <c r="C215" s="3" t="s">
        <v>247</v>
      </c>
      <c r="D215" s="3" t="s">
        <v>20</v>
      </c>
      <c r="E215" s="3" t="s">
        <v>21</v>
      </c>
      <c r="F215" s="3" t="s">
        <v>21</v>
      </c>
      <c r="G215" s="3" t="s">
        <v>233</v>
      </c>
      <c r="H215" s="3" t="s">
        <v>234</v>
      </c>
      <c r="I215" s="3" t="s">
        <v>24</v>
      </c>
      <c r="J215" s="3" t="s">
        <v>24</v>
      </c>
      <c r="K215" s="3" t="s">
        <v>25</v>
      </c>
      <c r="L215" s="4">
        <v>0</v>
      </c>
      <c r="M215" s="3" t="s">
        <v>26</v>
      </c>
      <c r="N215" s="3" t="s">
        <v>24</v>
      </c>
      <c r="O215" s="4">
        <v>1</v>
      </c>
      <c r="P215" s="4">
        <v>2</v>
      </c>
      <c r="Q215" s="4">
        <v>1</v>
      </c>
    </row>
    <row r="216" spans="1:17" x14ac:dyDescent="0.25">
      <c r="A216" s="3" t="s">
        <v>18</v>
      </c>
      <c r="B216" s="3">
        <v>10867320</v>
      </c>
      <c r="C216" s="3" t="s">
        <v>248</v>
      </c>
      <c r="D216" s="3" t="s">
        <v>20</v>
      </c>
      <c r="E216" s="3" t="s">
        <v>21</v>
      </c>
      <c r="F216" s="3" t="s">
        <v>21</v>
      </c>
      <c r="G216" s="3" t="s">
        <v>42</v>
      </c>
      <c r="H216" s="3" t="s">
        <v>43</v>
      </c>
      <c r="I216" s="3" t="s">
        <v>24</v>
      </c>
      <c r="J216" s="3" t="s">
        <v>24</v>
      </c>
      <c r="K216" s="3" t="s">
        <v>25</v>
      </c>
      <c r="L216" s="4">
        <v>0</v>
      </c>
      <c r="M216" s="3" t="s">
        <v>26</v>
      </c>
      <c r="N216" s="3" t="s">
        <v>24</v>
      </c>
      <c r="O216" s="4">
        <v>1</v>
      </c>
      <c r="P216" s="4">
        <v>8</v>
      </c>
      <c r="Q216" s="4">
        <v>1</v>
      </c>
    </row>
    <row r="217" spans="1:17" x14ac:dyDescent="0.25">
      <c r="A217" s="3" t="s">
        <v>18</v>
      </c>
      <c r="B217" s="3">
        <v>10867322</v>
      </c>
      <c r="C217" s="3" t="s">
        <v>249</v>
      </c>
      <c r="D217" s="3" t="s">
        <v>20</v>
      </c>
      <c r="E217" s="3" t="s">
        <v>21</v>
      </c>
      <c r="F217" s="3" t="s">
        <v>21</v>
      </c>
      <c r="G217" s="3" t="s">
        <v>22</v>
      </c>
      <c r="H217" s="3" t="s">
        <v>23</v>
      </c>
      <c r="I217" s="3" t="s">
        <v>24</v>
      </c>
      <c r="J217" s="3" t="s">
        <v>24</v>
      </c>
      <c r="K217" s="3" t="s">
        <v>25</v>
      </c>
      <c r="L217" s="4">
        <v>0</v>
      </c>
      <c r="M217" s="3" t="s">
        <v>26</v>
      </c>
      <c r="N217" s="3" t="s">
        <v>24</v>
      </c>
      <c r="O217" s="4">
        <v>1</v>
      </c>
      <c r="P217" s="4">
        <v>4</v>
      </c>
      <c r="Q217" s="4">
        <v>1</v>
      </c>
    </row>
    <row r="218" spans="1:17" x14ac:dyDescent="0.25">
      <c r="A218" s="3" t="s">
        <v>18</v>
      </c>
      <c r="B218" s="3">
        <v>10867324</v>
      </c>
      <c r="C218" s="3" t="s">
        <v>250</v>
      </c>
      <c r="D218" s="3" t="s">
        <v>20</v>
      </c>
      <c r="E218" s="3" t="s">
        <v>21</v>
      </c>
      <c r="F218" s="3" t="s">
        <v>21</v>
      </c>
      <c r="G218" s="3" t="s">
        <v>36</v>
      </c>
      <c r="H218" s="3" t="s">
        <v>37</v>
      </c>
      <c r="I218" s="3" t="s">
        <v>24</v>
      </c>
      <c r="J218" s="3" t="s">
        <v>24</v>
      </c>
      <c r="K218" s="3" t="s">
        <v>25</v>
      </c>
      <c r="L218" s="4">
        <v>0</v>
      </c>
      <c r="M218" s="3" t="s">
        <v>26</v>
      </c>
      <c r="N218" s="3" t="s">
        <v>24</v>
      </c>
      <c r="O218" s="4">
        <v>1</v>
      </c>
      <c r="P218" s="4">
        <v>10</v>
      </c>
      <c r="Q218" s="4">
        <v>1</v>
      </c>
    </row>
    <row r="219" spans="1:17" x14ac:dyDescent="0.25">
      <c r="A219" s="3" t="s">
        <v>18</v>
      </c>
      <c r="B219" s="3">
        <v>10970691</v>
      </c>
      <c r="C219" s="3" t="s">
        <v>251</v>
      </c>
      <c r="D219" s="3" t="s">
        <v>20</v>
      </c>
      <c r="E219" s="3" t="s">
        <v>21</v>
      </c>
      <c r="F219" s="3" t="s">
        <v>21</v>
      </c>
      <c r="G219" s="3" t="s">
        <v>30</v>
      </c>
      <c r="H219" s="3" t="s">
        <v>31</v>
      </c>
      <c r="I219" s="3" t="s">
        <v>24</v>
      </c>
      <c r="J219" s="3" t="s">
        <v>24</v>
      </c>
      <c r="K219" s="3" t="s">
        <v>25</v>
      </c>
      <c r="L219" s="4">
        <v>0</v>
      </c>
      <c r="M219" s="3" t="s">
        <v>26</v>
      </c>
      <c r="N219" s="3" t="s">
        <v>24</v>
      </c>
      <c r="O219" s="4">
        <v>1</v>
      </c>
      <c r="P219" s="4">
        <v>9</v>
      </c>
      <c r="Q219" s="4">
        <v>1</v>
      </c>
    </row>
    <row r="220" spans="1:17" x14ac:dyDescent="0.25">
      <c r="A220" s="3" t="s">
        <v>18</v>
      </c>
      <c r="B220" s="3">
        <v>11037026</v>
      </c>
      <c r="C220" s="3" t="s">
        <v>252</v>
      </c>
      <c r="D220" s="3" t="s">
        <v>20</v>
      </c>
      <c r="E220" s="3" t="s">
        <v>21</v>
      </c>
      <c r="F220" s="3" t="s">
        <v>21</v>
      </c>
      <c r="G220" s="3" t="s">
        <v>30</v>
      </c>
      <c r="H220" s="3" t="s">
        <v>31</v>
      </c>
      <c r="I220" s="3" t="s">
        <v>24</v>
      </c>
      <c r="J220" s="3" t="s">
        <v>24</v>
      </c>
      <c r="K220" s="3" t="s">
        <v>25</v>
      </c>
      <c r="L220" s="4">
        <v>0</v>
      </c>
      <c r="M220" s="3" t="s">
        <v>26</v>
      </c>
      <c r="N220" s="3" t="s">
        <v>24</v>
      </c>
      <c r="O220" s="4">
        <v>1</v>
      </c>
      <c r="P220" s="4">
        <v>9</v>
      </c>
      <c r="Q220" s="4">
        <v>1</v>
      </c>
    </row>
    <row r="221" spans="1:17" x14ac:dyDescent="0.25">
      <c r="A221" s="3" t="s">
        <v>18</v>
      </c>
      <c r="B221" s="3">
        <v>11088994</v>
      </c>
      <c r="C221" s="3" t="s">
        <v>253</v>
      </c>
      <c r="D221" s="3" t="s">
        <v>20</v>
      </c>
      <c r="E221" s="3" t="s">
        <v>21</v>
      </c>
      <c r="F221" s="3" t="s">
        <v>21</v>
      </c>
      <c r="G221" s="3" t="s">
        <v>30</v>
      </c>
      <c r="H221" s="3" t="s">
        <v>31</v>
      </c>
      <c r="I221" s="3" t="s">
        <v>24</v>
      </c>
      <c r="J221" s="3" t="s">
        <v>24</v>
      </c>
      <c r="K221" s="3" t="s">
        <v>25</v>
      </c>
      <c r="L221" s="4">
        <v>0</v>
      </c>
      <c r="M221" s="3" t="s">
        <v>26</v>
      </c>
      <c r="N221" s="3" t="s">
        <v>24</v>
      </c>
      <c r="O221" s="4">
        <v>1</v>
      </c>
      <c r="P221" s="4">
        <v>9</v>
      </c>
      <c r="Q221" s="4">
        <v>1</v>
      </c>
    </row>
    <row r="222" spans="1:17" x14ac:dyDescent="0.25">
      <c r="A222" s="3" t="s">
        <v>18</v>
      </c>
      <c r="B222" s="3">
        <v>11089239</v>
      </c>
      <c r="C222" s="3" t="s">
        <v>254</v>
      </c>
      <c r="D222" s="3" t="s">
        <v>20</v>
      </c>
      <c r="E222" s="3" t="s">
        <v>21</v>
      </c>
      <c r="F222" s="3" t="s">
        <v>21</v>
      </c>
      <c r="G222" s="3" t="s">
        <v>30</v>
      </c>
      <c r="H222" s="3" t="s">
        <v>31</v>
      </c>
      <c r="I222" s="3" t="s">
        <v>24</v>
      </c>
      <c r="J222" s="3" t="s">
        <v>24</v>
      </c>
      <c r="K222" s="3" t="s">
        <v>25</v>
      </c>
      <c r="L222" s="4">
        <v>0</v>
      </c>
      <c r="M222" s="3" t="s">
        <v>26</v>
      </c>
      <c r="N222" s="3" t="s">
        <v>24</v>
      </c>
      <c r="O222" s="4">
        <v>1</v>
      </c>
      <c r="P222" s="4">
        <v>8</v>
      </c>
      <c r="Q222" s="4">
        <v>1</v>
      </c>
    </row>
    <row r="223" spans="1:17" x14ac:dyDescent="0.25">
      <c r="A223" s="3" t="s">
        <v>18</v>
      </c>
      <c r="B223" s="3">
        <v>11089244</v>
      </c>
      <c r="C223" s="3" t="s">
        <v>255</v>
      </c>
      <c r="D223" s="3" t="s">
        <v>20</v>
      </c>
      <c r="E223" s="3" t="s">
        <v>21</v>
      </c>
      <c r="F223" s="3" t="s">
        <v>21</v>
      </c>
      <c r="G223" s="3" t="s">
        <v>30</v>
      </c>
      <c r="H223" s="3" t="s">
        <v>31</v>
      </c>
      <c r="I223" s="3" t="s">
        <v>24</v>
      </c>
      <c r="J223" s="3" t="s">
        <v>24</v>
      </c>
      <c r="K223" s="3" t="s">
        <v>25</v>
      </c>
      <c r="L223" s="4">
        <v>0</v>
      </c>
      <c r="M223" s="3" t="s">
        <v>26</v>
      </c>
      <c r="N223" s="3" t="s">
        <v>24</v>
      </c>
      <c r="O223" s="4">
        <v>1</v>
      </c>
      <c r="P223" s="4">
        <v>8</v>
      </c>
      <c r="Q223" s="4">
        <v>1</v>
      </c>
    </row>
    <row r="224" spans="1:17" x14ac:dyDescent="0.25">
      <c r="A224" s="3" t="s">
        <v>18</v>
      </c>
      <c r="B224" s="3">
        <v>11089260</v>
      </c>
      <c r="C224" s="3" t="s">
        <v>256</v>
      </c>
      <c r="D224" s="3" t="s">
        <v>20</v>
      </c>
      <c r="E224" s="3" t="s">
        <v>21</v>
      </c>
      <c r="F224" s="3" t="s">
        <v>21</v>
      </c>
      <c r="G224" s="3" t="s">
        <v>42</v>
      </c>
      <c r="H224" s="3" t="s">
        <v>43</v>
      </c>
      <c r="I224" s="3" t="s">
        <v>24</v>
      </c>
      <c r="J224" s="3" t="s">
        <v>24</v>
      </c>
      <c r="K224" s="3" t="s">
        <v>25</v>
      </c>
      <c r="L224" s="4">
        <v>0</v>
      </c>
      <c r="M224" s="3" t="s">
        <v>26</v>
      </c>
      <c r="N224" s="3" t="s">
        <v>24</v>
      </c>
      <c r="O224" s="4">
        <v>1</v>
      </c>
      <c r="P224" s="4">
        <v>8</v>
      </c>
      <c r="Q224" s="4">
        <v>1</v>
      </c>
    </row>
    <row r="225" spans="1:17" x14ac:dyDescent="0.25">
      <c r="A225" s="3" t="s">
        <v>18</v>
      </c>
      <c r="B225" s="3">
        <v>11093418</v>
      </c>
      <c r="C225" s="3" t="s">
        <v>257</v>
      </c>
      <c r="D225" s="3" t="s">
        <v>20</v>
      </c>
      <c r="E225" s="3" t="s">
        <v>21</v>
      </c>
      <c r="F225" s="3" t="s">
        <v>21</v>
      </c>
      <c r="G225" s="3" t="s">
        <v>233</v>
      </c>
      <c r="H225" s="3" t="s">
        <v>234</v>
      </c>
      <c r="I225" s="3" t="s">
        <v>24</v>
      </c>
      <c r="J225" s="3" t="s">
        <v>24</v>
      </c>
      <c r="K225" s="3" t="s">
        <v>25</v>
      </c>
      <c r="L225" s="4">
        <v>0</v>
      </c>
      <c r="M225" s="3" t="s">
        <v>26</v>
      </c>
      <c r="N225" s="3" t="s">
        <v>24</v>
      </c>
      <c r="O225" s="4">
        <v>1</v>
      </c>
      <c r="P225" s="4">
        <v>2</v>
      </c>
      <c r="Q225" s="4">
        <v>1</v>
      </c>
    </row>
    <row r="226" spans="1:17" x14ac:dyDescent="0.25">
      <c r="A226" s="3" t="s">
        <v>18</v>
      </c>
      <c r="B226" s="3">
        <v>11104016</v>
      </c>
      <c r="C226" s="3" t="s">
        <v>258</v>
      </c>
      <c r="D226" s="3" t="s">
        <v>20</v>
      </c>
      <c r="E226" s="3" t="s">
        <v>21</v>
      </c>
      <c r="F226" s="3" t="s">
        <v>21</v>
      </c>
      <c r="G226" s="3" t="s">
        <v>233</v>
      </c>
      <c r="H226" s="3" t="s">
        <v>234</v>
      </c>
      <c r="I226" s="3" t="s">
        <v>24</v>
      </c>
      <c r="J226" s="3" t="s">
        <v>24</v>
      </c>
      <c r="K226" s="3" t="s">
        <v>25</v>
      </c>
      <c r="L226" s="4">
        <v>0</v>
      </c>
      <c r="M226" s="3" t="s">
        <v>26</v>
      </c>
      <c r="N226" s="3" t="s">
        <v>24</v>
      </c>
      <c r="O226" s="4">
        <v>1</v>
      </c>
      <c r="P226" s="4">
        <v>3</v>
      </c>
      <c r="Q226" s="4">
        <v>1</v>
      </c>
    </row>
    <row r="227" spans="1:17" x14ac:dyDescent="0.25">
      <c r="A227" s="3" t="s">
        <v>18</v>
      </c>
      <c r="B227" s="3">
        <v>11112209</v>
      </c>
      <c r="C227" s="3" t="s">
        <v>259</v>
      </c>
      <c r="D227" s="3" t="s">
        <v>20</v>
      </c>
      <c r="E227" s="3" t="s">
        <v>21</v>
      </c>
      <c r="F227" s="3" t="s">
        <v>21</v>
      </c>
      <c r="G227" s="3" t="s">
        <v>22</v>
      </c>
      <c r="H227" s="3" t="s">
        <v>23</v>
      </c>
      <c r="I227" s="3" t="s">
        <v>24</v>
      </c>
      <c r="J227" s="3" t="s">
        <v>24</v>
      </c>
      <c r="K227" s="3" t="s">
        <v>25</v>
      </c>
      <c r="L227" s="4">
        <v>0</v>
      </c>
      <c r="M227" s="3" t="s">
        <v>26</v>
      </c>
      <c r="N227" s="3" t="s">
        <v>24</v>
      </c>
      <c r="O227" s="4">
        <v>1</v>
      </c>
      <c r="P227" s="4">
        <v>4</v>
      </c>
      <c r="Q227" s="4">
        <v>1</v>
      </c>
    </row>
    <row r="228" spans="1:17" x14ac:dyDescent="0.25">
      <c r="A228" s="3" t="s">
        <v>18</v>
      </c>
      <c r="B228" s="3">
        <v>11114151</v>
      </c>
      <c r="C228" s="3" t="s">
        <v>260</v>
      </c>
      <c r="D228" s="3" t="s">
        <v>20</v>
      </c>
      <c r="E228" s="3" t="s">
        <v>21</v>
      </c>
      <c r="F228" s="3" t="s">
        <v>21</v>
      </c>
      <c r="G228" s="3" t="s">
        <v>233</v>
      </c>
      <c r="H228" s="3" t="s">
        <v>234</v>
      </c>
      <c r="I228" s="3" t="s">
        <v>24</v>
      </c>
      <c r="J228" s="3" t="s">
        <v>24</v>
      </c>
      <c r="K228" s="3" t="s">
        <v>25</v>
      </c>
      <c r="L228" s="4">
        <v>0</v>
      </c>
      <c r="M228" s="3" t="s">
        <v>26</v>
      </c>
      <c r="N228" s="3" t="s">
        <v>24</v>
      </c>
      <c r="O228" s="4">
        <v>1</v>
      </c>
      <c r="P228" s="4">
        <v>2</v>
      </c>
      <c r="Q228" s="4">
        <v>1</v>
      </c>
    </row>
    <row r="229" spans="1:17" x14ac:dyDescent="0.25">
      <c r="A229" s="3" t="s">
        <v>18</v>
      </c>
      <c r="B229" s="3">
        <v>11117041</v>
      </c>
      <c r="C229" s="3" t="s">
        <v>261</v>
      </c>
      <c r="D229" s="3" t="s">
        <v>20</v>
      </c>
      <c r="E229" s="3" t="s">
        <v>21</v>
      </c>
      <c r="F229" s="3" t="s">
        <v>21</v>
      </c>
      <c r="G229" s="3" t="s">
        <v>36</v>
      </c>
      <c r="H229" s="3" t="s">
        <v>37</v>
      </c>
      <c r="I229" s="3" t="s">
        <v>24</v>
      </c>
      <c r="J229" s="3" t="s">
        <v>24</v>
      </c>
      <c r="K229" s="3" t="s">
        <v>25</v>
      </c>
      <c r="L229" s="4">
        <v>0</v>
      </c>
      <c r="M229" s="3" t="s">
        <v>26</v>
      </c>
      <c r="N229" s="3" t="s">
        <v>24</v>
      </c>
      <c r="O229" s="4">
        <v>1</v>
      </c>
      <c r="P229" s="4">
        <v>10</v>
      </c>
      <c r="Q229" s="4">
        <v>1</v>
      </c>
    </row>
    <row r="230" spans="1:17" x14ac:dyDescent="0.25">
      <c r="A230" s="3" t="s">
        <v>18</v>
      </c>
      <c r="B230" s="3">
        <v>11120850</v>
      </c>
      <c r="C230" s="3" t="s">
        <v>262</v>
      </c>
      <c r="D230" s="3" t="s">
        <v>20</v>
      </c>
      <c r="E230" s="3" t="s">
        <v>21</v>
      </c>
      <c r="F230" s="3" t="s">
        <v>21</v>
      </c>
      <c r="G230" s="3" t="s">
        <v>36</v>
      </c>
      <c r="H230" s="3" t="s">
        <v>37</v>
      </c>
      <c r="I230" s="3" t="s">
        <v>24</v>
      </c>
      <c r="J230" s="3" t="s">
        <v>24</v>
      </c>
      <c r="K230" s="3" t="s">
        <v>25</v>
      </c>
      <c r="L230" s="4">
        <v>0</v>
      </c>
      <c r="M230" s="3" t="s">
        <v>26</v>
      </c>
      <c r="N230" s="3" t="s">
        <v>24</v>
      </c>
      <c r="O230" s="4">
        <v>1</v>
      </c>
      <c r="P230" s="4">
        <v>10</v>
      </c>
      <c r="Q230" s="4">
        <v>1</v>
      </c>
    </row>
    <row r="231" spans="1:17" x14ac:dyDescent="0.25">
      <c r="A231" s="3" t="s">
        <v>18</v>
      </c>
      <c r="B231" s="3">
        <v>11128842</v>
      </c>
      <c r="C231" s="3" t="s">
        <v>263</v>
      </c>
      <c r="D231" s="3" t="s">
        <v>20</v>
      </c>
      <c r="E231" s="3" t="s">
        <v>21</v>
      </c>
      <c r="F231" s="3" t="s">
        <v>21</v>
      </c>
      <c r="G231" s="3" t="s">
        <v>233</v>
      </c>
      <c r="H231" s="3" t="s">
        <v>234</v>
      </c>
      <c r="I231" s="3" t="s">
        <v>24</v>
      </c>
      <c r="J231" s="3" t="s">
        <v>24</v>
      </c>
      <c r="K231" s="3" t="s">
        <v>25</v>
      </c>
      <c r="L231" s="4">
        <v>0</v>
      </c>
      <c r="M231" s="3" t="s">
        <v>26</v>
      </c>
      <c r="N231" s="3" t="s">
        <v>24</v>
      </c>
      <c r="O231" s="4">
        <v>1</v>
      </c>
      <c r="P231" s="4">
        <v>3</v>
      </c>
      <c r="Q231" s="4">
        <v>1</v>
      </c>
    </row>
    <row r="232" spans="1:17" x14ac:dyDescent="0.25">
      <c r="A232" s="3" t="s">
        <v>18</v>
      </c>
      <c r="B232" s="3">
        <v>11128843</v>
      </c>
      <c r="C232" s="3" t="s">
        <v>264</v>
      </c>
      <c r="D232" s="3" t="s">
        <v>20</v>
      </c>
      <c r="E232" s="3" t="s">
        <v>21</v>
      </c>
      <c r="F232" s="3" t="s">
        <v>21</v>
      </c>
      <c r="G232" s="3" t="s">
        <v>233</v>
      </c>
      <c r="H232" s="3" t="s">
        <v>234</v>
      </c>
      <c r="I232" s="3" t="s">
        <v>24</v>
      </c>
      <c r="J232" s="3" t="s">
        <v>24</v>
      </c>
      <c r="K232" s="3" t="s">
        <v>25</v>
      </c>
      <c r="L232" s="4">
        <v>0</v>
      </c>
      <c r="M232" s="3" t="s">
        <v>26</v>
      </c>
      <c r="N232" s="3" t="s">
        <v>24</v>
      </c>
      <c r="O232" s="4">
        <v>1</v>
      </c>
      <c r="P232" s="4">
        <v>2</v>
      </c>
      <c r="Q232" s="4">
        <v>1</v>
      </c>
    </row>
    <row r="233" spans="1:17" x14ac:dyDescent="0.25">
      <c r="A233" s="3" t="s">
        <v>18</v>
      </c>
      <c r="B233" s="3">
        <v>11128844</v>
      </c>
      <c r="C233" s="3" t="s">
        <v>265</v>
      </c>
      <c r="D233" s="3" t="s">
        <v>20</v>
      </c>
      <c r="E233" s="3" t="s">
        <v>21</v>
      </c>
      <c r="F233" s="3" t="s">
        <v>21</v>
      </c>
      <c r="G233" s="3" t="s">
        <v>233</v>
      </c>
      <c r="H233" s="3" t="s">
        <v>234</v>
      </c>
      <c r="I233" s="3" t="s">
        <v>24</v>
      </c>
      <c r="J233" s="3" t="s">
        <v>24</v>
      </c>
      <c r="K233" s="3" t="s">
        <v>25</v>
      </c>
      <c r="L233" s="4">
        <v>0</v>
      </c>
      <c r="M233" s="3" t="s">
        <v>26</v>
      </c>
      <c r="N233" s="3" t="s">
        <v>24</v>
      </c>
      <c r="O233" s="4">
        <v>1</v>
      </c>
      <c r="P233" s="4">
        <v>2</v>
      </c>
      <c r="Q233" s="4">
        <v>1</v>
      </c>
    </row>
    <row r="234" spans="1:17" x14ac:dyDescent="0.25">
      <c r="A234" s="3" t="s">
        <v>18</v>
      </c>
      <c r="B234" s="3">
        <v>11128846</v>
      </c>
      <c r="C234" s="3" t="s">
        <v>266</v>
      </c>
      <c r="D234" s="3" t="s">
        <v>20</v>
      </c>
      <c r="E234" s="3" t="s">
        <v>21</v>
      </c>
      <c r="F234" s="3" t="s">
        <v>21</v>
      </c>
      <c r="G234" s="3" t="s">
        <v>233</v>
      </c>
      <c r="H234" s="3" t="s">
        <v>234</v>
      </c>
      <c r="I234" s="3" t="s">
        <v>24</v>
      </c>
      <c r="J234" s="3" t="s">
        <v>24</v>
      </c>
      <c r="K234" s="3" t="s">
        <v>25</v>
      </c>
      <c r="L234" s="4">
        <v>0</v>
      </c>
      <c r="M234" s="3" t="s">
        <v>26</v>
      </c>
      <c r="N234" s="3" t="s">
        <v>24</v>
      </c>
      <c r="O234" s="4">
        <v>1</v>
      </c>
      <c r="P234" s="4">
        <v>3</v>
      </c>
      <c r="Q234" s="4">
        <v>1</v>
      </c>
    </row>
    <row r="235" spans="1:17" x14ac:dyDescent="0.25">
      <c r="A235" s="3" t="s">
        <v>18</v>
      </c>
      <c r="B235" s="3">
        <v>11128878</v>
      </c>
      <c r="C235" s="3" t="s">
        <v>267</v>
      </c>
      <c r="D235" s="3" t="s">
        <v>20</v>
      </c>
      <c r="E235" s="3" t="s">
        <v>21</v>
      </c>
      <c r="F235" s="3" t="s">
        <v>21</v>
      </c>
      <c r="G235" s="3" t="s">
        <v>233</v>
      </c>
      <c r="H235" s="3" t="s">
        <v>234</v>
      </c>
      <c r="I235" s="3" t="s">
        <v>24</v>
      </c>
      <c r="J235" s="3" t="s">
        <v>24</v>
      </c>
      <c r="K235" s="3" t="s">
        <v>25</v>
      </c>
      <c r="L235" s="4">
        <v>0</v>
      </c>
      <c r="M235" s="3" t="s">
        <v>26</v>
      </c>
      <c r="N235" s="3" t="s">
        <v>24</v>
      </c>
      <c r="O235" s="4">
        <v>1</v>
      </c>
      <c r="P235" s="4">
        <v>3</v>
      </c>
      <c r="Q235" s="4">
        <v>1</v>
      </c>
    </row>
    <row r="236" spans="1:17" x14ac:dyDescent="0.25">
      <c r="A236" s="3" t="s">
        <v>18</v>
      </c>
      <c r="B236" s="3">
        <v>11128879</v>
      </c>
      <c r="C236" s="3" t="s">
        <v>268</v>
      </c>
      <c r="D236" s="3" t="s">
        <v>20</v>
      </c>
      <c r="E236" s="3" t="s">
        <v>21</v>
      </c>
      <c r="F236" s="3" t="s">
        <v>21</v>
      </c>
      <c r="G236" s="3" t="s">
        <v>233</v>
      </c>
      <c r="H236" s="3" t="s">
        <v>234</v>
      </c>
      <c r="I236" s="3" t="s">
        <v>24</v>
      </c>
      <c r="J236" s="3" t="s">
        <v>24</v>
      </c>
      <c r="K236" s="3" t="s">
        <v>25</v>
      </c>
      <c r="L236" s="4">
        <v>0</v>
      </c>
      <c r="M236" s="3" t="s">
        <v>26</v>
      </c>
      <c r="N236" s="3" t="s">
        <v>24</v>
      </c>
      <c r="O236" s="4">
        <v>1</v>
      </c>
      <c r="P236" s="4">
        <v>3</v>
      </c>
      <c r="Q236" s="4">
        <v>1</v>
      </c>
    </row>
    <row r="237" spans="1:17" x14ac:dyDescent="0.25">
      <c r="A237" s="3" t="s">
        <v>18</v>
      </c>
      <c r="B237" s="3">
        <v>11128880</v>
      </c>
      <c r="C237" s="3" t="s">
        <v>269</v>
      </c>
      <c r="D237" s="3" t="s">
        <v>20</v>
      </c>
      <c r="E237" s="3" t="s">
        <v>21</v>
      </c>
      <c r="F237" s="3" t="s">
        <v>21</v>
      </c>
      <c r="G237" s="3" t="s">
        <v>233</v>
      </c>
      <c r="H237" s="3" t="s">
        <v>234</v>
      </c>
      <c r="I237" s="3" t="s">
        <v>24</v>
      </c>
      <c r="J237" s="3" t="s">
        <v>24</v>
      </c>
      <c r="K237" s="3" t="s">
        <v>25</v>
      </c>
      <c r="L237" s="4">
        <v>0</v>
      </c>
      <c r="M237" s="3" t="s">
        <v>26</v>
      </c>
      <c r="N237" s="3" t="s">
        <v>24</v>
      </c>
      <c r="O237" s="4">
        <v>1</v>
      </c>
      <c r="P237" s="4">
        <v>2</v>
      </c>
      <c r="Q237" s="4">
        <v>1</v>
      </c>
    </row>
    <row r="238" spans="1:17" x14ac:dyDescent="0.25">
      <c r="A238" s="3" t="s">
        <v>18</v>
      </c>
      <c r="B238" s="3">
        <v>11128881</v>
      </c>
      <c r="C238" s="3" t="s">
        <v>270</v>
      </c>
      <c r="D238" s="3" t="s">
        <v>20</v>
      </c>
      <c r="E238" s="3" t="s">
        <v>21</v>
      </c>
      <c r="F238" s="3" t="s">
        <v>21</v>
      </c>
      <c r="G238" s="3" t="s">
        <v>233</v>
      </c>
      <c r="H238" s="3" t="s">
        <v>234</v>
      </c>
      <c r="I238" s="3" t="s">
        <v>24</v>
      </c>
      <c r="J238" s="3" t="s">
        <v>24</v>
      </c>
      <c r="K238" s="3" t="s">
        <v>25</v>
      </c>
      <c r="L238" s="4">
        <v>0</v>
      </c>
      <c r="M238" s="3" t="s">
        <v>26</v>
      </c>
      <c r="N238" s="3" t="s">
        <v>24</v>
      </c>
      <c r="O238" s="4">
        <v>1</v>
      </c>
      <c r="P238" s="4">
        <v>2</v>
      </c>
      <c r="Q238" s="4">
        <v>1</v>
      </c>
    </row>
    <row r="239" spans="1:17" x14ac:dyDescent="0.25">
      <c r="A239" s="3" t="s">
        <v>18</v>
      </c>
      <c r="B239" s="3">
        <v>11128884</v>
      </c>
      <c r="C239" s="3" t="s">
        <v>271</v>
      </c>
      <c r="D239" s="3" t="s">
        <v>20</v>
      </c>
      <c r="E239" s="3" t="s">
        <v>21</v>
      </c>
      <c r="F239" s="3" t="s">
        <v>21</v>
      </c>
      <c r="G239" s="3" t="s">
        <v>233</v>
      </c>
      <c r="H239" s="3" t="s">
        <v>234</v>
      </c>
      <c r="I239" s="3" t="s">
        <v>24</v>
      </c>
      <c r="J239" s="3" t="s">
        <v>24</v>
      </c>
      <c r="K239" s="3" t="s">
        <v>25</v>
      </c>
      <c r="L239" s="4">
        <v>0</v>
      </c>
      <c r="M239" s="3" t="s">
        <v>26</v>
      </c>
      <c r="N239" s="3" t="s">
        <v>24</v>
      </c>
      <c r="O239" s="4">
        <v>1</v>
      </c>
      <c r="P239" s="4">
        <v>2</v>
      </c>
      <c r="Q239" s="4">
        <v>1</v>
      </c>
    </row>
    <row r="240" spans="1:17" x14ac:dyDescent="0.25">
      <c r="A240" s="3" t="s">
        <v>18</v>
      </c>
      <c r="B240" s="3">
        <v>11128885</v>
      </c>
      <c r="C240" s="3" t="s">
        <v>272</v>
      </c>
      <c r="D240" s="3" t="s">
        <v>20</v>
      </c>
      <c r="E240" s="3" t="s">
        <v>21</v>
      </c>
      <c r="F240" s="3" t="s">
        <v>21</v>
      </c>
      <c r="G240" s="3" t="s">
        <v>233</v>
      </c>
      <c r="H240" s="3" t="s">
        <v>234</v>
      </c>
      <c r="I240" s="3" t="s">
        <v>24</v>
      </c>
      <c r="J240" s="3" t="s">
        <v>24</v>
      </c>
      <c r="K240" s="3" t="s">
        <v>25</v>
      </c>
      <c r="L240" s="4">
        <v>0</v>
      </c>
      <c r="M240" s="3" t="s">
        <v>26</v>
      </c>
      <c r="N240" s="3" t="s">
        <v>24</v>
      </c>
      <c r="O240" s="4">
        <v>1</v>
      </c>
      <c r="P240" s="4">
        <v>2</v>
      </c>
      <c r="Q240" s="4">
        <v>1</v>
      </c>
    </row>
    <row r="241" spans="1:17" x14ac:dyDescent="0.25">
      <c r="A241" s="3" t="s">
        <v>18</v>
      </c>
      <c r="B241" s="3">
        <v>11128887</v>
      </c>
      <c r="C241" s="3" t="s">
        <v>273</v>
      </c>
      <c r="D241" s="3" t="s">
        <v>20</v>
      </c>
      <c r="E241" s="3" t="s">
        <v>21</v>
      </c>
      <c r="F241" s="3" t="s">
        <v>21</v>
      </c>
      <c r="G241" s="3" t="s">
        <v>233</v>
      </c>
      <c r="H241" s="3" t="s">
        <v>234</v>
      </c>
      <c r="I241" s="3" t="s">
        <v>24</v>
      </c>
      <c r="J241" s="3" t="s">
        <v>24</v>
      </c>
      <c r="K241" s="3" t="s">
        <v>25</v>
      </c>
      <c r="L241" s="4">
        <v>0</v>
      </c>
      <c r="M241" s="3" t="s">
        <v>26</v>
      </c>
      <c r="N241" s="3" t="s">
        <v>24</v>
      </c>
      <c r="O241" s="4">
        <v>1</v>
      </c>
      <c r="P241" s="4">
        <v>2</v>
      </c>
      <c r="Q241" s="4">
        <v>1</v>
      </c>
    </row>
    <row r="242" spans="1:17" x14ac:dyDescent="0.25">
      <c r="A242" s="3" t="s">
        <v>18</v>
      </c>
      <c r="B242" s="3">
        <v>11128900</v>
      </c>
      <c r="C242" s="3" t="s">
        <v>274</v>
      </c>
      <c r="D242" s="3" t="s">
        <v>20</v>
      </c>
      <c r="E242" s="3" t="s">
        <v>21</v>
      </c>
      <c r="F242" s="3" t="s">
        <v>21</v>
      </c>
      <c r="G242" s="3" t="s">
        <v>233</v>
      </c>
      <c r="H242" s="3" t="s">
        <v>234</v>
      </c>
      <c r="I242" s="3" t="s">
        <v>24</v>
      </c>
      <c r="J242" s="3" t="s">
        <v>24</v>
      </c>
      <c r="K242" s="3" t="s">
        <v>25</v>
      </c>
      <c r="L242" s="4">
        <v>0</v>
      </c>
      <c r="M242" s="3" t="s">
        <v>26</v>
      </c>
      <c r="N242" s="3" t="s">
        <v>24</v>
      </c>
      <c r="O242" s="4">
        <v>1</v>
      </c>
      <c r="P242" s="4">
        <v>2</v>
      </c>
      <c r="Q242" s="4">
        <v>1</v>
      </c>
    </row>
    <row r="243" spans="1:17" x14ac:dyDescent="0.25">
      <c r="A243" s="3" t="s">
        <v>18</v>
      </c>
      <c r="B243" s="3">
        <v>11128901</v>
      </c>
      <c r="C243" s="3" t="s">
        <v>275</v>
      </c>
      <c r="D243" s="3" t="s">
        <v>20</v>
      </c>
      <c r="E243" s="3" t="s">
        <v>21</v>
      </c>
      <c r="F243" s="3" t="s">
        <v>21</v>
      </c>
      <c r="G243" s="3" t="s">
        <v>233</v>
      </c>
      <c r="H243" s="3" t="s">
        <v>234</v>
      </c>
      <c r="I243" s="3" t="s">
        <v>24</v>
      </c>
      <c r="J243" s="3" t="s">
        <v>24</v>
      </c>
      <c r="K243" s="3" t="s">
        <v>25</v>
      </c>
      <c r="L243" s="4">
        <v>0</v>
      </c>
      <c r="M243" s="3" t="s">
        <v>26</v>
      </c>
      <c r="N243" s="3" t="s">
        <v>24</v>
      </c>
      <c r="O243" s="4">
        <v>1</v>
      </c>
      <c r="P243" s="4">
        <v>2</v>
      </c>
      <c r="Q243" s="4">
        <v>1</v>
      </c>
    </row>
    <row r="244" spans="1:17" x14ac:dyDescent="0.25">
      <c r="A244" s="3" t="s">
        <v>18</v>
      </c>
      <c r="B244" s="3">
        <v>11128903</v>
      </c>
      <c r="C244" s="3" t="s">
        <v>276</v>
      </c>
      <c r="D244" s="3" t="s">
        <v>20</v>
      </c>
      <c r="E244" s="3" t="s">
        <v>21</v>
      </c>
      <c r="F244" s="3" t="s">
        <v>21</v>
      </c>
      <c r="G244" s="3" t="s">
        <v>233</v>
      </c>
      <c r="H244" s="3" t="s">
        <v>234</v>
      </c>
      <c r="I244" s="3" t="s">
        <v>24</v>
      </c>
      <c r="J244" s="3" t="s">
        <v>24</v>
      </c>
      <c r="K244" s="3" t="s">
        <v>25</v>
      </c>
      <c r="L244" s="4">
        <v>0</v>
      </c>
      <c r="M244" s="3" t="s">
        <v>26</v>
      </c>
      <c r="N244" s="3" t="s">
        <v>24</v>
      </c>
      <c r="O244" s="4">
        <v>1</v>
      </c>
      <c r="P244" s="4">
        <v>2</v>
      </c>
      <c r="Q244" s="4">
        <v>1</v>
      </c>
    </row>
    <row r="245" spans="1:17" x14ac:dyDescent="0.25">
      <c r="A245" s="3" t="s">
        <v>18</v>
      </c>
      <c r="B245" s="3">
        <v>11128905</v>
      </c>
      <c r="C245" s="3" t="s">
        <v>277</v>
      </c>
      <c r="D245" s="3" t="s">
        <v>20</v>
      </c>
      <c r="E245" s="3" t="s">
        <v>21</v>
      </c>
      <c r="F245" s="3" t="s">
        <v>21</v>
      </c>
      <c r="G245" s="3" t="s">
        <v>233</v>
      </c>
      <c r="H245" s="3" t="s">
        <v>234</v>
      </c>
      <c r="I245" s="3" t="s">
        <v>24</v>
      </c>
      <c r="J245" s="3" t="s">
        <v>24</v>
      </c>
      <c r="K245" s="3" t="s">
        <v>25</v>
      </c>
      <c r="L245" s="4">
        <v>0</v>
      </c>
      <c r="M245" s="3" t="s">
        <v>26</v>
      </c>
      <c r="N245" s="3" t="s">
        <v>24</v>
      </c>
      <c r="O245" s="4">
        <v>1</v>
      </c>
      <c r="P245" s="4">
        <v>2</v>
      </c>
      <c r="Q245" s="4">
        <v>1</v>
      </c>
    </row>
    <row r="246" spans="1:17" x14ac:dyDescent="0.25">
      <c r="A246" s="3" t="s">
        <v>18</v>
      </c>
      <c r="B246" s="3">
        <v>11128907</v>
      </c>
      <c r="C246" s="3" t="s">
        <v>278</v>
      </c>
      <c r="D246" s="3" t="s">
        <v>20</v>
      </c>
      <c r="E246" s="3" t="s">
        <v>21</v>
      </c>
      <c r="F246" s="3" t="s">
        <v>21</v>
      </c>
      <c r="G246" s="3" t="s">
        <v>233</v>
      </c>
      <c r="H246" s="3" t="s">
        <v>234</v>
      </c>
      <c r="I246" s="3" t="s">
        <v>24</v>
      </c>
      <c r="J246" s="3" t="s">
        <v>24</v>
      </c>
      <c r="K246" s="3" t="s">
        <v>25</v>
      </c>
      <c r="L246" s="4">
        <v>0</v>
      </c>
      <c r="M246" s="3" t="s">
        <v>26</v>
      </c>
      <c r="N246" s="3" t="s">
        <v>24</v>
      </c>
      <c r="O246" s="4">
        <v>1</v>
      </c>
      <c r="P246" s="4">
        <v>2</v>
      </c>
      <c r="Q246" s="4">
        <v>1</v>
      </c>
    </row>
    <row r="247" spans="1:17" x14ac:dyDescent="0.25">
      <c r="A247" s="3" t="s">
        <v>18</v>
      </c>
      <c r="B247" s="3">
        <v>11128946</v>
      </c>
      <c r="C247" s="3" t="s">
        <v>279</v>
      </c>
      <c r="D247" s="3" t="s">
        <v>20</v>
      </c>
      <c r="E247" s="3" t="s">
        <v>21</v>
      </c>
      <c r="F247" s="3" t="s">
        <v>21</v>
      </c>
      <c r="G247" s="3" t="s">
        <v>233</v>
      </c>
      <c r="H247" s="3" t="s">
        <v>234</v>
      </c>
      <c r="I247" s="3" t="s">
        <v>24</v>
      </c>
      <c r="J247" s="3" t="s">
        <v>24</v>
      </c>
      <c r="K247" s="3" t="s">
        <v>25</v>
      </c>
      <c r="L247" s="4">
        <v>0</v>
      </c>
      <c r="M247" s="3" t="s">
        <v>26</v>
      </c>
      <c r="N247" s="3" t="s">
        <v>24</v>
      </c>
      <c r="O247" s="4">
        <v>1</v>
      </c>
      <c r="P247" s="4">
        <v>2</v>
      </c>
      <c r="Q247" s="4">
        <v>1</v>
      </c>
    </row>
    <row r="248" spans="1:17" x14ac:dyDescent="0.25">
      <c r="A248" s="3" t="s">
        <v>18</v>
      </c>
      <c r="B248" s="3">
        <v>11128979</v>
      </c>
      <c r="C248" s="3" t="s">
        <v>280</v>
      </c>
      <c r="D248" s="3" t="s">
        <v>20</v>
      </c>
      <c r="E248" s="3" t="s">
        <v>21</v>
      </c>
      <c r="F248" s="3" t="s">
        <v>21</v>
      </c>
      <c r="G248" s="3" t="s">
        <v>233</v>
      </c>
      <c r="H248" s="3" t="s">
        <v>234</v>
      </c>
      <c r="I248" s="3" t="s">
        <v>24</v>
      </c>
      <c r="J248" s="3" t="s">
        <v>24</v>
      </c>
      <c r="K248" s="3" t="s">
        <v>25</v>
      </c>
      <c r="L248" s="4">
        <v>0</v>
      </c>
      <c r="M248" s="3" t="s">
        <v>26</v>
      </c>
      <c r="N248" s="3" t="s">
        <v>24</v>
      </c>
      <c r="O248" s="4">
        <v>1</v>
      </c>
      <c r="P248" s="4">
        <v>3</v>
      </c>
      <c r="Q248" s="4">
        <v>1</v>
      </c>
    </row>
    <row r="249" spans="1:17" x14ac:dyDescent="0.25">
      <c r="A249" s="3" t="s">
        <v>18</v>
      </c>
      <c r="B249" s="3">
        <v>11128980</v>
      </c>
      <c r="C249" s="3" t="s">
        <v>281</v>
      </c>
      <c r="D249" s="3" t="s">
        <v>20</v>
      </c>
      <c r="E249" s="3" t="s">
        <v>21</v>
      </c>
      <c r="F249" s="3" t="s">
        <v>21</v>
      </c>
      <c r="G249" s="3" t="s">
        <v>233</v>
      </c>
      <c r="H249" s="3" t="s">
        <v>234</v>
      </c>
      <c r="I249" s="3" t="s">
        <v>24</v>
      </c>
      <c r="J249" s="3" t="s">
        <v>24</v>
      </c>
      <c r="K249" s="3" t="s">
        <v>25</v>
      </c>
      <c r="L249" s="4">
        <v>0</v>
      </c>
      <c r="M249" s="3" t="s">
        <v>26</v>
      </c>
      <c r="N249" s="3" t="s">
        <v>24</v>
      </c>
      <c r="O249" s="4">
        <v>1</v>
      </c>
      <c r="P249" s="4">
        <v>3</v>
      </c>
      <c r="Q249" s="4">
        <v>1</v>
      </c>
    </row>
    <row r="250" spans="1:17" x14ac:dyDescent="0.25">
      <c r="A250" s="3" t="s">
        <v>18</v>
      </c>
      <c r="B250" s="3">
        <v>11128981</v>
      </c>
      <c r="C250" s="3" t="s">
        <v>282</v>
      </c>
      <c r="D250" s="3" t="s">
        <v>20</v>
      </c>
      <c r="E250" s="3" t="s">
        <v>21</v>
      </c>
      <c r="F250" s="3" t="s">
        <v>21</v>
      </c>
      <c r="G250" s="3" t="s">
        <v>233</v>
      </c>
      <c r="H250" s="3" t="s">
        <v>234</v>
      </c>
      <c r="I250" s="3" t="s">
        <v>24</v>
      </c>
      <c r="J250" s="3" t="s">
        <v>24</v>
      </c>
      <c r="K250" s="3" t="s">
        <v>25</v>
      </c>
      <c r="L250" s="4">
        <v>0</v>
      </c>
      <c r="M250" s="3" t="s">
        <v>26</v>
      </c>
      <c r="N250" s="3" t="s">
        <v>24</v>
      </c>
      <c r="O250" s="4">
        <v>1</v>
      </c>
      <c r="P250" s="4">
        <v>3</v>
      </c>
      <c r="Q250" s="4">
        <v>1</v>
      </c>
    </row>
    <row r="251" spans="1:17" x14ac:dyDescent="0.25">
      <c r="A251" s="3" t="s">
        <v>18</v>
      </c>
      <c r="B251" s="3">
        <v>11128984</v>
      </c>
      <c r="C251" s="3" t="s">
        <v>283</v>
      </c>
      <c r="D251" s="3" t="s">
        <v>20</v>
      </c>
      <c r="E251" s="3" t="s">
        <v>21</v>
      </c>
      <c r="F251" s="3" t="s">
        <v>21</v>
      </c>
      <c r="G251" s="3" t="s">
        <v>233</v>
      </c>
      <c r="H251" s="3" t="s">
        <v>234</v>
      </c>
      <c r="I251" s="3" t="s">
        <v>24</v>
      </c>
      <c r="J251" s="3" t="s">
        <v>24</v>
      </c>
      <c r="K251" s="3" t="s">
        <v>25</v>
      </c>
      <c r="L251" s="4">
        <v>0</v>
      </c>
      <c r="M251" s="3" t="s">
        <v>26</v>
      </c>
      <c r="N251" s="3" t="s">
        <v>24</v>
      </c>
      <c r="O251" s="4">
        <v>1</v>
      </c>
      <c r="P251" s="4">
        <v>3</v>
      </c>
      <c r="Q251" s="4">
        <v>1</v>
      </c>
    </row>
    <row r="252" spans="1:17" x14ac:dyDescent="0.25">
      <c r="A252" s="3" t="s">
        <v>18</v>
      </c>
      <c r="B252" s="3">
        <v>11128987</v>
      </c>
      <c r="C252" s="3" t="s">
        <v>284</v>
      </c>
      <c r="D252" s="3" t="s">
        <v>20</v>
      </c>
      <c r="E252" s="3" t="s">
        <v>21</v>
      </c>
      <c r="F252" s="3" t="s">
        <v>21</v>
      </c>
      <c r="G252" s="3" t="s">
        <v>233</v>
      </c>
      <c r="H252" s="3" t="s">
        <v>234</v>
      </c>
      <c r="I252" s="3" t="s">
        <v>24</v>
      </c>
      <c r="J252" s="3" t="s">
        <v>24</v>
      </c>
      <c r="K252" s="3" t="s">
        <v>25</v>
      </c>
      <c r="L252" s="4">
        <v>0</v>
      </c>
      <c r="M252" s="3" t="s">
        <v>26</v>
      </c>
      <c r="N252" s="3" t="s">
        <v>24</v>
      </c>
      <c r="O252" s="4">
        <v>1</v>
      </c>
      <c r="P252" s="4">
        <v>2</v>
      </c>
      <c r="Q252" s="4">
        <v>1</v>
      </c>
    </row>
    <row r="253" spans="1:17" x14ac:dyDescent="0.25">
      <c r="A253" s="3" t="s">
        <v>18</v>
      </c>
      <c r="B253" s="3">
        <v>11129009</v>
      </c>
      <c r="C253" s="3" t="s">
        <v>285</v>
      </c>
      <c r="D253" s="3" t="s">
        <v>20</v>
      </c>
      <c r="E253" s="3" t="s">
        <v>21</v>
      </c>
      <c r="F253" s="3" t="s">
        <v>21</v>
      </c>
      <c r="G253" s="3" t="s">
        <v>233</v>
      </c>
      <c r="H253" s="3" t="s">
        <v>234</v>
      </c>
      <c r="I253" s="3" t="s">
        <v>24</v>
      </c>
      <c r="J253" s="3" t="s">
        <v>24</v>
      </c>
      <c r="K253" s="3" t="s">
        <v>25</v>
      </c>
      <c r="L253" s="4">
        <v>0</v>
      </c>
      <c r="M253" s="3" t="s">
        <v>26</v>
      </c>
      <c r="N253" s="3" t="s">
        <v>24</v>
      </c>
      <c r="O253" s="4">
        <v>1</v>
      </c>
      <c r="P253" s="4">
        <v>2</v>
      </c>
      <c r="Q253" s="4">
        <v>1</v>
      </c>
    </row>
    <row r="254" spans="1:17" x14ac:dyDescent="0.25">
      <c r="A254" s="3" t="s">
        <v>18</v>
      </c>
      <c r="B254" s="3">
        <v>11129010</v>
      </c>
      <c r="C254" s="3" t="s">
        <v>286</v>
      </c>
      <c r="D254" s="3" t="s">
        <v>20</v>
      </c>
      <c r="E254" s="3" t="s">
        <v>21</v>
      </c>
      <c r="F254" s="3" t="s">
        <v>21</v>
      </c>
      <c r="G254" s="3" t="s">
        <v>233</v>
      </c>
      <c r="H254" s="3" t="s">
        <v>234</v>
      </c>
      <c r="I254" s="3" t="s">
        <v>24</v>
      </c>
      <c r="J254" s="3" t="s">
        <v>24</v>
      </c>
      <c r="K254" s="3" t="s">
        <v>25</v>
      </c>
      <c r="L254" s="4">
        <v>0</v>
      </c>
      <c r="M254" s="3" t="s">
        <v>26</v>
      </c>
      <c r="N254" s="3" t="s">
        <v>24</v>
      </c>
      <c r="O254" s="4">
        <v>1</v>
      </c>
      <c r="P254" s="4">
        <v>2</v>
      </c>
      <c r="Q254" s="4">
        <v>1</v>
      </c>
    </row>
    <row r="255" spans="1:17" x14ac:dyDescent="0.25">
      <c r="A255" s="3" t="s">
        <v>18</v>
      </c>
      <c r="B255" s="3">
        <v>11129011</v>
      </c>
      <c r="C255" s="3" t="s">
        <v>287</v>
      </c>
      <c r="D255" s="3" t="s">
        <v>20</v>
      </c>
      <c r="E255" s="3" t="s">
        <v>21</v>
      </c>
      <c r="F255" s="3" t="s">
        <v>21</v>
      </c>
      <c r="G255" s="3" t="s">
        <v>233</v>
      </c>
      <c r="H255" s="3" t="s">
        <v>234</v>
      </c>
      <c r="I255" s="3" t="s">
        <v>24</v>
      </c>
      <c r="J255" s="3" t="s">
        <v>24</v>
      </c>
      <c r="K255" s="3" t="s">
        <v>25</v>
      </c>
      <c r="L255" s="4">
        <v>0</v>
      </c>
      <c r="M255" s="3" t="s">
        <v>26</v>
      </c>
      <c r="N255" s="3" t="s">
        <v>24</v>
      </c>
      <c r="O255" s="4">
        <v>1</v>
      </c>
      <c r="P255" s="4">
        <v>3</v>
      </c>
      <c r="Q255" s="4">
        <v>1</v>
      </c>
    </row>
    <row r="256" spans="1:17" x14ac:dyDescent="0.25">
      <c r="A256" s="3" t="s">
        <v>18</v>
      </c>
      <c r="B256" s="3">
        <v>11129012</v>
      </c>
      <c r="C256" s="3" t="s">
        <v>288</v>
      </c>
      <c r="D256" s="3" t="s">
        <v>20</v>
      </c>
      <c r="E256" s="3" t="s">
        <v>21</v>
      </c>
      <c r="F256" s="3" t="s">
        <v>21</v>
      </c>
      <c r="G256" s="3" t="s">
        <v>233</v>
      </c>
      <c r="H256" s="3" t="s">
        <v>234</v>
      </c>
      <c r="I256" s="3" t="s">
        <v>24</v>
      </c>
      <c r="J256" s="3" t="s">
        <v>24</v>
      </c>
      <c r="K256" s="3" t="s">
        <v>25</v>
      </c>
      <c r="L256" s="4">
        <v>0</v>
      </c>
      <c r="M256" s="3" t="s">
        <v>26</v>
      </c>
      <c r="N256" s="3" t="s">
        <v>24</v>
      </c>
      <c r="O256" s="4">
        <v>1</v>
      </c>
      <c r="P256" s="4">
        <v>3</v>
      </c>
      <c r="Q256" s="4">
        <v>1</v>
      </c>
    </row>
    <row r="257" spans="1:17" x14ac:dyDescent="0.25">
      <c r="A257" s="3" t="s">
        <v>18</v>
      </c>
      <c r="B257" s="3">
        <v>11129013</v>
      </c>
      <c r="C257" s="3" t="s">
        <v>289</v>
      </c>
      <c r="D257" s="3" t="s">
        <v>20</v>
      </c>
      <c r="E257" s="3" t="s">
        <v>21</v>
      </c>
      <c r="F257" s="3" t="s">
        <v>21</v>
      </c>
      <c r="G257" s="3" t="s">
        <v>233</v>
      </c>
      <c r="H257" s="3" t="s">
        <v>234</v>
      </c>
      <c r="I257" s="3" t="s">
        <v>24</v>
      </c>
      <c r="J257" s="3" t="s">
        <v>24</v>
      </c>
      <c r="K257" s="3" t="s">
        <v>25</v>
      </c>
      <c r="L257" s="4">
        <v>0</v>
      </c>
      <c r="M257" s="3" t="s">
        <v>26</v>
      </c>
      <c r="N257" s="3" t="s">
        <v>24</v>
      </c>
      <c r="O257" s="4">
        <v>1</v>
      </c>
      <c r="P257" s="4">
        <v>2</v>
      </c>
      <c r="Q257" s="4">
        <v>1</v>
      </c>
    </row>
    <row r="258" spans="1:17" x14ac:dyDescent="0.25">
      <c r="A258" s="3" t="s">
        <v>18</v>
      </c>
      <c r="B258" s="3">
        <v>11129014</v>
      </c>
      <c r="C258" s="3" t="s">
        <v>290</v>
      </c>
      <c r="D258" s="3" t="s">
        <v>20</v>
      </c>
      <c r="E258" s="3" t="s">
        <v>21</v>
      </c>
      <c r="F258" s="3" t="s">
        <v>21</v>
      </c>
      <c r="G258" s="3" t="s">
        <v>233</v>
      </c>
      <c r="H258" s="3" t="s">
        <v>234</v>
      </c>
      <c r="I258" s="3" t="s">
        <v>24</v>
      </c>
      <c r="J258" s="3" t="s">
        <v>24</v>
      </c>
      <c r="K258" s="3" t="s">
        <v>25</v>
      </c>
      <c r="L258" s="4">
        <v>0</v>
      </c>
      <c r="M258" s="3" t="s">
        <v>26</v>
      </c>
      <c r="N258" s="3" t="s">
        <v>24</v>
      </c>
      <c r="O258" s="4">
        <v>1</v>
      </c>
      <c r="P258" s="4">
        <v>3</v>
      </c>
      <c r="Q258" s="4">
        <v>1</v>
      </c>
    </row>
    <row r="259" spans="1:17" x14ac:dyDescent="0.25">
      <c r="A259" s="3" t="s">
        <v>18</v>
      </c>
      <c r="B259" s="3">
        <v>11129015</v>
      </c>
      <c r="C259" s="3" t="s">
        <v>291</v>
      </c>
      <c r="D259" s="3" t="s">
        <v>20</v>
      </c>
      <c r="E259" s="3" t="s">
        <v>21</v>
      </c>
      <c r="F259" s="3" t="s">
        <v>21</v>
      </c>
      <c r="G259" s="3" t="s">
        <v>233</v>
      </c>
      <c r="H259" s="3" t="s">
        <v>234</v>
      </c>
      <c r="I259" s="3" t="s">
        <v>24</v>
      </c>
      <c r="J259" s="3" t="s">
        <v>24</v>
      </c>
      <c r="K259" s="3" t="s">
        <v>25</v>
      </c>
      <c r="L259" s="4">
        <v>0</v>
      </c>
      <c r="M259" s="3" t="s">
        <v>26</v>
      </c>
      <c r="N259" s="3" t="s">
        <v>24</v>
      </c>
      <c r="O259" s="4">
        <v>1</v>
      </c>
      <c r="P259" s="4">
        <v>2</v>
      </c>
      <c r="Q259" s="4">
        <v>1</v>
      </c>
    </row>
    <row r="260" spans="1:17" x14ac:dyDescent="0.25">
      <c r="A260" s="3" t="s">
        <v>18</v>
      </c>
      <c r="B260" s="3">
        <v>11129016</v>
      </c>
      <c r="C260" s="3" t="s">
        <v>292</v>
      </c>
      <c r="D260" s="3" t="s">
        <v>20</v>
      </c>
      <c r="E260" s="3" t="s">
        <v>21</v>
      </c>
      <c r="F260" s="3" t="s">
        <v>21</v>
      </c>
      <c r="G260" s="3" t="s">
        <v>233</v>
      </c>
      <c r="H260" s="3" t="s">
        <v>234</v>
      </c>
      <c r="I260" s="3" t="s">
        <v>24</v>
      </c>
      <c r="J260" s="3" t="s">
        <v>24</v>
      </c>
      <c r="K260" s="3" t="s">
        <v>25</v>
      </c>
      <c r="L260" s="4">
        <v>0</v>
      </c>
      <c r="M260" s="3" t="s">
        <v>26</v>
      </c>
      <c r="N260" s="3" t="s">
        <v>24</v>
      </c>
      <c r="O260" s="4">
        <v>1</v>
      </c>
      <c r="P260" s="4">
        <v>2</v>
      </c>
      <c r="Q260" s="4">
        <v>1</v>
      </c>
    </row>
    <row r="261" spans="1:17" x14ac:dyDescent="0.25">
      <c r="A261" s="3" t="s">
        <v>18</v>
      </c>
      <c r="B261" s="3">
        <v>11129017</v>
      </c>
      <c r="C261" s="3" t="s">
        <v>293</v>
      </c>
      <c r="D261" s="3" t="s">
        <v>20</v>
      </c>
      <c r="E261" s="3" t="s">
        <v>21</v>
      </c>
      <c r="F261" s="3" t="s">
        <v>21</v>
      </c>
      <c r="G261" s="3" t="s">
        <v>233</v>
      </c>
      <c r="H261" s="3" t="s">
        <v>234</v>
      </c>
      <c r="I261" s="3" t="s">
        <v>24</v>
      </c>
      <c r="J261" s="3" t="s">
        <v>24</v>
      </c>
      <c r="K261" s="3" t="s">
        <v>25</v>
      </c>
      <c r="L261" s="4">
        <v>0</v>
      </c>
      <c r="M261" s="3" t="s">
        <v>26</v>
      </c>
      <c r="N261" s="3" t="s">
        <v>24</v>
      </c>
      <c r="O261" s="4">
        <v>1</v>
      </c>
      <c r="P261" s="4">
        <v>2</v>
      </c>
      <c r="Q261" s="4">
        <v>1</v>
      </c>
    </row>
    <row r="262" spans="1:17" x14ac:dyDescent="0.25">
      <c r="A262" s="3" t="s">
        <v>18</v>
      </c>
      <c r="B262" s="3">
        <v>11129028</v>
      </c>
      <c r="C262" s="3" t="s">
        <v>294</v>
      </c>
      <c r="D262" s="3" t="s">
        <v>20</v>
      </c>
      <c r="E262" s="3" t="s">
        <v>21</v>
      </c>
      <c r="F262" s="3" t="s">
        <v>21</v>
      </c>
      <c r="G262" s="3" t="s">
        <v>233</v>
      </c>
      <c r="H262" s="3" t="s">
        <v>234</v>
      </c>
      <c r="I262" s="3" t="s">
        <v>24</v>
      </c>
      <c r="J262" s="3" t="s">
        <v>24</v>
      </c>
      <c r="K262" s="3" t="s">
        <v>25</v>
      </c>
      <c r="L262" s="4">
        <v>0</v>
      </c>
      <c r="M262" s="3" t="s">
        <v>26</v>
      </c>
      <c r="N262" s="3" t="s">
        <v>24</v>
      </c>
      <c r="O262" s="4">
        <v>1</v>
      </c>
      <c r="P262" s="4">
        <v>2</v>
      </c>
      <c r="Q262" s="4">
        <v>1</v>
      </c>
    </row>
    <row r="263" spans="1:17" x14ac:dyDescent="0.25">
      <c r="A263" s="3" t="s">
        <v>18</v>
      </c>
      <c r="B263" s="3">
        <v>11129029</v>
      </c>
      <c r="C263" s="3" t="s">
        <v>295</v>
      </c>
      <c r="D263" s="3" t="s">
        <v>20</v>
      </c>
      <c r="E263" s="3" t="s">
        <v>21</v>
      </c>
      <c r="F263" s="3" t="s">
        <v>21</v>
      </c>
      <c r="G263" s="3" t="s">
        <v>233</v>
      </c>
      <c r="H263" s="3" t="s">
        <v>234</v>
      </c>
      <c r="I263" s="3" t="s">
        <v>24</v>
      </c>
      <c r="J263" s="3" t="s">
        <v>24</v>
      </c>
      <c r="K263" s="3" t="s">
        <v>25</v>
      </c>
      <c r="L263" s="4">
        <v>0</v>
      </c>
      <c r="M263" s="3" t="s">
        <v>26</v>
      </c>
      <c r="N263" s="3" t="s">
        <v>24</v>
      </c>
      <c r="O263" s="4">
        <v>1</v>
      </c>
      <c r="P263" s="4">
        <v>2</v>
      </c>
      <c r="Q263" s="4">
        <v>1</v>
      </c>
    </row>
    <row r="264" spans="1:17" x14ac:dyDescent="0.25">
      <c r="A264" s="3" t="s">
        <v>18</v>
      </c>
      <c r="B264" s="3">
        <v>11129030</v>
      </c>
      <c r="C264" s="3" t="s">
        <v>296</v>
      </c>
      <c r="D264" s="3" t="s">
        <v>20</v>
      </c>
      <c r="E264" s="3" t="s">
        <v>21</v>
      </c>
      <c r="F264" s="3" t="s">
        <v>21</v>
      </c>
      <c r="G264" s="3" t="s">
        <v>233</v>
      </c>
      <c r="H264" s="3" t="s">
        <v>234</v>
      </c>
      <c r="I264" s="3" t="s">
        <v>24</v>
      </c>
      <c r="J264" s="3" t="s">
        <v>24</v>
      </c>
      <c r="K264" s="3" t="s">
        <v>25</v>
      </c>
      <c r="L264" s="4">
        <v>0</v>
      </c>
      <c r="M264" s="3" t="s">
        <v>26</v>
      </c>
      <c r="N264" s="3" t="s">
        <v>24</v>
      </c>
      <c r="O264" s="4">
        <v>1</v>
      </c>
      <c r="P264" s="4">
        <v>2</v>
      </c>
      <c r="Q264" s="4">
        <v>1</v>
      </c>
    </row>
    <row r="265" spans="1:17" x14ac:dyDescent="0.25">
      <c r="A265" s="3" t="s">
        <v>18</v>
      </c>
      <c r="B265" s="3">
        <v>11129031</v>
      </c>
      <c r="C265" s="3" t="s">
        <v>297</v>
      </c>
      <c r="D265" s="3" t="s">
        <v>20</v>
      </c>
      <c r="E265" s="3" t="s">
        <v>21</v>
      </c>
      <c r="F265" s="3" t="s">
        <v>21</v>
      </c>
      <c r="G265" s="3" t="s">
        <v>233</v>
      </c>
      <c r="H265" s="3" t="s">
        <v>234</v>
      </c>
      <c r="I265" s="3" t="s">
        <v>24</v>
      </c>
      <c r="J265" s="3" t="s">
        <v>24</v>
      </c>
      <c r="K265" s="3" t="s">
        <v>25</v>
      </c>
      <c r="L265" s="4">
        <v>0</v>
      </c>
      <c r="M265" s="3" t="s">
        <v>26</v>
      </c>
      <c r="N265" s="3" t="s">
        <v>24</v>
      </c>
      <c r="O265" s="4">
        <v>1</v>
      </c>
      <c r="P265" s="4">
        <v>2</v>
      </c>
      <c r="Q265" s="4">
        <v>1</v>
      </c>
    </row>
    <row r="266" spans="1:17" x14ac:dyDescent="0.25">
      <c r="A266" s="3" t="s">
        <v>18</v>
      </c>
      <c r="B266" s="3">
        <v>11129033</v>
      </c>
      <c r="C266" s="3" t="s">
        <v>298</v>
      </c>
      <c r="D266" s="3" t="s">
        <v>20</v>
      </c>
      <c r="E266" s="3" t="s">
        <v>21</v>
      </c>
      <c r="F266" s="3" t="s">
        <v>21</v>
      </c>
      <c r="G266" s="3" t="s">
        <v>233</v>
      </c>
      <c r="H266" s="3" t="s">
        <v>234</v>
      </c>
      <c r="I266" s="3" t="s">
        <v>24</v>
      </c>
      <c r="J266" s="3" t="s">
        <v>24</v>
      </c>
      <c r="K266" s="3" t="s">
        <v>25</v>
      </c>
      <c r="L266" s="4">
        <v>0</v>
      </c>
      <c r="M266" s="3" t="s">
        <v>26</v>
      </c>
      <c r="N266" s="3" t="s">
        <v>24</v>
      </c>
      <c r="O266" s="4">
        <v>1</v>
      </c>
      <c r="P266" s="4">
        <v>2</v>
      </c>
      <c r="Q266" s="4">
        <v>1</v>
      </c>
    </row>
    <row r="267" spans="1:17" x14ac:dyDescent="0.25">
      <c r="A267" s="3" t="s">
        <v>18</v>
      </c>
      <c r="B267" s="3">
        <v>11129034</v>
      </c>
      <c r="C267" s="3" t="s">
        <v>299</v>
      </c>
      <c r="D267" s="3" t="s">
        <v>20</v>
      </c>
      <c r="E267" s="3" t="s">
        <v>21</v>
      </c>
      <c r="F267" s="3" t="s">
        <v>21</v>
      </c>
      <c r="G267" s="3" t="s">
        <v>233</v>
      </c>
      <c r="H267" s="3" t="s">
        <v>234</v>
      </c>
      <c r="I267" s="3" t="s">
        <v>24</v>
      </c>
      <c r="J267" s="3" t="s">
        <v>24</v>
      </c>
      <c r="K267" s="3" t="s">
        <v>25</v>
      </c>
      <c r="L267" s="4">
        <v>0</v>
      </c>
      <c r="M267" s="3" t="s">
        <v>26</v>
      </c>
      <c r="N267" s="3" t="s">
        <v>24</v>
      </c>
      <c r="O267" s="4">
        <v>1</v>
      </c>
      <c r="P267" s="4">
        <v>2</v>
      </c>
      <c r="Q267" s="4">
        <v>1</v>
      </c>
    </row>
    <row r="268" spans="1:17" x14ac:dyDescent="0.25">
      <c r="A268" s="3" t="s">
        <v>18</v>
      </c>
      <c r="B268" s="3">
        <v>11129035</v>
      </c>
      <c r="C268" s="3" t="s">
        <v>300</v>
      </c>
      <c r="D268" s="3" t="s">
        <v>20</v>
      </c>
      <c r="E268" s="3" t="s">
        <v>21</v>
      </c>
      <c r="F268" s="3" t="s">
        <v>21</v>
      </c>
      <c r="G268" s="3" t="s">
        <v>233</v>
      </c>
      <c r="H268" s="3" t="s">
        <v>234</v>
      </c>
      <c r="I268" s="3" t="s">
        <v>24</v>
      </c>
      <c r="J268" s="3" t="s">
        <v>24</v>
      </c>
      <c r="K268" s="3" t="s">
        <v>25</v>
      </c>
      <c r="L268" s="4">
        <v>0</v>
      </c>
      <c r="M268" s="3" t="s">
        <v>26</v>
      </c>
      <c r="N268" s="3" t="s">
        <v>24</v>
      </c>
      <c r="O268" s="4">
        <v>1</v>
      </c>
      <c r="P268" s="4">
        <v>2</v>
      </c>
      <c r="Q268" s="4">
        <v>1</v>
      </c>
    </row>
    <row r="269" spans="1:17" x14ac:dyDescent="0.25">
      <c r="A269" s="3" t="s">
        <v>18</v>
      </c>
      <c r="B269" s="3">
        <v>11129036</v>
      </c>
      <c r="C269" s="3" t="s">
        <v>301</v>
      </c>
      <c r="D269" s="3" t="s">
        <v>20</v>
      </c>
      <c r="E269" s="3" t="s">
        <v>21</v>
      </c>
      <c r="F269" s="3" t="s">
        <v>21</v>
      </c>
      <c r="G269" s="3" t="s">
        <v>233</v>
      </c>
      <c r="H269" s="3" t="s">
        <v>234</v>
      </c>
      <c r="I269" s="3" t="s">
        <v>24</v>
      </c>
      <c r="J269" s="3" t="s">
        <v>24</v>
      </c>
      <c r="K269" s="3" t="s">
        <v>25</v>
      </c>
      <c r="L269" s="4">
        <v>0</v>
      </c>
      <c r="M269" s="3" t="s">
        <v>26</v>
      </c>
      <c r="N269" s="3" t="s">
        <v>24</v>
      </c>
      <c r="O269" s="4">
        <v>1</v>
      </c>
      <c r="P269" s="4">
        <v>2</v>
      </c>
      <c r="Q269" s="4">
        <v>1</v>
      </c>
    </row>
    <row r="270" spans="1:17" x14ac:dyDescent="0.25">
      <c r="A270" s="3" t="s">
        <v>18</v>
      </c>
      <c r="B270" s="3">
        <v>11129037</v>
      </c>
      <c r="C270" s="3" t="s">
        <v>302</v>
      </c>
      <c r="D270" s="3" t="s">
        <v>20</v>
      </c>
      <c r="E270" s="3" t="s">
        <v>21</v>
      </c>
      <c r="F270" s="3" t="s">
        <v>21</v>
      </c>
      <c r="G270" s="3" t="s">
        <v>233</v>
      </c>
      <c r="H270" s="3" t="s">
        <v>234</v>
      </c>
      <c r="I270" s="3" t="s">
        <v>24</v>
      </c>
      <c r="J270" s="3" t="s">
        <v>24</v>
      </c>
      <c r="K270" s="3" t="s">
        <v>25</v>
      </c>
      <c r="L270" s="4">
        <v>0</v>
      </c>
      <c r="M270" s="3" t="s">
        <v>26</v>
      </c>
      <c r="N270" s="3" t="s">
        <v>24</v>
      </c>
      <c r="O270" s="4">
        <v>1</v>
      </c>
      <c r="P270" s="4">
        <v>3</v>
      </c>
      <c r="Q270" s="4">
        <v>1</v>
      </c>
    </row>
    <row r="271" spans="1:17" x14ac:dyDescent="0.25">
      <c r="A271" s="3" t="s">
        <v>18</v>
      </c>
      <c r="B271" s="3">
        <v>11129060</v>
      </c>
      <c r="C271" s="3" t="s">
        <v>303</v>
      </c>
      <c r="D271" s="3" t="s">
        <v>20</v>
      </c>
      <c r="E271" s="3" t="s">
        <v>21</v>
      </c>
      <c r="F271" s="3" t="s">
        <v>21</v>
      </c>
      <c r="G271" s="3" t="s">
        <v>233</v>
      </c>
      <c r="H271" s="3" t="s">
        <v>234</v>
      </c>
      <c r="I271" s="3" t="s">
        <v>24</v>
      </c>
      <c r="J271" s="3" t="s">
        <v>24</v>
      </c>
      <c r="K271" s="3" t="s">
        <v>25</v>
      </c>
      <c r="L271" s="4">
        <v>0</v>
      </c>
      <c r="M271" s="3" t="s">
        <v>26</v>
      </c>
      <c r="N271" s="3" t="s">
        <v>24</v>
      </c>
      <c r="O271" s="4">
        <v>1</v>
      </c>
      <c r="P271" s="4">
        <v>2</v>
      </c>
      <c r="Q271" s="4">
        <v>1</v>
      </c>
    </row>
    <row r="272" spans="1:17" x14ac:dyDescent="0.25">
      <c r="A272" s="3" t="s">
        <v>18</v>
      </c>
      <c r="B272" s="3">
        <v>11129061</v>
      </c>
      <c r="C272" s="3" t="s">
        <v>304</v>
      </c>
      <c r="D272" s="3" t="s">
        <v>20</v>
      </c>
      <c r="E272" s="3" t="s">
        <v>21</v>
      </c>
      <c r="F272" s="3" t="s">
        <v>21</v>
      </c>
      <c r="G272" s="3" t="s">
        <v>233</v>
      </c>
      <c r="H272" s="3" t="s">
        <v>234</v>
      </c>
      <c r="I272" s="3" t="s">
        <v>24</v>
      </c>
      <c r="J272" s="3" t="s">
        <v>24</v>
      </c>
      <c r="K272" s="3" t="s">
        <v>25</v>
      </c>
      <c r="L272" s="4">
        <v>0</v>
      </c>
      <c r="M272" s="3" t="s">
        <v>26</v>
      </c>
      <c r="N272" s="3" t="s">
        <v>24</v>
      </c>
      <c r="O272" s="4">
        <v>1</v>
      </c>
      <c r="P272" s="4">
        <v>2</v>
      </c>
      <c r="Q272" s="4">
        <v>1</v>
      </c>
    </row>
    <row r="273" spans="1:17" x14ac:dyDescent="0.25">
      <c r="A273" s="3" t="s">
        <v>18</v>
      </c>
      <c r="B273" s="3">
        <v>11129064</v>
      </c>
      <c r="C273" s="3" t="s">
        <v>305</v>
      </c>
      <c r="D273" s="3" t="s">
        <v>20</v>
      </c>
      <c r="E273" s="3" t="s">
        <v>21</v>
      </c>
      <c r="F273" s="3" t="s">
        <v>21</v>
      </c>
      <c r="G273" s="3" t="s">
        <v>233</v>
      </c>
      <c r="H273" s="3" t="s">
        <v>234</v>
      </c>
      <c r="I273" s="3" t="s">
        <v>24</v>
      </c>
      <c r="J273" s="3" t="s">
        <v>24</v>
      </c>
      <c r="K273" s="3" t="s">
        <v>25</v>
      </c>
      <c r="L273" s="4">
        <v>0</v>
      </c>
      <c r="M273" s="3" t="s">
        <v>26</v>
      </c>
      <c r="N273" s="3" t="s">
        <v>24</v>
      </c>
      <c r="O273" s="4">
        <v>1</v>
      </c>
      <c r="P273" s="4">
        <v>2</v>
      </c>
      <c r="Q273" s="4">
        <v>1</v>
      </c>
    </row>
    <row r="274" spans="1:17" x14ac:dyDescent="0.25">
      <c r="A274" s="3" t="s">
        <v>18</v>
      </c>
      <c r="B274" s="3">
        <v>11129066</v>
      </c>
      <c r="C274" s="3" t="s">
        <v>306</v>
      </c>
      <c r="D274" s="3" t="s">
        <v>20</v>
      </c>
      <c r="E274" s="3" t="s">
        <v>21</v>
      </c>
      <c r="F274" s="3" t="s">
        <v>21</v>
      </c>
      <c r="G274" s="3" t="s">
        <v>233</v>
      </c>
      <c r="H274" s="3" t="s">
        <v>234</v>
      </c>
      <c r="I274" s="3" t="s">
        <v>24</v>
      </c>
      <c r="J274" s="3" t="s">
        <v>24</v>
      </c>
      <c r="K274" s="3" t="s">
        <v>25</v>
      </c>
      <c r="L274" s="4">
        <v>0</v>
      </c>
      <c r="M274" s="3" t="s">
        <v>26</v>
      </c>
      <c r="N274" s="3" t="s">
        <v>24</v>
      </c>
      <c r="O274" s="4">
        <v>1</v>
      </c>
      <c r="P274" s="4">
        <v>2</v>
      </c>
      <c r="Q274" s="4">
        <v>1</v>
      </c>
    </row>
    <row r="275" spans="1:17" x14ac:dyDescent="0.25">
      <c r="A275" s="3" t="s">
        <v>18</v>
      </c>
      <c r="B275" s="3">
        <v>11129078</v>
      </c>
      <c r="C275" s="3" t="s">
        <v>307</v>
      </c>
      <c r="D275" s="3" t="s">
        <v>20</v>
      </c>
      <c r="E275" s="3" t="s">
        <v>21</v>
      </c>
      <c r="F275" s="3" t="s">
        <v>21</v>
      </c>
      <c r="G275" s="3" t="s">
        <v>233</v>
      </c>
      <c r="H275" s="3" t="s">
        <v>234</v>
      </c>
      <c r="I275" s="3" t="s">
        <v>24</v>
      </c>
      <c r="J275" s="3" t="s">
        <v>24</v>
      </c>
      <c r="K275" s="3" t="s">
        <v>25</v>
      </c>
      <c r="L275" s="4">
        <v>0</v>
      </c>
      <c r="M275" s="3" t="s">
        <v>26</v>
      </c>
      <c r="N275" s="3" t="s">
        <v>24</v>
      </c>
      <c r="O275" s="4">
        <v>1</v>
      </c>
      <c r="P275" s="4">
        <v>2</v>
      </c>
      <c r="Q275" s="4">
        <v>1</v>
      </c>
    </row>
    <row r="276" spans="1:17" x14ac:dyDescent="0.25">
      <c r="A276" s="3" t="s">
        <v>18</v>
      </c>
      <c r="B276" s="3">
        <v>11129079</v>
      </c>
      <c r="C276" s="3" t="s">
        <v>308</v>
      </c>
      <c r="D276" s="3" t="s">
        <v>20</v>
      </c>
      <c r="E276" s="3" t="s">
        <v>21</v>
      </c>
      <c r="F276" s="3" t="s">
        <v>21</v>
      </c>
      <c r="G276" s="3" t="s">
        <v>233</v>
      </c>
      <c r="H276" s="3" t="s">
        <v>234</v>
      </c>
      <c r="I276" s="3" t="s">
        <v>24</v>
      </c>
      <c r="J276" s="3" t="s">
        <v>24</v>
      </c>
      <c r="K276" s="3" t="s">
        <v>25</v>
      </c>
      <c r="L276" s="4">
        <v>0</v>
      </c>
      <c r="M276" s="3" t="s">
        <v>26</v>
      </c>
      <c r="N276" s="3" t="s">
        <v>24</v>
      </c>
      <c r="O276" s="4">
        <v>1</v>
      </c>
      <c r="P276" s="4">
        <v>2</v>
      </c>
      <c r="Q276" s="4">
        <v>1</v>
      </c>
    </row>
    <row r="277" spans="1:17" x14ac:dyDescent="0.25">
      <c r="A277" s="3" t="s">
        <v>18</v>
      </c>
      <c r="B277" s="3">
        <v>11129080</v>
      </c>
      <c r="C277" s="3" t="s">
        <v>309</v>
      </c>
      <c r="D277" s="3" t="s">
        <v>20</v>
      </c>
      <c r="E277" s="3" t="s">
        <v>21</v>
      </c>
      <c r="F277" s="3" t="s">
        <v>21</v>
      </c>
      <c r="G277" s="3" t="s">
        <v>233</v>
      </c>
      <c r="H277" s="3" t="s">
        <v>234</v>
      </c>
      <c r="I277" s="3" t="s">
        <v>24</v>
      </c>
      <c r="J277" s="3" t="s">
        <v>24</v>
      </c>
      <c r="K277" s="3" t="s">
        <v>25</v>
      </c>
      <c r="L277" s="4">
        <v>0</v>
      </c>
      <c r="M277" s="3" t="s">
        <v>26</v>
      </c>
      <c r="N277" s="3" t="s">
        <v>24</v>
      </c>
      <c r="O277" s="4">
        <v>1</v>
      </c>
      <c r="P277" s="4">
        <v>2</v>
      </c>
      <c r="Q277" s="4">
        <v>1</v>
      </c>
    </row>
    <row r="278" spans="1:17" x14ac:dyDescent="0.25">
      <c r="A278" s="3" t="s">
        <v>18</v>
      </c>
      <c r="B278" s="3">
        <v>11129335</v>
      </c>
      <c r="C278" s="3" t="s">
        <v>310</v>
      </c>
      <c r="D278" s="3" t="s">
        <v>20</v>
      </c>
      <c r="E278" s="3" t="s">
        <v>21</v>
      </c>
      <c r="F278" s="3" t="s">
        <v>21</v>
      </c>
      <c r="G278" s="3" t="s">
        <v>233</v>
      </c>
      <c r="H278" s="3" t="s">
        <v>234</v>
      </c>
      <c r="I278" s="3" t="s">
        <v>24</v>
      </c>
      <c r="J278" s="3" t="s">
        <v>24</v>
      </c>
      <c r="K278" s="3" t="s">
        <v>25</v>
      </c>
      <c r="L278" s="4">
        <v>0</v>
      </c>
      <c r="M278" s="3" t="s">
        <v>26</v>
      </c>
      <c r="N278" s="3" t="s">
        <v>24</v>
      </c>
      <c r="O278" s="4">
        <v>1</v>
      </c>
      <c r="P278" s="4">
        <v>2</v>
      </c>
      <c r="Q278" s="4">
        <v>1</v>
      </c>
    </row>
    <row r="279" spans="1:17" x14ac:dyDescent="0.25">
      <c r="A279" s="3" t="s">
        <v>18</v>
      </c>
      <c r="B279" s="3">
        <v>11129336</v>
      </c>
      <c r="C279" s="3" t="s">
        <v>311</v>
      </c>
      <c r="D279" s="3" t="s">
        <v>20</v>
      </c>
      <c r="E279" s="3" t="s">
        <v>21</v>
      </c>
      <c r="F279" s="3" t="s">
        <v>21</v>
      </c>
      <c r="G279" s="3" t="s">
        <v>233</v>
      </c>
      <c r="H279" s="3" t="s">
        <v>234</v>
      </c>
      <c r="I279" s="3" t="s">
        <v>24</v>
      </c>
      <c r="J279" s="3" t="s">
        <v>24</v>
      </c>
      <c r="K279" s="3" t="s">
        <v>25</v>
      </c>
      <c r="L279" s="4">
        <v>0</v>
      </c>
      <c r="M279" s="3" t="s">
        <v>26</v>
      </c>
      <c r="N279" s="3" t="s">
        <v>24</v>
      </c>
      <c r="O279" s="4">
        <v>1</v>
      </c>
      <c r="P279" s="4">
        <v>2</v>
      </c>
      <c r="Q279" s="4">
        <v>1</v>
      </c>
    </row>
    <row r="280" spans="1:17" x14ac:dyDescent="0.25">
      <c r="A280" s="3" t="s">
        <v>18</v>
      </c>
      <c r="B280" s="3">
        <v>11129368</v>
      </c>
      <c r="C280" s="3" t="s">
        <v>312</v>
      </c>
      <c r="D280" s="3" t="s">
        <v>20</v>
      </c>
      <c r="E280" s="3" t="s">
        <v>21</v>
      </c>
      <c r="F280" s="3" t="s">
        <v>21</v>
      </c>
      <c r="G280" s="3" t="s">
        <v>233</v>
      </c>
      <c r="H280" s="3" t="s">
        <v>234</v>
      </c>
      <c r="I280" s="3" t="s">
        <v>24</v>
      </c>
      <c r="J280" s="3" t="s">
        <v>24</v>
      </c>
      <c r="K280" s="3" t="s">
        <v>25</v>
      </c>
      <c r="L280" s="4">
        <v>0</v>
      </c>
      <c r="M280" s="3" t="s">
        <v>26</v>
      </c>
      <c r="N280" s="3" t="s">
        <v>24</v>
      </c>
      <c r="O280" s="4">
        <v>1</v>
      </c>
      <c r="P280" s="4">
        <v>2</v>
      </c>
      <c r="Q280" s="4">
        <v>1</v>
      </c>
    </row>
    <row r="281" spans="1:17" x14ac:dyDescent="0.25">
      <c r="A281" s="3" t="s">
        <v>18</v>
      </c>
      <c r="B281" s="3">
        <v>11129370</v>
      </c>
      <c r="C281" s="3" t="s">
        <v>313</v>
      </c>
      <c r="D281" s="3" t="s">
        <v>20</v>
      </c>
      <c r="E281" s="3" t="s">
        <v>21</v>
      </c>
      <c r="F281" s="3" t="s">
        <v>21</v>
      </c>
      <c r="G281" s="3" t="s">
        <v>233</v>
      </c>
      <c r="H281" s="3" t="s">
        <v>234</v>
      </c>
      <c r="I281" s="3" t="s">
        <v>24</v>
      </c>
      <c r="J281" s="3" t="s">
        <v>24</v>
      </c>
      <c r="K281" s="3" t="s">
        <v>25</v>
      </c>
      <c r="L281" s="4">
        <v>0</v>
      </c>
      <c r="M281" s="3" t="s">
        <v>26</v>
      </c>
      <c r="N281" s="3" t="s">
        <v>24</v>
      </c>
      <c r="O281" s="4">
        <v>1</v>
      </c>
      <c r="P281" s="4">
        <v>3</v>
      </c>
      <c r="Q281" s="4">
        <v>1</v>
      </c>
    </row>
    <row r="282" spans="1:17" x14ac:dyDescent="0.25">
      <c r="A282" s="3" t="s">
        <v>18</v>
      </c>
      <c r="B282" s="3">
        <v>11129373</v>
      </c>
      <c r="C282" s="3" t="s">
        <v>314</v>
      </c>
      <c r="D282" s="3" t="s">
        <v>20</v>
      </c>
      <c r="E282" s="3" t="s">
        <v>21</v>
      </c>
      <c r="F282" s="3" t="s">
        <v>21</v>
      </c>
      <c r="G282" s="3" t="s">
        <v>233</v>
      </c>
      <c r="H282" s="3" t="s">
        <v>234</v>
      </c>
      <c r="I282" s="3" t="s">
        <v>24</v>
      </c>
      <c r="J282" s="3" t="s">
        <v>24</v>
      </c>
      <c r="K282" s="3" t="s">
        <v>25</v>
      </c>
      <c r="L282" s="4">
        <v>0</v>
      </c>
      <c r="M282" s="3" t="s">
        <v>26</v>
      </c>
      <c r="N282" s="3" t="s">
        <v>24</v>
      </c>
      <c r="O282" s="4">
        <v>1</v>
      </c>
      <c r="P282" s="4">
        <v>3</v>
      </c>
      <c r="Q282" s="4">
        <v>1</v>
      </c>
    </row>
    <row r="283" spans="1:17" x14ac:dyDescent="0.25">
      <c r="A283" s="3" t="s">
        <v>18</v>
      </c>
      <c r="B283" s="3">
        <v>11129375</v>
      </c>
      <c r="C283" s="3" t="s">
        <v>315</v>
      </c>
      <c r="D283" s="3" t="s">
        <v>20</v>
      </c>
      <c r="E283" s="3" t="s">
        <v>21</v>
      </c>
      <c r="F283" s="3" t="s">
        <v>21</v>
      </c>
      <c r="G283" s="3" t="s">
        <v>233</v>
      </c>
      <c r="H283" s="3" t="s">
        <v>234</v>
      </c>
      <c r="I283" s="3" t="s">
        <v>24</v>
      </c>
      <c r="J283" s="3" t="s">
        <v>24</v>
      </c>
      <c r="K283" s="3" t="s">
        <v>25</v>
      </c>
      <c r="L283" s="4">
        <v>0</v>
      </c>
      <c r="M283" s="3" t="s">
        <v>26</v>
      </c>
      <c r="N283" s="3" t="s">
        <v>24</v>
      </c>
      <c r="O283" s="4">
        <v>1</v>
      </c>
      <c r="P283" s="4">
        <v>3</v>
      </c>
      <c r="Q283" s="4">
        <v>1</v>
      </c>
    </row>
    <row r="284" spans="1:17" x14ac:dyDescent="0.25">
      <c r="A284" s="3" t="s">
        <v>18</v>
      </c>
      <c r="B284" s="3">
        <v>11129376</v>
      </c>
      <c r="C284" s="3" t="s">
        <v>316</v>
      </c>
      <c r="D284" s="3" t="s">
        <v>20</v>
      </c>
      <c r="E284" s="3" t="s">
        <v>21</v>
      </c>
      <c r="F284" s="3" t="s">
        <v>21</v>
      </c>
      <c r="G284" s="3" t="s">
        <v>233</v>
      </c>
      <c r="H284" s="3" t="s">
        <v>234</v>
      </c>
      <c r="I284" s="3" t="s">
        <v>24</v>
      </c>
      <c r="J284" s="3" t="s">
        <v>24</v>
      </c>
      <c r="K284" s="3" t="s">
        <v>25</v>
      </c>
      <c r="L284" s="4">
        <v>0</v>
      </c>
      <c r="M284" s="3" t="s">
        <v>26</v>
      </c>
      <c r="N284" s="3" t="s">
        <v>24</v>
      </c>
      <c r="O284" s="4">
        <v>1</v>
      </c>
      <c r="P284" s="4">
        <v>3</v>
      </c>
      <c r="Q284" s="4">
        <v>1</v>
      </c>
    </row>
    <row r="285" spans="1:17" x14ac:dyDescent="0.25">
      <c r="A285" s="3" t="s">
        <v>18</v>
      </c>
      <c r="B285" s="3">
        <v>11129388</v>
      </c>
      <c r="C285" s="3" t="s">
        <v>317</v>
      </c>
      <c r="D285" s="3" t="s">
        <v>20</v>
      </c>
      <c r="E285" s="3" t="s">
        <v>21</v>
      </c>
      <c r="F285" s="3" t="s">
        <v>21</v>
      </c>
      <c r="G285" s="3" t="s">
        <v>233</v>
      </c>
      <c r="H285" s="3" t="s">
        <v>234</v>
      </c>
      <c r="I285" s="3" t="s">
        <v>24</v>
      </c>
      <c r="J285" s="3" t="s">
        <v>24</v>
      </c>
      <c r="K285" s="3" t="s">
        <v>25</v>
      </c>
      <c r="L285" s="4">
        <v>0</v>
      </c>
      <c r="M285" s="3" t="s">
        <v>26</v>
      </c>
      <c r="N285" s="3" t="s">
        <v>24</v>
      </c>
      <c r="O285" s="4">
        <v>1</v>
      </c>
      <c r="P285" s="4">
        <v>2</v>
      </c>
      <c r="Q285" s="4">
        <v>1</v>
      </c>
    </row>
    <row r="286" spans="1:17" x14ac:dyDescent="0.25">
      <c r="A286" s="3" t="s">
        <v>18</v>
      </c>
      <c r="B286" s="3">
        <v>11129390</v>
      </c>
      <c r="C286" s="3" t="s">
        <v>318</v>
      </c>
      <c r="D286" s="3" t="s">
        <v>20</v>
      </c>
      <c r="E286" s="3" t="s">
        <v>21</v>
      </c>
      <c r="F286" s="3" t="s">
        <v>21</v>
      </c>
      <c r="G286" s="3" t="s">
        <v>233</v>
      </c>
      <c r="H286" s="3" t="s">
        <v>234</v>
      </c>
      <c r="I286" s="3" t="s">
        <v>24</v>
      </c>
      <c r="J286" s="3" t="s">
        <v>24</v>
      </c>
      <c r="K286" s="3" t="s">
        <v>25</v>
      </c>
      <c r="L286" s="4">
        <v>0</v>
      </c>
      <c r="M286" s="3" t="s">
        <v>26</v>
      </c>
      <c r="N286" s="3" t="s">
        <v>24</v>
      </c>
      <c r="O286" s="4">
        <v>1</v>
      </c>
      <c r="P286" s="4">
        <v>2</v>
      </c>
      <c r="Q286" s="4">
        <v>1</v>
      </c>
    </row>
    <row r="287" spans="1:17" x14ac:dyDescent="0.25">
      <c r="A287" s="3" t="s">
        <v>18</v>
      </c>
      <c r="B287" s="3">
        <v>11129395</v>
      </c>
      <c r="C287" s="3" t="s">
        <v>319</v>
      </c>
      <c r="D287" s="3" t="s">
        <v>20</v>
      </c>
      <c r="E287" s="3" t="s">
        <v>21</v>
      </c>
      <c r="F287" s="3" t="s">
        <v>21</v>
      </c>
      <c r="G287" s="3" t="s">
        <v>233</v>
      </c>
      <c r="H287" s="3" t="s">
        <v>234</v>
      </c>
      <c r="I287" s="3" t="s">
        <v>24</v>
      </c>
      <c r="J287" s="3" t="s">
        <v>24</v>
      </c>
      <c r="K287" s="3" t="s">
        <v>25</v>
      </c>
      <c r="L287" s="4">
        <v>0</v>
      </c>
      <c r="M287" s="3" t="s">
        <v>26</v>
      </c>
      <c r="N287" s="3" t="s">
        <v>24</v>
      </c>
      <c r="O287" s="4">
        <v>1</v>
      </c>
      <c r="P287" s="4">
        <v>2</v>
      </c>
      <c r="Q287" s="4">
        <v>1</v>
      </c>
    </row>
    <row r="288" spans="1:17" x14ac:dyDescent="0.25">
      <c r="A288" s="3" t="s">
        <v>18</v>
      </c>
      <c r="B288" s="3">
        <v>11129396</v>
      </c>
      <c r="C288" s="3" t="s">
        <v>320</v>
      </c>
      <c r="D288" s="3" t="s">
        <v>20</v>
      </c>
      <c r="E288" s="3" t="s">
        <v>21</v>
      </c>
      <c r="F288" s="3" t="s">
        <v>21</v>
      </c>
      <c r="G288" s="3" t="s">
        <v>233</v>
      </c>
      <c r="H288" s="3" t="s">
        <v>234</v>
      </c>
      <c r="I288" s="3" t="s">
        <v>24</v>
      </c>
      <c r="J288" s="3" t="s">
        <v>24</v>
      </c>
      <c r="K288" s="3" t="s">
        <v>25</v>
      </c>
      <c r="L288" s="4">
        <v>0</v>
      </c>
      <c r="M288" s="3" t="s">
        <v>26</v>
      </c>
      <c r="N288" s="3" t="s">
        <v>24</v>
      </c>
      <c r="O288" s="4">
        <v>1</v>
      </c>
      <c r="P288" s="4">
        <v>2</v>
      </c>
      <c r="Q288" s="4">
        <v>1</v>
      </c>
    </row>
    <row r="289" spans="1:17" x14ac:dyDescent="0.25">
      <c r="A289" s="3" t="s">
        <v>18</v>
      </c>
      <c r="B289" s="3">
        <v>11129408</v>
      </c>
      <c r="C289" s="3" t="s">
        <v>321</v>
      </c>
      <c r="D289" s="3" t="s">
        <v>20</v>
      </c>
      <c r="E289" s="3" t="s">
        <v>21</v>
      </c>
      <c r="F289" s="3" t="s">
        <v>21</v>
      </c>
      <c r="G289" s="3" t="s">
        <v>233</v>
      </c>
      <c r="H289" s="3" t="s">
        <v>234</v>
      </c>
      <c r="I289" s="3" t="s">
        <v>24</v>
      </c>
      <c r="J289" s="3" t="s">
        <v>24</v>
      </c>
      <c r="K289" s="3" t="s">
        <v>25</v>
      </c>
      <c r="L289" s="4">
        <v>0</v>
      </c>
      <c r="M289" s="3" t="s">
        <v>26</v>
      </c>
      <c r="N289" s="3" t="s">
        <v>24</v>
      </c>
      <c r="O289" s="4">
        <v>1</v>
      </c>
      <c r="P289" s="4">
        <v>2</v>
      </c>
      <c r="Q289" s="4">
        <v>1</v>
      </c>
    </row>
    <row r="290" spans="1:17" x14ac:dyDescent="0.25">
      <c r="A290" s="3" t="s">
        <v>18</v>
      </c>
      <c r="B290" s="3">
        <v>11129409</v>
      </c>
      <c r="C290" s="3" t="s">
        <v>322</v>
      </c>
      <c r="D290" s="3" t="s">
        <v>20</v>
      </c>
      <c r="E290" s="3" t="s">
        <v>21</v>
      </c>
      <c r="F290" s="3" t="s">
        <v>21</v>
      </c>
      <c r="G290" s="3" t="s">
        <v>233</v>
      </c>
      <c r="H290" s="3" t="s">
        <v>234</v>
      </c>
      <c r="I290" s="3" t="s">
        <v>24</v>
      </c>
      <c r="J290" s="3" t="s">
        <v>24</v>
      </c>
      <c r="K290" s="3" t="s">
        <v>25</v>
      </c>
      <c r="L290" s="4">
        <v>0</v>
      </c>
      <c r="M290" s="3" t="s">
        <v>26</v>
      </c>
      <c r="N290" s="3" t="s">
        <v>24</v>
      </c>
      <c r="O290" s="4">
        <v>1</v>
      </c>
      <c r="P290" s="4">
        <v>2</v>
      </c>
      <c r="Q290" s="4">
        <v>1</v>
      </c>
    </row>
    <row r="291" spans="1:17" x14ac:dyDescent="0.25">
      <c r="A291" s="3" t="s">
        <v>18</v>
      </c>
      <c r="B291" s="3">
        <v>11129410</v>
      </c>
      <c r="C291" s="3" t="s">
        <v>323</v>
      </c>
      <c r="D291" s="3" t="s">
        <v>20</v>
      </c>
      <c r="E291" s="3" t="s">
        <v>21</v>
      </c>
      <c r="F291" s="3" t="s">
        <v>21</v>
      </c>
      <c r="G291" s="3" t="s">
        <v>233</v>
      </c>
      <c r="H291" s="3" t="s">
        <v>234</v>
      </c>
      <c r="I291" s="3" t="s">
        <v>24</v>
      </c>
      <c r="J291" s="3" t="s">
        <v>24</v>
      </c>
      <c r="K291" s="3" t="s">
        <v>25</v>
      </c>
      <c r="L291" s="4">
        <v>0</v>
      </c>
      <c r="M291" s="3" t="s">
        <v>26</v>
      </c>
      <c r="N291" s="3" t="s">
        <v>24</v>
      </c>
      <c r="O291" s="4">
        <v>1</v>
      </c>
      <c r="P291" s="4">
        <v>2</v>
      </c>
      <c r="Q291" s="4">
        <v>1</v>
      </c>
    </row>
    <row r="292" spans="1:17" x14ac:dyDescent="0.25">
      <c r="A292" s="3" t="s">
        <v>18</v>
      </c>
      <c r="B292" s="3">
        <v>11129517</v>
      </c>
      <c r="C292" s="3" t="s">
        <v>324</v>
      </c>
      <c r="D292" s="3" t="s">
        <v>20</v>
      </c>
      <c r="E292" s="3" t="s">
        <v>21</v>
      </c>
      <c r="F292" s="3" t="s">
        <v>21</v>
      </c>
      <c r="G292" s="3" t="s">
        <v>233</v>
      </c>
      <c r="H292" s="3" t="s">
        <v>234</v>
      </c>
      <c r="I292" s="3" t="s">
        <v>24</v>
      </c>
      <c r="J292" s="3" t="s">
        <v>24</v>
      </c>
      <c r="K292" s="3" t="s">
        <v>25</v>
      </c>
      <c r="L292" s="4">
        <v>0</v>
      </c>
      <c r="M292" s="3" t="s">
        <v>26</v>
      </c>
      <c r="N292" s="3" t="s">
        <v>24</v>
      </c>
      <c r="O292" s="4">
        <v>1</v>
      </c>
      <c r="P292" s="4">
        <v>2</v>
      </c>
      <c r="Q292" s="4">
        <v>1</v>
      </c>
    </row>
    <row r="293" spans="1:17" x14ac:dyDescent="0.25">
      <c r="A293" s="3" t="s">
        <v>18</v>
      </c>
      <c r="B293" s="3">
        <v>11129588</v>
      </c>
      <c r="C293" s="3" t="s">
        <v>325</v>
      </c>
      <c r="D293" s="3" t="s">
        <v>20</v>
      </c>
      <c r="E293" s="3" t="s">
        <v>21</v>
      </c>
      <c r="F293" s="3" t="s">
        <v>21</v>
      </c>
      <c r="G293" s="3" t="s">
        <v>233</v>
      </c>
      <c r="H293" s="3" t="s">
        <v>234</v>
      </c>
      <c r="I293" s="3" t="s">
        <v>24</v>
      </c>
      <c r="J293" s="3" t="s">
        <v>24</v>
      </c>
      <c r="K293" s="3" t="s">
        <v>25</v>
      </c>
      <c r="L293" s="4">
        <v>0</v>
      </c>
      <c r="M293" s="3" t="s">
        <v>26</v>
      </c>
      <c r="N293" s="3" t="s">
        <v>24</v>
      </c>
      <c r="O293" s="4">
        <v>1</v>
      </c>
      <c r="P293" s="4">
        <v>2</v>
      </c>
      <c r="Q293" s="4">
        <v>1</v>
      </c>
    </row>
    <row r="294" spans="1:17" x14ac:dyDescent="0.25">
      <c r="A294" s="3" t="s">
        <v>18</v>
      </c>
      <c r="B294" s="3">
        <v>11129589</v>
      </c>
      <c r="C294" s="3" t="s">
        <v>326</v>
      </c>
      <c r="D294" s="3" t="s">
        <v>20</v>
      </c>
      <c r="E294" s="3" t="s">
        <v>21</v>
      </c>
      <c r="F294" s="3" t="s">
        <v>21</v>
      </c>
      <c r="G294" s="3" t="s">
        <v>233</v>
      </c>
      <c r="H294" s="3" t="s">
        <v>234</v>
      </c>
      <c r="I294" s="3" t="s">
        <v>24</v>
      </c>
      <c r="J294" s="3" t="s">
        <v>24</v>
      </c>
      <c r="K294" s="3" t="s">
        <v>25</v>
      </c>
      <c r="L294" s="4">
        <v>0</v>
      </c>
      <c r="M294" s="3" t="s">
        <v>26</v>
      </c>
      <c r="N294" s="3" t="s">
        <v>24</v>
      </c>
      <c r="O294" s="4">
        <v>1</v>
      </c>
      <c r="P294" s="4">
        <v>2</v>
      </c>
      <c r="Q294" s="4">
        <v>1</v>
      </c>
    </row>
    <row r="295" spans="1:17" x14ac:dyDescent="0.25">
      <c r="A295" s="3" t="s">
        <v>18</v>
      </c>
      <c r="B295" s="3">
        <v>11129590</v>
      </c>
      <c r="C295" s="3" t="s">
        <v>327</v>
      </c>
      <c r="D295" s="3" t="s">
        <v>20</v>
      </c>
      <c r="E295" s="3" t="s">
        <v>21</v>
      </c>
      <c r="F295" s="3" t="s">
        <v>21</v>
      </c>
      <c r="G295" s="3" t="s">
        <v>233</v>
      </c>
      <c r="H295" s="3" t="s">
        <v>234</v>
      </c>
      <c r="I295" s="3" t="s">
        <v>24</v>
      </c>
      <c r="J295" s="3" t="s">
        <v>24</v>
      </c>
      <c r="K295" s="3" t="s">
        <v>25</v>
      </c>
      <c r="L295" s="4">
        <v>0</v>
      </c>
      <c r="M295" s="3" t="s">
        <v>26</v>
      </c>
      <c r="N295" s="3" t="s">
        <v>24</v>
      </c>
      <c r="O295" s="4">
        <v>1</v>
      </c>
      <c r="P295" s="4">
        <v>2</v>
      </c>
      <c r="Q295" s="4">
        <v>1</v>
      </c>
    </row>
    <row r="296" spans="1:17" x14ac:dyDescent="0.25">
      <c r="A296" s="3" t="s">
        <v>18</v>
      </c>
      <c r="B296" s="3">
        <v>11129591</v>
      </c>
      <c r="C296" s="3" t="s">
        <v>328</v>
      </c>
      <c r="D296" s="3" t="s">
        <v>20</v>
      </c>
      <c r="E296" s="3" t="s">
        <v>21</v>
      </c>
      <c r="F296" s="3" t="s">
        <v>21</v>
      </c>
      <c r="G296" s="3" t="s">
        <v>233</v>
      </c>
      <c r="H296" s="3" t="s">
        <v>234</v>
      </c>
      <c r="I296" s="3" t="s">
        <v>24</v>
      </c>
      <c r="J296" s="3" t="s">
        <v>24</v>
      </c>
      <c r="K296" s="3" t="s">
        <v>25</v>
      </c>
      <c r="L296" s="4">
        <v>0</v>
      </c>
      <c r="M296" s="3" t="s">
        <v>26</v>
      </c>
      <c r="N296" s="3" t="s">
        <v>24</v>
      </c>
      <c r="O296" s="4">
        <v>1</v>
      </c>
      <c r="P296" s="4">
        <v>2</v>
      </c>
      <c r="Q296" s="4">
        <v>1</v>
      </c>
    </row>
    <row r="297" spans="1:17" x14ac:dyDescent="0.25">
      <c r="A297" s="3" t="s">
        <v>18</v>
      </c>
      <c r="B297" s="3">
        <v>11129595</v>
      </c>
      <c r="C297" s="3" t="s">
        <v>329</v>
      </c>
      <c r="D297" s="3" t="s">
        <v>20</v>
      </c>
      <c r="E297" s="3" t="s">
        <v>21</v>
      </c>
      <c r="F297" s="3" t="s">
        <v>21</v>
      </c>
      <c r="G297" s="3" t="s">
        <v>233</v>
      </c>
      <c r="H297" s="3" t="s">
        <v>234</v>
      </c>
      <c r="I297" s="3" t="s">
        <v>24</v>
      </c>
      <c r="J297" s="3" t="s">
        <v>24</v>
      </c>
      <c r="K297" s="3" t="s">
        <v>25</v>
      </c>
      <c r="L297" s="4">
        <v>0</v>
      </c>
      <c r="M297" s="3" t="s">
        <v>26</v>
      </c>
      <c r="N297" s="3" t="s">
        <v>24</v>
      </c>
      <c r="O297" s="4">
        <v>1</v>
      </c>
      <c r="P297" s="4">
        <v>3</v>
      </c>
      <c r="Q297" s="4">
        <v>1</v>
      </c>
    </row>
    <row r="298" spans="1:17" x14ac:dyDescent="0.25">
      <c r="A298" s="3" t="s">
        <v>18</v>
      </c>
      <c r="B298" s="3">
        <v>11129596</v>
      </c>
      <c r="C298" s="3" t="s">
        <v>330</v>
      </c>
      <c r="D298" s="3" t="s">
        <v>20</v>
      </c>
      <c r="E298" s="3" t="s">
        <v>21</v>
      </c>
      <c r="F298" s="3" t="s">
        <v>21</v>
      </c>
      <c r="G298" s="3" t="s">
        <v>233</v>
      </c>
      <c r="H298" s="3" t="s">
        <v>234</v>
      </c>
      <c r="I298" s="3" t="s">
        <v>24</v>
      </c>
      <c r="J298" s="3" t="s">
        <v>24</v>
      </c>
      <c r="K298" s="3" t="s">
        <v>25</v>
      </c>
      <c r="L298" s="4">
        <v>0</v>
      </c>
      <c r="M298" s="3" t="s">
        <v>26</v>
      </c>
      <c r="N298" s="3" t="s">
        <v>24</v>
      </c>
      <c r="O298" s="4">
        <v>1</v>
      </c>
      <c r="P298" s="4">
        <v>2</v>
      </c>
      <c r="Q298" s="4">
        <v>1</v>
      </c>
    </row>
    <row r="299" spans="1:17" x14ac:dyDescent="0.25">
      <c r="A299" s="3" t="s">
        <v>18</v>
      </c>
      <c r="B299" s="3">
        <v>11130181</v>
      </c>
      <c r="C299" s="3" t="s">
        <v>331</v>
      </c>
      <c r="D299" s="3" t="s">
        <v>20</v>
      </c>
      <c r="E299" s="3" t="s">
        <v>21</v>
      </c>
      <c r="F299" s="3" t="s">
        <v>21</v>
      </c>
      <c r="G299" s="3" t="s">
        <v>36</v>
      </c>
      <c r="H299" s="3" t="s">
        <v>37</v>
      </c>
      <c r="I299" s="3" t="s">
        <v>24</v>
      </c>
      <c r="J299" s="3" t="s">
        <v>24</v>
      </c>
      <c r="K299" s="3" t="s">
        <v>25</v>
      </c>
      <c r="L299" s="4">
        <v>0</v>
      </c>
      <c r="M299" s="3" t="s">
        <v>26</v>
      </c>
      <c r="N299" s="3" t="s">
        <v>24</v>
      </c>
      <c r="O299" s="4">
        <v>1</v>
      </c>
      <c r="P299" s="4">
        <v>10</v>
      </c>
      <c r="Q299" s="4">
        <v>1</v>
      </c>
    </row>
    <row r="300" spans="1:17" x14ac:dyDescent="0.25">
      <c r="A300" s="3" t="s">
        <v>18</v>
      </c>
      <c r="B300" s="3">
        <v>11130183</v>
      </c>
      <c r="C300" s="3" t="s">
        <v>332</v>
      </c>
      <c r="D300" s="3" t="s">
        <v>20</v>
      </c>
      <c r="E300" s="3" t="s">
        <v>21</v>
      </c>
      <c r="F300" s="3" t="s">
        <v>21</v>
      </c>
      <c r="G300" s="3" t="s">
        <v>22</v>
      </c>
      <c r="H300" s="3" t="s">
        <v>23</v>
      </c>
      <c r="I300" s="3" t="s">
        <v>24</v>
      </c>
      <c r="J300" s="3" t="s">
        <v>24</v>
      </c>
      <c r="K300" s="3" t="s">
        <v>25</v>
      </c>
      <c r="L300" s="4">
        <v>0</v>
      </c>
      <c r="M300" s="3" t="s">
        <v>26</v>
      </c>
      <c r="N300" s="3" t="s">
        <v>24</v>
      </c>
      <c r="O300" s="4">
        <v>1</v>
      </c>
      <c r="P300" s="4">
        <v>4</v>
      </c>
      <c r="Q300" s="4">
        <v>1</v>
      </c>
    </row>
    <row r="301" spans="1:17" x14ac:dyDescent="0.25">
      <c r="A301" s="3" t="s">
        <v>18</v>
      </c>
      <c r="B301" s="3">
        <v>11130184</v>
      </c>
      <c r="C301" s="3" t="s">
        <v>333</v>
      </c>
      <c r="D301" s="3" t="s">
        <v>20</v>
      </c>
      <c r="E301" s="3" t="s">
        <v>21</v>
      </c>
      <c r="F301" s="3" t="s">
        <v>21</v>
      </c>
      <c r="G301" s="3" t="s">
        <v>22</v>
      </c>
      <c r="H301" s="3" t="s">
        <v>23</v>
      </c>
      <c r="I301" s="3" t="s">
        <v>24</v>
      </c>
      <c r="J301" s="3" t="s">
        <v>24</v>
      </c>
      <c r="K301" s="3" t="s">
        <v>25</v>
      </c>
      <c r="L301" s="4">
        <v>0</v>
      </c>
      <c r="M301" s="3" t="s">
        <v>26</v>
      </c>
      <c r="N301" s="3" t="s">
        <v>24</v>
      </c>
      <c r="O301" s="4">
        <v>1</v>
      </c>
      <c r="P301" s="4">
        <v>4</v>
      </c>
      <c r="Q301" s="4">
        <v>1</v>
      </c>
    </row>
    <row r="302" spans="1:17" x14ac:dyDescent="0.25">
      <c r="A302" s="3" t="s">
        <v>18</v>
      </c>
      <c r="B302" s="3">
        <v>11130186</v>
      </c>
      <c r="C302" s="3" t="s">
        <v>334</v>
      </c>
      <c r="D302" s="3" t="s">
        <v>20</v>
      </c>
      <c r="E302" s="3" t="s">
        <v>21</v>
      </c>
      <c r="F302" s="3" t="s">
        <v>21</v>
      </c>
      <c r="G302" s="3" t="s">
        <v>42</v>
      </c>
      <c r="H302" s="3" t="s">
        <v>43</v>
      </c>
      <c r="I302" s="3" t="s">
        <v>24</v>
      </c>
      <c r="J302" s="3" t="s">
        <v>24</v>
      </c>
      <c r="K302" s="3" t="s">
        <v>25</v>
      </c>
      <c r="L302" s="4">
        <v>0</v>
      </c>
      <c r="M302" s="3" t="s">
        <v>26</v>
      </c>
      <c r="N302" s="3" t="s">
        <v>24</v>
      </c>
      <c r="O302" s="4">
        <v>1</v>
      </c>
      <c r="P302" s="4">
        <v>8</v>
      </c>
      <c r="Q302" s="4">
        <v>1</v>
      </c>
    </row>
    <row r="303" spans="1:17" x14ac:dyDescent="0.25">
      <c r="A303" s="3" t="s">
        <v>18</v>
      </c>
      <c r="B303" s="3">
        <v>11130623</v>
      </c>
      <c r="C303" s="3" t="s">
        <v>335</v>
      </c>
      <c r="D303" s="3" t="s">
        <v>20</v>
      </c>
      <c r="E303" s="3" t="s">
        <v>21</v>
      </c>
      <c r="F303" s="3" t="s">
        <v>21</v>
      </c>
      <c r="G303" s="3" t="s">
        <v>233</v>
      </c>
      <c r="H303" s="3" t="s">
        <v>234</v>
      </c>
      <c r="I303" s="3" t="s">
        <v>24</v>
      </c>
      <c r="J303" s="3" t="s">
        <v>24</v>
      </c>
      <c r="K303" s="3" t="s">
        <v>25</v>
      </c>
      <c r="L303" s="4">
        <v>0</v>
      </c>
      <c r="M303" s="3" t="s">
        <v>26</v>
      </c>
      <c r="N303" s="3" t="s">
        <v>24</v>
      </c>
      <c r="O303" s="4">
        <v>1</v>
      </c>
      <c r="P303" s="4">
        <v>2</v>
      </c>
      <c r="Q303" s="4">
        <v>1</v>
      </c>
    </row>
    <row r="304" spans="1:17" x14ac:dyDescent="0.25">
      <c r="A304" s="3" t="s">
        <v>18</v>
      </c>
      <c r="B304" s="3">
        <v>11130624</v>
      </c>
      <c r="C304" s="3" t="s">
        <v>336</v>
      </c>
      <c r="D304" s="3" t="s">
        <v>20</v>
      </c>
      <c r="E304" s="3" t="s">
        <v>21</v>
      </c>
      <c r="F304" s="3" t="s">
        <v>21</v>
      </c>
      <c r="G304" s="3" t="s">
        <v>233</v>
      </c>
      <c r="H304" s="3" t="s">
        <v>234</v>
      </c>
      <c r="I304" s="3" t="s">
        <v>24</v>
      </c>
      <c r="J304" s="3" t="s">
        <v>24</v>
      </c>
      <c r="K304" s="3" t="s">
        <v>25</v>
      </c>
      <c r="L304" s="4">
        <v>0</v>
      </c>
      <c r="M304" s="3" t="s">
        <v>26</v>
      </c>
      <c r="N304" s="3" t="s">
        <v>24</v>
      </c>
      <c r="O304" s="4">
        <v>1</v>
      </c>
      <c r="P304" s="4">
        <v>3</v>
      </c>
      <c r="Q304" s="4">
        <v>1</v>
      </c>
    </row>
    <row r="305" spans="1:17" x14ac:dyDescent="0.25">
      <c r="A305" s="3" t="s">
        <v>18</v>
      </c>
      <c r="B305" s="3">
        <v>11135342</v>
      </c>
      <c r="C305" s="3" t="s">
        <v>337</v>
      </c>
      <c r="D305" s="3" t="s">
        <v>20</v>
      </c>
      <c r="E305" s="3" t="s">
        <v>21</v>
      </c>
      <c r="F305" s="3" t="s">
        <v>21</v>
      </c>
      <c r="G305" s="3" t="s">
        <v>22</v>
      </c>
      <c r="H305" s="3" t="s">
        <v>23</v>
      </c>
      <c r="I305" s="3" t="s">
        <v>24</v>
      </c>
      <c r="J305" s="3" t="s">
        <v>24</v>
      </c>
      <c r="K305" s="3" t="s">
        <v>25</v>
      </c>
      <c r="L305" s="4">
        <v>0</v>
      </c>
      <c r="M305" s="3" t="s">
        <v>26</v>
      </c>
      <c r="N305" s="3" t="s">
        <v>24</v>
      </c>
      <c r="O305" s="4">
        <v>1</v>
      </c>
      <c r="P305" s="4">
        <v>1</v>
      </c>
      <c r="Q305" s="4">
        <v>1</v>
      </c>
    </row>
    <row r="306" spans="1:17" x14ac:dyDescent="0.25">
      <c r="A306" s="3" t="s">
        <v>18</v>
      </c>
      <c r="B306" s="3">
        <v>11135343</v>
      </c>
      <c r="C306" s="3" t="s">
        <v>338</v>
      </c>
      <c r="D306" s="3" t="s">
        <v>20</v>
      </c>
      <c r="E306" s="3" t="s">
        <v>21</v>
      </c>
      <c r="F306" s="3" t="s">
        <v>21</v>
      </c>
      <c r="G306" s="3" t="s">
        <v>22</v>
      </c>
      <c r="H306" s="3" t="s">
        <v>23</v>
      </c>
      <c r="I306" s="3" t="s">
        <v>24</v>
      </c>
      <c r="J306" s="3" t="s">
        <v>24</v>
      </c>
      <c r="K306" s="3" t="s">
        <v>25</v>
      </c>
      <c r="L306" s="4">
        <v>0</v>
      </c>
      <c r="M306" s="3" t="s">
        <v>26</v>
      </c>
      <c r="N306" s="3" t="s">
        <v>24</v>
      </c>
      <c r="O306" s="4">
        <v>1</v>
      </c>
      <c r="P306" s="4">
        <v>1</v>
      </c>
      <c r="Q306" s="4">
        <v>1</v>
      </c>
    </row>
    <row r="307" spans="1:17" x14ac:dyDescent="0.25">
      <c r="A307" s="3" t="s">
        <v>18</v>
      </c>
      <c r="B307" s="3">
        <v>11135344</v>
      </c>
      <c r="C307" s="3" t="s">
        <v>339</v>
      </c>
      <c r="D307" s="3" t="s">
        <v>20</v>
      </c>
      <c r="E307" s="3" t="s">
        <v>21</v>
      </c>
      <c r="F307" s="3" t="s">
        <v>21</v>
      </c>
      <c r="G307" s="3" t="s">
        <v>22</v>
      </c>
      <c r="H307" s="3" t="s">
        <v>23</v>
      </c>
      <c r="I307" s="3" t="s">
        <v>24</v>
      </c>
      <c r="J307" s="3" t="s">
        <v>24</v>
      </c>
      <c r="K307" s="3" t="s">
        <v>25</v>
      </c>
      <c r="L307" s="4">
        <v>0</v>
      </c>
      <c r="M307" s="3" t="s">
        <v>26</v>
      </c>
      <c r="N307" s="3" t="s">
        <v>24</v>
      </c>
      <c r="O307" s="4">
        <v>1</v>
      </c>
      <c r="P307" s="4">
        <v>1</v>
      </c>
      <c r="Q307" s="4">
        <v>1</v>
      </c>
    </row>
    <row r="308" spans="1:17" x14ac:dyDescent="0.25">
      <c r="A308" s="3" t="s">
        <v>18</v>
      </c>
      <c r="B308" s="3">
        <v>11135345</v>
      </c>
      <c r="C308" s="3" t="s">
        <v>340</v>
      </c>
      <c r="D308" s="3" t="s">
        <v>20</v>
      </c>
      <c r="E308" s="3" t="s">
        <v>21</v>
      </c>
      <c r="F308" s="3" t="s">
        <v>21</v>
      </c>
      <c r="G308" s="3" t="s">
        <v>22</v>
      </c>
      <c r="H308" s="3" t="s">
        <v>23</v>
      </c>
      <c r="I308" s="3" t="s">
        <v>24</v>
      </c>
      <c r="J308" s="3" t="s">
        <v>24</v>
      </c>
      <c r="K308" s="3" t="s">
        <v>25</v>
      </c>
      <c r="L308" s="4">
        <v>0</v>
      </c>
      <c r="M308" s="3" t="s">
        <v>26</v>
      </c>
      <c r="N308" s="3" t="s">
        <v>24</v>
      </c>
      <c r="O308" s="4">
        <v>1</v>
      </c>
      <c r="P308" s="4">
        <v>1</v>
      </c>
      <c r="Q308" s="4">
        <v>1</v>
      </c>
    </row>
    <row r="309" spans="1:17" x14ac:dyDescent="0.25">
      <c r="A309" s="3" t="s">
        <v>18</v>
      </c>
      <c r="B309" s="3">
        <v>11135346</v>
      </c>
      <c r="C309" s="3" t="s">
        <v>341</v>
      </c>
      <c r="D309" s="3" t="s">
        <v>20</v>
      </c>
      <c r="E309" s="3" t="s">
        <v>21</v>
      </c>
      <c r="F309" s="3" t="s">
        <v>21</v>
      </c>
      <c r="G309" s="3" t="s">
        <v>22</v>
      </c>
      <c r="H309" s="3" t="s">
        <v>23</v>
      </c>
      <c r="I309" s="3" t="s">
        <v>24</v>
      </c>
      <c r="J309" s="3" t="s">
        <v>24</v>
      </c>
      <c r="K309" s="3" t="s">
        <v>25</v>
      </c>
      <c r="L309" s="4">
        <v>0</v>
      </c>
      <c r="M309" s="3" t="s">
        <v>26</v>
      </c>
      <c r="N309" s="3" t="s">
        <v>24</v>
      </c>
      <c r="O309" s="4">
        <v>1</v>
      </c>
      <c r="P309" s="4">
        <v>1</v>
      </c>
      <c r="Q309" s="4">
        <v>1</v>
      </c>
    </row>
    <row r="310" spans="1:17" x14ac:dyDescent="0.25">
      <c r="A310" s="3" t="s">
        <v>18</v>
      </c>
      <c r="B310" s="3">
        <v>11135347</v>
      </c>
      <c r="C310" s="3" t="s">
        <v>342</v>
      </c>
      <c r="D310" s="3" t="s">
        <v>20</v>
      </c>
      <c r="E310" s="3" t="s">
        <v>21</v>
      </c>
      <c r="F310" s="3" t="s">
        <v>21</v>
      </c>
      <c r="G310" s="3" t="s">
        <v>22</v>
      </c>
      <c r="H310" s="3" t="s">
        <v>23</v>
      </c>
      <c r="I310" s="3" t="s">
        <v>24</v>
      </c>
      <c r="J310" s="3" t="s">
        <v>24</v>
      </c>
      <c r="K310" s="3" t="s">
        <v>25</v>
      </c>
      <c r="L310" s="4">
        <v>0</v>
      </c>
      <c r="M310" s="3" t="s">
        <v>26</v>
      </c>
      <c r="N310" s="3" t="s">
        <v>24</v>
      </c>
      <c r="O310" s="4">
        <v>1</v>
      </c>
      <c r="P310" s="4">
        <v>1</v>
      </c>
      <c r="Q310" s="4">
        <v>1</v>
      </c>
    </row>
    <row r="311" spans="1:17" x14ac:dyDescent="0.25">
      <c r="A311" s="3" t="s">
        <v>18</v>
      </c>
      <c r="B311" s="3">
        <v>11135478</v>
      </c>
      <c r="C311" s="3" t="s">
        <v>343</v>
      </c>
      <c r="D311" s="3" t="s">
        <v>20</v>
      </c>
      <c r="E311" s="3" t="s">
        <v>21</v>
      </c>
      <c r="F311" s="3" t="s">
        <v>21</v>
      </c>
      <c r="G311" s="3" t="s">
        <v>22</v>
      </c>
      <c r="H311" s="3" t="s">
        <v>23</v>
      </c>
      <c r="I311" s="3" t="s">
        <v>24</v>
      </c>
      <c r="J311" s="3" t="s">
        <v>24</v>
      </c>
      <c r="K311" s="3" t="s">
        <v>25</v>
      </c>
      <c r="L311" s="4">
        <v>0</v>
      </c>
      <c r="M311" s="3" t="s">
        <v>26</v>
      </c>
      <c r="N311" s="3" t="s">
        <v>24</v>
      </c>
      <c r="O311" s="4">
        <v>1</v>
      </c>
      <c r="P311" s="4">
        <v>1</v>
      </c>
      <c r="Q311" s="4">
        <v>1</v>
      </c>
    </row>
    <row r="312" spans="1:17" x14ac:dyDescent="0.25">
      <c r="A312" s="3" t="s">
        <v>18</v>
      </c>
      <c r="B312" s="3">
        <v>11135479</v>
      </c>
      <c r="C312" s="3" t="s">
        <v>344</v>
      </c>
      <c r="D312" s="3" t="s">
        <v>20</v>
      </c>
      <c r="E312" s="3" t="s">
        <v>21</v>
      </c>
      <c r="F312" s="3" t="s">
        <v>21</v>
      </c>
      <c r="G312" s="3" t="s">
        <v>22</v>
      </c>
      <c r="H312" s="3" t="s">
        <v>23</v>
      </c>
      <c r="I312" s="3" t="s">
        <v>24</v>
      </c>
      <c r="J312" s="3" t="s">
        <v>24</v>
      </c>
      <c r="K312" s="3" t="s">
        <v>25</v>
      </c>
      <c r="L312" s="4">
        <v>0</v>
      </c>
      <c r="M312" s="3" t="s">
        <v>26</v>
      </c>
      <c r="N312" s="3" t="s">
        <v>24</v>
      </c>
      <c r="O312" s="4">
        <v>1</v>
      </c>
      <c r="P312" s="4">
        <v>1</v>
      </c>
      <c r="Q312" s="4">
        <v>1</v>
      </c>
    </row>
    <row r="313" spans="1:17" x14ac:dyDescent="0.25">
      <c r="A313" s="3" t="s">
        <v>18</v>
      </c>
      <c r="B313" s="3">
        <v>11135480</v>
      </c>
      <c r="C313" s="3" t="s">
        <v>345</v>
      </c>
      <c r="D313" s="3" t="s">
        <v>20</v>
      </c>
      <c r="E313" s="3" t="s">
        <v>21</v>
      </c>
      <c r="F313" s="3" t="s">
        <v>21</v>
      </c>
      <c r="G313" s="3" t="s">
        <v>22</v>
      </c>
      <c r="H313" s="3" t="s">
        <v>23</v>
      </c>
      <c r="I313" s="3" t="s">
        <v>24</v>
      </c>
      <c r="J313" s="3" t="s">
        <v>24</v>
      </c>
      <c r="K313" s="3" t="s">
        <v>25</v>
      </c>
      <c r="L313" s="4">
        <v>0</v>
      </c>
      <c r="M313" s="3" t="s">
        <v>26</v>
      </c>
      <c r="N313" s="3" t="s">
        <v>24</v>
      </c>
      <c r="O313" s="4">
        <v>1</v>
      </c>
      <c r="P313" s="4">
        <v>1</v>
      </c>
      <c r="Q313" s="4">
        <v>1</v>
      </c>
    </row>
    <row r="314" spans="1:17" x14ac:dyDescent="0.25">
      <c r="A314" s="3" t="s">
        <v>18</v>
      </c>
      <c r="B314" s="3">
        <v>11135483</v>
      </c>
      <c r="C314" s="3" t="s">
        <v>346</v>
      </c>
      <c r="D314" s="3" t="s">
        <v>20</v>
      </c>
      <c r="E314" s="3" t="s">
        <v>21</v>
      </c>
      <c r="F314" s="3" t="s">
        <v>21</v>
      </c>
      <c r="G314" s="3" t="s">
        <v>22</v>
      </c>
      <c r="H314" s="3" t="s">
        <v>23</v>
      </c>
      <c r="I314" s="3" t="s">
        <v>24</v>
      </c>
      <c r="J314" s="3" t="s">
        <v>24</v>
      </c>
      <c r="K314" s="3" t="s">
        <v>25</v>
      </c>
      <c r="L314" s="4">
        <v>0</v>
      </c>
      <c r="M314" s="3" t="s">
        <v>26</v>
      </c>
      <c r="N314" s="3" t="s">
        <v>24</v>
      </c>
      <c r="O314" s="4">
        <v>1</v>
      </c>
      <c r="P314" s="4">
        <v>1</v>
      </c>
      <c r="Q314" s="4">
        <v>1</v>
      </c>
    </row>
    <row r="315" spans="1:17" x14ac:dyDescent="0.25">
      <c r="A315" s="3" t="s">
        <v>18</v>
      </c>
      <c r="B315" s="3">
        <v>11135484</v>
      </c>
      <c r="C315" s="3" t="s">
        <v>347</v>
      </c>
      <c r="D315" s="3" t="s">
        <v>20</v>
      </c>
      <c r="E315" s="3" t="s">
        <v>21</v>
      </c>
      <c r="F315" s="3" t="s">
        <v>21</v>
      </c>
      <c r="G315" s="3" t="s">
        <v>36</v>
      </c>
      <c r="H315" s="3" t="s">
        <v>37</v>
      </c>
      <c r="I315" s="3" t="s">
        <v>24</v>
      </c>
      <c r="J315" s="3" t="s">
        <v>24</v>
      </c>
      <c r="K315" s="3" t="s">
        <v>25</v>
      </c>
      <c r="L315" s="4">
        <v>0</v>
      </c>
      <c r="M315" s="3" t="s">
        <v>26</v>
      </c>
      <c r="N315" s="3" t="s">
        <v>24</v>
      </c>
      <c r="O315" s="4">
        <v>1</v>
      </c>
      <c r="P315" s="4">
        <v>3</v>
      </c>
      <c r="Q315" s="4">
        <v>1</v>
      </c>
    </row>
    <row r="316" spans="1:17" x14ac:dyDescent="0.25">
      <c r="A316" s="3" t="s">
        <v>18</v>
      </c>
      <c r="B316" s="3">
        <v>11135485</v>
      </c>
      <c r="C316" s="3" t="s">
        <v>348</v>
      </c>
      <c r="D316" s="3" t="s">
        <v>20</v>
      </c>
      <c r="E316" s="3" t="s">
        <v>21</v>
      </c>
      <c r="F316" s="3" t="s">
        <v>21</v>
      </c>
      <c r="G316" s="3" t="s">
        <v>36</v>
      </c>
      <c r="H316" s="3" t="s">
        <v>37</v>
      </c>
      <c r="I316" s="3" t="s">
        <v>24</v>
      </c>
      <c r="J316" s="3" t="s">
        <v>24</v>
      </c>
      <c r="K316" s="3" t="s">
        <v>25</v>
      </c>
      <c r="L316" s="4">
        <v>0</v>
      </c>
      <c r="M316" s="3" t="s">
        <v>26</v>
      </c>
      <c r="N316" s="3" t="s">
        <v>24</v>
      </c>
      <c r="O316" s="4">
        <v>1</v>
      </c>
      <c r="P316" s="4">
        <v>3</v>
      </c>
      <c r="Q316" s="4">
        <v>1</v>
      </c>
    </row>
    <row r="317" spans="1:17" x14ac:dyDescent="0.25">
      <c r="A317" s="3" t="s">
        <v>18</v>
      </c>
      <c r="B317" s="3">
        <v>11135486</v>
      </c>
      <c r="C317" s="3" t="s">
        <v>349</v>
      </c>
      <c r="D317" s="3" t="s">
        <v>20</v>
      </c>
      <c r="E317" s="3" t="s">
        <v>21</v>
      </c>
      <c r="F317" s="3" t="s">
        <v>21</v>
      </c>
      <c r="G317" s="3" t="s">
        <v>36</v>
      </c>
      <c r="H317" s="3" t="s">
        <v>37</v>
      </c>
      <c r="I317" s="3" t="s">
        <v>24</v>
      </c>
      <c r="J317" s="3" t="s">
        <v>24</v>
      </c>
      <c r="K317" s="3" t="s">
        <v>25</v>
      </c>
      <c r="L317" s="4">
        <v>0</v>
      </c>
      <c r="M317" s="3" t="s">
        <v>26</v>
      </c>
      <c r="N317" s="3" t="s">
        <v>24</v>
      </c>
      <c r="O317" s="4">
        <v>1</v>
      </c>
      <c r="P317" s="4">
        <v>3</v>
      </c>
      <c r="Q317" s="4">
        <v>1</v>
      </c>
    </row>
    <row r="318" spans="1:17" x14ac:dyDescent="0.25">
      <c r="A318" s="3" t="s">
        <v>18</v>
      </c>
      <c r="B318" s="3">
        <v>11135487</v>
      </c>
      <c r="C318" s="3" t="s">
        <v>350</v>
      </c>
      <c r="D318" s="3" t="s">
        <v>20</v>
      </c>
      <c r="E318" s="3" t="s">
        <v>21</v>
      </c>
      <c r="F318" s="3" t="s">
        <v>21</v>
      </c>
      <c r="G318" s="3" t="s">
        <v>36</v>
      </c>
      <c r="H318" s="3" t="s">
        <v>37</v>
      </c>
      <c r="I318" s="3" t="s">
        <v>24</v>
      </c>
      <c r="J318" s="3" t="s">
        <v>24</v>
      </c>
      <c r="K318" s="3" t="s">
        <v>25</v>
      </c>
      <c r="L318" s="4">
        <v>0</v>
      </c>
      <c r="M318" s="3" t="s">
        <v>26</v>
      </c>
      <c r="N318" s="3" t="s">
        <v>24</v>
      </c>
      <c r="O318" s="4">
        <v>1</v>
      </c>
      <c r="P318" s="4">
        <v>2</v>
      </c>
      <c r="Q318" s="4">
        <v>1</v>
      </c>
    </row>
    <row r="319" spans="1:17" x14ac:dyDescent="0.25">
      <c r="A319" s="3" t="s">
        <v>18</v>
      </c>
      <c r="B319" s="3">
        <v>11135645</v>
      </c>
      <c r="C319" s="3" t="s">
        <v>351</v>
      </c>
      <c r="D319" s="3" t="s">
        <v>20</v>
      </c>
      <c r="E319" s="3" t="s">
        <v>21</v>
      </c>
      <c r="F319" s="3" t="s">
        <v>21</v>
      </c>
      <c r="G319" s="3" t="s">
        <v>36</v>
      </c>
      <c r="H319" s="3" t="s">
        <v>37</v>
      </c>
      <c r="I319" s="3" t="s">
        <v>24</v>
      </c>
      <c r="J319" s="3" t="s">
        <v>24</v>
      </c>
      <c r="K319" s="3" t="s">
        <v>25</v>
      </c>
      <c r="L319" s="4">
        <v>0</v>
      </c>
      <c r="M319" s="3" t="s">
        <v>26</v>
      </c>
      <c r="N319" s="3" t="s">
        <v>24</v>
      </c>
      <c r="O319" s="4">
        <v>1</v>
      </c>
      <c r="P319" s="4">
        <v>3</v>
      </c>
      <c r="Q319" s="4">
        <v>1</v>
      </c>
    </row>
    <row r="320" spans="1:17" x14ac:dyDescent="0.25">
      <c r="A320" s="3" t="s">
        <v>18</v>
      </c>
      <c r="B320" s="3">
        <v>11135784</v>
      </c>
      <c r="C320" s="3" t="s">
        <v>352</v>
      </c>
      <c r="D320" s="3" t="s">
        <v>20</v>
      </c>
      <c r="E320" s="3" t="s">
        <v>21</v>
      </c>
      <c r="F320" s="3" t="s">
        <v>21</v>
      </c>
      <c r="G320" s="3" t="s">
        <v>42</v>
      </c>
      <c r="H320" s="3" t="s">
        <v>43</v>
      </c>
      <c r="I320" s="3" t="s">
        <v>24</v>
      </c>
      <c r="J320" s="3" t="s">
        <v>24</v>
      </c>
      <c r="K320" s="3" t="s">
        <v>25</v>
      </c>
      <c r="L320" s="4">
        <v>0</v>
      </c>
      <c r="M320" s="3" t="s">
        <v>26</v>
      </c>
      <c r="N320" s="3" t="s">
        <v>24</v>
      </c>
      <c r="O320" s="4">
        <v>1</v>
      </c>
      <c r="P320" s="4">
        <v>8</v>
      </c>
      <c r="Q320" s="4">
        <v>1</v>
      </c>
    </row>
    <row r="321" spans="1:17" x14ac:dyDescent="0.25">
      <c r="A321" s="3" t="s">
        <v>18</v>
      </c>
      <c r="B321" s="3">
        <v>11135785</v>
      </c>
      <c r="C321" s="3" t="s">
        <v>353</v>
      </c>
      <c r="D321" s="3" t="s">
        <v>20</v>
      </c>
      <c r="E321" s="3" t="s">
        <v>21</v>
      </c>
      <c r="F321" s="3" t="s">
        <v>21</v>
      </c>
      <c r="G321" s="3" t="s">
        <v>22</v>
      </c>
      <c r="H321" s="3" t="s">
        <v>23</v>
      </c>
      <c r="I321" s="3" t="s">
        <v>24</v>
      </c>
      <c r="J321" s="3" t="s">
        <v>24</v>
      </c>
      <c r="K321" s="3" t="s">
        <v>25</v>
      </c>
      <c r="L321" s="4">
        <v>0</v>
      </c>
      <c r="M321" s="3" t="s">
        <v>26</v>
      </c>
      <c r="N321" s="3" t="s">
        <v>24</v>
      </c>
      <c r="O321" s="4">
        <v>1</v>
      </c>
      <c r="P321" s="4">
        <v>4</v>
      </c>
      <c r="Q321" s="4">
        <v>1</v>
      </c>
    </row>
    <row r="322" spans="1:17" x14ac:dyDescent="0.25">
      <c r="A322" s="3" t="s">
        <v>18</v>
      </c>
      <c r="B322" s="3">
        <v>11135787</v>
      </c>
      <c r="C322" s="3" t="s">
        <v>354</v>
      </c>
      <c r="D322" s="3" t="s">
        <v>20</v>
      </c>
      <c r="E322" s="3" t="s">
        <v>21</v>
      </c>
      <c r="F322" s="3" t="s">
        <v>21</v>
      </c>
      <c r="G322" s="3" t="s">
        <v>22</v>
      </c>
      <c r="H322" s="3" t="s">
        <v>23</v>
      </c>
      <c r="I322" s="3" t="s">
        <v>24</v>
      </c>
      <c r="J322" s="3" t="s">
        <v>24</v>
      </c>
      <c r="K322" s="3" t="s">
        <v>25</v>
      </c>
      <c r="L322" s="4">
        <v>0</v>
      </c>
      <c r="M322" s="3" t="s">
        <v>26</v>
      </c>
      <c r="N322" s="3" t="s">
        <v>24</v>
      </c>
      <c r="O322" s="4">
        <v>1</v>
      </c>
      <c r="P322" s="4">
        <v>4</v>
      </c>
      <c r="Q322" s="4">
        <v>1</v>
      </c>
    </row>
    <row r="323" spans="1:17" x14ac:dyDescent="0.25">
      <c r="A323" s="3" t="s">
        <v>18</v>
      </c>
      <c r="B323" s="3">
        <v>11135819</v>
      </c>
      <c r="C323" s="3" t="s">
        <v>355</v>
      </c>
      <c r="D323" s="3" t="s">
        <v>20</v>
      </c>
      <c r="E323" s="3" t="s">
        <v>21</v>
      </c>
      <c r="F323" s="3" t="s">
        <v>21</v>
      </c>
      <c r="G323" s="3" t="s">
        <v>233</v>
      </c>
      <c r="H323" s="3" t="s">
        <v>234</v>
      </c>
      <c r="I323" s="3" t="s">
        <v>24</v>
      </c>
      <c r="J323" s="3" t="s">
        <v>24</v>
      </c>
      <c r="K323" s="3" t="s">
        <v>25</v>
      </c>
      <c r="L323" s="4">
        <v>0</v>
      </c>
      <c r="M323" s="3" t="s">
        <v>26</v>
      </c>
      <c r="N323" s="3" t="s">
        <v>24</v>
      </c>
      <c r="O323" s="4">
        <v>1</v>
      </c>
      <c r="P323" s="4">
        <v>3</v>
      </c>
      <c r="Q323" s="4">
        <v>1</v>
      </c>
    </row>
    <row r="324" spans="1:17" x14ac:dyDescent="0.25">
      <c r="A324" s="3" t="s">
        <v>18</v>
      </c>
      <c r="B324" s="3">
        <v>11141153</v>
      </c>
      <c r="C324" s="3" t="s">
        <v>356</v>
      </c>
      <c r="D324" s="3" t="s">
        <v>20</v>
      </c>
      <c r="E324" s="3" t="s">
        <v>21</v>
      </c>
      <c r="F324" s="3" t="s">
        <v>21</v>
      </c>
      <c r="G324" s="3" t="s">
        <v>36</v>
      </c>
      <c r="H324" s="3" t="s">
        <v>37</v>
      </c>
      <c r="I324" s="3" t="s">
        <v>24</v>
      </c>
      <c r="J324" s="3" t="s">
        <v>24</v>
      </c>
      <c r="K324" s="3" t="s">
        <v>25</v>
      </c>
      <c r="L324" s="4">
        <v>0</v>
      </c>
      <c r="M324" s="3" t="s">
        <v>26</v>
      </c>
      <c r="N324" s="3" t="s">
        <v>24</v>
      </c>
      <c r="O324" s="4">
        <v>1</v>
      </c>
      <c r="P324" s="4">
        <v>3</v>
      </c>
      <c r="Q324" s="4">
        <v>1</v>
      </c>
    </row>
    <row r="325" spans="1:17" x14ac:dyDescent="0.25">
      <c r="A325" s="3" t="s">
        <v>18</v>
      </c>
      <c r="B325" s="3">
        <v>11141278</v>
      </c>
      <c r="C325" s="3" t="s">
        <v>357</v>
      </c>
      <c r="D325" s="3" t="s">
        <v>20</v>
      </c>
      <c r="E325" s="3" t="s">
        <v>21</v>
      </c>
      <c r="F325" s="3" t="s">
        <v>21</v>
      </c>
      <c r="G325" s="3" t="s">
        <v>36</v>
      </c>
      <c r="H325" s="3" t="s">
        <v>37</v>
      </c>
      <c r="I325" s="3" t="s">
        <v>24</v>
      </c>
      <c r="J325" s="3" t="s">
        <v>24</v>
      </c>
      <c r="K325" s="3" t="s">
        <v>25</v>
      </c>
      <c r="L325" s="4">
        <v>0</v>
      </c>
      <c r="M325" s="3" t="s">
        <v>26</v>
      </c>
      <c r="N325" s="3" t="s">
        <v>24</v>
      </c>
      <c r="O325" s="4">
        <v>1</v>
      </c>
      <c r="P325" s="4">
        <v>3</v>
      </c>
      <c r="Q325" s="4">
        <v>1</v>
      </c>
    </row>
    <row r="326" spans="1:17" x14ac:dyDescent="0.25">
      <c r="A326" s="3" t="s">
        <v>18</v>
      </c>
      <c r="B326" s="3">
        <v>11142636</v>
      </c>
      <c r="C326" s="3" t="s">
        <v>358</v>
      </c>
      <c r="D326" s="3" t="s">
        <v>20</v>
      </c>
      <c r="E326" s="3" t="s">
        <v>21</v>
      </c>
      <c r="F326" s="3" t="s">
        <v>21</v>
      </c>
      <c r="G326" s="3" t="s">
        <v>36</v>
      </c>
      <c r="H326" s="3" t="s">
        <v>37</v>
      </c>
      <c r="I326" s="3" t="s">
        <v>24</v>
      </c>
      <c r="J326" s="3" t="s">
        <v>24</v>
      </c>
      <c r="K326" s="3" t="s">
        <v>25</v>
      </c>
      <c r="L326" s="4">
        <v>0</v>
      </c>
      <c r="M326" s="3" t="s">
        <v>26</v>
      </c>
      <c r="N326" s="3" t="s">
        <v>24</v>
      </c>
      <c r="O326" s="4">
        <v>1</v>
      </c>
      <c r="P326" s="4">
        <v>2</v>
      </c>
      <c r="Q326" s="4">
        <v>1</v>
      </c>
    </row>
    <row r="327" spans="1:17" x14ac:dyDescent="0.25">
      <c r="A327" s="3" t="s">
        <v>18</v>
      </c>
      <c r="B327" s="3">
        <v>11142637</v>
      </c>
      <c r="C327" s="3" t="s">
        <v>359</v>
      </c>
      <c r="D327" s="3" t="s">
        <v>20</v>
      </c>
      <c r="E327" s="3" t="s">
        <v>21</v>
      </c>
      <c r="F327" s="3" t="s">
        <v>21</v>
      </c>
      <c r="G327" s="3" t="s">
        <v>36</v>
      </c>
      <c r="H327" s="3" t="s">
        <v>37</v>
      </c>
      <c r="I327" s="3" t="s">
        <v>24</v>
      </c>
      <c r="J327" s="3" t="s">
        <v>24</v>
      </c>
      <c r="K327" s="3" t="s">
        <v>25</v>
      </c>
      <c r="L327" s="4">
        <v>0</v>
      </c>
      <c r="M327" s="3" t="s">
        <v>26</v>
      </c>
      <c r="N327" s="3" t="s">
        <v>24</v>
      </c>
      <c r="O327" s="4">
        <v>1</v>
      </c>
      <c r="P327" s="4">
        <v>2</v>
      </c>
      <c r="Q327" s="4">
        <v>1</v>
      </c>
    </row>
    <row r="328" spans="1:17" x14ac:dyDescent="0.25">
      <c r="A328" s="3" t="s">
        <v>18</v>
      </c>
      <c r="B328" s="3">
        <v>11142664</v>
      </c>
      <c r="C328" s="3" t="s">
        <v>360</v>
      </c>
      <c r="D328" s="3" t="s">
        <v>20</v>
      </c>
      <c r="E328" s="3" t="s">
        <v>21</v>
      </c>
      <c r="F328" s="3" t="s">
        <v>21</v>
      </c>
      <c r="G328" s="3" t="s">
        <v>36</v>
      </c>
      <c r="H328" s="3" t="s">
        <v>37</v>
      </c>
      <c r="I328" s="3" t="s">
        <v>24</v>
      </c>
      <c r="J328" s="3" t="s">
        <v>24</v>
      </c>
      <c r="K328" s="3" t="s">
        <v>25</v>
      </c>
      <c r="L328" s="4">
        <v>0</v>
      </c>
      <c r="M328" s="3" t="s">
        <v>26</v>
      </c>
      <c r="N328" s="3" t="s">
        <v>24</v>
      </c>
      <c r="O328" s="4">
        <v>1</v>
      </c>
      <c r="P328" s="4">
        <v>2</v>
      </c>
      <c r="Q328" s="4">
        <v>1</v>
      </c>
    </row>
    <row r="329" spans="1:17" x14ac:dyDescent="0.25">
      <c r="A329" s="3" t="s">
        <v>18</v>
      </c>
      <c r="B329" s="3">
        <v>11142665</v>
      </c>
      <c r="C329" s="3" t="s">
        <v>361</v>
      </c>
      <c r="D329" s="3" t="s">
        <v>20</v>
      </c>
      <c r="E329" s="3" t="s">
        <v>21</v>
      </c>
      <c r="F329" s="3" t="s">
        <v>21</v>
      </c>
      <c r="G329" s="3" t="s">
        <v>362</v>
      </c>
      <c r="H329" s="3" t="s">
        <v>363</v>
      </c>
      <c r="I329" s="3" t="s">
        <v>24</v>
      </c>
      <c r="J329" s="3" t="s">
        <v>24</v>
      </c>
      <c r="K329" s="3" t="s">
        <v>25</v>
      </c>
      <c r="L329" s="4">
        <v>0</v>
      </c>
      <c r="M329" s="3" t="s">
        <v>26</v>
      </c>
      <c r="N329" s="3" t="s">
        <v>24</v>
      </c>
      <c r="O329" s="4">
        <v>1</v>
      </c>
      <c r="P329" s="4">
        <v>1</v>
      </c>
      <c r="Q329" s="4">
        <v>1</v>
      </c>
    </row>
    <row r="330" spans="1:17" x14ac:dyDescent="0.25">
      <c r="A330" s="3" t="s">
        <v>18</v>
      </c>
      <c r="B330" s="3">
        <v>11142954</v>
      </c>
      <c r="C330" s="3" t="s">
        <v>364</v>
      </c>
      <c r="D330" s="3" t="s">
        <v>20</v>
      </c>
      <c r="E330" s="3" t="s">
        <v>21</v>
      </c>
      <c r="F330" s="3" t="s">
        <v>21</v>
      </c>
      <c r="G330" s="3" t="s">
        <v>36</v>
      </c>
      <c r="H330" s="3" t="s">
        <v>37</v>
      </c>
      <c r="I330" s="3" t="s">
        <v>24</v>
      </c>
      <c r="J330" s="3" t="s">
        <v>24</v>
      </c>
      <c r="K330" s="3" t="s">
        <v>25</v>
      </c>
      <c r="L330" s="4">
        <v>0</v>
      </c>
      <c r="M330" s="3" t="s">
        <v>26</v>
      </c>
      <c r="N330" s="3" t="s">
        <v>24</v>
      </c>
      <c r="O330" s="4">
        <v>1</v>
      </c>
      <c r="P330" s="4">
        <v>3</v>
      </c>
      <c r="Q330" s="4">
        <v>1</v>
      </c>
    </row>
    <row r="331" spans="1:17" x14ac:dyDescent="0.25">
      <c r="A331" s="3" t="s">
        <v>18</v>
      </c>
      <c r="B331" s="3">
        <v>11142955</v>
      </c>
      <c r="C331" s="3" t="s">
        <v>365</v>
      </c>
      <c r="D331" s="3" t="s">
        <v>20</v>
      </c>
      <c r="E331" s="3" t="s">
        <v>21</v>
      </c>
      <c r="F331" s="3" t="s">
        <v>21</v>
      </c>
      <c r="G331" s="3" t="s">
        <v>36</v>
      </c>
      <c r="H331" s="3" t="s">
        <v>37</v>
      </c>
      <c r="I331" s="3" t="s">
        <v>24</v>
      </c>
      <c r="J331" s="3" t="s">
        <v>24</v>
      </c>
      <c r="K331" s="3" t="s">
        <v>25</v>
      </c>
      <c r="L331" s="4">
        <v>0</v>
      </c>
      <c r="M331" s="3" t="s">
        <v>26</v>
      </c>
      <c r="N331" s="3" t="s">
        <v>24</v>
      </c>
      <c r="O331" s="4">
        <v>1</v>
      </c>
      <c r="P331" s="4">
        <v>3</v>
      </c>
      <c r="Q331" s="4">
        <v>1</v>
      </c>
    </row>
    <row r="332" spans="1:17" x14ac:dyDescent="0.25">
      <c r="A332" s="3" t="s">
        <v>18</v>
      </c>
      <c r="B332" s="3">
        <v>11142956</v>
      </c>
      <c r="C332" s="3" t="s">
        <v>366</v>
      </c>
      <c r="D332" s="3" t="s">
        <v>20</v>
      </c>
      <c r="E332" s="3" t="s">
        <v>21</v>
      </c>
      <c r="F332" s="3" t="s">
        <v>21</v>
      </c>
      <c r="G332" s="3" t="s">
        <v>36</v>
      </c>
      <c r="H332" s="3" t="s">
        <v>37</v>
      </c>
      <c r="I332" s="3" t="s">
        <v>24</v>
      </c>
      <c r="J332" s="3" t="s">
        <v>24</v>
      </c>
      <c r="K332" s="3" t="s">
        <v>25</v>
      </c>
      <c r="L332" s="4">
        <v>0</v>
      </c>
      <c r="M332" s="3" t="s">
        <v>26</v>
      </c>
      <c r="N332" s="3" t="s">
        <v>24</v>
      </c>
      <c r="O332" s="4">
        <v>1</v>
      </c>
      <c r="P332" s="4">
        <v>2</v>
      </c>
      <c r="Q332" s="4">
        <v>1</v>
      </c>
    </row>
    <row r="333" spans="1:17" x14ac:dyDescent="0.25">
      <c r="A333" s="3" t="s">
        <v>18</v>
      </c>
      <c r="B333" s="3">
        <v>11143089</v>
      </c>
      <c r="C333" s="3" t="s">
        <v>367</v>
      </c>
      <c r="D333" s="3" t="s">
        <v>20</v>
      </c>
      <c r="E333" s="3" t="s">
        <v>21</v>
      </c>
      <c r="F333" s="3" t="s">
        <v>21</v>
      </c>
      <c r="G333" s="3" t="s">
        <v>36</v>
      </c>
      <c r="H333" s="3" t="s">
        <v>37</v>
      </c>
      <c r="I333" s="3" t="s">
        <v>24</v>
      </c>
      <c r="J333" s="3" t="s">
        <v>24</v>
      </c>
      <c r="K333" s="3" t="s">
        <v>25</v>
      </c>
      <c r="L333" s="4">
        <v>0</v>
      </c>
      <c r="M333" s="3" t="s">
        <v>26</v>
      </c>
      <c r="N333" s="3" t="s">
        <v>24</v>
      </c>
      <c r="O333" s="4">
        <v>1</v>
      </c>
      <c r="P333" s="4">
        <v>2</v>
      </c>
      <c r="Q333" s="4">
        <v>1</v>
      </c>
    </row>
    <row r="334" spans="1:17" x14ac:dyDescent="0.25">
      <c r="A334" s="3" t="s">
        <v>18</v>
      </c>
      <c r="B334" s="3">
        <v>11143090</v>
      </c>
      <c r="C334" s="3" t="s">
        <v>368</v>
      </c>
      <c r="D334" s="3" t="s">
        <v>20</v>
      </c>
      <c r="E334" s="3" t="s">
        <v>21</v>
      </c>
      <c r="F334" s="3" t="s">
        <v>21</v>
      </c>
      <c r="G334" s="3" t="s">
        <v>362</v>
      </c>
      <c r="H334" s="3" t="s">
        <v>363</v>
      </c>
      <c r="I334" s="3" t="s">
        <v>24</v>
      </c>
      <c r="J334" s="3" t="s">
        <v>24</v>
      </c>
      <c r="K334" s="3" t="s">
        <v>25</v>
      </c>
      <c r="L334" s="4">
        <v>0</v>
      </c>
      <c r="M334" s="3" t="s">
        <v>26</v>
      </c>
      <c r="N334" s="3" t="s">
        <v>24</v>
      </c>
      <c r="O334" s="4">
        <v>1</v>
      </c>
      <c r="P334" s="4">
        <v>1</v>
      </c>
      <c r="Q334" s="4">
        <v>1</v>
      </c>
    </row>
    <row r="335" spans="1:17" x14ac:dyDescent="0.25">
      <c r="A335" s="3" t="s">
        <v>18</v>
      </c>
      <c r="B335" s="3">
        <v>11143091</v>
      </c>
      <c r="C335" s="3" t="s">
        <v>369</v>
      </c>
      <c r="D335" s="3" t="s">
        <v>20</v>
      </c>
      <c r="E335" s="3" t="s">
        <v>21</v>
      </c>
      <c r="F335" s="3" t="s">
        <v>21</v>
      </c>
      <c r="G335" s="3" t="s">
        <v>362</v>
      </c>
      <c r="H335" s="3" t="s">
        <v>363</v>
      </c>
      <c r="I335" s="3" t="s">
        <v>24</v>
      </c>
      <c r="J335" s="3" t="s">
        <v>24</v>
      </c>
      <c r="K335" s="3" t="s">
        <v>25</v>
      </c>
      <c r="L335" s="4">
        <v>0</v>
      </c>
      <c r="M335" s="3" t="s">
        <v>26</v>
      </c>
      <c r="N335" s="3" t="s">
        <v>24</v>
      </c>
      <c r="O335" s="4">
        <v>1</v>
      </c>
      <c r="P335" s="4">
        <v>1</v>
      </c>
      <c r="Q335" s="4">
        <v>1</v>
      </c>
    </row>
    <row r="336" spans="1:17" x14ac:dyDescent="0.25">
      <c r="A336" s="3" t="s">
        <v>18</v>
      </c>
      <c r="B336" s="3">
        <v>11143158</v>
      </c>
      <c r="C336" s="3" t="s">
        <v>370</v>
      </c>
      <c r="D336" s="3" t="s">
        <v>20</v>
      </c>
      <c r="E336" s="3" t="s">
        <v>21</v>
      </c>
      <c r="F336" s="3" t="s">
        <v>21</v>
      </c>
      <c r="G336" s="3" t="s">
        <v>362</v>
      </c>
      <c r="H336" s="3" t="s">
        <v>363</v>
      </c>
      <c r="I336" s="3" t="s">
        <v>24</v>
      </c>
      <c r="J336" s="3" t="s">
        <v>24</v>
      </c>
      <c r="K336" s="3" t="s">
        <v>25</v>
      </c>
      <c r="L336" s="4">
        <v>0</v>
      </c>
      <c r="M336" s="3" t="s">
        <v>26</v>
      </c>
      <c r="N336" s="3" t="s">
        <v>24</v>
      </c>
      <c r="O336" s="4">
        <v>1</v>
      </c>
      <c r="P336" s="4">
        <v>1</v>
      </c>
      <c r="Q336" s="4">
        <v>1</v>
      </c>
    </row>
    <row r="337" spans="1:17" x14ac:dyDescent="0.25">
      <c r="A337" s="3" t="s">
        <v>18</v>
      </c>
      <c r="B337" s="3">
        <v>11143159</v>
      </c>
      <c r="C337" s="3" t="s">
        <v>371</v>
      </c>
      <c r="D337" s="3" t="s">
        <v>20</v>
      </c>
      <c r="E337" s="3" t="s">
        <v>21</v>
      </c>
      <c r="F337" s="3" t="s">
        <v>21</v>
      </c>
      <c r="G337" s="3" t="s">
        <v>362</v>
      </c>
      <c r="H337" s="3" t="s">
        <v>363</v>
      </c>
      <c r="I337" s="3" t="s">
        <v>24</v>
      </c>
      <c r="J337" s="3" t="s">
        <v>24</v>
      </c>
      <c r="K337" s="3" t="s">
        <v>25</v>
      </c>
      <c r="L337" s="4">
        <v>0</v>
      </c>
      <c r="M337" s="3" t="s">
        <v>26</v>
      </c>
      <c r="N337" s="3" t="s">
        <v>24</v>
      </c>
      <c r="O337" s="4">
        <v>1</v>
      </c>
      <c r="P337" s="4">
        <v>1</v>
      </c>
      <c r="Q337" s="4">
        <v>1</v>
      </c>
    </row>
    <row r="338" spans="1:17" x14ac:dyDescent="0.25">
      <c r="A338" s="3" t="s">
        <v>18</v>
      </c>
      <c r="B338" s="3">
        <v>11143162</v>
      </c>
      <c r="C338" s="3" t="s">
        <v>372</v>
      </c>
      <c r="D338" s="3" t="s">
        <v>20</v>
      </c>
      <c r="E338" s="3" t="s">
        <v>21</v>
      </c>
      <c r="F338" s="3" t="s">
        <v>21</v>
      </c>
      <c r="G338" s="3" t="s">
        <v>22</v>
      </c>
      <c r="H338" s="3" t="s">
        <v>23</v>
      </c>
      <c r="I338" s="3" t="s">
        <v>24</v>
      </c>
      <c r="J338" s="3" t="s">
        <v>24</v>
      </c>
      <c r="K338" s="3" t="s">
        <v>25</v>
      </c>
      <c r="L338" s="4">
        <v>0</v>
      </c>
      <c r="M338" s="3" t="s">
        <v>26</v>
      </c>
      <c r="N338" s="3" t="s">
        <v>24</v>
      </c>
      <c r="O338" s="4">
        <v>1</v>
      </c>
      <c r="P338" s="4">
        <v>1</v>
      </c>
      <c r="Q338" s="4">
        <v>1</v>
      </c>
    </row>
    <row r="339" spans="1:17" x14ac:dyDescent="0.25">
      <c r="A339" s="3" t="s">
        <v>18</v>
      </c>
      <c r="B339" s="3">
        <v>11143163</v>
      </c>
      <c r="C339" s="3" t="s">
        <v>373</v>
      </c>
      <c r="D339" s="3" t="s">
        <v>20</v>
      </c>
      <c r="E339" s="3" t="s">
        <v>21</v>
      </c>
      <c r="F339" s="3" t="s">
        <v>21</v>
      </c>
      <c r="G339" s="3" t="s">
        <v>36</v>
      </c>
      <c r="H339" s="3" t="s">
        <v>37</v>
      </c>
      <c r="I339" s="3" t="s">
        <v>24</v>
      </c>
      <c r="J339" s="3" t="s">
        <v>24</v>
      </c>
      <c r="K339" s="3" t="s">
        <v>25</v>
      </c>
      <c r="L339" s="4">
        <v>0</v>
      </c>
      <c r="M339" s="3" t="s">
        <v>26</v>
      </c>
      <c r="N339" s="3" t="s">
        <v>24</v>
      </c>
      <c r="O339" s="4">
        <v>1</v>
      </c>
      <c r="P339" s="4">
        <v>1</v>
      </c>
      <c r="Q339" s="4">
        <v>1</v>
      </c>
    </row>
    <row r="340" spans="1:17" x14ac:dyDescent="0.25">
      <c r="A340" s="3" t="s">
        <v>18</v>
      </c>
      <c r="B340" s="3">
        <v>11143164</v>
      </c>
      <c r="C340" s="3" t="s">
        <v>374</v>
      </c>
      <c r="D340" s="3" t="s">
        <v>20</v>
      </c>
      <c r="E340" s="3" t="s">
        <v>21</v>
      </c>
      <c r="F340" s="3" t="s">
        <v>21</v>
      </c>
      <c r="G340" s="3" t="s">
        <v>22</v>
      </c>
      <c r="H340" s="3" t="s">
        <v>23</v>
      </c>
      <c r="I340" s="3" t="s">
        <v>24</v>
      </c>
      <c r="J340" s="3" t="s">
        <v>24</v>
      </c>
      <c r="K340" s="3" t="s">
        <v>25</v>
      </c>
      <c r="L340" s="4">
        <v>0</v>
      </c>
      <c r="M340" s="3" t="s">
        <v>26</v>
      </c>
      <c r="N340" s="3" t="s">
        <v>24</v>
      </c>
      <c r="O340" s="4">
        <v>1</v>
      </c>
      <c r="P340" s="4">
        <v>1</v>
      </c>
      <c r="Q340" s="4">
        <v>1</v>
      </c>
    </row>
    <row r="341" spans="1:17" x14ac:dyDescent="0.25">
      <c r="A341" s="3" t="s">
        <v>18</v>
      </c>
      <c r="B341" s="3">
        <v>11144118</v>
      </c>
      <c r="C341" s="3" t="s">
        <v>375</v>
      </c>
      <c r="D341" s="3" t="s">
        <v>20</v>
      </c>
      <c r="E341" s="3" t="s">
        <v>21</v>
      </c>
      <c r="F341" s="3" t="s">
        <v>21</v>
      </c>
      <c r="G341" s="3" t="s">
        <v>36</v>
      </c>
      <c r="H341" s="3" t="s">
        <v>37</v>
      </c>
      <c r="I341" s="3" t="s">
        <v>24</v>
      </c>
      <c r="J341" s="3" t="s">
        <v>24</v>
      </c>
      <c r="K341" s="3" t="s">
        <v>25</v>
      </c>
      <c r="L341" s="4">
        <v>0</v>
      </c>
      <c r="M341" s="3" t="s">
        <v>26</v>
      </c>
      <c r="N341" s="3" t="s">
        <v>24</v>
      </c>
      <c r="O341" s="4">
        <v>1</v>
      </c>
      <c r="P341" s="4">
        <v>3</v>
      </c>
      <c r="Q341" s="4">
        <v>1</v>
      </c>
    </row>
    <row r="342" spans="1:17" x14ac:dyDescent="0.25">
      <c r="A342" s="3" t="s">
        <v>18</v>
      </c>
      <c r="B342" s="3">
        <v>11144121</v>
      </c>
      <c r="C342" s="3" t="s">
        <v>376</v>
      </c>
      <c r="D342" s="3" t="s">
        <v>20</v>
      </c>
      <c r="E342" s="3" t="s">
        <v>21</v>
      </c>
      <c r="F342" s="3" t="s">
        <v>21</v>
      </c>
      <c r="G342" s="3" t="s">
        <v>36</v>
      </c>
      <c r="H342" s="3" t="s">
        <v>37</v>
      </c>
      <c r="I342" s="3" t="s">
        <v>24</v>
      </c>
      <c r="J342" s="3" t="s">
        <v>24</v>
      </c>
      <c r="K342" s="3" t="s">
        <v>25</v>
      </c>
      <c r="L342" s="4">
        <v>0</v>
      </c>
      <c r="M342" s="3" t="s">
        <v>26</v>
      </c>
      <c r="N342" s="3" t="s">
        <v>24</v>
      </c>
      <c r="O342" s="4">
        <v>1</v>
      </c>
      <c r="P342" s="4">
        <v>3</v>
      </c>
      <c r="Q342" s="4">
        <v>1</v>
      </c>
    </row>
    <row r="343" spans="1:17" x14ac:dyDescent="0.25">
      <c r="A343" s="3" t="s">
        <v>18</v>
      </c>
      <c r="B343" s="3">
        <v>11144123</v>
      </c>
      <c r="C343" s="3" t="s">
        <v>377</v>
      </c>
      <c r="D343" s="3" t="s">
        <v>20</v>
      </c>
      <c r="E343" s="3" t="s">
        <v>21</v>
      </c>
      <c r="F343" s="3" t="s">
        <v>21</v>
      </c>
      <c r="G343" s="3" t="s">
        <v>36</v>
      </c>
      <c r="H343" s="3" t="s">
        <v>37</v>
      </c>
      <c r="I343" s="3" t="s">
        <v>24</v>
      </c>
      <c r="J343" s="3" t="s">
        <v>24</v>
      </c>
      <c r="K343" s="3" t="s">
        <v>25</v>
      </c>
      <c r="L343" s="4">
        <v>0</v>
      </c>
      <c r="M343" s="3" t="s">
        <v>26</v>
      </c>
      <c r="N343" s="3" t="s">
        <v>24</v>
      </c>
      <c r="O343" s="4">
        <v>1</v>
      </c>
      <c r="P343" s="4">
        <v>3</v>
      </c>
      <c r="Q343" s="4">
        <v>1</v>
      </c>
    </row>
    <row r="344" spans="1:17" x14ac:dyDescent="0.25">
      <c r="A344" s="3" t="s">
        <v>18</v>
      </c>
      <c r="B344" s="3">
        <v>11144125</v>
      </c>
      <c r="C344" s="3" t="s">
        <v>378</v>
      </c>
      <c r="D344" s="3" t="s">
        <v>20</v>
      </c>
      <c r="E344" s="3" t="s">
        <v>21</v>
      </c>
      <c r="F344" s="3" t="s">
        <v>21</v>
      </c>
      <c r="G344" s="3" t="s">
        <v>36</v>
      </c>
      <c r="H344" s="3" t="s">
        <v>37</v>
      </c>
      <c r="I344" s="3" t="s">
        <v>24</v>
      </c>
      <c r="J344" s="3" t="s">
        <v>24</v>
      </c>
      <c r="K344" s="3" t="s">
        <v>25</v>
      </c>
      <c r="L344" s="4">
        <v>0</v>
      </c>
      <c r="M344" s="3" t="s">
        <v>26</v>
      </c>
      <c r="N344" s="3" t="s">
        <v>24</v>
      </c>
      <c r="O344" s="4">
        <v>1</v>
      </c>
      <c r="P344" s="4">
        <v>2</v>
      </c>
      <c r="Q344" s="4">
        <v>1</v>
      </c>
    </row>
    <row r="345" spans="1:17" x14ac:dyDescent="0.25">
      <c r="A345" s="3" t="s">
        <v>18</v>
      </c>
      <c r="B345" s="3">
        <v>11144159</v>
      </c>
      <c r="C345" s="3" t="s">
        <v>379</v>
      </c>
      <c r="D345" s="3" t="s">
        <v>20</v>
      </c>
      <c r="E345" s="3" t="s">
        <v>21</v>
      </c>
      <c r="F345" s="3" t="s">
        <v>21</v>
      </c>
      <c r="G345" s="3" t="s">
        <v>36</v>
      </c>
      <c r="H345" s="3" t="s">
        <v>37</v>
      </c>
      <c r="I345" s="3" t="s">
        <v>24</v>
      </c>
      <c r="J345" s="3" t="s">
        <v>24</v>
      </c>
      <c r="K345" s="3" t="s">
        <v>25</v>
      </c>
      <c r="L345" s="4">
        <v>0</v>
      </c>
      <c r="M345" s="3" t="s">
        <v>26</v>
      </c>
      <c r="N345" s="3" t="s">
        <v>24</v>
      </c>
      <c r="O345" s="4">
        <v>1</v>
      </c>
      <c r="P345" s="4">
        <v>2</v>
      </c>
      <c r="Q345" s="4">
        <v>1</v>
      </c>
    </row>
    <row r="346" spans="1:17" x14ac:dyDescent="0.25">
      <c r="A346" s="3" t="s">
        <v>18</v>
      </c>
      <c r="B346" s="3">
        <v>11144162</v>
      </c>
      <c r="C346" s="3" t="s">
        <v>380</v>
      </c>
      <c r="D346" s="3" t="s">
        <v>20</v>
      </c>
      <c r="E346" s="3" t="s">
        <v>21</v>
      </c>
      <c r="F346" s="3" t="s">
        <v>21</v>
      </c>
      <c r="G346" s="3" t="s">
        <v>36</v>
      </c>
      <c r="H346" s="3" t="s">
        <v>37</v>
      </c>
      <c r="I346" s="3" t="s">
        <v>24</v>
      </c>
      <c r="J346" s="3" t="s">
        <v>24</v>
      </c>
      <c r="K346" s="3" t="s">
        <v>25</v>
      </c>
      <c r="L346" s="4">
        <v>0</v>
      </c>
      <c r="M346" s="3" t="s">
        <v>26</v>
      </c>
      <c r="N346" s="3" t="s">
        <v>24</v>
      </c>
      <c r="O346" s="4">
        <v>1</v>
      </c>
      <c r="P346" s="4">
        <v>2</v>
      </c>
      <c r="Q346" s="4">
        <v>1</v>
      </c>
    </row>
    <row r="347" spans="1:17" x14ac:dyDescent="0.25">
      <c r="A347" s="3" t="s">
        <v>18</v>
      </c>
      <c r="B347" s="3">
        <v>11144164</v>
      </c>
      <c r="C347" s="3" t="s">
        <v>381</v>
      </c>
      <c r="D347" s="3" t="s">
        <v>20</v>
      </c>
      <c r="E347" s="3" t="s">
        <v>21</v>
      </c>
      <c r="F347" s="3" t="s">
        <v>21</v>
      </c>
      <c r="G347" s="3" t="s">
        <v>36</v>
      </c>
      <c r="H347" s="3" t="s">
        <v>37</v>
      </c>
      <c r="I347" s="3" t="s">
        <v>24</v>
      </c>
      <c r="J347" s="3" t="s">
        <v>24</v>
      </c>
      <c r="K347" s="3" t="s">
        <v>25</v>
      </c>
      <c r="L347" s="4">
        <v>0</v>
      </c>
      <c r="M347" s="3" t="s">
        <v>26</v>
      </c>
      <c r="N347" s="3" t="s">
        <v>24</v>
      </c>
      <c r="O347" s="4">
        <v>1</v>
      </c>
      <c r="P347" s="4">
        <v>2</v>
      </c>
      <c r="Q347" s="4">
        <v>1</v>
      </c>
    </row>
    <row r="348" spans="1:17" x14ac:dyDescent="0.25">
      <c r="A348" s="3" t="s">
        <v>18</v>
      </c>
      <c r="B348" s="3">
        <v>11144167</v>
      </c>
      <c r="C348" s="3" t="s">
        <v>382</v>
      </c>
      <c r="D348" s="3" t="s">
        <v>20</v>
      </c>
      <c r="E348" s="3" t="s">
        <v>21</v>
      </c>
      <c r="F348" s="3" t="s">
        <v>21</v>
      </c>
      <c r="G348" s="3" t="s">
        <v>36</v>
      </c>
      <c r="H348" s="3" t="s">
        <v>37</v>
      </c>
      <c r="I348" s="3" t="s">
        <v>24</v>
      </c>
      <c r="J348" s="3" t="s">
        <v>24</v>
      </c>
      <c r="K348" s="3" t="s">
        <v>25</v>
      </c>
      <c r="L348" s="4">
        <v>0</v>
      </c>
      <c r="M348" s="3" t="s">
        <v>26</v>
      </c>
      <c r="N348" s="3" t="s">
        <v>24</v>
      </c>
      <c r="O348" s="4">
        <v>1</v>
      </c>
      <c r="P348" s="4">
        <v>2</v>
      </c>
      <c r="Q348" s="4">
        <v>1</v>
      </c>
    </row>
    <row r="349" spans="1:17" x14ac:dyDescent="0.25">
      <c r="A349" s="3" t="s">
        <v>18</v>
      </c>
      <c r="B349" s="3">
        <v>11144212</v>
      </c>
      <c r="C349" s="3" t="s">
        <v>383</v>
      </c>
      <c r="D349" s="3" t="s">
        <v>20</v>
      </c>
      <c r="E349" s="3" t="s">
        <v>21</v>
      </c>
      <c r="F349" s="3" t="s">
        <v>21</v>
      </c>
      <c r="G349" s="3" t="s">
        <v>362</v>
      </c>
      <c r="H349" s="3" t="s">
        <v>363</v>
      </c>
      <c r="I349" s="3" t="s">
        <v>24</v>
      </c>
      <c r="J349" s="3" t="s">
        <v>24</v>
      </c>
      <c r="K349" s="3" t="s">
        <v>25</v>
      </c>
      <c r="L349" s="4">
        <v>0</v>
      </c>
      <c r="M349" s="3" t="s">
        <v>26</v>
      </c>
      <c r="N349" s="3" t="s">
        <v>24</v>
      </c>
      <c r="O349" s="4">
        <v>1</v>
      </c>
      <c r="P349" s="4">
        <v>1</v>
      </c>
      <c r="Q349" s="4">
        <v>1</v>
      </c>
    </row>
    <row r="350" spans="1:17" x14ac:dyDescent="0.25">
      <c r="A350" s="3" t="s">
        <v>18</v>
      </c>
      <c r="B350" s="3">
        <v>11144213</v>
      </c>
      <c r="C350" s="3" t="s">
        <v>384</v>
      </c>
      <c r="D350" s="3" t="s">
        <v>20</v>
      </c>
      <c r="E350" s="3" t="s">
        <v>21</v>
      </c>
      <c r="F350" s="3" t="s">
        <v>21</v>
      </c>
      <c r="G350" s="3" t="s">
        <v>362</v>
      </c>
      <c r="H350" s="3" t="s">
        <v>363</v>
      </c>
      <c r="I350" s="3" t="s">
        <v>24</v>
      </c>
      <c r="J350" s="3" t="s">
        <v>24</v>
      </c>
      <c r="K350" s="3" t="s">
        <v>25</v>
      </c>
      <c r="L350" s="4">
        <v>0</v>
      </c>
      <c r="M350" s="3" t="s">
        <v>26</v>
      </c>
      <c r="N350" s="3" t="s">
        <v>24</v>
      </c>
      <c r="O350" s="4">
        <v>1</v>
      </c>
      <c r="P350" s="4">
        <v>1</v>
      </c>
      <c r="Q350" s="4">
        <v>1</v>
      </c>
    </row>
    <row r="351" spans="1:17" x14ac:dyDescent="0.25">
      <c r="A351" s="3" t="s">
        <v>18</v>
      </c>
      <c r="B351" s="3">
        <v>11144217</v>
      </c>
      <c r="C351" s="3" t="s">
        <v>385</v>
      </c>
      <c r="D351" s="3" t="s">
        <v>20</v>
      </c>
      <c r="E351" s="3" t="s">
        <v>21</v>
      </c>
      <c r="F351" s="3" t="s">
        <v>21</v>
      </c>
      <c r="G351" s="3" t="s">
        <v>362</v>
      </c>
      <c r="H351" s="3" t="s">
        <v>363</v>
      </c>
      <c r="I351" s="3" t="s">
        <v>24</v>
      </c>
      <c r="J351" s="3" t="s">
        <v>24</v>
      </c>
      <c r="K351" s="3" t="s">
        <v>25</v>
      </c>
      <c r="L351" s="4">
        <v>0</v>
      </c>
      <c r="M351" s="3" t="s">
        <v>26</v>
      </c>
      <c r="N351" s="3" t="s">
        <v>24</v>
      </c>
      <c r="O351" s="4">
        <v>1</v>
      </c>
      <c r="P351" s="4">
        <v>1</v>
      </c>
      <c r="Q351" s="4">
        <v>1</v>
      </c>
    </row>
    <row r="352" spans="1:17" x14ac:dyDescent="0.25">
      <c r="A352" s="3" t="s">
        <v>18</v>
      </c>
      <c r="B352" s="3">
        <v>11144423</v>
      </c>
      <c r="C352" s="3" t="s">
        <v>386</v>
      </c>
      <c r="D352" s="3" t="s">
        <v>20</v>
      </c>
      <c r="E352" s="3" t="s">
        <v>21</v>
      </c>
      <c r="F352" s="3" t="s">
        <v>21</v>
      </c>
      <c r="G352" s="3" t="s">
        <v>362</v>
      </c>
      <c r="H352" s="3" t="s">
        <v>363</v>
      </c>
      <c r="I352" s="3" t="s">
        <v>24</v>
      </c>
      <c r="J352" s="3" t="s">
        <v>24</v>
      </c>
      <c r="K352" s="3" t="s">
        <v>25</v>
      </c>
      <c r="L352" s="4">
        <v>0</v>
      </c>
      <c r="M352" s="3" t="s">
        <v>26</v>
      </c>
      <c r="N352" s="3" t="s">
        <v>24</v>
      </c>
      <c r="O352" s="4">
        <v>1</v>
      </c>
      <c r="P352" s="4">
        <v>1</v>
      </c>
      <c r="Q352" s="4">
        <v>1</v>
      </c>
    </row>
    <row r="353" spans="1:17" x14ac:dyDescent="0.25">
      <c r="A353" s="3" t="s">
        <v>18</v>
      </c>
      <c r="B353" s="3">
        <v>11144424</v>
      </c>
      <c r="C353" s="3" t="s">
        <v>387</v>
      </c>
      <c r="D353" s="3" t="s">
        <v>20</v>
      </c>
      <c r="E353" s="3" t="s">
        <v>21</v>
      </c>
      <c r="F353" s="3" t="s">
        <v>21</v>
      </c>
      <c r="G353" s="3" t="s">
        <v>362</v>
      </c>
      <c r="H353" s="3" t="s">
        <v>363</v>
      </c>
      <c r="I353" s="3" t="s">
        <v>24</v>
      </c>
      <c r="J353" s="3" t="s">
        <v>24</v>
      </c>
      <c r="K353" s="3" t="s">
        <v>25</v>
      </c>
      <c r="L353" s="4">
        <v>0</v>
      </c>
      <c r="M353" s="3" t="s">
        <v>26</v>
      </c>
      <c r="N353" s="3" t="s">
        <v>24</v>
      </c>
      <c r="O353" s="4">
        <v>1</v>
      </c>
      <c r="P353" s="4">
        <v>1</v>
      </c>
      <c r="Q353" s="4">
        <v>1</v>
      </c>
    </row>
    <row r="354" spans="1:17" x14ac:dyDescent="0.25">
      <c r="A354" s="3" t="s">
        <v>18</v>
      </c>
      <c r="B354" s="3">
        <v>11144427</v>
      </c>
      <c r="C354" s="3" t="s">
        <v>388</v>
      </c>
      <c r="D354" s="3" t="s">
        <v>20</v>
      </c>
      <c r="E354" s="3" t="s">
        <v>21</v>
      </c>
      <c r="F354" s="3" t="s">
        <v>21</v>
      </c>
      <c r="G354" s="3" t="s">
        <v>36</v>
      </c>
      <c r="H354" s="3" t="s">
        <v>37</v>
      </c>
      <c r="I354" s="3" t="s">
        <v>24</v>
      </c>
      <c r="J354" s="3" t="s">
        <v>24</v>
      </c>
      <c r="K354" s="3" t="s">
        <v>25</v>
      </c>
      <c r="L354" s="4">
        <v>0</v>
      </c>
      <c r="M354" s="3" t="s">
        <v>26</v>
      </c>
      <c r="N354" s="3" t="s">
        <v>24</v>
      </c>
      <c r="O354" s="4">
        <v>1</v>
      </c>
      <c r="P354" s="4">
        <v>3</v>
      </c>
      <c r="Q354" s="4">
        <v>1</v>
      </c>
    </row>
    <row r="355" spans="1:17" x14ac:dyDescent="0.25">
      <c r="A355" s="3" t="s">
        <v>18</v>
      </c>
      <c r="B355" s="3">
        <v>11144520</v>
      </c>
      <c r="C355" s="3" t="s">
        <v>389</v>
      </c>
      <c r="D355" s="3" t="s">
        <v>20</v>
      </c>
      <c r="E355" s="3" t="s">
        <v>21</v>
      </c>
      <c r="F355" s="3" t="s">
        <v>21</v>
      </c>
      <c r="G355" s="3" t="s">
        <v>36</v>
      </c>
      <c r="H355" s="3" t="s">
        <v>37</v>
      </c>
      <c r="I355" s="3" t="s">
        <v>24</v>
      </c>
      <c r="J355" s="3" t="s">
        <v>24</v>
      </c>
      <c r="K355" s="3" t="s">
        <v>25</v>
      </c>
      <c r="L355" s="4">
        <v>0</v>
      </c>
      <c r="M355" s="3" t="s">
        <v>26</v>
      </c>
      <c r="N355" s="3" t="s">
        <v>24</v>
      </c>
      <c r="O355" s="4">
        <v>1</v>
      </c>
      <c r="P355" s="4">
        <v>3</v>
      </c>
      <c r="Q355" s="4">
        <v>1</v>
      </c>
    </row>
    <row r="356" spans="1:17" x14ac:dyDescent="0.25">
      <c r="A356" s="3" t="s">
        <v>18</v>
      </c>
      <c r="B356" s="3">
        <v>11144521</v>
      </c>
      <c r="C356" s="3" t="s">
        <v>390</v>
      </c>
      <c r="D356" s="3" t="s">
        <v>20</v>
      </c>
      <c r="E356" s="3" t="s">
        <v>21</v>
      </c>
      <c r="F356" s="3" t="s">
        <v>21</v>
      </c>
      <c r="G356" s="3" t="s">
        <v>36</v>
      </c>
      <c r="H356" s="3" t="s">
        <v>37</v>
      </c>
      <c r="I356" s="3" t="s">
        <v>24</v>
      </c>
      <c r="J356" s="3" t="s">
        <v>24</v>
      </c>
      <c r="K356" s="3" t="s">
        <v>25</v>
      </c>
      <c r="L356" s="4">
        <v>0</v>
      </c>
      <c r="M356" s="3" t="s">
        <v>26</v>
      </c>
      <c r="N356" s="3" t="s">
        <v>24</v>
      </c>
      <c r="O356" s="4">
        <v>1</v>
      </c>
      <c r="P356" s="4">
        <v>3</v>
      </c>
      <c r="Q356" s="4">
        <v>1</v>
      </c>
    </row>
    <row r="357" spans="1:17" x14ac:dyDescent="0.25">
      <c r="A357" s="3" t="s">
        <v>18</v>
      </c>
      <c r="B357" s="3">
        <v>11144522</v>
      </c>
      <c r="C357" s="3" t="s">
        <v>391</v>
      </c>
      <c r="D357" s="3" t="s">
        <v>20</v>
      </c>
      <c r="E357" s="3" t="s">
        <v>21</v>
      </c>
      <c r="F357" s="3" t="s">
        <v>21</v>
      </c>
      <c r="G357" s="3" t="s">
        <v>36</v>
      </c>
      <c r="H357" s="3" t="s">
        <v>37</v>
      </c>
      <c r="I357" s="3" t="s">
        <v>24</v>
      </c>
      <c r="J357" s="3" t="s">
        <v>24</v>
      </c>
      <c r="K357" s="3" t="s">
        <v>25</v>
      </c>
      <c r="L357" s="4">
        <v>0</v>
      </c>
      <c r="M357" s="3" t="s">
        <v>26</v>
      </c>
      <c r="N357" s="3" t="s">
        <v>24</v>
      </c>
      <c r="O357" s="4">
        <v>1</v>
      </c>
      <c r="P357" s="4">
        <v>3</v>
      </c>
      <c r="Q357" s="4">
        <v>1</v>
      </c>
    </row>
    <row r="358" spans="1:17" x14ac:dyDescent="0.25">
      <c r="A358" s="3" t="s">
        <v>18</v>
      </c>
      <c r="B358" s="3">
        <v>11144524</v>
      </c>
      <c r="C358" s="3" t="s">
        <v>392</v>
      </c>
      <c r="D358" s="3" t="s">
        <v>20</v>
      </c>
      <c r="E358" s="3" t="s">
        <v>21</v>
      </c>
      <c r="F358" s="3" t="s">
        <v>21</v>
      </c>
      <c r="G358" s="3" t="s">
        <v>36</v>
      </c>
      <c r="H358" s="3" t="s">
        <v>37</v>
      </c>
      <c r="I358" s="3" t="s">
        <v>24</v>
      </c>
      <c r="J358" s="3" t="s">
        <v>24</v>
      </c>
      <c r="K358" s="3" t="s">
        <v>25</v>
      </c>
      <c r="L358" s="4">
        <v>0</v>
      </c>
      <c r="M358" s="3" t="s">
        <v>26</v>
      </c>
      <c r="N358" s="3" t="s">
        <v>24</v>
      </c>
      <c r="O358" s="4">
        <v>1</v>
      </c>
      <c r="P358" s="4">
        <v>3</v>
      </c>
      <c r="Q358" s="4">
        <v>1</v>
      </c>
    </row>
    <row r="359" spans="1:17" x14ac:dyDescent="0.25">
      <c r="A359" s="3" t="s">
        <v>18</v>
      </c>
      <c r="B359" s="3">
        <v>11144548</v>
      </c>
      <c r="C359" s="3" t="s">
        <v>393</v>
      </c>
      <c r="D359" s="3" t="s">
        <v>20</v>
      </c>
      <c r="E359" s="3" t="s">
        <v>21</v>
      </c>
      <c r="F359" s="3" t="s">
        <v>21</v>
      </c>
      <c r="G359" s="3" t="s">
        <v>36</v>
      </c>
      <c r="H359" s="3" t="s">
        <v>37</v>
      </c>
      <c r="I359" s="3" t="s">
        <v>24</v>
      </c>
      <c r="J359" s="3" t="s">
        <v>24</v>
      </c>
      <c r="K359" s="3" t="s">
        <v>25</v>
      </c>
      <c r="L359" s="4">
        <v>0</v>
      </c>
      <c r="M359" s="3" t="s">
        <v>26</v>
      </c>
      <c r="N359" s="3" t="s">
        <v>24</v>
      </c>
      <c r="O359" s="4">
        <v>1</v>
      </c>
      <c r="P359" s="4">
        <v>3</v>
      </c>
      <c r="Q359" s="4">
        <v>1</v>
      </c>
    </row>
    <row r="360" spans="1:17" x14ac:dyDescent="0.25">
      <c r="A360" s="3" t="s">
        <v>18</v>
      </c>
      <c r="B360" s="3">
        <v>11144549</v>
      </c>
      <c r="C360" s="3" t="s">
        <v>394</v>
      </c>
      <c r="D360" s="3" t="s">
        <v>20</v>
      </c>
      <c r="E360" s="3" t="s">
        <v>21</v>
      </c>
      <c r="F360" s="3" t="s">
        <v>21</v>
      </c>
      <c r="G360" s="3" t="s">
        <v>36</v>
      </c>
      <c r="H360" s="3" t="s">
        <v>37</v>
      </c>
      <c r="I360" s="3" t="s">
        <v>24</v>
      </c>
      <c r="J360" s="3" t="s">
        <v>24</v>
      </c>
      <c r="K360" s="3" t="s">
        <v>25</v>
      </c>
      <c r="L360" s="4">
        <v>0</v>
      </c>
      <c r="M360" s="3" t="s">
        <v>26</v>
      </c>
      <c r="N360" s="3" t="s">
        <v>24</v>
      </c>
      <c r="O360" s="4">
        <v>1</v>
      </c>
      <c r="P360" s="4">
        <v>2</v>
      </c>
      <c r="Q360" s="4">
        <v>1</v>
      </c>
    </row>
    <row r="361" spans="1:17" x14ac:dyDescent="0.25">
      <c r="A361" s="3" t="s">
        <v>18</v>
      </c>
      <c r="B361" s="3">
        <v>11144552</v>
      </c>
      <c r="C361" s="3" t="s">
        <v>395</v>
      </c>
      <c r="D361" s="3" t="s">
        <v>20</v>
      </c>
      <c r="E361" s="3" t="s">
        <v>21</v>
      </c>
      <c r="F361" s="3" t="s">
        <v>21</v>
      </c>
      <c r="G361" s="3" t="s">
        <v>36</v>
      </c>
      <c r="H361" s="3" t="s">
        <v>37</v>
      </c>
      <c r="I361" s="3" t="s">
        <v>24</v>
      </c>
      <c r="J361" s="3" t="s">
        <v>24</v>
      </c>
      <c r="K361" s="3" t="s">
        <v>25</v>
      </c>
      <c r="L361" s="4">
        <v>0</v>
      </c>
      <c r="M361" s="3" t="s">
        <v>26</v>
      </c>
      <c r="N361" s="3" t="s">
        <v>24</v>
      </c>
      <c r="O361" s="4">
        <v>1</v>
      </c>
      <c r="P361" s="4">
        <v>2</v>
      </c>
      <c r="Q361" s="4">
        <v>1</v>
      </c>
    </row>
    <row r="362" spans="1:17" x14ac:dyDescent="0.25">
      <c r="A362" s="3" t="s">
        <v>18</v>
      </c>
      <c r="B362" s="3">
        <v>11144554</v>
      </c>
      <c r="C362" s="3" t="s">
        <v>396</v>
      </c>
      <c r="D362" s="3" t="s">
        <v>20</v>
      </c>
      <c r="E362" s="3" t="s">
        <v>21</v>
      </c>
      <c r="F362" s="3" t="s">
        <v>21</v>
      </c>
      <c r="G362" s="3" t="s">
        <v>36</v>
      </c>
      <c r="H362" s="3" t="s">
        <v>37</v>
      </c>
      <c r="I362" s="3" t="s">
        <v>24</v>
      </c>
      <c r="J362" s="3" t="s">
        <v>24</v>
      </c>
      <c r="K362" s="3" t="s">
        <v>25</v>
      </c>
      <c r="L362" s="4">
        <v>0</v>
      </c>
      <c r="M362" s="3" t="s">
        <v>26</v>
      </c>
      <c r="N362" s="3" t="s">
        <v>24</v>
      </c>
      <c r="O362" s="4">
        <v>1</v>
      </c>
      <c r="P362" s="4">
        <v>2</v>
      </c>
      <c r="Q362" s="4">
        <v>1</v>
      </c>
    </row>
    <row r="363" spans="1:17" x14ac:dyDescent="0.25">
      <c r="A363" s="3" t="s">
        <v>18</v>
      </c>
      <c r="B363" s="3">
        <v>11187498</v>
      </c>
      <c r="C363" s="3" t="s">
        <v>397</v>
      </c>
      <c r="D363" s="3" t="s">
        <v>20</v>
      </c>
      <c r="E363" s="3" t="s">
        <v>21</v>
      </c>
      <c r="F363" s="3" t="s">
        <v>21</v>
      </c>
      <c r="G363" s="3" t="s">
        <v>22</v>
      </c>
      <c r="H363" s="3" t="s">
        <v>23</v>
      </c>
      <c r="I363" s="3" t="s">
        <v>24</v>
      </c>
      <c r="J363" s="3" t="s">
        <v>24</v>
      </c>
      <c r="K363" s="3" t="s">
        <v>25</v>
      </c>
      <c r="L363" s="4">
        <v>0</v>
      </c>
      <c r="M363" s="3" t="s">
        <v>26</v>
      </c>
      <c r="N363" s="3" t="s">
        <v>24</v>
      </c>
      <c r="O363" s="4">
        <v>1</v>
      </c>
      <c r="P363" s="4">
        <v>1</v>
      </c>
      <c r="Q363" s="4">
        <v>1</v>
      </c>
    </row>
    <row r="364" spans="1:17" x14ac:dyDescent="0.25">
      <c r="A364" s="3" t="s">
        <v>18</v>
      </c>
      <c r="B364" s="3">
        <v>11200311</v>
      </c>
      <c r="C364" s="3" t="s">
        <v>398</v>
      </c>
      <c r="D364" s="3" t="s">
        <v>20</v>
      </c>
      <c r="E364" s="3" t="s">
        <v>21</v>
      </c>
      <c r="F364" s="3" t="s">
        <v>21</v>
      </c>
      <c r="G364" s="3" t="s">
        <v>30</v>
      </c>
      <c r="H364" s="3" t="s">
        <v>31</v>
      </c>
      <c r="I364" s="3" t="s">
        <v>24</v>
      </c>
      <c r="J364" s="3" t="s">
        <v>24</v>
      </c>
      <c r="K364" s="3" t="s">
        <v>25</v>
      </c>
      <c r="L364" s="4">
        <v>0</v>
      </c>
      <c r="M364" s="3" t="s">
        <v>26</v>
      </c>
      <c r="N364" s="3" t="s">
        <v>24</v>
      </c>
      <c r="O364" s="4">
        <v>1</v>
      </c>
      <c r="P364" s="4">
        <v>9</v>
      </c>
      <c r="Q364" s="4">
        <v>1</v>
      </c>
    </row>
    <row r="365" spans="1:17" x14ac:dyDescent="0.25">
      <c r="A365" s="3" t="s">
        <v>18</v>
      </c>
      <c r="B365" s="3">
        <v>11200315</v>
      </c>
      <c r="C365" s="3" t="s">
        <v>399</v>
      </c>
      <c r="D365" s="3" t="s">
        <v>20</v>
      </c>
      <c r="E365" s="3" t="s">
        <v>21</v>
      </c>
      <c r="F365" s="3" t="s">
        <v>21</v>
      </c>
      <c r="G365" s="3" t="s">
        <v>30</v>
      </c>
      <c r="H365" s="3" t="s">
        <v>31</v>
      </c>
      <c r="I365" s="3" t="s">
        <v>24</v>
      </c>
      <c r="J365" s="3" t="s">
        <v>24</v>
      </c>
      <c r="K365" s="3" t="s">
        <v>25</v>
      </c>
      <c r="L365" s="4">
        <v>0</v>
      </c>
      <c r="M365" s="3" t="s">
        <v>26</v>
      </c>
      <c r="N365" s="3" t="s">
        <v>24</v>
      </c>
      <c r="O365" s="4">
        <v>1</v>
      </c>
      <c r="P365" s="4">
        <v>9</v>
      </c>
      <c r="Q365" s="4">
        <v>1</v>
      </c>
    </row>
    <row r="366" spans="1:17" x14ac:dyDescent="0.25">
      <c r="A366" s="3" t="s">
        <v>18</v>
      </c>
      <c r="B366" s="3">
        <v>11220382</v>
      </c>
      <c r="C366" s="3" t="s">
        <v>400</v>
      </c>
      <c r="D366" s="3" t="s">
        <v>20</v>
      </c>
      <c r="E366" s="3" t="s">
        <v>21</v>
      </c>
      <c r="F366" s="3" t="s">
        <v>21</v>
      </c>
      <c r="G366" s="3" t="s">
        <v>36</v>
      </c>
      <c r="H366" s="3" t="s">
        <v>37</v>
      </c>
      <c r="I366" s="3" t="s">
        <v>24</v>
      </c>
      <c r="J366" s="3" t="s">
        <v>24</v>
      </c>
      <c r="K366" s="3" t="s">
        <v>25</v>
      </c>
      <c r="L366" s="4">
        <v>0</v>
      </c>
      <c r="M366" s="3" t="s">
        <v>26</v>
      </c>
      <c r="N366" s="3" t="s">
        <v>24</v>
      </c>
      <c r="O366" s="4">
        <v>1</v>
      </c>
      <c r="P366" s="4">
        <v>10</v>
      </c>
      <c r="Q366" s="4">
        <v>1</v>
      </c>
    </row>
    <row r="367" spans="1:17" x14ac:dyDescent="0.25">
      <c r="A367" s="3" t="s">
        <v>18</v>
      </c>
      <c r="B367" s="3">
        <v>11220383</v>
      </c>
      <c r="C367" s="3" t="s">
        <v>401</v>
      </c>
      <c r="D367" s="3" t="s">
        <v>20</v>
      </c>
      <c r="E367" s="3" t="s">
        <v>21</v>
      </c>
      <c r="F367" s="3" t="s">
        <v>21</v>
      </c>
      <c r="G367" s="3" t="s">
        <v>36</v>
      </c>
      <c r="H367" s="3" t="s">
        <v>37</v>
      </c>
      <c r="I367" s="3" t="s">
        <v>24</v>
      </c>
      <c r="J367" s="3" t="s">
        <v>24</v>
      </c>
      <c r="K367" s="3" t="s">
        <v>25</v>
      </c>
      <c r="L367" s="4">
        <v>0</v>
      </c>
      <c r="M367" s="3" t="s">
        <v>26</v>
      </c>
      <c r="N367" s="3" t="s">
        <v>24</v>
      </c>
      <c r="O367" s="4">
        <v>1</v>
      </c>
      <c r="P367" s="4">
        <v>10</v>
      </c>
      <c r="Q367" s="4">
        <v>1</v>
      </c>
    </row>
    <row r="368" spans="1:17" x14ac:dyDescent="0.25">
      <c r="A368" s="3" t="s">
        <v>18</v>
      </c>
      <c r="B368" s="3">
        <v>11220384</v>
      </c>
      <c r="C368" s="3" t="s">
        <v>402</v>
      </c>
      <c r="D368" s="3" t="s">
        <v>20</v>
      </c>
      <c r="E368" s="3" t="s">
        <v>21</v>
      </c>
      <c r="F368" s="3" t="s">
        <v>21</v>
      </c>
      <c r="G368" s="3" t="s">
        <v>233</v>
      </c>
      <c r="H368" s="3" t="s">
        <v>234</v>
      </c>
      <c r="I368" s="3" t="s">
        <v>24</v>
      </c>
      <c r="J368" s="3" t="s">
        <v>24</v>
      </c>
      <c r="K368" s="3" t="s">
        <v>25</v>
      </c>
      <c r="L368" s="4">
        <v>0</v>
      </c>
      <c r="M368" s="3" t="s">
        <v>26</v>
      </c>
      <c r="N368" s="3" t="s">
        <v>24</v>
      </c>
      <c r="O368" s="4">
        <v>1</v>
      </c>
      <c r="P368" s="4">
        <v>2</v>
      </c>
      <c r="Q368" s="4">
        <v>1</v>
      </c>
    </row>
    <row r="369" spans="1:17" x14ac:dyDescent="0.25">
      <c r="A369" s="3" t="s">
        <v>18</v>
      </c>
      <c r="B369" s="3">
        <v>11220385</v>
      </c>
      <c r="C369" s="3" t="s">
        <v>403</v>
      </c>
      <c r="D369" s="3" t="s">
        <v>20</v>
      </c>
      <c r="E369" s="3" t="s">
        <v>21</v>
      </c>
      <c r="F369" s="3" t="s">
        <v>21</v>
      </c>
      <c r="G369" s="3" t="s">
        <v>233</v>
      </c>
      <c r="H369" s="3" t="s">
        <v>234</v>
      </c>
      <c r="I369" s="3" t="s">
        <v>24</v>
      </c>
      <c r="J369" s="3" t="s">
        <v>24</v>
      </c>
      <c r="K369" s="3" t="s">
        <v>25</v>
      </c>
      <c r="L369" s="4">
        <v>0</v>
      </c>
      <c r="M369" s="3" t="s">
        <v>26</v>
      </c>
      <c r="N369" s="3" t="s">
        <v>24</v>
      </c>
      <c r="O369" s="4">
        <v>1</v>
      </c>
      <c r="P369" s="4">
        <v>2</v>
      </c>
      <c r="Q369" s="4">
        <v>1</v>
      </c>
    </row>
    <row r="370" spans="1:17" x14ac:dyDescent="0.25">
      <c r="A370" s="3" t="s">
        <v>18</v>
      </c>
      <c r="B370" s="3">
        <v>11220386</v>
      </c>
      <c r="C370" s="3" t="s">
        <v>404</v>
      </c>
      <c r="D370" s="3" t="s">
        <v>20</v>
      </c>
      <c r="E370" s="3" t="s">
        <v>21</v>
      </c>
      <c r="F370" s="3" t="s">
        <v>21</v>
      </c>
      <c r="G370" s="3" t="s">
        <v>233</v>
      </c>
      <c r="H370" s="3" t="s">
        <v>234</v>
      </c>
      <c r="I370" s="3" t="s">
        <v>24</v>
      </c>
      <c r="J370" s="3" t="s">
        <v>24</v>
      </c>
      <c r="K370" s="3" t="s">
        <v>25</v>
      </c>
      <c r="L370" s="4">
        <v>0</v>
      </c>
      <c r="M370" s="3" t="s">
        <v>26</v>
      </c>
      <c r="N370" s="3" t="s">
        <v>24</v>
      </c>
      <c r="O370" s="4">
        <v>1</v>
      </c>
      <c r="P370" s="4">
        <v>2</v>
      </c>
      <c r="Q370" s="4">
        <v>1</v>
      </c>
    </row>
    <row r="371" spans="1:17" x14ac:dyDescent="0.25">
      <c r="A371" s="3" t="s">
        <v>18</v>
      </c>
      <c r="B371" s="3">
        <v>11220387</v>
      </c>
      <c r="C371" s="3" t="s">
        <v>405</v>
      </c>
      <c r="D371" s="3" t="s">
        <v>20</v>
      </c>
      <c r="E371" s="3" t="s">
        <v>21</v>
      </c>
      <c r="F371" s="3" t="s">
        <v>21</v>
      </c>
      <c r="G371" s="3" t="s">
        <v>233</v>
      </c>
      <c r="H371" s="3" t="s">
        <v>234</v>
      </c>
      <c r="I371" s="3" t="s">
        <v>24</v>
      </c>
      <c r="J371" s="3" t="s">
        <v>24</v>
      </c>
      <c r="K371" s="3" t="s">
        <v>25</v>
      </c>
      <c r="L371" s="4">
        <v>0</v>
      </c>
      <c r="M371" s="3" t="s">
        <v>26</v>
      </c>
      <c r="N371" s="3" t="s">
        <v>24</v>
      </c>
      <c r="O371" s="4">
        <v>1</v>
      </c>
      <c r="P371" s="4">
        <v>2</v>
      </c>
      <c r="Q371" s="4">
        <v>1</v>
      </c>
    </row>
    <row r="372" spans="1:17" x14ac:dyDescent="0.25">
      <c r="A372" s="3" t="s">
        <v>18</v>
      </c>
      <c r="B372" s="3">
        <v>11226745</v>
      </c>
      <c r="C372" s="3" t="s">
        <v>406</v>
      </c>
      <c r="D372" s="3" t="s">
        <v>20</v>
      </c>
      <c r="E372" s="3" t="s">
        <v>21</v>
      </c>
      <c r="F372" s="3" t="s">
        <v>21</v>
      </c>
      <c r="G372" s="3" t="s">
        <v>233</v>
      </c>
      <c r="H372" s="3" t="s">
        <v>234</v>
      </c>
      <c r="I372" s="3" t="s">
        <v>24</v>
      </c>
      <c r="J372" s="3" t="s">
        <v>24</v>
      </c>
      <c r="K372" s="3" t="s">
        <v>25</v>
      </c>
      <c r="L372" s="4">
        <v>0</v>
      </c>
      <c r="M372" s="3" t="s">
        <v>26</v>
      </c>
      <c r="N372" s="3" t="s">
        <v>24</v>
      </c>
      <c r="O372" s="4">
        <v>1</v>
      </c>
      <c r="P372" s="4">
        <v>3</v>
      </c>
      <c r="Q372" s="4">
        <v>1</v>
      </c>
    </row>
    <row r="373" spans="1:17" x14ac:dyDescent="0.25">
      <c r="A373" s="3" t="s">
        <v>18</v>
      </c>
      <c r="B373" s="3">
        <v>11255991</v>
      </c>
      <c r="C373" s="3" t="s">
        <v>407</v>
      </c>
      <c r="D373" s="3" t="s">
        <v>20</v>
      </c>
      <c r="E373" s="3" t="s">
        <v>21</v>
      </c>
      <c r="F373" s="3" t="s">
        <v>21</v>
      </c>
      <c r="G373" s="3" t="s">
        <v>22</v>
      </c>
      <c r="H373" s="3" t="s">
        <v>23</v>
      </c>
      <c r="I373" s="3" t="s">
        <v>24</v>
      </c>
      <c r="J373" s="3" t="s">
        <v>24</v>
      </c>
      <c r="K373" s="3" t="s">
        <v>25</v>
      </c>
      <c r="L373" s="4">
        <v>0</v>
      </c>
      <c r="M373" s="3" t="s">
        <v>26</v>
      </c>
      <c r="N373" s="3" t="s">
        <v>24</v>
      </c>
      <c r="O373" s="4">
        <v>1</v>
      </c>
      <c r="P373" s="4">
        <v>4</v>
      </c>
      <c r="Q373" s="4">
        <v>1</v>
      </c>
    </row>
    <row r="374" spans="1:17" x14ac:dyDescent="0.25">
      <c r="A374" s="3" t="s">
        <v>18</v>
      </c>
      <c r="B374" s="3">
        <v>11269537</v>
      </c>
      <c r="C374" s="3" t="s">
        <v>408</v>
      </c>
      <c r="D374" s="3" t="s">
        <v>20</v>
      </c>
      <c r="E374" s="3" t="s">
        <v>21</v>
      </c>
      <c r="F374" s="3" t="s">
        <v>21</v>
      </c>
      <c r="G374" s="3" t="s">
        <v>36</v>
      </c>
      <c r="H374" s="3" t="s">
        <v>37</v>
      </c>
      <c r="I374" s="3" t="s">
        <v>24</v>
      </c>
      <c r="J374" s="3" t="s">
        <v>24</v>
      </c>
      <c r="K374" s="3" t="s">
        <v>25</v>
      </c>
      <c r="L374" s="4">
        <v>0</v>
      </c>
      <c r="M374" s="3" t="s">
        <v>26</v>
      </c>
      <c r="N374" s="3" t="s">
        <v>24</v>
      </c>
      <c r="O374" s="4">
        <v>1</v>
      </c>
      <c r="P374" s="4">
        <v>10</v>
      </c>
      <c r="Q374" s="4">
        <v>1</v>
      </c>
    </row>
    <row r="375" spans="1:17" x14ac:dyDescent="0.25">
      <c r="A375" s="3" t="s">
        <v>18</v>
      </c>
      <c r="B375" s="3">
        <v>11282825</v>
      </c>
      <c r="C375" s="3" t="s">
        <v>409</v>
      </c>
      <c r="D375" s="3" t="s">
        <v>20</v>
      </c>
      <c r="E375" s="3" t="s">
        <v>21</v>
      </c>
      <c r="F375" s="3" t="s">
        <v>21</v>
      </c>
      <c r="G375" s="3" t="s">
        <v>410</v>
      </c>
      <c r="H375" s="3" t="s">
        <v>411</v>
      </c>
      <c r="I375" s="3" t="s">
        <v>24</v>
      </c>
      <c r="J375" s="3" t="s">
        <v>24</v>
      </c>
      <c r="K375" s="3" t="s">
        <v>25</v>
      </c>
      <c r="L375" s="4">
        <v>0</v>
      </c>
      <c r="M375" s="3" t="s">
        <v>26</v>
      </c>
      <c r="N375" s="3" t="s">
        <v>24</v>
      </c>
      <c r="O375" s="4">
        <v>1</v>
      </c>
      <c r="P375" s="4">
        <v>9</v>
      </c>
      <c r="Q375" s="4">
        <v>1</v>
      </c>
    </row>
    <row r="376" spans="1:17" x14ac:dyDescent="0.25">
      <c r="A376" s="3" t="s">
        <v>18</v>
      </c>
      <c r="B376" s="3">
        <v>11288932</v>
      </c>
      <c r="C376" s="3" t="s">
        <v>412</v>
      </c>
      <c r="D376" s="3" t="s">
        <v>20</v>
      </c>
      <c r="E376" s="3" t="s">
        <v>21</v>
      </c>
      <c r="F376" s="3" t="s">
        <v>21</v>
      </c>
      <c r="G376" s="3" t="s">
        <v>30</v>
      </c>
      <c r="H376" s="3" t="s">
        <v>31</v>
      </c>
      <c r="I376" s="3" t="s">
        <v>24</v>
      </c>
      <c r="J376" s="3" t="s">
        <v>24</v>
      </c>
      <c r="K376" s="3" t="s">
        <v>25</v>
      </c>
      <c r="L376" s="4">
        <v>0</v>
      </c>
      <c r="M376" s="3" t="s">
        <v>26</v>
      </c>
      <c r="N376" s="3" t="s">
        <v>24</v>
      </c>
      <c r="O376" s="4">
        <v>1</v>
      </c>
      <c r="P376" s="4">
        <v>9</v>
      </c>
      <c r="Q376" s="4">
        <v>1</v>
      </c>
    </row>
    <row r="377" spans="1:17" x14ac:dyDescent="0.25">
      <c r="A377" s="3" t="s">
        <v>18</v>
      </c>
      <c r="B377" s="3">
        <v>11289121</v>
      </c>
      <c r="C377" s="3" t="s">
        <v>413</v>
      </c>
      <c r="D377" s="3" t="s">
        <v>20</v>
      </c>
      <c r="E377" s="3" t="s">
        <v>21</v>
      </c>
      <c r="F377" s="3" t="s">
        <v>21</v>
      </c>
      <c r="G377" s="3" t="s">
        <v>30</v>
      </c>
      <c r="H377" s="3" t="s">
        <v>31</v>
      </c>
      <c r="I377" s="3" t="s">
        <v>24</v>
      </c>
      <c r="J377" s="3" t="s">
        <v>24</v>
      </c>
      <c r="K377" s="3" t="s">
        <v>25</v>
      </c>
      <c r="L377" s="4">
        <v>0</v>
      </c>
      <c r="M377" s="3" t="s">
        <v>26</v>
      </c>
      <c r="N377" s="3" t="s">
        <v>24</v>
      </c>
      <c r="O377" s="4">
        <v>1</v>
      </c>
      <c r="P377" s="4">
        <v>8</v>
      </c>
      <c r="Q377" s="4">
        <v>1</v>
      </c>
    </row>
    <row r="378" spans="1:17" x14ac:dyDescent="0.25">
      <c r="A378" s="3" t="s">
        <v>18</v>
      </c>
      <c r="B378" s="3">
        <v>11291529</v>
      </c>
      <c r="C378" s="3" t="s">
        <v>414</v>
      </c>
      <c r="D378" s="3" t="s">
        <v>20</v>
      </c>
      <c r="E378" s="3" t="s">
        <v>21</v>
      </c>
      <c r="F378" s="3" t="s">
        <v>21</v>
      </c>
      <c r="G378" s="3" t="s">
        <v>30</v>
      </c>
      <c r="H378" s="3" t="s">
        <v>31</v>
      </c>
      <c r="I378" s="3" t="s">
        <v>24</v>
      </c>
      <c r="J378" s="3" t="s">
        <v>24</v>
      </c>
      <c r="K378" s="3" t="s">
        <v>25</v>
      </c>
      <c r="L378" s="4">
        <v>0</v>
      </c>
      <c r="M378" s="3" t="s">
        <v>26</v>
      </c>
      <c r="N378" s="3" t="s">
        <v>24</v>
      </c>
      <c r="O378" s="4">
        <v>1</v>
      </c>
      <c r="P378" s="4">
        <v>9</v>
      </c>
      <c r="Q378" s="4">
        <v>1</v>
      </c>
    </row>
    <row r="379" spans="1:17" x14ac:dyDescent="0.25">
      <c r="A379" s="3" t="s">
        <v>18</v>
      </c>
      <c r="B379" s="3">
        <v>11294233</v>
      </c>
      <c r="C379" s="3" t="s">
        <v>415</v>
      </c>
      <c r="D379" s="3" t="s">
        <v>20</v>
      </c>
      <c r="E379" s="3" t="s">
        <v>21</v>
      </c>
      <c r="F379" s="3" t="s">
        <v>21</v>
      </c>
      <c r="G379" s="3" t="s">
        <v>233</v>
      </c>
      <c r="H379" s="3" t="s">
        <v>234</v>
      </c>
      <c r="I379" s="3" t="s">
        <v>24</v>
      </c>
      <c r="J379" s="3" t="s">
        <v>24</v>
      </c>
      <c r="K379" s="3" t="s">
        <v>25</v>
      </c>
      <c r="L379" s="4">
        <v>0</v>
      </c>
      <c r="M379" s="3" t="s">
        <v>26</v>
      </c>
      <c r="N379" s="3" t="s">
        <v>24</v>
      </c>
      <c r="O379" s="4">
        <v>1</v>
      </c>
      <c r="P379" s="4">
        <v>3</v>
      </c>
      <c r="Q379" s="4">
        <v>1</v>
      </c>
    </row>
    <row r="380" spans="1:17" x14ac:dyDescent="0.25">
      <c r="A380" s="3" t="s">
        <v>18</v>
      </c>
      <c r="B380" s="3">
        <v>11295136</v>
      </c>
      <c r="C380" s="3" t="s">
        <v>416</v>
      </c>
      <c r="D380" s="3" t="s">
        <v>20</v>
      </c>
      <c r="E380" s="3" t="s">
        <v>21</v>
      </c>
      <c r="F380" s="3" t="s">
        <v>21</v>
      </c>
      <c r="G380" s="3" t="s">
        <v>233</v>
      </c>
      <c r="H380" s="3" t="s">
        <v>234</v>
      </c>
      <c r="I380" s="3" t="s">
        <v>24</v>
      </c>
      <c r="J380" s="3" t="s">
        <v>24</v>
      </c>
      <c r="K380" s="3" t="s">
        <v>25</v>
      </c>
      <c r="L380" s="4">
        <v>0</v>
      </c>
      <c r="M380" s="3" t="s">
        <v>26</v>
      </c>
      <c r="N380" s="3" t="s">
        <v>24</v>
      </c>
      <c r="O380" s="4">
        <v>1</v>
      </c>
      <c r="P380" s="4">
        <v>2</v>
      </c>
      <c r="Q380" s="4">
        <v>1</v>
      </c>
    </row>
    <row r="381" spans="1:17" x14ac:dyDescent="0.25">
      <c r="A381" s="3" t="s">
        <v>18</v>
      </c>
      <c r="B381" s="3">
        <v>11295182</v>
      </c>
      <c r="C381" s="3" t="s">
        <v>417</v>
      </c>
      <c r="D381" s="3" t="s">
        <v>20</v>
      </c>
      <c r="E381" s="3" t="s">
        <v>21</v>
      </c>
      <c r="F381" s="3" t="s">
        <v>21</v>
      </c>
      <c r="G381" s="3" t="s">
        <v>233</v>
      </c>
      <c r="H381" s="3" t="s">
        <v>234</v>
      </c>
      <c r="I381" s="3" t="s">
        <v>24</v>
      </c>
      <c r="J381" s="3" t="s">
        <v>24</v>
      </c>
      <c r="K381" s="3" t="s">
        <v>25</v>
      </c>
      <c r="L381" s="4">
        <v>0</v>
      </c>
      <c r="M381" s="3" t="s">
        <v>26</v>
      </c>
      <c r="N381" s="3" t="s">
        <v>24</v>
      </c>
      <c r="O381" s="4">
        <v>1</v>
      </c>
      <c r="P381" s="4">
        <v>2</v>
      </c>
      <c r="Q381" s="4">
        <v>1</v>
      </c>
    </row>
    <row r="382" spans="1:17" x14ac:dyDescent="0.25">
      <c r="A382" s="3" t="s">
        <v>18</v>
      </c>
      <c r="B382" s="3">
        <v>11304849</v>
      </c>
      <c r="C382" s="3" t="s">
        <v>418</v>
      </c>
      <c r="D382" s="3" t="s">
        <v>20</v>
      </c>
      <c r="E382" s="3" t="s">
        <v>21</v>
      </c>
      <c r="F382" s="3" t="s">
        <v>21</v>
      </c>
      <c r="G382" s="3" t="s">
        <v>30</v>
      </c>
      <c r="H382" s="3" t="s">
        <v>31</v>
      </c>
      <c r="I382" s="3" t="s">
        <v>24</v>
      </c>
      <c r="J382" s="3" t="s">
        <v>24</v>
      </c>
      <c r="K382" s="3" t="s">
        <v>25</v>
      </c>
      <c r="L382" s="4">
        <v>0</v>
      </c>
      <c r="M382" s="3" t="s">
        <v>26</v>
      </c>
      <c r="N382" s="3" t="s">
        <v>24</v>
      </c>
      <c r="O382" s="4">
        <v>1</v>
      </c>
      <c r="P382" s="4">
        <v>9</v>
      </c>
      <c r="Q382" s="4">
        <v>1</v>
      </c>
    </row>
    <row r="383" spans="1:17" x14ac:dyDescent="0.25">
      <c r="A383" s="3" t="s">
        <v>18</v>
      </c>
      <c r="B383" s="3">
        <v>11304857</v>
      </c>
      <c r="C383" s="3" t="s">
        <v>419</v>
      </c>
      <c r="D383" s="3" t="s">
        <v>20</v>
      </c>
      <c r="E383" s="3" t="s">
        <v>21</v>
      </c>
      <c r="F383" s="3" t="s">
        <v>21</v>
      </c>
      <c r="G383" s="3" t="s">
        <v>30</v>
      </c>
      <c r="H383" s="3" t="s">
        <v>31</v>
      </c>
      <c r="I383" s="3" t="s">
        <v>24</v>
      </c>
      <c r="J383" s="3" t="s">
        <v>24</v>
      </c>
      <c r="K383" s="3" t="s">
        <v>25</v>
      </c>
      <c r="L383" s="4">
        <v>0</v>
      </c>
      <c r="M383" s="3" t="s">
        <v>26</v>
      </c>
      <c r="N383" s="3" t="s">
        <v>24</v>
      </c>
      <c r="O383" s="4">
        <v>1</v>
      </c>
      <c r="P383" s="4">
        <v>8</v>
      </c>
      <c r="Q383" s="4">
        <v>1</v>
      </c>
    </row>
    <row r="384" spans="1:17" x14ac:dyDescent="0.25">
      <c r="A384" s="3" t="s">
        <v>18</v>
      </c>
      <c r="B384" s="3">
        <v>11305022</v>
      </c>
      <c r="C384" s="3" t="s">
        <v>420</v>
      </c>
      <c r="D384" s="3" t="s">
        <v>20</v>
      </c>
      <c r="E384" s="3" t="s">
        <v>21</v>
      </c>
      <c r="F384" s="3" t="s">
        <v>21</v>
      </c>
      <c r="G384" s="3" t="s">
        <v>42</v>
      </c>
      <c r="H384" s="3" t="s">
        <v>43</v>
      </c>
      <c r="I384" s="3" t="s">
        <v>24</v>
      </c>
      <c r="J384" s="3" t="s">
        <v>24</v>
      </c>
      <c r="K384" s="3" t="s">
        <v>25</v>
      </c>
      <c r="L384" s="4">
        <v>0</v>
      </c>
      <c r="M384" s="3" t="s">
        <v>26</v>
      </c>
      <c r="N384" s="3" t="s">
        <v>24</v>
      </c>
      <c r="O384" s="4">
        <v>1</v>
      </c>
      <c r="P384" s="4">
        <v>8</v>
      </c>
      <c r="Q384" s="4">
        <v>1</v>
      </c>
    </row>
    <row r="385" spans="1:17" x14ac:dyDescent="0.25">
      <c r="A385" s="3" t="s">
        <v>18</v>
      </c>
      <c r="B385" s="3">
        <v>11305191</v>
      </c>
      <c r="C385" s="3" t="s">
        <v>421</v>
      </c>
      <c r="D385" s="3" t="s">
        <v>20</v>
      </c>
      <c r="E385" s="3" t="s">
        <v>21</v>
      </c>
      <c r="F385" s="3" t="s">
        <v>21</v>
      </c>
      <c r="G385" s="3" t="s">
        <v>42</v>
      </c>
      <c r="H385" s="3" t="s">
        <v>43</v>
      </c>
      <c r="I385" s="3" t="s">
        <v>24</v>
      </c>
      <c r="J385" s="3" t="s">
        <v>24</v>
      </c>
      <c r="K385" s="3" t="s">
        <v>25</v>
      </c>
      <c r="L385" s="4">
        <v>0</v>
      </c>
      <c r="M385" s="3" t="s">
        <v>26</v>
      </c>
      <c r="N385" s="3" t="s">
        <v>24</v>
      </c>
      <c r="O385" s="4">
        <v>1</v>
      </c>
      <c r="P385" s="4">
        <v>8</v>
      </c>
      <c r="Q385" s="4">
        <v>1</v>
      </c>
    </row>
    <row r="386" spans="1:17" x14ac:dyDescent="0.25">
      <c r="A386" s="3" t="s">
        <v>18</v>
      </c>
      <c r="B386" s="3">
        <v>11310082</v>
      </c>
      <c r="C386" s="3" t="s">
        <v>422</v>
      </c>
      <c r="D386" s="3" t="s">
        <v>20</v>
      </c>
      <c r="E386" s="3" t="s">
        <v>21</v>
      </c>
      <c r="F386" s="3" t="s">
        <v>21</v>
      </c>
      <c r="G386" s="3" t="s">
        <v>36</v>
      </c>
      <c r="H386" s="3" t="s">
        <v>37</v>
      </c>
      <c r="I386" s="3" t="s">
        <v>24</v>
      </c>
      <c r="J386" s="3" t="s">
        <v>24</v>
      </c>
      <c r="K386" s="3" t="s">
        <v>25</v>
      </c>
      <c r="L386" s="4">
        <v>0</v>
      </c>
      <c r="M386" s="3" t="s">
        <v>26</v>
      </c>
      <c r="N386" s="3" t="s">
        <v>24</v>
      </c>
      <c r="O386" s="4">
        <v>1</v>
      </c>
      <c r="P386" s="4">
        <v>10</v>
      </c>
      <c r="Q386" s="4">
        <v>1</v>
      </c>
    </row>
    <row r="387" spans="1:17" x14ac:dyDescent="0.25">
      <c r="A387" s="3" t="s">
        <v>18</v>
      </c>
      <c r="B387" s="3">
        <v>11310086</v>
      </c>
      <c r="C387" s="3" t="s">
        <v>423</v>
      </c>
      <c r="D387" s="3" t="s">
        <v>20</v>
      </c>
      <c r="E387" s="3" t="s">
        <v>21</v>
      </c>
      <c r="F387" s="3" t="s">
        <v>21</v>
      </c>
      <c r="G387" s="3" t="s">
        <v>233</v>
      </c>
      <c r="H387" s="3" t="s">
        <v>234</v>
      </c>
      <c r="I387" s="3" t="s">
        <v>24</v>
      </c>
      <c r="J387" s="3" t="s">
        <v>24</v>
      </c>
      <c r="K387" s="3" t="s">
        <v>25</v>
      </c>
      <c r="L387" s="4">
        <v>0</v>
      </c>
      <c r="M387" s="3" t="s">
        <v>26</v>
      </c>
      <c r="N387" s="3" t="s">
        <v>24</v>
      </c>
      <c r="O387" s="4">
        <v>1</v>
      </c>
      <c r="P387" s="4">
        <v>3</v>
      </c>
      <c r="Q387" s="4">
        <v>1</v>
      </c>
    </row>
    <row r="388" spans="1:17" x14ac:dyDescent="0.25">
      <c r="A388" s="3" t="s">
        <v>18</v>
      </c>
      <c r="B388" s="3">
        <v>11311578</v>
      </c>
      <c r="C388" s="3" t="s">
        <v>424</v>
      </c>
      <c r="D388" s="3" t="s">
        <v>20</v>
      </c>
      <c r="E388" s="3" t="s">
        <v>21</v>
      </c>
      <c r="F388" s="3" t="s">
        <v>21</v>
      </c>
      <c r="G388" s="3" t="s">
        <v>410</v>
      </c>
      <c r="H388" s="3" t="s">
        <v>411</v>
      </c>
      <c r="I388" s="3" t="s">
        <v>24</v>
      </c>
      <c r="J388" s="3" t="s">
        <v>24</v>
      </c>
      <c r="K388" s="3" t="s">
        <v>25</v>
      </c>
      <c r="L388" s="4">
        <v>0</v>
      </c>
      <c r="M388" s="3" t="s">
        <v>26</v>
      </c>
      <c r="N388" s="3" t="s">
        <v>24</v>
      </c>
      <c r="O388" s="4">
        <v>1</v>
      </c>
      <c r="P388" s="4">
        <v>8</v>
      </c>
      <c r="Q388" s="4">
        <v>1</v>
      </c>
    </row>
    <row r="389" spans="1:17" x14ac:dyDescent="0.25">
      <c r="A389" s="3" t="s">
        <v>18</v>
      </c>
      <c r="B389" s="3">
        <v>11311929</v>
      </c>
      <c r="C389" s="3" t="s">
        <v>425</v>
      </c>
      <c r="D389" s="3" t="s">
        <v>20</v>
      </c>
      <c r="E389" s="3" t="s">
        <v>21</v>
      </c>
      <c r="F389" s="3" t="s">
        <v>21</v>
      </c>
      <c r="G389" s="3" t="s">
        <v>410</v>
      </c>
      <c r="H389" s="3" t="s">
        <v>411</v>
      </c>
      <c r="I389" s="3" t="s">
        <v>24</v>
      </c>
      <c r="J389" s="3" t="s">
        <v>24</v>
      </c>
      <c r="K389" s="3" t="s">
        <v>25</v>
      </c>
      <c r="L389" s="4">
        <v>0</v>
      </c>
      <c r="M389" s="3" t="s">
        <v>26</v>
      </c>
      <c r="N389" s="3" t="s">
        <v>24</v>
      </c>
      <c r="O389" s="4">
        <v>1</v>
      </c>
      <c r="P389" s="4">
        <v>8</v>
      </c>
      <c r="Q389" s="4">
        <v>1</v>
      </c>
    </row>
    <row r="390" spans="1:17" x14ac:dyDescent="0.25">
      <c r="A390" s="3" t="s">
        <v>18</v>
      </c>
      <c r="B390" s="3">
        <v>11311937</v>
      </c>
      <c r="C390" s="3" t="s">
        <v>426</v>
      </c>
      <c r="D390" s="3" t="s">
        <v>20</v>
      </c>
      <c r="E390" s="3" t="s">
        <v>21</v>
      </c>
      <c r="F390" s="3" t="s">
        <v>21</v>
      </c>
      <c r="G390" s="3" t="s">
        <v>410</v>
      </c>
      <c r="H390" s="3" t="s">
        <v>411</v>
      </c>
      <c r="I390" s="3" t="s">
        <v>24</v>
      </c>
      <c r="J390" s="3" t="s">
        <v>24</v>
      </c>
      <c r="K390" s="3" t="s">
        <v>25</v>
      </c>
      <c r="L390" s="4">
        <v>0</v>
      </c>
      <c r="M390" s="3" t="s">
        <v>26</v>
      </c>
      <c r="N390" s="3" t="s">
        <v>24</v>
      </c>
      <c r="O390" s="4">
        <v>1</v>
      </c>
      <c r="P390" s="4">
        <v>8</v>
      </c>
      <c r="Q390" s="4">
        <v>1</v>
      </c>
    </row>
    <row r="391" spans="1:17" x14ac:dyDescent="0.25">
      <c r="A391" s="3" t="s">
        <v>18</v>
      </c>
      <c r="B391" s="3">
        <v>11312006</v>
      </c>
      <c r="C391" s="3" t="s">
        <v>427</v>
      </c>
      <c r="D391" s="3" t="s">
        <v>20</v>
      </c>
      <c r="E391" s="3" t="s">
        <v>21</v>
      </c>
      <c r="F391" s="3" t="s">
        <v>21</v>
      </c>
      <c r="G391" s="3" t="s">
        <v>410</v>
      </c>
      <c r="H391" s="3" t="s">
        <v>411</v>
      </c>
      <c r="I391" s="3" t="s">
        <v>24</v>
      </c>
      <c r="J391" s="3" t="s">
        <v>24</v>
      </c>
      <c r="K391" s="3" t="s">
        <v>25</v>
      </c>
      <c r="L391" s="4">
        <v>0</v>
      </c>
      <c r="M391" s="3" t="s">
        <v>26</v>
      </c>
      <c r="N391" s="3" t="s">
        <v>24</v>
      </c>
      <c r="O391" s="4">
        <v>1</v>
      </c>
      <c r="P391" s="4">
        <v>8</v>
      </c>
      <c r="Q391" s="4">
        <v>1</v>
      </c>
    </row>
    <row r="392" spans="1:17" x14ac:dyDescent="0.25">
      <c r="A392" s="3" t="s">
        <v>18</v>
      </c>
      <c r="B392" s="3">
        <v>11312007</v>
      </c>
      <c r="C392" s="3" t="s">
        <v>428</v>
      </c>
      <c r="D392" s="3" t="s">
        <v>20</v>
      </c>
      <c r="E392" s="3" t="s">
        <v>21</v>
      </c>
      <c r="F392" s="3" t="s">
        <v>21</v>
      </c>
      <c r="G392" s="3" t="s">
        <v>410</v>
      </c>
      <c r="H392" s="3" t="s">
        <v>411</v>
      </c>
      <c r="I392" s="3" t="s">
        <v>24</v>
      </c>
      <c r="J392" s="3" t="s">
        <v>24</v>
      </c>
      <c r="K392" s="3" t="s">
        <v>25</v>
      </c>
      <c r="L392" s="4">
        <v>0</v>
      </c>
      <c r="M392" s="3" t="s">
        <v>26</v>
      </c>
      <c r="N392" s="3" t="s">
        <v>24</v>
      </c>
      <c r="O392" s="4">
        <v>1</v>
      </c>
      <c r="P392" s="4">
        <v>8</v>
      </c>
      <c r="Q392" s="4">
        <v>1</v>
      </c>
    </row>
    <row r="393" spans="1:17" x14ac:dyDescent="0.25">
      <c r="A393" s="3" t="s">
        <v>18</v>
      </c>
      <c r="B393" s="3">
        <v>11312058</v>
      </c>
      <c r="C393" s="3" t="s">
        <v>429</v>
      </c>
      <c r="D393" s="3" t="s">
        <v>20</v>
      </c>
      <c r="E393" s="3" t="s">
        <v>21</v>
      </c>
      <c r="F393" s="3" t="s">
        <v>21</v>
      </c>
      <c r="G393" s="3" t="s">
        <v>410</v>
      </c>
      <c r="H393" s="3" t="s">
        <v>411</v>
      </c>
      <c r="I393" s="3" t="s">
        <v>24</v>
      </c>
      <c r="J393" s="3" t="s">
        <v>24</v>
      </c>
      <c r="K393" s="3" t="s">
        <v>25</v>
      </c>
      <c r="L393" s="4">
        <v>0</v>
      </c>
      <c r="M393" s="3" t="s">
        <v>26</v>
      </c>
      <c r="N393" s="3" t="s">
        <v>24</v>
      </c>
      <c r="O393" s="4">
        <v>1</v>
      </c>
      <c r="P393" s="4">
        <v>8</v>
      </c>
      <c r="Q393" s="4">
        <v>1</v>
      </c>
    </row>
    <row r="394" spans="1:17" x14ac:dyDescent="0.25">
      <c r="A394" s="3" t="s">
        <v>18</v>
      </c>
      <c r="B394" s="3">
        <v>11312059</v>
      </c>
      <c r="C394" s="3" t="s">
        <v>430</v>
      </c>
      <c r="D394" s="3" t="s">
        <v>20</v>
      </c>
      <c r="E394" s="3" t="s">
        <v>21</v>
      </c>
      <c r="F394" s="3" t="s">
        <v>21</v>
      </c>
      <c r="G394" s="3" t="s">
        <v>410</v>
      </c>
      <c r="H394" s="3" t="s">
        <v>411</v>
      </c>
      <c r="I394" s="3" t="s">
        <v>24</v>
      </c>
      <c r="J394" s="3" t="s">
        <v>24</v>
      </c>
      <c r="K394" s="3" t="s">
        <v>25</v>
      </c>
      <c r="L394" s="4">
        <v>0</v>
      </c>
      <c r="M394" s="3" t="s">
        <v>26</v>
      </c>
      <c r="N394" s="3" t="s">
        <v>24</v>
      </c>
      <c r="O394" s="4">
        <v>1</v>
      </c>
      <c r="P394" s="4">
        <v>8</v>
      </c>
      <c r="Q394" s="4">
        <v>1</v>
      </c>
    </row>
    <row r="395" spans="1:17" x14ac:dyDescent="0.25">
      <c r="A395" s="3" t="s">
        <v>18</v>
      </c>
      <c r="B395" s="3">
        <v>11312064</v>
      </c>
      <c r="C395" s="3" t="s">
        <v>431</v>
      </c>
      <c r="D395" s="3" t="s">
        <v>20</v>
      </c>
      <c r="E395" s="3" t="s">
        <v>21</v>
      </c>
      <c r="F395" s="3" t="s">
        <v>21</v>
      </c>
      <c r="G395" s="3" t="s">
        <v>410</v>
      </c>
      <c r="H395" s="3" t="s">
        <v>411</v>
      </c>
      <c r="I395" s="3" t="s">
        <v>24</v>
      </c>
      <c r="J395" s="3" t="s">
        <v>24</v>
      </c>
      <c r="K395" s="3" t="s">
        <v>25</v>
      </c>
      <c r="L395" s="4">
        <v>0</v>
      </c>
      <c r="M395" s="3" t="s">
        <v>26</v>
      </c>
      <c r="N395" s="3" t="s">
        <v>24</v>
      </c>
      <c r="O395" s="4">
        <v>1</v>
      </c>
      <c r="P395" s="4">
        <v>4</v>
      </c>
      <c r="Q395" s="4">
        <v>1</v>
      </c>
    </row>
    <row r="396" spans="1:17" x14ac:dyDescent="0.25">
      <c r="A396" s="3" t="s">
        <v>18</v>
      </c>
      <c r="B396" s="3">
        <v>11312067</v>
      </c>
      <c r="C396" s="3" t="s">
        <v>432</v>
      </c>
      <c r="D396" s="3" t="s">
        <v>20</v>
      </c>
      <c r="E396" s="3" t="s">
        <v>21</v>
      </c>
      <c r="F396" s="3" t="s">
        <v>21</v>
      </c>
      <c r="G396" s="3" t="s">
        <v>410</v>
      </c>
      <c r="H396" s="3" t="s">
        <v>411</v>
      </c>
      <c r="I396" s="3" t="s">
        <v>24</v>
      </c>
      <c r="J396" s="3" t="s">
        <v>24</v>
      </c>
      <c r="K396" s="3" t="s">
        <v>25</v>
      </c>
      <c r="L396" s="4">
        <v>0</v>
      </c>
      <c r="M396" s="3" t="s">
        <v>26</v>
      </c>
      <c r="N396" s="3" t="s">
        <v>24</v>
      </c>
      <c r="O396" s="4">
        <v>1</v>
      </c>
      <c r="P396" s="4">
        <v>4</v>
      </c>
      <c r="Q396" s="4">
        <v>1</v>
      </c>
    </row>
    <row r="397" spans="1:17" x14ac:dyDescent="0.25">
      <c r="A397" s="3" t="s">
        <v>18</v>
      </c>
      <c r="B397" s="3">
        <v>11312128</v>
      </c>
      <c r="C397" s="3" t="s">
        <v>433</v>
      </c>
      <c r="D397" s="3" t="s">
        <v>20</v>
      </c>
      <c r="E397" s="3" t="s">
        <v>21</v>
      </c>
      <c r="F397" s="3" t="s">
        <v>21</v>
      </c>
      <c r="G397" s="3" t="s">
        <v>410</v>
      </c>
      <c r="H397" s="3" t="s">
        <v>411</v>
      </c>
      <c r="I397" s="3" t="s">
        <v>24</v>
      </c>
      <c r="J397" s="3" t="s">
        <v>24</v>
      </c>
      <c r="K397" s="3" t="s">
        <v>25</v>
      </c>
      <c r="L397" s="4">
        <v>0</v>
      </c>
      <c r="M397" s="3" t="s">
        <v>26</v>
      </c>
      <c r="N397" s="3" t="s">
        <v>24</v>
      </c>
      <c r="O397" s="4">
        <v>1</v>
      </c>
      <c r="P397" s="4">
        <v>4</v>
      </c>
      <c r="Q397" s="4">
        <v>1</v>
      </c>
    </row>
    <row r="398" spans="1:17" x14ac:dyDescent="0.25">
      <c r="A398" s="3" t="s">
        <v>18</v>
      </c>
      <c r="B398" s="3">
        <v>11312133</v>
      </c>
      <c r="C398" s="3" t="s">
        <v>434</v>
      </c>
      <c r="D398" s="3" t="s">
        <v>20</v>
      </c>
      <c r="E398" s="3" t="s">
        <v>21</v>
      </c>
      <c r="F398" s="3" t="s">
        <v>21</v>
      </c>
      <c r="G398" s="3" t="s">
        <v>410</v>
      </c>
      <c r="H398" s="3" t="s">
        <v>411</v>
      </c>
      <c r="I398" s="3" t="s">
        <v>24</v>
      </c>
      <c r="J398" s="3" t="s">
        <v>24</v>
      </c>
      <c r="K398" s="3" t="s">
        <v>25</v>
      </c>
      <c r="L398" s="4">
        <v>0</v>
      </c>
      <c r="M398" s="3" t="s">
        <v>26</v>
      </c>
      <c r="N398" s="3" t="s">
        <v>24</v>
      </c>
      <c r="O398" s="4">
        <v>1</v>
      </c>
      <c r="P398" s="4">
        <v>10</v>
      </c>
      <c r="Q398" s="4">
        <v>1</v>
      </c>
    </row>
    <row r="399" spans="1:17" x14ac:dyDescent="0.25">
      <c r="A399" s="3" t="s">
        <v>18</v>
      </c>
      <c r="B399" s="3">
        <v>11312267</v>
      </c>
      <c r="C399" s="3" t="s">
        <v>435</v>
      </c>
      <c r="D399" s="3" t="s">
        <v>20</v>
      </c>
      <c r="E399" s="3" t="s">
        <v>21</v>
      </c>
      <c r="F399" s="3" t="s">
        <v>21</v>
      </c>
      <c r="G399" s="3" t="s">
        <v>410</v>
      </c>
      <c r="H399" s="3" t="s">
        <v>411</v>
      </c>
      <c r="I399" s="3" t="s">
        <v>24</v>
      </c>
      <c r="J399" s="3" t="s">
        <v>24</v>
      </c>
      <c r="K399" s="3" t="s">
        <v>25</v>
      </c>
      <c r="L399" s="4">
        <v>0</v>
      </c>
      <c r="M399" s="3" t="s">
        <v>26</v>
      </c>
      <c r="N399" s="3" t="s">
        <v>24</v>
      </c>
      <c r="O399" s="4">
        <v>1</v>
      </c>
      <c r="P399" s="4">
        <v>9</v>
      </c>
      <c r="Q399" s="4">
        <v>1</v>
      </c>
    </row>
    <row r="400" spans="1:17" x14ac:dyDescent="0.25">
      <c r="A400" s="3" t="s">
        <v>18</v>
      </c>
      <c r="B400" s="3">
        <v>11312301</v>
      </c>
      <c r="C400" s="3" t="s">
        <v>436</v>
      </c>
      <c r="D400" s="3" t="s">
        <v>20</v>
      </c>
      <c r="E400" s="3" t="s">
        <v>21</v>
      </c>
      <c r="F400" s="3" t="s">
        <v>21</v>
      </c>
      <c r="G400" s="3" t="s">
        <v>410</v>
      </c>
      <c r="H400" s="3" t="s">
        <v>411</v>
      </c>
      <c r="I400" s="3" t="s">
        <v>24</v>
      </c>
      <c r="J400" s="3" t="s">
        <v>24</v>
      </c>
      <c r="K400" s="3" t="s">
        <v>25</v>
      </c>
      <c r="L400" s="4">
        <v>0</v>
      </c>
      <c r="M400" s="3" t="s">
        <v>26</v>
      </c>
      <c r="N400" s="3" t="s">
        <v>24</v>
      </c>
      <c r="O400" s="4">
        <v>1</v>
      </c>
      <c r="P400" s="4">
        <v>8</v>
      </c>
      <c r="Q400" s="4">
        <v>1</v>
      </c>
    </row>
    <row r="401" spans="1:17" x14ac:dyDescent="0.25">
      <c r="A401" s="3" t="s">
        <v>18</v>
      </c>
      <c r="B401" s="3">
        <v>11312305</v>
      </c>
      <c r="C401" s="3" t="s">
        <v>437</v>
      </c>
      <c r="D401" s="3" t="s">
        <v>20</v>
      </c>
      <c r="E401" s="3" t="s">
        <v>21</v>
      </c>
      <c r="F401" s="3" t="s">
        <v>21</v>
      </c>
      <c r="G401" s="3" t="s">
        <v>410</v>
      </c>
      <c r="H401" s="3" t="s">
        <v>411</v>
      </c>
      <c r="I401" s="3" t="s">
        <v>24</v>
      </c>
      <c r="J401" s="3" t="s">
        <v>24</v>
      </c>
      <c r="K401" s="3" t="s">
        <v>25</v>
      </c>
      <c r="L401" s="4">
        <v>0</v>
      </c>
      <c r="M401" s="3" t="s">
        <v>26</v>
      </c>
      <c r="N401" s="3" t="s">
        <v>24</v>
      </c>
      <c r="O401" s="4">
        <v>1</v>
      </c>
      <c r="P401" s="4">
        <v>8</v>
      </c>
      <c r="Q401" s="4">
        <v>1</v>
      </c>
    </row>
    <row r="402" spans="1:17" x14ac:dyDescent="0.25">
      <c r="A402" s="3" t="s">
        <v>18</v>
      </c>
      <c r="B402" s="3">
        <v>11312333</v>
      </c>
      <c r="C402" s="3" t="s">
        <v>438</v>
      </c>
      <c r="D402" s="3" t="s">
        <v>20</v>
      </c>
      <c r="E402" s="3" t="s">
        <v>21</v>
      </c>
      <c r="F402" s="3" t="s">
        <v>21</v>
      </c>
      <c r="G402" s="3" t="s">
        <v>410</v>
      </c>
      <c r="H402" s="3" t="s">
        <v>411</v>
      </c>
      <c r="I402" s="3" t="s">
        <v>24</v>
      </c>
      <c r="J402" s="3" t="s">
        <v>24</v>
      </c>
      <c r="K402" s="3" t="s">
        <v>25</v>
      </c>
      <c r="L402" s="4">
        <v>0</v>
      </c>
      <c r="M402" s="3" t="s">
        <v>26</v>
      </c>
      <c r="N402" s="3" t="s">
        <v>24</v>
      </c>
      <c r="O402" s="4">
        <v>1</v>
      </c>
      <c r="P402" s="4">
        <v>8</v>
      </c>
      <c r="Q402" s="4">
        <v>1</v>
      </c>
    </row>
    <row r="403" spans="1:17" x14ac:dyDescent="0.25">
      <c r="A403" s="3" t="s">
        <v>18</v>
      </c>
      <c r="B403" s="3">
        <v>11312335</v>
      </c>
      <c r="C403" s="3" t="s">
        <v>439</v>
      </c>
      <c r="D403" s="3" t="s">
        <v>20</v>
      </c>
      <c r="E403" s="3" t="s">
        <v>21</v>
      </c>
      <c r="F403" s="3" t="s">
        <v>21</v>
      </c>
      <c r="G403" s="3" t="s">
        <v>410</v>
      </c>
      <c r="H403" s="3" t="s">
        <v>411</v>
      </c>
      <c r="I403" s="3" t="s">
        <v>24</v>
      </c>
      <c r="J403" s="3" t="s">
        <v>24</v>
      </c>
      <c r="K403" s="3" t="s">
        <v>25</v>
      </c>
      <c r="L403" s="4">
        <v>0</v>
      </c>
      <c r="M403" s="3" t="s">
        <v>26</v>
      </c>
      <c r="N403" s="3" t="s">
        <v>24</v>
      </c>
      <c r="O403" s="4">
        <v>1</v>
      </c>
      <c r="P403" s="4">
        <v>8</v>
      </c>
      <c r="Q403" s="4">
        <v>1</v>
      </c>
    </row>
    <row r="404" spans="1:17" x14ac:dyDescent="0.25">
      <c r="A404" s="3" t="s">
        <v>18</v>
      </c>
      <c r="B404" s="3">
        <v>11312343</v>
      </c>
      <c r="C404" s="3" t="s">
        <v>440</v>
      </c>
      <c r="D404" s="3" t="s">
        <v>20</v>
      </c>
      <c r="E404" s="3" t="s">
        <v>21</v>
      </c>
      <c r="F404" s="3" t="s">
        <v>21</v>
      </c>
      <c r="G404" s="3" t="s">
        <v>410</v>
      </c>
      <c r="H404" s="3" t="s">
        <v>411</v>
      </c>
      <c r="I404" s="3" t="s">
        <v>24</v>
      </c>
      <c r="J404" s="3" t="s">
        <v>24</v>
      </c>
      <c r="K404" s="3" t="s">
        <v>25</v>
      </c>
      <c r="L404" s="4">
        <v>0</v>
      </c>
      <c r="M404" s="3" t="s">
        <v>26</v>
      </c>
      <c r="N404" s="3" t="s">
        <v>24</v>
      </c>
      <c r="O404" s="4">
        <v>1</v>
      </c>
      <c r="P404" s="4">
        <v>8</v>
      </c>
      <c r="Q404" s="4">
        <v>1</v>
      </c>
    </row>
    <row r="405" spans="1:17" x14ac:dyDescent="0.25">
      <c r="A405" s="3" t="s">
        <v>18</v>
      </c>
      <c r="B405" s="3">
        <v>11312345</v>
      </c>
      <c r="C405" s="3" t="s">
        <v>441</v>
      </c>
      <c r="D405" s="3" t="s">
        <v>20</v>
      </c>
      <c r="E405" s="3" t="s">
        <v>21</v>
      </c>
      <c r="F405" s="3" t="s">
        <v>21</v>
      </c>
      <c r="G405" s="3" t="s">
        <v>410</v>
      </c>
      <c r="H405" s="3" t="s">
        <v>411</v>
      </c>
      <c r="I405" s="3" t="s">
        <v>24</v>
      </c>
      <c r="J405" s="3" t="s">
        <v>24</v>
      </c>
      <c r="K405" s="3" t="s">
        <v>25</v>
      </c>
      <c r="L405" s="4">
        <v>0</v>
      </c>
      <c r="M405" s="3" t="s">
        <v>26</v>
      </c>
      <c r="N405" s="3" t="s">
        <v>24</v>
      </c>
      <c r="O405" s="4">
        <v>1</v>
      </c>
      <c r="P405" s="4">
        <v>8</v>
      </c>
      <c r="Q405" s="4">
        <v>1</v>
      </c>
    </row>
    <row r="406" spans="1:17" x14ac:dyDescent="0.25">
      <c r="A406" s="3" t="s">
        <v>18</v>
      </c>
      <c r="B406" s="3">
        <v>11312414</v>
      </c>
      <c r="C406" s="3" t="s">
        <v>442</v>
      </c>
      <c r="D406" s="3" t="s">
        <v>20</v>
      </c>
      <c r="E406" s="3" t="s">
        <v>21</v>
      </c>
      <c r="F406" s="3" t="s">
        <v>21</v>
      </c>
      <c r="G406" s="3" t="s">
        <v>410</v>
      </c>
      <c r="H406" s="3" t="s">
        <v>411</v>
      </c>
      <c r="I406" s="3" t="s">
        <v>24</v>
      </c>
      <c r="J406" s="3" t="s">
        <v>24</v>
      </c>
      <c r="K406" s="3" t="s">
        <v>25</v>
      </c>
      <c r="L406" s="4">
        <v>0</v>
      </c>
      <c r="M406" s="3" t="s">
        <v>26</v>
      </c>
      <c r="N406" s="3" t="s">
        <v>24</v>
      </c>
      <c r="O406" s="4">
        <v>1</v>
      </c>
      <c r="P406" s="4">
        <v>8</v>
      </c>
      <c r="Q406" s="4">
        <v>1</v>
      </c>
    </row>
    <row r="407" spans="1:17" x14ac:dyDescent="0.25">
      <c r="A407" s="3" t="s">
        <v>18</v>
      </c>
      <c r="B407" s="3">
        <v>11312433</v>
      </c>
      <c r="C407" s="3" t="s">
        <v>443</v>
      </c>
      <c r="D407" s="3" t="s">
        <v>20</v>
      </c>
      <c r="E407" s="3" t="s">
        <v>21</v>
      </c>
      <c r="F407" s="3" t="s">
        <v>21</v>
      </c>
      <c r="G407" s="3" t="s">
        <v>410</v>
      </c>
      <c r="H407" s="3" t="s">
        <v>411</v>
      </c>
      <c r="I407" s="3" t="s">
        <v>24</v>
      </c>
      <c r="J407" s="3" t="s">
        <v>24</v>
      </c>
      <c r="K407" s="3" t="s">
        <v>25</v>
      </c>
      <c r="L407" s="4">
        <v>0</v>
      </c>
      <c r="M407" s="3" t="s">
        <v>26</v>
      </c>
      <c r="N407" s="3" t="s">
        <v>24</v>
      </c>
      <c r="O407" s="4">
        <v>1</v>
      </c>
      <c r="P407" s="4">
        <v>4</v>
      </c>
      <c r="Q407" s="4">
        <v>1</v>
      </c>
    </row>
    <row r="408" spans="1:17" x14ac:dyDescent="0.25">
      <c r="A408" s="3" t="s">
        <v>18</v>
      </c>
      <c r="B408" s="3">
        <v>11312480</v>
      </c>
      <c r="C408" s="3" t="s">
        <v>444</v>
      </c>
      <c r="D408" s="3" t="s">
        <v>20</v>
      </c>
      <c r="E408" s="3" t="s">
        <v>21</v>
      </c>
      <c r="F408" s="3" t="s">
        <v>21</v>
      </c>
      <c r="G408" s="3" t="s">
        <v>410</v>
      </c>
      <c r="H408" s="3" t="s">
        <v>411</v>
      </c>
      <c r="I408" s="3" t="s">
        <v>24</v>
      </c>
      <c r="J408" s="3" t="s">
        <v>24</v>
      </c>
      <c r="K408" s="3" t="s">
        <v>25</v>
      </c>
      <c r="L408" s="4">
        <v>0</v>
      </c>
      <c r="M408" s="3" t="s">
        <v>26</v>
      </c>
      <c r="N408" s="3" t="s">
        <v>24</v>
      </c>
      <c r="O408" s="4">
        <v>1</v>
      </c>
      <c r="P408" s="4">
        <v>4</v>
      </c>
      <c r="Q408" s="4">
        <v>1</v>
      </c>
    </row>
    <row r="409" spans="1:17" x14ac:dyDescent="0.25">
      <c r="A409" s="3" t="s">
        <v>18</v>
      </c>
      <c r="B409" s="3">
        <v>11312521</v>
      </c>
      <c r="C409" s="3" t="s">
        <v>445</v>
      </c>
      <c r="D409" s="3" t="s">
        <v>20</v>
      </c>
      <c r="E409" s="3" t="s">
        <v>21</v>
      </c>
      <c r="F409" s="3" t="s">
        <v>21</v>
      </c>
      <c r="G409" s="3" t="s">
        <v>410</v>
      </c>
      <c r="H409" s="3" t="s">
        <v>411</v>
      </c>
      <c r="I409" s="3" t="s">
        <v>24</v>
      </c>
      <c r="J409" s="3" t="s">
        <v>24</v>
      </c>
      <c r="K409" s="3" t="s">
        <v>25</v>
      </c>
      <c r="L409" s="4">
        <v>0</v>
      </c>
      <c r="M409" s="3" t="s">
        <v>26</v>
      </c>
      <c r="N409" s="3" t="s">
        <v>24</v>
      </c>
      <c r="O409" s="4">
        <v>1</v>
      </c>
      <c r="P409" s="4">
        <v>4</v>
      </c>
      <c r="Q409" s="4">
        <v>1</v>
      </c>
    </row>
    <row r="410" spans="1:17" x14ac:dyDescent="0.25">
      <c r="A410" s="3" t="s">
        <v>18</v>
      </c>
      <c r="B410" s="3">
        <v>11312596</v>
      </c>
      <c r="C410" s="3" t="s">
        <v>446</v>
      </c>
      <c r="D410" s="3" t="s">
        <v>20</v>
      </c>
      <c r="E410" s="3" t="s">
        <v>21</v>
      </c>
      <c r="F410" s="3" t="s">
        <v>21</v>
      </c>
      <c r="G410" s="3" t="s">
        <v>410</v>
      </c>
      <c r="H410" s="3" t="s">
        <v>411</v>
      </c>
      <c r="I410" s="3" t="s">
        <v>24</v>
      </c>
      <c r="J410" s="3" t="s">
        <v>24</v>
      </c>
      <c r="K410" s="3" t="s">
        <v>25</v>
      </c>
      <c r="L410" s="4">
        <v>0</v>
      </c>
      <c r="M410" s="3" t="s">
        <v>26</v>
      </c>
      <c r="N410" s="3" t="s">
        <v>24</v>
      </c>
      <c r="O410" s="4">
        <v>1</v>
      </c>
      <c r="P410" s="4">
        <v>10</v>
      </c>
      <c r="Q410" s="4">
        <v>1</v>
      </c>
    </row>
    <row r="411" spans="1:17" x14ac:dyDescent="0.25">
      <c r="A411" s="3" t="s">
        <v>18</v>
      </c>
      <c r="B411" s="3">
        <v>11312629</v>
      </c>
      <c r="C411" s="3" t="s">
        <v>447</v>
      </c>
      <c r="D411" s="3" t="s">
        <v>20</v>
      </c>
      <c r="E411" s="3" t="s">
        <v>21</v>
      </c>
      <c r="F411" s="3" t="s">
        <v>21</v>
      </c>
      <c r="G411" s="3" t="s">
        <v>410</v>
      </c>
      <c r="H411" s="3" t="s">
        <v>411</v>
      </c>
      <c r="I411" s="3" t="s">
        <v>24</v>
      </c>
      <c r="J411" s="3" t="s">
        <v>24</v>
      </c>
      <c r="K411" s="3" t="s">
        <v>25</v>
      </c>
      <c r="L411" s="4">
        <v>0</v>
      </c>
      <c r="M411" s="3" t="s">
        <v>26</v>
      </c>
      <c r="N411" s="3" t="s">
        <v>24</v>
      </c>
      <c r="O411" s="4">
        <v>1</v>
      </c>
      <c r="P411" s="4">
        <v>10</v>
      </c>
      <c r="Q411" s="4">
        <v>1</v>
      </c>
    </row>
    <row r="412" spans="1:17" x14ac:dyDescent="0.25">
      <c r="A412" s="3" t="s">
        <v>18</v>
      </c>
      <c r="B412" s="3">
        <v>11312639</v>
      </c>
      <c r="C412" s="3" t="s">
        <v>448</v>
      </c>
      <c r="D412" s="3" t="s">
        <v>20</v>
      </c>
      <c r="E412" s="3" t="s">
        <v>21</v>
      </c>
      <c r="F412" s="3" t="s">
        <v>21</v>
      </c>
      <c r="G412" s="3" t="s">
        <v>410</v>
      </c>
      <c r="H412" s="3" t="s">
        <v>411</v>
      </c>
      <c r="I412" s="3" t="s">
        <v>24</v>
      </c>
      <c r="J412" s="3" t="s">
        <v>24</v>
      </c>
      <c r="K412" s="3" t="s">
        <v>25</v>
      </c>
      <c r="L412" s="4">
        <v>0</v>
      </c>
      <c r="M412" s="3" t="s">
        <v>26</v>
      </c>
      <c r="N412" s="3" t="s">
        <v>24</v>
      </c>
      <c r="O412" s="4">
        <v>1</v>
      </c>
      <c r="P412" s="4">
        <v>3</v>
      </c>
      <c r="Q412" s="4">
        <v>1</v>
      </c>
    </row>
    <row r="413" spans="1:17" x14ac:dyDescent="0.25">
      <c r="A413" s="3" t="s">
        <v>18</v>
      </c>
      <c r="B413" s="3">
        <v>11312641</v>
      </c>
      <c r="C413" s="3" t="s">
        <v>449</v>
      </c>
      <c r="D413" s="3" t="s">
        <v>20</v>
      </c>
      <c r="E413" s="3" t="s">
        <v>21</v>
      </c>
      <c r="F413" s="3" t="s">
        <v>21</v>
      </c>
      <c r="G413" s="3" t="s">
        <v>410</v>
      </c>
      <c r="H413" s="3" t="s">
        <v>411</v>
      </c>
      <c r="I413" s="3" t="s">
        <v>24</v>
      </c>
      <c r="J413" s="3" t="s">
        <v>24</v>
      </c>
      <c r="K413" s="3" t="s">
        <v>25</v>
      </c>
      <c r="L413" s="4">
        <v>0</v>
      </c>
      <c r="M413" s="3" t="s">
        <v>26</v>
      </c>
      <c r="N413" s="3" t="s">
        <v>24</v>
      </c>
      <c r="O413" s="4">
        <v>1</v>
      </c>
      <c r="P413" s="4">
        <v>3</v>
      </c>
      <c r="Q413" s="4">
        <v>1</v>
      </c>
    </row>
    <row r="414" spans="1:17" x14ac:dyDescent="0.25">
      <c r="A414" s="3" t="s">
        <v>18</v>
      </c>
      <c r="B414" s="3">
        <v>11312645</v>
      </c>
      <c r="C414" s="3" t="s">
        <v>450</v>
      </c>
      <c r="D414" s="3" t="s">
        <v>20</v>
      </c>
      <c r="E414" s="3" t="s">
        <v>21</v>
      </c>
      <c r="F414" s="3" t="s">
        <v>21</v>
      </c>
      <c r="G414" s="3" t="s">
        <v>410</v>
      </c>
      <c r="H414" s="3" t="s">
        <v>411</v>
      </c>
      <c r="I414" s="3" t="s">
        <v>24</v>
      </c>
      <c r="J414" s="3" t="s">
        <v>24</v>
      </c>
      <c r="K414" s="3" t="s">
        <v>25</v>
      </c>
      <c r="L414" s="4">
        <v>0</v>
      </c>
      <c r="M414" s="3" t="s">
        <v>26</v>
      </c>
      <c r="N414" s="3" t="s">
        <v>24</v>
      </c>
      <c r="O414" s="4">
        <v>1</v>
      </c>
      <c r="P414" s="4">
        <v>3</v>
      </c>
      <c r="Q414" s="4">
        <v>1</v>
      </c>
    </row>
    <row r="415" spans="1:17" x14ac:dyDescent="0.25">
      <c r="A415" s="3" t="s">
        <v>18</v>
      </c>
      <c r="B415" s="3">
        <v>11312688</v>
      </c>
      <c r="C415" s="3" t="s">
        <v>451</v>
      </c>
      <c r="D415" s="3" t="s">
        <v>20</v>
      </c>
      <c r="E415" s="3" t="s">
        <v>21</v>
      </c>
      <c r="F415" s="3" t="s">
        <v>21</v>
      </c>
      <c r="G415" s="3" t="s">
        <v>410</v>
      </c>
      <c r="H415" s="3" t="s">
        <v>411</v>
      </c>
      <c r="I415" s="3" t="s">
        <v>24</v>
      </c>
      <c r="J415" s="3" t="s">
        <v>24</v>
      </c>
      <c r="K415" s="3" t="s">
        <v>25</v>
      </c>
      <c r="L415" s="4">
        <v>0</v>
      </c>
      <c r="M415" s="3" t="s">
        <v>26</v>
      </c>
      <c r="N415" s="3" t="s">
        <v>24</v>
      </c>
      <c r="O415" s="4">
        <v>1</v>
      </c>
      <c r="P415" s="4">
        <v>3</v>
      </c>
      <c r="Q415" s="4">
        <v>1</v>
      </c>
    </row>
    <row r="416" spans="1:17" x14ac:dyDescent="0.25">
      <c r="A416" s="3" t="s">
        <v>18</v>
      </c>
      <c r="B416" s="3">
        <v>11312691</v>
      </c>
      <c r="C416" s="3" t="s">
        <v>452</v>
      </c>
      <c r="D416" s="3" t="s">
        <v>20</v>
      </c>
      <c r="E416" s="3" t="s">
        <v>21</v>
      </c>
      <c r="F416" s="3" t="s">
        <v>21</v>
      </c>
      <c r="G416" s="3" t="s">
        <v>410</v>
      </c>
      <c r="H416" s="3" t="s">
        <v>411</v>
      </c>
      <c r="I416" s="3" t="s">
        <v>24</v>
      </c>
      <c r="J416" s="3" t="s">
        <v>24</v>
      </c>
      <c r="K416" s="3" t="s">
        <v>25</v>
      </c>
      <c r="L416" s="4">
        <v>0</v>
      </c>
      <c r="M416" s="3" t="s">
        <v>26</v>
      </c>
      <c r="N416" s="3" t="s">
        <v>24</v>
      </c>
      <c r="O416" s="4">
        <v>1</v>
      </c>
      <c r="P416" s="4">
        <v>3</v>
      </c>
      <c r="Q416" s="4">
        <v>1</v>
      </c>
    </row>
    <row r="417" spans="1:17" x14ac:dyDescent="0.25">
      <c r="A417" s="3" t="s">
        <v>18</v>
      </c>
      <c r="B417" s="3">
        <v>11312694</v>
      </c>
      <c r="C417" s="3" t="s">
        <v>453</v>
      </c>
      <c r="D417" s="3" t="s">
        <v>20</v>
      </c>
      <c r="E417" s="3" t="s">
        <v>21</v>
      </c>
      <c r="F417" s="3" t="s">
        <v>21</v>
      </c>
      <c r="G417" s="3" t="s">
        <v>410</v>
      </c>
      <c r="H417" s="3" t="s">
        <v>411</v>
      </c>
      <c r="I417" s="3" t="s">
        <v>24</v>
      </c>
      <c r="J417" s="3" t="s">
        <v>24</v>
      </c>
      <c r="K417" s="3" t="s">
        <v>25</v>
      </c>
      <c r="L417" s="4">
        <v>0</v>
      </c>
      <c r="M417" s="3" t="s">
        <v>26</v>
      </c>
      <c r="N417" s="3" t="s">
        <v>24</v>
      </c>
      <c r="O417" s="4">
        <v>1</v>
      </c>
      <c r="P417" s="4">
        <v>3</v>
      </c>
      <c r="Q417" s="4">
        <v>1</v>
      </c>
    </row>
    <row r="418" spans="1:17" x14ac:dyDescent="0.25">
      <c r="A418" s="3" t="s">
        <v>18</v>
      </c>
      <c r="B418" s="3">
        <v>11312695</v>
      </c>
      <c r="C418" s="3" t="s">
        <v>454</v>
      </c>
      <c r="D418" s="3" t="s">
        <v>20</v>
      </c>
      <c r="E418" s="3" t="s">
        <v>21</v>
      </c>
      <c r="F418" s="3" t="s">
        <v>21</v>
      </c>
      <c r="G418" s="3" t="s">
        <v>410</v>
      </c>
      <c r="H418" s="3" t="s">
        <v>411</v>
      </c>
      <c r="I418" s="3" t="s">
        <v>24</v>
      </c>
      <c r="J418" s="3" t="s">
        <v>24</v>
      </c>
      <c r="K418" s="3" t="s">
        <v>25</v>
      </c>
      <c r="L418" s="4">
        <v>0</v>
      </c>
      <c r="M418" s="3" t="s">
        <v>26</v>
      </c>
      <c r="N418" s="3" t="s">
        <v>24</v>
      </c>
      <c r="O418" s="4">
        <v>1</v>
      </c>
      <c r="P418" s="4">
        <v>3</v>
      </c>
      <c r="Q418" s="4">
        <v>1</v>
      </c>
    </row>
    <row r="419" spans="1:17" x14ac:dyDescent="0.25">
      <c r="A419" s="3" t="s">
        <v>18</v>
      </c>
      <c r="B419" s="3">
        <v>11313537</v>
      </c>
      <c r="C419" s="3" t="s">
        <v>455</v>
      </c>
      <c r="D419" s="3" t="s">
        <v>20</v>
      </c>
      <c r="E419" s="3" t="s">
        <v>21</v>
      </c>
      <c r="F419" s="3" t="s">
        <v>21</v>
      </c>
      <c r="G419" s="3" t="s">
        <v>410</v>
      </c>
      <c r="H419" s="3" t="s">
        <v>411</v>
      </c>
      <c r="I419" s="3" t="s">
        <v>24</v>
      </c>
      <c r="J419" s="3" t="s">
        <v>24</v>
      </c>
      <c r="K419" s="3" t="s">
        <v>25</v>
      </c>
      <c r="L419" s="4">
        <v>0</v>
      </c>
      <c r="M419" s="3" t="s">
        <v>26</v>
      </c>
      <c r="N419" s="3" t="s">
        <v>24</v>
      </c>
      <c r="O419" s="4">
        <v>1</v>
      </c>
      <c r="P419" s="4">
        <v>8</v>
      </c>
      <c r="Q419" s="4">
        <v>1</v>
      </c>
    </row>
    <row r="420" spans="1:17" x14ac:dyDescent="0.25">
      <c r="A420" s="3" t="s">
        <v>18</v>
      </c>
      <c r="B420" s="3">
        <v>11313861</v>
      </c>
      <c r="C420" s="3" t="s">
        <v>456</v>
      </c>
      <c r="D420" s="3" t="s">
        <v>20</v>
      </c>
      <c r="E420" s="3" t="s">
        <v>21</v>
      </c>
      <c r="F420" s="3" t="s">
        <v>21</v>
      </c>
      <c r="G420" s="3" t="s">
        <v>410</v>
      </c>
      <c r="H420" s="3" t="s">
        <v>411</v>
      </c>
      <c r="I420" s="3" t="s">
        <v>24</v>
      </c>
      <c r="J420" s="3" t="s">
        <v>24</v>
      </c>
      <c r="K420" s="3" t="s">
        <v>25</v>
      </c>
      <c r="L420" s="4">
        <v>0</v>
      </c>
      <c r="M420" s="3" t="s">
        <v>26</v>
      </c>
      <c r="N420" s="3" t="s">
        <v>24</v>
      </c>
      <c r="O420" s="4">
        <v>1</v>
      </c>
      <c r="P420" s="4">
        <v>10</v>
      </c>
      <c r="Q420" s="4">
        <v>1</v>
      </c>
    </row>
    <row r="421" spans="1:17" x14ac:dyDescent="0.25">
      <c r="A421" s="3" t="s">
        <v>18</v>
      </c>
      <c r="B421" s="3">
        <v>11322122</v>
      </c>
      <c r="C421" s="3" t="s">
        <v>457</v>
      </c>
      <c r="D421" s="3" t="s">
        <v>20</v>
      </c>
      <c r="E421" s="3" t="s">
        <v>21</v>
      </c>
      <c r="F421" s="3" t="s">
        <v>21</v>
      </c>
      <c r="G421" s="3" t="s">
        <v>233</v>
      </c>
      <c r="H421" s="3" t="s">
        <v>234</v>
      </c>
      <c r="I421" s="3" t="s">
        <v>24</v>
      </c>
      <c r="J421" s="3" t="s">
        <v>24</v>
      </c>
      <c r="K421" s="3" t="s">
        <v>25</v>
      </c>
      <c r="L421" s="4">
        <v>0</v>
      </c>
      <c r="M421" s="3" t="s">
        <v>26</v>
      </c>
      <c r="N421" s="3" t="s">
        <v>24</v>
      </c>
      <c r="O421" s="4">
        <v>1</v>
      </c>
      <c r="P421" s="4">
        <v>2</v>
      </c>
      <c r="Q421" s="4">
        <v>1</v>
      </c>
    </row>
    <row r="422" spans="1:17" x14ac:dyDescent="0.25">
      <c r="A422" s="3" t="s">
        <v>18</v>
      </c>
      <c r="B422" s="3">
        <v>11328318</v>
      </c>
      <c r="C422" s="3" t="s">
        <v>458</v>
      </c>
      <c r="D422" s="3" t="s">
        <v>20</v>
      </c>
      <c r="E422" s="3" t="s">
        <v>21</v>
      </c>
      <c r="F422" s="3" t="s">
        <v>21</v>
      </c>
      <c r="G422" s="3" t="s">
        <v>36</v>
      </c>
      <c r="H422" s="3" t="s">
        <v>37</v>
      </c>
      <c r="I422" s="3" t="s">
        <v>24</v>
      </c>
      <c r="J422" s="3" t="s">
        <v>24</v>
      </c>
      <c r="K422" s="3" t="s">
        <v>25</v>
      </c>
      <c r="L422" s="4">
        <v>0</v>
      </c>
      <c r="M422" s="3" t="s">
        <v>26</v>
      </c>
      <c r="N422" s="3" t="s">
        <v>24</v>
      </c>
      <c r="O422" s="4">
        <v>1</v>
      </c>
      <c r="P422" s="4">
        <v>10</v>
      </c>
      <c r="Q422" s="4">
        <v>1</v>
      </c>
    </row>
    <row r="423" spans="1:17" x14ac:dyDescent="0.25">
      <c r="A423" s="3" t="s">
        <v>18</v>
      </c>
      <c r="B423" s="3">
        <v>11331884</v>
      </c>
      <c r="C423" s="3" t="s">
        <v>459</v>
      </c>
      <c r="D423" s="3" t="s">
        <v>20</v>
      </c>
      <c r="E423" s="3" t="s">
        <v>21</v>
      </c>
      <c r="F423" s="3" t="s">
        <v>21</v>
      </c>
      <c r="G423" s="3" t="s">
        <v>22</v>
      </c>
      <c r="H423" s="3" t="s">
        <v>23</v>
      </c>
      <c r="I423" s="3" t="s">
        <v>24</v>
      </c>
      <c r="J423" s="3" t="s">
        <v>24</v>
      </c>
      <c r="K423" s="3" t="s">
        <v>25</v>
      </c>
      <c r="L423" s="4">
        <v>0</v>
      </c>
      <c r="M423" s="3" t="s">
        <v>26</v>
      </c>
      <c r="N423" s="3" t="s">
        <v>24</v>
      </c>
      <c r="O423" s="4">
        <v>1</v>
      </c>
      <c r="P423" s="4">
        <v>4</v>
      </c>
      <c r="Q423" s="4">
        <v>1</v>
      </c>
    </row>
    <row r="424" spans="1:17" x14ac:dyDescent="0.25">
      <c r="A424" s="3" t="s">
        <v>18</v>
      </c>
      <c r="B424" s="3">
        <v>11333365</v>
      </c>
      <c r="C424" s="3" t="s">
        <v>460</v>
      </c>
      <c r="D424" s="3" t="s">
        <v>20</v>
      </c>
      <c r="E424" s="3" t="s">
        <v>21</v>
      </c>
      <c r="F424" s="3" t="s">
        <v>21</v>
      </c>
      <c r="G424" s="3" t="s">
        <v>233</v>
      </c>
      <c r="H424" s="3" t="s">
        <v>234</v>
      </c>
      <c r="I424" s="3" t="s">
        <v>24</v>
      </c>
      <c r="J424" s="3" t="s">
        <v>24</v>
      </c>
      <c r="K424" s="3" t="s">
        <v>25</v>
      </c>
      <c r="L424" s="4">
        <v>0</v>
      </c>
      <c r="M424" s="3" t="s">
        <v>26</v>
      </c>
      <c r="N424" s="3" t="s">
        <v>24</v>
      </c>
      <c r="O424" s="4">
        <v>1</v>
      </c>
      <c r="P424" s="4">
        <v>2</v>
      </c>
      <c r="Q424" s="4">
        <v>1</v>
      </c>
    </row>
    <row r="425" spans="1:17" x14ac:dyDescent="0.25">
      <c r="A425" s="3" t="s">
        <v>18</v>
      </c>
      <c r="B425" s="3">
        <v>11341882</v>
      </c>
      <c r="C425" s="3" t="s">
        <v>461</v>
      </c>
      <c r="D425" s="3" t="s">
        <v>20</v>
      </c>
      <c r="E425" s="3" t="s">
        <v>21</v>
      </c>
      <c r="F425" s="3" t="s">
        <v>21</v>
      </c>
      <c r="G425" s="3" t="s">
        <v>410</v>
      </c>
      <c r="H425" s="3" t="s">
        <v>411</v>
      </c>
      <c r="I425" s="3" t="s">
        <v>24</v>
      </c>
      <c r="J425" s="3" t="s">
        <v>24</v>
      </c>
      <c r="K425" s="3" t="s">
        <v>25</v>
      </c>
      <c r="L425" s="4">
        <v>0</v>
      </c>
      <c r="M425" s="3" t="s">
        <v>26</v>
      </c>
      <c r="N425" s="3" t="s">
        <v>24</v>
      </c>
      <c r="O425" s="4">
        <v>1</v>
      </c>
      <c r="P425" s="4">
        <v>8</v>
      </c>
      <c r="Q425" s="4">
        <v>1</v>
      </c>
    </row>
    <row r="426" spans="1:17" x14ac:dyDescent="0.25">
      <c r="A426" s="3" t="s">
        <v>18</v>
      </c>
      <c r="B426" s="3">
        <v>11341883</v>
      </c>
      <c r="C426" s="3" t="s">
        <v>462</v>
      </c>
      <c r="D426" s="3" t="s">
        <v>20</v>
      </c>
      <c r="E426" s="3" t="s">
        <v>21</v>
      </c>
      <c r="F426" s="3" t="s">
        <v>21</v>
      </c>
      <c r="G426" s="3" t="s">
        <v>410</v>
      </c>
      <c r="H426" s="3" t="s">
        <v>411</v>
      </c>
      <c r="I426" s="3" t="s">
        <v>24</v>
      </c>
      <c r="J426" s="3" t="s">
        <v>24</v>
      </c>
      <c r="K426" s="3" t="s">
        <v>25</v>
      </c>
      <c r="L426" s="4">
        <v>0</v>
      </c>
      <c r="M426" s="3" t="s">
        <v>26</v>
      </c>
      <c r="N426" s="3" t="s">
        <v>24</v>
      </c>
      <c r="O426" s="4">
        <v>1</v>
      </c>
      <c r="P426" s="4">
        <v>10</v>
      </c>
      <c r="Q426" s="4">
        <v>1</v>
      </c>
    </row>
    <row r="427" spans="1:17" x14ac:dyDescent="0.25">
      <c r="A427" s="3" t="s">
        <v>18</v>
      </c>
      <c r="B427" s="3">
        <v>11366821</v>
      </c>
      <c r="C427" s="3" t="s">
        <v>463</v>
      </c>
      <c r="D427" s="3" t="s">
        <v>20</v>
      </c>
      <c r="E427" s="3" t="s">
        <v>21</v>
      </c>
      <c r="F427" s="3" t="s">
        <v>21</v>
      </c>
      <c r="G427" s="3" t="s">
        <v>30</v>
      </c>
      <c r="H427" s="3" t="s">
        <v>31</v>
      </c>
      <c r="I427" s="3" t="s">
        <v>24</v>
      </c>
      <c r="J427" s="3" t="s">
        <v>24</v>
      </c>
      <c r="K427" s="3" t="s">
        <v>25</v>
      </c>
      <c r="L427" s="4">
        <v>0</v>
      </c>
      <c r="M427" s="3" t="s">
        <v>26</v>
      </c>
      <c r="N427" s="3" t="s">
        <v>24</v>
      </c>
      <c r="O427" s="4">
        <v>1</v>
      </c>
      <c r="P427" s="4">
        <v>8</v>
      </c>
      <c r="Q427" s="4">
        <v>1</v>
      </c>
    </row>
    <row r="428" spans="1:17" x14ac:dyDescent="0.25">
      <c r="A428" s="3" t="s">
        <v>18</v>
      </c>
      <c r="B428" s="3">
        <v>11380792</v>
      </c>
      <c r="C428" s="3" t="s">
        <v>464</v>
      </c>
      <c r="D428" s="3" t="s">
        <v>20</v>
      </c>
      <c r="E428" s="3" t="s">
        <v>21</v>
      </c>
      <c r="F428" s="3" t="s">
        <v>21</v>
      </c>
      <c r="G428" s="3" t="s">
        <v>22</v>
      </c>
      <c r="H428" s="3" t="s">
        <v>23</v>
      </c>
      <c r="I428" s="3" t="s">
        <v>24</v>
      </c>
      <c r="J428" s="3" t="s">
        <v>24</v>
      </c>
      <c r="K428" s="3" t="s">
        <v>25</v>
      </c>
      <c r="L428" s="4">
        <v>0</v>
      </c>
      <c r="M428" s="3" t="s">
        <v>26</v>
      </c>
      <c r="N428" s="3" t="s">
        <v>24</v>
      </c>
      <c r="O428" s="4">
        <v>1</v>
      </c>
      <c r="P428" s="4">
        <v>4</v>
      </c>
      <c r="Q428" s="4">
        <v>1</v>
      </c>
    </row>
    <row r="429" spans="1:17" x14ac:dyDescent="0.25">
      <c r="A429" s="3" t="s">
        <v>18</v>
      </c>
      <c r="B429" s="3">
        <v>11380819</v>
      </c>
      <c r="C429" s="3" t="s">
        <v>465</v>
      </c>
      <c r="D429" s="3" t="s">
        <v>20</v>
      </c>
      <c r="E429" s="3" t="s">
        <v>21</v>
      </c>
      <c r="F429" s="3" t="s">
        <v>21</v>
      </c>
      <c r="G429" s="3" t="s">
        <v>30</v>
      </c>
      <c r="H429" s="3" t="s">
        <v>31</v>
      </c>
      <c r="I429" s="3" t="s">
        <v>24</v>
      </c>
      <c r="J429" s="3" t="s">
        <v>24</v>
      </c>
      <c r="K429" s="3" t="s">
        <v>25</v>
      </c>
      <c r="L429" s="4">
        <v>0</v>
      </c>
      <c r="M429" s="3" t="s">
        <v>26</v>
      </c>
      <c r="N429" s="3" t="s">
        <v>24</v>
      </c>
      <c r="O429" s="4">
        <v>1</v>
      </c>
      <c r="P429" s="4">
        <v>9</v>
      </c>
      <c r="Q429" s="4">
        <v>1</v>
      </c>
    </row>
    <row r="430" spans="1:17" x14ac:dyDescent="0.25">
      <c r="A430" s="3" t="s">
        <v>18</v>
      </c>
      <c r="B430" s="3">
        <v>11380859</v>
      </c>
      <c r="C430" s="3" t="s">
        <v>466</v>
      </c>
      <c r="D430" s="3" t="s">
        <v>20</v>
      </c>
      <c r="E430" s="3" t="s">
        <v>21</v>
      </c>
      <c r="F430" s="3" t="s">
        <v>21</v>
      </c>
      <c r="G430" s="3" t="s">
        <v>30</v>
      </c>
      <c r="H430" s="3" t="s">
        <v>31</v>
      </c>
      <c r="I430" s="3" t="s">
        <v>24</v>
      </c>
      <c r="J430" s="3" t="s">
        <v>24</v>
      </c>
      <c r="K430" s="3" t="s">
        <v>25</v>
      </c>
      <c r="L430" s="4">
        <v>0</v>
      </c>
      <c r="M430" s="3" t="s">
        <v>26</v>
      </c>
      <c r="N430" s="3" t="s">
        <v>24</v>
      </c>
      <c r="O430" s="4">
        <v>1</v>
      </c>
      <c r="P430" s="4">
        <v>9</v>
      </c>
      <c r="Q430" s="4">
        <v>1</v>
      </c>
    </row>
    <row r="431" spans="1:17" x14ac:dyDescent="0.25">
      <c r="A431" s="3" t="s">
        <v>18</v>
      </c>
      <c r="B431" s="3">
        <v>11385178</v>
      </c>
      <c r="C431" s="3" t="s">
        <v>467</v>
      </c>
      <c r="D431" s="3" t="s">
        <v>20</v>
      </c>
      <c r="E431" s="3" t="s">
        <v>21</v>
      </c>
      <c r="F431" s="3" t="s">
        <v>21</v>
      </c>
      <c r="G431" s="3" t="s">
        <v>22</v>
      </c>
      <c r="H431" s="3" t="s">
        <v>23</v>
      </c>
      <c r="I431" s="3" t="s">
        <v>24</v>
      </c>
      <c r="J431" s="3" t="s">
        <v>24</v>
      </c>
      <c r="K431" s="3" t="s">
        <v>25</v>
      </c>
      <c r="L431" s="4">
        <v>0</v>
      </c>
      <c r="M431" s="3" t="s">
        <v>26</v>
      </c>
      <c r="N431" s="3" t="s">
        <v>24</v>
      </c>
      <c r="O431" s="4">
        <v>1</v>
      </c>
      <c r="P431" s="4">
        <v>4</v>
      </c>
      <c r="Q431" s="4">
        <v>1</v>
      </c>
    </row>
    <row r="432" spans="1:17" x14ac:dyDescent="0.25">
      <c r="A432" s="3" t="s">
        <v>18</v>
      </c>
      <c r="B432" s="3">
        <v>11385296</v>
      </c>
      <c r="C432" s="3" t="s">
        <v>468</v>
      </c>
      <c r="D432" s="3" t="s">
        <v>20</v>
      </c>
      <c r="E432" s="3" t="s">
        <v>21</v>
      </c>
      <c r="F432" s="3" t="s">
        <v>21</v>
      </c>
      <c r="G432" s="3" t="s">
        <v>36</v>
      </c>
      <c r="H432" s="3" t="s">
        <v>37</v>
      </c>
      <c r="I432" s="3" t="s">
        <v>24</v>
      </c>
      <c r="J432" s="3" t="s">
        <v>24</v>
      </c>
      <c r="K432" s="3" t="s">
        <v>25</v>
      </c>
      <c r="L432" s="4">
        <v>0</v>
      </c>
      <c r="M432" s="3" t="s">
        <v>26</v>
      </c>
      <c r="N432" s="3" t="s">
        <v>24</v>
      </c>
      <c r="O432" s="4">
        <v>1</v>
      </c>
      <c r="P432" s="4">
        <v>10</v>
      </c>
      <c r="Q432" s="4">
        <v>1</v>
      </c>
    </row>
    <row r="433" spans="1:17" x14ac:dyDescent="0.25">
      <c r="A433" s="3" t="s">
        <v>18</v>
      </c>
      <c r="B433" s="3">
        <v>11385303</v>
      </c>
      <c r="C433" s="3" t="s">
        <v>469</v>
      </c>
      <c r="D433" s="3" t="s">
        <v>20</v>
      </c>
      <c r="E433" s="3" t="s">
        <v>21</v>
      </c>
      <c r="F433" s="3" t="s">
        <v>21</v>
      </c>
      <c r="G433" s="3" t="s">
        <v>42</v>
      </c>
      <c r="H433" s="3" t="s">
        <v>43</v>
      </c>
      <c r="I433" s="3" t="s">
        <v>24</v>
      </c>
      <c r="J433" s="3" t="s">
        <v>24</v>
      </c>
      <c r="K433" s="3" t="s">
        <v>25</v>
      </c>
      <c r="L433" s="4">
        <v>0</v>
      </c>
      <c r="M433" s="3" t="s">
        <v>26</v>
      </c>
      <c r="N433" s="3" t="s">
        <v>24</v>
      </c>
      <c r="O433" s="4">
        <v>1</v>
      </c>
      <c r="P433" s="4">
        <v>8</v>
      </c>
      <c r="Q433" s="4">
        <v>1</v>
      </c>
    </row>
    <row r="434" spans="1:17" x14ac:dyDescent="0.25">
      <c r="A434" s="3" t="s">
        <v>18</v>
      </c>
      <c r="B434" s="3">
        <v>11389674</v>
      </c>
      <c r="C434" s="3" t="s">
        <v>470</v>
      </c>
      <c r="D434" s="3" t="s">
        <v>20</v>
      </c>
      <c r="E434" s="3" t="s">
        <v>21</v>
      </c>
      <c r="F434" s="3" t="s">
        <v>21</v>
      </c>
      <c r="G434" s="3" t="s">
        <v>410</v>
      </c>
      <c r="H434" s="3" t="s">
        <v>411</v>
      </c>
      <c r="I434" s="3" t="s">
        <v>24</v>
      </c>
      <c r="J434" s="3" t="s">
        <v>24</v>
      </c>
      <c r="K434" s="3" t="s">
        <v>25</v>
      </c>
      <c r="L434" s="4">
        <v>0</v>
      </c>
      <c r="M434" s="3" t="s">
        <v>26</v>
      </c>
      <c r="N434" s="3" t="s">
        <v>24</v>
      </c>
      <c r="O434" s="4">
        <v>1</v>
      </c>
      <c r="P434" s="4">
        <v>8</v>
      </c>
      <c r="Q434" s="4">
        <v>1</v>
      </c>
    </row>
    <row r="435" spans="1:17" x14ac:dyDescent="0.25">
      <c r="A435" s="3" t="s">
        <v>18</v>
      </c>
      <c r="B435" s="3">
        <v>11389676</v>
      </c>
      <c r="C435" s="3" t="s">
        <v>471</v>
      </c>
      <c r="D435" s="3" t="s">
        <v>20</v>
      </c>
      <c r="E435" s="3" t="s">
        <v>21</v>
      </c>
      <c r="F435" s="3" t="s">
        <v>21</v>
      </c>
      <c r="G435" s="3" t="s">
        <v>410</v>
      </c>
      <c r="H435" s="3" t="s">
        <v>411</v>
      </c>
      <c r="I435" s="3" t="s">
        <v>24</v>
      </c>
      <c r="J435" s="3" t="s">
        <v>24</v>
      </c>
      <c r="K435" s="3" t="s">
        <v>25</v>
      </c>
      <c r="L435" s="4">
        <v>0</v>
      </c>
      <c r="M435" s="3" t="s">
        <v>26</v>
      </c>
      <c r="N435" s="3" t="s">
        <v>24</v>
      </c>
      <c r="O435" s="4">
        <v>1</v>
      </c>
      <c r="P435" s="4">
        <v>8</v>
      </c>
      <c r="Q435" s="4">
        <v>1</v>
      </c>
    </row>
    <row r="436" spans="1:17" x14ac:dyDescent="0.25">
      <c r="A436" s="3" t="s">
        <v>18</v>
      </c>
      <c r="B436" s="3">
        <v>11389748</v>
      </c>
      <c r="C436" s="3" t="s">
        <v>472</v>
      </c>
      <c r="D436" s="3" t="s">
        <v>20</v>
      </c>
      <c r="E436" s="3" t="s">
        <v>21</v>
      </c>
      <c r="F436" s="3" t="s">
        <v>21</v>
      </c>
      <c r="G436" s="3" t="s">
        <v>410</v>
      </c>
      <c r="H436" s="3" t="s">
        <v>411</v>
      </c>
      <c r="I436" s="3" t="s">
        <v>24</v>
      </c>
      <c r="J436" s="3" t="s">
        <v>24</v>
      </c>
      <c r="K436" s="3" t="s">
        <v>25</v>
      </c>
      <c r="L436" s="4">
        <v>0</v>
      </c>
      <c r="M436" s="3" t="s">
        <v>26</v>
      </c>
      <c r="N436" s="3" t="s">
        <v>24</v>
      </c>
      <c r="O436" s="4">
        <v>1</v>
      </c>
      <c r="P436" s="4">
        <v>8</v>
      </c>
      <c r="Q436" s="4">
        <v>1</v>
      </c>
    </row>
    <row r="437" spans="1:17" x14ac:dyDescent="0.25">
      <c r="A437" s="3" t="s">
        <v>18</v>
      </c>
      <c r="B437" s="3">
        <v>11392336</v>
      </c>
      <c r="C437" s="3" t="s">
        <v>473</v>
      </c>
      <c r="D437" s="3" t="s">
        <v>20</v>
      </c>
      <c r="E437" s="3" t="s">
        <v>21</v>
      </c>
      <c r="F437" s="3" t="s">
        <v>21</v>
      </c>
      <c r="G437" s="3" t="s">
        <v>233</v>
      </c>
      <c r="H437" s="3" t="s">
        <v>234</v>
      </c>
      <c r="I437" s="3" t="s">
        <v>24</v>
      </c>
      <c r="J437" s="3" t="s">
        <v>24</v>
      </c>
      <c r="K437" s="3" t="s">
        <v>25</v>
      </c>
      <c r="L437" s="4">
        <v>0</v>
      </c>
      <c r="M437" s="3" t="s">
        <v>26</v>
      </c>
      <c r="N437" s="3" t="s">
        <v>24</v>
      </c>
      <c r="O437" s="4">
        <v>1</v>
      </c>
      <c r="P437" s="4">
        <v>2</v>
      </c>
      <c r="Q437" s="4">
        <v>1</v>
      </c>
    </row>
    <row r="438" spans="1:17" x14ac:dyDescent="0.25">
      <c r="A438" s="3" t="s">
        <v>18</v>
      </c>
      <c r="B438" s="3">
        <v>11410183</v>
      </c>
      <c r="C438" s="3" t="s">
        <v>474</v>
      </c>
      <c r="D438" s="3" t="s">
        <v>20</v>
      </c>
      <c r="E438" s="3" t="s">
        <v>21</v>
      </c>
      <c r="F438" s="3" t="s">
        <v>21</v>
      </c>
      <c r="G438" s="3" t="s">
        <v>410</v>
      </c>
      <c r="H438" s="3" t="s">
        <v>411</v>
      </c>
      <c r="I438" s="3" t="s">
        <v>24</v>
      </c>
      <c r="J438" s="3" t="s">
        <v>24</v>
      </c>
      <c r="K438" s="3" t="s">
        <v>25</v>
      </c>
      <c r="L438" s="4">
        <v>0</v>
      </c>
      <c r="M438" s="3" t="s">
        <v>26</v>
      </c>
      <c r="N438" s="3" t="s">
        <v>24</v>
      </c>
      <c r="O438" s="4">
        <v>1</v>
      </c>
      <c r="P438" s="4">
        <v>8</v>
      </c>
      <c r="Q438" s="4">
        <v>1</v>
      </c>
    </row>
    <row r="439" spans="1:17" x14ac:dyDescent="0.25">
      <c r="A439" s="3" t="s">
        <v>18</v>
      </c>
      <c r="B439" s="3">
        <v>11411783</v>
      </c>
      <c r="C439" s="3" t="s">
        <v>475</v>
      </c>
      <c r="D439" s="3" t="s">
        <v>20</v>
      </c>
      <c r="E439" s="3" t="s">
        <v>21</v>
      </c>
      <c r="F439" s="3" t="s">
        <v>21</v>
      </c>
      <c r="G439" s="3" t="s">
        <v>30</v>
      </c>
      <c r="H439" s="3" t="s">
        <v>31</v>
      </c>
      <c r="I439" s="3" t="s">
        <v>24</v>
      </c>
      <c r="J439" s="3" t="s">
        <v>24</v>
      </c>
      <c r="K439" s="3" t="s">
        <v>25</v>
      </c>
      <c r="L439" s="4">
        <v>0</v>
      </c>
      <c r="M439" s="3" t="s">
        <v>26</v>
      </c>
      <c r="N439" s="3" t="s">
        <v>24</v>
      </c>
      <c r="O439" s="4">
        <v>1</v>
      </c>
      <c r="P439" s="4">
        <v>9</v>
      </c>
      <c r="Q439" s="4">
        <v>1</v>
      </c>
    </row>
    <row r="440" spans="1:17" x14ac:dyDescent="0.25">
      <c r="A440" s="3" t="s">
        <v>18</v>
      </c>
      <c r="B440" s="3">
        <v>11427557</v>
      </c>
      <c r="C440" s="3" t="s">
        <v>476</v>
      </c>
      <c r="D440" s="3" t="s">
        <v>20</v>
      </c>
      <c r="E440" s="3" t="s">
        <v>21</v>
      </c>
      <c r="F440" s="3" t="s">
        <v>21</v>
      </c>
      <c r="G440" s="3" t="s">
        <v>477</v>
      </c>
      <c r="H440" s="3" t="s">
        <v>478</v>
      </c>
      <c r="I440" s="3" t="s">
        <v>24</v>
      </c>
      <c r="J440" s="3" t="s">
        <v>24</v>
      </c>
      <c r="K440" s="3" t="s">
        <v>25</v>
      </c>
      <c r="L440" s="4">
        <v>0</v>
      </c>
      <c r="M440" s="3" t="s">
        <v>26</v>
      </c>
      <c r="N440" s="3" t="s">
        <v>24</v>
      </c>
      <c r="O440" s="4">
        <v>1</v>
      </c>
      <c r="P440" s="4">
        <v>1</v>
      </c>
      <c r="Q440" s="4">
        <v>1</v>
      </c>
    </row>
    <row r="441" spans="1:17" x14ac:dyDescent="0.25">
      <c r="A441" s="3" t="s">
        <v>18</v>
      </c>
      <c r="B441" s="3">
        <v>11451931</v>
      </c>
      <c r="C441" s="3" t="s">
        <v>479</v>
      </c>
      <c r="D441" s="3" t="s">
        <v>20</v>
      </c>
      <c r="E441" s="3" t="s">
        <v>21</v>
      </c>
      <c r="F441" s="3" t="s">
        <v>21</v>
      </c>
      <c r="G441" s="3" t="s">
        <v>30</v>
      </c>
      <c r="H441" s="3" t="s">
        <v>31</v>
      </c>
      <c r="I441" s="3" t="s">
        <v>24</v>
      </c>
      <c r="J441" s="3" t="s">
        <v>24</v>
      </c>
      <c r="K441" s="3" t="s">
        <v>25</v>
      </c>
      <c r="L441" s="4">
        <v>0</v>
      </c>
      <c r="M441" s="3" t="s">
        <v>26</v>
      </c>
      <c r="N441" s="3" t="s">
        <v>24</v>
      </c>
      <c r="O441" s="4">
        <v>1</v>
      </c>
      <c r="P441" s="4">
        <v>8</v>
      </c>
      <c r="Q441" s="4">
        <v>1</v>
      </c>
    </row>
    <row r="442" spans="1:17" x14ac:dyDescent="0.25">
      <c r="A442" s="3" t="s">
        <v>18</v>
      </c>
      <c r="B442" s="3">
        <v>11465661</v>
      </c>
      <c r="C442" s="3" t="s">
        <v>480</v>
      </c>
      <c r="D442" s="3" t="s">
        <v>20</v>
      </c>
      <c r="E442" s="3" t="s">
        <v>21</v>
      </c>
      <c r="F442" s="3" t="s">
        <v>21</v>
      </c>
      <c r="G442" s="3" t="s">
        <v>30</v>
      </c>
      <c r="H442" s="3" t="s">
        <v>31</v>
      </c>
      <c r="I442" s="3" t="s">
        <v>24</v>
      </c>
      <c r="J442" s="3" t="s">
        <v>24</v>
      </c>
      <c r="K442" s="3" t="s">
        <v>25</v>
      </c>
      <c r="L442" s="4">
        <v>0</v>
      </c>
      <c r="M442" s="3" t="s">
        <v>26</v>
      </c>
      <c r="N442" s="3" t="s">
        <v>24</v>
      </c>
      <c r="O442" s="4">
        <v>1</v>
      </c>
      <c r="P442" s="4">
        <v>9</v>
      </c>
      <c r="Q442" s="4">
        <v>1</v>
      </c>
    </row>
    <row r="443" spans="1:17" x14ac:dyDescent="0.25">
      <c r="A443" s="3" t="s">
        <v>18</v>
      </c>
      <c r="B443" s="3">
        <v>11467179</v>
      </c>
      <c r="C443" s="3" t="s">
        <v>481</v>
      </c>
      <c r="D443" s="3" t="s">
        <v>20</v>
      </c>
      <c r="E443" s="3" t="s">
        <v>21</v>
      </c>
      <c r="F443" s="3" t="s">
        <v>21</v>
      </c>
      <c r="G443" s="3" t="s">
        <v>30</v>
      </c>
      <c r="H443" s="3" t="s">
        <v>31</v>
      </c>
      <c r="I443" s="3" t="s">
        <v>24</v>
      </c>
      <c r="J443" s="3" t="s">
        <v>24</v>
      </c>
      <c r="K443" s="3" t="s">
        <v>25</v>
      </c>
      <c r="L443" s="4">
        <v>0</v>
      </c>
      <c r="M443" s="3" t="s">
        <v>26</v>
      </c>
      <c r="N443" s="3" t="s">
        <v>24</v>
      </c>
      <c r="O443" s="4">
        <v>1</v>
      </c>
      <c r="P443" s="4">
        <v>8</v>
      </c>
      <c r="Q443" s="4">
        <v>1</v>
      </c>
    </row>
    <row r="444" spans="1:17" x14ac:dyDescent="0.25">
      <c r="A444" s="3" t="s">
        <v>18</v>
      </c>
      <c r="B444" s="3">
        <v>11468950</v>
      </c>
      <c r="C444" s="3" t="s">
        <v>482</v>
      </c>
      <c r="D444" s="3" t="s">
        <v>20</v>
      </c>
      <c r="E444" s="3" t="s">
        <v>21</v>
      </c>
      <c r="F444" s="3" t="s">
        <v>21</v>
      </c>
      <c r="G444" s="3" t="s">
        <v>42</v>
      </c>
      <c r="H444" s="3" t="s">
        <v>43</v>
      </c>
      <c r="I444" s="3" t="s">
        <v>24</v>
      </c>
      <c r="J444" s="3" t="s">
        <v>24</v>
      </c>
      <c r="K444" s="3" t="s">
        <v>25</v>
      </c>
      <c r="L444" s="4">
        <v>0</v>
      </c>
      <c r="M444" s="3" t="s">
        <v>26</v>
      </c>
      <c r="N444" s="3" t="s">
        <v>24</v>
      </c>
      <c r="O444" s="4">
        <v>1</v>
      </c>
      <c r="P444" s="4">
        <v>8</v>
      </c>
      <c r="Q444" s="4">
        <v>1</v>
      </c>
    </row>
    <row r="445" spans="1:17" x14ac:dyDescent="0.25">
      <c r="A445" s="3" t="s">
        <v>18</v>
      </c>
      <c r="B445" s="3">
        <v>11469067</v>
      </c>
      <c r="C445" s="3" t="s">
        <v>483</v>
      </c>
      <c r="D445" s="3" t="s">
        <v>20</v>
      </c>
      <c r="E445" s="3" t="s">
        <v>21</v>
      </c>
      <c r="F445" s="3" t="s">
        <v>21</v>
      </c>
      <c r="G445" s="3" t="s">
        <v>42</v>
      </c>
      <c r="H445" s="3" t="s">
        <v>43</v>
      </c>
      <c r="I445" s="3" t="s">
        <v>24</v>
      </c>
      <c r="J445" s="3" t="s">
        <v>24</v>
      </c>
      <c r="K445" s="3" t="s">
        <v>25</v>
      </c>
      <c r="L445" s="4">
        <v>0</v>
      </c>
      <c r="M445" s="3" t="s">
        <v>26</v>
      </c>
      <c r="N445" s="3" t="s">
        <v>24</v>
      </c>
      <c r="O445" s="4">
        <v>1</v>
      </c>
      <c r="P445" s="4">
        <v>8</v>
      </c>
      <c r="Q445" s="4">
        <v>1</v>
      </c>
    </row>
    <row r="446" spans="1:17" x14ac:dyDescent="0.25">
      <c r="A446" s="3" t="s">
        <v>18</v>
      </c>
      <c r="B446" s="3">
        <v>11469292</v>
      </c>
      <c r="C446" s="3" t="s">
        <v>484</v>
      </c>
      <c r="D446" s="3" t="s">
        <v>20</v>
      </c>
      <c r="E446" s="3" t="s">
        <v>21</v>
      </c>
      <c r="F446" s="3" t="s">
        <v>21</v>
      </c>
      <c r="G446" s="3" t="s">
        <v>22</v>
      </c>
      <c r="H446" s="3" t="s">
        <v>23</v>
      </c>
      <c r="I446" s="3" t="s">
        <v>24</v>
      </c>
      <c r="J446" s="3" t="s">
        <v>24</v>
      </c>
      <c r="K446" s="3" t="s">
        <v>25</v>
      </c>
      <c r="L446" s="4">
        <v>0</v>
      </c>
      <c r="M446" s="3" t="s">
        <v>26</v>
      </c>
      <c r="N446" s="3" t="s">
        <v>24</v>
      </c>
      <c r="O446" s="4">
        <v>1</v>
      </c>
      <c r="P446" s="4">
        <v>4</v>
      </c>
      <c r="Q446" s="4">
        <v>1</v>
      </c>
    </row>
    <row r="447" spans="1:17" x14ac:dyDescent="0.25">
      <c r="A447" s="3" t="s">
        <v>18</v>
      </c>
      <c r="B447" s="3">
        <v>11469355</v>
      </c>
      <c r="C447" s="3" t="s">
        <v>485</v>
      </c>
      <c r="D447" s="3" t="s">
        <v>20</v>
      </c>
      <c r="E447" s="3" t="s">
        <v>21</v>
      </c>
      <c r="F447" s="3" t="s">
        <v>21</v>
      </c>
      <c r="G447" s="3" t="s">
        <v>233</v>
      </c>
      <c r="H447" s="3" t="s">
        <v>234</v>
      </c>
      <c r="I447" s="3" t="s">
        <v>24</v>
      </c>
      <c r="J447" s="3" t="s">
        <v>24</v>
      </c>
      <c r="K447" s="3" t="s">
        <v>25</v>
      </c>
      <c r="L447" s="4">
        <v>0</v>
      </c>
      <c r="M447" s="3" t="s">
        <v>26</v>
      </c>
      <c r="N447" s="3" t="s">
        <v>24</v>
      </c>
      <c r="O447" s="4">
        <v>1</v>
      </c>
      <c r="P447" s="4">
        <v>2</v>
      </c>
      <c r="Q447" s="4">
        <v>1</v>
      </c>
    </row>
    <row r="448" spans="1:17" x14ac:dyDescent="0.25">
      <c r="A448" s="3" t="s">
        <v>18</v>
      </c>
      <c r="B448" s="3">
        <v>11469933</v>
      </c>
      <c r="C448" s="3" t="s">
        <v>486</v>
      </c>
      <c r="D448" s="3" t="s">
        <v>20</v>
      </c>
      <c r="E448" s="3" t="s">
        <v>21</v>
      </c>
      <c r="F448" s="3" t="s">
        <v>21</v>
      </c>
      <c r="G448" s="3" t="s">
        <v>487</v>
      </c>
      <c r="H448" s="3" t="s">
        <v>488</v>
      </c>
      <c r="I448" s="3" t="s">
        <v>24</v>
      </c>
      <c r="J448" s="3" t="s">
        <v>24</v>
      </c>
      <c r="K448" s="3" t="s">
        <v>25</v>
      </c>
      <c r="L448" s="4">
        <v>0</v>
      </c>
      <c r="M448" s="3" t="s">
        <v>26</v>
      </c>
      <c r="N448" s="3" t="s">
        <v>24</v>
      </c>
      <c r="O448" s="4">
        <v>1</v>
      </c>
      <c r="P448" s="4">
        <v>2</v>
      </c>
      <c r="Q448" s="4">
        <v>1</v>
      </c>
    </row>
    <row r="449" spans="1:17" x14ac:dyDescent="0.25">
      <c r="A449" s="3" t="s">
        <v>18</v>
      </c>
      <c r="B449" s="3">
        <v>11469934</v>
      </c>
      <c r="C449" s="3" t="s">
        <v>489</v>
      </c>
      <c r="D449" s="3" t="s">
        <v>20</v>
      </c>
      <c r="E449" s="3" t="s">
        <v>21</v>
      </c>
      <c r="F449" s="3" t="s">
        <v>21</v>
      </c>
      <c r="G449" s="3" t="s">
        <v>487</v>
      </c>
      <c r="H449" s="3" t="s">
        <v>488</v>
      </c>
      <c r="I449" s="3" t="s">
        <v>24</v>
      </c>
      <c r="J449" s="3" t="s">
        <v>24</v>
      </c>
      <c r="K449" s="3" t="s">
        <v>25</v>
      </c>
      <c r="L449" s="4">
        <v>0</v>
      </c>
      <c r="M449" s="3" t="s">
        <v>26</v>
      </c>
      <c r="N449" s="3" t="s">
        <v>24</v>
      </c>
      <c r="O449" s="4">
        <v>1</v>
      </c>
      <c r="P449" s="4">
        <v>2</v>
      </c>
      <c r="Q449" s="4">
        <v>1</v>
      </c>
    </row>
    <row r="450" spans="1:17" x14ac:dyDescent="0.25">
      <c r="A450" s="3" t="s">
        <v>18</v>
      </c>
      <c r="B450" s="3">
        <v>11470494</v>
      </c>
      <c r="C450" s="3" t="s">
        <v>490</v>
      </c>
      <c r="D450" s="3" t="s">
        <v>20</v>
      </c>
      <c r="E450" s="3" t="s">
        <v>21</v>
      </c>
      <c r="F450" s="3" t="s">
        <v>21</v>
      </c>
      <c r="G450" s="3" t="s">
        <v>487</v>
      </c>
      <c r="H450" s="3" t="s">
        <v>488</v>
      </c>
      <c r="I450" s="3" t="s">
        <v>24</v>
      </c>
      <c r="J450" s="3" t="s">
        <v>24</v>
      </c>
      <c r="K450" s="3" t="s">
        <v>25</v>
      </c>
      <c r="L450" s="4">
        <v>0</v>
      </c>
      <c r="M450" s="3" t="s">
        <v>26</v>
      </c>
      <c r="N450" s="3" t="s">
        <v>24</v>
      </c>
      <c r="O450" s="4">
        <v>1</v>
      </c>
      <c r="P450" s="4">
        <v>2</v>
      </c>
      <c r="Q450" s="4">
        <v>1</v>
      </c>
    </row>
    <row r="451" spans="1:17" x14ac:dyDescent="0.25">
      <c r="A451" s="3" t="s">
        <v>18</v>
      </c>
      <c r="B451" s="3">
        <v>11470497</v>
      </c>
      <c r="C451" s="3" t="s">
        <v>491</v>
      </c>
      <c r="D451" s="3" t="s">
        <v>20</v>
      </c>
      <c r="E451" s="3" t="s">
        <v>21</v>
      </c>
      <c r="F451" s="3" t="s">
        <v>21</v>
      </c>
      <c r="G451" s="3" t="s">
        <v>487</v>
      </c>
      <c r="H451" s="3" t="s">
        <v>488</v>
      </c>
      <c r="I451" s="3" t="s">
        <v>24</v>
      </c>
      <c r="J451" s="3" t="s">
        <v>24</v>
      </c>
      <c r="K451" s="3" t="s">
        <v>25</v>
      </c>
      <c r="L451" s="4">
        <v>0</v>
      </c>
      <c r="M451" s="3" t="s">
        <v>26</v>
      </c>
      <c r="N451" s="3" t="s">
        <v>24</v>
      </c>
      <c r="O451" s="4">
        <v>1</v>
      </c>
      <c r="P451" s="4">
        <v>1</v>
      </c>
      <c r="Q451" s="4">
        <v>1</v>
      </c>
    </row>
    <row r="452" spans="1:17" x14ac:dyDescent="0.25">
      <c r="A452" s="3" t="s">
        <v>18</v>
      </c>
      <c r="B452" s="3">
        <v>11470512</v>
      </c>
      <c r="C452" s="3" t="s">
        <v>492</v>
      </c>
      <c r="D452" s="3" t="s">
        <v>20</v>
      </c>
      <c r="E452" s="3" t="s">
        <v>21</v>
      </c>
      <c r="F452" s="3" t="s">
        <v>21</v>
      </c>
      <c r="G452" s="3" t="s">
        <v>477</v>
      </c>
      <c r="H452" s="3" t="s">
        <v>478</v>
      </c>
      <c r="I452" s="3" t="s">
        <v>24</v>
      </c>
      <c r="J452" s="3" t="s">
        <v>24</v>
      </c>
      <c r="K452" s="3" t="s">
        <v>25</v>
      </c>
      <c r="L452" s="4">
        <v>0</v>
      </c>
      <c r="M452" s="3" t="s">
        <v>26</v>
      </c>
      <c r="N452" s="3" t="s">
        <v>24</v>
      </c>
      <c r="O452" s="4">
        <v>1</v>
      </c>
      <c r="P452" s="4">
        <v>1</v>
      </c>
      <c r="Q452" s="4">
        <v>1</v>
      </c>
    </row>
    <row r="453" spans="1:17" x14ac:dyDescent="0.25">
      <c r="A453" s="3" t="s">
        <v>18</v>
      </c>
      <c r="B453" s="3">
        <v>11470515</v>
      </c>
      <c r="C453" s="3" t="s">
        <v>493</v>
      </c>
      <c r="D453" s="3" t="s">
        <v>20</v>
      </c>
      <c r="E453" s="3" t="s">
        <v>21</v>
      </c>
      <c r="F453" s="3" t="s">
        <v>21</v>
      </c>
      <c r="G453" s="3" t="s">
        <v>477</v>
      </c>
      <c r="H453" s="3" t="s">
        <v>478</v>
      </c>
      <c r="I453" s="3" t="s">
        <v>24</v>
      </c>
      <c r="J453" s="3" t="s">
        <v>24</v>
      </c>
      <c r="K453" s="3" t="s">
        <v>25</v>
      </c>
      <c r="L453" s="4">
        <v>0</v>
      </c>
      <c r="M453" s="3" t="s">
        <v>26</v>
      </c>
      <c r="N453" s="3" t="s">
        <v>24</v>
      </c>
      <c r="O453" s="4">
        <v>1</v>
      </c>
      <c r="P453" s="4">
        <v>1</v>
      </c>
      <c r="Q453" s="4">
        <v>1</v>
      </c>
    </row>
    <row r="454" spans="1:17" x14ac:dyDescent="0.25">
      <c r="A454" s="3" t="s">
        <v>18</v>
      </c>
      <c r="B454" s="3">
        <v>11472753</v>
      </c>
      <c r="C454" s="3" t="s">
        <v>494</v>
      </c>
      <c r="D454" s="3" t="s">
        <v>20</v>
      </c>
      <c r="E454" s="3" t="s">
        <v>21</v>
      </c>
      <c r="F454" s="3" t="s">
        <v>21</v>
      </c>
      <c r="G454" s="3" t="s">
        <v>22</v>
      </c>
      <c r="H454" s="3" t="s">
        <v>23</v>
      </c>
      <c r="I454" s="3" t="s">
        <v>24</v>
      </c>
      <c r="J454" s="3" t="s">
        <v>24</v>
      </c>
      <c r="K454" s="3" t="s">
        <v>25</v>
      </c>
      <c r="L454" s="4">
        <v>0</v>
      </c>
      <c r="M454" s="3" t="s">
        <v>26</v>
      </c>
      <c r="N454" s="3" t="s">
        <v>24</v>
      </c>
      <c r="O454" s="4">
        <v>1</v>
      </c>
      <c r="P454" s="4">
        <v>4</v>
      </c>
      <c r="Q454" s="4">
        <v>1</v>
      </c>
    </row>
    <row r="455" spans="1:17" x14ac:dyDescent="0.25">
      <c r="A455" s="3" t="s">
        <v>18</v>
      </c>
      <c r="B455" s="3">
        <v>11474031</v>
      </c>
      <c r="C455" s="3" t="s">
        <v>495</v>
      </c>
      <c r="D455" s="3" t="s">
        <v>20</v>
      </c>
      <c r="E455" s="3" t="s">
        <v>21</v>
      </c>
      <c r="F455" s="3" t="s">
        <v>21</v>
      </c>
      <c r="G455" s="3" t="s">
        <v>42</v>
      </c>
      <c r="H455" s="3" t="s">
        <v>43</v>
      </c>
      <c r="I455" s="3" t="s">
        <v>24</v>
      </c>
      <c r="J455" s="3" t="s">
        <v>24</v>
      </c>
      <c r="K455" s="3" t="s">
        <v>25</v>
      </c>
      <c r="L455" s="4">
        <v>0</v>
      </c>
      <c r="M455" s="3" t="s">
        <v>26</v>
      </c>
      <c r="N455" s="3" t="s">
        <v>24</v>
      </c>
      <c r="O455" s="4">
        <v>1</v>
      </c>
      <c r="P455" s="4">
        <v>8</v>
      </c>
      <c r="Q455" s="4">
        <v>1</v>
      </c>
    </row>
    <row r="456" spans="1:17" x14ac:dyDescent="0.25">
      <c r="A456" s="3" t="s">
        <v>18</v>
      </c>
      <c r="B456" s="3">
        <v>11474087</v>
      </c>
      <c r="C456" s="3" t="s">
        <v>496</v>
      </c>
      <c r="D456" s="3" t="s">
        <v>20</v>
      </c>
      <c r="E456" s="3" t="s">
        <v>21</v>
      </c>
      <c r="F456" s="3" t="s">
        <v>21</v>
      </c>
      <c r="G456" s="3" t="s">
        <v>42</v>
      </c>
      <c r="H456" s="3" t="s">
        <v>43</v>
      </c>
      <c r="I456" s="3" t="s">
        <v>24</v>
      </c>
      <c r="J456" s="3" t="s">
        <v>24</v>
      </c>
      <c r="K456" s="3" t="s">
        <v>25</v>
      </c>
      <c r="L456" s="4">
        <v>0</v>
      </c>
      <c r="M456" s="3" t="s">
        <v>26</v>
      </c>
      <c r="N456" s="3" t="s">
        <v>24</v>
      </c>
      <c r="O456" s="4">
        <v>1</v>
      </c>
      <c r="P456" s="4">
        <v>8</v>
      </c>
      <c r="Q456" s="4">
        <v>1</v>
      </c>
    </row>
    <row r="457" spans="1:17" x14ac:dyDescent="0.25">
      <c r="A457" s="3" t="s">
        <v>18</v>
      </c>
      <c r="B457" s="3">
        <v>11474171</v>
      </c>
      <c r="C457" s="3" t="s">
        <v>497</v>
      </c>
      <c r="D457" s="3" t="s">
        <v>20</v>
      </c>
      <c r="E457" s="3" t="s">
        <v>21</v>
      </c>
      <c r="F457" s="3" t="s">
        <v>21</v>
      </c>
      <c r="G457" s="3" t="s">
        <v>30</v>
      </c>
      <c r="H457" s="3" t="s">
        <v>31</v>
      </c>
      <c r="I457" s="3" t="s">
        <v>24</v>
      </c>
      <c r="J457" s="3" t="s">
        <v>24</v>
      </c>
      <c r="K457" s="3" t="s">
        <v>25</v>
      </c>
      <c r="L457" s="4">
        <v>0</v>
      </c>
      <c r="M457" s="3" t="s">
        <v>26</v>
      </c>
      <c r="N457" s="3" t="s">
        <v>24</v>
      </c>
      <c r="O457" s="4">
        <v>1</v>
      </c>
      <c r="P457" s="4">
        <v>8</v>
      </c>
      <c r="Q457" s="4">
        <v>1</v>
      </c>
    </row>
    <row r="458" spans="1:17" x14ac:dyDescent="0.25">
      <c r="A458" s="3" t="s">
        <v>18</v>
      </c>
      <c r="B458" s="3">
        <v>11474849</v>
      </c>
      <c r="C458" s="3" t="s">
        <v>498</v>
      </c>
      <c r="D458" s="3" t="s">
        <v>20</v>
      </c>
      <c r="E458" s="3" t="s">
        <v>21</v>
      </c>
      <c r="F458" s="3" t="s">
        <v>21</v>
      </c>
      <c r="G458" s="3" t="s">
        <v>30</v>
      </c>
      <c r="H458" s="3" t="s">
        <v>31</v>
      </c>
      <c r="I458" s="3" t="s">
        <v>24</v>
      </c>
      <c r="J458" s="3" t="s">
        <v>24</v>
      </c>
      <c r="K458" s="3" t="s">
        <v>25</v>
      </c>
      <c r="L458" s="4">
        <v>0</v>
      </c>
      <c r="M458" s="3" t="s">
        <v>26</v>
      </c>
      <c r="N458" s="3" t="s">
        <v>24</v>
      </c>
      <c r="O458" s="4">
        <v>1</v>
      </c>
      <c r="P458" s="4">
        <v>9</v>
      </c>
      <c r="Q458" s="4">
        <v>1</v>
      </c>
    </row>
    <row r="459" spans="1:17" x14ac:dyDescent="0.25">
      <c r="A459" s="3" t="s">
        <v>18</v>
      </c>
      <c r="B459" s="3">
        <v>11476313</v>
      </c>
      <c r="C459" s="3" t="s">
        <v>499</v>
      </c>
      <c r="D459" s="3" t="s">
        <v>20</v>
      </c>
      <c r="E459" s="3" t="s">
        <v>21</v>
      </c>
      <c r="F459" s="3" t="s">
        <v>21</v>
      </c>
      <c r="G459" s="3" t="s">
        <v>22</v>
      </c>
      <c r="H459" s="3" t="s">
        <v>23</v>
      </c>
      <c r="I459" s="3" t="s">
        <v>24</v>
      </c>
      <c r="J459" s="3" t="s">
        <v>24</v>
      </c>
      <c r="K459" s="3" t="s">
        <v>25</v>
      </c>
      <c r="L459" s="4">
        <v>0</v>
      </c>
      <c r="M459" s="3" t="s">
        <v>26</v>
      </c>
      <c r="N459" s="3" t="s">
        <v>24</v>
      </c>
      <c r="O459" s="4">
        <v>1</v>
      </c>
      <c r="P459" s="4">
        <v>4</v>
      </c>
      <c r="Q459" s="4">
        <v>1</v>
      </c>
    </row>
    <row r="460" spans="1:17" x14ac:dyDescent="0.25">
      <c r="A460" s="3" t="s">
        <v>18</v>
      </c>
      <c r="B460" s="3">
        <v>11476316</v>
      </c>
      <c r="C460" s="3" t="s">
        <v>500</v>
      </c>
      <c r="D460" s="3" t="s">
        <v>20</v>
      </c>
      <c r="E460" s="3" t="s">
        <v>21</v>
      </c>
      <c r="F460" s="3" t="s">
        <v>21</v>
      </c>
      <c r="G460" s="3" t="s">
        <v>22</v>
      </c>
      <c r="H460" s="3" t="s">
        <v>23</v>
      </c>
      <c r="I460" s="3" t="s">
        <v>24</v>
      </c>
      <c r="J460" s="3" t="s">
        <v>24</v>
      </c>
      <c r="K460" s="3" t="s">
        <v>25</v>
      </c>
      <c r="L460" s="4">
        <v>0</v>
      </c>
      <c r="M460" s="3" t="s">
        <v>26</v>
      </c>
      <c r="N460" s="3" t="s">
        <v>24</v>
      </c>
      <c r="O460" s="4">
        <v>1</v>
      </c>
      <c r="P460" s="4">
        <v>4</v>
      </c>
      <c r="Q460" s="4">
        <v>1</v>
      </c>
    </row>
    <row r="461" spans="1:17" x14ac:dyDescent="0.25">
      <c r="A461" s="3" t="s">
        <v>18</v>
      </c>
      <c r="B461" s="3">
        <v>11480290</v>
      </c>
      <c r="C461" s="3" t="s">
        <v>501</v>
      </c>
      <c r="D461" s="3" t="s">
        <v>20</v>
      </c>
      <c r="E461" s="3" t="s">
        <v>21</v>
      </c>
      <c r="F461" s="3" t="s">
        <v>21</v>
      </c>
      <c r="G461" s="3" t="s">
        <v>36</v>
      </c>
      <c r="H461" s="3" t="s">
        <v>37</v>
      </c>
      <c r="I461" s="3" t="s">
        <v>24</v>
      </c>
      <c r="J461" s="3" t="s">
        <v>24</v>
      </c>
      <c r="K461" s="3" t="s">
        <v>25</v>
      </c>
      <c r="L461" s="4">
        <v>0</v>
      </c>
      <c r="M461" s="3" t="s">
        <v>26</v>
      </c>
      <c r="N461" s="3" t="s">
        <v>24</v>
      </c>
      <c r="O461" s="4">
        <v>1</v>
      </c>
      <c r="P461" s="4">
        <v>10</v>
      </c>
      <c r="Q461" s="4">
        <v>1</v>
      </c>
    </row>
    <row r="462" spans="1:17" x14ac:dyDescent="0.25">
      <c r="A462" s="3" t="s">
        <v>18</v>
      </c>
      <c r="B462" s="3">
        <v>11482199</v>
      </c>
      <c r="C462" s="3" t="s">
        <v>502</v>
      </c>
      <c r="D462" s="3" t="s">
        <v>20</v>
      </c>
      <c r="E462" s="3" t="s">
        <v>21</v>
      </c>
      <c r="F462" s="3" t="s">
        <v>21</v>
      </c>
      <c r="G462" s="3" t="s">
        <v>42</v>
      </c>
      <c r="H462" s="3" t="s">
        <v>43</v>
      </c>
      <c r="I462" s="3" t="s">
        <v>24</v>
      </c>
      <c r="J462" s="3" t="s">
        <v>24</v>
      </c>
      <c r="K462" s="3" t="s">
        <v>25</v>
      </c>
      <c r="L462" s="4">
        <v>0</v>
      </c>
      <c r="M462" s="3" t="s">
        <v>26</v>
      </c>
      <c r="N462" s="3" t="s">
        <v>24</v>
      </c>
      <c r="O462" s="4">
        <v>1</v>
      </c>
      <c r="P462" s="4">
        <v>8</v>
      </c>
      <c r="Q462" s="4">
        <v>1</v>
      </c>
    </row>
    <row r="463" spans="1:17" x14ac:dyDescent="0.25">
      <c r="A463" s="3" t="s">
        <v>18</v>
      </c>
      <c r="B463" s="3">
        <v>11482436</v>
      </c>
      <c r="C463" s="3" t="s">
        <v>503</v>
      </c>
      <c r="D463" s="3" t="s">
        <v>20</v>
      </c>
      <c r="E463" s="3" t="s">
        <v>21</v>
      </c>
      <c r="F463" s="3" t="s">
        <v>21</v>
      </c>
      <c r="G463" s="3" t="s">
        <v>30</v>
      </c>
      <c r="H463" s="3" t="s">
        <v>31</v>
      </c>
      <c r="I463" s="3" t="s">
        <v>24</v>
      </c>
      <c r="J463" s="3" t="s">
        <v>24</v>
      </c>
      <c r="K463" s="3" t="s">
        <v>25</v>
      </c>
      <c r="L463" s="4">
        <v>0</v>
      </c>
      <c r="M463" s="3" t="s">
        <v>26</v>
      </c>
      <c r="N463" s="3" t="s">
        <v>24</v>
      </c>
      <c r="O463" s="4">
        <v>1</v>
      </c>
      <c r="P463" s="4">
        <v>9</v>
      </c>
      <c r="Q463" s="4">
        <v>1</v>
      </c>
    </row>
    <row r="464" spans="1:17" x14ac:dyDescent="0.25">
      <c r="A464" s="3" t="s">
        <v>18</v>
      </c>
      <c r="B464" s="3">
        <v>11482440</v>
      </c>
      <c r="C464" s="3" t="s">
        <v>504</v>
      </c>
      <c r="D464" s="3" t="s">
        <v>20</v>
      </c>
      <c r="E464" s="3" t="s">
        <v>21</v>
      </c>
      <c r="F464" s="3" t="s">
        <v>21</v>
      </c>
      <c r="G464" s="3" t="s">
        <v>42</v>
      </c>
      <c r="H464" s="3" t="s">
        <v>43</v>
      </c>
      <c r="I464" s="3" t="s">
        <v>24</v>
      </c>
      <c r="J464" s="3" t="s">
        <v>24</v>
      </c>
      <c r="K464" s="3" t="s">
        <v>25</v>
      </c>
      <c r="L464" s="4">
        <v>0</v>
      </c>
      <c r="M464" s="3" t="s">
        <v>26</v>
      </c>
      <c r="N464" s="3" t="s">
        <v>24</v>
      </c>
      <c r="O464" s="4">
        <v>1</v>
      </c>
      <c r="P464" s="4">
        <v>8</v>
      </c>
      <c r="Q464" s="4">
        <v>1</v>
      </c>
    </row>
    <row r="465" spans="1:17" x14ac:dyDescent="0.25">
      <c r="A465" s="3" t="s">
        <v>18</v>
      </c>
      <c r="B465" s="3">
        <v>11482446</v>
      </c>
      <c r="C465" s="3" t="s">
        <v>505</v>
      </c>
      <c r="D465" s="3" t="s">
        <v>20</v>
      </c>
      <c r="E465" s="3" t="s">
        <v>21</v>
      </c>
      <c r="F465" s="3" t="s">
        <v>21</v>
      </c>
      <c r="G465" s="3" t="s">
        <v>233</v>
      </c>
      <c r="H465" s="3" t="s">
        <v>234</v>
      </c>
      <c r="I465" s="3" t="s">
        <v>24</v>
      </c>
      <c r="J465" s="3" t="s">
        <v>24</v>
      </c>
      <c r="K465" s="3" t="s">
        <v>25</v>
      </c>
      <c r="L465" s="4">
        <v>0</v>
      </c>
      <c r="M465" s="3" t="s">
        <v>26</v>
      </c>
      <c r="N465" s="3" t="s">
        <v>24</v>
      </c>
      <c r="O465" s="4">
        <v>1</v>
      </c>
      <c r="P465" s="4">
        <v>3</v>
      </c>
      <c r="Q465" s="4">
        <v>1</v>
      </c>
    </row>
    <row r="466" spans="1:17" x14ac:dyDescent="0.25">
      <c r="A466" s="3" t="s">
        <v>18</v>
      </c>
      <c r="B466" s="3">
        <v>11494250</v>
      </c>
      <c r="C466" s="3" t="s">
        <v>506</v>
      </c>
      <c r="D466" s="3" t="s">
        <v>20</v>
      </c>
      <c r="E466" s="3" t="s">
        <v>21</v>
      </c>
      <c r="F466" s="3" t="s">
        <v>21</v>
      </c>
      <c r="G466" s="3" t="s">
        <v>30</v>
      </c>
      <c r="H466" s="3" t="s">
        <v>31</v>
      </c>
      <c r="I466" s="3" t="s">
        <v>24</v>
      </c>
      <c r="J466" s="3" t="s">
        <v>24</v>
      </c>
      <c r="K466" s="3" t="s">
        <v>25</v>
      </c>
      <c r="L466" s="4">
        <v>0</v>
      </c>
      <c r="M466" s="3" t="s">
        <v>26</v>
      </c>
      <c r="N466" s="3" t="s">
        <v>24</v>
      </c>
      <c r="O466" s="4">
        <v>1</v>
      </c>
      <c r="P466" s="4">
        <v>8</v>
      </c>
      <c r="Q466" s="4">
        <v>1</v>
      </c>
    </row>
    <row r="467" spans="1:17" x14ac:dyDescent="0.25">
      <c r="A467" s="3" t="s">
        <v>18</v>
      </c>
      <c r="B467" s="3">
        <v>11494251</v>
      </c>
      <c r="C467" s="3" t="s">
        <v>507</v>
      </c>
      <c r="D467" s="3" t="s">
        <v>20</v>
      </c>
      <c r="E467" s="3" t="s">
        <v>21</v>
      </c>
      <c r="F467" s="3" t="s">
        <v>21</v>
      </c>
      <c r="G467" s="3" t="s">
        <v>30</v>
      </c>
      <c r="H467" s="3" t="s">
        <v>31</v>
      </c>
      <c r="I467" s="3" t="s">
        <v>24</v>
      </c>
      <c r="J467" s="3" t="s">
        <v>24</v>
      </c>
      <c r="K467" s="3" t="s">
        <v>25</v>
      </c>
      <c r="L467" s="4">
        <v>0</v>
      </c>
      <c r="M467" s="3" t="s">
        <v>26</v>
      </c>
      <c r="N467" s="3" t="s">
        <v>24</v>
      </c>
      <c r="O467" s="4">
        <v>1</v>
      </c>
      <c r="P467" s="4">
        <v>9</v>
      </c>
      <c r="Q467" s="4">
        <v>1</v>
      </c>
    </row>
    <row r="468" spans="1:17" x14ac:dyDescent="0.25">
      <c r="A468" s="3" t="s">
        <v>18</v>
      </c>
      <c r="B468" s="3">
        <v>11494252</v>
      </c>
      <c r="C468" s="3" t="s">
        <v>508</v>
      </c>
      <c r="D468" s="3" t="s">
        <v>20</v>
      </c>
      <c r="E468" s="3" t="s">
        <v>21</v>
      </c>
      <c r="F468" s="3" t="s">
        <v>21</v>
      </c>
      <c r="G468" s="3" t="s">
        <v>30</v>
      </c>
      <c r="H468" s="3" t="s">
        <v>31</v>
      </c>
      <c r="I468" s="3" t="s">
        <v>24</v>
      </c>
      <c r="J468" s="3" t="s">
        <v>24</v>
      </c>
      <c r="K468" s="3" t="s">
        <v>25</v>
      </c>
      <c r="L468" s="4">
        <v>0</v>
      </c>
      <c r="M468" s="3" t="s">
        <v>26</v>
      </c>
      <c r="N468" s="3" t="s">
        <v>24</v>
      </c>
      <c r="O468" s="4">
        <v>1</v>
      </c>
      <c r="P468" s="4">
        <v>9</v>
      </c>
      <c r="Q468" s="4">
        <v>1</v>
      </c>
    </row>
    <row r="469" spans="1:17" x14ac:dyDescent="0.25">
      <c r="A469" s="3" t="s">
        <v>18</v>
      </c>
      <c r="B469" s="3">
        <v>11494255</v>
      </c>
      <c r="C469" s="3" t="s">
        <v>509</v>
      </c>
      <c r="D469" s="3" t="s">
        <v>20</v>
      </c>
      <c r="E469" s="3" t="s">
        <v>21</v>
      </c>
      <c r="F469" s="3" t="s">
        <v>21</v>
      </c>
      <c r="G469" s="3" t="s">
        <v>30</v>
      </c>
      <c r="H469" s="3" t="s">
        <v>31</v>
      </c>
      <c r="I469" s="3" t="s">
        <v>24</v>
      </c>
      <c r="J469" s="3" t="s">
        <v>24</v>
      </c>
      <c r="K469" s="3" t="s">
        <v>25</v>
      </c>
      <c r="L469" s="4">
        <v>0</v>
      </c>
      <c r="M469" s="3" t="s">
        <v>26</v>
      </c>
      <c r="N469" s="3" t="s">
        <v>24</v>
      </c>
      <c r="O469" s="4">
        <v>1</v>
      </c>
      <c r="P469" s="4">
        <v>9</v>
      </c>
      <c r="Q469" s="4">
        <v>1</v>
      </c>
    </row>
    <row r="470" spans="1:17" x14ac:dyDescent="0.25">
      <c r="A470" s="3" t="s">
        <v>18</v>
      </c>
      <c r="B470" s="3">
        <v>11494256</v>
      </c>
      <c r="C470" s="3" t="s">
        <v>510</v>
      </c>
      <c r="D470" s="3" t="s">
        <v>20</v>
      </c>
      <c r="E470" s="3" t="s">
        <v>21</v>
      </c>
      <c r="F470" s="3" t="s">
        <v>21</v>
      </c>
      <c r="G470" s="3" t="s">
        <v>30</v>
      </c>
      <c r="H470" s="3" t="s">
        <v>31</v>
      </c>
      <c r="I470" s="3" t="s">
        <v>24</v>
      </c>
      <c r="J470" s="3" t="s">
        <v>24</v>
      </c>
      <c r="K470" s="3" t="s">
        <v>25</v>
      </c>
      <c r="L470" s="4">
        <v>0</v>
      </c>
      <c r="M470" s="3" t="s">
        <v>26</v>
      </c>
      <c r="N470" s="3" t="s">
        <v>24</v>
      </c>
      <c r="O470" s="4">
        <v>1</v>
      </c>
      <c r="P470" s="4">
        <v>8</v>
      </c>
      <c r="Q470" s="4">
        <v>1</v>
      </c>
    </row>
    <row r="471" spans="1:17" x14ac:dyDescent="0.25">
      <c r="A471" s="3" t="s">
        <v>18</v>
      </c>
      <c r="B471" s="3">
        <v>11494279</v>
      </c>
      <c r="C471" s="3" t="s">
        <v>511</v>
      </c>
      <c r="D471" s="3" t="s">
        <v>20</v>
      </c>
      <c r="E471" s="3" t="s">
        <v>21</v>
      </c>
      <c r="F471" s="3" t="s">
        <v>21</v>
      </c>
      <c r="G471" s="3" t="s">
        <v>42</v>
      </c>
      <c r="H471" s="3" t="s">
        <v>43</v>
      </c>
      <c r="I471" s="3" t="s">
        <v>24</v>
      </c>
      <c r="J471" s="3" t="s">
        <v>24</v>
      </c>
      <c r="K471" s="3" t="s">
        <v>25</v>
      </c>
      <c r="L471" s="4">
        <v>0</v>
      </c>
      <c r="M471" s="3" t="s">
        <v>26</v>
      </c>
      <c r="N471" s="3" t="s">
        <v>24</v>
      </c>
      <c r="O471" s="4">
        <v>1</v>
      </c>
      <c r="P471" s="4">
        <v>8</v>
      </c>
      <c r="Q471" s="4">
        <v>1</v>
      </c>
    </row>
    <row r="472" spans="1:17" x14ac:dyDescent="0.25">
      <c r="A472" s="3" t="s">
        <v>18</v>
      </c>
      <c r="B472" s="3">
        <v>11494281</v>
      </c>
      <c r="C472" s="3" t="s">
        <v>512</v>
      </c>
      <c r="D472" s="3" t="s">
        <v>20</v>
      </c>
      <c r="E472" s="3" t="s">
        <v>21</v>
      </c>
      <c r="F472" s="3" t="s">
        <v>21</v>
      </c>
      <c r="G472" s="3" t="s">
        <v>42</v>
      </c>
      <c r="H472" s="3" t="s">
        <v>43</v>
      </c>
      <c r="I472" s="3" t="s">
        <v>24</v>
      </c>
      <c r="J472" s="3" t="s">
        <v>24</v>
      </c>
      <c r="K472" s="3" t="s">
        <v>25</v>
      </c>
      <c r="L472" s="4">
        <v>0</v>
      </c>
      <c r="M472" s="3" t="s">
        <v>26</v>
      </c>
      <c r="N472" s="3" t="s">
        <v>24</v>
      </c>
      <c r="O472" s="4">
        <v>1</v>
      </c>
      <c r="P472" s="4">
        <v>8</v>
      </c>
      <c r="Q472" s="4">
        <v>1</v>
      </c>
    </row>
    <row r="473" spans="1:17" x14ac:dyDescent="0.25">
      <c r="A473" s="3" t="s">
        <v>18</v>
      </c>
      <c r="B473" s="3">
        <v>11494282</v>
      </c>
      <c r="C473" s="3" t="s">
        <v>513</v>
      </c>
      <c r="D473" s="3" t="s">
        <v>20</v>
      </c>
      <c r="E473" s="3" t="s">
        <v>21</v>
      </c>
      <c r="F473" s="3" t="s">
        <v>21</v>
      </c>
      <c r="G473" s="3" t="s">
        <v>22</v>
      </c>
      <c r="H473" s="3" t="s">
        <v>23</v>
      </c>
      <c r="I473" s="3" t="s">
        <v>24</v>
      </c>
      <c r="J473" s="3" t="s">
        <v>24</v>
      </c>
      <c r="K473" s="3" t="s">
        <v>25</v>
      </c>
      <c r="L473" s="4">
        <v>0</v>
      </c>
      <c r="M473" s="3" t="s">
        <v>26</v>
      </c>
      <c r="N473" s="3" t="s">
        <v>24</v>
      </c>
      <c r="O473" s="4">
        <v>1</v>
      </c>
      <c r="P473" s="4">
        <v>4</v>
      </c>
      <c r="Q473" s="4">
        <v>1</v>
      </c>
    </row>
    <row r="474" spans="1:17" x14ac:dyDescent="0.25">
      <c r="A474" s="3" t="s">
        <v>18</v>
      </c>
      <c r="B474" s="3">
        <v>11494283</v>
      </c>
      <c r="C474" s="3" t="s">
        <v>514</v>
      </c>
      <c r="D474" s="3" t="s">
        <v>20</v>
      </c>
      <c r="E474" s="3" t="s">
        <v>21</v>
      </c>
      <c r="F474" s="3" t="s">
        <v>21</v>
      </c>
      <c r="G474" s="3" t="s">
        <v>42</v>
      </c>
      <c r="H474" s="3" t="s">
        <v>43</v>
      </c>
      <c r="I474" s="3" t="s">
        <v>24</v>
      </c>
      <c r="J474" s="3" t="s">
        <v>24</v>
      </c>
      <c r="K474" s="3" t="s">
        <v>25</v>
      </c>
      <c r="L474" s="4">
        <v>0</v>
      </c>
      <c r="M474" s="3" t="s">
        <v>26</v>
      </c>
      <c r="N474" s="3" t="s">
        <v>24</v>
      </c>
      <c r="O474" s="4">
        <v>1</v>
      </c>
      <c r="P474" s="4">
        <v>8</v>
      </c>
      <c r="Q474" s="4">
        <v>1</v>
      </c>
    </row>
    <row r="475" spans="1:17" x14ac:dyDescent="0.25">
      <c r="A475" s="3" t="s">
        <v>18</v>
      </c>
      <c r="B475" s="3">
        <v>11543499</v>
      </c>
      <c r="C475" s="3" t="s">
        <v>515</v>
      </c>
      <c r="D475" s="3" t="s">
        <v>20</v>
      </c>
      <c r="E475" s="3" t="s">
        <v>21</v>
      </c>
      <c r="F475" s="3" t="s">
        <v>21</v>
      </c>
      <c r="G475" s="3" t="s">
        <v>410</v>
      </c>
      <c r="H475" s="3" t="s">
        <v>411</v>
      </c>
      <c r="I475" s="3" t="s">
        <v>24</v>
      </c>
      <c r="J475" s="3" t="s">
        <v>24</v>
      </c>
      <c r="K475" s="3" t="s">
        <v>25</v>
      </c>
      <c r="L475" s="4">
        <v>0</v>
      </c>
      <c r="M475" s="3" t="s">
        <v>26</v>
      </c>
      <c r="N475" s="3" t="s">
        <v>24</v>
      </c>
      <c r="O475" s="4">
        <v>1</v>
      </c>
      <c r="P475" s="4">
        <v>9</v>
      </c>
      <c r="Q475" s="4">
        <v>1</v>
      </c>
    </row>
    <row r="476" spans="1:17" x14ac:dyDescent="0.25">
      <c r="A476" s="3" t="s">
        <v>18</v>
      </c>
      <c r="B476" s="3">
        <v>11543504</v>
      </c>
      <c r="C476" s="3" t="s">
        <v>516</v>
      </c>
      <c r="D476" s="3" t="s">
        <v>20</v>
      </c>
      <c r="E476" s="3" t="s">
        <v>21</v>
      </c>
      <c r="F476" s="3" t="s">
        <v>21</v>
      </c>
      <c r="G476" s="3" t="s">
        <v>410</v>
      </c>
      <c r="H476" s="3" t="s">
        <v>411</v>
      </c>
      <c r="I476" s="3" t="s">
        <v>24</v>
      </c>
      <c r="J476" s="3" t="s">
        <v>24</v>
      </c>
      <c r="K476" s="3" t="s">
        <v>25</v>
      </c>
      <c r="L476" s="4">
        <v>0</v>
      </c>
      <c r="M476" s="3" t="s">
        <v>26</v>
      </c>
      <c r="N476" s="3" t="s">
        <v>24</v>
      </c>
      <c r="O476" s="4">
        <v>1</v>
      </c>
      <c r="P476" s="4">
        <v>8</v>
      </c>
      <c r="Q476" s="4">
        <v>1</v>
      </c>
    </row>
    <row r="477" spans="1:17" x14ac:dyDescent="0.25">
      <c r="A477" s="3" t="s">
        <v>18</v>
      </c>
      <c r="B477" s="3">
        <v>11543566</v>
      </c>
      <c r="C477" s="3" t="s">
        <v>517</v>
      </c>
      <c r="D477" s="3" t="s">
        <v>20</v>
      </c>
      <c r="E477" s="3" t="s">
        <v>21</v>
      </c>
      <c r="F477" s="3" t="s">
        <v>21</v>
      </c>
      <c r="G477" s="3" t="s">
        <v>410</v>
      </c>
      <c r="H477" s="3" t="s">
        <v>411</v>
      </c>
      <c r="I477" s="3" t="s">
        <v>24</v>
      </c>
      <c r="J477" s="3" t="s">
        <v>24</v>
      </c>
      <c r="K477" s="3" t="s">
        <v>25</v>
      </c>
      <c r="L477" s="4">
        <v>0</v>
      </c>
      <c r="M477" s="3" t="s">
        <v>26</v>
      </c>
      <c r="N477" s="3" t="s">
        <v>24</v>
      </c>
      <c r="O477" s="4">
        <v>1</v>
      </c>
      <c r="P477" s="4">
        <v>8</v>
      </c>
      <c r="Q477" s="4">
        <v>1</v>
      </c>
    </row>
    <row r="478" spans="1:17" x14ac:dyDescent="0.25">
      <c r="A478" s="3" t="s">
        <v>18</v>
      </c>
      <c r="B478" s="3">
        <v>11543627</v>
      </c>
      <c r="C478" s="3" t="s">
        <v>518</v>
      </c>
      <c r="D478" s="3" t="s">
        <v>20</v>
      </c>
      <c r="E478" s="3" t="s">
        <v>21</v>
      </c>
      <c r="F478" s="3" t="s">
        <v>21</v>
      </c>
      <c r="G478" s="3" t="s">
        <v>410</v>
      </c>
      <c r="H478" s="3" t="s">
        <v>411</v>
      </c>
      <c r="I478" s="3" t="s">
        <v>24</v>
      </c>
      <c r="J478" s="3" t="s">
        <v>24</v>
      </c>
      <c r="K478" s="3" t="s">
        <v>25</v>
      </c>
      <c r="L478" s="4">
        <v>0</v>
      </c>
      <c r="M478" s="3" t="s">
        <v>26</v>
      </c>
      <c r="N478" s="3" t="s">
        <v>24</v>
      </c>
      <c r="O478" s="4">
        <v>1</v>
      </c>
      <c r="P478" s="4">
        <v>8</v>
      </c>
      <c r="Q478" s="4">
        <v>1</v>
      </c>
    </row>
    <row r="479" spans="1:17" x14ac:dyDescent="0.25">
      <c r="A479" s="3" t="s">
        <v>18</v>
      </c>
      <c r="B479" s="3">
        <v>11543668</v>
      </c>
      <c r="C479" s="3" t="s">
        <v>519</v>
      </c>
      <c r="D479" s="3" t="s">
        <v>20</v>
      </c>
      <c r="E479" s="3" t="s">
        <v>21</v>
      </c>
      <c r="F479" s="3" t="s">
        <v>21</v>
      </c>
      <c r="G479" s="3" t="s">
        <v>410</v>
      </c>
      <c r="H479" s="3" t="s">
        <v>411</v>
      </c>
      <c r="I479" s="3" t="s">
        <v>24</v>
      </c>
      <c r="J479" s="3" t="s">
        <v>24</v>
      </c>
      <c r="K479" s="3" t="s">
        <v>25</v>
      </c>
      <c r="L479" s="4">
        <v>0</v>
      </c>
      <c r="M479" s="3" t="s">
        <v>26</v>
      </c>
      <c r="N479" s="3" t="s">
        <v>24</v>
      </c>
      <c r="O479" s="4">
        <v>1</v>
      </c>
      <c r="P479" s="4">
        <v>8</v>
      </c>
      <c r="Q479" s="4">
        <v>1</v>
      </c>
    </row>
    <row r="480" spans="1:17" x14ac:dyDescent="0.25">
      <c r="A480" s="3" t="s">
        <v>18</v>
      </c>
      <c r="B480" s="3">
        <v>11543672</v>
      </c>
      <c r="C480" s="3" t="s">
        <v>520</v>
      </c>
      <c r="D480" s="3" t="s">
        <v>20</v>
      </c>
      <c r="E480" s="3" t="s">
        <v>21</v>
      </c>
      <c r="F480" s="3" t="s">
        <v>21</v>
      </c>
      <c r="G480" s="3" t="s">
        <v>410</v>
      </c>
      <c r="H480" s="3" t="s">
        <v>411</v>
      </c>
      <c r="I480" s="3" t="s">
        <v>24</v>
      </c>
      <c r="J480" s="3" t="s">
        <v>24</v>
      </c>
      <c r="K480" s="3" t="s">
        <v>25</v>
      </c>
      <c r="L480" s="4">
        <v>0</v>
      </c>
      <c r="M480" s="3" t="s">
        <v>26</v>
      </c>
      <c r="N480" s="3" t="s">
        <v>24</v>
      </c>
      <c r="O480" s="4">
        <v>1</v>
      </c>
      <c r="P480" s="4">
        <v>8</v>
      </c>
      <c r="Q480" s="4">
        <v>1</v>
      </c>
    </row>
    <row r="481" spans="1:17" x14ac:dyDescent="0.25">
      <c r="A481" s="3" t="s">
        <v>18</v>
      </c>
      <c r="B481" s="3">
        <v>11543730</v>
      </c>
      <c r="C481" s="3" t="s">
        <v>521</v>
      </c>
      <c r="D481" s="3" t="s">
        <v>20</v>
      </c>
      <c r="E481" s="3" t="s">
        <v>21</v>
      </c>
      <c r="F481" s="3" t="s">
        <v>21</v>
      </c>
      <c r="G481" s="3" t="s">
        <v>410</v>
      </c>
      <c r="H481" s="3" t="s">
        <v>411</v>
      </c>
      <c r="I481" s="3" t="s">
        <v>24</v>
      </c>
      <c r="J481" s="3" t="s">
        <v>24</v>
      </c>
      <c r="K481" s="3" t="s">
        <v>25</v>
      </c>
      <c r="L481" s="4">
        <v>0</v>
      </c>
      <c r="M481" s="3" t="s">
        <v>26</v>
      </c>
      <c r="N481" s="3" t="s">
        <v>24</v>
      </c>
      <c r="O481" s="4">
        <v>1</v>
      </c>
      <c r="P481" s="4">
        <v>8</v>
      </c>
      <c r="Q481" s="4">
        <v>1</v>
      </c>
    </row>
    <row r="482" spans="1:17" x14ac:dyDescent="0.25">
      <c r="A482" s="3" t="s">
        <v>18</v>
      </c>
      <c r="B482" s="3">
        <v>11543736</v>
      </c>
      <c r="C482" s="3" t="s">
        <v>522</v>
      </c>
      <c r="D482" s="3" t="s">
        <v>20</v>
      </c>
      <c r="E482" s="3" t="s">
        <v>21</v>
      </c>
      <c r="F482" s="3" t="s">
        <v>21</v>
      </c>
      <c r="G482" s="3" t="s">
        <v>410</v>
      </c>
      <c r="H482" s="3" t="s">
        <v>411</v>
      </c>
      <c r="I482" s="3" t="s">
        <v>24</v>
      </c>
      <c r="J482" s="3" t="s">
        <v>24</v>
      </c>
      <c r="K482" s="3" t="s">
        <v>25</v>
      </c>
      <c r="L482" s="4">
        <v>0</v>
      </c>
      <c r="M482" s="3" t="s">
        <v>26</v>
      </c>
      <c r="N482" s="3" t="s">
        <v>24</v>
      </c>
      <c r="O482" s="4">
        <v>1</v>
      </c>
      <c r="P482" s="4">
        <v>4</v>
      </c>
      <c r="Q482" s="4">
        <v>1</v>
      </c>
    </row>
    <row r="483" spans="1:17" x14ac:dyDescent="0.25">
      <c r="A483" s="3" t="s">
        <v>18</v>
      </c>
      <c r="B483" s="3">
        <v>11543779</v>
      </c>
      <c r="C483" s="3" t="s">
        <v>523</v>
      </c>
      <c r="D483" s="3" t="s">
        <v>20</v>
      </c>
      <c r="E483" s="3" t="s">
        <v>21</v>
      </c>
      <c r="F483" s="3" t="s">
        <v>21</v>
      </c>
      <c r="G483" s="3" t="s">
        <v>410</v>
      </c>
      <c r="H483" s="3" t="s">
        <v>411</v>
      </c>
      <c r="I483" s="3" t="s">
        <v>24</v>
      </c>
      <c r="J483" s="3" t="s">
        <v>24</v>
      </c>
      <c r="K483" s="3" t="s">
        <v>25</v>
      </c>
      <c r="L483" s="4">
        <v>0</v>
      </c>
      <c r="M483" s="3" t="s">
        <v>26</v>
      </c>
      <c r="N483" s="3" t="s">
        <v>24</v>
      </c>
      <c r="O483" s="4">
        <v>1</v>
      </c>
      <c r="P483" s="4">
        <v>4</v>
      </c>
      <c r="Q483" s="4">
        <v>1</v>
      </c>
    </row>
    <row r="484" spans="1:17" x14ac:dyDescent="0.25">
      <c r="A484" s="3" t="s">
        <v>18</v>
      </c>
      <c r="B484" s="3">
        <v>11543783</v>
      </c>
      <c r="C484" s="3" t="s">
        <v>524</v>
      </c>
      <c r="D484" s="3" t="s">
        <v>20</v>
      </c>
      <c r="E484" s="3" t="s">
        <v>21</v>
      </c>
      <c r="F484" s="3" t="s">
        <v>21</v>
      </c>
      <c r="G484" s="3" t="s">
        <v>410</v>
      </c>
      <c r="H484" s="3" t="s">
        <v>411</v>
      </c>
      <c r="I484" s="3" t="s">
        <v>24</v>
      </c>
      <c r="J484" s="3" t="s">
        <v>24</v>
      </c>
      <c r="K484" s="3" t="s">
        <v>25</v>
      </c>
      <c r="L484" s="4">
        <v>0</v>
      </c>
      <c r="M484" s="3" t="s">
        <v>26</v>
      </c>
      <c r="N484" s="3" t="s">
        <v>24</v>
      </c>
      <c r="O484" s="4">
        <v>1</v>
      </c>
      <c r="P484" s="4">
        <v>4</v>
      </c>
      <c r="Q484" s="4">
        <v>1</v>
      </c>
    </row>
    <row r="485" spans="1:17" x14ac:dyDescent="0.25">
      <c r="A485" s="3" t="s">
        <v>18</v>
      </c>
      <c r="B485" s="3">
        <v>11543785</v>
      </c>
      <c r="C485" s="3" t="s">
        <v>525</v>
      </c>
      <c r="D485" s="3" t="s">
        <v>20</v>
      </c>
      <c r="E485" s="3" t="s">
        <v>21</v>
      </c>
      <c r="F485" s="3" t="s">
        <v>21</v>
      </c>
      <c r="G485" s="3" t="s">
        <v>410</v>
      </c>
      <c r="H485" s="3" t="s">
        <v>411</v>
      </c>
      <c r="I485" s="3" t="s">
        <v>24</v>
      </c>
      <c r="J485" s="3" t="s">
        <v>24</v>
      </c>
      <c r="K485" s="3" t="s">
        <v>25</v>
      </c>
      <c r="L485" s="4">
        <v>0</v>
      </c>
      <c r="M485" s="3" t="s">
        <v>26</v>
      </c>
      <c r="N485" s="3" t="s">
        <v>24</v>
      </c>
      <c r="O485" s="4">
        <v>1</v>
      </c>
      <c r="P485" s="4">
        <v>4</v>
      </c>
      <c r="Q485" s="4">
        <v>1</v>
      </c>
    </row>
    <row r="486" spans="1:17" x14ac:dyDescent="0.25">
      <c r="A486" s="3" t="s">
        <v>18</v>
      </c>
      <c r="B486" s="3">
        <v>11543799</v>
      </c>
      <c r="C486" s="3" t="s">
        <v>526</v>
      </c>
      <c r="D486" s="3" t="s">
        <v>20</v>
      </c>
      <c r="E486" s="3" t="s">
        <v>21</v>
      </c>
      <c r="F486" s="3" t="s">
        <v>21</v>
      </c>
      <c r="G486" s="3" t="s">
        <v>410</v>
      </c>
      <c r="H486" s="3" t="s">
        <v>411</v>
      </c>
      <c r="I486" s="3" t="s">
        <v>24</v>
      </c>
      <c r="J486" s="3" t="s">
        <v>24</v>
      </c>
      <c r="K486" s="3" t="s">
        <v>25</v>
      </c>
      <c r="L486" s="4">
        <v>0</v>
      </c>
      <c r="M486" s="3" t="s">
        <v>26</v>
      </c>
      <c r="N486" s="3" t="s">
        <v>24</v>
      </c>
      <c r="O486" s="4">
        <v>1</v>
      </c>
      <c r="P486" s="4">
        <v>4</v>
      </c>
      <c r="Q486" s="4">
        <v>1</v>
      </c>
    </row>
    <row r="487" spans="1:17" x14ac:dyDescent="0.25">
      <c r="A487" s="3" t="s">
        <v>18</v>
      </c>
      <c r="B487" s="3">
        <v>11543801</v>
      </c>
      <c r="C487" s="3" t="s">
        <v>527</v>
      </c>
      <c r="D487" s="3" t="s">
        <v>20</v>
      </c>
      <c r="E487" s="3" t="s">
        <v>21</v>
      </c>
      <c r="F487" s="3" t="s">
        <v>21</v>
      </c>
      <c r="G487" s="3" t="s">
        <v>410</v>
      </c>
      <c r="H487" s="3" t="s">
        <v>411</v>
      </c>
      <c r="I487" s="3" t="s">
        <v>24</v>
      </c>
      <c r="J487" s="3" t="s">
        <v>24</v>
      </c>
      <c r="K487" s="3" t="s">
        <v>25</v>
      </c>
      <c r="L487" s="4">
        <v>0</v>
      </c>
      <c r="M487" s="3" t="s">
        <v>26</v>
      </c>
      <c r="N487" s="3" t="s">
        <v>24</v>
      </c>
      <c r="O487" s="4">
        <v>1</v>
      </c>
      <c r="P487" s="4">
        <v>4</v>
      </c>
      <c r="Q487" s="4">
        <v>1</v>
      </c>
    </row>
    <row r="488" spans="1:17" x14ac:dyDescent="0.25">
      <c r="A488" s="3" t="s">
        <v>18</v>
      </c>
      <c r="B488" s="3">
        <v>11543971</v>
      </c>
      <c r="C488" s="3" t="s">
        <v>528</v>
      </c>
      <c r="D488" s="3" t="s">
        <v>20</v>
      </c>
      <c r="E488" s="3" t="s">
        <v>21</v>
      </c>
      <c r="F488" s="3" t="s">
        <v>21</v>
      </c>
      <c r="G488" s="3" t="s">
        <v>410</v>
      </c>
      <c r="H488" s="3" t="s">
        <v>411</v>
      </c>
      <c r="I488" s="3" t="s">
        <v>24</v>
      </c>
      <c r="J488" s="3" t="s">
        <v>24</v>
      </c>
      <c r="K488" s="3" t="s">
        <v>25</v>
      </c>
      <c r="L488" s="4">
        <v>0</v>
      </c>
      <c r="M488" s="3" t="s">
        <v>26</v>
      </c>
      <c r="N488" s="3" t="s">
        <v>24</v>
      </c>
      <c r="O488" s="4">
        <v>1</v>
      </c>
      <c r="P488" s="4">
        <v>10</v>
      </c>
      <c r="Q488" s="4">
        <v>1</v>
      </c>
    </row>
    <row r="489" spans="1:17" x14ac:dyDescent="0.25">
      <c r="A489" s="3" t="s">
        <v>18</v>
      </c>
      <c r="B489" s="3">
        <v>11544010</v>
      </c>
      <c r="C489" s="3" t="s">
        <v>529</v>
      </c>
      <c r="D489" s="3" t="s">
        <v>20</v>
      </c>
      <c r="E489" s="3" t="s">
        <v>21</v>
      </c>
      <c r="F489" s="3" t="s">
        <v>21</v>
      </c>
      <c r="G489" s="3" t="s">
        <v>410</v>
      </c>
      <c r="H489" s="3" t="s">
        <v>411</v>
      </c>
      <c r="I489" s="3" t="s">
        <v>24</v>
      </c>
      <c r="J489" s="3" t="s">
        <v>24</v>
      </c>
      <c r="K489" s="3" t="s">
        <v>25</v>
      </c>
      <c r="L489" s="4">
        <v>0</v>
      </c>
      <c r="M489" s="3" t="s">
        <v>26</v>
      </c>
      <c r="N489" s="3" t="s">
        <v>24</v>
      </c>
      <c r="O489" s="4">
        <v>1</v>
      </c>
      <c r="P489" s="4">
        <v>10</v>
      </c>
      <c r="Q489" s="4">
        <v>1</v>
      </c>
    </row>
    <row r="490" spans="1:17" x14ac:dyDescent="0.25">
      <c r="A490" s="3" t="s">
        <v>18</v>
      </c>
      <c r="B490" s="3">
        <v>11544119</v>
      </c>
      <c r="C490" s="3" t="s">
        <v>530</v>
      </c>
      <c r="D490" s="3" t="s">
        <v>20</v>
      </c>
      <c r="E490" s="3" t="s">
        <v>21</v>
      </c>
      <c r="F490" s="3" t="s">
        <v>21</v>
      </c>
      <c r="G490" s="3" t="s">
        <v>410</v>
      </c>
      <c r="H490" s="3" t="s">
        <v>411</v>
      </c>
      <c r="I490" s="3" t="s">
        <v>24</v>
      </c>
      <c r="J490" s="3" t="s">
        <v>24</v>
      </c>
      <c r="K490" s="3" t="s">
        <v>25</v>
      </c>
      <c r="L490" s="4">
        <v>0</v>
      </c>
      <c r="M490" s="3" t="s">
        <v>26</v>
      </c>
      <c r="N490" s="3" t="s">
        <v>24</v>
      </c>
      <c r="O490" s="4">
        <v>1</v>
      </c>
      <c r="P490" s="4">
        <v>3</v>
      </c>
      <c r="Q490" s="4">
        <v>1</v>
      </c>
    </row>
    <row r="491" spans="1:17" x14ac:dyDescent="0.25">
      <c r="A491" s="3" t="s">
        <v>18</v>
      </c>
      <c r="B491" s="3">
        <v>11544121</v>
      </c>
      <c r="C491" s="3" t="s">
        <v>531</v>
      </c>
      <c r="D491" s="3" t="s">
        <v>20</v>
      </c>
      <c r="E491" s="3" t="s">
        <v>21</v>
      </c>
      <c r="F491" s="3" t="s">
        <v>21</v>
      </c>
      <c r="G491" s="3" t="s">
        <v>410</v>
      </c>
      <c r="H491" s="3" t="s">
        <v>411</v>
      </c>
      <c r="I491" s="3" t="s">
        <v>24</v>
      </c>
      <c r="J491" s="3" t="s">
        <v>24</v>
      </c>
      <c r="K491" s="3" t="s">
        <v>25</v>
      </c>
      <c r="L491" s="4">
        <v>0</v>
      </c>
      <c r="M491" s="3" t="s">
        <v>26</v>
      </c>
      <c r="N491" s="3" t="s">
        <v>24</v>
      </c>
      <c r="O491" s="4">
        <v>1</v>
      </c>
      <c r="P491" s="4">
        <v>2</v>
      </c>
      <c r="Q491" s="4">
        <v>1</v>
      </c>
    </row>
    <row r="492" spans="1:17" x14ac:dyDescent="0.25">
      <c r="A492" s="3" t="s">
        <v>18</v>
      </c>
      <c r="B492" s="3">
        <v>11544123</v>
      </c>
      <c r="C492" s="3" t="s">
        <v>532</v>
      </c>
      <c r="D492" s="3" t="s">
        <v>20</v>
      </c>
      <c r="E492" s="3" t="s">
        <v>21</v>
      </c>
      <c r="F492" s="3" t="s">
        <v>21</v>
      </c>
      <c r="G492" s="3" t="s">
        <v>410</v>
      </c>
      <c r="H492" s="3" t="s">
        <v>411</v>
      </c>
      <c r="I492" s="3" t="s">
        <v>24</v>
      </c>
      <c r="J492" s="3" t="s">
        <v>24</v>
      </c>
      <c r="K492" s="3" t="s">
        <v>25</v>
      </c>
      <c r="L492" s="4">
        <v>0</v>
      </c>
      <c r="M492" s="3" t="s">
        <v>26</v>
      </c>
      <c r="N492" s="3" t="s">
        <v>24</v>
      </c>
      <c r="O492" s="4">
        <v>1</v>
      </c>
      <c r="P492" s="4">
        <v>3</v>
      </c>
      <c r="Q492" s="4">
        <v>1</v>
      </c>
    </row>
    <row r="493" spans="1:17" x14ac:dyDescent="0.25">
      <c r="A493" s="3" t="s">
        <v>18</v>
      </c>
      <c r="B493" s="3">
        <v>11544127</v>
      </c>
      <c r="C493" s="3" t="s">
        <v>533</v>
      </c>
      <c r="D493" s="3" t="s">
        <v>20</v>
      </c>
      <c r="E493" s="3" t="s">
        <v>21</v>
      </c>
      <c r="F493" s="3" t="s">
        <v>21</v>
      </c>
      <c r="G493" s="3" t="s">
        <v>410</v>
      </c>
      <c r="H493" s="3" t="s">
        <v>411</v>
      </c>
      <c r="I493" s="3" t="s">
        <v>24</v>
      </c>
      <c r="J493" s="3" t="s">
        <v>24</v>
      </c>
      <c r="K493" s="3" t="s">
        <v>25</v>
      </c>
      <c r="L493" s="4">
        <v>0</v>
      </c>
      <c r="M493" s="3" t="s">
        <v>26</v>
      </c>
      <c r="N493" s="3" t="s">
        <v>24</v>
      </c>
      <c r="O493" s="4">
        <v>1</v>
      </c>
      <c r="P493" s="4">
        <v>2</v>
      </c>
      <c r="Q493" s="4">
        <v>1</v>
      </c>
    </row>
    <row r="494" spans="1:17" x14ac:dyDescent="0.25">
      <c r="A494" s="3" t="s">
        <v>18</v>
      </c>
      <c r="B494" s="3">
        <v>11544158</v>
      </c>
      <c r="C494" s="3" t="s">
        <v>534</v>
      </c>
      <c r="D494" s="3" t="s">
        <v>20</v>
      </c>
      <c r="E494" s="3" t="s">
        <v>21</v>
      </c>
      <c r="F494" s="3" t="s">
        <v>21</v>
      </c>
      <c r="G494" s="3" t="s">
        <v>410</v>
      </c>
      <c r="H494" s="3" t="s">
        <v>411</v>
      </c>
      <c r="I494" s="3" t="s">
        <v>24</v>
      </c>
      <c r="J494" s="3" t="s">
        <v>24</v>
      </c>
      <c r="K494" s="3" t="s">
        <v>25</v>
      </c>
      <c r="L494" s="4">
        <v>0</v>
      </c>
      <c r="M494" s="3" t="s">
        <v>26</v>
      </c>
      <c r="N494" s="3" t="s">
        <v>24</v>
      </c>
      <c r="O494" s="4">
        <v>1</v>
      </c>
      <c r="P494" s="4">
        <v>3</v>
      </c>
      <c r="Q494" s="4">
        <v>1</v>
      </c>
    </row>
    <row r="495" spans="1:17" x14ac:dyDescent="0.25">
      <c r="A495" s="3" t="s">
        <v>18</v>
      </c>
      <c r="B495" s="3">
        <v>11544231</v>
      </c>
      <c r="C495" s="3" t="s">
        <v>535</v>
      </c>
      <c r="D495" s="3" t="s">
        <v>20</v>
      </c>
      <c r="E495" s="3" t="s">
        <v>21</v>
      </c>
      <c r="F495" s="3" t="s">
        <v>21</v>
      </c>
      <c r="G495" s="3" t="s">
        <v>410</v>
      </c>
      <c r="H495" s="3" t="s">
        <v>411</v>
      </c>
      <c r="I495" s="3" t="s">
        <v>24</v>
      </c>
      <c r="J495" s="3" t="s">
        <v>24</v>
      </c>
      <c r="K495" s="3" t="s">
        <v>25</v>
      </c>
      <c r="L495" s="4">
        <v>0</v>
      </c>
      <c r="M495" s="3" t="s">
        <v>26</v>
      </c>
      <c r="N495" s="3" t="s">
        <v>24</v>
      </c>
      <c r="O495" s="4">
        <v>1</v>
      </c>
      <c r="P495" s="4">
        <v>2</v>
      </c>
      <c r="Q495" s="4">
        <v>1</v>
      </c>
    </row>
    <row r="496" spans="1:17" x14ac:dyDescent="0.25">
      <c r="A496" s="3" t="s">
        <v>18</v>
      </c>
      <c r="B496" s="3">
        <v>11544684</v>
      </c>
      <c r="C496" s="3" t="s">
        <v>536</v>
      </c>
      <c r="D496" s="3" t="s">
        <v>20</v>
      </c>
      <c r="E496" s="3" t="s">
        <v>21</v>
      </c>
      <c r="F496" s="3" t="s">
        <v>21</v>
      </c>
      <c r="G496" s="3" t="s">
        <v>22</v>
      </c>
      <c r="H496" s="3" t="s">
        <v>23</v>
      </c>
      <c r="I496" s="3" t="s">
        <v>24</v>
      </c>
      <c r="J496" s="3" t="s">
        <v>24</v>
      </c>
      <c r="K496" s="3" t="s">
        <v>25</v>
      </c>
      <c r="L496" s="4">
        <v>0</v>
      </c>
      <c r="M496" s="3" t="s">
        <v>26</v>
      </c>
      <c r="N496" s="3" t="s">
        <v>24</v>
      </c>
      <c r="O496" s="4">
        <v>1</v>
      </c>
      <c r="P496" s="4">
        <v>4</v>
      </c>
      <c r="Q496" s="4">
        <v>1</v>
      </c>
    </row>
    <row r="497" spans="1:17" x14ac:dyDescent="0.25">
      <c r="A497" s="3" t="s">
        <v>18</v>
      </c>
      <c r="B497" s="3">
        <v>11545364</v>
      </c>
      <c r="C497" s="3" t="s">
        <v>537</v>
      </c>
      <c r="D497" s="3" t="s">
        <v>20</v>
      </c>
      <c r="E497" s="3" t="s">
        <v>21</v>
      </c>
      <c r="F497" s="3" t="s">
        <v>21</v>
      </c>
      <c r="G497" s="3" t="s">
        <v>410</v>
      </c>
      <c r="H497" s="3" t="s">
        <v>411</v>
      </c>
      <c r="I497" s="3" t="s">
        <v>24</v>
      </c>
      <c r="J497" s="3" t="s">
        <v>24</v>
      </c>
      <c r="K497" s="3" t="s">
        <v>25</v>
      </c>
      <c r="L497" s="4">
        <v>0</v>
      </c>
      <c r="M497" s="3" t="s">
        <v>26</v>
      </c>
      <c r="N497" s="3" t="s">
        <v>24</v>
      </c>
      <c r="O497" s="4">
        <v>1</v>
      </c>
      <c r="P497" s="4">
        <v>2</v>
      </c>
      <c r="Q497" s="4">
        <v>1</v>
      </c>
    </row>
    <row r="498" spans="1:17" x14ac:dyDescent="0.25">
      <c r="A498" s="3" t="s">
        <v>18</v>
      </c>
      <c r="B498" s="3">
        <v>11545383</v>
      </c>
      <c r="C498" s="3" t="s">
        <v>538</v>
      </c>
      <c r="D498" s="3" t="s">
        <v>20</v>
      </c>
      <c r="E498" s="3" t="s">
        <v>21</v>
      </c>
      <c r="F498" s="3" t="s">
        <v>21</v>
      </c>
      <c r="G498" s="3" t="s">
        <v>410</v>
      </c>
      <c r="H498" s="3" t="s">
        <v>411</v>
      </c>
      <c r="I498" s="3" t="s">
        <v>24</v>
      </c>
      <c r="J498" s="3" t="s">
        <v>24</v>
      </c>
      <c r="K498" s="3" t="s">
        <v>25</v>
      </c>
      <c r="L498" s="4">
        <v>0</v>
      </c>
      <c r="M498" s="3" t="s">
        <v>26</v>
      </c>
      <c r="N498" s="3" t="s">
        <v>24</v>
      </c>
      <c r="O498" s="4">
        <v>1</v>
      </c>
      <c r="P498" s="4">
        <v>9</v>
      </c>
      <c r="Q498" s="4">
        <v>1</v>
      </c>
    </row>
    <row r="499" spans="1:17" x14ac:dyDescent="0.25">
      <c r="A499" s="3" t="s">
        <v>18</v>
      </c>
      <c r="B499" s="3">
        <v>11545415</v>
      </c>
      <c r="C499" s="3" t="s">
        <v>539</v>
      </c>
      <c r="D499" s="3" t="s">
        <v>20</v>
      </c>
      <c r="E499" s="3" t="s">
        <v>21</v>
      </c>
      <c r="F499" s="3" t="s">
        <v>21</v>
      </c>
      <c r="G499" s="3" t="s">
        <v>410</v>
      </c>
      <c r="H499" s="3" t="s">
        <v>411</v>
      </c>
      <c r="I499" s="3" t="s">
        <v>24</v>
      </c>
      <c r="J499" s="3" t="s">
        <v>24</v>
      </c>
      <c r="K499" s="3" t="s">
        <v>25</v>
      </c>
      <c r="L499" s="4">
        <v>0</v>
      </c>
      <c r="M499" s="3" t="s">
        <v>26</v>
      </c>
      <c r="N499" s="3" t="s">
        <v>24</v>
      </c>
      <c r="O499" s="4">
        <v>1</v>
      </c>
      <c r="P499" s="4">
        <v>8</v>
      </c>
      <c r="Q499" s="4">
        <v>1</v>
      </c>
    </row>
    <row r="500" spans="1:17" x14ac:dyDescent="0.25">
      <c r="A500" s="3" t="s">
        <v>18</v>
      </c>
      <c r="B500" s="3">
        <v>11546086</v>
      </c>
      <c r="C500" s="3" t="s">
        <v>540</v>
      </c>
      <c r="D500" s="3" t="s">
        <v>20</v>
      </c>
      <c r="E500" s="3" t="s">
        <v>21</v>
      </c>
      <c r="F500" s="3" t="s">
        <v>21</v>
      </c>
      <c r="G500" s="3" t="s">
        <v>410</v>
      </c>
      <c r="H500" s="3" t="s">
        <v>411</v>
      </c>
      <c r="I500" s="3" t="s">
        <v>24</v>
      </c>
      <c r="J500" s="3" t="s">
        <v>24</v>
      </c>
      <c r="K500" s="3" t="s">
        <v>25</v>
      </c>
      <c r="L500" s="4">
        <v>0</v>
      </c>
      <c r="M500" s="3" t="s">
        <v>26</v>
      </c>
      <c r="N500" s="3" t="s">
        <v>24</v>
      </c>
      <c r="O500" s="4">
        <v>1</v>
      </c>
      <c r="P500" s="4">
        <v>3</v>
      </c>
      <c r="Q500" s="4">
        <v>1</v>
      </c>
    </row>
    <row r="501" spans="1:17" x14ac:dyDescent="0.25">
      <c r="A501" s="3" t="s">
        <v>18</v>
      </c>
      <c r="B501" s="3">
        <v>11571503</v>
      </c>
      <c r="C501" s="3" t="s">
        <v>541</v>
      </c>
      <c r="D501" s="3" t="s">
        <v>20</v>
      </c>
      <c r="E501" s="3" t="s">
        <v>21</v>
      </c>
      <c r="F501" s="3" t="s">
        <v>21</v>
      </c>
      <c r="G501" s="3" t="s">
        <v>42</v>
      </c>
      <c r="H501" s="3" t="s">
        <v>43</v>
      </c>
      <c r="I501" s="3" t="s">
        <v>24</v>
      </c>
      <c r="J501" s="3" t="s">
        <v>24</v>
      </c>
      <c r="K501" s="3" t="s">
        <v>25</v>
      </c>
      <c r="L501" s="4">
        <v>0</v>
      </c>
      <c r="M501" s="3" t="s">
        <v>26</v>
      </c>
      <c r="N501" s="3" t="s">
        <v>24</v>
      </c>
      <c r="O501" s="4">
        <v>1</v>
      </c>
      <c r="P501" s="4">
        <v>8</v>
      </c>
      <c r="Q501" s="4">
        <v>1</v>
      </c>
    </row>
    <row r="502" spans="1:17" x14ac:dyDescent="0.25">
      <c r="A502" s="3" t="s">
        <v>18</v>
      </c>
      <c r="B502" s="3">
        <v>11571505</v>
      </c>
      <c r="C502" s="3" t="s">
        <v>542</v>
      </c>
      <c r="D502" s="3" t="s">
        <v>20</v>
      </c>
      <c r="E502" s="3" t="s">
        <v>21</v>
      </c>
      <c r="F502" s="3" t="s">
        <v>21</v>
      </c>
      <c r="G502" s="3" t="s">
        <v>22</v>
      </c>
      <c r="H502" s="3" t="s">
        <v>23</v>
      </c>
      <c r="I502" s="3" t="s">
        <v>24</v>
      </c>
      <c r="J502" s="3" t="s">
        <v>24</v>
      </c>
      <c r="K502" s="3" t="s">
        <v>25</v>
      </c>
      <c r="L502" s="4">
        <v>0</v>
      </c>
      <c r="M502" s="3" t="s">
        <v>26</v>
      </c>
      <c r="N502" s="3" t="s">
        <v>24</v>
      </c>
      <c r="O502" s="4">
        <v>1</v>
      </c>
      <c r="P502" s="4">
        <v>4</v>
      </c>
      <c r="Q502" s="4">
        <v>1</v>
      </c>
    </row>
    <row r="503" spans="1:17" x14ac:dyDescent="0.25">
      <c r="A503" s="3" t="s">
        <v>18</v>
      </c>
      <c r="B503" s="3">
        <v>11571506</v>
      </c>
      <c r="C503" s="3" t="s">
        <v>543</v>
      </c>
      <c r="D503" s="3" t="s">
        <v>20</v>
      </c>
      <c r="E503" s="3" t="s">
        <v>21</v>
      </c>
      <c r="F503" s="3" t="s">
        <v>21</v>
      </c>
      <c r="G503" s="3" t="s">
        <v>22</v>
      </c>
      <c r="H503" s="3" t="s">
        <v>23</v>
      </c>
      <c r="I503" s="3" t="s">
        <v>24</v>
      </c>
      <c r="J503" s="3" t="s">
        <v>24</v>
      </c>
      <c r="K503" s="3" t="s">
        <v>25</v>
      </c>
      <c r="L503" s="4">
        <v>0</v>
      </c>
      <c r="M503" s="3" t="s">
        <v>26</v>
      </c>
      <c r="N503" s="3" t="s">
        <v>24</v>
      </c>
      <c r="O503" s="4">
        <v>1</v>
      </c>
      <c r="P503" s="4">
        <v>4</v>
      </c>
      <c r="Q503" s="4">
        <v>1</v>
      </c>
    </row>
    <row r="504" spans="1:17" x14ac:dyDescent="0.25">
      <c r="A504" s="3" t="s">
        <v>18</v>
      </c>
      <c r="B504" s="3">
        <v>11571558</v>
      </c>
      <c r="C504" s="3" t="s">
        <v>544</v>
      </c>
      <c r="D504" s="3" t="s">
        <v>20</v>
      </c>
      <c r="E504" s="3" t="s">
        <v>21</v>
      </c>
      <c r="F504" s="3" t="s">
        <v>21</v>
      </c>
      <c r="G504" s="3" t="s">
        <v>36</v>
      </c>
      <c r="H504" s="3" t="s">
        <v>37</v>
      </c>
      <c r="I504" s="3" t="s">
        <v>24</v>
      </c>
      <c r="J504" s="3" t="s">
        <v>24</v>
      </c>
      <c r="K504" s="3" t="s">
        <v>25</v>
      </c>
      <c r="L504" s="4">
        <v>0</v>
      </c>
      <c r="M504" s="3" t="s">
        <v>26</v>
      </c>
      <c r="N504" s="3" t="s">
        <v>24</v>
      </c>
      <c r="O504" s="4">
        <v>1</v>
      </c>
      <c r="P504" s="4">
        <v>10</v>
      </c>
      <c r="Q504" s="4">
        <v>1</v>
      </c>
    </row>
    <row r="505" spans="1:17" x14ac:dyDescent="0.25">
      <c r="A505" s="3" t="s">
        <v>18</v>
      </c>
      <c r="B505" s="3">
        <v>11571562</v>
      </c>
      <c r="C505" s="3" t="s">
        <v>545</v>
      </c>
      <c r="D505" s="3" t="s">
        <v>20</v>
      </c>
      <c r="E505" s="3" t="s">
        <v>21</v>
      </c>
      <c r="F505" s="3" t="s">
        <v>21</v>
      </c>
      <c r="G505" s="3" t="s">
        <v>36</v>
      </c>
      <c r="H505" s="3" t="s">
        <v>37</v>
      </c>
      <c r="I505" s="3" t="s">
        <v>24</v>
      </c>
      <c r="J505" s="3" t="s">
        <v>24</v>
      </c>
      <c r="K505" s="3" t="s">
        <v>25</v>
      </c>
      <c r="L505" s="4">
        <v>0</v>
      </c>
      <c r="M505" s="3" t="s">
        <v>26</v>
      </c>
      <c r="N505" s="3" t="s">
        <v>24</v>
      </c>
      <c r="O505" s="4">
        <v>1</v>
      </c>
      <c r="P505" s="4">
        <v>10</v>
      </c>
      <c r="Q505" s="4">
        <v>1</v>
      </c>
    </row>
    <row r="506" spans="1:17" x14ac:dyDescent="0.25">
      <c r="A506" s="3" t="s">
        <v>18</v>
      </c>
      <c r="B506" s="3">
        <v>11571571</v>
      </c>
      <c r="C506" s="3" t="s">
        <v>546</v>
      </c>
      <c r="D506" s="3" t="s">
        <v>20</v>
      </c>
      <c r="E506" s="3" t="s">
        <v>21</v>
      </c>
      <c r="F506" s="3" t="s">
        <v>21</v>
      </c>
      <c r="G506" s="3" t="s">
        <v>233</v>
      </c>
      <c r="H506" s="3" t="s">
        <v>234</v>
      </c>
      <c r="I506" s="3" t="s">
        <v>24</v>
      </c>
      <c r="J506" s="3" t="s">
        <v>24</v>
      </c>
      <c r="K506" s="3" t="s">
        <v>25</v>
      </c>
      <c r="L506" s="4">
        <v>0</v>
      </c>
      <c r="M506" s="3" t="s">
        <v>26</v>
      </c>
      <c r="N506" s="3" t="s">
        <v>24</v>
      </c>
      <c r="O506" s="4">
        <v>1</v>
      </c>
      <c r="P506" s="4">
        <v>2</v>
      </c>
      <c r="Q506" s="4">
        <v>1</v>
      </c>
    </row>
    <row r="507" spans="1:17" x14ac:dyDescent="0.25">
      <c r="A507" s="3" t="s">
        <v>18</v>
      </c>
      <c r="B507" s="3">
        <v>11571573</v>
      </c>
      <c r="C507" s="3" t="s">
        <v>547</v>
      </c>
      <c r="D507" s="3" t="s">
        <v>20</v>
      </c>
      <c r="E507" s="3" t="s">
        <v>21</v>
      </c>
      <c r="F507" s="3" t="s">
        <v>21</v>
      </c>
      <c r="G507" s="3" t="s">
        <v>233</v>
      </c>
      <c r="H507" s="3" t="s">
        <v>234</v>
      </c>
      <c r="I507" s="3" t="s">
        <v>24</v>
      </c>
      <c r="J507" s="3" t="s">
        <v>24</v>
      </c>
      <c r="K507" s="3" t="s">
        <v>25</v>
      </c>
      <c r="L507" s="4">
        <v>0</v>
      </c>
      <c r="M507" s="3" t="s">
        <v>26</v>
      </c>
      <c r="N507" s="3" t="s">
        <v>24</v>
      </c>
      <c r="O507" s="4">
        <v>1</v>
      </c>
      <c r="P507" s="4">
        <v>2</v>
      </c>
      <c r="Q507" s="4">
        <v>1</v>
      </c>
    </row>
    <row r="508" spans="1:17" x14ac:dyDescent="0.25">
      <c r="A508" s="3" t="s">
        <v>18</v>
      </c>
      <c r="B508" s="3">
        <v>11588000</v>
      </c>
      <c r="C508" s="3" t="s">
        <v>548</v>
      </c>
      <c r="D508" s="3" t="s">
        <v>20</v>
      </c>
      <c r="E508" s="3" t="s">
        <v>21</v>
      </c>
      <c r="F508" s="3" t="s">
        <v>21</v>
      </c>
      <c r="G508" s="3" t="s">
        <v>30</v>
      </c>
      <c r="H508" s="3" t="s">
        <v>31</v>
      </c>
      <c r="I508" s="3" t="s">
        <v>24</v>
      </c>
      <c r="J508" s="3" t="s">
        <v>24</v>
      </c>
      <c r="K508" s="3" t="s">
        <v>25</v>
      </c>
      <c r="L508" s="4">
        <v>0</v>
      </c>
      <c r="M508" s="3" t="s">
        <v>26</v>
      </c>
      <c r="N508" s="3" t="s">
        <v>24</v>
      </c>
      <c r="O508" s="4">
        <v>1</v>
      </c>
      <c r="P508" s="4">
        <v>8</v>
      </c>
      <c r="Q508" s="4">
        <v>1</v>
      </c>
    </row>
    <row r="509" spans="1:17" x14ac:dyDescent="0.25">
      <c r="A509" s="3" t="s">
        <v>18</v>
      </c>
      <c r="B509" s="3">
        <v>11588002</v>
      </c>
      <c r="C509" s="3" t="s">
        <v>549</v>
      </c>
      <c r="D509" s="3" t="s">
        <v>20</v>
      </c>
      <c r="E509" s="3" t="s">
        <v>21</v>
      </c>
      <c r="F509" s="3" t="s">
        <v>21</v>
      </c>
      <c r="G509" s="3" t="s">
        <v>42</v>
      </c>
      <c r="H509" s="3" t="s">
        <v>43</v>
      </c>
      <c r="I509" s="3" t="s">
        <v>24</v>
      </c>
      <c r="J509" s="3" t="s">
        <v>24</v>
      </c>
      <c r="K509" s="3" t="s">
        <v>25</v>
      </c>
      <c r="L509" s="4">
        <v>0</v>
      </c>
      <c r="M509" s="3" t="s">
        <v>26</v>
      </c>
      <c r="N509" s="3" t="s">
        <v>24</v>
      </c>
      <c r="O509" s="4">
        <v>1</v>
      </c>
      <c r="P509" s="4">
        <v>8</v>
      </c>
      <c r="Q509" s="4">
        <v>1</v>
      </c>
    </row>
    <row r="510" spans="1:17" x14ac:dyDescent="0.25">
      <c r="A510" s="3" t="s">
        <v>18</v>
      </c>
      <c r="B510" s="3">
        <v>11588003</v>
      </c>
      <c r="C510" s="3" t="s">
        <v>550</v>
      </c>
      <c r="D510" s="3" t="s">
        <v>20</v>
      </c>
      <c r="E510" s="3" t="s">
        <v>21</v>
      </c>
      <c r="F510" s="3" t="s">
        <v>21</v>
      </c>
      <c r="G510" s="3" t="s">
        <v>22</v>
      </c>
      <c r="H510" s="3" t="s">
        <v>23</v>
      </c>
      <c r="I510" s="3" t="s">
        <v>24</v>
      </c>
      <c r="J510" s="3" t="s">
        <v>24</v>
      </c>
      <c r="K510" s="3" t="s">
        <v>25</v>
      </c>
      <c r="L510" s="4">
        <v>0</v>
      </c>
      <c r="M510" s="3" t="s">
        <v>26</v>
      </c>
      <c r="N510" s="3" t="s">
        <v>24</v>
      </c>
      <c r="O510" s="4">
        <v>1</v>
      </c>
      <c r="P510" s="4">
        <v>4</v>
      </c>
      <c r="Q510" s="4">
        <v>1</v>
      </c>
    </row>
    <row r="511" spans="1:17" x14ac:dyDescent="0.25">
      <c r="A511" s="3" t="s">
        <v>18</v>
      </c>
      <c r="B511" s="3">
        <v>11588005</v>
      </c>
      <c r="C511" s="3" t="s">
        <v>551</v>
      </c>
      <c r="D511" s="3" t="s">
        <v>20</v>
      </c>
      <c r="E511" s="3" t="s">
        <v>21</v>
      </c>
      <c r="F511" s="3" t="s">
        <v>21</v>
      </c>
      <c r="G511" s="3" t="s">
        <v>22</v>
      </c>
      <c r="H511" s="3" t="s">
        <v>23</v>
      </c>
      <c r="I511" s="3" t="s">
        <v>24</v>
      </c>
      <c r="J511" s="3" t="s">
        <v>24</v>
      </c>
      <c r="K511" s="3" t="s">
        <v>25</v>
      </c>
      <c r="L511" s="4">
        <v>0</v>
      </c>
      <c r="M511" s="3" t="s">
        <v>26</v>
      </c>
      <c r="N511" s="3" t="s">
        <v>24</v>
      </c>
      <c r="O511" s="4">
        <v>1</v>
      </c>
      <c r="P511" s="4">
        <v>4</v>
      </c>
      <c r="Q511" s="4">
        <v>1</v>
      </c>
    </row>
    <row r="512" spans="1:17" x14ac:dyDescent="0.25">
      <c r="A512" s="3" t="s">
        <v>18</v>
      </c>
      <c r="B512" s="3">
        <v>11588029</v>
      </c>
      <c r="C512" s="3" t="s">
        <v>552</v>
      </c>
      <c r="D512" s="3" t="s">
        <v>20</v>
      </c>
      <c r="E512" s="3" t="s">
        <v>21</v>
      </c>
      <c r="F512" s="3" t="s">
        <v>21</v>
      </c>
      <c r="G512" s="3" t="s">
        <v>233</v>
      </c>
      <c r="H512" s="3" t="s">
        <v>234</v>
      </c>
      <c r="I512" s="3" t="s">
        <v>24</v>
      </c>
      <c r="J512" s="3" t="s">
        <v>24</v>
      </c>
      <c r="K512" s="3" t="s">
        <v>25</v>
      </c>
      <c r="L512" s="4">
        <v>0</v>
      </c>
      <c r="M512" s="3" t="s">
        <v>26</v>
      </c>
      <c r="N512" s="3" t="s">
        <v>24</v>
      </c>
      <c r="O512" s="4">
        <v>1</v>
      </c>
      <c r="P512" s="4">
        <v>2</v>
      </c>
      <c r="Q512" s="4">
        <v>1</v>
      </c>
    </row>
    <row r="513" spans="1:17" x14ac:dyDescent="0.25">
      <c r="A513" s="3" t="s">
        <v>18</v>
      </c>
      <c r="B513" s="3">
        <v>11594207</v>
      </c>
      <c r="C513" s="3" t="s">
        <v>553</v>
      </c>
      <c r="D513" s="3" t="s">
        <v>20</v>
      </c>
      <c r="E513" s="3" t="s">
        <v>21</v>
      </c>
      <c r="F513" s="3" t="s">
        <v>21</v>
      </c>
      <c r="G513" s="3" t="s">
        <v>233</v>
      </c>
      <c r="H513" s="3" t="s">
        <v>234</v>
      </c>
      <c r="I513" s="3" t="s">
        <v>24</v>
      </c>
      <c r="J513" s="3" t="s">
        <v>24</v>
      </c>
      <c r="K513" s="3" t="s">
        <v>25</v>
      </c>
      <c r="L513" s="4">
        <v>0</v>
      </c>
      <c r="M513" s="3" t="s">
        <v>26</v>
      </c>
      <c r="N513" s="3" t="s">
        <v>24</v>
      </c>
      <c r="O513" s="4">
        <v>1</v>
      </c>
      <c r="P513" s="4">
        <v>2</v>
      </c>
      <c r="Q513" s="4">
        <v>1</v>
      </c>
    </row>
    <row r="514" spans="1:17" x14ac:dyDescent="0.25">
      <c r="A514" s="3" t="s">
        <v>18</v>
      </c>
      <c r="B514" s="3">
        <v>11594304</v>
      </c>
      <c r="C514" s="3" t="s">
        <v>554</v>
      </c>
      <c r="D514" s="3" t="s">
        <v>20</v>
      </c>
      <c r="E514" s="3" t="s">
        <v>21</v>
      </c>
      <c r="F514" s="3" t="s">
        <v>21</v>
      </c>
      <c r="G514" s="3" t="s">
        <v>233</v>
      </c>
      <c r="H514" s="3" t="s">
        <v>234</v>
      </c>
      <c r="I514" s="3" t="s">
        <v>24</v>
      </c>
      <c r="J514" s="3" t="s">
        <v>24</v>
      </c>
      <c r="K514" s="3" t="s">
        <v>25</v>
      </c>
      <c r="L514" s="4">
        <v>0</v>
      </c>
      <c r="M514" s="3" t="s">
        <v>26</v>
      </c>
      <c r="N514" s="3" t="s">
        <v>24</v>
      </c>
      <c r="O514" s="4">
        <v>1</v>
      </c>
      <c r="P514" s="4">
        <v>2</v>
      </c>
      <c r="Q514" s="4">
        <v>1</v>
      </c>
    </row>
    <row r="515" spans="1:17" x14ac:dyDescent="0.25">
      <c r="A515" s="3" t="s">
        <v>18</v>
      </c>
      <c r="B515" s="3">
        <v>11594306</v>
      </c>
      <c r="C515" s="3" t="s">
        <v>555</v>
      </c>
      <c r="D515" s="3" t="s">
        <v>20</v>
      </c>
      <c r="E515" s="3" t="s">
        <v>21</v>
      </c>
      <c r="F515" s="3" t="s">
        <v>21</v>
      </c>
      <c r="G515" s="3" t="s">
        <v>233</v>
      </c>
      <c r="H515" s="3" t="s">
        <v>234</v>
      </c>
      <c r="I515" s="3" t="s">
        <v>24</v>
      </c>
      <c r="J515" s="3" t="s">
        <v>24</v>
      </c>
      <c r="K515" s="3" t="s">
        <v>25</v>
      </c>
      <c r="L515" s="4">
        <v>0</v>
      </c>
      <c r="M515" s="3" t="s">
        <v>26</v>
      </c>
      <c r="N515" s="3" t="s">
        <v>24</v>
      </c>
      <c r="O515" s="4">
        <v>1</v>
      </c>
      <c r="P515" s="4">
        <v>2</v>
      </c>
      <c r="Q515" s="4">
        <v>1</v>
      </c>
    </row>
    <row r="516" spans="1:17" x14ac:dyDescent="0.25">
      <c r="A516" s="3" t="s">
        <v>18</v>
      </c>
      <c r="B516" s="3">
        <v>11594307</v>
      </c>
      <c r="C516" s="3" t="s">
        <v>556</v>
      </c>
      <c r="D516" s="3" t="s">
        <v>20</v>
      </c>
      <c r="E516" s="3" t="s">
        <v>21</v>
      </c>
      <c r="F516" s="3" t="s">
        <v>21</v>
      </c>
      <c r="G516" s="3" t="s">
        <v>233</v>
      </c>
      <c r="H516" s="3" t="s">
        <v>234</v>
      </c>
      <c r="I516" s="3" t="s">
        <v>24</v>
      </c>
      <c r="J516" s="3" t="s">
        <v>24</v>
      </c>
      <c r="K516" s="3" t="s">
        <v>25</v>
      </c>
      <c r="L516" s="4">
        <v>0</v>
      </c>
      <c r="M516" s="3" t="s">
        <v>26</v>
      </c>
      <c r="N516" s="3" t="s">
        <v>24</v>
      </c>
      <c r="O516" s="4">
        <v>1</v>
      </c>
      <c r="P516" s="4">
        <v>2</v>
      </c>
      <c r="Q516" s="4">
        <v>1</v>
      </c>
    </row>
    <row r="517" spans="1:17" x14ac:dyDescent="0.25">
      <c r="A517" s="3" t="s">
        <v>18</v>
      </c>
      <c r="B517" s="3">
        <v>11597543</v>
      </c>
      <c r="C517" s="3" t="s">
        <v>557</v>
      </c>
      <c r="D517" s="3" t="s">
        <v>20</v>
      </c>
      <c r="E517" s="3" t="s">
        <v>21</v>
      </c>
      <c r="F517" s="3" t="s">
        <v>21</v>
      </c>
      <c r="G517" s="3" t="s">
        <v>42</v>
      </c>
      <c r="H517" s="3" t="s">
        <v>43</v>
      </c>
      <c r="I517" s="3" t="s">
        <v>24</v>
      </c>
      <c r="J517" s="3" t="s">
        <v>24</v>
      </c>
      <c r="K517" s="3" t="s">
        <v>25</v>
      </c>
      <c r="L517" s="4">
        <v>0</v>
      </c>
      <c r="M517" s="3" t="s">
        <v>26</v>
      </c>
      <c r="N517" s="3" t="s">
        <v>24</v>
      </c>
      <c r="O517" s="4">
        <v>1</v>
      </c>
      <c r="P517" s="4">
        <v>8</v>
      </c>
      <c r="Q517" s="4">
        <v>1</v>
      </c>
    </row>
    <row r="518" spans="1:17" x14ac:dyDescent="0.25">
      <c r="A518" s="3" t="s">
        <v>18</v>
      </c>
      <c r="B518" s="3">
        <v>11597544</v>
      </c>
      <c r="C518" s="3" t="s">
        <v>558</v>
      </c>
      <c r="D518" s="3" t="s">
        <v>20</v>
      </c>
      <c r="E518" s="3" t="s">
        <v>21</v>
      </c>
      <c r="F518" s="3" t="s">
        <v>21</v>
      </c>
      <c r="G518" s="3" t="s">
        <v>42</v>
      </c>
      <c r="H518" s="3" t="s">
        <v>43</v>
      </c>
      <c r="I518" s="3" t="s">
        <v>24</v>
      </c>
      <c r="J518" s="3" t="s">
        <v>24</v>
      </c>
      <c r="K518" s="3" t="s">
        <v>25</v>
      </c>
      <c r="L518" s="4">
        <v>0</v>
      </c>
      <c r="M518" s="3" t="s">
        <v>26</v>
      </c>
      <c r="N518" s="3" t="s">
        <v>24</v>
      </c>
      <c r="O518" s="4">
        <v>1</v>
      </c>
      <c r="P518" s="4">
        <v>8</v>
      </c>
      <c r="Q518" s="4">
        <v>1</v>
      </c>
    </row>
    <row r="519" spans="1:17" x14ac:dyDescent="0.25">
      <c r="A519" s="3" t="s">
        <v>18</v>
      </c>
      <c r="B519" s="3">
        <v>11597545</v>
      </c>
      <c r="C519" s="3" t="s">
        <v>559</v>
      </c>
      <c r="D519" s="3" t="s">
        <v>20</v>
      </c>
      <c r="E519" s="3" t="s">
        <v>21</v>
      </c>
      <c r="F519" s="3" t="s">
        <v>21</v>
      </c>
      <c r="G519" s="3" t="s">
        <v>22</v>
      </c>
      <c r="H519" s="3" t="s">
        <v>23</v>
      </c>
      <c r="I519" s="3" t="s">
        <v>24</v>
      </c>
      <c r="J519" s="3" t="s">
        <v>24</v>
      </c>
      <c r="K519" s="3" t="s">
        <v>25</v>
      </c>
      <c r="L519" s="4">
        <v>0</v>
      </c>
      <c r="M519" s="3" t="s">
        <v>26</v>
      </c>
      <c r="N519" s="3" t="s">
        <v>24</v>
      </c>
      <c r="O519" s="4">
        <v>1</v>
      </c>
      <c r="P519" s="4">
        <v>4</v>
      </c>
      <c r="Q519" s="4">
        <v>1</v>
      </c>
    </row>
    <row r="520" spans="1:17" x14ac:dyDescent="0.25">
      <c r="A520" s="3" t="s">
        <v>18</v>
      </c>
      <c r="B520" s="3">
        <v>11597598</v>
      </c>
      <c r="C520" s="3" t="s">
        <v>560</v>
      </c>
      <c r="D520" s="3" t="s">
        <v>20</v>
      </c>
      <c r="E520" s="3" t="s">
        <v>21</v>
      </c>
      <c r="F520" s="3" t="s">
        <v>21</v>
      </c>
      <c r="G520" s="3" t="s">
        <v>233</v>
      </c>
      <c r="H520" s="3" t="s">
        <v>234</v>
      </c>
      <c r="I520" s="3" t="s">
        <v>24</v>
      </c>
      <c r="J520" s="3" t="s">
        <v>24</v>
      </c>
      <c r="K520" s="3" t="s">
        <v>25</v>
      </c>
      <c r="L520" s="4">
        <v>0</v>
      </c>
      <c r="M520" s="3" t="s">
        <v>26</v>
      </c>
      <c r="N520" s="3" t="s">
        <v>24</v>
      </c>
      <c r="O520" s="4">
        <v>1</v>
      </c>
      <c r="P520" s="4">
        <v>2</v>
      </c>
      <c r="Q520" s="4">
        <v>1</v>
      </c>
    </row>
    <row r="521" spans="1:17" x14ac:dyDescent="0.25">
      <c r="A521" s="3" t="s">
        <v>18</v>
      </c>
      <c r="B521" s="3">
        <v>11612894</v>
      </c>
      <c r="C521" s="3" t="s">
        <v>561</v>
      </c>
      <c r="D521" s="3" t="s">
        <v>20</v>
      </c>
      <c r="E521" s="3" t="s">
        <v>21</v>
      </c>
      <c r="F521" s="3" t="s">
        <v>21</v>
      </c>
      <c r="G521" s="3" t="s">
        <v>22</v>
      </c>
      <c r="H521" s="3" t="s">
        <v>23</v>
      </c>
      <c r="I521" s="3" t="s">
        <v>24</v>
      </c>
      <c r="J521" s="3" t="s">
        <v>24</v>
      </c>
      <c r="K521" s="3" t="s">
        <v>25</v>
      </c>
      <c r="L521" s="4">
        <v>0</v>
      </c>
      <c r="M521" s="3" t="s">
        <v>26</v>
      </c>
      <c r="N521" s="3" t="s">
        <v>24</v>
      </c>
      <c r="O521" s="4">
        <v>1</v>
      </c>
      <c r="P521" s="4">
        <v>4</v>
      </c>
      <c r="Q521" s="4">
        <v>1</v>
      </c>
    </row>
    <row r="522" spans="1:17" x14ac:dyDescent="0.25">
      <c r="A522" s="3" t="s">
        <v>18</v>
      </c>
      <c r="B522" s="3">
        <v>11624845</v>
      </c>
      <c r="C522" s="3" t="s">
        <v>562</v>
      </c>
      <c r="D522" s="3" t="s">
        <v>20</v>
      </c>
      <c r="E522" s="3" t="s">
        <v>21</v>
      </c>
      <c r="F522" s="3" t="s">
        <v>21</v>
      </c>
      <c r="G522" s="3" t="s">
        <v>42</v>
      </c>
      <c r="H522" s="3" t="s">
        <v>43</v>
      </c>
      <c r="I522" s="3" t="s">
        <v>24</v>
      </c>
      <c r="J522" s="3" t="s">
        <v>24</v>
      </c>
      <c r="K522" s="3" t="s">
        <v>25</v>
      </c>
      <c r="L522" s="4">
        <v>0</v>
      </c>
      <c r="M522" s="3" t="s">
        <v>26</v>
      </c>
      <c r="N522" s="3" t="s">
        <v>24</v>
      </c>
      <c r="O522" s="4">
        <v>1</v>
      </c>
      <c r="P522" s="4">
        <v>8</v>
      </c>
      <c r="Q522" s="4">
        <v>1</v>
      </c>
    </row>
    <row r="523" spans="1:17" x14ac:dyDescent="0.25">
      <c r="A523" s="3" t="s">
        <v>18</v>
      </c>
      <c r="B523" s="3">
        <v>11624879</v>
      </c>
      <c r="C523" s="3" t="s">
        <v>563</v>
      </c>
      <c r="D523" s="3" t="s">
        <v>20</v>
      </c>
      <c r="E523" s="3" t="s">
        <v>21</v>
      </c>
      <c r="F523" s="3" t="s">
        <v>21</v>
      </c>
      <c r="G523" s="3" t="s">
        <v>22</v>
      </c>
      <c r="H523" s="3" t="s">
        <v>23</v>
      </c>
      <c r="I523" s="3" t="s">
        <v>24</v>
      </c>
      <c r="J523" s="3" t="s">
        <v>24</v>
      </c>
      <c r="K523" s="3" t="s">
        <v>25</v>
      </c>
      <c r="L523" s="4">
        <v>0</v>
      </c>
      <c r="M523" s="3" t="s">
        <v>26</v>
      </c>
      <c r="N523" s="3" t="s">
        <v>24</v>
      </c>
      <c r="O523" s="4">
        <v>1</v>
      </c>
      <c r="P523" s="4">
        <v>4</v>
      </c>
      <c r="Q523" s="4">
        <v>1</v>
      </c>
    </row>
    <row r="524" spans="1:17" x14ac:dyDescent="0.25">
      <c r="A524" s="3" t="s">
        <v>18</v>
      </c>
      <c r="B524" s="3">
        <v>11624920</v>
      </c>
      <c r="C524" s="3" t="s">
        <v>564</v>
      </c>
      <c r="D524" s="3" t="s">
        <v>20</v>
      </c>
      <c r="E524" s="3" t="s">
        <v>21</v>
      </c>
      <c r="F524" s="3" t="s">
        <v>21</v>
      </c>
      <c r="G524" s="3" t="s">
        <v>42</v>
      </c>
      <c r="H524" s="3" t="s">
        <v>43</v>
      </c>
      <c r="I524" s="3" t="s">
        <v>24</v>
      </c>
      <c r="J524" s="3" t="s">
        <v>24</v>
      </c>
      <c r="K524" s="3" t="s">
        <v>25</v>
      </c>
      <c r="L524" s="4">
        <v>0</v>
      </c>
      <c r="M524" s="3" t="s">
        <v>26</v>
      </c>
      <c r="N524" s="3" t="s">
        <v>24</v>
      </c>
      <c r="O524" s="4">
        <v>1</v>
      </c>
      <c r="P524" s="4">
        <v>8</v>
      </c>
      <c r="Q524" s="4">
        <v>1</v>
      </c>
    </row>
    <row r="525" spans="1:17" x14ac:dyDescent="0.25">
      <c r="A525" s="3" t="s">
        <v>18</v>
      </c>
      <c r="B525" s="3">
        <v>11624923</v>
      </c>
      <c r="C525" s="3" t="s">
        <v>565</v>
      </c>
      <c r="D525" s="3" t="s">
        <v>20</v>
      </c>
      <c r="E525" s="3" t="s">
        <v>21</v>
      </c>
      <c r="F525" s="3" t="s">
        <v>21</v>
      </c>
      <c r="G525" s="3" t="s">
        <v>22</v>
      </c>
      <c r="H525" s="3" t="s">
        <v>23</v>
      </c>
      <c r="I525" s="3" t="s">
        <v>24</v>
      </c>
      <c r="J525" s="3" t="s">
        <v>24</v>
      </c>
      <c r="K525" s="3" t="s">
        <v>25</v>
      </c>
      <c r="L525" s="4">
        <v>0</v>
      </c>
      <c r="M525" s="3" t="s">
        <v>26</v>
      </c>
      <c r="N525" s="3" t="s">
        <v>24</v>
      </c>
      <c r="O525" s="4">
        <v>1</v>
      </c>
      <c r="P525" s="4">
        <v>4</v>
      </c>
      <c r="Q525" s="4">
        <v>1</v>
      </c>
    </row>
    <row r="526" spans="1:17" x14ac:dyDescent="0.25">
      <c r="A526" s="3" t="s">
        <v>18</v>
      </c>
      <c r="B526" s="3">
        <v>11624949</v>
      </c>
      <c r="C526" s="3" t="s">
        <v>566</v>
      </c>
      <c r="D526" s="3" t="s">
        <v>20</v>
      </c>
      <c r="E526" s="3" t="s">
        <v>21</v>
      </c>
      <c r="F526" s="3" t="s">
        <v>21</v>
      </c>
      <c r="G526" s="3" t="s">
        <v>36</v>
      </c>
      <c r="H526" s="3" t="s">
        <v>37</v>
      </c>
      <c r="I526" s="3" t="s">
        <v>24</v>
      </c>
      <c r="J526" s="3" t="s">
        <v>24</v>
      </c>
      <c r="K526" s="3" t="s">
        <v>25</v>
      </c>
      <c r="L526" s="4">
        <v>0</v>
      </c>
      <c r="M526" s="3" t="s">
        <v>26</v>
      </c>
      <c r="N526" s="3" t="s">
        <v>24</v>
      </c>
      <c r="O526" s="4">
        <v>1</v>
      </c>
      <c r="P526" s="4">
        <v>10</v>
      </c>
      <c r="Q526" s="4">
        <v>1</v>
      </c>
    </row>
    <row r="527" spans="1:17" x14ac:dyDescent="0.25">
      <c r="A527" s="3" t="s">
        <v>18</v>
      </c>
      <c r="B527" s="3">
        <v>11624969</v>
      </c>
      <c r="C527" s="3" t="s">
        <v>567</v>
      </c>
      <c r="D527" s="3" t="s">
        <v>20</v>
      </c>
      <c r="E527" s="3" t="s">
        <v>21</v>
      </c>
      <c r="F527" s="3" t="s">
        <v>21</v>
      </c>
      <c r="G527" s="3" t="s">
        <v>233</v>
      </c>
      <c r="H527" s="3" t="s">
        <v>234</v>
      </c>
      <c r="I527" s="3" t="s">
        <v>24</v>
      </c>
      <c r="J527" s="3" t="s">
        <v>24</v>
      </c>
      <c r="K527" s="3" t="s">
        <v>25</v>
      </c>
      <c r="L527" s="4">
        <v>0</v>
      </c>
      <c r="M527" s="3" t="s">
        <v>26</v>
      </c>
      <c r="N527" s="3" t="s">
        <v>24</v>
      </c>
      <c r="O527" s="4">
        <v>1</v>
      </c>
      <c r="P527" s="4">
        <v>2</v>
      </c>
      <c r="Q527" s="4">
        <v>1</v>
      </c>
    </row>
    <row r="528" spans="1:17" x14ac:dyDescent="0.25">
      <c r="A528" s="3" t="s">
        <v>18</v>
      </c>
      <c r="B528" s="3">
        <v>11624973</v>
      </c>
      <c r="C528" s="3" t="s">
        <v>568</v>
      </c>
      <c r="D528" s="3" t="s">
        <v>20</v>
      </c>
      <c r="E528" s="3" t="s">
        <v>21</v>
      </c>
      <c r="F528" s="3" t="s">
        <v>21</v>
      </c>
      <c r="G528" s="3" t="s">
        <v>36</v>
      </c>
      <c r="H528" s="3" t="s">
        <v>37</v>
      </c>
      <c r="I528" s="3" t="s">
        <v>24</v>
      </c>
      <c r="J528" s="3" t="s">
        <v>24</v>
      </c>
      <c r="K528" s="3" t="s">
        <v>25</v>
      </c>
      <c r="L528" s="4">
        <v>0</v>
      </c>
      <c r="M528" s="3" t="s">
        <v>26</v>
      </c>
      <c r="N528" s="3" t="s">
        <v>24</v>
      </c>
      <c r="O528" s="4">
        <v>1</v>
      </c>
      <c r="P528" s="4">
        <v>10</v>
      </c>
      <c r="Q528" s="4">
        <v>1</v>
      </c>
    </row>
    <row r="529" spans="1:17" x14ac:dyDescent="0.25">
      <c r="A529" s="3" t="s">
        <v>18</v>
      </c>
      <c r="B529" s="3">
        <v>11624976</v>
      </c>
      <c r="C529" s="3" t="s">
        <v>569</v>
      </c>
      <c r="D529" s="3" t="s">
        <v>20</v>
      </c>
      <c r="E529" s="3" t="s">
        <v>21</v>
      </c>
      <c r="F529" s="3" t="s">
        <v>21</v>
      </c>
      <c r="G529" s="3" t="s">
        <v>233</v>
      </c>
      <c r="H529" s="3" t="s">
        <v>234</v>
      </c>
      <c r="I529" s="3" t="s">
        <v>24</v>
      </c>
      <c r="J529" s="3" t="s">
        <v>24</v>
      </c>
      <c r="K529" s="3" t="s">
        <v>25</v>
      </c>
      <c r="L529" s="4">
        <v>0</v>
      </c>
      <c r="M529" s="3" t="s">
        <v>26</v>
      </c>
      <c r="N529" s="3" t="s">
        <v>24</v>
      </c>
      <c r="O529" s="4">
        <v>1</v>
      </c>
      <c r="P529" s="4">
        <v>2</v>
      </c>
      <c r="Q529" s="4">
        <v>1</v>
      </c>
    </row>
    <row r="530" spans="1:17" x14ac:dyDescent="0.25">
      <c r="A530" s="3" t="s">
        <v>18</v>
      </c>
      <c r="B530" s="3">
        <v>11655381</v>
      </c>
      <c r="C530" s="3" t="s">
        <v>570</v>
      </c>
      <c r="D530" s="3" t="s">
        <v>20</v>
      </c>
      <c r="E530" s="3" t="s">
        <v>21</v>
      </c>
      <c r="F530" s="3" t="s">
        <v>21</v>
      </c>
      <c r="G530" s="3" t="s">
        <v>233</v>
      </c>
      <c r="H530" s="3" t="s">
        <v>234</v>
      </c>
      <c r="I530" s="3" t="s">
        <v>24</v>
      </c>
      <c r="J530" s="3" t="s">
        <v>24</v>
      </c>
      <c r="K530" s="3" t="s">
        <v>25</v>
      </c>
      <c r="L530" s="4">
        <v>0</v>
      </c>
      <c r="M530" s="3" t="s">
        <v>26</v>
      </c>
      <c r="N530" s="3" t="s">
        <v>24</v>
      </c>
      <c r="O530" s="4">
        <v>1</v>
      </c>
      <c r="P530" s="4">
        <v>2</v>
      </c>
      <c r="Q530" s="4">
        <v>1</v>
      </c>
    </row>
    <row r="531" spans="1:17" x14ac:dyDescent="0.25">
      <c r="A531" s="3" t="s">
        <v>18</v>
      </c>
      <c r="B531" s="3">
        <v>11655428</v>
      </c>
      <c r="C531" s="3" t="s">
        <v>571</v>
      </c>
      <c r="D531" s="3" t="s">
        <v>20</v>
      </c>
      <c r="E531" s="3" t="s">
        <v>21</v>
      </c>
      <c r="F531" s="3" t="s">
        <v>21</v>
      </c>
      <c r="G531" s="3" t="s">
        <v>30</v>
      </c>
      <c r="H531" s="3" t="s">
        <v>31</v>
      </c>
      <c r="I531" s="3" t="s">
        <v>24</v>
      </c>
      <c r="J531" s="3" t="s">
        <v>24</v>
      </c>
      <c r="K531" s="3" t="s">
        <v>25</v>
      </c>
      <c r="L531" s="4">
        <v>0</v>
      </c>
      <c r="M531" s="3" t="s">
        <v>26</v>
      </c>
      <c r="N531" s="3" t="s">
        <v>24</v>
      </c>
      <c r="O531" s="4">
        <v>1</v>
      </c>
      <c r="P531" s="4">
        <v>9</v>
      </c>
      <c r="Q531" s="4">
        <v>1</v>
      </c>
    </row>
    <row r="532" spans="1:17" x14ac:dyDescent="0.25">
      <c r="A532" s="3" t="s">
        <v>18</v>
      </c>
      <c r="B532" s="3">
        <v>11659871</v>
      </c>
      <c r="C532" s="3" t="s">
        <v>572</v>
      </c>
      <c r="D532" s="3" t="s">
        <v>20</v>
      </c>
      <c r="E532" s="3" t="s">
        <v>21</v>
      </c>
      <c r="F532" s="3" t="s">
        <v>21</v>
      </c>
      <c r="G532" s="3" t="s">
        <v>30</v>
      </c>
      <c r="H532" s="3" t="s">
        <v>31</v>
      </c>
      <c r="I532" s="3" t="s">
        <v>24</v>
      </c>
      <c r="J532" s="3" t="s">
        <v>24</v>
      </c>
      <c r="K532" s="3" t="s">
        <v>25</v>
      </c>
      <c r="L532" s="4">
        <v>0</v>
      </c>
      <c r="M532" s="3" t="s">
        <v>26</v>
      </c>
      <c r="N532" s="3" t="s">
        <v>24</v>
      </c>
      <c r="O532" s="4">
        <v>1</v>
      </c>
      <c r="P532" s="4">
        <v>8</v>
      </c>
      <c r="Q532" s="4">
        <v>1</v>
      </c>
    </row>
    <row r="533" spans="1:17" x14ac:dyDescent="0.25">
      <c r="A533" s="3" t="s">
        <v>18</v>
      </c>
      <c r="B533" s="3">
        <v>11660212</v>
      </c>
      <c r="C533" s="3" t="s">
        <v>573</v>
      </c>
      <c r="D533" s="3" t="s">
        <v>20</v>
      </c>
      <c r="E533" s="3" t="s">
        <v>21</v>
      </c>
      <c r="F533" s="3" t="s">
        <v>21</v>
      </c>
      <c r="G533" s="3" t="s">
        <v>30</v>
      </c>
      <c r="H533" s="3" t="s">
        <v>31</v>
      </c>
      <c r="I533" s="3" t="s">
        <v>24</v>
      </c>
      <c r="J533" s="3" t="s">
        <v>24</v>
      </c>
      <c r="K533" s="3" t="s">
        <v>25</v>
      </c>
      <c r="L533" s="4">
        <v>0</v>
      </c>
      <c r="M533" s="3" t="s">
        <v>26</v>
      </c>
      <c r="N533" s="3" t="s">
        <v>24</v>
      </c>
      <c r="O533" s="4">
        <v>1</v>
      </c>
      <c r="P533" s="4">
        <v>9</v>
      </c>
      <c r="Q533" s="4">
        <v>1</v>
      </c>
    </row>
    <row r="534" spans="1:17" x14ac:dyDescent="0.25">
      <c r="A534" s="3" t="s">
        <v>18</v>
      </c>
      <c r="B534" s="3">
        <v>11666744</v>
      </c>
      <c r="C534" s="3" t="s">
        <v>574</v>
      </c>
      <c r="D534" s="3" t="s">
        <v>20</v>
      </c>
      <c r="E534" s="3" t="s">
        <v>21</v>
      </c>
      <c r="F534" s="3" t="s">
        <v>21</v>
      </c>
      <c r="G534" s="3" t="s">
        <v>233</v>
      </c>
      <c r="H534" s="3" t="s">
        <v>234</v>
      </c>
      <c r="I534" s="3" t="s">
        <v>24</v>
      </c>
      <c r="J534" s="3" t="s">
        <v>24</v>
      </c>
      <c r="K534" s="3" t="s">
        <v>25</v>
      </c>
      <c r="L534" s="4">
        <v>0</v>
      </c>
      <c r="M534" s="3" t="s">
        <v>26</v>
      </c>
      <c r="N534" s="3" t="s">
        <v>24</v>
      </c>
      <c r="O534" s="4">
        <v>1</v>
      </c>
      <c r="P534" s="4">
        <v>2</v>
      </c>
      <c r="Q534" s="4">
        <v>1</v>
      </c>
    </row>
    <row r="535" spans="1:17" x14ac:dyDescent="0.25">
      <c r="A535" s="3" t="s">
        <v>18</v>
      </c>
      <c r="B535" s="3">
        <v>11667020</v>
      </c>
      <c r="C535" s="3" t="s">
        <v>575</v>
      </c>
      <c r="D535" s="3" t="s">
        <v>20</v>
      </c>
      <c r="E535" s="3" t="s">
        <v>21</v>
      </c>
      <c r="F535" s="3" t="s">
        <v>21</v>
      </c>
      <c r="G535" s="3" t="s">
        <v>42</v>
      </c>
      <c r="H535" s="3" t="s">
        <v>43</v>
      </c>
      <c r="I535" s="3" t="s">
        <v>24</v>
      </c>
      <c r="J535" s="3" t="s">
        <v>24</v>
      </c>
      <c r="K535" s="3" t="s">
        <v>25</v>
      </c>
      <c r="L535" s="4">
        <v>0</v>
      </c>
      <c r="M535" s="3" t="s">
        <v>26</v>
      </c>
      <c r="N535" s="3" t="s">
        <v>24</v>
      </c>
      <c r="O535" s="4">
        <v>1</v>
      </c>
      <c r="P535" s="4">
        <v>8</v>
      </c>
      <c r="Q535" s="4">
        <v>1</v>
      </c>
    </row>
    <row r="536" spans="1:17" x14ac:dyDescent="0.25">
      <c r="A536" s="3" t="s">
        <v>18</v>
      </c>
      <c r="B536" s="3">
        <v>11667421</v>
      </c>
      <c r="C536" s="3" t="s">
        <v>576</v>
      </c>
      <c r="D536" s="3" t="s">
        <v>20</v>
      </c>
      <c r="E536" s="3" t="s">
        <v>21</v>
      </c>
      <c r="F536" s="3" t="s">
        <v>21</v>
      </c>
      <c r="G536" s="3" t="s">
        <v>36</v>
      </c>
      <c r="H536" s="3" t="s">
        <v>37</v>
      </c>
      <c r="I536" s="3" t="s">
        <v>24</v>
      </c>
      <c r="J536" s="3" t="s">
        <v>24</v>
      </c>
      <c r="K536" s="3" t="s">
        <v>25</v>
      </c>
      <c r="L536" s="4">
        <v>0</v>
      </c>
      <c r="M536" s="3" t="s">
        <v>26</v>
      </c>
      <c r="N536" s="3" t="s">
        <v>24</v>
      </c>
      <c r="O536" s="4">
        <v>1</v>
      </c>
      <c r="P536" s="4">
        <v>10</v>
      </c>
      <c r="Q536" s="4">
        <v>1</v>
      </c>
    </row>
    <row r="537" spans="1:17" x14ac:dyDescent="0.25">
      <c r="A537" s="3" t="s">
        <v>18</v>
      </c>
      <c r="B537" s="3">
        <v>11679534</v>
      </c>
      <c r="C537" s="3" t="s">
        <v>577</v>
      </c>
      <c r="D537" s="3" t="s">
        <v>20</v>
      </c>
      <c r="E537" s="3" t="s">
        <v>21</v>
      </c>
      <c r="F537" s="3" t="s">
        <v>21</v>
      </c>
      <c r="G537" s="3" t="s">
        <v>36</v>
      </c>
      <c r="H537" s="3" t="s">
        <v>37</v>
      </c>
      <c r="I537" s="3" t="s">
        <v>24</v>
      </c>
      <c r="J537" s="3" t="s">
        <v>24</v>
      </c>
      <c r="K537" s="3" t="s">
        <v>25</v>
      </c>
      <c r="L537" s="4">
        <v>0</v>
      </c>
      <c r="M537" s="3" t="s">
        <v>26</v>
      </c>
      <c r="N537" s="3" t="s">
        <v>24</v>
      </c>
      <c r="O537" s="4">
        <v>1</v>
      </c>
      <c r="P537" s="4">
        <v>10</v>
      </c>
      <c r="Q537" s="4">
        <v>1</v>
      </c>
    </row>
    <row r="538" spans="1:17" x14ac:dyDescent="0.25">
      <c r="A538" s="3" t="s">
        <v>18</v>
      </c>
      <c r="B538" s="3">
        <v>11679536</v>
      </c>
      <c r="C538" s="3" t="s">
        <v>578</v>
      </c>
      <c r="D538" s="3" t="s">
        <v>20</v>
      </c>
      <c r="E538" s="3" t="s">
        <v>21</v>
      </c>
      <c r="F538" s="3" t="s">
        <v>21</v>
      </c>
      <c r="G538" s="3" t="s">
        <v>22</v>
      </c>
      <c r="H538" s="3" t="s">
        <v>23</v>
      </c>
      <c r="I538" s="3" t="s">
        <v>24</v>
      </c>
      <c r="J538" s="3" t="s">
        <v>24</v>
      </c>
      <c r="K538" s="3" t="s">
        <v>25</v>
      </c>
      <c r="L538" s="4">
        <v>0</v>
      </c>
      <c r="M538" s="3" t="s">
        <v>26</v>
      </c>
      <c r="N538" s="3" t="s">
        <v>24</v>
      </c>
      <c r="O538" s="4">
        <v>1</v>
      </c>
      <c r="P538" s="4">
        <v>4</v>
      </c>
      <c r="Q538" s="4">
        <v>1</v>
      </c>
    </row>
    <row r="539" spans="1:17" x14ac:dyDescent="0.25">
      <c r="A539" s="3" t="s">
        <v>18</v>
      </c>
      <c r="B539" s="3">
        <v>11689469</v>
      </c>
      <c r="C539" s="3" t="s">
        <v>579</v>
      </c>
      <c r="D539" s="3" t="s">
        <v>20</v>
      </c>
      <c r="E539" s="3" t="s">
        <v>21</v>
      </c>
      <c r="F539" s="3" t="s">
        <v>21</v>
      </c>
      <c r="G539" s="3" t="s">
        <v>233</v>
      </c>
      <c r="H539" s="3" t="s">
        <v>234</v>
      </c>
      <c r="I539" s="3" t="s">
        <v>24</v>
      </c>
      <c r="J539" s="3" t="s">
        <v>24</v>
      </c>
      <c r="K539" s="3" t="s">
        <v>25</v>
      </c>
      <c r="L539" s="4">
        <v>0</v>
      </c>
      <c r="M539" s="3" t="s">
        <v>26</v>
      </c>
      <c r="N539" s="3" t="s">
        <v>24</v>
      </c>
      <c r="O539" s="4">
        <v>1</v>
      </c>
      <c r="P539" s="4">
        <v>2</v>
      </c>
      <c r="Q539" s="4">
        <v>1</v>
      </c>
    </row>
    <row r="540" spans="1:17" x14ac:dyDescent="0.25">
      <c r="A540" s="3" t="s">
        <v>18</v>
      </c>
      <c r="B540" s="3">
        <v>11717120</v>
      </c>
      <c r="C540" s="3" t="s">
        <v>580</v>
      </c>
      <c r="D540" s="3" t="s">
        <v>20</v>
      </c>
      <c r="E540" s="3" t="s">
        <v>21</v>
      </c>
      <c r="F540" s="3" t="s">
        <v>21</v>
      </c>
      <c r="G540" s="3" t="s">
        <v>30</v>
      </c>
      <c r="H540" s="3" t="s">
        <v>31</v>
      </c>
      <c r="I540" s="3" t="s">
        <v>24</v>
      </c>
      <c r="J540" s="3" t="s">
        <v>24</v>
      </c>
      <c r="K540" s="3" t="s">
        <v>25</v>
      </c>
      <c r="L540" s="4">
        <v>0</v>
      </c>
      <c r="M540" s="3" t="s">
        <v>26</v>
      </c>
      <c r="N540" s="3" t="s">
        <v>24</v>
      </c>
      <c r="O540" s="4">
        <v>1</v>
      </c>
      <c r="P540" s="4">
        <v>9</v>
      </c>
      <c r="Q540" s="4">
        <v>1</v>
      </c>
    </row>
    <row r="541" spans="1:17" x14ac:dyDescent="0.25">
      <c r="A541" s="3" t="s">
        <v>18</v>
      </c>
      <c r="B541" s="3">
        <v>11717121</v>
      </c>
      <c r="C541" s="3" t="s">
        <v>581</v>
      </c>
      <c r="D541" s="3" t="s">
        <v>20</v>
      </c>
      <c r="E541" s="3" t="s">
        <v>21</v>
      </c>
      <c r="F541" s="3" t="s">
        <v>21</v>
      </c>
      <c r="G541" s="3" t="s">
        <v>30</v>
      </c>
      <c r="H541" s="3" t="s">
        <v>31</v>
      </c>
      <c r="I541" s="3" t="s">
        <v>24</v>
      </c>
      <c r="J541" s="3" t="s">
        <v>24</v>
      </c>
      <c r="K541" s="3" t="s">
        <v>25</v>
      </c>
      <c r="L541" s="4">
        <v>0</v>
      </c>
      <c r="M541" s="3" t="s">
        <v>26</v>
      </c>
      <c r="N541" s="3" t="s">
        <v>24</v>
      </c>
      <c r="O541" s="4">
        <v>1</v>
      </c>
      <c r="P541" s="4">
        <v>8</v>
      </c>
      <c r="Q541" s="4">
        <v>1</v>
      </c>
    </row>
    <row r="542" spans="1:17" x14ac:dyDescent="0.25">
      <c r="A542" s="3" t="s">
        <v>18</v>
      </c>
      <c r="B542" s="3">
        <v>11717126</v>
      </c>
      <c r="C542" s="3" t="s">
        <v>582</v>
      </c>
      <c r="D542" s="3" t="s">
        <v>20</v>
      </c>
      <c r="E542" s="3" t="s">
        <v>21</v>
      </c>
      <c r="F542" s="3" t="s">
        <v>21</v>
      </c>
      <c r="G542" s="3" t="s">
        <v>42</v>
      </c>
      <c r="H542" s="3" t="s">
        <v>43</v>
      </c>
      <c r="I542" s="3" t="s">
        <v>24</v>
      </c>
      <c r="J542" s="3" t="s">
        <v>24</v>
      </c>
      <c r="K542" s="3" t="s">
        <v>25</v>
      </c>
      <c r="L542" s="4">
        <v>0</v>
      </c>
      <c r="M542" s="3" t="s">
        <v>26</v>
      </c>
      <c r="N542" s="3" t="s">
        <v>24</v>
      </c>
      <c r="O542" s="4">
        <v>1</v>
      </c>
      <c r="P542" s="4">
        <v>8</v>
      </c>
      <c r="Q542" s="4">
        <v>1</v>
      </c>
    </row>
    <row r="543" spans="1:17" x14ac:dyDescent="0.25">
      <c r="A543" s="3" t="s">
        <v>18</v>
      </c>
      <c r="B543" s="3">
        <v>11720242</v>
      </c>
      <c r="C543" s="3" t="s">
        <v>583</v>
      </c>
      <c r="D543" s="3" t="s">
        <v>20</v>
      </c>
      <c r="E543" s="3" t="s">
        <v>21</v>
      </c>
      <c r="F543" s="3" t="s">
        <v>21</v>
      </c>
      <c r="G543" s="3" t="s">
        <v>22</v>
      </c>
      <c r="H543" s="3" t="s">
        <v>23</v>
      </c>
      <c r="I543" s="3" t="s">
        <v>24</v>
      </c>
      <c r="J543" s="3" t="s">
        <v>24</v>
      </c>
      <c r="K543" s="3" t="s">
        <v>25</v>
      </c>
      <c r="L543" s="4">
        <v>0</v>
      </c>
      <c r="M543" s="3" t="s">
        <v>26</v>
      </c>
      <c r="N543" s="3" t="s">
        <v>24</v>
      </c>
      <c r="O543" s="4">
        <v>1</v>
      </c>
      <c r="P543" s="4">
        <v>4</v>
      </c>
      <c r="Q543" s="4">
        <v>1</v>
      </c>
    </row>
    <row r="544" spans="1:17" x14ac:dyDescent="0.25">
      <c r="A544" s="3" t="s">
        <v>18</v>
      </c>
      <c r="B544" s="3">
        <v>11720243</v>
      </c>
      <c r="C544" s="3" t="s">
        <v>584</v>
      </c>
      <c r="D544" s="3" t="s">
        <v>20</v>
      </c>
      <c r="E544" s="3" t="s">
        <v>21</v>
      </c>
      <c r="F544" s="3" t="s">
        <v>21</v>
      </c>
      <c r="G544" s="3" t="s">
        <v>42</v>
      </c>
      <c r="H544" s="3" t="s">
        <v>43</v>
      </c>
      <c r="I544" s="3" t="s">
        <v>24</v>
      </c>
      <c r="J544" s="3" t="s">
        <v>24</v>
      </c>
      <c r="K544" s="3" t="s">
        <v>25</v>
      </c>
      <c r="L544" s="4">
        <v>0</v>
      </c>
      <c r="M544" s="3" t="s">
        <v>26</v>
      </c>
      <c r="N544" s="3" t="s">
        <v>24</v>
      </c>
      <c r="O544" s="4">
        <v>1</v>
      </c>
      <c r="P544" s="4">
        <v>8</v>
      </c>
      <c r="Q544" s="4">
        <v>1</v>
      </c>
    </row>
    <row r="545" spans="1:17" x14ac:dyDescent="0.25">
      <c r="A545" s="3" t="s">
        <v>18</v>
      </c>
      <c r="B545" s="3">
        <v>11736524</v>
      </c>
      <c r="C545" s="3" t="s">
        <v>585</v>
      </c>
      <c r="D545" s="3" t="s">
        <v>20</v>
      </c>
      <c r="E545" s="3" t="s">
        <v>21</v>
      </c>
      <c r="F545" s="3" t="s">
        <v>21</v>
      </c>
      <c r="G545" s="3" t="s">
        <v>42</v>
      </c>
      <c r="H545" s="3" t="s">
        <v>43</v>
      </c>
      <c r="I545" s="3" t="s">
        <v>24</v>
      </c>
      <c r="J545" s="3" t="s">
        <v>24</v>
      </c>
      <c r="K545" s="3" t="s">
        <v>25</v>
      </c>
      <c r="L545" s="4">
        <v>0</v>
      </c>
      <c r="M545" s="3" t="s">
        <v>26</v>
      </c>
      <c r="N545" s="3" t="s">
        <v>24</v>
      </c>
      <c r="O545" s="4">
        <v>1</v>
      </c>
      <c r="P545" s="4">
        <v>8</v>
      </c>
      <c r="Q545" s="4">
        <v>1</v>
      </c>
    </row>
    <row r="546" spans="1:17" x14ac:dyDescent="0.25">
      <c r="A546" s="3" t="s">
        <v>18</v>
      </c>
      <c r="B546" s="3">
        <v>11756246</v>
      </c>
      <c r="C546" s="3" t="s">
        <v>586</v>
      </c>
      <c r="D546" s="3" t="s">
        <v>20</v>
      </c>
      <c r="E546" s="3" t="s">
        <v>21</v>
      </c>
      <c r="F546" s="3" t="s">
        <v>21</v>
      </c>
      <c r="G546" s="3" t="s">
        <v>233</v>
      </c>
      <c r="H546" s="3" t="s">
        <v>234</v>
      </c>
      <c r="I546" s="3" t="s">
        <v>24</v>
      </c>
      <c r="J546" s="3" t="s">
        <v>24</v>
      </c>
      <c r="K546" s="3" t="s">
        <v>25</v>
      </c>
      <c r="L546" s="4">
        <v>0</v>
      </c>
      <c r="M546" s="3" t="s">
        <v>26</v>
      </c>
      <c r="N546" s="3" t="s">
        <v>24</v>
      </c>
      <c r="O546" s="4">
        <v>1</v>
      </c>
      <c r="P546" s="4">
        <v>3</v>
      </c>
      <c r="Q546" s="4">
        <v>1</v>
      </c>
    </row>
    <row r="547" spans="1:17" x14ac:dyDescent="0.25">
      <c r="A547" s="3" t="s">
        <v>18</v>
      </c>
      <c r="B547" s="3">
        <v>11771287</v>
      </c>
      <c r="C547" s="3" t="s">
        <v>587</v>
      </c>
      <c r="D547" s="3" t="s">
        <v>20</v>
      </c>
      <c r="E547" s="3" t="s">
        <v>21</v>
      </c>
      <c r="F547" s="3" t="s">
        <v>21</v>
      </c>
      <c r="G547" s="3" t="s">
        <v>22</v>
      </c>
      <c r="H547" s="3" t="s">
        <v>23</v>
      </c>
      <c r="I547" s="3" t="s">
        <v>24</v>
      </c>
      <c r="J547" s="3" t="s">
        <v>24</v>
      </c>
      <c r="K547" s="3" t="s">
        <v>25</v>
      </c>
      <c r="L547" s="4">
        <v>0</v>
      </c>
      <c r="M547" s="3" t="s">
        <v>26</v>
      </c>
      <c r="N547" s="3" t="s">
        <v>24</v>
      </c>
      <c r="O547" s="4">
        <v>1</v>
      </c>
      <c r="P547" s="4">
        <v>1</v>
      </c>
      <c r="Q547" s="4">
        <v>1</v>
      </c>
    </row>
    <row r="548" spans="1:17" x14ac:dyDescent="0.25">
      <c r="A548" s="3" t="s">
        <v>18</v>
      </c>
      <c r="B548" s="3">
        <v>11771338</v>
      </c>
      <c r="C548" s="3" t="s">
        <v>588</v>
      </c>
      <c r="D548" s="3" t="s">
        <v>20</v>
      </c>
      <c r="E548" s="3" t="s">
        <v>21</v>
      </c>
      <c r="F548" s="3" t="s">
        <v>21</v>
      </c>
      <c r="G548" s="3" t="s">
        <v>36</v>
      </c>
      <c r="H548" s="3" t="s">
        <v>37</v>
      </c>
      <c r="I548" s="3" t="s">
        <v>24</v>
      </c>
      <c r="J548" s="3" t="s">
        <v>24</v>
      </c>
      <c r="K548" s="3" t="s">
        <v>25</v>
      </c>
      <c r="L548" s="4">
        <v>0</v>
      </c>
      <c r="M548" s="3" t="s">
        <v>26</v>
      </c>
      <c r="N548" s="3" t="s">
        <v>24</v>
      </c>
      <c r="O548" s="4">
        <v>1</v>
      </c>
      <c r="P548" s="4">
        <v>3</v>
      </c>
      <c r="Q548" s="4">
        <v>1</v>
      </c>
    </row>
    <row r="549" spans="1:17" x14ac:dyDescent="0.25">
      <c r="A549" s="3" t="s">
        <v>18</v>
      </c>
      <c r="B549" s="3">
        <v>11771341</v>
      </c>
      <c r="C549" s="3" t="s">
        <v>589</v>
      </c>
      <c r="D549" s="3" t="s">
        <v>20</v>
      </c>
      <c r="E549" s="3" t="s">
        <v>21</v>
      </c>
      <c r="F549" s="3" t="s">
        <v>21</v>
      </c>
      <c r="G549" s="3" t="s">
        <v>22</v>
      </c>
      <c r="H549" s="3" t="s">
        <v>23</v>
      </c>
      <c r="I549" s="3" t="s">
        <v>24</v>
      </c>
      <c r="J549" s="3" t="s">
        <v>24</v>
      </c>
      <c r="K549" s="3" t="s">
        <v>25</v>
      </c>
      <c r="L549" s="4">
        <v>0</v>
      </c>
      <c r="M549" s="3" t="s">
        <v>26</v>
      </c>
      <c r="N549" s="3" t="s">
        <v>24</v>
      </c>
      <c r="O549" s="4">
        <v>1</v>
      </c>
      <c r="P549" s="4">
        <v>1</v>
      </c>
      <c r="Q549" s="4">
        <v>1</v>
      </c>
    </row>
    <row r="550" spans="1:17" x14ac:dyDescent="0.25">
      <c r="A550" s="3" t="s">
        <v>18</v>
      </c>
      <c r="B550" s="3">
        <v>11789271</v>
      </c>
      <c r="C550" s="3" t="s">
        <v>590</v>
      </c>
      <c r="D550" s="3" t="s">
        <v>20</v>
      </c>
      <c r="E550" s="3" t="s">
        <v>21</v>
      </c>
      <c r="F550" s="3" t="s">
        <v>21</v>
      </c>
      <c r="G550" s="3" t="s">
        <v>233</v>
      </c>
      <c r="H550" s="3" t="s">
        <v>234</v>
      </c>
      <c r="I550" s="3" t="s">
        <v>24</v>
      </c>
      <c r="J550" s="3" t="s">
        <v>24</v>
      </c>
      <c r="K550" s="3" t="s">
        <v>25</v>
      </c>
      <c r="L550" s="4">
        <v>0</v>
      </c>
      <c r="M550" s="3" t="s">
        <v>26</v>
      </c>
      <c r="N550" s="3" t="s">
        <v>24</v>
      </c>
      <c r="O550" s="4">
        <v>1</v>
      </c>
      <c r="P550" s="4">
        <v>2</v>
      </c>
      <c r="Q550" s="4">
        <v>1</v>
      </c>
    </row>
    <row r="551" spans="1:17" x14ac:dyDescent="0.25">
      <c r="A551" s="3" t="s">
        <v>18</v>
      </c>
      <c r="B551" s="3">
        <v>11797841</v>
      </c>
      <c r="C551" s="3" t="s">
        <v>591</v>
      </c>
      <c r="D551" s="3" t="s">
        <v>20</v>
      </c>
      <c r="E551" s="3" t="s">
        <v>21</v>
      </c>
      <c r="F551" s="3" t="s">
        <v>21</v>
      </c>
      <c r="G551" s="3" t="s">
        <v>22</v>
      </c>
      <c r="H551" s="3" t="s">
        <v>23</v>
      </c>
      <c r="I551" s="3" t="s">
        <v>24</v>
      </c>
      <c r="J551" s="3" t="s">
        <v>24</v>
      </c>
      <c r="K551" s="3" t="s">
        <v>25</v>
      </c>
      <c r="L551" s="4">
        <v>0</v>
      </c>
      <c r="M551" s="3" t="s">
        <v>26</v>
      </c>
      <c r="N551" s="3" t="s">
        <v>24</v>
      </c>
      <c r="O551" s="4">
        <v>1</v>
      </c>
      <c r="P551" s="4">
        <v>4</v>
      </c>
      <c r="Q551" s="4">
        <v>1</v>
      </c>
    </row>
    <row r="552" spans="1:17" x14ac:dyDescent="0.25">
      <c r="A552" s="3" t="s">
        <v>18</v>
      </c>
      <c r="B552" s="3">
        <v>11798252</v>
      </c>
      <c r="C552" s="3" t="s">
        <v>592</v>
      </c>
      <c r="D552" s="3" t="s">
        <v>20</v>
      </c>
      <c r="E552" s="3" t="s">
        <v>21</v>
      </c>
      <c r="F552" s="3" t="s">
        <v>21</v>
      </c>
      <c r="G552" s="3" t="s">
        <v>36</v>
      </c>
      <c r="H552" s="3" t="s">
        <v>37</v>
      </c>
      <c r="I552" s="3" t="s">
        <v>24</v>
      </c>
      <c r="J552" s="3" t="s">
        <v>24</v>
      </c>
      <c r="K552" s="3" t="s">
        <v>25</v>
      </c>
      <c r="L552" s="4">
        <v>0</v>
      </c>
      <c r="M552" s="3" t="s">
        <v>26</v>
      </c>
      <c r="N552" s="3" t="s">
        <v>24</v>
      </c>
      <c r="O552" s="4">
        <v>1</v>
      </c>
      <c r="P552" s="4">
        <v>10</v>
      </c>
      <c r="Q552" s="4">
        <v>1</v>
      </c>
    </row>
    <row r="553" spans="1:17" x14ac:dyDescent="0.25">
      <c r="A553" s="3" t="s">
        <v>18</v>
      </c>
      <c r="B553" s="3">
        <v>11798659</v>
      </c>
      <c r="C553" s="3" t="s">
        <v>593</v>
      </c>
      <c r="D553" s="3" t="s">
        <v>20</v>
      </c>
      <c r="E553" s="3" t="s">
        <v>21</v>
      </c>
      <c r="F553" s="3" t="s">
        <v>21</v>
      </c>
      <c r="G553" s="3" t="s">
        <v>36</v>
      </c>
      <c r="H553" s="3" t="s">
        <v>37</v>
      </c>
      <c r="I553" s="3" t="s">
        <v>24</v>
      </c>
      <c r="J553" s="3" t="s">
        <v>24</v>
      </c>
      <c r="K553" s="3" t="s">
        <v>25</v>
      </c>
      <c r="L553" s="4">
        <v>0</v>
      </c>
      <c r="M553" s="3" t="s">
        <v>26</v>
      </c>
      <c r="N553" s="3" t="s">
        <v>24</v>
      </c>
      <c r="O553" s="4">
        <v>1</v>
      </c>
      <c r="P553" s="4">
        <v>10</v>
      </c>
      <c r="Q553" s="4">
        <v>1</v>
      </c>
    </row>
    <row r="554" spans="1:17" x14ac:dyDescent="0.25">
      <c r="A554" s="3" t="s">
        <v>18</v>
      </c>
      <c r="B554" s="3">
        <v>11798709</v>
      </c>
      <c r="C554" s="3" t="s">
        <v>594</v>
      </c>
      <c r="D554" s="3" t="s">
        <v>20</v>
      </c>
      <c r="E554" s="3" t="s">
        <v>21</v>
      </c>
      <c r="F554" s="3" t="s">
        <v>21</v>
      </c>
      <c r="G554" s="3" t="s">
        <v>36</v>
      </c>
      <c r="H554" s="3" t="s">
        <v>37</v>
      </c>
      <c r="I554" s="3" t="s">
        <v>24</v>
      </c>
      <c r="J554" s="3" t="s">
        <v>24</v>
      </c>
      <c r="K554" s="3" t="s">
        <v>25</v>
      </c>
      <c r="L554" s="4">
        <v>0</v>
      </c>
      <c r="M554" s="3" t="s">
        <v>26</v>
      </c>
      <c r="N554" s="3" t="s">
        <v>24</v>
      </c>
      <c r="O554" s="4">
        <v>1</v>
      </c>
      <c r="P554" s="4">
        <v>10</v>
      </c>
      <c r="Q554" s="4">
        <v>1</v>
      </c>
    </row>
    <row r="555" spans="1:17" x14ac:dyDescent="0.25">
      <c r="A555" s="3" t="s">
        <v>18</v>
      </c>
      <c r="B555" s="3">
        <v>11798776</v>
      </c>
      <c r="C555" s="3" t="s">
        <v>595</v>
      </c>
      <c r="D555" s="3" t="s">
        <v>20</v>
      </c>
      <c r="E555" s="3" t="s">
        <v>21</v>
      </c>
      <c r="F555" s="3" t="s">
        <v>21</v>
      </c>
      <c r="G555" s="3" t="s">
        <v>36</v>
      </c>
      <c r="H555" s="3" t="s">
        <v>37</v>
      </c>
      <c r="I555" s="3" t="s">
        <v>24</v>
      </c>
      <c r="J555" s="3" t="s">
        <v>24</v>
      </c>
      <c r="K555" s="3" t="s">
        <v>25</v>
      </c>
      <c r="L555" s="4">
        <v>0</v>
      </c>
      <c r="M555" s="3" t="s">
        <v>26</v>
      </c>
      <c r="N555" s="3" t="s">
        <v>24</v>
      </c>
      <c r="O555" s="4">
        <v>1</v>
      </c>
      <c r="P555" s="4">
        <v>10</v>
      </c>
      <c r="Q555" s="4">
        <v>1</v>
      </c>
    </row>
    <row r="556" spans="1:17" x14ac:dyDescent="0.25">
      <c r="A556" s="3" t="s">
        <v>18</v>
      </c>
      <c r="B556" s="3">
        <v>11798829</v>
      </c>
      <c r="C556" s="3" t="s">
        <v>596</v>
      </c>
      <c r="D556" s="3" t="s">
        <v>20</v>
      </c>
      <c r="E556" s="3" t="s">
        <v>21</v>
      </c>
      <c r="F556" s="3" t="s">
        <v>21</v>
      </c>
      <c r="G556" s="3" t="s">
        <v>36</v>
      </c>
      <c r="H556" s="3" t="s">
        <v>37</v>
      </c>
      <c r="I556" s="3" t="s">
        <v>24</v>
      </c>
      <c r="J556" s="3" t="s">
        <v>24</v>
      </c>
      <c r="K556" s="3" t="s">
        <v>25</v>
      </c>
      <c r="L556" s="4">
        <v>0</v>
      </c>
      <c r="M556" s="3" t="s">
        <v>26</v>
      </c>
      <c r="N556" s="3" t="s">
        <v>24</v>
      </c>
      <c r="O556" s="4">
        <v>1</v>
      </c>
      <c r="P556" s="4">
        <v>10</v>
      </c>
      <c r="Q556" s="4">
        <v>1</v>
      </c>
    </row>
    <row r="557" spans="1:17" x14ac:dyDescent="0.25">
      <c r="A557" s="3" t="s">
        <v>18</v>
      </c>
      <c r="B557" s="3">
        <v>11798831</v>
      </c>
      <c r="C557" s="3" t="s">
        <v>597</v>
      </c>
      <c r="D557" s="3" t="s">
        <v>20</v>
      </c>
      <c r="E557" s="3" t="s">
        <v>21</v>
      </c>
      <c r="F557" s="3" t="s">
        <v>21</v>
      </c>
      <c r="G557" s="3" t="s">
        <v>36</v>
      </c>
      <c r="H557" s="3" t="s">
        <v>37</v>
      </c>
      <c r="I557" s="3" t="s">
        <v>24</v>
      </c>
      <c r="J557" s="3" t="s">
        <v>24</v>
      </c>
      <c r="K557" s="3" t="s">
        <v>25</v>
      </c>
      <c r="L557" s="4">
        <v>0</v>
      </c>
      <c r="M557" s="3" t="s">
        <v>26</v>
      </c>
      <c r="N557" s="3" t="s">
        <v>24</v>
      </c>
      <c r="O557" s="4">
        <v>1</v>
      </c>
      <c r="P557" s="4">
        <v>10</v>
      </c>
      <c r="Q557" s="4">
        <v>1</v>
      </c>
    </row>
    <row r="558" spans="1:17" x14ac:dyDescent="0.25">
      <c r="A558" s="3" t="s">
        <v>18</v>
      </c>
      <c r="B558" s="3">
        <v>11798835</v>
      </c>
      <c r="C558" s="3" t="s">
        <v>598</v>
      </c>
      <c r="D558" s="3" t="s">
        <v>20</v>
      </c>
      <c r="E558" s="3" t="s">
        <v>21</v>
      </c>
      <c r="F558" s="3" t="s">
        <v>21</v>
      </c>
      <c r="G558" s="3" t="s">
        <v>36</v>
      </c>
      <c r="H558" s="3" t="s">
        <v>37</v>
      </c>
      <c r="I558" s="3" t="s">
        <v>24</v>
      </c>
      <c r="J558" s="3" t="s">
        <v>24</v>
      </c>
      <c r="K558" s="3" t="s">
        <v>25</v>
      </c>
      <c r="L558" s="4">
        <v>0</v>
      </c>
      <c r="M558" s="3" t="s">
        <v>26</v>
      </c>
      <c r="N558" s="3" t="s">
        <v>24</v>
      </c>
      <c r="O558" s="4">
        <v>1</v>
      </c>
      <c r="P558" s="4">
        <v>10</v>
      </c>
      <c r="Q558" s="4">
        <v>1</v>
      </c>
    </row>
    <row r="559" spans="1:17" x14ac:dyDescent="0.25">
      <c r="A559" s="3" t="s">
        <v>18</v>
      </c>
      <c r="B559" s="3">
        <v>11798950</v>
      </c>
      <c r="C559" s="3" t="s">
        <v>599</v>
      </c>
      <c r="D559" s="3" t="s">
        <v>20</v>
      </c>
      <c r="E559" s="3" t="s">
        <v>21</v>
      </c>
      <c r="F559" s="3" t="s">
        <v>21</v>
      </c>
      <c r="G559" s="3" t="s">
        <v>36</v>
      </c>
      <c r="H559" s="3" t="s">
        <v>37</v>
      </c>
      <c r="I559" s="3" t="s">
        <v>24</v>
      </c>
      <c r="J559" s="3" t="s">
        <v>24</v>
      </c>
      <c r="K559" s="3" t="s">
        <v>25</v>
      </c>
      <c r="L559" s="4">
        <v>0</v>
      </c>
      <c r="M559" s="3" t="s">
        <v>26</v>
      </c>
      <c r="N559" s="3" t="s">
        <v>24</v>
      </c>
      <c r="O559" s="4">
        <v>1</v>
      </c>
      <c r="P559" s="4">
        <v>10</v>
      </c>
      <c r="Q559" s="4">
        <v>1</v>
      </c>
    </row>
    <row r="560" spans="1:17" x14ac:dyDescent="0.25">
      <c r="A560" s="3" t="s">
        <v>18</v>
      </c>
      <c r="B560" s="3">
        <v>11798957</v>
      </c>
      <c r="C560" s="3" t="s">
        <v>600</v>
      </c>
      <c r="D560" s="3" t="s">
        <v>20</v>
      </c>
      <c r="E560" s="3" t="s">
        <v>21</v>
      </c>
      <c r="F560" s="3" t="s">
        <v>21</v>
      </c>
      <c r="G560" s="3" t="s">
        <v>36</v>
      </c>
      <c r="H560" s="3" t="s">
        <v>37</v>
      </c>
      <c r="I560" s="3" t="s">
        <v>24</v>
      </c>
      <c r="J560" s="3" t="s">
        <v>24</v>
      </c>
      <c r="K560" s="3" t="s">
        <v>25</v>
      </c>
      <c r="L560" s="4">
        <v>0</v>
      </c>
      <c r="M560" s="3" t="s">
        <v>26</v>
      </c>
      <c r="N560" s="3" t="s">
        <v>24</v>
      </c>
      <c r="O560" s="4">
        <v>1</v>
      </c>
      <c r="P560" s="4">
        <v>10</v>
      </c>
      <c r="Q560" s="4">
        <v>1</v>
      </c>
    </row>
    <row r="561" spans="1:17" x14ac:dyDescent="0.25">
      <c r="A561" s="3" t="s">
        <v>18</v>
      </c>
      <c r="B561" s="3">
        <v>11799018</v>
      </c>
      <c r="C561" s="3" t="s">
        <v>601</v>
      </c>
      <c r="D561" s="3" t="s">
        <v>20</v>
      </c>
      <c r="E561" s="3" t="s">
        <v>21</v>
      </c>
      <c r="F561" s="3" t="s">
        <v>21</v>
      </c>
      <c r="G561" s="3" t="s">
        <v>36</v>
      </c>
      <c r="H561" s="3" t="s">
        <v>37</v>
      </c>
      <c r="I561" s="3" t="s">
        <v>24</v>
      </c>
      <c r="J561" s="3" t="s">
        <v>24</v>
      </c>
      <c r="K561" s="3" t="s">
        <v>25</v>
      </c>
      <c r="L561" s="4">
        <v>0</v>
      </c>
      <c r="M561" s="3" t="s">
        <v>26</v>
      </c>
      <c r="N561" s="3" t="s">
        <v>24</v>
      </c>
      <c r="O561" s="4">
        <v>1</v>
      </c>
      <c r="P561" s="4">
        <v>10</v>
      </c>
      <c r="Q561" s="4">
        <v>1</v>
      </c>
    </row>
    <row r="562" spans="1:17" x14ac:dyDescent="0.25">
      <c r="A562" s="3" t="s">
        <v>18</v>
      </c>
      <c r="B562" s="3">
        <v>11799449</v>
      </c>
      <c r="C562" s="3" t="s">
        <v>602</v>
      </c>
      <c r="D562" s="3" t="s">
        <v>20</v>
      </c>
      <c r="E562" s="3" t="s">
        <v>21</v>
      </c>
      <c r="F562" s="3" t="s">
        <v>21</v>
      </c>
      <c r="G562" s="3" t="s">
        <v>233</v>
      </c>
      <c r="H562" s="3" t="s">
        <v>234</v>
      </c>
      <c r="I562" s="3" t="s">
        <v>24</v>
      </c>
      <c r="J562" s="3" t="s">
        <v>24</v>
      </c>
      <c r="K562" s="3" t="s">
        <v>25</v>
      </c>
      <c r="L562" s="4">
        <v>0</v>
      </c>
      <c r="M562" s="3" t="s">
        <v>26</v>
      </c>
      <c r="N562" s="3" t="s">
        <v>24</v>
      </c>
      <c r="O562" s="4">
        <v>1</v>
      </c>
      <c r="P562" s="4">
        <v>2</v>
      </c>
      <c r="Q562" s="4">
        <v>1</v>
      </c>
    </row>
    <row r="563" spans="1:17" x14ac:dyDescent="0.25">
      <c r="A563" s="3" t="s">
        <v>18</v>
      </c>
      <c r="B563" s="3">
        <v>11799450</v>
      </c>
      <c r="C563" s="3" t="s">
        <v>603</v>
      </c>
      <c r="D563" s="3" t="s">
        <v>20</v>
      </c>
      <c r="E563" s="3" t="s">
        <v>21</v>
      </c>
      <c r="F563" s="3" t="s">
        <v>21</v>
      </c>
      <c r="G563" s="3" t="s">
        <v>233</v>
      </c>
      <c r="H563" s="3" t="s">
        <v>234</v>
      </c>
      <c r="I563" s="3" t="s">
        <v>24</v>
      </c>
      <c r="J563" s="3" t="s">
        <v>24</v>
      </c>
      <c r="K563" s="3" t="s">
        <v>25</v>
      </c>
      <c r="L563" s="4">
        <v>0</v>
      </c>
      <c r="M563" s="3" t="s">
        <v>26</v>
      </c>
      <c r="N563" s="3" t="s">
        <v>24</v>
      </c>
      <c r="O563" s="4">
        <v>1</v>
      </c>
      <c r="P563" s="4">
        <v>2</v>
      </c>
      <c r="Q563" s="4">
        <v>1</v>
      </c>
    </row>
    <row r="564" spans="1:17" x14ac:dyDescent="0.25">
      <c r="A564" s="3" t="s">
        <v>18</v>
      </c>
      <c r="B564" s="3">
        <v>11799559</v>
      </c>
      <c r="C564" s="3" t="s">
        <v>604</v>
      </c>
      <c r="D564" s="3" t="s">
        <v>20</v>
      </c>
      <c r="E564" s="3" t="s">
        <v>21</v>
      </c>
      <c r="F564" s="3" t="s">
        <v>21</v>
      </c>
      <c r="G564" s="3" t="s">
        <v>233</v>
      </c>
      <c r="H564" s="3" t="s">
        <v>234</v>
      </c>
      <c r="I564" s="3" t="s">
        <v>24</v>
      </c>
      <c r="J564" s="3" t="s">
        <v>24</v>
      </c>
      <c r="K564" s="3" t="s">
        <v>25</v>
      </c>
      <c r="L564" s="4">
        <v>0</v>
      </c>
      <c r="M564" s="3" t="s">
        <v>26</v>
      </c>
      <c r="N564" s="3" t="s">
        <v>24</v>
      </c>
      <c r="O564" s="4">
        <v>1</v>
      </c>
      <c r="P564" s="4">
        <v>2</v>
      </c>
      <c r="Q564" s="4">
        <v>1</v>
      </c>
    </row>
    <row r="565" spans="1:17" x14ac:dyDescent="0.25">
      <c r="A565" s="3" t="s">
        <v>18</v>
      </c>
      <c r="B565" s="3">
        <v>11799652</v>
      </c>
      <c r="C565" s="3" t="s">
        <v>605</v>
      </c>
      <c r="D565" s="3" t="s">
        <v>20</v>
      </c>
      <c r="E565" s="3" t="s">
        <v>21</v>
      </c>
      <c r="F565" s="3" t="s">
        <v>21</v>
      </c>
      <c r="G565" s="3" t="s">
        <v>233</v>
      </c>
      <c r="H565" s="3" t="s">
        <v>234</v>
      </c>
      <c r="I565" s="3" t="s">
        <v>24</v>
      </c>
      <c r="J565" s="3" t="s">
        <v>24</v>
      </c>
      <c r="K565" s="3" t="s">
        <v>25</v>
      </c>
      <c r="L565" s="4">
        <v>0</v>
      </c>
      <c r="M565" s="3" t="s">
        <v>26</v>
      </c>
      <c r="N565" s="3" t="s">
        <v>24</v>
      </c>
      <c r="O565" s="4">
        <v>1</v>
      </c>
      <c r="P565" s="4">
        <v>2</v>
      </c>
      <c r="Q565" s="4">
        <v>1</v>
      </c>
    </row>
    <row r="566" spans="1:17" x14ac:dyDescent="0.25">
      <c r="A566" s="3" t="s">
        <v>18</v>
      </c>
      <c r="B566" s="3">
        <v>11799654</v>
      </c>
      <c r="C566" s="3" t="s">
        <v>606</v>
      </c>
      <c r="D566" s="3" t="s">
        <v>20</v>
      </c>
      <c r="E566" s="3" t="s">
        <v>21</v>
      </c>
      <c r="F566" s="3" t="s">
        <v>21</v>
      </c>
      <c r="G566" s="3" t="s">
        <v>233</v>
      </c>
      <c r="H566" s="3" t="s">
        <v>234</v>
      </c>
      <c r="I566" s="3" t="s">
        <v>24</v>
      </c>
      <c r="J566" s="3" t="s">
        <v>24</v>
      </c>
      <c r="K566" s="3" t="s">
        <v>25</v>
      </c>
      <c r="L566" s="4">
        <v>0</v>
      </c>
      <c r="M566" s="3" t="s">
        <v>26</v>
      </c>
      <c r="N566" s="3" t="s">
        <v>24</v>
      </c>
      <c r="O566" s="4">
        <v>1</v>
      </c>
      <c r="P566" s="4">
        <v>2</v>
      </c>
      <c r="Q566" s="4">
        <v>1</v>
      </c>
    </row>
    <row r="567" spans="1:17" x14ac:dyDescent="0.25">
      <c r="A567" s="3" t="s">
        <v>18</v>
      </c>
      <c r="B567" s="3">
        <v>11801572</v>
      </c>
      <c r="C567" s="3" t="s">
        <v>607</v>
      </c>
      <c r="D567" s="3" t="s">
        <v>20</v>
      </c>
      <c r="E567" s="3" t="s">
        <v>21</v>
      </c>
      <c r="F567" s="3" t="s">
        <v>21</v>
      </c>
      <c r="G567" s="3" t="s">
        <v>410</v>
      </c>
      <c r="H567" s="3" t="s">
        <v>411</v>
      </c>
      <c r="I567" s="3" t="s">
        <v>24</v>
      </c>
      <c r="J567" s="3" t="s">
        <v>24</v>
      </c>
      <c r="K567" s="3" t="s">
        <v>25</v>
      </c>
      <c r="L567" s="4">
        <v>0</v>
      </c>
      <c r="M567" s="3" t="s">
        <v>26</v>
      </c>
      <c r="N567" s="3" t="s">
        <v>24</v>
      </c>
      <c r="O567" s="4">
        <v>1</v>
      </c>
      <c r="P567" s="4">
        <v>8</v>
      </c>
      <c r="Q567" s="4">
        <v>1</v>
      </c>
    </row>
    <row r="568" spans="1:17" x14ac:dyDescent="0.25">
      <c r="A568" s="3" t="s">
        <v>18</v>
      </c>
      <c r="B568" s="3">
        <v>11801619</v>
      </c>
      <c r="C568" s="3" t="s">
        <v>608</v>
      </c>
      <c r="D568" s="3" t="s">
        <v>20</v>
      </c>
      <c r="E568" s="3" t="s">
        <v>21</v>
      </c>
      <c r="F568" s="3" t="s">
        <v>21</v>
      </c>
      <c r="G568" s="3" t="s">
        <v>410</v>
      </c>
      <c r="H568" s="3" t="s">
        <v>411</v>
      </c>
      <c r="I568" s="3" t="s">
        <v>24</v>
      </c>
      <c r="J568" s="3" t="s">
        <v>24</v>
      </c>
      <c r="K568" s="3" t="s">
        <v>25</v>
      </c>
      <c r="L568" s="4">
        <v>0</v>
      </c>
      <c r="M568" s="3" t="s">
        <v>26</v>
      </c>
      <c r="N568" s="3" t="s">
        <v>24</v>
      </c>
      <c r="O568" s="4">
        <v>1</v>
      </c>
      <c r="P568" s="4">
        <v>8</v>
      </c>
      <c r="Q568" s="4">
        <v>1</v>
      </c>
    </row>
    <row r="569" spans="1:17" x14ac:dyDescent="0.25">
      <c r="A569" s="3" t="s">
        <v>18</v>
      </c>
      <c r="B569" s="3">
        <v>11801621</v>
      </c>
      <c r="C569" s="3" t="s">
        <v>609</v>
      </c>
      <c r="D569" s="3" t="s">
        <v>20</v>
      </c>
      <c r="E569" s="3" t="s">
        <v>21</v>
      </c>
      <c r="F569" s="3" t="s">
        <v>21</v>
      </c>
      <c r="G569" s="3" t="s">
        <v>410</v>
      </c>
      <c r="H569" s="3" t="s">
        <v>411</v>
      </c>
      <c r="I569" s="3" t="s">
        <v>24</v>
      </c>
      <c r="J569" s="3" t="s">
        <v>24</v>
      </c>
      <c r="K569" s="3" t="s">
        <v>25</v>
      </c>
      <c r="L569" s="4">
        <v>0</v>
      </c>
      <c r="M569" s="3" t="s">
        <v>26</v>
      </c>
      <c r="N569" s="3" t="s">
        <v>24</v>
      </c>
      <c r="O569" s="4">
        <v>1</v>
      </c>
      <c r="P569" s="4">
        <v>8</v>
      </c>
      <c r="Q569" s="4">
        <v>1</v>
      </c>
    </row>
    <row r="570" spans="1:17" x14ac:dyDescent="0.25">
      <c r="A570" s="3" t="s">
        <v>18</v>
      </c>
      <c r="B570" s="3">
        <v>11801658</v>
      </c>
      <c r="C570" s="3" t="s">
        <v>610</v>
      </c>
      <c r="D570" s="3" t="s">
        <v>20</v>
      </c>
      <c r="E570" s="3" t="s">
        <v>21</v>
      </c>
      <c r="F570" s="3" t="s">
        <v>21</v>
      </c>
      <c r="G570" s="3" t="s">
        <v>410</v>
      </c>
      <c r="H570" s="3" t="s">
        <v>411</v>
      </c>
      <c r="I570" s="3" t="s">
        <v>24</v>
      </c>
      <c r="J570" s="3" t="s">
        <v>24</v>
      </c>
      <c r="K570" s="3" t="s">
        <v>25</v>
      </c>
      <c r="L570" s="4">
        <v>0</v>
      </c>
      <c r="M570" s="3" t="s">
        <v>26</v>
      </c>
      <c r="N570" s="3" t="s">
        <v>24</v>
      </c>
      <c r="O570" s="4">
        <v>1</v>
      </c>
      <c r="P570" s="4">
        <v>9</v>
      </c>
      <c r="Q570" s="4">
        <v>1</v>
      </c>
    </row>
    <row r="571" spans="1:17" x14ac:dyDescent="0.25">
      <c r="A571" s="3" t="s">
        <v>18</v>
      </c>
      <c r="B571" s="3">
        <v>11801992</v>
      </c>
      <c r="C571" s="3" t="s">
        <v>611</v>
      </c>
      <c r="D571" s="3" t="s">
        <v>20</v>
      </c>
      <c r="E571" s="3" t="s">
        <v>21</v>
      </c>
      <c r="F571" s="3" t="s">
        <v>21</v>
      </c>
      <c r="G571" s="3" t="s">
        <v>410</v>
      </c>
      <c r="H571" s="3" t="s">
        <v>411</v>
      </c>
      <c r="I571" s="3" t="s">
        <v>24</v>
      </c>
      <c r="J571" s="3" t="s">
        <v>24</v>
      </c>
      <c r="K571" s="3" t="s">
        <v>25</v>
      </c>
      <c r="L571" s="4">
        <v>0</v>
      </c>
      <c r="M571" s="3" t="s">
        <v>26</v>
      </c>
      <c r="N571" s="3" t="s">
        <v>24</v>
      </c>
      <c r="O571" s="4">
        <v>1</v>
      </c>
      <c r="P571" s="4">
        <v>8</v>
      </c>
      <c r="Q571" s="4">
        <v>1</v>
      </c>
    </row>
    <row r="572" spans="1:17" x14ac:dyDescent="0.25">
      <c r="A572" s="3" t="s">
        <v>18</v>
      </c>
      <c r="B572" s="3">
        <v>11802071</v>
      </c>
      <c r="C572" s="3" t="s">
        <v>612</v>
      </c>
      <c r="D572" s="3" t="s">
        <v>20</v>
      </c>
      <c r="E572" s="3" t="s">
        <v>21</v>
      </c>
      <c r="F572" s="3" t="s">
        <v>21</v>
      </c>
      <c r="G572" s="3" t="s">
        <v>410</v>
      </c>
      <c r="H572" s="3" t="s">
        <v>411</v>
      </c>
      <c r="I572" s="3" t="s">
        <v>24</v>
      </c>
      <c r="J572" s="3" t="s">
        <v>24</v>
      </c>
      <c r="K572" s="3" t="s">
        <v>25</v>
      </c>
      <c r="L572" s="4">
        <v>0</v>
      </c>
      <c r="M572" s="3" t="s">
        <v>26</v>
      </c>
      <c r="N572" s="3" t="s">
        <v>24</v>
      </c>
      <c r="O572" s="4">
        <v>1</v>
      </c>
      <c r="P572" s="4">
        <v>8</v>
      </c>
      <c r="Q572" s="4">
        <v>1</v>
      </c>
    </row>
    <row r="573" spans="1:17" x14ac:dyDescent="0.25">
      <c r="A573" s="3" t="s">
        <v>18</v>
      </c>
      <c r="B573" s="3">
        <v>11802077</v>
      </c>
      <c r="C573" s="3" t="s">
        <v>613</v>
      </c>
      <c r="D573" s="3" t="s">
        <v>20</v>
      </c>
      <c r="E573" s="3" t="s">
        <v>21</v>
      </c>
      <c r="F573" s="3" t="s">
        <v>21</v>
      </c>
      <c r="G573" s="3" t="s">
        <v>410</v>
      </c>
      <c r="H573" s="3" t="s">
        <v>411</v>
      </c>
      <c r="I573" s="3" t="s">
        <v>24</v>
      </c>
      <c r="J573" s="3" t="s">
        <v>24</v>
      </c>
      <c r="K573" s="3" t="s">
        <v>25</v>
      </c>
      <c r="L573" s="4">
        <v>0</v>
      </c>
      <c r="M573" s="3" t="s">
        <v>26</v>
      </c>
      <c r="N573" s="3" t="s">
        <v>24</v>
      </c>
      <c r="O573" s="4">
        <v>1</v>
      </c>
      <c r="P573" s="4">
        <v>8</v>
      </c>
      <c r="Q573" s="4">
        <v>1</v>
      </c>
    </row>
    <row r="574" spans="1:17" x14ac:dyDescent="0.25">
      <c r="A574" s="3" t="s">
        <v>18</v>
      </c>
      <c r="B574" s="3">
        <v>11802261</v>
      </c>
      <c r="C574" s="3" t="s">
        <v>614</v>
      </c>
      <c r="D574" s="3" t="s">
        <v>20</v>
      </c>
      <c r="E574" s="3" t="s">
        <v>21</v>
      </c>
      <c r="F574" s="3" t="s">
        <v>21</v>
      </c>
      <c r="G574" s="3" t="s">
        <v>410</v>
      </c>
      <c r="H574" s="3" t="s">
        <v>411</v>
      </c>
      <c r="I574" s="3" t="s">
        <v>24</v>
      </c>
      <c r="J574" s="3" t="s">
        <v>24</v>
      </c>
      <c r="K574" s="3" t="s">
        <v>25</v>
      </c>
      <c r="L574" s="4">
        <v>0</v>
      </c>
      <c r="M574" s="3" t="s">
        <v>26</v>
      </c>
      <c r="N574" s="3" t="s">
        <v>24</v>
      </c>
      <c r="O574" s="4">
        <v>1</v>
      </c>
      <c r="P574" s="4">
        <v>8</v>
      </c>
      <c r="Q574" s="4">
        <v>1</v>
      </c>
    </row>
    <row r="575" spans="1:17" x14ac:dyDescent="0.25">
      <c r="A575" s="3" t="s">
        <v>18</v>
      </c>
      <c r="B575" s="3">
        <v>11802262</v>
      </c>
      <c r="C575" s="3" t="s">
        <v>615</v>
      </c>
      <c r="D575" s="3" t="s">
        <v>20</v>
      </c>
      <c r="E575" s="3" t="s">
        <v>21</v>
      </c>
      <c r="F575" s="3" t="s">
        <v>21</v>
      </c>
      <c r="G575" s="3" t="s">
        <v>410</v>
      </c>
      <c r="H575" s="3" t="s">
        <v>411</v>
      </c>
      <c r="I575" s="3" t="s">
        <v>24</v>
      </c>
      <c r="J575" s="3" t="s">
        <v>24</v>
      </c>
      <c r="K575" s="3" t="s">
        <v>25</v>
      </c>
      <c r="L575" s="4">
        <v>0</v>
      </c>
      <c r="M575" s="3" t="s">
        <v>26</v>
      </c>
      <c r="N575" s="3" t="s">
        <v>24</v>
      </c>
      <c r="O575" s="4">
        <v>1</v>
      </c>
      <c r="P575" s="4">
        <v>8</v>
      </c>
      <c r="Q575" s="4">
        <v>1</v>
      </c>
    </row>
    <row r="576" spans="1:17" x14ac:dyDescent="0.25">
      <c r="A576" s="3" t="s">
        <v>18</v>
      </c>
      <c r="B576" s="3">
        <v>11802263</v>
      </c>
      <c r="C576" s="3" t="s">
        <v>616</v>
      </c>
      <c r="D576" s="3" t="s">
        <v>20</v>
      </c>
      <c r="E576" s="3" t="s">
        <v>21</v>
      </c>
      <c r="F576" s="3" t="s">
        <v>21</v>
      </c>
      <c r="G576" s="3" t="s">
        <v>410</v>
      </c>
      <c r="H576" s="3" t="s">
        <v>411</v>
      </c>
      <c r="I576" s="3" t="s">
        <v>24</v>
      </c>
      <c r="J576" s="3" t="s">
        <v>24</v>
      </c>
      <c r="K576" s="3" t="s">
        <v>25</v>
      </c>
      <c r="L576" s="4">
        <v>0</v>
      </c>
      <c r="M576" s="3" t="s">
        <v>26</v>
      </c>
      <c r="N576" s="3" t="s">
        <v>24</v>
      </c>
      <c r="O576" s="4">
        <v>1</v>
      </c>
      <c r="P576" s="4">
        <v>8</v>
      </c>
      <c r="Q576" s="4">
        <v>1</v>
      </c>
    </row>
    <row r="577" spans="1:17" x14ac:dyDescent="0.25">
      <c r="A577" s="3" t="s">
        <v>18</v>
      </c>
      <c r="B577" s="3">
        <v>11802264</v>
      </c>
      <c r="C577" s="3" t="s">
        <v>617</v>
      </c>
      <c r="D577" s="3" t="s">
        <v>20</v>
      </c>
      <c r="E577" s="3" t="s">
        <v>21</v>
      </c>
      <c r="F577" s="3" t="s">
        <v>21</v>
      </c>
      <c r="G577" s="3" t="s">
        <v>410</v>
      </c>
      <c r="H577" s="3" t="s">
        <v>411</v>
      </c>
      <c r="I577" s="3" t="s">
        <v>24</v>
      </c>
      <c r="J577" s="3" t="s">
        <v>24</v>
      </c>
      <c r="K577" s="3" t="s">
        <v>25</v>
      </c>
      <c r="L577" s="4">
        <v>0</v>
      </c>
      <c r="M577" s="3" t="s">
        <v>26</v>
      </c>
      <c r="N577" s="3" t="s">
        <v>24</v>
      </c>
      <c r="O577" s="4">
        <v>1</v>
      </c>
      <c r="P577" s="4">
        <v>8</v>
      </c>
      <c r="Q577" s="4">
        <v>1</v>
      </c>
    </row>
    <row r="578" spans="1:17" x14ac:dyDescent="0.25">
      <c r="A578" s="3" t="s">
        <v>18</v>
      </c>
      <c r="B578" s="3">
        <v>11802265</v>
      </c>
      <c r="C578" s="3" t="s">
        <v>618</v>
      </c>
      <c r="D578" s="3" t="s">
        <v>20</v>
      </c>
      <c r="E578" s="3" t="s">
        <v>21</v>
      </c>
      <c r="F578" s="3" t="s">
        <v>21</v>
      </c>
      <c r="G578" s="3" t="s">
        <v>410</v>
      </c>
      <c r="H578" s="3" t="s">
        <v>411</v>
      </c>
      <c r="I578" s="3" t="s">
        <v>24</v>
      </c>
      <c r="J578" s="3" t="s">
        <v>24</v>
      </c>
      <c r="K578" s="3" t="s">
        <v>25</v>
      </c>
      <c r="L578" s="4">
        <v>0</v>
      </c>
      <c r="M578" s="3" t="s">
        <v>26</v>
      </c>
      <c r="N578" s="3" t="s">
        <v>24</v>
      </c>
      <c r="O578" s="4">
        <v>1</v>
      </c>
      <c r="P578" s="4">
        <v>8</v>
      </c>
      <c r="Q578" s="4">
        <v>1</v>
      </c>
    </row>
    <row r="579" spans="1:17" x14ac:dyDescent="0.25">
      <c r="A579" s="3" t="s">
        <v>18</v>
      </c>
      <c r="B579" s="3">
        <v>11802266</v>
      </c>
      <c r="C579" s="3" t="s">
        <v>619</v>
      </c>
      <c r="D579" s="3" t="s">
        <v>20</v>
      </c>
      <c r="E579" s="3" t="s">
        <v>21</v>
      </c>
      <c r="F579" s="3" t="s">
        <v>21</v>
      </c>
      <c r="G579" s="3" t="s">
        <v>410</v>
      </c>
      <c r="H579" s="3" t="s">
        <v>411</v>
      </c>
      <c r="I579" s="3" t="s">
        <v>24</v>
      </c>
      <c r="J579" s="3" t="s">
        <v>24</v>
      </c>
      <c r="K579" s="3" t="s">
        <v>25</v>
      </c>
      <c r="L579" s="4">
        <v>0</v>
      </c>
      <c r="M579" s="3" t="s">
        <v>26</v>
      </c>
      <c r="N579" s="3" t="s">
        <v>24</v>
      </c>
      <c r="O579" s="4">
        <v>1</v>
      </c>
      <c r="P579" s="4">
        <v>8</v>
      </c>
      <c r="Q579" s="4">
        <v>1</v>
      </c>
    </row>
    <row r="580" spans="1:17" x14ac:dyDescent="0.25">
      <c r="A580" s="3" t="s">
        <v>18</v>
      </c>
      <c r="B580" s="3">
        <v>11802267</v>
      </c>
      <c r="C580" s="3" t="s">
        <v>620</v>
      </c>
      <c r="D580" s="3" t="s">
        <v>20</v>
      </c>
      <c r="E580" s="3" t="s">
        <v>21</v>
      </c>
      <c r="F580" s="3" t="s">
        <v>21</v>
      </c>
      <c r="G580" s="3" t="s">
        <v>410</v>
      </c>
      <c r="H580" s="3" t="s">
        <v>411</v>
      </c>
      <c r="I580" s="3" t="s">
        <v>24</v>
      </c>
      <c r="J580" s="3" t="s">
        <v>24</v>
      </c>
      <c r="K580" s="3" t="s">
        <v>25</v>
      </c>
      <c r="L580" s="4">
        <v>0</v>
      </c>
      <c r="M580" s="3" t="s">
        <v>26</v>
      </c>
      <c r="N580" s="3" t="s">
        <v>24</v>
      </c>
      <c r="O580" s="4">
        <v>1</v>
      </c>
      <c r="P580" s="4">
        <v>8</v>
      </c>
      <c r="Q580" s="4">
        <v>1</v>
      </c>
    </row>
    <row r="581" spans="1:17" x14ac:dyDescent="0.25">
      <c r="A581" s="3" t="s">
        <v>18</v>
      </c>
      <c r="B581" s="3">
        <v>11802338</v>
      </c>
      <c r="C581" s="3" t="s">
        <v>621</v>
      </c>
      <c r="D581" s="3" t="s">
        <v>20</v>
      </c>
      <c r="E581" s="3" t="s">
        <v>21</v>
      </c>
      <c r="F581" s="3" t="s">
        <v>21</v>
      </c>
      <c r="G581" s="3" t="s">
        <v>410</v>
      </c>
      <c r="H581" s="3" t="s">
        <v>411</v>
      </c>
      <c r="I581" s="3" t="s">
        <v>24</v>
      </c>
      <c r="J581" s="3" t="s">
        <v>24</v>
      </c>
      <c r="K581" s="3" t="s">
        <v>25</v>
      </c>
      <c r="L581" s="4">
        <v>0</v>
      </c>
      <c r="M581" s="3" t="s">
        <v>26</v>
      </c>
      <c r="N581" s="3" t="s">
        <v>24</v>
      </c>
      <c r="O581" s="4">
        <v>1</v>
      </c>
      <c r="P581" s="4">
        <v>8</v>
      </c>
      <c r="Q581" s="4">
        <v>1</v>
      </c>
    </row>
    <row r="582" spans="1:17" x14ac:dyDescent="0.25">
      <c r="A582" s="3" t="s">
        <v>18</v>
      </c>
      <c r="B582" s="3">
        <v>11802339</v>
      </c>
      <c r="C582" s="3" t="s">
        <v>622</v>
      </c>
      <c r="D582" s="3" t="s">
        <v>20</v>
      </c>
      <c r="E582" s="3" t="s">
        <v>21</v>
      </c>
      <c r="F582" s="3" t="s">
        <v>21</v>
      </c>
      <c r="G582" s="3" t="s">
        <v>410</v>
      </c>
      <c r="H582" s="3" t="s">
        <v>411</v>
      </c>
      <c r="I582" s="3" t="s">
        <v>24</v>
      </c>
      <c r="J582" s="3" t="s">
        <v>24</v>
      </c>
      <c r="K582" s="3" t="s">
        <v>25</v>
      </c>
      <c r="L582" s="4">
        <v>0</v>
      </c>
      <c r="M582" s="3" t="s">
        <v>26</v>
      </c>
      <c r="N582" s="3" t="s">
        <v>24</v>
      </c>
      <c r="O582" s="4">
        <v>1</v>
      </c>
      <c r="P582" s="4">
        <v>8</v>
      </c>
      <c r="Q582" s="4">
        <v>1</v>
      </c>
    </row>
    <row r="583" spans="1:17" x14ac:dyDescent="0.25">
      <c r="A583" s="3" t="s">
        <v>18</v>
      </c>
      <c r="B583" s="3">
        <v>11802340</v>
      </c>
      <c r="C583" s="3" t="s">
        <v>623</v>
      </c>
      <c r="D583" s="3" t="s">
        <v>20</v>
      </c>
      <c r="E583" s="3" t="s">
        <v>21</v>
      </c>
      <c r="F583" s="3" t="s">
        <v>21</v>
      </c>
      <c r="G583" s="3" t="s">
        <v>410</v>
      </c>
      <c r="H583" s="3" t="s">
        <v>411</v>
      </c>
      <c r="I583" s="3" t="s">
        <v>24</v>
      </c>
      <c r="J583" s="3" t="s">
        <v>24</v>
      </c>
      <c r="K583" s="3" t="s">
        <v>25</v>
      </c>
      <c r="L583" s="4">
        <v>0</v>
      </c>
      <c r="M583" s="3" t="s">
        <v>26</v>
      </c>
      <c r="N583" s="3" t="s">
        <v>24</v>
      </c>
      <c r="O583" s="4">
        <v>1</v>
      </c>
      <c r="P583" s="4">
        <v>8</v>
      </c>
      <c r="Q583" s="4">
        <v>1</v>
      </c>
    </row>
    <row r="584" spans="1:17" x14ac:dyDescent="0.25">
      <c r="A584" s="3" t="s">
        <v>18</v>
      </c>
      <c r="B584" s="3">
        <v>11802341</v>
      </c>
      <c r="C584" s="3" t="s">
        <v>624</v>
      </c>
      <c r="D584" s="3" t="s">
        <v>20</v>
      </c>
      <c r="E584" s="3" t="s">
        <v>21</v>
      </c>
      <c r="F584" s="3" t="s">
        <v>21</v>
      </c>
      <c r="G584" s="3" t="s">
        <v>410</v>
      </c>
      <c r="H584" s="3" t="s">
        <v>411</v>
      </c>
      <c r="I584" s="3" t="s">
        <v>24</v>
      </c>
      <c r="J584" s="3" t="s">
        <v>24</v>
      </c>
      <c r="K584" s="3" t="s">
        <v>25</v>
      </c>
      <c r="L584" s="4">
        <v>0</v>
      </c>
      <c r="M584" s="3" t="s">
        <v>26</v>
      </c>
      <c r="N584" s="3" t="s">
        <v>24</v>
      </c>
      <c r="O584" s="4">
        <v>1</v>
      </c>
      <c r="P584" s="4">
        <v>8</v>
      </c>
      <c r="Q584" s="4">
        <v>1</v>
      </c>
    </row>
    <row r="585" spans="1:17" x14ac:dyDescent="0.25">
      <c r="A585" s="3" t="s">
        <v>18</v>
      </c>
      <c r="B585" s="3">
        <v>11802342</v>
      </c>
      <c r="C585" s="3" t="s">
        <v>625</v>
      </c>
      <c r="D585" s="3" t="s">
        <v>20</v>
      </c>
      <c r="E585" s="3" t="s">
        <v>21</v>
      </c>
      <c r="F585" s="3" t="s">
        <v>21</v>
      </c>
      <c r="G585" s="3" t="s">
        <v>410</v>
      </c>
      <c r="H585" s="3" t="s">
        <v>411</v>
      </c>
      <c r="I585" s="3" t="s">
        <v>24</v>
      </c>
      <c r="J585" s="3" t="s">
        <v>24</v>
      </c>
      <c r="K585" s="3" t="s">
        <v>25</v>
      </c>
      <c r="L585" s="4">
        <v>0</v>
      </c>
      <c r="M585" s="3" t="s">
        <v>26</v>
      </c>
      <c r="N585" s="3" t="s">
        <v>24</v>
      </c>
      <c r="O585" s="4">
        <v>1</v>
      </c>
      <c r="P585" s="4">
        <v>4</v>
      </c>
      <c r="Q585" s="4">
        <v>1</v>
      </c>
    </row>
    <row r="586" spans="1:17" x14ac:dyDescent="0.25">
      <c r="A586" s="3" t="s">
        <v>18</v>
      </c>
      <c r="B586" s="3">
        <v>11802343</v>
      </c>
      <c r="C586" s="3" t="s">
        <v>626</v>
      </c>
      <c r="D586" s="3" t="s">
        <v>20</v>
      </c>
      <c r="E586" s="3" t="s">
        <v>21</v>
      </c>
      <c r="F586" s="3" t="s">
        <v>21</v>
      </c>
      <c r="G586" s="3" t="s">
        <v>410</v>
      </c>
      <c r="H586" s="3" t="s">
        <v>411</v>
      </c>
      <c r="I586" s="3" t="s">
        <v>24</v>
      </c>
      <c r="J586" s="3" t="s">
        <v>24</v>
      </c>
      <c r="K586" s="3" t="s">
        <v>25</v>
      </c>
      <c r="L586" s="4">
        <v>0</v>
      </c>
      <c r="M586" s="3" t="s">
        <v>26</v>
      </c>
      <c r="N586" s="3" t="s">
        <v>24</v>
      </c>
      <c r="O586" s="4">
        <v>1</v>
      </c>
      <c r="P586" s="4">
        <v>4</v>
      </c>
      <c r="Q586" s="4">
        <v>1</v>
      </c>
    </row>
    <row r="587" spans="1:17" x14ac:dyDescent="0.25">
      <c r="A587" s="3" t="s">
        <v>18</v>
      </c>
      <c r="B587" s="3">
        <v>11802344</v>
      </c>
      <c r="C587" s="3" t="s">
        <v>627</v>
      </c>
      <c r="D587" s="3" t="s">
        <v>20</v>
      </c>
      <c r="E587" s="3" t="s">
        <v>21</v>
      </c>
      <c r="F587" s="3" t="s">
        <v>21</v>
      </c>
      <c r="G587" s="3" t="s">
        <v>410</v>
      </c>
      <c r="H587" s="3" t="s">
        <v>411</v>
      </c>
      <c r="I587" s="3" t="s">
        <v>24</v>
      </c>
      <c r="J587" s="3" t="s">
        <v>24</v>
      </c>
      <c r="K587" s="3" t="s">
        <v>25</v>
      </c>
      <c r="L587" s="4">
        <v>0</v>
      </c>
      <c r="M587" s="3" t="s">
        <v>26</v>
      </c>
      <c r="N587" s="3" t="s">
        <v>24</v>
      </c>
      <c r="O587" s="4">
        <v>1</v>
      </c>
      <c r="P587" s="4">
        <v>4</v>
      </c>
      <c r="Q587" s="4">
        <v>1</v>
      </c>
    </row>
    <row r="588" spans="1:17" x14ac:dyDescent="0.25">
      <c r="A588" s="3" t="s">
        <v>18</v>
      </c>
      <c r="B588" s="3">
        <v>11802345</v>
      </c>
      <c r="C588" s="3" t="s">
        <v>628</v>
      </c>
      <c r="D588" s="3" t="s">
        <v>20</v>
      </c>
      <c r="E588" s="3" t="s">
        <v>21</v>
      </c>
      <c r="F588" s="3" t="s">
        <v>21</v>
      </c>
      <c r="G588" s="3" t="s">
        <v>410</v>
      </c>
      <c r="H588" s="3" t="s">
        <v>411</v>
      </c>
      <c r="I588" s="3" t="s">
        <v>24</v>
      </c>
      <c r="J588" s="3" t="s">
        <v>24</v>
      </c>
      <c r="K588" s="3" t="s">
        <v>25</v>
      </c>
      <c r="L588" s="4">
        <v>0</v>
      </c>
      <c r="M588" s="3" t="s">
        <v>26</v>
      </c>
      <c r="N588" s="3" t="s">
        <v>24</v>
      </c>
      <c r="O588" s="4">
        <v>1</v>
      </c>
      <c r="P588" s="4">
        <v>4</v>
      </c>
      <c r="Q588" s="4">
        <v>1</v>
      </c>
    </row>
    <row r="589" spans="1:17" x14ac:dyDescent="0.25">
      <c r="A589" s="3" t="s">
        <v>18</v>
      </c>
      <c r="B589" s="3">
        <v>11802346</v>
      </c>
      <c r="C589" s="3" t="s">
        <v>629</v>
      </c>
      <c r="D589" s="3" t="s">
        <v>20</v>
      </c>
      <c r="E589" s="3" t="s">
        <v>21</v>
      </c>
      <c r="F589" s="3" t="s">
        <v>21</v>
      </c>
      <c r="G589" s="3" t="s">
        <v>410</v>
      </c>
      <c r="H589" s="3" t="s">
        <v>411</v>
      </c>
      <c r="I589" s="3" t="s">
        <v>24</v>
      </c>
      <c r="J589" s="3" t="s">
        <v>24</v>
      </c>
      <c r="K589" s="3" t="s">
        <v>25</v>
      </c>
      <c r="L589" s="4">
        <v>0</v>
      </c>
      <c r="M589" s="3" t="s">
        <v>26</v>
      </c>
      <c r="N589" s="3" t="s">
        <v>24</v>
      </c>
      <c r="O589" s="4">
        <v>1</v>
      </c>
      <c r="P589" s="4">
        <v>4</v>
      </c>
      <c r="Q589" s="4">
        <v>1</v>
      </c>
    </row>
    <row r="590" spans="1:17" x14ac:dyDescent="0.25">
      <c r="A590" s="3" t="s">
        <v>18</v>
      </c>
      <c r="B590" s="3">
        <v>11802347</v>
      </c>
      <c r="C590" s="3" t="s">
        <v>630</v>
      </c>
      <c r="D590" s="3" t="s">
        <v>20</v>
      </c>
      <c r="E590" s="3" t="s">
        <v>21</v>
      </c>
      <c r="F590" s="3" t="s">
        <v>21</v>
      </c>
      <c r="G590" s="3" t="s">
        <v>410</v>
      </c>
      <c r="H590" s="3" t="s">
        <v>411</v>
      </c>
      <c r="I590" s="3" t="s">
        <v>24</v>
      </c>
      <c r="J590" s="3" t="s">
        <v>24</v>
      </c>
      <c r="K590" s="3" t="s">
        <v>25</v>
      </c>
      <c r="L590" s="4">
        <v>0</v>
      </c>
      <c r="M590" s="3" t="s">
        <v>26</v>
      </c>
      <c r="N590" s="3" t="s">
        <v>24</v>
      </c>
      <c r="O590" s="4">
        <v>1</v>
      </c>
      <c r="P590" s="4">
        <v>4</v>
      </c>
      <c r="Q590" s="4">
        <v>1</v>
      </c>
    </row>
    <row r="591" spans="1:17" x14ac:dyDescent="0.25">
      <c r="A591" s="3" t="s">
        <v>18</v>
      </c>
      <c r="B591" s="3">
        <v>11802348</v>
      </c>
      <c r="C591" s="3" t="s">
        <v>631</v>
      </c>
      <c r="D591" s="3" t="s">
        <v>20</v>
      </c>
      <c r="E591" s="3" t="s">
        <v>21</v>
      </c>
      <c r="F591" s="3" t="s">
        <v>21</v>
      </c>
      <c r="G591" s="3" t="s">
        <v>410</v>
      </c>
      <c r="H591" s="3" t="s">
        <v>411</v>
      </c>
      <c r="I591" s="3" t="s">
        <v>24</v>
      </c>
      <c r="J591" s="3" t="s">
        <v>24</v>
      </c>
      <c r="K591" s="3" t="s">
        <v>25</v>
      </c>
      <c r="L591" s="4">
        <v>0</v>
      </c>
      <c r="M591" s="3" t="s">
        <v>26</v>
      </c>
      <c r="N591" s="3" t="s">
        <v>24</v>
      </c>
      <c r="O591" s="4">
        <v>1</v>
      </c>
      <c r="P591" s="4">
        <v>10</v>
      </c>
      <c r="Q591" s="4">
        <v>1</v>
      </c>
    </row>
    <row r="592" spans="1:17" x14ac:dyDescent="0.25">
      <c r="A592" s="3" t="s">
        <v>18</v>
      </c>
      <c r="B592" s="3">
        <v>11802349</v>
      </c>
      <c r="C592" s="3" t="s">
        <v>632</v>
      </c>
      <c r="D592" s="3" t="s">
        <v>20</v>
      </c>
      <c r="E592" s="3" t="s">
        <v>21</v>
      </c>
      <c r="F592" s="3" t="s">
        <v>21</v>
      </c>
      <c r="G592" s="3" t="s">
        <v>410</v>
      </c>
      <c r="H592" s="3" t="s">
        <v>411</v>
      </c>
      <c r="I592" s="3" t="s">
        <v>24</v>
      </c>
      <c r="J592" s="3" t="s">
        <v>24</v>
      </c>
      <c r="K592" s="3" t="s">
        <v>25</v>
      </c>
      <c r="L592" s="4">
        <v>0</v>
      </c>
      <c r="M592" s="3" t="s">
        <v>26</v>
      </c>
      <c r="N592" s="3" t="s">
        <v>24</v>
      </c>
      <c r="O592" s="4">
        <v>1</v>
      </c>
      <c r="P592" s="4">
        <v>10</v>
      </c>
      <c r="Q592" s="4">
        <v>1</v>
      </c>
    </row>
    <row r="593" spans="1:17" x14ac:dyDescent="0.25">
      <c r="A593" s="3" t="s">
        <v>18</v>
      </c>
      <c r="B593" s="3">
        <v>11802350</v>
      </c>
      <c r="C593" s="3" t="s">
        <v>633</v>
      </c>
      <c r="D593" s="3" t="s">
        <v>20</v>
      </c>
      <c r="E593" s="3" t="s">
        <v>21</v>
      </c>
      <c r="F593" s="3" t="s">
        <v>21</v>
      </c>
      <c r="G593" s="3" t="s">
        <v>410</v>
      </c>
      <c r="H593" s="3" t="s">
        <v>411</v>
      </c>
      <c r="I593" s="3" t="s">
        <v>24</v>
      </c>
      <c r="J593" s="3" t="s">
        <v>24</v>
      </c>
      <c r="K593" s="3" t="s">
        <v>25</v>
      </c>
      <c r="L593" s="4">
        <v>0</v>
      </c>
      <c r="M593" s="3" t="s">
        <v>26</v>
      </c>
      <c r="N593" s="3" t="s">
        <v>24</v>
      </c>
      <c r="O593" s="4">
        <v>1</v>
      </c>
      <c r="P593" s="4">
        <v>10</v>
      </c>
      <c r="Q593" s="4">
        <v>1</v>
      </c>
    </row>
    <row r="594" spans="1:17" x14ac:dyDescent="0.25">
      <c r="A594" s="3" t="s">
        <v>18</v>
      </c>
      <c r="B594" s="3">
        <v>11802351</v>
      </c>
      <c r="C594" s="3" t="s">
        <v>634</v>
      </c>
      <c r="D594" s="3" t="s">
        <v>20</v>
      </c>
      <c r="E594" s="3" t="s">
        <v>21</v>
      </c>
      <c r="F594" s="3" t="s">
        <v>21</v>
      </c>
      <c r="G594" s="3" t="s">
        <v>410</v>
      </c>
      <c r="H594" s="3" t="s">
        <v>411</v>
      </c>
      <c r="I594" s="3" t="s">
        <v>24</v>
      </c>
      <c r="J594" s="3" t="s">
        <v>24</v>
      </c>
      <c r="K594" s="3" t="s">
        <v>25</v>
      </c>
      <c r="L594" s="4">
        <v>0</v>
      </c>
      <c r="M594" s="3" t="s">
        <v>26</v>
      </c>
      <c r="N594" s="3" t="s">
        <v>24</v>
      </c>
      <c r="O594" s="4">
        <v>1</v>
      </c>
      <c r="P594" s="4">
        <v>10</v>
      </c>
      <c r="Q594" s="4">
        <v>1</v>
      </c>
    </row>
    <row r="595" spans="1:17" x14ac:dyDescent="0.25">
      <c r="A595" s="3" t="s">
        <v>18</v>
      </c>
      <c r="B595" s="3">
        <v>11802352</v>
      </c>
      <c r="C595" s="3" t="s">
        <v>635</v>
      </c>
      <c r="D595" s="3" t="s">
        <v>20</v>
      </c>
      <c r="E595" s="3" t="s">
        <v>21</v>
      </c>
      <c r="F595" s="3" t="s">
        <v>21</v>
      </c>
      <c r="G595" s="3" t="s">
        <v>410</v>
      </c>
      <c r="H595" s="3" t="s">
        <v>411</v>
      </c>
      <c r="I595" s="3" t="s">
        <v>24</v>
      </c>
      <c r="J595" s="3" t="s">
        <v>24</v>
      </c>
      <c r="K595" s="3" t="s">
        <v>25</v>
      </c>
      <c r="L595" s="4">
        <v>0</v>
      </c>
      <c r="M595" s="3" t="s">
        <v>26</v>
      </c>
      <c r="N595" s="3" t="s">
        <v>24</v>
      </c>
      <c r="O595" s="4">
        <v>1</v>
      </c>
      <c r="P595" s="4">
        <v>3</v>
      </c>
      <c r="Q595" s="4">
        <v>1</v>
      </c>
    </row>
    <row r="596" spans="1:17" x14ac:dyDescent="0.25">
      <c r="A596" s="3" t="s">
        <v>18</v>
      </c>
      <c r="B596" s="3">
        <v>11802353</v>
      </c>
      <c r="C596" s="3" t="s">
        <v>636</v>
      </c>
      <c r="D596" s="3" t="s">
        <v>20</v>
      </c>
      <c r="E596" s="3" t="s">
        <v>21</v>
      </c>
      <c r="F596" s="3" t="s">
        <v>21</v>
      </c>
      <c r="G596" s="3" t="s">
        <v>410</v>
      </c>
      <c r="H596" s="3" t="s">
        <v>411</v>
      </c>
      <c r="I596" s="3" t="s">
        <v>24</v>
      </c>
      <c r="J596" s="3" t="s">
        <v>24</v>
      </c>
      <c r="K596" s="3" t="s">
        <v>25</v>
      </c>
      <c r="L596" s="4">
        <v>0</v>
      </c>
      <c r="M596" s="3" t="s">
        <v>26</v>
      </c>
      <c r="N596" s="3" t="s">
        <v>24</v>
      </c>
      <c r="O596" s="4">
        <v>1</v>
      </c>
      <c r="P596" s="4">
        <v>2</v>
      </c>
      <c r="Q596" s="4">
        <v>1</v>
      </c>
    </row>
    <row r="597" spans="1:17" x14ac:dyDescent="0.25">
      <c r="A597" s="3" t="s">
        <v>18</v>
      </c>
      <c r="B597" s="3">
        <v>11802354</v>
      </c>
      <c r="C597" s="3" t="s">
        <v>637</v>
      </c>
      <c r="D597" s="3" t="s">
        <v>20</v>
      </c>
      <c r="E597" s="3" t="s">
        <v>21</v>
      </c>
      <c r="F597" s="3" t="s">
        <v>21</v>
      </c>
      <c r="G597" s="3" t="s">
        <v>410</v>
      </c>
      <c r="H597" s="3" t="s">
        <v>411</v>
      </c>
      <c r="I597" s="3" t="s">
        <v>24</v>
      </c>
      <c r="J597" s="3" t="s">
        <v>24</v>
      </c>
      <c r="K597" s="3" t="s">
        <v>25</v>
      </c>
      <c r="L597" s="4">
        <v>0</v>
      </c>
      <c r="M597" s="3" t="s">
        <v>26</v>
      </c>
      <c r="N597" s="3" t="s">
        <v>24</v>
      </c>
      <c r="O597" s="4">
        <v>1</v>
      </c>
      <c r="P597" s="4">
        <v>2</v>
      </c>
      <c r="Q597" s="4">
        <v>1</v>
      </c>
    </row>
    <row r="598" spans="1:17" x14ac:dyDescent="0.25">
      <c r="A598" s="3" t="s">
        <v>18</v>
      </c>
      <c r="B598" s="3">
        <v>11802355</v>
      </c>
      <c r="C598" s="3" t="s">
        <v>638</v>
      </c>
      <c r="D598" s="3" t="s">
        <v>20</v>
      </c>
      <c r="E598" s="3" t="s">
        <v>21</v>
      </c>
      <c r="F598" s="3" t="s">
        <v>21</v>
      </c>
      <c r="G598" s="3" t="s">
        <v>410</v>
      </c>
      <c r="H598" s="3" t="s">
        <v>411</v>
      </c>
      <c r="I598" s="3" t="s">
        <v>24</v>
      </c>
      <c r="J598" s="3" t="s">
        <v>24</v>
      </c>
      <c r="K598" s="3" t="s">
        <v>25</v>
      </c>
      <c r="L598" s="4">
        <v>0</v>
      </c>
      <c r="M598" s="3" t="s">
        <v>26</v>
      </c>
      <c r="N598" s="3" t="s">
        <v>24</v>
      </c>
      <c r="O598" s="4">
        <v>1</v>
      </c>
      <c r="P598" s="4">
        <v>2</v>
      </c>
      <c r="Q598" s="4">
        <v>1</v>
      </c>
    </row>
    <row r="599" spans="1:17" x14ac:dyDescent="0.25">
      <c r="A599" s="3" t="s">
        <v>18</v>
      </c>
      <c r="B599" s="3">
        <v>11802356</v>
      </c>
      <c r="C599" s="3" t="s">
        <v>639</v>
      </c>
      <c r="D599" s="3" t="s">
        <v>20</v>
      </c>
      <c r="E599" s="3" t="s">
        <v>21</v>
      </c>
      <c r="F599" s="3" t="s">
        <v>21</v>
      </c>
      <c r="G599" s="3" t="s">
        <v>410</v>
      </c>
      <c r="H599" s="3" t="s">
        <v>411</v>
      </c>
      <c r="I599" s="3" t="s">
        <v>24</v>
      </c>
      <c r="J599" s="3" t="s">
        <v>24</v>
      </c>
      <c r="K599" s="3" t="s">
        <v>25</v>
      </c>
      <c r="L599" s="4">
        <v>0</v>
      </c>
      <c r="M599" s="3" t="s">
        <v>26</v>
      </c>
      <c r="N599" s="3" t="s">
        <v>24</v>
      </c>
      <c r="O599" s="4">
        <v>1</v>
      </c>
      <c r="P599" s="4">
        <v>2</v>
      </c>
      <c r="Q599" s="4">
        <v>1</v>
      </c>
    </row>
    <row r="600" spans="1:17" x14ac:dyDescent="0.25">
      <c r="A600" s="3" t="s">
        <v>18</v>
      </c>
      <c r="B600" s="3">
        <v>11802357</v>
      </c>
      <c r="C600" s="3" t="s">
        <v>640</v>
      </c>
      <c r="D600" s="3" t="s">
        <v>20</v>
      </c>
      <c r="E600" s="3" t="s">
        <v>21</v>
      </c>
      <c r="F600" s="3" t="s">
        <v>21</v>
      </c>
      <c r="G600" s="3" t="s">
        <v>410</v>
      </c>
      <c r="H600" s="3" t="s">
        <v>411</v>
      </c>
      <c r="I600" s="3" t="s">
        <v>24</v>
      </c>
      <c r="J600" s="3" t="s">
        <v>24</v>
      </c>
      <c r="K600" s="3" t="s">
        <v>25</v>
      </c>
      <c r="L600" s="4">
        <v>0</v>
      </c>
      <c r="M600" s="3" t="s">
        <v>26</v>
      </c>
      <c r="N600" s="3" t="s">
        <v>24</v>
      </c>
      <c r="O600" s="4">
        <v>1</v>
      </c>
      <c r="P600" s="4">
        <v>2</v>
      </c>
      <c r="Q600" s="4">
        <v>1</v>
      </c>
    </row>
    <row r="601" spans="1:17" x14ac:dyDescent="0.25">
      <c r="A601" s="3" t="s">
        <v>18</v>
      </c>
      <c r="B601" s="3">
        <v>11802358</v>
      </c>
      <c r="C601" s="3" t="s">
        <v>641</v>
      </c>
      <c r="D601" s="3" t="s">
        <v>20</v>
      </c>
      <c r="E601" s="3" t="s">
        <v>21</v>
      </c>
      <c r="F601" s="3" t="s">
        <v>21</v>
      </c>
      <c r="G601" s="3" t="s">
        <v>410</v>
      </c>
      <c r="H601" s="3" t="s">
        <v>411</v>
      </c>
      <c r="I601" s="3" t="s">
        <v>24</v>
      </c>
      <c r="J601" s="3" t="s">
        <v>24</v>
      </c>
      <c r="K601" s="3" t="s">
        <v>25</v>
      </c>
      <c r="L601" s="4">
        <v>0</v>
      </c>
      <c r="M601" s="3" t="s">
        <v>26</v>
      </c>
      <c r="N601" s="3" t="s">
        <v>24</v>
      </c>
      <c r="O601" s="4">
        <v>1</v>
      </c>
      <c r="P601" s="4">
        <v>3</v>
      </c>
      <c r="Q601" s="4">
        <v>1</v>
      </c>
    </row>
    <row r="602" spans="1:17" x14ac:dyDescent="0.25">
      <c r="A602" s="3" t="s">
        <v>18</v>
      </c>
      <c r="B602" s="3">
        <v>11802359</v>
      </c>
      <c r="C602" s="3" t="s">
        <v>642</v>
      </c>
      <c r="D602" s="3" t="s">
        <v>20</v>
      </c>
      <c r="E602" s="3" t="s">
        <v>21</v>
      </c>
      <c r="F602" s="3" t="s">
        <v>21</v>
      </c>
      <c r="G602" s="3" t="s">
        <v>410</v>
      </c>
      <c r="H602" s="3" t="s">
        <v>411</v>
      </c>
      <c r="I602" s="3" t="s">
        <v>24</v>
      </c>
      <c r="J602" s="3" t="s">
        <v>24</v>
      </c>
      <c r="K602" s="3" t="s">
        <v>25</v>
      </c>
      <c r="L602" s="4">
        <v>0</v>
      </c>
      <c r="M602" s="3" t="s">
        <v>26</v>
      </c>
      <c r="N602" s="3" t="s">
        <v>24</v>
      </c>
      <c r="O602" s="4">
        <v>1</v>
      </c>
      <c r="P602" s="4">
        <v>2</v>
      </c>
      <c r="Q602" s="4">
        <v>1</v>
      </c>
    </row>
    <row r="603" spans="1:17" x14ac:dyDescent="0.25">
      <c r="A603" s="3" t="s">
        <v>18</v>
      </c>
      <c r="B603" s="3">
        <v>11802360</v>
      </c>
      <c r="C603" s="3" t="s">
        <v>643</v>
      </c>
      <c r="D603" s="3" t="s">
        <v>20</v>
      </c>
      <c r="E603" s="3" t="s">
        <v>21</v>
      </c>
      <c r="F603" s="3" t="s">
        <v>21</v>
      </c>
      <c r="G603" s="3" t="s">
        <v>410</v>
      </c>
      <c r="H603" s="3" t="s">
        <v>411</v>
      </c>
      <c r="I603" s="3" t="s">
        <v>24</v>
      </c>
      <c r="J603" s="3" t="s">
        <v>24</v>
      </c>
      <c r="K603" s="3" t="s">
        <v>25</v>
      </c>
      <c r="L603" s="4">
        <v>0</v>
      </c>
      <c r="M603" s="3" t="s">
        <v>26</v>
      </c>
      <c r="N603" s="3" t="s">
        <v>24</v>
      </c>
      <c r="O603" s="4">
        <v>1</v>
      </c>
      <c r="P603" s="4">
        <v>2</v>
      </c>
      <c r="Q603" s="4">
        <v>1</v>
      </c>
    </row>
    <row r="604" spans="1:17" x14ac:dyDescent="0.25">
      <c r="A604" s="3" t="s">
        <v>18</v>
      </c>
      <c r="B604" s="3">
        <v>11802361</v>
      </c>
      <c r="C604" s="3" t="s">
        <v>644</v>
      </c>
      <c r="D604" s="3" t="s">
        <v>20</v>
      </c>
      <c r="E604" s="3" t="s">
        <v>21</v>
      </c>
      <c r="F604" s="3" t="s">
        <v>21</v>
      </c>
      <c r="G604" s="3" t="s">
        <v>410</v>
      </c>
      <c r="H604" s="3" t="s">
        <v>411</v>
      </c>
      <c r="I604" s="3" t="s">
        <v>24</v>
      </c>
      <c r="J604" s="3" t="s">
        <v>24</v>
      </c>
      <c r="K604" s="3" t="s">
        <v>25</v>
      </c>
      <c r="L604" s="4">
        <v>0</v>
      </c>
      <c r="M604" s="3" t="s">
        <v>26</v>
      </c>
      <c r="N604" s="3" t="s">
        <v>24</v>
      </c>
      <c r="O604" s="4">
        <v>1</v>
      </c>
      <c r="P604" s="4">
        <v>2</v>
      </c>
      <c r="Q604" s="4">
        <v>1</v>
      </c>
    </row>
    <row r="605" spans="1:17" x14ac:dyDescent="0.25">
      <c r="A605" s="3" t="s">
        <v>18</v>
      </c>
      <c r="B605" s="3">
        <v>11802362</v>
      </c>
      <c r="C605" s="3" t="s">
        <v>645</v>
      </c>
      <c r="D605" s="3" t="s">
        <v>20</v>
      </c>
      <c r="E605" s="3" t="s">
        <v>21</v>
      </c>
      <c r="F605" s="3" t="s">
        <v>21</v>
      </c>
      <c r="G605" s="3" t="s">
        <v>410</v>
      </c>
      <c r="H605" s="3" t="s">
        <v>411</v>
      </c>
      <c r="I605" s="3" t="s">
        <v>24</v>
      </c>
      <c r="J605" s="3" t="s">
        <v>24</v>
      </c>
      <c r="K605" s="3" t="s">
        <v>25</v>
      </c>
      <c r="L605" s="4">
        <v>0</v>
      </c>
      <c r="M605" s="3" t="s">
        <v>26</v>
      </c>
      <c r="N605" s="3" t="s">
        <v>24</v>
      </c>
      <c r="O605" s="4">
        <v>1</v>
      </c>
      <c r="P605" s="4">
        <v>2</v>
      </c>
      <c r="Q605" s="4">
        <v>1</v>
      </c>
    </row>
    <row r="606" spans="1:17" x14ac:dyDescent="0.25">
      <c r="A606" s="3" t="s">
        <v>18</v>
      </c>
      <c r="B606" s="3">
        <v>11802363</v>
      </c>
      <c r="C606" s="3" t="s">
        <v>646</v>
      </c>
      <c r="D606" s="3" t="s">
        <v>20</v>
      </c>
      <c r="E606" s="3" t="s">
        <v>21</v>
      </c>
      <c r="F606" s="3" t="s">
        <v>21</v>
      </c>
      <c r="G606" s="3" t="s">
        <v>410</v>
      </c>
      <c r="H606" s="3" t="s">
        <v>411</v>
      </c>
      <c r="I606" s="3" t="s">
        <v>24</v>
      </c>
      <c r="J606" s="3" t="s">
        <v>24</v>
      </c>
      <c r="K606" s="3" t="s">
        <v>25</v>
      </c>
      <c r="L606" s="4">
        <v>0</v>
      </c>
      <c r="M606" s="3" t="s">
        <v>26</v>
      </c>
      <c r="N606" s="3" t="s">
        <v>24</v>
      </c>
      <c r="O606" s="4">
        <v>1</v>
      </c>
      <c r="P606" s="4">
        <v>3</v>
      </c>
      <c r="Q606" s="4">
        <v>1</v>
      </c>
    </row>
    <row r="607" spans="1:17" x14ac:dyDescent="0.25">
      <c r="A607" s="3" t="s">
        <v>18</v>
      </c>
      <c r="B607" s="3">
        <v>11802364</v>
      </c>
      <c r="C607" s="3" t="s">
        <v>647</v>
      </c>
      <c r="D607" s="3" t="s">
        <v>20</v>
      </c>
      <c r="E607" s="3" t="s">
        <v>21</v>
      </c>
      <c r="F607" s="3" t="s">
        <v>21</v>
      </c>
      <c r="G607" s="3" t="s">
        <v>410</v>
      </c>
      <c r="H607" s="3" t="s">
        <v>411</v>
      </c>
      <c r="I607" s="3" t="s">
        <v>24</v>
      </c>
      <c r="J607" s="3" t="s">
        <v>24</v>
      </c>
      <c r="K607" s="3" t="s">
        <v>25</v>
      </c>
      <c r="L607" s="4">
        <v>0</v>
      </c>
      <c r="M607" s="3" t="s">
        <v>26</v>
      </c>
      <c r="N607" s="3" t="s">
        <v>24</v>
      </c>
      <c r="O607" s="4">
        <v>1</v>
      </c>
      <c r="P607" s="4">
        <v>2</v>
      </c>
      <c r="Q607" s="4">
        <v>1</v>
      </c>
    </row>
    <row r="608" spans="1:17" x14ac:dyDescent="0.25">
      <c r="A608" s="3" t="s">
        <v>18</v>
      </c>
      <c r="B608" s="3">
        <v>11802365</v>
      </c>
      <c r="C608" s="3" t="s">
        <v>648</v>
      </c>
      <c r="D608" s="3" t="s">
        <v>20</v>
      </c>
      <c r="E608" s="3" t="s">
        <v>21</v>
      </c>
      <c r="F608" s="3" t="s">
        <v>21</v>
      </c>
      <c r="G608" s="3" t="s">
        <v>410</v>
      </c>
      <c r="H608" s="3" t="s">
        <v>411</v>
      </c>
      <c r="I608" s="3" t="s">
        <v>24</v>
      </c>
      <c r="J608" s="3" t="s">
        <v>24</v>
      </c>
      <c r="K608" s="3" t="s">
        <v>25</v>
      </c>
      <c r="L608" s="4">
        <v>0</v>
      </c>
      <c r="M608" s="3" t="s">
        <v>26</v>
      </c>
      <c r="N608" s="3" t="s">
        <v>24</v>
      </c>
      <c r="O608" s="4">
        <v>1</v>
      </c>
      <c r="P608" s="4">
        <v>2</v>
      </c>
      <c r="Q608" s="4">
        <v>1</v>
      </c>
    </row>
    <row r="609" spans="1:17" x14ac:dyDescent="0.25">
      <c r="A609" s="3" t="s">
        <v>18</v>
      </c>
      <c r="B609" s="3">
        <v>11811632</v>
      </c>
      <c r="C609" s="3" t="s">
        <v>649</v>
      </c>
      <c r="D609" s="3" t="s">
        <v>20</v>
      </c>
      <c r="E609" s="3" t="s">
        <v>21</v>
      </c>
      <c r="F609" s="3" t="s">
        <v>21</v>
      </c>
      <c r="G609" s="3" t="s">
        <v>233</v>
      </c>
      <c r="H609" s="3" t="s">
        <v>234</v>
      </c>
      <c r="I609" s="3" t="s">
        <v>24</v>
      </c>
      <c r="J609" s="3" t="s">
        <v>24</v>
      </c>
      <c r="K609" s="3" t="s">
        <v>25</v>
      </c>
      <c r="L609" s="4">
        <v>0</v>
      </c>
      <c r="M609" s="3" t="s">
        <v>26</v>
      </c>
      <c r="N609" s="3" t="s">
        <v>24</v>
      </c>
      <c r="O609" s="4">
        <v>1</v>
      </c>
      <c r="P609" s="4">
        <v>2</v>
      </c>
      <c r="Q609" s="4">
        <v>1</v>
      </c>
    </row>
    <row r="610" spans="1:17" x14ac:dyDescent="0.25">
      <c r="A610" s="3" t="s">
        <v>18</v>
      </c>
      <c r="B610" s="3">
        <v>11823555</v>
      </c>
      <c r="C610" s="3" t="s">
        <v>650</v>
      </c>
      <c r="D610" s="3" t="s">
        <v>20</v>
      </c>
      <c r="E610" s="3" t="s">
        <v>21</v>
      </c>
      <c r="F610" s="3" t="s">
        <v>21</v>
      </c>
      <c r="G610" s="3" t="s">
        <v>30</v>
      </c>
      <c r="H610" s="3" t="s">
        <v>31</v>
      </c>
      <c r="I610" s="3" t="s">
        <v>24</v>
      </c>
      <c r="J610" s="3" t="s">
        <v>24</v>
      </c>
      <c r="K610" s="3" t="s">
        <v>25</v>
      </c>
      <c r="L610" s="4">
        <v>0</v>
      </c>
      <c r="M610" s="3" t="s">
        <v>26</v>
      </c>
      <c r="N610" s="3" t="s">
        <v>24</v>
      </c>
      <c r="O610" s="4">
        <v>1</v>
      </c>
      <c r="P610" s="4">
        <v>8</v>
      </c>
      <c r="Q610" s="4">
        <v>1</v>
      </c>
    </row>
    <row r="611" spans="1:17" x14ac:dyDescent="0.25">
      <c r="A611" s="3" t="s">
        <v>18</v>
      </c>
      <c r="B611" s="3">
        <v>11823570</v>
      </c>
      <c r="C611" s="3" t="s">
        <v>651</v>
      </c>
      <c r="D611" s="3" t="s">
        <v>20</v>
      </c>
      <c r="E611" s="3" t="s">
        <v>21</v>
      </c>
      <c r="F611" s="3" t="s">
        <v>21</v>
      </c>
      <c r="G611" s="3" t="s">
        <v>36</v>
      </c>
      <c r="H611" s="3" t="s">
        <v>37</v>
      </c>
      <c r="I611" s="3" t="s">
        <v>24</v>
      </c>
      <c r="J611" s="3" t="s">
        <v>24</v>
      </c>
      <c r="K611" s="3" t="s">
        <v>25</v>
      </c>
      <c r="L611" s="4">
        <v>0</v>
      </c>
      <c r="M611" s="3" t="s">
        <v>26</v>
      </c>
      <c r="N611" s="3" t="s">
        <v>24</v>
      </c>
      <c r="O611" s="4">
        <v>1</v>
      </c>
      <c r="P611" s="4">
        <v>10</v>
      </c>
      <c r="Q611" s="4">
        <v>1</v>
      </c>
    </row>
    <row r="612" spans="1:17" x14ac:dyDescent="0.25">
      <c r="A612" s="3" t="s">
        <v>18</v>
      </c>
      <c r="B612" s="3">
        <v>11846094</v>
      </c>
      <c r="C612" s="3" t="s">
        <v>652</v>
      </c>
      <c r="D612" s="3" t="s">
        <v>20</v>
      </c>
      <c r="E612" s="3" t="s">
        <v>21</v>
      </c>
      <c r="F612" s="3" t="s">
        <v>21</v>
      </c>
      <c r="G612" s="3" t="s">
        <v>410</v>
      </c>
      <c r="H612" s="3" t="s">
        <v>411</v>
      </c>
      <c r="I612" s="3" t="s">
        <v>24</v>
      </c>
      <c r="J612" s="3" t="s">
        <v>24</v>
      </c>
      <c r="K612" s="3" t="s">
        <v>25</v>
      </c>
      <c r="L612" s="4">
        <v>0</v>
      </c>
      <c r="M612" s="3" t="s">
        <v>26</v>
      </c>
      <c r="N612" s="3" t="s">
        <v>24</v>
      </c>
      <c r="O612" s="4">
        <v>1</v>
      </c>
      <c r="P612" s="4">
        <v>9</v>
      </c>
      <c r="Q612" s="4">
        <v>1</v>
      </c>
    </row>
    <row r="613" spans="1:17" x14ac:dyDescent="0.25">
      <c r="A613" s="3" t="s">
        <v>18</v>
      </c>
      <c r="B613" s="3">
        <v>11846109</v>
      </c>
      <c r="C613" s="3" t="s">
        <v>653</v>
      </c>
      <c r="D613" s="3" t="s">
        <v>20</v>
      </c>
      <c r="E613" s="3" t="s">
        <v>21</v>
      </c>
      <c r="F613" s="3" t="s">
        <v>21</v>
      </c>
      <c r="G613" s="3" t="s">
        <v>410</v>
      </c>
      <c r="H613" s="3" t="s">
        <v>411</v>
      </c>
      <c r="I613" s="3" t="s">
        <v>24</v>
      </c>
      <c r="J613" s="3" t="s">
        <v>24</v>
      </c>
      <c r="K613" s="3" t="s">
        <v>25</v>
      </c>
      <c r="L613" s="4">
        <v>0</v>
      </c>
      <c r="M613" s="3" t="s">
        <v>26</v>
      </c>
      <c r="N613" s="3" t="s">
        <v>24</v>
      </c>
      <c r="O613" s="4">
        <v>1</v>
      </c>
      <c r="P613" s="4">
        <v>8</v>
      </c>
      <c r="Q613" s="4">
        <v>1</v>
      </c>
    </row>
    <row r="614" spans="1:17" x14ac:dyDescent="0.25">
      <c r="A614" s="3" t="s">
        <v>18</v>
      </c>
      <c r="B614" s="3">
        <v>11846112</v>
      </c>
      <c r="C614" s="3" t="s">
        <v>654</v>
      </c>
      <c r="D614" s="3" t="s">
        <v>20</v>
      </c>
      <c r="E614" s="3" t="s">
        <v>21</v>
      </c>
      <c r="F614" s="3" t="s">
        <v>21</v>
      </c>
      <c r="G614" s="3" t="s">
        <v>410</v>
      </c>
      <c r="H614" s="3" t="s">
        <v>411</v>
      </c>
      <c r="I614" s="3" t="s">
        <v>24</v>
      </c>
      <c r="J614" s="3" t="s">
        <v>24</v>
      </c>
      <c r="K614" s="3" t="s">
        <v>25</v>
      </c>
      <c r="L614" s="4">
        <v>0</v>
      </c>
      <c r="M614" s="3" t="s">
        <v>26</v>
      </c>
      <c r="N614" s="3" t="s">
        <v>24</v>
      </c>
      <c r="O614" s="4">
        <v>1</v>
      </c>
      <c r="P614" s="4">
        <v>8</v>
      </c>
      <c r="Q614" s="4">
        <v>1</v>
      </c>
    </row>
    <row r="615" spans="1:17" x14ac:dyDescent="0.25">
      <c r="A615" s="3" t="s">
        <v>18</v>
      </c>
      <c r="B615" s="3">
        <v>11846114</v>
      </c>
      <c r="C615" s="3" t="s">
        <v>655</v>
      </c>
      <c r="D615" s="3" t="s">
        <v>20</v>
      </c>
      <c r="E615" s="3" t="s">
        <v>21</v>
      </c>
      <c r="F615" s="3" t="s">
        <v>21</v>
      </c>
      <c r="G615" s="3" t="s">
        <v>410</v>
      </c>
      <c r="H615" s="3" t="s">
        <v>411</v>
      </c>
      <c r="I615" s="3" t="s">
        <v>24</v>
      </c>
      <c r="J615" s="3" t="s">
        <v>24</v>
      </c>
      <c r="K615" s="3" t="s">
        <v>25</v>
      </c>
      <c r="L615" s="4">
        <v>0</v>
      </c>
      <c r="M615" s="3" t="s">
        <v>26</v>
      </c>
      <c r="N615" s="3" t="s">
        <v>24</v>
      </c>
      <c r="O615" s="4">
        <v>1</v>
      </c>
      <c r="P615" s="4">
        <v>4</v>
      </c>
      <c r="Q615" s="4">
        <v>1</v>
      </c>
    </row>
    <row r="616" spans="1:17" x14ac:dyDescent="0.25">
      <c r="A616" s="3" t="s">
        <v>18</v>
      </c>
      <c r="B616" s="3">
        <v>11851728</v>
      </c>
      <c r="C616" s="3" t="s">
        <v>656</v>
      </c>
      <c r="D616" s="3" t="s">
        <v>20</v>
      </c>
      <c r="E616" s="3" t="s">
        <v>21</v>
      </c>
      <c r="F616" s="3" t="s">
        <v>21</v>
      </c>
      <c r="G616" s="3" t="s">
        <v>233</v>
      </c>
      <c r="H616" s="3" t="s">
        <v>234</v>
      </c>
      <c r="I616" s="3" t="s">
        <v>24</v>
      </c>
      <c r="J616" s="3" t="s">
        <v>24</v>
      </c>
      <c r="K616" s="3" t="s">
        <v>25</v>
      </c>
      <c r="L616" s="4">
        <v>0</v>
      </c>
      <c r="M616" s="3" t="s">
        <v>26</v>
      </c>
      <c r="N616" s="3" t="s">
        <v>24</v>
      </c>
      <c r="O616" s="4">
        <v>1</v>
      </c>
      <c r="P616" s="4">
        <v>3</v>
      </c>
      <c r="Q616" s="4">
        <v>1</v>
      </c>
    </row>
    <row r="617" spans="1:17" x14ac:dyDescent="0.25">
      <c r="A617" s="3" t="s">
        <v>18</v>
      </c>
      <c r="B617" s="3">
        <v>11871534</v>
      </c>
      <c r="C617" s="3" t="s">
        <v>657</v>
      </c>
      <c r="D617" s="3" t="s">
        <v>20</v>
      </c>
      <c r="E617" s="3" t="s">
        <v>21</v>
      </c>
      <c r="F617" s="3" t="s">
        <v>21</v>
      </c>
      <c r="G617" s="3" t="s">
        <v>233</v>
      </c>
      <c r="H617" s="3" t="s">
        <v>234</v>
      </c>
      <c r="I617" s="3" t="s">
        <v>24</v>
      </c>
      <c r="J617" s="3" t="s">
        <v>24</v>
      </c>
      <c r="K617" s="3" t="s">
        <v>25</v>
      </c>
      <c r="L617" s="4">
        <v>0</v>
      </c>
      <c r="M617" s="3" t="s">
        <v>26</v>
      </c>
      <c r="N617" s="3" t="s">
        <v>24</v>
      </c>
      <c r="O617" s="4">
        <v>1</v>
      </c>
      <c r="P617" s="4">
        <v>2</v>
      </c>
      <c r="Q617" s="4">
        <v>1</v>
      </c>
    </row>
    <row r="618" spans="1:17" x14ac:dyDescent="0.25">
      <c r="A618" s="3" t="s">
        <v>18</v>
      </c>
      <c r="B618" s="3">
        <v>11872796</v>
      </c>
      <c r="C618" s="3" t="s">
        <v>658</v>
      </c>
      <c r="D618" s="3" t="s">
        <v>20</v>
      </c>
      <c r="E618" s="3" t="s">
        <v>21</v>
      </c>
      <c r="F618" s="3" t="s">
        <v>21</v>
      </c>
      <c r="G618" s="3" t="s">
        <v>30</v>
      </c>
      <c r="H618" s="3" t="s">
        <v>31</v>
      </c>
      <c r="I618" s="3" t="s">
        <v>24</v>
      </c>
      <c r="J618" s="3" t="s">
        <v>24</v>
      </c>
      <c r="K618" s="3" t="s">
        <v>25</v>
      </c>
      <c r="L618" s="4">
        <v>0</v>
      </c>
      <c r="M618" s="3" t="s">
        <v>26</v>
      </c>
      <c r="N618" s="3" t="s">
        <v>24</v>
      </c>
      <c r="O618" s="4">
        <v>1</v>
      </c>
      <c r="P618" s="4">
        <v>8</v>
      </c>
      <c r="Q618" s="4">
        <v>1</v>
      </c>
    </row>
    <row r="619" spans="1:17" x14ac:dyDescent="0.25">
      <c r="A619" s="3" t="s">
        <v>18</v>
      </c>
      <c r="B619" s="3">
        <v>11872797</v>
      </c>
      <c r="C619" s="3" t="s">
        <v>659</v>
      </c>
      <c r="D619" s="3" t="s">
        <v>20</v>
      </c>
      <c r="E619" s="3" t="s">
        <v>21</v>
      </c>
      <c r="F619" s="3" t="s">
        <v>21</v>
      </c>
      <c r="G619" s="3" t="s">
        <v>30</v>
      </c>
      <c r="H619" s="3" t="s">
        <v>31</v>
      </c>
      <c r="I619" s="3" t="s">
        <v>24</v>
      </c>
      <c r="J619" s="3" t="s">
        <v>24</v>
      </c>
      <c r="K619" s="3" t="s">
        <v>25</v>
      </c>
      <c r="L619" s="4">
        <v>0</v>
      </c>
      <c r="M619" s="3" t="s">
        <v>26</v>
      </c>
      <c r="N619" s="3" t="s">
        <v>24</v>
      </c>
      <c r="O619" s="4">
        <v>1</v>
      </c>
      <c r="P619" s="4">
        <v>8</v>
      </c>
      <c r="Q619" s="4">
        <v>1</v>
      </c>
    </row>
    <row r="620" spans="1:17" x14ac:dyDescent="0.25">
      <c r="A620" s="3" t="s">
        <v>18</v>
      </c>
      <c r="B620" s="3">
        <v>11872808</v>
      </c>
      <c r="C620" s="3" t="s">
        <v>660</v>
      </c>
      <c r="D620" s="3" t="s">
        <v>20</v>
      </c>
      <c r="E620" s="3" t="s">
        <v>21</v>
      </c>
      <c r="F620" s="3" t="s">
        <v>21</v>
      </c>
      <c r="G620" s="3" t="s">
        <v>30</v>
      </c>
      <c r="H620" s="3" t="s">
        <v>31</v>
      </c>
      <c r="I620" s="3" t="s">
        <v>24</v>
      </c>
      <c r="J620" s="3" t="s">
        <v>24</v>
      </c>
      <c r="K620" s="3" t="s">
        <v>25</v>
      </c>
      <c r="L620" s="4">
        <v>0</v>
      </c>
      <c r="M620" s="3" t="s">
        <v>26</v>
      </c>
      <c r="N620" s="3" t="s">
        <v>24</v>
      </c>
      <c r="O620" s="4">
        <v>1</v>
      </c>
      <c r="P620" s="4">
        <v>8</v>
      </c>
      <c r="Q620" s="4">
        <v>1</v>
      </c>
    </row>
    <row r="621" spans="1:17" x14ac:dyDescent="0.25">
      <c r="A621" s="3" t="s">
        <v>18</v>
      </c>
      <c r="B621" s="3">
        <v>11872809</v>
      </c>
      <c r="C621" s="3" t="s">
        <v>661</v>
      </c>
      <c r="D621" s="3" t="s">
        <v>20</v>
      </c>
      <c r="E621" s="3" t="s">
        <v>21</v>
      </c>
      <c r="F621" s="3" t="s">
        <v>21</v>
      </c>
      <c r="G621" s="3" t="s">
        <v>30</v>
      </c>
      <c r="H621" s="3" t="s">
        <v>31</v>
      </c>
      <c r="I621" s="3" t="s">
        <v>24</v>
      </c>
      <c r="J621" s="3" t="s">
        <v>24</v>
      </c>
      <c r="K621" s="3" t="s">
        <v>25</v>
      </c>
      <c r="L621" s="4">
        <v>0</v>
      </c>
      <c r="M621" s="3" t="s">
        <v>26</v>
      </c>
      <c r="N621" s="3" t="s">
        <v>24</v>
      </c>
      <c r="O621" s="4">
        <v>1</v>
      </c>
      <c r="P621" s="4">
        <v>8</v>
      </c>
      <c r="Q621" s="4">
        <v>1</v>
      </c>
    </row>
    <row r="622" spans="1:17" x14ac:dyDescent="0.25">
      <c r="A622" s="3" t="s">
        <v>18</v>
      </c>
      <c r="B622" s="3">
        <v>11872810</v>
      </c>
      <c r="C622" s="3" t="s">
        <v>662</v>
      </c>
      <c r="D622" s="3" t="s">
        <v>20</v>
      </c>
      <c r="E622" s="3" t="s">
        <v>21</v>
      </c>
      <c r="F622" s="3" t="s">
        <v>21</v>
      </c>
      <c r="G622" s="3" t="s">
        <v>30</v>
      </c>
      <c r="H622" s="3" t="s">
        <v>31</v>
      </c>
      <c r="I622" s="3" t="s">
        <v>24</v>
      </c>
      <c r="J622" s="3" t="s">
        <v>24</v>
      </c>
      <c r="K622" s="3" t="s">
        <v>25</v>
      </c>
      <c r="L622" s="4">
        <v>0</v>
      </c>
      <c r="M622" s="3" t="s">
        <v>26</v>
      </c>
      <c r="N622" s="3" t="s">
        <v>24</v>
      </c>
      <c r="O622" s="4">
        <v>1</v>
      </c>
      <c r="P622" s="4">
        <v>8</v>
      </c>
      <c r="Q622" s="4">
        <v>1</v>
      </c>
    </row>
    <row r="623" spans="1:17" x14ac:dyDescent="0.25">
      <c r="A623" s="3" t="s">
        <v>18</v>
      </c>
      <c r="B623" s="3">
        <v>11872811</v>
      </c>
      <c r="C623" s="3" t="s">
        <v>663</v>
      </c>
      <c r="D623" s="3" t="s">
        <v>20</v>
      </c>
      <c r="E623" s="3" t="s">
        <v>21</v>
      </c>
      <c r="F623" s="3" t="s">
        <v>21</v>
      </c>
      <c r="G623" s="3" t="s">
        <v>30</v>
      </c>
      <c r="H623" s="3" t="s">
        <v>31</v>
      </c>
      <c r="I623" s="3" t="s">
        <v>24</v>
      </c>
      <c r="J623" s="3" t="s">
        <v>24</v>
      </c>
      <c r="K623" s="3" t="s">
        <v>25</v>
      </c>
      <c r="L623" s="4">
        <v>0</v>
      </c>
      <c r="M623" s="3" t="s">
        <v>26</v>
      </c>
      <c r="N623" s="3" t="s">
        <v>24</v>
      </c>
      <c r="O623" s="4">
        <v>1</v>
      </c>
      <c r="P623" s="4">
        <v>8</v>
      </c>
      <c r="Q623" s="4">
        <v>1</v>
      </c>
    </row>
    <row r="624" spans="1:17" x14ac:dyDescent="0.25">
      <c r="A624" s="3" t="s">
        <v>18</v>
      </c>
      <c r="B624" s="3">
        <v>11872872</v>
      </c>
      <c r="C624" s="3" t="s">
        <v>664</v>
      </c>
      <c r="D624" s="3" t="s">
        <v>20</v>
      </c>
      <c r="E624" s="3" t="s">
        <v>21</v>
      </c>
      <c r="F624" s="3" t="s">
        <v>21</v>
      </c>
      <c r="G624" s="3" t="s">
        <v>42</v>
      </c>
      <c r="H624" s="3" t="s">
        <v>43</v>
      </c>
      <c r="I624" s="3" t="s">
        <v>24</v>
      </c>
      <c r="J624" s="3" t="s">
        <v>24</v>
      </c>
      <c r="K624" s="3" t="s">
        <v>25</v>
      </c>
      <c r="L624" s="4">
        <v>0</v>
      </c>
      <c r="M624" s="3" t="s">
        <v>26</v>
      </c>
      <c r="N624" s="3" t="s">
        <v>24</v>
      </c>
      <c r="O624" s="4">
        <v>1</v>
      </c>
      <c r="P624" s="4">
        <v>8</v>
      </c>
      <c r="Q624" s="4">
        <v>1</v>
      </c>
    </row>
    <row r="625" spans="1:17" x14ac:dyDescent="0.25">
      <c r="A625" s="3" t="s">
        <v>18</v>
      </c>
      <c r="B625" s="3">
        <v>11872875</v>
      </c>
      <c r="C625" s="3" t="s">
        <v>665</v>
      </c>
      <c r="D625" s="3" t="s">
        <v>20</v>
      </c>
      <c r="E625" s="3" t="s">
        <v>21</v>
      </c>
      <c r="F625" s="3" t="s">
        <v>21</v>
      </c>
      <c r="G625" s="3" t="s">
        <v>42</v>
      </c>
      <c r="H625" s="3" t="s">
        <v>43</v>
      </c>
      <c r="I625" s="3" t="s">
        <v>24</v>
      </c>
      <c r="J625" s="3" t="s">
        <v>24</v>
      </c>
      <c r="K625" s="3" t="s">
        <v>25</v>
      </c>
      <c r="L625" s="4">
        <v>0</v>
      </c>
      <c r="M625" s="3" t="s">
        <v>26</v>
      </c>
      <c r="N625" s="3" t="s">
        <v>24</v>
      </c>
      <c r="O625" s="4">
        <v>1</v>
      </c>
      <c r="P625" s="4">
        <v>8</v>
      </c>
      <c r="Q625" s="4">
        <v>1</v>
      </c>
    </row>
    <row r="626" spans="1:17" x14ac:dyDescent="0.25">
      <c r="A626" s="3" t="s">
        <v>18</v>
      </c>
      <c r="B626" s="3">
        <v>11872908</v>
      </c>
      <c r="C626" s="3" t="s">
        <v>666</v>
      </c>
      <c r="D626" s="3" t="s">
        <v>20</v>
      </c>
      <c r="E626" s="3" t="s">
        <v>21</v>
      </c>
      <c r="F626" s="3" t="s">
        <v>21</v>
      </c>
      <c r="G626" s="3" t="s">
        <v>42</v>
      </c>
      <c r="H626" s="3" t="s">
        <v>43</v>
      </c>
      <c r="I626" s="3" t="s">
        <v>24</v>
      </c>
      <c r="J626" s="3" t="s">
        <v>24</v>
      </c>
      <c r="K626" s="3" t="s">
        <v>25</v>
      </c>
      <c r="L626" s="4">
        <v>0</v>
      </c>
      <c r="M626" s="3" t="s">
        <v>26</v>
      </c>
      <c r="N626" s="3" t="s">
        <v>24</v>
      </c>
      <c r="O626" s="4">
        <v>1</v>
      </c>
      <c r="P626" s="4">
        <v>8</v>
      </c>
      <c r="Q626" s="4">
        <v>1</v>
      </c>
    </row>
    <row r="627" spans="1:17" x14ac:dyDescent="0.25">
      <c r="A627" s="3" t="s">
        <v>18</v>
      </c>
      <c r="B627" s="3">
        <v>11872976</v>
      </c>
      <c r="C627" s="3" t="s">
        <v>667</v>
      </c>
      <c r="D627" s="3" t="s">
        <v>20</v>
      </c>
      <c r="E627" s="3" t="s">
        <v>21</v>
      </c>
      <c r="F627" s="3" t="s">
        <v>21</v>
      </c>
      <c r="G627" s="3" t="s">
        <v>22</v>
      </c>
      <c r="H627" s="3" t="s">
        <v>23</v>
      </c>
      <c r="I627" s="3" t="s">
        <v>24</v>
      </c>
      <c r="J627" s="3" t="s">
        <v>24</v>
      </c>
      <c r="K627" s="3" t="s">
        <v>25</v>
      </c>
      <c r="L627" s="4">
        <v>0</v>
      </c>
      <c r="M627" s="3" t="s">
        <v>26</v>
      </c>
      <c r="N627" s="3" t="s">
        <v>24</v>
      </c>
      <c r="O627" s="4">
        <v>1</v>
      </c>
      <c r="P627" s="4">
        <v>4</v>
      </c>
      <c r="Q627" s="4">
        <v>1</v>
      </c>
    </row>
    <row r="628" spans="1:17" x14ac:dyDescent="0.25">
      <c r="A628" s="3" t="s">
        <v>18</v>
      </c>
      <c r="B628" s="3">
        <v>11873030</v>
      </c>
      <c r="C628" s="3" t="s">
        <v>668</v>
      </c>
      <c r="D628" s="3" t="s">
        <v>20</v>
      </c>
      <c r="E628" s="3" t="s">
        <v>21</v>
      </c>
      <c r="F628" s="3" t="s">
        <v>21</v>
      </c>
      <c r="G628" s="3" t="s">
        <v>22</v>
      </c>
      <c r="H628" s="3" t="s">
        <v>23</v>
      </c>
      <c r="I628" s="3" t="s">
        <v>24</v>
      </c>
      <c r="J628" s="3" t="s">
        <v>24</v>
      </c>
      <c r="K628" s="3" t="s">
        <v>25</v>
      </c>
      <c r="L628" s="4">
        <v>0</v>
      </c>
      <c r="M628" s="3" t="s">
        <v>26</v>
      </c>
      <c r="N628" s="3" t="s">
        <v>24</v>
      </c>
      <c r="O628" s="4">
        <v>1</v>
      </c>
      <c r="P628" s="4">
        <v>4</v>
      </c>
      <c r="Q628" s="4">
        <v>1</v>
      </c>
    </row>
    <row r="629" spans="1:17" x14ac:dyDescent="0.25">
      <c r="A629" s="3" t="s">
        <v>18</v>
      </c>
      <c r="B629" s="3">
        <v>11873031</v>
      </c>
      <c r="C629" s="3" t="s">
        <v>669</v>
      </c>
      <c r="D629" s="3" t="s">
        <v>20</v>
      </c>
      <c r="E629" s="3" t="s">
        <v>21</v>
      </c>
      <c r="F629" s="3" t="s">
        <v>21</v>
      </c>
      <c r="G629" s="3" t="s">
        <v>22</v>
      </c>
      <c r="H629" s="3" t="s">
        <v>23</v>
      </c>
      <c r="I629" s="3" t="s">
        <v>24</v>
      </c>
      <c r="J629" s="3" t="s">
        <v>24</v>
      </c>
      <c r="K629" s="3" t="s">
        <v>25</v>
      </c>
      <c r="L629" s="4">
        <v>0</v>
      </c>
      <c r="M629" s="3" t="s">
        <v>26</v>
      </c>
      <c r="N629" s="3" t="s">
        <v>24</v>
      </c>
      <c r="O629" s="4">
        <v>1</v>
      </c>
      <c r="P629" s="4">
        <v>4</v>
      </c>
      <c r="Q629" s="4">
        <v>1</v>
      </c>
    </row>
    <row r="630" spans="1:17" x14ac:dyDescent="0.25">
      <c r="A630" s="3" t="s">
        <v>18</v>
      </c>
      <c r="B630" s="3">
        <v>11873032</v>
      </c>
      <c r="C630" s="3" t="s">
        <v>670</v>
      </c>
      <c r="D630" s="3" t="s">
        <v>20</v>
      </c>
      <c r="E630" s="3" t="s">
        <v>21</v>
      </c>
      <c r="F630" s="3" t="s">
        <v>21</v>
      </c>
      <c r="G630" s="3" t="s">
        <v>36</v>
      </c>
      <c r="H630" s="3" t="s">
        <v>37</v>
      </c>
      <c r="I630" s="3" t="s">
        <v>24</v>
      </c>
      <c r="J630" s="3" t="s">
        <v>24</v>
      </c>
      <c r="K630" s="3" t="s">
        <v>25</v>
      </c>
      <c r="L630" s="4">
        <v>0</v>
      </c>
      <c r="M630" s="3" t="s">
        <v>26</v>
      </c>
      <c r="N630" s="3" t="s">
        <v>24</v>
      </c>
      <c r="O630" s="4">
        <v>1</v>
      </c>
      <c r="P630" s="4">
        <v>10</v>
      </c>
      <c r="Q630" s="4">
        <v>1</v>
      </c>
    </row>
    <row r="631" spans="1:17" x14ac:dyDescent="0.25">
      <c r="A631" s="3" t="s">
        <v>18</v>
      </c>
      <c r="B631" s="3">
        <v>11873036</v>
      </c>
      <c r="C631" s="3" t="s">
        <v>671</v>
      </c>
      <c r="D631" s="3" t="s">
        <v>20</v>
      </c>
      <c r="E631" s="3" t="s">
        <v>21</v>
      </c>
      <c r="F631" s="3" t="s">
        <v>21</v>
      </c>
      <c r="G631" s="3" t="s">
        <v>36</v>
      </c>
      <c r="H631" s="3" t="s">
        <v>37</v>
      </c>
      <c r="I631" s="3" t="s">
        <v>24</v>
      </c>
      <c r="J631" s="3" t="s">
        <v>24</v>
      </c>
      <c r="K631" s="3" t="s">
        <v>25</v>
      </c>
      <c r="L631" s="4">
        <v>0</v>
      </c>
      <c r="M631" s="3" t="s">
        <v>26</v>
      </c>
      <c r="N631" s="3" t="s">
        <v>24</v>
      </c>
      <c r="O631" s="4">
        <v>1</v>
      </c>
      <c r="P631" s="4">
        <v>10</v>
      </c>
      <c r="Q631" s="4">
        <v>1</v>
      </c>
    </row>
    <row r="632" spans="1:17" x14ac:dyDescent="0.25">
      <c r="A632" s="3" t="s">
        <v>18</v>
      </c>
      <c r="B632" s="3">
        <v>11873092</v>
      </c>
      <c r="C632" s="3" t="s">
        <v>672</v>
      </c>
      <c r="D632" s="3" t="s">
        <v>20</v>
      </c>
      <c r="E632" s="3" t="s">
        <v>21</v>
      </c>
      <c r="F632" s="3" t="s">
        <v>21</v>
      </c>
      <c r="G632" s="3" t="s">
        <v>233</v>
      </c>
      <c r="H632" s="3" t="s">
        <v>234</v>
      </c>
      <c r="I632" s="3" t="s">
        <v>24</v>
      </c>
      <c r="J632" s="3" t="s">
        <v>24</v>
      </c>
      <c r="K632" s="3" t="s">
        <v>25</v>
      </c>
      <c r="L632" s="4">
        <v>0</v>
      </c>
      <c r="M632" s="3" t="s">
        <v>26</v>
      </c>
      <c r="N632" s="3" t="s">
        <v>24</v>
      </c>
      <c r="O632" s="4">
        <v>1</v>
      </c>
      <c r="P632" s="4">
        <v>99999999</v>
      </c>
      <c r="Q632" s="4">
        <v>1</v>
      </c>
    </row>
    <row r="633" spans="1:17" x14ac:dyDescent="0.25">
      <c r="A633" s="3" t="s">
        <v>18</v>
      </c>
      <c r="B633" s="3">
        <v>11873094</v>
      </c>
      <c r="C633" s="3" t="s">
        <v>673</v>
      </c>
      <c r="D633" s="3" t="s">
        <v>20</v>
      </c>
      <c r="E633" s="3" t="s">
        <v>21</v>
      </c>
      <c r="F633" s="3" t="s">
        <v>21</v>
      </c>
      <c r="G633" s="3" t="s">
        <v>233</v>
      </c>
      <c r="H633" s="3" t="s">
        <v>234</v>
      </c>
      <c r="I633" s="3" t="s">
        <v>24</v>
      </c>
      <c r="J633" s="3" t="s">
        <v>24</v>
      </c>
      <c r="K633" s="3" t="s">
        <v>25</v>
      </c>
      <c r="L633" s="4">
        <v>0</v>
      </c>
      <c r="M633" s="3" t="s">
        <v>26</v>
      </c>
      <c r="N633" s="3" t="s">
        <v>24</v>
      </c>
      <c r="O633" s="4">
        <v>1</v>
      </c>
      <c r="P633" s="4">
        <v>99999999</v>
      </c>
      <c r="Q633" s="4">
        <v>1</v>
      </c>
    </row>
    <row r="634" spans="1:17" x14ac:dyDescent="0.25">
      <c r="A634" s="3" t="s">
        <v>18</v>
      </c>
      <c r="B634" s="3">
        <v>11873096</v>
      </c>
      <c r="C634" s="3" t="s">
        <v>674</v>
      </c>
      <c r="D634" s="3" t="s">
        <v>20</v>
      </c>
      <c r="E634" s="3" t="s">
        <v>21</v>
      </c>
      <c r="F634" s="3" t="s">
        <v>21</v>
      </c>
      <c r="G634" s="3" t="s">
        <v>233</v>
      </c>
      <c r="H634" s="3" t="s">
        <v>234</v>
      </c>
      <c r="I634" s="3" t="s">
        <v>24</v>
      </c>
      <c r="J634" s="3" t="s">
        <v>24</v>
      </c>
      <c r="K634" s="3" t="s">
        <v>25</v>
      </c>
      <c r="L634" s="4">
        <v>0</v>
      </c>
      <c r="M634" s="3" t="s">
        <v>26</v>
      </c>
      <c r="N634" s="3" t="s">
        <v>24</v>
      </c>
      <c r="O634" s="4">
        <v>1</v>
      </c>
      <c r="P634" s="4">
        <v>99999999</v>
      </c>
      <c r="Q634" s="4">
        <v>1</v>
      </c>
    </row>
    <row r="635" spans="1:17" x14ac:dyDescent="0.25">
      <c r="A635" s="3" t="s">
        <v>18</v>
      </c>
      <c r="B635" s="3">
        <v>11873190</v>
      </c>
      <c r="C635" s="3" t="s">
        <v>675</v>
      </c>
      <c r="D635" s="3" t="s">
        <v>20</v>
      </c>
      <c r="E635" s="3" t="s">
        <v>21</v>
      </c>
      <c r="F635" s="3" t="s">
        <v>21</v>
      </c>
      <c r="G635" s="3" t="s">
        <v>30</v>
      </c>
      <c r="H635" s="3" t="s">
        <v>31</v>
      </c>
      <c r="I635" s="3" t="s">
        <v>24</v>
      </c>
      <c r="J635" s="3" t="s">
        <v>24</v>
      </c>
      <c r="K635" s="3" t="s">
        <v>25</v>
      </c>
      <c r="L635" s="4">
        <v>0</v>
      </c>
      <c r="M635" s="3" t="s">
        <v>26</v>
      </c>
      <c r="N635" s="3" t="s">
        <v>24</v>
      </c>
      <c r="O635" s="4">
        <v>1</v>
      </c>
      <c r="P635" s="4">
        <v>8</v>
      </c>
      <c r="Q635" s="4">
        <v>1</v>
      </c>
    </row>
    <row r="636" spans="1:17" x14ac:dyDescent="0.25">
      <c r="A636" s="3" t="s">
        <v>18</v>
      </c>
      <c r="B636" s="3">
        <v>11873192</v>
      </c>
      <c r="C636" s="3" t="s">
        <v>676</v>
      </c>
      <c r="D636" s="3" t="s">
        <v>20</v>
      </c>
      <c r="E636" s="3" t="s">
        <v>21</v>
      </c>
      <c r="F636" s="3" t="s">
        <v>21</v>
      </c>
      <c r="G636" s="3" t="s">
        <v>30</v>
      </c>
      <c r="H636" s="3" t="s">
        <v>31</v>
      </c>
      <c r="I636" s="3" t="s">
        <v>24</v>
      </c>
      <c r="J636" s="3" t="s">
        <v>24</v>
      </c>
      <c r="K636" s="3" t="s">
        <v>25</v>
      </c>
      <c r="L636" s="4">
        <v>0</v>
      </c>
      <c r="M636" s="3" t="s">
        <v>26</v>
      </c>
      <c r="N636" s="3" t="s">
        <v>24</v>
      </c>
      <c r="O636" s="4">
        <v>1</v>
      </c>
      <c r="P636" s="4">
        <v>8</v>
      </c>
      <c r="Q636" s="4">
        <v>1</v>
      </c>
    </row>
    <row r="637" spans="1:17" x14ac:dyDescent="0.25">
      <c r="A637" s="3" t="s">
        <v>18</v>
      </c>
      <c r="B637" s="3">
        <v>11873399</v>
      </c>
      <c r="C637" s="3" t="s">
        <v>677</v>
      </c>
      <c r="D637" s="3" t="s">
        <v>20</v>
      </c>
      <c r="E637" s="3" t="s">
        <v>21</v>
      </c>
      <c r="F637" s="3" t="s">
        <v>21</v>
      </c>
      <c r="G637" s="3" t="s">
        <v>30</v>
      </c>
      <c r="H637" s="3" t="s">
        <v>31</v>
      </c>
      <c r="I637" s="3" t="s">
        <v>24</v>
      </c>
      <c r="J637" s="3" t="s">
        <v>24</v>
      </c>
      <c r="K637" s="3" t="s">
        <v>25</v>
      </c>
      <c r="L637" s="4">
        <v>0</v>
      </c>
      <c r="M637" s="3" t="s">
        <v>26</v>
      </c>
      <c r="N637" s="3" t="s">
        <v>24</v>
      </c>
      <c r="O637" s="4">
        <v>1</v>
      </c>
      <c r="P637" s="4">
        <v>8</v>
      </c>
      <c r="Q637" s="4">
        <v>1</v>
      </c>
    </row>
    <row r="638" spans="1:17" x14ac:dyDescent="0.25">
      <c r="A638" s="3" t="s">
        <v>18</v>
      </c>
      <c r="B638" s="3">
        <v>11873400</v>
      </c>
      <c r="C638" s="3" t="s">
        <v>678</v>
      </c>
      <c r="D638" s="3" t="s">
        <v>20</v>
      </c>
      <c r="E638" s="3" t="s">
        <v>21</v>
      </c>
      <c r="F638" s="3" t="s">
        <v>21</v>
      </c>
      <c r="G638" s="3" t="s">
        <v>30</v>
      </c>
      <c r="H638" s="3" t="s">
        <v>31</v>
      </c>
      <c r="I638" s="3" t="s">
        <v>24</v>
      </c>
      <c r="J638" s="3" t="s">
        <v>24</v>
      </c>
      <c r="K638" s="3" t="s">
        <v>25</v>
      </c>
      <c r="L638" s="4">
        <v>0</v>
      </c>
      <c r="M638" s="3" t="s">
        <v>26</v>
      </c>
      <c r="N638" s="3" t="s">
        <v>24</v>
      </c>
      <c r="O638" s="4">
        <v>1</v>
      </c>
      <c r="P638" s="4">
        <v>8</v>
      </c>
      <c r="Q638" s="4">
        <v>1</v>
      </c>
    </row>
    <row r="639" spans="1:17" x14ac:dyDescent="0.25">
      <c r="A639" s="3" t="s">
        <v>18</v>
      </c>
      <c r="B639" s="3">
        <v>11873401</v>
      </c>
      <c r="C639" s="3" t="s">
        <v>679</v>
      </c>
      <c r="D639" s="3" t="s">
        <v>20</v>
      </c>
      <c r="E639" s="3" t="s">
        <v>21</v>
      </c>
      <c r="F639" s="3" t="s">
        <v>21</v>
      </c>
      <c r="G639" s="3" t="s">
        <v>30</v>
      </c>
      <c r="H639" s="3" t="s">
        <v>31</v>
      </c>
      <c r="I639" s="3" t="s">
        <v>24</v>
      </c>
      <c r="J639" s="3" t="s">
        <v>24</v>
      </c>
      <c r="K639" s="3" t="s">
        <v>25</v>
      </c>
      <c r="L639" s="4">
        <v>0</v>
      </c>
      <c r="M639" s="3" t="s">
        <v>26</v>
      </c>
      <c r="N639" s="3" t="s">
        <v>24</v>
      </c>
      <c r="O639" s="4">
        <v>1</v>
      </c>
      <c r="P639" s="4">
        <v>9</v>
      </c>
      <c r="Q639" s="4">
        <v>1</v>
      </c>
    </row>
    <row r="640" spans="1:17" x14ac:dyDescent="0.25">
      <c r="A640" s="3" t="s">
        <v>18</v>
      </c>
      <c r="B640" s="3">
        <v>11873403</v>
      </c>
      <c r="C640" s="3" t="s">
        <v>680</v>
      </c>
      <c r="D640" s="3" t="s">
        <v>20</v>
      </c>
      <c r="E640" s="3" t="s">
        <v>21</v>
      </c>
      <c r="F640" s="3" t="s">
        <v>21</v>
      </c>
      <c r="G640" s="3" t="s">
        <v>30</v>
      </c>
      <c r="H640" s="3" t="s">
        <v>31</v>
      </c>
      <c r="I640" s="3" t="s">
        <v>24</v>
      </c>
      <c r="J640" s="3" t="s">
        <v>24</v>
      </c>
      <c r="K640" s="3" t="s">
        <v>25</v>
      </c>
      <c r="L640" s="4">
        <v>0</v>
      </c>
      <c r="M640" s="3" t="s">
        <v>26</v>
      </c>
      <c r="N640" s="3" t="s">
        <v>24</v>
      </c>
      <c r="O640" s="4">
        <v>1</v>
      </c>
      <c r="P640" s="4">
        <v>9</v>
      </c>
      <c r="Q640" s="4">
        <v>1</v>
      </c>
    </row>
    <row r="641" spans="1:17" x14ac:dyDescent="0.25">
      <c r="A641" s="3" t="s">
        <v>18</v>
      </c>
      <c r="B641" s="3">
        <v>11873405</v>
      </c>
      <c r="C641" s="3" t="s">
        <v>681</v>
      </c>
      <c r="D641" s="3" t="s">
        <v>20</v>
      </c>
      <c r="E641" s="3" t="s">
        <v>21</v>
      </c>
      <c r="F641" s="3" t="s">
        <v>21</v>
      </c>
      <c r="G641" s="3" t="s">
        <v>30</v>
      </c>
      <c r="H641" s="3" t="s">
        <v>31</v>
      </c>
      <c r="I641" s="3" t="s">
        <v>24</v>
      </c>
      <c r="J641" s="3" t="s">
        <v>24</v>
      </c>
      <c r="K641" s="3" t="s">
        <v>25</v>
      </c>
      <c r="L641" s="4">
        <v>0</v>
      </c>
      <c r="M641" s="3" t="s">
        <v>26</v>
      </c>
      <c r="N641" s="3" t="s">
        <v>24</v>
      </c>
      <c r="O641" s="4">
        <v>1</v>
      </c>
      <c r="P641" s="4">
        <v>8</v>
      </c>
      <c r="Q641" s="4">
        <v>1</v>
      </c>
    </row>
    <row r="642" spans="1:17" x14ac:dyDescent="0.25">
      <c r="A642" s="3" t="s">
        <v>18</v>
      </c>
      <c r="B642" s="3">
        <v>11873406</v>
      </c>
      <c r="C642" s="3" t="s">
        <v>682</v>
      </c>
      <c r="D642" s="3" t="s">
        <v>20</v>
      </c>
      <c r="E642" s="3" t="s">
        <v>21</v>
      </c>
      <c r="F642" s="3" t="s">
        <v>21</v>
      </c>
      <c r="G642" s="3" t="s">
        <v>30</v>
      </c>
      <c r="H642" s="3" t="s">
        <v>31</v>
      </c>
      <c r="I642" s="3" t="s">
        <v>24</v>
      </c>
      <c r="J642" s="3" t="s">
        <v>24</v>
      </c>
      <c r="K642" s="3" t="s">
        <v>25</v>
      </c>
      <c r="L642" s="4">
        <v>0</v>
      </c>
      <c r="M642" s="3" t="s">
        <v>26</v>
      </c>
      <c r="N642" s="3" t="s">
        <v>24</v>
      </c>
      <c r="O642" s="4">
        <v>1</v>
      </c>
      <c r="P642" s="4">
        <v>8</v>
      </c>
      <c r="Q642" s="4">
        <v>1</v>
      </c>
    </row>
    <row r="643" spans="1:17" x14ac:dyDescent="0.25">
      <c r="A643" s="3" t="s">
        <v>18</v>
      </c>
      <c r="B643" s="3">
        <v>11873420</v>
      </c>
      <c r="C643" s="3" t="s">
        <v>683</v>
      </c>
      <c r="D643" s="3" t="s">
        <v>20</v>
      </c>
      <c r="E643" s="3" t="s">
        <v>21</v>
      </c>
      <c r="F643" s="3" t="s">
        <v>21</v>
      </c>
      <c r="G643" s="3" t="s">
        <v>30</v>
      </c>
      <c r="H643" s="3" t="s">
        <v>31</v>
      </c>
      <c r="I643" s="3" t="s">
        <v>24</v>
      </c>
      <c r="J643" s="3" t="s">
        <v>24</v>
      </c>
      <c r="K643" s="3" t="s">
        <v>25</v>
      </c>
      <c r="L643" s="4">
        <v>0</v>
      </c>
      <c r="M643" s="3" t="s">
        <v>26</v>
      </c>
      <c r="N643" s="3" t="s">
        <v>24</v>
      </c>
      <c r="O643" s="4">
        <v>1</v>
      </c>
      <c r="P643" s="4">
        <v>8</v>
      </c>
      <c r="Q643" s="4">
        <v>1</v>
      </c>
    </row>
    <row r="644" spans="1:17" x14ac:dyDescent="0.25">
      <c r="A644" s="3" t="s">
        <v>18</v>
      </c>
      <c r="B644" s="3">
        <v>11873421</v>
      </c>
      <c r="C644" s="3" t="s">
        <v>684</v>
      </c>
      <c r="D644" s="3" t="s">
        <v>20</v>
      </c>
      <c r="E644" s="3" t="s">
        <v>21</v>
      </c>
      <c r="F644" s="3" t="s">
        <v>21</v>
      </c>
      <c r="G644" s="3" t="s">
        <v>42</v>
      </c>
      <c r="H644" s="3" t="s">
        <v>43</v>
      </c>
      <c r="I644" s="3" t="s">
        <v>24</v>
      </c>
      <c r="J644" s="3" t="s">
        <v>24</v>
      </c>
      <c r="K644" s="3" t="s">
        <v>25</v>
      </c>
      <c r="L644" s="4">
        <v>0</v>
      </c>
      <c r="M644" s="3" t="s">
        <v>26</v>
      </c>
      <c r="N644" s="3" t="s">
        <v>24</v>
      </c>
      <c r="O644" s="4">
        <v>1</v>
      </c>
      <c r="P644" s="4">
        <v>8</v>
      </c>
      <c r="Q644" s="4">
        <v>1</v>
      </c>
    </row>
    <row r="645" spans="1:17" x14ac:dyDescent="0.25">
      <c r="A645" s="3" t="s">
        <v>18</v>
      </c>
      <c r="B645" s="3">
        <v>11873425</v>
      </c>
      <c r="C645" s="3" t="s">
        <v>685</v>
      </c>
      <c r="D645" s="3" t="s">
        <v>20</v>
      </c>
      <c r="E645" s="3" t="s">
        <v>21</v>
      </c>
      <c r="F645" s="3" t="s">
        <v>21</v>
      </c>
      <c r="G645" s="3" t="s">
        <v>42</v>
      </c>
      <c r="H645" s="3" t="s">
        <v>43</v>
      </c>
      <c r="I645" s="3" t="s">
        <v>24</v>
      </c>
      <c r="J645" s="3" t="s">
        <v>24</v>
      </c>
      <c r="K645" s="3" t="s">
        <v>25</v>
      </c>
      <c r="L645" s="4">
        <v>0</v>
      </c>
      <c r="M645" s="3" t="s">
        <v>26</v>
      </c>
      <c r="N645" s="3" t="s">
        <v>24</v>
      </c>
      <c r="O645" s="4">
        <v>1</v>
      </c>
      <c r="P645" s="4">
        <v>8</v>
      </c>
      <c r="Q645" s="4">
        <v>1</v>
      </c>
    </row>
    <row r="646" spans="1:17" x14ac:dyDescent="0.25">
      <c r="A646" s="3" t="s">
        <v>18</v>
      </c>
      <c r="B646" s="3">
        <v>11873426</v>
      </c>
      <c r="C646" s="3" t="s">
        <v>686</v>
      </c>
      <c r="D646" s="3" t="s">
        <v>20</v>
      </c>
      <c r="E646" s="3" t="s">
        <v>21</v>
      </c>
      <c r="F646" s="3" t="s">
        <v>21</v>
      </c>
      <c r="G646" s="3" t="s">
        <v>42</v>
      </c>
      <c r="H646" s="3" t="s">
        <v>43</v>
      </c>
      <c r="I646" s="3" t="s">
        <v>24</v>
      </c>
      <c r="J646" s="3" t="s">
        <v>24</v>
      </c>
      <c r="K646" s="3" t="s">
        <v>25</v>
      </c>
      <c r="L646" s="4">
        <v>0</v>
      </c>
      <c r="M646" s="3" t="s">
        <v>26</v>
      </c>
      <c r="N646" s="3" t="s">
        <v>24</v>
      </c>
      <c r="O646" s="4">
        <v>1</v>
      </c>
      <c r="P646" s="4">
        <v>8</v>
      </c>
      <c r="Q646" s="4">
        <v>1</v>
      </c>
    </row>
    <row r="647" spans="1:17" x14ac:dyDescent="0.25">
      <c r="A647" s="3" t="s">
        <v>18</v>
      </c>
      <c r="B647" s="3">
        <v>11873427</v>
      </c>
      <c r="C647" s="3" t="s">
        <v>687</v>
      </c>
      <c r="D647" s="3" t="s">
        <v>20</v>
      </c>
      <c r="E647" s="3" t="s">
        <v>21</v>
      </c>
      <c r="F647" s="3" t="s">
        <v>21</v>
      </c>
      <c r="G647" s="3" t="s">
        <v>42</v>
      </c>
      <c r="H647" s="3" t="s">
        <v>43</v>
      </c>
      <c r="I647" s="3" t="s">
        <v>24</v>
      </c>
      <c r="J647" s="3" t="s">
        <v>24</v>
      </c>
      <c r="K647" s="3" t="s">
        <v>25</v>
      </c>
      <c r="L647" s="4">
        <v>0</v>
      </c>
      <c r="M647" s="3" t="s">
        <v>26</v>
      </c>
      <c r="N647" s="3" t="s">
        <v>24</v>
      </c>
      <c r="O647" s="4">
        <v>1</v>
      </c>
      <c r="P647" s="4">
        <v>8</v>
      </c>
      <c r="Q647" s="4">
        <v>1</v>
      </c>
    </row>
    <row r="648" spans="1:17" x14ac:dyDescent="0.25">
      <c r="A648" s="3" t="s">
        <v>18</v>
      </c>
      <c r="B648" s="3">
        <v>11873459</v>
      </c>
      <c r="C648" s="3" t="s">
        <v>688</v>
      </c>
      <c r="D648" s="3" t="s">
        <v>20</v>
      </c>
      <c r="E648" s="3" t="s">
        <v>21</v>
      </c>
      <c r="F648" s="3" t="s">
        <v>21</v>
      </c>
      <c r="G648" s="3" t="s">
        <v>42</v>
      </c>
      <c r="H648" s="3" t="s">
        <v>43</v>
      </c>
      <c r="I648" s="3" t="s">
        <v>24</v>
      </c>
      <c r="J648" s="3" t="s">
        <v>24</v>
      </c>
      <c r="K648" s="3" t="s">
        <v>25</v>
      </c>
      <c r="L648" s="4">
        <v>0</v>
      </c>
      <c r="M648" s="3" t="s">
        <v>26</v>
      </c>
      <c r="N648" s="3" t="s">
        <v>24</v>
      </c>
      <c r="O648" s="4">
        <v>1</v>
      </c>
      <c r="P648" s="4">
        <v>8</v>
      </c>
      <c r="Q648" s="4">
        <v>1</v>
      </c>
    </row>
    <row r="649" spans="1:17" x14ac:dyDescent="0.25">
      <c r="A649" s="3" t="s">
        <v>18</v>
      </c>
      <c r="B649" s="3">
        <v>11873464</v>
      </c>
      <c r="C649" s="3" t="s">
        <v>689</v>
      </c>
      <c r="D649" s="3" t="s">
        <v>20</v>
      </c>
      <c r="E649" s="3" t="s">
        <v>21</v>
      </c>
      <c r="F649" s="3" t="s">
        <v>21</v>
      </c>
      <c r="G649" s="3" t="s">
        <v>42</v>
      </c>
      <c r="H649" s="3" t="s">
        <v>43</v>
      </c>
      <c r="I649" s="3" t="s">
        <v>24</v>
      </c>
      <c r="J649" s="3" t="s">
        <v>24</v>
      </c>
      <c r="K649" s="3" t="s">
        <v>25</v>
      </c>
      <c r="L649" s="4">
        <v>0</v>
      </c>
      <c r="M649" s="3" t="s">
        <v>26</v>
      </c>
      <c r="N649" s="3" t="s">
        <v>24</v>
      </c>
      <c r="O649" s="4">
        <v>1</v>
      </c>
      <c r="P649" s="4">
        <v>8</v>
      </c>
      <c r="Q649" s="4">
        <v>1</v>
      </c>
    </row>
    <row r="650" spans="1:17" x14ac:dyDescent="0.25">
      <c r="A650" s="3" t="s">
        <v>18</v>
      </c>
      <c r="B650" s="3">
        <v>11873489</v>
      </c>
      <c r="C650" s="3" t="s">
        <v>690</v>
      </c>
      <c r="D650" s="3" t="s">
        <v>20</v>
      </c>
      <c r="E650" s="3" t="s">
        <v>21</v>
      </c>
      <c r="F650" s="3" t="s">
        <v>21</v>
      </c>
      <c r="G650" s="3" t="s">
        <v>22</v>
      </c>
      <c r="H650" s="3" t="s">
        <v>23</v>
      </c>
      <c r="I650" s="3" t="s">
        <v>24</v>
      </c>
      <c r="J650" s="3" t="s">
        <v>24</v>
      </c>
      <c r="K650" s="3" t="s">
        <v>25</v>
      </c>
      <c r="L650" s="4">
        <v>0</v>
      </c>
      <c r="M650" s="3" t="s">
        <v>26</v>
      </c>
      <c r="N650" s="3" t="s">
        <v>24</v>
      </c>
      <c r="O650" s="4">
        <v>1</v>
      </c>
      <c r="P650" s="4">
        <v>4</v>
      </c>
      <c r="Q650" s="4">
        <v>1</v>
      </c>
    </row>
    <row r="651" spans="1:17" x14ac:dyDescent="0.25">
      <c r="A651" s="3" t="s">
        <v>18</v>
      </c>
      <c r="B651" s="3">
        <v>11873491</v>
      </c>
      <c r="C651" s="3" t="s">
        <v>691</v>
      </c>
      <c r="D651" s="3" t="s">
        <v>20</v>
      </c>
      <c r="E651" s="3" t="s">
        <v>21</v>
      </c>
      <c r="F651" s="3" t="s">
        <v>21</v>
      </c>
      <c r="G651" s="3" t="s">
        <v>22</v>
      </c>
      <c r="H651" s="3" t="s">
        <v>23</v>
      </c>
      <c r="I651" s="3" t="s">
        <v>24</v>
      </c>
      <c r="J651" s="3" t="s">
        <v>24</v>
      </c>
      <c r="K651" s="3" t="s">
        <v>25</v>
      </c>
      <c r="L651" s="4">
        <v>0</v>
      </c>
      <c r="M651" s="3" t="s">
        <v>26</v>
      </c>
      <c r="N651" s="3" t="s">
        <v>24</v>
      </c>
      <c r="O651" s="4">
        <v>1</v>
      </c>
      <c r="P651" s="4">
        <v>4</v>
      </c>
      <c r="Q651" s="4">
        <v>1</v>
      </c>
    </row>
    <row r="652" spans="1:17" x14ac:dyDescent="0.25">
      <c r="A652" s="3" t="s">
        <v>18</v>
      </c>
      <c r="B652" s="3">
        <v>11873652</v>
      </c>
      <c r="C652" s="3" t="s">
        <v>692</v>
      </c>
      <c r="D652" s="3" t="s">
        <v>20</v>
      </c>
      <c r="E652" s="3" t="s">
        <v>21</v>
      </c>
      <c r="F652" s="3" t="s">
        <v>21</v>
      </c>
      <c r="G652" s="3" t="s">
        <v>22</v>
      </c>
      <c r="H652" s="3" t="s">
        <v>23</v>
      </c>
      <c r="I652" s="3" t="s">
        <v>24</v>
      </c>
      <c r="J652" s="3" t="s">
        <v>24</v>
      </c>
      <c r="K652" s="3" t="s">
        <v>25</v>
      </c>
      <c r="L652" s="4">
        <v>0</v>
      </c>
      <c r="M652" s="3" t="s">
        <v>26</v>
      </c>
      <c r="N652" s="3" t="s">
        <v>24</v>
      </c>
      <c r="O652" s="4">
        <v>1</v>
      </c>
      <c r="P652" s="4">
        <v>4</v>
      </c>
      <c r="Q652" s="4">
        <v>1</v>
      </c>
    </row>
    <row r="653" spans="1:17" x14ac:dyDescent="0.25">
      <c r="A653" s="3" t="s">
        <v>18</v>
      </c>
      <c r="B653" s="3">
        <v>11873653</v>
      </c>
      <c r="C653" s="3" t="s">
        <v>693</v>
      </c>
      <c r="D653" s="3" t="s">
        <v>20</v>
      </c>
      <c r="E653" s="3" t="s">
        <v>21</v>
      </c>
      <c r="F653" s="3" t="s">
        <v>21</v>
      </c>
      <c r="G653" s="3" t="s">
        <v>22</v>
      </c>
      <c r="H653" s="3" t="s">
        <v>23</v>
      </c>
      <c r="I653" s="3" t="s">
        <v>24</v>
      </c>
      <c r="J653" s="3" t="s">
        <v>24</v>
      </c>
      <c r="K653" s="3" t="s">
        <v>25</v>
      </c>
      <c r="L653" s="4">
        <v>0</v>
      </c>
      <c r="M653" s="3" t="s">
        <v>26</v>
      </c>
      <c r="N653" s="3" t="s">
        <v>24</v>
      </c>
      <c r="O653" s="4">
        <v>1</v>
      </c>
      <c r="P653" s="4">
        <v>4</v>
      </c>
      <c r="Q653" s="4">
        <v>1</v>
      </c>
    </row>
    <row r="654" spans="1:17" x14ac:dyDescent="0.25">
      <c r="A654" s="3" t="s">
        <v>18</v>
      </c>
      <c r="B654" s="3">
        <v>11873656</v>
      </c>
      <c r="C654" s="3" t="s">
        <v>694</v>
      </c>
      <c r="D654" s="3" t="s">
        <v>20</v>
      </c>
      <c r="E654" s="3" t="s">
        <v>21</v>
      </c>
      <c r="F654" s="3" t="s">
        <v>21</v>
      </c>
      <c r="G654" s="3" t="s">
        <v>22</v>
      </c>
      <c r="H654" s="3" t="s">
        <v>23</v>
      </c>
      <c r="I654" s="3" t="s">
        <v>24</v>
      </c>
      <c r="J654" s="3" t="s">
        <v>24</v>
      </c>
      <c r="K654" s="3" t="s">
        <v>25</v>
      </c>
      <c r="L654" s="4">
        <v>0</v>
      </c>
      <c r="M654" s="3" t="s">
        <v>26</v>
      </c>
      <c r="N654" s="3" t="s">
        <v>24</v>
      </c>
      <c r="O654" s="4">
        <v>1</v>
      </c>
      <c r="P654" s="4">
        <v>4</v>
      </c>
      <c r="Q654" s="4">
        <v>1</v>
      </c>
    </row>
    <row r="655" spans="1:17" x14ac:dyDescent="0.25">
      <c r="A655" s="3" t="s">
        <v>18</v>
      </c>
      <c r="B655" s="3">
        <v>11873758</v>
      </c>
      <c r="C655" s="3" t="s">
        <v>695</v>
      </c>
      <c r="D655" s="3" t="s">
        <v>20</v>
      </c>
      <c r="E655" s="3" t="s">
        <v>21</v>
      </c>
      <c r="F655" s="3" t="s">
        <v>21</v>
      </c>
      <c r="G655" s="3" t="s">
        <v>22</v>
      </c>
      <c r="H655" s="3" t="s">
        <v>23</v>
      </c>
      <c r="I655" s="3" t="s">
        <v>24</v>
      </c>
      <c r="J655" s="3" t="s">
        <v>24</v>
      </c>
      <c r="K655" s="3" t="s">
        <v>25</v>
      </c>
      <c r="L655" s="4">
        <v>0</v>
      </c>
      <c r="M655" s="3" t="s">
        <v>26</v>
      </c>
      <c r="N655" s="3" t="s">
        <v>24</v>
      </c>
      <c r="O655" s="4">
        <v>1</v>
      </c>
      <c r="P655" s="4">
        <v>4</v>
      </c>
      <c r="Q655" s="4">
        <v>1</v>
      </c>
    </row>
    <row r="656" spans="1:17" x14ac:dyDescent="0.25">
      <c r="A656" s="3" t="s">
        <v>18</v>
      </c>
      <c r="B656" s="3">
        <v>11873761</v>
      </c>
      <c r="C656" s="3" t="s">
        <v>696</v>
      </c>
      <c r="D656" s="3" t="s">
        <v>20</v>
      </c>
      <c r="E656" s="3" t="s">
        <v>21</v>
      </c>
      <c r="F656" s="3" t="s">
        <v>21</v>
      </c>
      <c r="G656" s="3" t="s">
        <v>36</v>
      </c>
      <c r="H656" s="3" t="s">
        <v>37</v>
      </c>
      <c r="I656" s="3" t="s">
        <v>24</v>
      </c>
      <c r="J656" s="3" t="s">
        <v>24</v>
      </c>
      <c r="K656" s="3" t="s">
        <v>25</v>
      </c>
      <c r="L656" s="4">
        <v>0</v>
      </c>
      <c r="M656" s="3" t="s">
        <v>26</v>
      </c>
      <c r="N656" s="3" t="s">
        <v>24</v>
      </c>
      <c r="O656" s="4">
        <v>1</v>
      </c>
      <c r="P656" s="4">
        <v>10</v>
      </c>
      <c r="Q656" s="4">
        <v>1</v>
      </c>
    </row>
    <row r="657" spans="1:17" x14ac:dyDescent="0.25">
      <c r="A657" s="3" t="s">
        <v>18</v>
      </c>
      <c r="B657" s="3">
        <v>11873762</v>
      </c>
      <c r="C657" s="3" t="s">
        <v>697</v>
      </c>
      <c r="D657" s="3" t="s">
        <v>20</v>
      </c>
      <c r="E657" s="3" t="s">
        <v>21</v>
      </c>
      <c r="F657" s="3" t="s">
        <v>21</v>
      </c>
      <c r="G657" s="3" t="s">
        <v>36</v>
      </c>
      <c r="H657" s="3" t="s">
        <v>37</v>
      </c>
      <c r="I657" s="3" t="s">
        <v>24</v>
      </c>
      <c r="J657" s="3" t="s">
        <v>24</v>
      </c>
      <c r="K657" s="3" t="s">
        <v>25</v>
      </c>
      <c r="L657" s="4">
        <v>0</v>
      </c>
      <c r="M657" s="3" t="s">
        <v>26</v>
      </c>
      <c r="N657" s="3" t="s">
        <v>24</v>
      </c>
      <c r="O657" s="4">
        <v>1</v>
      </c>
      <c r="P657" s="4">
        <v>10</v>
      </c>
      <c r="Q657" s="4">
        <v>1</v>
      </c>
    </row>
    <row r="658" spans="1:17" x14ac:dyDescent="0.25">
      <c r="A658" s="3" t="s">
        <v>18</v>
      </c>
      <c r="B658" s="3">
        <v>11873763</v>
      </c>
      <c r="C658" s="3" t="s">
        <v>698</v>
      </c>
      <c r="D658" s="3" t="s">
        <v>20</v>
      </c>
      <c r="E658" s="3" t="s">
        <v>21</v>
      </c>
      <c r="F658" s="3" t="s">
        <v>21</v>
      </c>
      <c r="G658" s="3" t="s">
        <v>36</v>
      </c>
      <c r="H658" s="3" t="s">
        <v>37</v>
      </c>
      <c r="I658" s="3" t="s">
        <v>24</v>
      </c>
      <c r="J658" s="3" t="s">
        <v>24</v>
      </c>
      <c r="K658" s="3" t="s">
        <v>25</v>
      </c>
      <c r="L658" s="4">
        <v>0</v>
      </c>
      <c r="M658" s="3" t="s">
        <v>26</v>
      </c>
      <c r="N658" s="3" t="s">
        <v>24</v>
      </c>
      <c r="O658" s="4">
        <v>1</v>
      </c>
      <c r="P658" s="4">
        <v>10</v>
      </c>
      <c r="Q658" s="4">
        <v>1</v>
      </c>
    </row>
    <row r="659" spans="1:17" x14ac:dyDescent="0.25">
      <c r="A659" s="3" t="s">
        <v>18</v>
      </c>
      <c r="B659" s="3">
        <v>11873764</v>
      </c>
      <c r="C659" s="3" t="s">
        <v>699</v>
      </c>
      <c r="D659" s="3" t="s">
        <v>20</v>
      </c>
      <c r="E659" s="3" t="s">
        <v>21</v>
      </c>
      <c r="F659" s="3" t="s">
        <v>21</v>
      </c>
      <c r="G659" s="3" t="s">
        <v>36</v>
      </c>
      <c r="H659" s="3" t="s">
        <v>37</v>
      </c>
      <c r="I659" s="3" t="s">
        <v>24</v>
      </c>
      <c r="J659" s="3" t="s">
        <v>24</v>
      </c>
      <c r="K659" s="3" t="s">
        <v>25</v>
      </c>
      <c r="L659" s="4">
        <v>0</v>
      </c>
      <c r="M659" s="3" t="s">
        <v>26</v>
      </c>
      <c r="N659" s="3" t="s">
        <v>24</v>
      </c>
      <c r="O659" s="4">
        <v>1</v>
      </c>
      <c r="P659" s="4">
        <v>10</v>
      </c>
      <c r="Q659" s="4">
        <v>1</v>
      </c>
    </row>
    <row r="660" spans="1:17" x14ac:dyDescent="0.25">
      <c r="A660" s="3" t="s">
        <v>18</v>
      </c>
      <c r="B660" s="3">
        <v>11873765</v>
      </c>
      <c r="C660" s="3" t="s">
        <v>700</v>
      </c>
      <c r="D660" s="3" t="s">
        <v>20</v>
      </c>
      <c r="E660" s="3" t="s">
        <v>21</v>
      </c>
      <c r="F660" s="3" t="s">
        <v>21</v>
      </c>
      <c r="G660" s="3" t="s">
        <v>233</v>
      </c>
      <c r="H660" s="3" t="s">
        <v>234</v>
      </c>
      <c r="I660" s="3" t="s">
        <v>24</v>
      </c>
      <c r="J660" s="3" t="s">
        <v>24</v>
      </c>
      <c r="K660" s="3" t="s">
        <v>25</v>
      </c>
      <c r="L660" s="4">
        <v>0</v>
      </c>
      <c r="M660" s="3" t="s">
        <v>26</v>
      </c>
      <c r="N660" s="3" t="s">
        <v>24</v>
      </c>
      <c r="O660" s="4">
        <v>1</v>
      </c>
      <c r="P660" s="4">
        <v>99999999</v>
      </c>
      <c r="Q660" s="4">
        <v>1</v>
      </c>
    </row>
    <row r="661" spans="1:17" x14ac:dyDescent="0.25">
      <c r="A661" s="3" t="s">
        <v>18</v>
      </c>
      <c r="B661" s="3">
        <v>11873766</v>
      </c>
      <c r="C661" s="3" t="s">
        <v>701</v>
      </c>
      <c r="D661" s="3" t="s">
        <v>20</v>
      </c>
      <c r="E661" s="3" t="s">
        <v>21</v>
      </c>
      <c r="F661" s="3" t="s">
        <v>21</v>
      </c>
      <c r="G661" s="3" t="s">
        <v>233</v>
      </c>
      <c r="H661" s="3" t="s">
        <v>234</v>
      </c>
      <c r="I661" s="3" t="s">
        <v>24</v>
      </c>
      <c r="J661" s="3" t="s">
        <v>24</v>
      </c>
      <c r="K661" s="3" t="s">
        <v>25</v>
      </c>
      <c r="L661" s="4">
        <v>0</v>
      </c>
      <c r="M661" s="3" t="s">
        <v>26</v>
      </c>
      <c r="N661" s="3" t="s">
        <v>24</v>
      </c>
      <c r="O661" s="4">
        <v>1</v>
      </c>
      <c r="P661" s="4">
        <v>99999999</v>
      </c>
      <c r="Q661" s="4">
        <v>1</v>
      </c>
    </row>
    <row r="662" spans="1:17" x14ac:dyDescent="0.25">
      <c r="A662" s="3" t="s">
        <v>18</v>
      </c>
      <c r="B662" s="3">
        <v>11873767</v>
      </c>
      <c r="C662" s="3" t="s">
        <v>702</v>
      </c>
      <c r="D662" s="3" t="s">
        <v>20</v>
      </c>
      <c r="E662" s="3" t="s">
        <v>21</v>
      </c>
      <c r="F662" s="3" t="s">
        <v>21</v>
      </c>
      <c r="G662" s="3" t="s">
        <v>233</v>
      </c>
      <c r="H662" s="3" t="s">
        <v>234</v>
      </c>
      <c r="I662" s="3" t="s">
        <v>24</v>
      </c>
      <c r="J662" s="3" t="s">
        <v>24</v>
      </c>
      <c r="K662" s="3" t="s">
        <v>25</v>
      </c>
      <c r="L662" s="4">
        <v>0</v>
      </c>
      <c r="M662" s="3" t="s">
        <v>26</v>
      </c>
      <c r="N662" s="3" t="s">
        <v>24</v>
      </c>
      <c r="O662" s="4">
        <v>1</v>
      </c>
      <c r="P662" s="4">
        <v>99999999</v>
      </c>
      <c r="Q662" s="4">
        <v>1</v>
      </c>
    </row>
    <row r="663" spans="1:17" x14ac:dyDescent="0.25">
      <c r="A663" s="3" t="s">
        <v>18</v>
      </c>
      <c r="B663" s="3">
        <v>11873818</v>
      </c>
      <c r="C663" s="3" t="s">
        <v>703</v>
      </c>
      <c r="D663" s="3" t="s">
        <v>20</v>
      </c>
      <c r="E663" s="3" t="s">
        <v>21</v>
      </c>
      <c r="F663" s="3" t="s">
        <v>21</v>
      </c>
      <c r="G663" s="3" t="s">
        <v>233</v>
      </c>
      <c r="H663" s="3" t="s">
        <v>234</v>
      </c>
      <c r="I663" s="3" t="s">
        <v>24</v>
      </c>
      <c r="J663" s="3" t="s">
        <v>24</v>
      </c>
      <c r="K663" s="3" t="s">
        <v>25</v>
      </c>
      <c r="L663" s="4">
        <v>0</v>
      </c>
      <c r="M663" s="3" t="s">
        <v>26</v>
      </c>
      <c r="N663" s="3" t="s">
        <v>24</v>
      </c>
      <c r="O663" s="4">
        <v>1</v>
      </c>
      <c r="P663" s="4">
        <v>99999999</v>
      </c>
      <c r="Q663" s="4">
        <v>1</v>
      </c>
    </row>
    <row r="664" spans="1:17" x14ac:dyDescent="0.25">
      <c r="A664" s="3" t="s">
        <v>18</v>
      </c>
      <c r="B664" s="3">
        <v>11873819</v>
      </c>
      <c r="C664" s="3" t="s">
        <v>704</v>
      </c>
      <c r="D664" s="3" t="s">
        <v>20</v>
      </c>
      <c r="E664" s="3" t="s">
        <v>21</v>
      </c>
      <c r="F664" s="3" t="s">
        <v>21</v>
      </c>
      <c r="G664" s="3" t="s">
        <v>233</v>
      </c>
      <c r="H664" s="3" t="s">
        <v>234</v>
      </c>
      <c r="I664" s="3" t="s">
        <v>24</v>
      </c>
      <c r="J664" s="3" t="s">
        <v>24</v>
      </c>
      <c r="K664" s="3" t="s">
        <v>25</v>
      </c>
      <c r="L664" s="4">
        <v>0</v>
      </c>
      <c r="M664" s="3" t="s">
        <v>26</v>
      </c>
      <c r="N664" s="3" t="s">
        <v>24</v>
      </c>
      <c r="O664" s="4">
        <v>1</v>
      </c>
      <c r="P664" s="4">
        <v>99999999</v>
      </c>
      <c r="Q664" s="4">
        <v>1</v>
      </c>
    </row>
    <row r="665" spans="1:17" x14ac:dyDescent="0.25">
      <c r="A665" s="3" t="s">
        <v>18</v>
      </c>
      <c r="B665" s="3">
        <v>11873822</v>
      </c>
      <c r="C665" s="3" t="s">
        <v>705</v>
      </c>
      <c r="D665" s="3" t="s">
        <v>20</v>
      </c>
      <c r="E665" s="3" t="s">
        <v>21</v>
      </c>
      <c r="F665" s="3" t="s">
        <v>21</v>
      </c>
      <c r="G665" s="3" t="s">
        <v>233</v>
      </c>
      <c r="H665" s="3" t="s">
        <v>234</v>
      </c>
      <c r="I665" s="3" t="s">
        <v>24</v>
      </c>
      <c r="J665" s="3" t="s">
        <v>24</v>
      </c>
      <c r="K665" s="3" t="s">
        <v>25</v>
      </c>
      <c r="L665" s="4">
        <v>0</v>
      </c>
      <c r="M665" s="3" t="s">
        <v>26</v>
      </c>
      <c r="N665" s="3" t="s">
        <v>24</v>
      </c>
      <c r="O665" s="4">
        <v>1</v>
      </c>
      <c r="P665" s="4">
        <v>99999999</v>
      </c>
      <c r="Q665" s="4">
        <v>1</v>
      </c>
    </row>
    <row r="666" spans="1:17" x14ac:dyDescent="0.25">
      <c r="A666" s="3" t="s">
        <v>18</v>
      </c>
      <c r="B666" s="3">
        <v>11873823</v>
      </c>
      <c r="C666" s="3" t="s">
        <v>706</v>
      </c>
      <c r="D666" s="3" t="s">
        <v>20</v>
      </c>
      <c r="E666" s="3" t="s">
        <v>21</v>
      </c>
      <c r="F666" s="3" t="s">
        <v>21</v>
      </c>
      <c r="G666" s="3" t="s">
        <v>233</v>
      </c>
      <c r="H666" s="3" t="s">
        <v>234</v>
      </c>
      <c r="I666" s="3" t="s">
        <v>24</v>
      </c>
      <c r="J666" s="3" t="s">
        <v>24</v>
      </c>
      <c r="K666" s="3" t="s">
        <v>25</v>
      </c>
      <c r="L666" s="4">
        <v>0</v>
      </c>
      <c r="M666" s="3" t="s">
        <v>26</v>
      </c>
      <c r="N666" s="3" t="s">
        <v>24</v>
      </c>
      <c r="O666" s="4">
        <v>1</v>
      </c>
      <c r="P666" s="4">
        <v>99999999</v>
      </c>
      <c r="Q666" s="4">
        <v>1</v>
      </c>
    </row>
    <row r="667" spans="1:17" x14ac:dyDescent="0.25">
      <c r="A667" s="3" t="s">
        <v>18</v>
      </c>
      <c r="B667" s="3">
        <v>11873895</v>
      </c>
      <c r="C667" s="3" t="s">
        <v>707</v>
      </c>
      <c r="D667" s="3" t="s">
        <v>20</v>
      </c>
      <c r="E667" s="3" t="s">
        <v>21</v>
      </c>
      <c r="F667" s="3" t="s">
        <v>21</v>
      </c>
      <c r="G667" s="3" t="s">
        <v>30</v>
      </c>
      <c r="H667" s="3" t="s">
        <v>31</v>
      </c>
      <c r="I667" s="3" t="s">
        <v>24</v>
      </c>
      <c r="J667" s="3" t="s">
        <v>24</v>
      </c>
      <c r="K667" s="3" t="s">
        <v>25</v>
      </c>
      <c r="L667" s="4">
        <v>0</v>
      </c>
      <c r="M667" s="3" t="s">
        <v>26</v>
      </c>
      <c r="N667" s="3" t="s">
        <v>24</v>
      </c>
      <c r="O667" s="4">
        <v>1</v>
      </c>
      <c r="P667" s="4">
        <v>8</v>
      </c>
      <c r="Q667" s="4">
        <v>1</v>
      </c>
    </row>
    <row r="668" spans="1:17" x14ac:dyDescent="0.25">
      <c r="A668" s="3" t="s">
        <v>18</v>
      </c>
      <c r="B668" s="3">
        <v>11873896</v>
      </c>
      <c r="C668" s="3" t="s">
        <v>708</v>
      </c>
      <c r="D668" s="3" t="s">
        <v>20</v>
      </c>
      <c r="E668" s="3" t="s">
        <v>21</v>
      </c>
      <c r="F668" s="3" t="s">
        <v>21</v>
      </c>
      <c r="G668" s="3" t="s">
        <v>30</v>
      </c>
      <c r="H668" s="3" t="s">
        <v>31</v>
      </c>
      <c r="I668" s="3" t="s">
        <v>24</v>
      </c>
      <c r="J668" s="3" t="s">
        <v>24</v>
      </c>
      <c r="K668" s="3" t="s">
        <v>25</v>
      </c>
      <c r="L668" s="4">
        <v>0</v>
      </c>
      <c r="M668" s="3" t="s">
        <v>26</v>
      </c>
      <c r="N668" s="3" t="s">
        <v>24</v>
      </c>
      <c r="O668" s="4">
        <v>1</v>
      </c>
      <c r="P668" s="4">
        <v>8</v>
      </c>
      <c r="Q668" s="4">
        <v>1</v>
      </c>
    </row>
    <row r="669" spans="1:17" x14ac:dyDescent="0.25">
      <c r="A669" s="3" t="s">
        <v>18</v>
      </c>
      <c r="B669" s="3">
        <v>11873897</v>
      </c>
      <c r="C669" s="3" t="s">
        <v>709</v>
      </c>
      <c r="D669" s="3" t="s">
        <v>20</v>
      </c>
      <c r="E669" s="3" t="s">
        <v>21</v>
      </c>
      <c r="F669" s="3" t="s">
        <v>21</v>
      </c>
      <c r="G669" s="3" t="s">
        <v>30</v>
      </c>
      <c r="H669" s="3" t="s">
        <v>31</v>
      </c>
      <c r="I669" s="3" t="s">
        <v>24</v>
      </c>
      <c r="J669" s="3" t="s">
        <v>24</v>
      </c>
      <c r="K669" s="3" t="s">
        <v>25</v>
      </c>
      <c r="L669" s="4">
        <v>0</v>
      </c>
      <c r="M669" s="3" t="s">
        <v>26</v>
      </c>
      <c r="N669" s="3" t="s">
        <v>24</v>
      </c>
      <c r="O669" s="4">
        <v>1</v>
      </c>
      <c r="P669" s="4">
        <v>8</v>
      </c>
      <c r="Q669" s="4">
        <v>1</v>
      </c>
    </row>
    <row r="670" spans="1:17" x14ac:dyDescent="0.25">
      <c r="A670" s="3" t="s">
        <v>18</v>
      </c>
      <c r="B670" s="3">
        <v>11873988</v>
      </c>
      <c r="C670" s="3" t="s">
        <v>710</v>
      </c>
      <c r="D670" s="3" t="s">
        <v>20</v>
      </c>
      <c r="E670" s="3" t="s">
        <v>21</v>
      </c>
      <c r="F670" s="3" t="s">
        <v>21</v>
      </c>
      <c r="G670" s="3" t="s">
        <v>30</v>
      </c>
      <c r="H670" s="3" t="s">
        <v>31</v>
      </c>
      <c r="I670" s="3" t="s">
        <v>24</v>
      </c>
      <c r="J670" s="3" t="s">
        <v>24</v>
      </c>
      <c r="K670" s="3" t="s">
        <v>25</v>
      </c>
      <c r="L670" s="4">
        <v>0</v>
      </c>
      <c r="M670" s="3" t="s">
        <v>26</v>
      </c>
      <c r="N670" s="3" t="s">
        <v>24</v>
      </c>
      <c r="O670" s="4">
        <v>1</v>
      </c>
      <c r="P670" s="4">
        <v>8</v>
      </c>
      <c r="Q670" s="4">
        <v>1</v>
      </c>
    </row>
    <row r="671" spans="1:17" x14ac:dyDescent="0.25">
      <c r="A671" s="3" t="s">
        <v>18</v>
      </c>
      <c r="B671" s="3">
        <v>11873990</v>
      </c>
      <c r="C671" s="3" t="s">
        <v>711</v>
      </c>
      <c r="D671" s="3" t="s">
        <v>20</v>
      </c>
      <c r="E671" s="3" t="s">
        <v>21</v>
      </c>
      <c r="F671" s="3" t="s">
        <v>21</v>
      </c>
      <c r="G671" s="3" t="s">
        <v>30</v>
      </c>
      <c r="H671" s="3" t="s">
        <v>31</v>
      </c>
      <c r="I671" s="3" t="s">
        <v>24</v>
      </c>
      <c r="J671" s="3" t="s">
        <v>24</v>
      </c>
      <c r="K671" s="3" t="s">
        <v>25</v>
      </c>
      <c r="L671" s="4">
        <v>0</v>
      </c>
      <c r="M671" s="3" t="s">
        <v>26</v>
      </c>
      <c r="N671" s="3" t="s">
        <v>24</v>
      </c>
      <c r="O671" s="4">
        <v>1</v>
      </c>
      <c r="P671" s="4">
        <v>9</v>
      </c>
      <c r="Q671" s="4">
        <v>1</v>
      </c>
    </row>
    <row r="672" spans="1:17" x14ac:dyDescent="0.25">
      <c r="A672" s="3" t="s">
        <v>18</v>
      </c>
      <c r="B672" s="3">
        <v>11873991</v>
      </c>
      <c r="C672" s="3" t="s">
        <v>712</v>
      </c>
      <c r="D672" s="3" t="s">
        <v>20</v>
      </c>
      <c r="E672" s="3" t="s">
        <v>21</v>
      </c>
      <c r="F672" s="3" t="s">
        <v>21</v>
      </c>
      <c r="G672" s="3" t="s">
        <v>30</v>
      </c>
      <c r="H672" s="3" t="s">
        <v>31</v>
      </c>
      <c r="I672" s="3" t="s">
        <v>24</v>
      </c>
      <c r="J672" s="3" t="s">
        <v>24</v>
      </c>
      <c r="K672" s="3" t="s">
        <v>25</v>
      </c>
      <c r="L672" s="4">
        <v>0</v>
      </c>
      <c r="M672" s="3" t="s">
        <v>26</v>
      </c>
      <c r="N672" s="3" t="s">
        <v>24</v>
      </c>
      <c r="O672" s="4">
        <v>1</v>
      </c>
      <c r="P672" s="4">
        <v>9</v>
      </c>
      <c r="Q672" s="4">
        <v>1</v>
      </c>
    </row>
    <row r="673" spans="1:17" x14ac:dyDescent="0.25">
      <c r="A673" s="3" t="s">
        <v>18</v>
      </c>
      <c r="B673" s="3">
        <v>11873993</v>
      </c>
      <c r="C673" s="3" t="s">
        <v>713</v>
      </c>
      <c r="D673" s="3" t="s">
        <v>20</v>
      </c>
      <c r="E673" s="3" t="s">
        <v>21</v>
      </c>
      <c r="F673" s="3" t="s">
        <v>21</v>
      </c>
      <c r="G673" s="3" t="s">
        <v>30</v>
      </c>
      <c r="H673" s="3" t="s">
        <v>31</v>
      </c>
      <c r="I673" s="3" t="s">
        <v>24</v>
      </c>
      <c r="J673" s="3" t="s">
        <v>24</v>
      </c>
      <c r="K673" s="3" t="s">
        <v>25</v>
      </c>
      <c r="L673" s="4">
        <v>0</v>
      </c>
      <c r="M673" s="3" t="s">
        <v>26</v>
      </c>
      <c r="N673" s="3" t="s">
        <v>24</v>
      </c>
      <c r="O673" s="4">
        <v>1</v>
      </c>
      <c r="P673" s="4">
        <v>8</v>
      </c>
      <c r="Q673" s="4">
        <v>1</v>
      </c>
    </row>
    <row r="674" spans="1:17" x14ac:dyDescent="0.25">
      <c r="A674" s="3" t="s">
        <v>18</v>
      </c>
      <c r="B674" s="3">
        <v>11873994</v>
      </c>
      <c r="C674" s="3" t="s">
        <v>714</v>
      </c>
      <c r="D674" s="3" t="s">
        <v>20</v>
      </c>
      <c r="E674" s="3" t="s">
        <v>21</v>
      </c>
      <c r="F674" s="3" t="s">
        <v>21</v>
      </c>
      <c r="G674" s="3" t="s">
        <v>30</v>
      </c>
      <c r="H674" s="3" t="s">
        <v>31</v>
      </c>
      <c r="I674" s="3" t="s">
        <v>24</v>
      </c>
      <c r="J674" s="3" t="s">
        <v>24</v>
      </c>
      <c r="K674" s="3" t="s">
        <v>25</v>
      </c>
      <c r="L674" s="4">
        <v>0</v>
      </c>
      <c r="M674" s="3" t="s">
        <v>26</v>
      </c>
      <c r="N674" s="3" t="s">
        <v>24</v>
      </c>
      <c r="O674" s="4">
        <v>1</v>
      </c>
      <c r="P674" s="4">
        <v>8</v>
      </c>
      <c r="Q674" s="4">
        <v>1</v>
      </c>
    </row>
    <row r="675" spans="1:17" x14ac:dyDescent="0.25">
      <c r="A675" s="3" t="s">
        <v>18</v>
      </c>
      <c r="B675" s="3">
        <v>11873995</v>
      </c>
      <c r="C675" s="3" t="s">
        <v>715</v>
      </c>
      <c r="D675" s="3" t="s">
        <v>20</v>
      </c>
      <c r="E675" s="3" t="s">
        <v>21</v>
      </c>
      <c r="F675" s="3" t="s">
        <v>21</v>
      </c>
      <c r="G675" s="3" t="s">
        <v>30</v>
      </c>
      <c r="H675" s="3" t="s">
        <v>31</v>
      </c>
      <c r="I675" s="3" t="s">
        <v>24</v>
      </c>
      <c r="J675" s="3" t="s">
        <v>24</v>
      </c>
      <c r="K675" s="3" t="s">
        <v>25</v>
      </c>
      <c r="L675" s="4">
        <v>0</v>
      </c>
      <c r="M675" s="3" t="s">
        <v>26</v>
      </c>
      <c r="N675" s="3" t="s">
        <v>24</v>
      </c>
      <c r="O675" s="4">
        <v>1</v>
      </c>
      <c r="P675" s="4">
        <v>8</v>
      </c>
      <c r="Q675" s="4">
        <v>1</v>
      </c>
    </row>
    <row r="676" spans="1:17" x14ac:dyDescent="0.25">
      <c r="A676" s="3" t="s">
        <v>18</v>
      </c>
      <c r="B676" s="3">
        <v>11873996</v>
      </c>
      <c r="C676" s="3" t="s">
        <v>716</v>
      </c>
      <c r="D676" s="3" t="s">
        <v>20</v>
      </c>
      <c r="E676" s="3" t="s">
        <v>21</v>
      </c>
      <c r="F676" s="3" t="s">
        <v>21</v>
      </c>
      <c r="G676" s="3" t="s">
        <v>42</v>
      </c>
      <c r="H676" s="3" t="s">
        <v>43</v>
      </c>
      <c r="I676" s="3" t="s">
        <v>24</v>
      </c>
      <c r="J676" s="3" t="s">
        <v>24</v>
      </c>
      <c r="K676" s="3" t="s">
        <v>25</v>
      </c>
      <c r="L676" s="4">
        <v>0</v>
      </c>
      <c r="M676" s="3" t="s">
        <v>26</v>
      </c>
      <c r="N676" s="3" t="s">
        <v>24</v>
      </c>
      <c r="O676" s="4">
        <v>1</v>
      </c>
      <c r="P676" s="4">
        <v>8</v>
      </c>
      <c r="Q676" s="4">
        <v>1</v>
      </c>
    </row>
    <row r="677" spans="1:17" x14ac:dyDescent="0.25">
      <c r="A677" s="3" t="s">
        <v>18</v>
      </c>
      <c r="B677" s="3">
        <v>11873997</v>
      </c>
      <c r="C677" s="3" t="s">
        <v>717</v>
      </c>
      <c r="D677" s="3" t="s">
        <v>20</v>
      </c>
      <c r="E677" s="3" t="s">
        <v>21</v>
      </c>
      <c r="F677" s="3" t="s">
        <v>21</v>
      </c>
      <c r="G677" s="3" t="s">
        <v>42</v>
      </c>
      <c r="H677" s="3" t="s">
        <v>43</v>
      </c>
      <c r="I677" s="3" t="s">
        <v>24</v>
      </c>
      <c r="J677" s="3" t="s">
        <v>24</v>
      </c>
      <c r="K677" s="3" t="s">
        <v>25</v>
      </c>
      <c r="L677" s="4">
        <v>0</v>
      </c>
      <c r="M677" s="3" t="s">
        <v>26</v>
      </c>
      <c r="N677" s="3" t="s">
        <v>24</v>
      </c>
      <c r="O677" s="4">
        <v>1</v>
      </c>
      <c r="P677" s="4">
        <v>8</v>
      </c>
      <c r="Q677" s="4">
        <v>1</v>
      </c>
    </row>
    <row r="678" spans="1:17" x14ac:dyDescent="0.25">
      <c r="A678" s="3" t="s">
        <v>18</v>
      </c>
      <c r="B678" s="3">
        <v>11874068</v>
      </c>
      <c r="C678" s="3" t="s">
        <v>718</v>
      </c>
      <c r="D678" s="3" t="s">
        <v>20</v>
      </c>
      <c r="E678" s="3" t="s">
        <v>21</v>
      </c>
      <c r="F678" s="3" t="s">
        <v>21</v>
      </c>
      <c r="G678" s="3" t="s">
        <v>42</v>
      </c>
      <c r="H678" s="3" t="s">
        <v>43</v>
      </c>
      <c r="I678" s="3" t="s">
        <v>24</v>
      </c>
      <c r="J678" s="3" t="s">
        <v>24</v>
      </c>
      <c r="K678" s="3" t="s">
        <v>25</v>
      </c>
      <c r="L678" s="4">
        <v>0</v>
      </c>
      <c r="M678" s="3" t="s">
        <v>26</v>
      </c>
      <c r="N678" s="3" t="s">
        <v>24</v>
      </c>
      <c r="O678" s="4">
        <v>1</v>
      </c>
      <c r="P678" s="4">
        <v>8</v>
      </c>
      <c r="Q678" s="4">
        <v>1</v>
      </c>
    </row>
    <row r="679" spans="1:17" x14ac:dyDescent="0.25">
      <c r="A679" s="3" t="s">
        <v>18</v>
      </c>
      <c r="B679" s="3">
        <v>11874070</v>
      </c>
      <c r="C679" s="3" t="s">
        <v>719</v>
      </c>
      <c r="D679" s="3" t="s">
        <v>20</v>
      </c>
      <c r="E679" s="3" t="s">
        <v>21</v>
      </c>
      <c r="F679" s="3" t="s">
        <v>21</v>
      </c>
      <c r="G679" s="3" t="s">
        <v>42</v>
      </c>
      <c r="H679" s="3" t="s">
        <v>43</v>
      </c>
      <c r="I679" s="3" t="s">
        <v>24</v>
      </c>
      <c r="J679" s="3" t="s">
        <v>24</v>
      </c>
      <c r="K679" s="3" t="s">
        <v>25</v>
      </c>
      <c r="L679" s="4">
        <v>0</v>
      </c>
      <c r="M679" s="3" t="s">
        <v>26</v>
      </c>
      <c r="N679" s="3" t="s">
        <v>24</v>
      </c>
      <c r="O679" s="4">
        <v>1</v>
      </c>
      <c r="P679" s="4">
        <v>8</v>
      </c>
      <c r="Q679" s="4">
        <v>1</v>
      </c>
    </row>
    <row r="680" spans="1:17" x14ac:dyDescent="0.25">
      <c r="A680" s="3" t="s">
        <v>18</v>
      </c>
      <c r="B680" s="3">
        <v>11874071</v>
      </c>
      <c r="C680" s="3" t="s">
        <v>720</v>
      </c>
      <c r="D680" s="3" t="s">
        <v>20</v>
      </c>
      <c r="E680" s="3" t="s">
        <v>21</v>
      </c>
      <c r="F680" s="3" t="s">
        <v>21</v>
      </c>
      <c r="G680" s="3" t="s">
        <v>42</v>
      </c>
      <c r="H680" s="3" t="s">
        <v>43</v>
      </c>
      <c r="I680" s="3" t="s">
        <v>24</v>
      </c>
      <c r="J680" s="3" t="s">
        <v>24</v>
      </c>
      <c r="K680" s="3" t="s">
        <v>25</v>
      </c>
      <c r="L680" s="4">
        <v>0</v>
      </c>
      <c r="M680" s="3" t="s">
        <v>26</v>
      </c>
      <c r="N680" s="3" t="s">
        <v>24</v>
      </c>
      <c r="O680" s="4">
        <v>1</v>
      </c>
      <c r="P680" s="4">
        <v>8</v>
      </c>
      <c r="Q680" s="4">
        <v>1</v>
      </c>
    </row>
    <row r="681" spans="1:17" x14ac:dyDescent="0.25">
      <c r="A681" s="3" t="s">
        <v>18</v>
      </c>
      <c r="B681" s="3">
        <v>11874072</v>
      </c>
      <c r="C681" s="3" t="s">
        <v>721</v>
      </c>
      <c r="D681" s="3" t="s">
        <v>20</v>
      </c>
      <c r="E681" s="3" t="s">
        <v>21</v>
      </c>
      <c r="F681" s="3" t="s">
        <v>21</v>
      </c>
      <c r="G681" s="3" t="s">
        <v>42</v>
      </c>
      <c r="H681" s="3" t="s">
        <v>43</v>
      </c>
      <c r="I681" s="3" t="s">
        <v>24</v>
      </c>
      <c r="J681" s="3" t="s">
        <v>24</v>
      </c>
      <c r="K681" s="3" t="s">
        <v>25</v>
      </c>
      <c r="L681" s="4">
        <v>0</v>
      </c>
      <c r="M681" s="3" t="s">
        <v>26</v>
      </c>
      <c r="N681" s="3" t="s">
        <v>24</v>
      </c>
      <c r="O681" s="4">
        <v>1</v>
      </c>
      <c r="P681" s="4">
        <v>8</v>
      </c>
      <c r="Q681" s="4">
        <v>1</v>
      </c>
    </row>
    <row r="682" spans="1:17" x14ac:dyDescent="0.25">
      <c r="A682" s="3" t="s">
        <v>18</v>
      </c>
      <c r="B682" s="3">
        <v>11874074</v>
      </c>
      <c r="C682" s="3" t="s">
        <v>722</v>
      </c>
      <c r="D682" s="3" t="s">
        <v>20</v>
      </c>
      <c r="E682" s="3" t="s">
        <v>21</v>
      </c>
      <c r="F682" s="3" t="s">
        <v>21</v>
      </c>
      <c r="G682" s="3" t="s">
        <v>22</v>
      </c>
      <c r="H682" s="3" t="s">
        <v>23</v>
      </c>
      <c r="I682" s="3" t="s">
        <v>24</v>
      </c>
      <c r="J682" s="3" t="s">
        <v>24</v>
      </c>
      <c r="K682" s="3" t="s">
        <v>25</v>
      </c>
      <c r="L682" s="4">
        <v>0</v>
      </c>
      <c r="M682" s="3" t="s">
        <v>26</v>
      </c>
      <c r="N682" s="3" t="s">
        <v>24</v>
      </c>
      <c r="O682" s="4">
        <v>1</v>
      </c>
      <c r="P682" s="4">
        <v>4</v>
      </c>
      <c r="Q682" s="4">
        <v>1</v>
      </c>
    </row>
    <row r="683" spans="1:17" x14ac:dyDescent="0.25">
      <c r="A683" s="3" t="s">
        <v>18</v>
      </c>
      <c r="B683" s="3">
        <v>11874075</v>
      </c>
      <c r="C683" s="3" t="s">
        <v>723</v>
      </c>
      <c r="D683" s="3" t="s">
        <v>20</v>
      </c>
      <c r="E683" s="3" t="s">
        <v>21</v>
      </c>
      <c r="F683" s="3" t="s">
        <v>21</v>
      </c>
      <c r="G683" s="3" t="s">
        <v>22</v>
      </c>
      <c r="H683" s="3" t="s">
        <v>23</v>
      </c>
      <c r="I683" s="3" t="s">
        <v>24</v>
      </c>
      <c r="J683" s="3" t="s">
        <v>24</v>
      </c>
      <c r="K683" s="3" t="s">
        <v>25</v>
      </c>
      <c r="L683" s="4">
        <v>0</v>
      </c>
      <c r="M683" s="3" t="s">
        <v>26</v>
      </c>
      <c r="N683" s="3" t="s">
        <v>24</v>
      </c>
      <c r="O683" s="4">
        <v>1</v>
      </c>
      <c r="P683" s="4">
        <v>4</v>
      </c>
      <c r="Q683" s="4">
        <v>1</v>
      </c>
    </row>
    <row r="684" spans="1:17" x14ac:dyDescent="0.25">
      <c r="A684" s="3" t="s">
        <v>18</v>
      </c>
      <c r="B684" s="3">
        <v>11874076</v>
      </c>
      <c r="C684" s="3" t="s">
        <v>724</v>
      </c>
      <c r="D684" s="3" t="s">
        <v>20</v>
      </c>
      <c r="E684" s="3" t="s">
        <v>21</v>
      </c>
      <c r="F684" s="3" t="s">
        <v>21</v>
      </c>
      <c r="G684" s="3" t="s">
        <v>22</v>
      </c>
      <c r="H684" s="3" t="s">
        <v>23</v>
      </c>
      <c r="I684" s="3" t="s">
        <v>24</v>
      </c>
      <c r="J684" s="3" t="s">
        <v>24</v>
      </c>
      <c r="K684" s="3" t="s">
        <v>25</v>
      </c>
      <c r="L684" s="4">
        <v>0</v>
      </c>
      <c r="M684" s="3" t="s">
        <v>26</v>
      </c>
      <c r="N684" s="3" t="s">
        <v>24</v>
      </c>
      <c r="O684" s="4">
        <v>1</v>
      </c>
      <c r="P684" s="4">
        <v>4</v>
      </c>
      <c r="Q684" s="4">
        <v>1</v>
      </c>
    </row>
    <row r="685" spans="1:17" x14ac:dyDescent="0.25">
      <c r="A685" s="3" t="s">
        <v>18</v>
      </c>
      <c r="B685" s="3">
        <v>11874178</v>
      </c>
      <c r="C685" s="3" t="s">
        <v>725</v>
      </c>
      <c r="D685" s="3" t="s">
        <v>20</v>
      </c>
      <c r="E685" s="3" t="s">
        <v>21</v>
      </c>
      <c r="F685" s="3" t="s">
        <v>21</v>
      </c>
      <c r="G685" s="3" t="s">
        <v>22</v>
      </c>
      <c r="H685" s="3" t="s">
        <v>23</v>
      </c>
      <c r="I685" s="3" t="s">
        <v>24</v>
      </c>
      <c r="J685" s="3" t="s">
        <v>24</v>
      </c>
      <c r="K685" s="3" t="s">
        <v>25</v>
      </c>
      <c r="L685" s="4">
        <v>0</v>
      </c>
      <c r="M685" s="3" t="s">
        <v>26</v>
      </c>
      <c r="N685" s="3" t="s">
        <v>24</v>
      </c>
      <c r="O685" s="4">
        <v>1</v>
      </c>
      <c r="P685" s="4">
        <v>4</v>
      </c>
      <c r="Q685" s="4">
        <v>1</v>
      </c>
    </row>
    <row r="686" spans="1:17" x14ac:dyDescent="0.25">
      <c r="A686" s="3" t="s">
        <v>18</v>
      </c>
      <c r="B686" s="3">
        <v>11874179</v>
      </c>
      <c r="C686" s="3" t="s">
        <v>726</v>
      </c>
      <c r="D686" s="3" t="s">
        <v>20</v>
      </c>
      <c r="E686" s="3" t="s">
        <v>21</v>
      </c>
      <c r="F686" s="3" t="s">
        <v>21</v>
      </c>
      <c r="G686" s="3" t="s">
        <v>22</v>
      </c>
      <c r="H686" s="3" t="s">
        <v>23</v>
      </c>
      <c r="I686" s="3" t="s">
        <v>24</v>
      </c>
      <c r="J686" s="3" t="s">
        <v>24</v>
      </c>
      <c r="K686" s="3" t="s">
        <v>25</v>
      </c>
      <c r="L686" s="4">
        <v>0</v>
      </c>
      <c r="M686" s="3" t="s">
        <v>26</v>
      </c>
      <c r="N686" s="3" t="s">
        <v>24</v>
      </c>
      <c r="O686" s="4">
        <v>1</v>
      </c>
      <c r="P686" s="4">
        <v>4</v>
      </c>
      <c r="Q686" s="4">
        <v>1</v>
      </c>
    </row>
    <row r="687" spans="1:17" x14ac:dyDescent="0.25">
      <c r="A687" s="3" t="s">
        <v>18</v>
      </c>
      <c r="B687" s="3">
        <v>11874180</v>
      </c>
      <c r="C687" s="3" t="s">
        <v>727</v>
      </c>
      <c r="D687" s="3" t="s">
        <v>20</v>
      </c>
      <c r="E687" s="3" t="s">
        <v>21</v>
      </c>
      <c r="F687" s="3" t="s">
        <v>21</v>
      </c>
      <c r="G687" s="3" t="s">
        <v>22</v>
      </c>
      <c r="H687" s="3" t="s">
        <v>23</v>
      </c>
      <c r="I687" s="3" t="s">
        <v>24</v>
      </c>
      <c r="J687" s="3" t="s">
        <v>24</v>
      </c>
      <c r="K687" s="3" t="s">
        <v>25</v>
      </c>
      <c r="L687" s="4">
        <v>0</v>
      </c>
      <c r="M687" s="3" t="s">
        <v>26</v>
      </c>
      <c r="N687" s="3" t="s">
        <v>24</v>
      </c>
      <c r="O687" s="4">
        <v>1</v>
      </c>
      <c r="P687" s="4">
        <v>4</v>
      </c>
      <c r="Q687" s="4">
        <v>1</v>
      </c>
    </row>
    <row r="688" spans="1:17" x14ac:dyDescent="0.25">
      <c r="A688" s="3" t="s">
        <v>18</v>
      </c>
      <c r="B688" s="3">
        <v>11874182</v>
      </c>
      <c r="C688" s="3" t="s">
        <v>728</v>
      </c>
      <c r="D688" s="3" t="s">
        <v>20</v>
      </c>
      <c r="E688" s="3" t="s">
        <v>21</v>
      </c>
      <c r="F688" s="3" t="s">
        <v>21</v>
      </c>
      <c r="G688" s="3" t="s">
        <v>36</v>
      </c>
      <c r="H688" s="3" t="s">
        <v>37</v>
      </c>
      <c r="I688" s="3" t="s">
        <v>24</v>
      </c>
      <c r="J688" s="3" t="s">
        <v>24</v>
      </c>
      <c r="K688" s="3" t="s">
        <v>25</v>
      </c>
      <c r="L688" s="4">
        <v>0</v>
      </c>
      <c r="M688" s="3" t="s">
        <v>26</v>
      </c>
      <c r="N688" s="3" t="s">
        <v>24</v>
      </c>
      <c r="O688" s="4">
        <v>1</v>
      </c>
      <c r="P688" s="4">
        <v>10</v>
      </c>
      <c r="Q688" s="4">
        <v>1</v>
      </c>
    </row>
    <row r="689" spans="1:17" x14ac:dyDescent="0.25">
      <c r="A689" s="3" t="s">
        <v>18</v>
      </c>
      <c r="B689" s="3">
        <v>11874185</v>
      </c>
      <c r="C689" s="3" t="s">
        <v>729</v>
      </c>
      <c r="D689" s="3" t="s">
        <v>20</v>
      </c>
      <c r="E689" s="3" t="s">
        <v>21</v>
      </c>
      <c r="F689" s="3" t="s">
        <v>21</v>
      </c>
      <c r="G689" s="3" t="s">
        <v>36</v>
      </c>
      <c r="H689" s="3" t="s">
        <v>37</v>
      </c>
      <c r="I689" s="3" t="s">
        <v>24</v>
      </c>
      <c r="J689" s="3" t="s">
        <v>24</v>
      </c>
      <c r="K689" s="3" t="s">
        <v>25</v>
      </c>
      <c r="L689" s="4">
        <v>0</v>
      </c>
      <c r="M689" s="3" t="s">
        <v>26</v>
      </c>
      <c r="N689" s="3" t="s">
        <v>24</v>
      </c>
      <c r="O689" s="4">
        <v>1</v>
      </c>
      <c r="P689" s="4">
        <v>10</v>
      </c>
      <c r="Q689" s="4">
        <v>1</v>
      </c>
    </row>
    <row r="690" spans="1:17" x14ac:dyDescent="0.25">
      <c r="A690" s="3" t="s">
        <v>18</v>
      </c>
      <c r="B690" s="3">
        <v>11874186</v>
      </c>
      <c r="C690" s="3" t="s">
        <v>730</v>
      </c>
      <c r="D690" s="3" t="s">
        <v>20</v>
      </c>
      <c r="E690" s="3" t="s">
        <v>21</v>
      </c>
      <c r="F690" s="3" t="s">
        <v>21</v>
      </c>
      <c r="G690" s="3" t="s">
        <v>36</v>
      </c>
      <c r="H690" s="3" t="s">
        <v>37</v>
      </c>
      <c r="I690" s="3" t="s">
        <v>24</v>
      </c>
      <c r="J690" s="3" t="s">
        <v>24</v>
      </c>
      <c r="K690" s="3" t="s">
        <v>25</v>
      </c>
      <c r="L690" s="4">
        <v>0</v>
      </c>
      <c r="M690" s="3" t="s">
        <v>26</v>
      </c>
      <c r="N690" s="3" t="s">
        <v>24</v>
      </c>
      <c r="O690" s="4">
        <v>1</v>
      </c>
      <c r="P690" s="4">
        <v>10</v>
      </c>
      <c r="Q690" s="4">
        <v>1</v>
      </c>
    </row>
    <row r="691" spans="1:17" x14ac:dyDescent="0.25">
      <c r="A691" s="3" t="s">
        <v>18</v>
      </c>
      <c r="B691" s="3">
        <v>11874187</v>
      </c>
      <c r="C691" s="3" t="s">
        <v>731</v>
      </c>
      <c r="D691" s="3" t="s">
        <v>20</v>
      </c>
      <c r="E691" s="3" t="s">
        <v>21</v>
      </c>
      <c r="F691" s="3" t="s">
        <v>21</v>
      </c>
      <c r="G691" s="3" t="s">
        <v>36</v>
      </c>
      <c r="H691" s="3" t="s">
        <v>37</v>
      </c>
      <c r="I691" s="3" t="s">
        <v>24</v>
      </c>
      <c r="J691" s="3" t="s">
        <v>24</v>
      </c>
      <c r="K691" s="3" t="s">
        <v>25</v>
      </c>
      <c r="L691" s="4">
        <v>0</v>
      </c>
      <c r="M691" s="3" t="s">
        <v>26</v>
      </c>
      <c r="N691" s="3" t="s">
        <v>24</v>
      </c>
      <c r="O691" s="4">
        <v>1</v>
      </c>
      <c r="P691" s="4">
        <v>10</v>
      </c>
      <c r="Q691" s="4">
        <v>1</v>
      </c>
    </row>
    <row r="692" spans="1:17" x14ac:dyDescent="0.25">
      <c r="A692" s="3" t="s">
        <v>18</v>
      </c>
      <c r="B692" s="3">
        <v>11874229</v>
      </c>
      <c r="C692" s="3" t="s">
        <v>732</v>
      </c>
      <c r="D692" s="3" t="s">
        <v>20</v>
      </c>
      <c r="E692" s="3" t="s">
        <v>21</v>
      </c>
      <c r="F692" s="3" t="s">
        <v>21</v>
      </c>
      <c r="G692" s="3" t="s">
        <v>233</v>
      </c>
      <c r="H692" s="3" t="s">
        <v>234</v>
      </c>
      <c r="I692" s="3" t="s">
        <v>24</v>
      </c>
      <c r="J692" s="3" t="s">
        <v>24</v>
      </c>
      <c r="K692" s="3" t="s">
        <v>25</v>
      </c>
      <c r="L692" s="4">
        <v>0</v>
      </c>
      <c r="M692" s="3" t="s">
        <v>26</v>
      </c>
      <c r="N692" s="3" t="s">
        <v>24</v>
      </c>
      <c r="O692" s="4">
        <v>1</v>
      </c>
      <c r="P692" s="4">
        <v>99999999</v>
      </c>
      <c r="Q692" s="4">
        <v>1</v>
      </c>
    </row>
    <row r="693" spans="1:17" x14ac:dyDescent="0.25">
      <c r="A693" s="3" t="s">
        <v>18</v>
      </c>
      <c r="B693" s="3">
        <v>11874230</v>
      </c>
      <c r="C693" s="3" t="s">
        <v>733</v>
      </c>
      <c r="D693" s="3" t="s">
        <v>20</v>
      </c>
      <c r="E693" s="3" t="s">
        <v>21</v>
      </c>
      <c r="F693" s="3" t="s">
        <v>21</v>
      </c>
      <c r="G693" s="3" t="s">
        <v>233</v>
      </c>
      <c r="H693" s="3" t="s">
        <v>234</v>
      </c>
      <c r="I693" s="3" t="s">
        <v>24</v>
      </c>
      <c r="J693" s="3" t="s">
        <v>24</v>
      </c>
      <c r="K693" s="3" t="s">
        <v>25</v>
      </c>
      <c r="L693" s="4">
        <v>0</v>
      </c>
      <c r="M693" s="3" t="s">
        <v>26</v>
      </c>
      <c r="N693" s="3" t="s">
        <v>24</v>
      </c>
      <c r="O693" s="4">
        <v>1</v>
      </c>
      <c r="P693" s="4">
        <v>99999999</v>
      </c>
      <c r="Q693" s="4">
        <v>1</v>
      </c>
    </row>
    <row r="694" spans="1:17" x14ac:dyDescent="0.25">
      <c r="A694" s="3" t="s">
        <v>18</v>
      </c>
      <c r="B694" s="3">
        <v>11874231</v>
      </c>
      <c r="C694" s="3" t="s">
        <v>734</v>
      </c>
      <c r="D694" s="3" t="s">
        <v>20</v>
      </c>
      <c r="E694" s="3" t="s">
        <v>21</v>
      </c>
      <c r="F694" s="3" t="s">
        <v>21</v>
      </c>
      <c r="G694" s="3" t="s">
        <v>233</v>
      </c>
      <c r="H694" s="3" t="s">
        <v>234</v>
      </c>
      <c r="I694" s="3" t="s">
        <v>24</v>
      </c>
      <c r="J694" s="3" t="s">
        <v>24</v>
      </c>
      <c r="K694" s="3" t="s">
        <v>25</v>
      </c>
      <c r="L694" s="4">
        <v>0</v>
      </c>
      <c r="M694" s="3" t="s">
        <v>26</v>
      </c>
      <c r="N694" s="3" t="s">
        <v>24</v>
      </c>
      <c r="O694" s="4">
        <v>1</v>
      </c>
      <c r="P694" s="4">
        <v>99999999</v>
      </c>
      <c r="Q694" s="4">
        <v>1</v>
      </c>
    </row>
    <row r="695" spans="1:17" x14ac:dyDescent="0.25">
      <c r="A695" s="3" t="s">
        <v>18</v>
      </c>
      <c r="B695" s="3">
        <v>11874233</v>
      </c>
      <c r="C695" s="3" t="s">
        <v>735</v>
      </c>
      <c r="D695" s="3" t="s">
        <v>20</v>
      </c>
      <c r="E695" s="3" t="s">
        <v>21</v>
      </c>
      <c r="F695" s="3" t="s">
        <v>21</v>
      </c>
      <c r="G695" s="3" t="s">
        <v>233</v>
      </c>
      <c r="H695" s="3" t="s">
        <v>234</v>
      </c>
      <c r="I695" s="3" t="s">
        <v>24</v>
      </c>
      <c r="J695" s="3" t="s">
        <v>24</v>
      </c>
      <c r="K695" s="3" t="s">
        <v>25</v>
      </c>
      <c r="L695" s="4">
        <v>0</v>
      </c>
      <c r="M695" s="3" t="s">
        <v>26</v>
      </c>
      <c r="N695" s="3" t="s">
        <v>24</v>
      </c>
      <c r="O695" s="4">
        <v>1</v>
      </c>
      <c r="P695" s="4">
        <v>99999999</v>
      </c>
      <c r="Q695" s="4">
        <v>1</v>
      </c>
    </row>
    <row r="696" spans="1:17" x14ac:dyDescent="0.25">
      <c r="A696" s="3" t="s">
        <v>18</v>
      </c>
      <c r="B696" s="3">
        <v>11874235</v>
      </c>
      <c r="C696" s="3" t="s">
        <v>736</v>
      </c>
      <c r="D696" s="3" t="s">
        <v>20</v>
      </c>
      <c r="E696" s="3" t="s">
        <v>21</v>
      </c>
      <c r="F696" s="3" t="s">
        <v>21</v>
      </c>
      <c r="G696" s="3" t="s">
        <v>233</v>
      </c>
      <c r="H696" s="3" t="s">
        <v>234</v>
      </c>
      <c r="I696" s="3" t="s">
        <v>24</v>
      </c>
      <c r="J696" s="3" t="s">
        <v>24</v>
      </c>
      <c r="K696" s="3" t="s">
        <v>25</v>
      </c>
      <c r="L696" s="4">
        <v>0</v>
      </c>
      <c r="M696" s="3" t="s">
        <v>26</v>
      </c>
      <c r="N696" s="3" t="s">
        <v>24</v>
      </c>
      <c r="O696" s="4">
        <v>1</v>
      </c>
      <c r="P696" s="4">
        <v>99999999</v>
      </c>
      <c r="Q696" s="4">
        <v>1</v>
      </c>
    </row>
    <row r="697" spans="1:17" x14ac:dyDescent="0.25">
      <c r="A697" s="3" t="s">
        <v>18</v>
      </c>
      <c r="B697" s="3">
        <v>11874330</v>
      </c>
      <c r="C697" s="3" t="s">
        <v>737</v>
      </c>
      <c r="D697" s="3" t="s">
        <v>20</v>
      </c>
      <c r="E697" s="3" t="s">
        <v>21</v>
      </c>
      <c r="F697" s="3" t="s">
        <v>21</v>
      </c>
      <c r="G697" s="3" t="s">
        <v>233</v>
      </c>
      <c r="H697" s="3" t="s">
        <v>234</v>
      </c>
      <c r="I697" s="3" t="s">
        <v>24</v>
      </c>
      <c r="J697" s="3" t="s">
        <v>24</v>
      </c>
      <c r="K697" s="3" t="s">
        <v>25</v>
      </c>
      <c r="L697" s="4">
        <v>0</v>
      </c>
      <c r="M697" s="3" t="s">
        <v>26</v>
      </c>
      <c r="N697" s="3" t="s">
        <v>24</v>
      </c>
      <c r="O697" s="4">
        <v>1</v>
      </c>
      <c r="P697" s="4">
        <v>99999999</v>
      </c>
      <c r="Q697" s="4">
        <v>1</v>
      </c>
    </row>
    <row r="698" spans="1:17" x14ac:dyDescent="0.25">
      <c r="A698" s="3" t="s">
        <v>18</v>
      </c>
      <c r="B698" s="3">
        <v>11874331</v>
      </c>
      <c r="C698" s="3" t="s">
        <v>738</v>
      </c>
      <c r="D698" s="3" t="s">
        <v>20</v>
      </c>
      <c r="E698" s="3" t="s">
        <v>21</v>
      </c>
      <c r="F698" s="3" t="s">
        <v>21</v>
      </c>
      <c r="G698" s="3" t="s">
        <v>233</v>
      </c>
      <c r="H698" s="3" t="s">
        <v>234</v>
      </c>
      <c r="I698" s="3" t="s">
        <v>24</v>
      </c>
      <c r="J698" s="3" t="s">
        <v>24</v>
      </c>
      <c r="K698" s="3" t="s">
        <v>25</v>
      </c>
      <c r="L698" s="4">
        <v>0</v>
      </c>
      <c r="M698" s="3" t="s">
        <v>26</v>
      </c>
      <c r="N698" s="3" t="s">
        <v>24</v>
      </c>
      <c r="O698" s="4">
        <v>1</v>
      </c>
      <c r="P698" s="4">
        <v>99999999</v>
      </c>
      <c r="Q698" s="4">
        <v>1</v>
      </c>
    </row>
    <row r="699" spans="1:17" x14ac:dyDescent="0.25">
      <c r="A699" s="3" t="s">
        <v>18</v>
      </c>
      <c r="B699" s="3">
        <v>11874392</v>
      </c>
      <c r="C699" s="3" t="s">
        <v>739</v>
      </c>
      <c r="D699" s="3" t="s">
        <v>20</v>
      </c>
      <c r="E699" s="3" t="s">
        <v>21</v>
      </c>
      <c r="F699" s="3" t="s">
        <v>21</v>
      </c>
      <c r="G699" s="3" t="s">
        <v>30</v>
      </c>
      <c r="H699" s="3" t="s">
        <v>31</v>
      </c>
      <c r="I699" s="3" t="s">
        <v>24</v>
      </c>
      <c r="J699" s="3" t="s">
        <v>24</v>
      </c>
      <c r="K699" s="3" t="s">
        <v>25</v>
      </c>
      <c r="L699" s="4">
        <v>0</v>
      </c>
      <c r="M699" s="3" t="s">
        <v>26</v>
      </c>
      <c r="N699" s="3" t="s">
        <v>24</v>
      </c>
      <c r="O699" s="4">
        <v>1</v>
      </c>
      <c r="P699" s="4">
        <v>8</v>
      </c>
      <c r="Q699" s="4">
        <v>1</v>
      </c>
    </row>
    <row r="700" spans="1:17" x14ac:dyDescent="0.25">
      <c r="A700" s="3" t="s">
        <v>18</v>
      </c>
      <c r="B700" s="3">
        <v>11874393</v>
      </c>
      <c r="C700" s="3" t="s">
        <v>740</v>
      </c>
      <c r="D700" s="3" t="s">
        <v>20</v>
      </c>
      <c r="E700" s="3" t="s">
        <v>21</v>
      </c>
      <c r="F700" s="3" t="s">
        <v>21</v>
      </c>
      <c r="G700" s="3" t="s">
        <v>30</v>
      </c>
      <c r="H700" s="3" t="s">
        <v>31</v>
      </c>
      <c r="I700" s="3" t="s">
        <v>24</v>
      </c>
      <c r="J700" s="3" t="s">
        <v>24</v>
      </c>
      <c r="K700" s="3" t="s">
        <v>25</v>
      </c>
      <c r="L700" s="4">
        <v>0</v>
      </c>
      <c r="M700" s="3" t="s">
        <v>26</v>
      </c>
      <c r="N700" s="3" t="s">
        <v>24</v>
      </c>
      <c r="O700" s="4">
        <v>1</v>
      </c>
      <c r="P700" s="4">
        <v>8</v>
      </c>
      <c r="Q700" s="4">
        <v>1</v>
      </c>
    </row>
    <row r="701" spans="1:17" x14ac:dyDescent="0.25">
      <c r="A701" s="3" t="s">
        <v>18</v>
      </c>
      <c r="B701" s="3">
        <v>11874394</v>
      </c>
      <c r="C701" s="3" t="s">
        <v>741</v>
      </c>
      <c r="D701" s="3" t="s">
        <v>20</v>
      </c>
      <c r="E701" s="3" t="s">
        <v>21</v>
      </c>
      <c r="F701" s="3" t="s">
        <v>21</v>
      </c>
      <c r="G701" s="3" t="s">
        <v>30</v>
      </c>
      <c r="H701" s="3" t="s">
        <v>31</v>
      </c>
      <c r="I701" s="3" t="s">
        <v>24</v>
      </c>
      <c r="J701" s="3" t="s">
        <v>24</v>
      </c>
      <c r="K701" s="3" t="s">
        <v>25</v>
      </c>
      <c r="L701" s="4">
        <v>0</v>
      </c>
      <c r="M701" s="3" t="s">
        <v>26</v>
      </c>
      <c r="N701" s="3" t="s">
        <v>24</v>
      </c>
      <c r="O701" s="4">
        <v>1</v>
      </c>
      <c r="P701" s="4">
        <v>8</v>
      </c>
      <c r="Q701" s="4">
        <v>1</v>
      </c>
    </row>
    <row r="702" spans="1:17" x14ac:dyDescent="0.25">
      <c r="A702" s="3" t="s">
        <v>18</v>
      </c>
      <c r="B702" s="3">
        <v>11874397</v>
      </c>
      <c r="C702" s="3" t="s">
        <v>742</v>
      </c>
      <c r="D702" s="3" t="s">
        <v>20</v>
      </c>
      <c r="E702" s="3" t="s">
        <v>21</v>
      </c>
      <c r="F702" s="3" t="s">
        <v>21</v>
      </c>
      <c r="G702" s="3" t="s">
        <v>30</v>
      </c>
      <c r="H702" s="3" t="s">
        <v>31</v>
      </c>
      <c r="I702" s="3" t="s">
        <v>24</v>
      </c>
      <c r="J702" s="3" t="s">
        <v>24</v>
      </c>
      <c r="K702" s="3" t="s">
        <v>25</v>
      </c>
      <c r="L702" s="4">
        <v>0</v>
      </c>
      <c r="M702" s="3" t="s">
        <v>26</v>
      </c>
      <c r="N702" s="3" t="s">
        <v>24</v>
      </c>
      <c r="O702" s="4">
        <v>1</v>
      </c>
      <c r="P702" s="4">
        <v>8</v>
      </c>
      <c r="Q702" s="4">
        <v>1</v>
      </c>
    </row>
    <row r="703" spans="1:17" x14ac:dyDescent="0.25">
      <c r="A703" s="3" t="s">
        <v>18</v>
      </c>
      <c r="B703" s="3">
        <v>11874451</v>
      </c>
      <c r="C703" s="3" t="s">
        <v>743</v>
      </c>
      <c r="D703" s="3" t="s">
        <v>20</v>
      </c>
      <c r="E703" s="3" t="s">
        <v>21</v>
      </c>
      <c r="F703" s="3" t="s">
        <v>21</v>
      </c>
      <c r="G703" s="3" t="s">
        <v>30</v>
      </c>
      <c r="H703" s="3" t="s">
        <v>31</v>
      </c>
      <c r="I703" s="3" t="s">
        <v>24</v>
      </c>
      <c r="J703" s="3" t="s">
        <v>24</v>
      </c>
      <c r="K703" s="3" t="s">
        <v>25</v>
      </c>
      <c r="L703" s="4">
        <v>0</v>
      </c>
      <c r="M703" s="3" t="s">
        <v>26</v>
      </c>
      <c r="N703" s="3" t="s">
        <v>24</v>
      </c>
      <c r="O703" s="4">
        <v>1</v>
      </c>
      <c r="P703" s="4">
        <v>9</v>
      </c>
      <c r="Q703" s="4">
        <v>1</v>
      </c>
    </row>
    <row r="704" spans="1:17" x14ac:dyDescent="0.25">
      <c r="A704" s="3" t="s">
        <v>18</v>
      </c>
      <c r="B704" s="3">
        <v>11874453</v>
      </c>
      <c r="C704" s="3" t="s">
        <v>744</v>
      </c>
      <c r="D704" s="3" t="s">
        <v>20</v>
      </c>
      <c r="E704" s="3" t="s">
        <v>21</v>
      </c>
      <c r="F704" s="3" t="s">
        <v>21</v>
      </c>
      <c r="G704" s="3" t="s">
        <v>30</v>
      </c>
      <c r="H704" s="3" t="s">
        <v>31</v>
      </c>
      <c r="I704" s="3" t="s">
        <v>24</v>
      </c>
      <c r="J704" s="3" t="s">
        <v>24</v>
      </c>
      <c r="K704" s="3" t="s">
        <v>25</v>
      </c>
      <c r="L704" s="4">
        <v>0</v>
      </c>
      <c r="M704" s="3" t="s">
        <v>26</v>
      </c>
      <c r="N704" s="3" t="s">
        <v>24</v>
      </c>
      <c r="O704" s="4">
        <v>1</v>
      </c>
      <c r="P704" s="4">
        <v>9</v>
      </c>
      <c r="Q704" s="4">
        <v>1</v>
      </c>
    </row>
    <row r="705" spans="1:17" x14ac:dyDescent="0.25">
      <c r="A705" s="3" t="s">
        <v>18</v>
      </c>
      <c r="B705" s="3">
        <v>11874454</v>
      </c>
      <c r="C705" s="3" t="s">
        <v>745</v>
      </c>
      <c r="D705" s="3" t="s">
        <v>20</v>
      </c>
      <c r="E705" s="3" t="s">
        <v>21</v>
      </c>
      <c r="F705" s="3" t="s">
        <v>21</v>
      </c>
      <c r="G705" s="3" t="s">
        <v>30</v>
      </c>
      <c r="H705" s="3" t="s">
        <v>31</v>
      </c>
      <c r="I705" s="3" t="s">
        <v>24</v>
      </c>
      <c r="J705" s="3" t="s">
        <v>24</v>
      </c>
      <c r="K705" s="3" t="s">
        <v>25</v>
      </c>
      <c r="L705" s="4">
        <v>0</v>
      </c>
      <c r="M705" s="3" t="s">
        <v>26</v>
      </c>
      <c r="N705" s="3" t="s">
        <v>24</v>
      </c>
      <c r="O705" s="4">
        <v>1</v>
      </c>
      <c r="P705" s="4">
        <v>8</v>
      </c>
      <c r="Q705" s="4">
        <v>1</v>
      </c>
    </row>
    <row r="706" spans="1:17" x14ac:dyDescent="0.25">
      <c r="A706" s="3" t="s">
        <v>18</v>
      </c>
      <c r="B706" s="3">
        <v>11874456</v>
      </c>
      <c r="C706" s="3" t="s">
        <v>746</v>
      </c>
      <c r="D706" s="3" t="s">
        <v>20</v>
      </c>
      <c r="E706" s="3" t="s">
        <v>21</v>
      </c>
      <c r="F706" s="3" t="s">
        <v>21</v>
      </c>
      <c r="G706" s="3" t="s">
        <v>30</v>
      </c>
      <c r="H706" s="3" t="s">
        <v>31</v>
      </c>
      <c r="I706" s="3" t="s">
        <v>24</v>
      </c>
      <c r="J706" s="3" t="s">
        <v>24</v>
      </c>
      <c r="K706" s="3" t="s">
        <v>25</v>
      </c>
      <c r="L706" s="4">
        <v>0</v>
      </c>
      <c r="M706" s="3" t="s">
        <v>26</v>
      </c>
      <c r="N706" s="3" t="s">
        <v>24</v>
      </c>
      <c r="O706" s="4">
        <v>1</v>
      </c>
      <c r="P706" s="4">
        <v>8</v>
      </c>
      <c r="Q706" s="4">
        <v>1</v>
      </c>
    </row>
    <row r="707" spans="1:17" x14ac:dyDescent="0.25">
      <c r="A707" s="3" t="s">
        <v>18</v>
      </c>
      <c r="B707" s="3">
        <v>11874478</v>
      </c>
      <c r="C707" s="3" t="s">
        <v>747</v>
      </c>
      <c r="D707" s="3" t="s">
        <v>20</v>
      </c>
      <c r="E707" s="3" t="s">
        <v>21</v>
      </c>
      <c r="F707" s="3" t="s">
        <v>21</v>
      </c>
      <c r="G707" s="3" t="s">
        <v>30</v>
      </c>
      <c r="H707" s="3" t="s">
        <v>31</v>
      </c>
      <c r="I707" s="3" t="s">
        <v>24</v>
      </c>
      <c r="J707" s="3" t="s">
        <v>24</v>
      </c>
      <c r="K707" s="3" t="s">
        <v>25</v>
      </c>
      <c r="L707" s="4">
        <v>0</v>
      </c>
      <c r="M707" s="3" t="s">
        <v>26</v>
      </c>
      <c r="N707" s="3" t="s">
        <v>24</v>
      </c>
      <c r="O707" s="4">
        <v>1</v>
      </c>
      <c r="P707" s="4">
        <v>8</v>
      </c>
      <c r="Q707" s="4">
        <v>1</v>
      </c>
    </row>
    <row r="708" spans="1:17" x14ac:dyDescent="0.25">
      <c r="A708" s="3" t="s">
        <v>18</v>
      </c>
      <c r="B708" s="3">
        <v>11874481</v>
      </c>
      <c r="C708" s="3" t="s">
        <v>748</v>
      </c>
      <c r="D708" s="3" t="s">
        <v>20</v>
      </c>
      <c r="E708" s="3" t="s">
        <v>21</v>
      </c>
      <c r="F708" s="3" t="s">
        <v>21</v>
      </c>
      <c r="G708" s="3" t="s">
        <v>42</v>
      </c>
      <c r="H708" s="3" t="s">
        <v>43</v>
      </c>
      <c r="I708" s="3" t="s">
        <v>24</v>
      </c>
      <c r="J708" s="3" t="s">
        <v>24</v>
      </c>
      <c r="K708" s="3" t="s">
        <v>25</v>
      </c>
      <c r="L708" s="4">
        <v>0</v>
      </c>
      <c r="M708" s="3" t="s">
        <v>26</v>
      </c>
      <c r="N708" s="3" t="s">
        <v>24</v>
      </c>
      <c r="O708" s="4">
        <v>1</v>
      </c>
      <c r="P708" s="4">
        <v>8</v>
      </c>
      <c r="Q708" s="4">
        <v>1</v>
      </c>
    </row>
    <row r="709" spans="1:17" x14ac:dyDescent="0.25">
      <c r="A709" s="3" t="s">
        <v>18</v>
      </c>
      <c r="B709" s="3">
        <v>11874482</v>
      </c>
      <c r="C709" s="3" t="s">
        <v>749</v>
      </c>
      <c r="D709" s="3" t="s">
        <v>20</v>
      </c>
      <c r="E709" s="3" t="s">
        <v>21</v>
      </c>
      <c r="F709" s="3" t="s">
        <v>21</v>
      </c>
      <c r="G709" s="3" t="s">
        <v>42</v>
      </c>
      <c r="H709" s="3" t="s">
        <v>43</v>
      </c>
      <c r="I709" s="3" t="s">
        <v>24</v>
      </c>
      <c r="J709" s="3" t="s">
        <v>24</v>
      </c>
      <c r="K709" s="3" t="s">
        <v>25</v>
      </c>
      <c r="L709" s="4">
        <v>0</v>
      </c>
      <c r="M709" s="3" t="s">
        <v>26</v>
      </c>
      <c r="N709" s="3" t="s">
        <v>24</v>
      </c>
      <c r="O709" s="4">
        <v>1</v>
      </c>
      <c r="P709" s="4">
        <v>8</v>
      </c>
      <c r="Q709" s="4">
        <v>1</v>
      </c>
    </row>
    <row r="710" spans="1:17" x14ac:dyDescent="0.25">
      <c r="A710" s="3" t="s">
        <v>18</v>
      </c>
      <c r="B710" s="3">
        <v>11874483</v>
      </c>
      <c r="C710" s="3" t="s">
        <v>750</v>
      </c>
      <c r="D710" s="3" t="s">
        <v>20</v>
      </c>
      <c r="E710" s="3" t="s">
        <v>21</v>
      </c>
      <c r="F710" s="3" t="s">
        <v>21</v>
      </c>
      <c r="G710" s="3" t="s">
        <v>42</v>
      </c>
      <c r="H710" s="3" t="s">
        <v>43</v>
      </c>
      <c r="I710" s="3" t="s">
        <v>24</v>
      </c>
      <c r="J710" s="3" t="s">
        <v>24</v>
      </c>
      <c r="K710" s="3" t="s">
        <v>25</v>
      </c>
      <c r="L710" s="4">
        <v>0</v>
      </c>
      <c r="M710" s="3" t="s">
        <v>26</v>
      </c>
      <c r="N710" s="3" t="s">
        <v>24</v>
      </c>
      <c r="O710" s="4">
        <v>1</v>
      </c>
      <c r="P710" s="4">
        <v>8</v>
      </c>
      <c r="Q710" s="4">
        <v>1</v>
      </c>
    </row>
    <row r="711" spans="1:17" x14ac:dyDescent="0.25">
      <c r="A711" s="3" t="s">
        <v>18</v>
      </c>
      <c r="B711" s="3">
        <v>11874484</v>
      </c>
      <c r="C711" s="3" t="s">
        <v>751</v>
      </c>
      <c r="D711" s="3" t="s">
        <v>20</v>
      </c>
      <c r="E711" s="3" t="s">
        <v>21</v>
      </c>
      <c r="F711" s="3" t="s">
        <v>21</v>
      </c>
      <c r="G711" s="3" t="s">
        <v>42</v>
      </c>
      <c r="H711" s="3" t="s">
        <v>43</v>
      </c>
      <c r="I711" s="3" t="s">
        <v>24</v>
      </c>
      <c r="J711" s="3" t="s">
        <v>24</v>
      </c>
      <c r="K711" s="3" t="s">
        <v>25</v>
      </c>
      <c r="L711" s="4">
        <v>0</v>
      </c>
      <c r="M711" s="3" t="s">
        <v>26</v>
      </c>
      <c r="N711" s="3" t="s">
        <v>24</v>
      </c>
      <c r="O711" s="4">
        <v>1</v>
      </c>
      <c r="P711" s="4">
        <v>8</v>
      </c>
      <c r="Q711" s="4">
        <v>1</v>
      </c>
    </row>
    <row r="712" spans="1:17" x14ac:dyDescent="0.25">
      <c r="A712" s="3" t="s">
        <v>18</v>
      </c>
      <c r="B712" s="3">
        <v>11874485</v>
      </c>
      <c r="C712" s="3" t="s">
        <v>752</v>
      </c>
      <c r="D712" s="3" t="s">
        <v>20</v>
      </c>
      <c r="E712" s="3" t="s">
        <v>21</v>
      </c>
      <c r="F712" s="3" t="s">
        <v>21</v>
      </c>
      <c r="G712" s="3" t="s">
        <v>42</v>
      </c>
      <c r="H712" s="3" t="s">
        <v>43</v>
      </c>
      <c r="I712" s="3" t="s">
        <v>24</v>
      </c>
      <c r="J712" s="3" t="s">
        <v>24</v>
      </c>
      <c r="K712" s="3" t="s">
        <v>25</v>
      </c>
      <c r="L712" s="4">
        <v>0</v>
      </c>
      <c r="M712" s="3" t="s">
        <v>26</v>
      </c>
      <c r="N712" s="3" t="s">
        <v>24</v>
      </c>
      <c r="O712" s="4">
        <v>1</v>
      </c>
      <c r="P712" s="4">
        <v>8</v>
      </c>
      <c r="Q712" s="4">
        <v>1</v>
      </c>
    </row>
    <row r="713" spans="1:17" x14ac:dyDescent="0.25">
      <c r="A713" s="3" t="s">
        <v>18</v>
      </c>
      <c r="B713" s="3">
        <v>11874486</v>
      </c>
      <c r="C713" s="3" t="s">
        <v>753</v>
      </c>
      <c r="D713" s="3" t="s">
        <v>20</v>
      </c>
      <c r="E713" s="3" t="s">
        <v>21</v>
      </c>
      <c r="F713" s="3" t="s">
        <v>21</v>
      </c>
      <c r="G713" s="3" t="s">
        <v>42</v>
      </c>
      <c r="H713" s="3" t="s">
        <v>43</v>
      </c>
      <c r="I713" s="3" t="s">
        <v>24</v>
      </c>
      <c r="J713" s="3" t="s">
        <v>24</v>
      </c>
      <c r="K713" s="3" t="s">
        <v>25</v>
      </c>
      <c r="L713" s="4">
        <v>0</v>
      </c>
      <c r="M713" s="3" t="s">
        <v>26</v>
      </c>
      <c r="N713" s="3" t="s">
        <v>24</v>
      </c>
      <c r="O713" s="4">
        <v>1</v>
      </c>
      <c r="P713" s="4">
        <v>8</v>
      </c>
      <c r="Q713" s="4">
        <v>1</v>
      </c>
    </row>
    <row r="714" spans="1:17" x14ac:dyDescent="0.25">
      <c r="A714" s="3" t="s">
        <v>18</v>
      </c>
      <c r="B714" s="3">
        <v>11874499</v>
      </c>
      <c r="C714" s="3" t="s">
        <v>754</v>
      </c>
      <c r="D714" s="3" t="s">
        <v>20</v>
      </c>
      <c r="E714" s="3" t="s">
        <v>21</v>
      </c>
      <c r="F714" s="3" t="s">
        <v>21</v>
      </c>
      <c r="G714" s="3" t="s">
        <v>22</v>
      </c>
      <c r="H714" s="3" t="s">
        <v>23</v>
      </c>
      <c r="I714" s="3" t="s">
        <v>24</v>
      </c>
      <c r="J714" s="3" t="s">
        <v>24</v>
      </c>
      <c r="K714" s="3" t="s">
        <v>25</v>
      </c>
      <c r="L714" s="4">
        <v>0</v>
      </c>
      <c r="M714" s="3" t="s">
        <v>26</v>
      </c>
      <c r="N714" s="3" t="s">
        <v>24</v>
      </c>
      <c r="O714" s="4">
        <v>1</v>
      </c>
      <c r="P714" s="4">
        <v>4</v>
      </c>
      <c r="Q714" s="4">
        <v>1</v>
      </c>
    </row>
    <row r="715" spans="1:17" x14ac:dyDescent="0.25">
      <c r="A715" s="3" t="s">
        <v>18</v>
      </c>
      <c r="B715" s="3">
        <v>11874500</v>
      </c>
      <c r="C715" s="3" t="s">
        <v>755</v>
      </c>
      <c r="D715" s="3" t="s">
        <v>20</v>
      </c>
      <c r="E715" s="3" t="s">
        <v>21</v>
      </c>
      <c r="F715" s="3" t="s">
        <v>21</v>
      </c>
      <c r="G715" s="3" t="s">
        <v>22</v>
      </c>
      <c r="H715" s="3" t="s">
        <v>23</v>
      </c>
      <c r="I715" s="3" t="s">
        <v>24</v>
      </c>
      <c r="J715" s="3" t="s">
        <v>24</v>
      </c>
      <c r="K715" s="3" t="s">
        <v>25</v>
      </c>
      <c r="L715" s="4">
        <v>0</v>
      </c>
      <c r="M715" s="3" t="s">
        <v>26</v>
      </c>
      <c r="N715" s="3" t="s">
        <v>24</v>
      </c>
      <c r="O715" s="4">
        <v>1</v>
      </c>
      <c r="P715" s="4">
        <v>4</v>
      </c>
      <c r="Q715" s="4">
        <v>1</v>
      </c>
    </row>
    <row r="716" spans="1:17" x14ac:dyDescent="0.25">
      <c r="A716" s="3" t="s">
        <v>18</v>
      </c>
      <c r="B716" s="3">
        <v>11874502</v>
      </c>
      <c r="C716" s="3" t="s">
        <v>756</v>
      </c>
      <c r="D716" s="3" t="s">
        <v>20</v>
      </c>
      <c r="E716" s="3" t="s">
        <v>21</v>
      </c>
      <c r="F716" s="3" t="s">
        <v>21</v>
      </c>
      <c r="G716" s="3" t="s">
        <v>22</v>
      </c>
      <c r="H716" s="3" t="s">
        <v>23</v>
      </c>
      <c r="I716" s="3" t="s">
        <v>24</v>
      </c>
      <c r="J716" s="3" t="s">
        <v>24</v>
      </c>
      <c r="K716" s="3" t="s">
        <v>25</v>
      </c>
      <c r="L716" s="4">
        <v>0</v>
      </c>
      <c r="M716" s="3" t="s">
        <v>26</v>
      </c>
      <c r="N716" s="3" t="s">
        <v>24</v>
      </c>
      <c r="O716" s="4">
        <v>1</v>
      </c>
      <c r="P716" s="4">
        <v>4</v>
      </c>
      <c r="Q716" s="4">
        <v>1</v>
      </c>
    </row>
    <row r="717" spans="1:17" x14ac:dyDescent="0.25">
      <c r="A717" s="3" t="s">
        <v>18</v>
      </c>
      <c r="B717" s="3">
        <v>11874504</v>
      </c>
      <c r="C717" s="3" t="s">
        <v>757</v>
      </c>
      <c r="D717" s="3" t="s">
        <v>20</v>
      </c>
      <c r="E717" s="3" t="s">
        <v>21</v>
      </c>
      <c r="F717" s="3" t="s">
        <v>21</v>
      </c>
      <c r="G717" s="3" t="s">
        <v>22</v>
      </c>
      <c r="H717" s="3" t="s">
        <v>23</v>
      </c>
      <c r="I717" s="3" t="s">
        <v>24</v>
      </c>
      <c r="J717" s="3" t="s">
        <v>24</v>
      </c>
      <c r="K717" s="3" t="s">
        <v>25</v>
      </c>
      <c r="L717" s="4">
        <v>0</v>
      </c>
      <c r="M717" s="3" t="s">
        <v>26</v>
      </c>
      <c r="N717" s="3" t="s">
        <v>24</v>
      </c>
      <c r="O717" s="4">
        <v>1</v>
      </c>
      <c r="P717" s="4">
        <v>4</v>
      </c>
      <c r="Q717" s="4">
        <v>1</v>
      </c>
    </row>
    <row r="718" spans="1:17" x14ac:dyDescent="0.25">
      <c r="A718" s="3" t="s">
        <v>18</v>
      </c>
      <c r="B718" s="3">
        <v>11874505</v>
      </c>
      <c r="C718" s="3" t="s">
        <v>758</v>
      </c>
      <c r="D718" s="3" t="s">
        <v>20</v>
      </c>
      <c r="E718" s="3" t="s">
        <v>21</v>
      </c>
      <c r="F718" s="3" t="s">
        <v>21</v>
      </c>
      <c r="G718" s="3" t="s">
        <v>22</v>
      </c>
      <c r="H718" s="3" t="s">
        <v>23</v>
      </c>
      <c r="I718" s="3" t="s">
        <v>24</v>
      </c>
      <c r="J718" s="3" t="s">
        <v>24</v>
      </c>
      <c r="K718" s="3" t="s">
        <v>25</v>
      </c>
      <c r="L718" s="4">
        <v>0</v>
      </c>
      <c r="M718" s="3" t="s">
        <v>26</v>
      </c>
      <c r="N718" s="3" t="s">
        <v>24</v>
      </c>
      <c r="O718" s="4">
        <v>1</v>
      </c>
      <c r="P718" s="4">
        <v>4</v>
      </c>
      <c r="Q718" s="4">
        <v>1</v>
      </c>
    </row>
    <row r="719" spans="1:17" x14ac:dyDescent="0.25">
      <c r="A719" s="3" t="s">
        <v>18</v>
      </c>
      <c r="B719" s="3">
        <v>11874506</v>
      </c>
      <c r="C719" s="3" t="s">
        <v>759</v>
      </c>
      <c r="D719" s="3" t="s">
        <v>20</v>
      </c>
      <c r="E719" s="3" t="s">
        <v>21</v>
      </c>
      <c r="F719" s="3" t="s">
        <v>21</v>
      </c>
      <c r="G719" s="3" t="s">
        <v>22</v>
      </c>
      <c r="H719" s="3" t="s">
        <v>23</v>
      </c>
      <c r="I719" s="3" t="s">
        <v>24</v>
      </c>
      <c r="J719" s="3" t="s">
        <v>24</v>
      </c>
      <c r="K719" s="3" t="s">
        <v>25</v>
      </c>
      <c r="L719" s="4">
        <v>0</v>
      </c>
      <c r="M719" s="3" t="s">
        <v>26</v>
      </c>
      <c r="N719" s="3" t="s">
        <v>24</v>
      </c>
      <c r="O719" s="4">
        <v>1</v>
      </c>
      <c r="P719" s="4">
        <v>4</v>
      </c>
      <c r="Q719" s="4">
        <v>1</v>
      </c>
    </row>
    <row r="720" spans="1:17" x14ac:dyDescent="0.25">
      <c r="A720" s="3" t="s">
        <v>18</v>
      </c>
      <c r="B720" s="3">
        <v>11874507</v>
      </c>
      <c r="C720" s="3" t="s">
        <v>760</v>
      </c>
      <c r="D720" s="3" t="s">
        <v>20</v>
      </c>
      <c r="E720" s="3" t="s">
        <v>21</v>
      </c>
      <c r="F720" s="3" t="s">
        <v>21</v>
      </c>
      <c r="G720" s="3" t="s">
        <v>36</v>
      </c>
      <c r="H720" s="3" t="s">
        <v>37</v>
      </c>
      <c r="I720" s="3" t="s">
        <v>24</v>
      </c>
      <c r="J720" s="3" t="s">
        <v>24</v>
      </c>
      <c r="K720" s="3" t="s">
        <v>25</v>
      </c>
      <c r="L720" s="4">
        <v>0</v>
      </c>
      <c r="M720" s="3" t="s">
        <v>26</v>
      </c>
      <c r="N720" s="3" t="s">
        <v>24</v>
      </c>
      <c r="O720" s="4">
        <v>1</v>
      </c>
      <c r="P720" s="4">
        <v>10</v>
      </c>
      <c r="Q720" s="4">
        <v>1</v>
      </c>
    </row>
    <row r="721" spans="1:17" x14ac:dyDescent="0.25">
      <c r="A721" s="3" t="s">
        <v>18</v>
      </c>
      <c r="B721" s="3">
        <v>11874548</v>
      </c>
      <c r="C721" s="3" t="s">
        <v>761</v>
      </c>
      <c r="D721" s="3" t="s">
        <v>20</v>
      </c>
      <c r="E721" s="3" t="s">
        <v>21</v>
      </c>
      <c r="F721" s="3" t="s">
        <v>21</v>
      </c>
      <c r="G721" s="3" t="s">
        <v>36</v>
      </c>
      <c r="H721" s="3" t="s">
        <v>37</v>
      </c>
      <c r="I721" s="3" t="s">
        <v>24</v>
      </c>
      <c r="J721" s="3" t="s">
        <v>24</v>
      </c>
      <c r="K721" s="3" t="s">
        <v>25</v>
      </c>
      <c r="L721" s="4">
        <v>0</v>
      </c>
      <c r="M721" s="3" t="s">
        <v>26</v>
      </c>
      <c r="N721" s="3" t="s">
        <v>24</v>
      </c>
      <c r="O721" s="4">
        <v>1</v>
      </c>
      <c r="P721" s="4">
        <v>10</v>
      </c>
      <c r="Q721" s="4">
        <v>1</v>
      </c>
    </row>
    <row r="722" spans="1:17" x14ac:dyDescent="0.25">
      <c r="A722" s="3" t="s">
        <v>18</v>
      </c>
      <c r="B722" s="3">
        <v>11874549</v>
      </c>
      <c r="C722" s="3" t="s">
        <v>762</v>
      </c>
      <c r="D722" s="3" t="s">
        <v>20</v>
      </c>
      <c r="E722" s="3" t="s">
        <v>21</v>
      </c>
      <c r="F722" s="3" t="s">
        <v>21</v>
      </c>
      <c r="G722" s="3" t="s">
        <v>36</v>
      </c>
      <c r="H722" s="3" t="s">
        <v>37</v>
      </c>
      <c r="I722" s="3" t="s">
        <v>24</v>
      </c>
      <c r="J722" s="3" t="s">
        <v>24</v>
      </c>
      <c r="K722" s="3" t="s">
        <v>25</v>
      </c>
      <c r="L722" s="4">
        <v>0</v>
      </c>
      <c r="M722" s="3" t="s">
        <v>26</v>
      </c>
      <c r="N722" s="3" t="s">
        <v>24</v>
      </c>
      <c r="O722" s="4">
        <v>1</v>
      </c>
      <c r="P722" s="4">
        <v>10</v>
      </c>
      <c r="Q722" s="4">
        <v>1</v>
      </c>
    </row>
    <row r="723" spans="1:17" x14ac:dyDescent="0.25">
      <c r="A723" s="3" t="s">
        <v>18</v>
      </c>
      <c r="B723" s="3">
        <v>11874550</v>
      </c>
      <c r="C723" s="3" t="s">
        <v>763</v>
      </c>
      <c r="D723" s="3" t="s">
        <v>20</v>
      </c>
      <c r="E723" s="3" t="s">
        <v>21</v>
      </c>
      <c r="F723" s="3" t="s">
        <v>21</v>
      </c>
      <c r="G723" s="3" t="s">
        <v>36</v>
      </c>
      <c r="H723" s="3" t="s">
        <v>37</v>
      </c>
      <c r="I723" s="3" t="s">
        <v>24</v>
      </c>
      <c r="J723" s="3" t="s">
        <v>24</v>
      </c>
      <c r="K723" s="3" t="s">
        <v>25</v>
      </c>
      <c r="L723" s="4">
        <v>0</v>
      </c>
      <c r="M723" s="3" t="s">
        <v>26</v>
      </c>
      <c r="N723" s="3" t="s">
        <v>24</v>
      </c>
      <c r="O723" s="4">
        <v>1</v>
      </c>
      <c r="P723" s="4">
        <v>10</v>
      </c>
      <c r="Q723" s="4">
        <v>1</v>
      </c>
    </row>
    <row r="724" spans="1:17" x14ac:dyDescent="0.25">
      <c r="A724" s="3" t="s">
        <v>18</v>
      </c>
      <c r="B724" s="3">
        <v>11874551</v>
      </c>
      <c r="C724" s="3" t="s">
        <v>764</v>
      </c>
      <c r="D724" s="3" t="s">
        <v>20</v>
      </c>
      <c r="E724" s="3" t="s">
        <v>21</v>
      </c>
      <c r="F724" s="3" t="s">
        <v>21</v>
      </c>
      <c r="G724" s="3" t="s">
        <v>233</v>
      </c>
      <c r="H724" s="3" t="s">
        <v>234</v>
      </c>
      <c r="I724" s="3" t="s">
        <v>24</v>
      </c>
      <c r="J724" s="3" t="s">
        <v>24</v>
      </c>
      <c r="K724" s="3" t="s">
        <v>25</v>
      </c>
      <c r="L724" s="4">
        <v>0</v>
      </c>
      <c r="M724" s="3" t="s">
        <v>26</v>
      </c>
      <c r="N724" s="3" t="s">
        <v>24</v>
      </c>
      <c r="O724" s="4">
        <v>1</v>
      </c>
      <c r="P724" s="4">
        <v>99999999</v>
      </c>
      <c r="Q724" s="4">
        <v>1</v>
      </c>
    </row>
    <row r="725" spans="1:17" x14ac:dyDescent="0.25">
      <c r="A725" s="3" t="s">
        <v>18</v>
      </c>
      <c r="B725" s="3">
        <v>11874553</v>
      </c>
      <c r="C725" s="3" t="s">
        <v>765</v>
      </c>
      <c r="D725" s="3" t="s">
        <v>20</v>
      </c>
      <c r="E725" s="3" t="s">
        <v>21</v>
      </c>
      <c r="F725" s="3" t="s">
        <v>21</v>
      </c>
      <c r="G725" s="3" t="s">
        <v>233</v>
      </c>
      <c r="H725" s="3" t="s">
        <v>234</v>
      </c>
      <c r="I725" s="3" t="s">
        <v>24</v>
      </c>
      <c r="J725" s="3" t="s">
        <v>24</v>
      </c>
      <c r="K725" s="3" t="s">
        <v>25</v>
      </c>
      <c r="L725" s="4">
        <v>0</v>
      </c>
      <c r="M725" s="3" t="s">
        <v>26</v>
      </c>
      <c r="N725" s="3" t="s">
        <v>24</v>
      </c>
      <c r="O725" s="4">
        <v>1</v>
      </c>
      <c r="P725" s="4">
        <v>99999999</v>
      </c>
      <c r="Q725" s="4">
        <v>1</v>
      </c>
    </row>
    <row r="726" spans="1:17" x14ac:dyDescent="0.25">
      <c r="A726" s="3" t="s">
        <v>18</v>
      </c>
      <c r="B726" s="3">
        <v>11874554</v>
      </c>
      <c r="C726" s="3" t="s">
        <v>766</v>
      </c>
      <c r="D726" s="3" t="s">
        <v>20</v>
      </c>
      <c r="E726" s="3" t="s">
        <v>21</v>
      </c>
      <c r="F726" s="3" t="s">
        <v>21</v>
      </c>
      <c r="G726" s="3" t="s">
        <v>233</v>
      </c>
      <c r="H726" s="3" t="s">
        <v>234</v>
      </c>
      <c r="I726" s="3" t="s">
        <v>24</v>
      </c>
      <c r="J726" s="3" t="s">
        <v>24</v>
      </c>
      <c r="K726" s="3" t="s">
        <v>25</v>
      </c>
      <c r="L726" s="4">
        <v>0</v>
      </c>
      <c r="M726" s="3" t="s">
        <v>26</v>
      </c>
      <c r="N726" s="3" t="s">
        <v>24</v>
      </c>
      <c r="O726" s="4">
        <v>1</v>
      </c>
      <c r="P726" s="4">
        <v>99999999</v>
      </c>
      <c r="Q726" s="4">
        <v>1</v>
      </c>
    </row>
    <row r="727" spans="1:17" x14ac:dyDescent="0.25">
      <c r="A727" s="3" t="s">
        <v>18</v>
      </c>
      <c r="B727" s="3">
        <v>11874556</v>
      </c>
      <c r="C727" s="3" t="s">
        <v>767</v>
      </c>
      <c r="D727" s="3" t="s">
        <v>20</v>
      </c>
      <c r="E727" s="3" t="s">
        <v>21</v>
      </c>
      <c r="F727" s="3" t="s">
        <v>21</v>
      </c>
      <c r="G727" s="3" t="s">
        <v>233</v>
      </c>
      <c r="H727" s="3" t="s">
        <v>234</v>
      </c>
      <c r="I727" s="3" t="s">
        <v>24</v>
      </c>
      <c r="J727" s="3" t="s">
        <v>24</v>
      </c>
      <c r="K727" s="3" t="s">
        <v>25</v>
      </c>
      <c r="L727" s="4">
        <v>0</v>
      </c>
      <c r="M727" s="3" t="s">
        <v>26</v>
      </c>
      <c r="N727" s="3" t="s">
        <v>24</v>
      </c>
      <c r="O727" s="4">
        <v>1</v>
      </c>
      <c r="P727" s="4">
        <v>3</v>
      </c>
      <c r="Q727" s="4">
        <v>1</v>
      </c>
    </row>
    <row r="728" spans="1:17" x14ac:dyDescent="0.25">
      <c r="A728" s="3" t="s">
        <v>18</v>
      </c>
      <c r="B728" s="3">
        <v>11874608</v>
      </c>
      <c r="C728" s="3" t="s">
        <v>768</v>
      </c>
      <c r="D728" s="3" t="s">
        <v>20</v>
      </c>
      <c r="E728" s="3" t="s">
        <v>21</v>
      </c>
      <c r="F728" s="3" t="s">
        <v>21</v>
      </c>
      <c r="G728" s="3" t="s">
        <v>233</v>
      </c>
      <c r="H728" s="3" t="s">
        <v>234</v>
      </c>
      <c r="I728" s="3" t="s">
        <v>24</v>
      </c>
      <c r="J728" s="3" t="s">
        <v>24</v>
      </c>
      <c r="K728" s="3" t="s">
        <v>25</v>
      </c>
      <c r="L728" s="4">
        <v>0</v>
      </c>
      <c r="M728" s="3" t="s">
        <v>26</v>
      </c>
      <c r="N728" s="3" t="s">
        <v>24</v>
      </c>
      <c r="O728" s="4">
        <v>1</v>
      </c>
      <c r="P728" s="4">
        <v>3</v>
      </c>
      <c r="Q728" s="4">
        <v>1</v>
      </c>
    </row>
    <row r="729" spans="1:17" x14ac:dyDescent="0.25">
      <c r="A729" s="3" t="s">
        <v>18</v>
      </c>
      <c r="B729" s="3">
        <v>11874610</v>
      </c>
      <c r="C729" s="3" t="s">
        <v>769</v>
      </c>
      <c r="D729" s="3" t="s">
        <v>20</v>
      </c>
      <c r="E729" s="3" t="s">
        <v>21</v>
      </c>
      <c r="F729" s="3" t="s">
        <v>21</v>
      </c>
      <c r="G729" s="3" t="s">
        <v>233</v>
      </c>
      <c r="H729" s="3" t="s">
        <v>234</v>
      </c>
      <c r="I729" s="3" t="s">
        <v>24</v>
      </c>
      <c r="J729" s="3" t="s">
        <v>24</v>
      </c>
      <c r="K729" s="3" t="s">
        <v>25</v>
      </c>
      <c r="L729" s="4">
        <v>0</v>
      </c>
      <c r="M729" s="3" t="s">
        <v>26</v>
      </c>
      <c r="N729" s="3" t="s">
        <v>24</v>
      </c>
      <c r="O729" s="4">
        <v>1</v>
      </c>
      <c r="P729" s="4">
        <v>3</v>
      </c>
      <c r="Q729" s="4">
        <v>1</v>
      </c>
    </row>
    <row r="730" spans="1:17" x14ac:dyDescent="0.25">
      <c r="A730" s="3" t="s">
        <v>18</v>
      </c>
      <c r="B730" s="3">
        <v>11874734</v>
      </c>
      <c r="C730" s="3" t="s">
        <v>770</v>
      </c>
      <c r="D730" s="3" t="s">
        <v>20</v>
      </c>
      <c r="E730" s="3" t="s">
        <v>21</v>
      </c>
      <c r="F730" s="3" t="s">
        <v>21</v>
      </c>
      <c r="G730" s="3" t="s">
        <v>410</v>
      </c>
      <c r="H730" s="3" t="s">
        <v>411</v>
      </c>
      <c r="I730" s="3" t="s">
        <v>24</v>
      </c>
      <c r="J730" s="3" t="s">
        <v>24</v>
      </c>
      <c r="K730" s="3" t="s">
        <v>25</v>
      </c>
      <c r="L730" s="4">
        <v>0</v>
      </c>
      <c r="M730" s="3" t="s">
        <v>26</v>
      </c>
      <c r="N730" s="3" t="s">
        <v>24</v>
      </c>
      <c r="O730" s="4">
        <v>1</v>
      </c>
      <c r="P730" s="4">
        <v>8</v>
      </c>
      <c r="Q730" s="4">
        <v>1</v>
      </c>
    </row>
    <row r="731" spans="1:17" x14ac:dyDescent="0.25">
      <c r="A731" s="3" t="s">
        <v>18</v>
      </c>
      <c r="B731" s="3">
        <v>11874763</v>
      </c>
      <c r="C731" s="3" t="s">
        <v>771</v>
      </c>
      <c r="D731" s="3" t="s">
        <v>20</v>
      </c>
      <c r="E731" s="3" t="s">
        <v>21</v>
      </c>
      <c r="F731" s="3" t="s">
        <v>21</v>
      </c>
      <c r="G731" s="3" t="s">
        <v>410</v>
      </c>
      <c r="H731" s="3" t="s">
        <v>411</v>
      </c>
      <c r="I731" s="3" t="s">
        <v>24</v>
      </c>
      <c r="J731" s="3" t="s">
        <v>24</v>
      </c>
      <c r="K731" s="3" t="s">
        <v>25</v>
      </c>
      <c r="L731" s="4">
        <v>0</v>
      </c>
      <c r="M731" s="3" t="s">
        <v>26</v>
      </c>
      <c r="N731" s="3" t="s">
        <v>24</v>
      </c>
      <c r="O731" s="4">
        <v>1</v>
      </c>
      <c r="P731" s="4">
        <v>8</v>
      </c>
      <c r="Q731" s="4">
        <v>1</v>
      </c>
    </row>
    <row r="732" spans="1:17" x14ac:dyDescent="0.25">
      <c r="A732" s="3" t="s">
        <v>18</v>
      </c>
      <c r="B732" s="3">
        <v>11874764</v>
      </c>
      <c r="C732" s="3" t="s">
        <v>772</v>
      </c>
      <c r="D732" s="3" t="s">
        <v>20</v>
      </c>
      <c r="E732" s="3" t="s">
        <v>21</v>
      </c>
      <c r="F732" s="3" t="s">
        <v>21</v>
      </c>
      <c r="G732" s="3" t="s">
        <v>410</v>
      </c>
      <c r="H732" s="3" t="s">
        <v>411</v>
      </c>
      <c r="I732" s="3" t="s">
        <v>24</v>
      </c>
      <c r="J732" s="3" t="s">
        <v>24</v>
      </c>
      <c r="K732" s="3" t="s">
        <v>25</v>
      </c>
      <c r="L732" s="4">
        <v>0</v>
      </c>
      <c r="M732" s="3" t="s">
        <v>26</v>
      </c>
      <c r="N732" s="3" t="s">
        <v>24</v>
      </c>
      <c r="O732" s="4">
        <v>1</v>
      </c>
      <c r="P732" s="4">
        <v>8</v>
      </c>
      <c r="Q732" s="4">
        <v>1</v>
      </c>
    </row>
    <row r="733" spans="1:17" x14ac:dyDescent="0.25">
      <c r="A733" s="3" t="s">
        <v>18</v>
      </c>
      <c r="B733" s="3">
        <v>11876611</v>
      </c>
      <c r="C733" s="3" t="s">
        <v>773</v>
      </c>
      <c r="D733" s="3" t="s">
        <v>20</v>
      </c>
      <c r="E733" s="3" t="s">
        <v>21</v>
      </c>
      <c r="F733" s="3" t="s">
        <v>21</v>
      </c>
      <c r="G733" s="3" t="s">
        <v>410</v>
      </c>
      <c r="H733" s="3" t="s">
        <v>411</v>
      </c>
      <c r="I733" s="3" t="s">
        <v>24</v>
      </c>
      <c r="J733" s="3" t="s">
        <v>24</v>
      </c>
      <c r="K733" s="3" t="s">
        <v>25</v>
      </c>
      <c r="L733" s="4">
        <v>0</v>
      </c>
      <c r="M733" s="3" t="s">
        <v>26</v>
      </c>
      <c r="N733" s="3" t="s">
        <v>24</v>
      </c>
      <c r="O733" s="4">
        <v>1</v>
      </c>
      <c r="P733" s="4">
        <v>8</v>
      </c>
      <c r="Q733" s="4">
        <v>1</v>
      </c>
    </row>
    <row r="734" spans="1:17" x14ac:dyDescent="0.25">
      <c r="A734" s="3" t="s">
        <v>18</v>
      </c>
      <c r="B734" s="3">
        <v>11876613</v>
      </c>
      <c r="C734" s="3" t="s">
        <v>774</v>
      </c>
      <c r="D734" s="3" t="s">
        <v>20</v>
      </c>
      <c r="E734" s="3" t="s">
        <v>21</v>
      </c>
      <c r="F734" s="3" t="s">
        <v>21</v>
      </c>
      <c r="G734" s="3" t="s">
        <v>410</v>
      </c>
      <c r="H734" s="3" t="s">
        <v>411</v>
      </c>
      <c r="I734" s="3" t="s">
        <v>24</v>
      </c>
      <c r="J734" s="3" t="s">
        <v>24</v>
      </c>
      <c r="K734" s="3" t="s">
        <v>25</v>
      </c>
      <c r="L734" s="4">
        <v>0</v>
      </c>
      <c r="M734" s="3" t="s">
        <v>26</v>
      </c>
      <c r="N734" s="3" t="s">
        <v>24</v>
      </c>
      <c r="O734" s="4">
        <v>1</v>
      </c>
      <c r="P734" s="4">
        <v>8</v>
      </c>
      <c r="Q734" s="4">
        <v>1</v>
      </c>
    </row>
    <row r="735" spans="1:17" x14ac:dyDescent="0.25">
      <c r="A735" s="3" t="s">
        <v>18</v>
      </c>
      <c r="B735" s="3">
        <v>11876633</v>
      </c>
      <c r="C735" s="3" t="s">
        <v>775</v>
      </c>
      <c r="D735" s="3" t="s">
        <v>20</v>
      </c>
      <c r="E735" s="3" t="s">
        <v>21</v>
      </c>
      <c r="F735" s="3" t="s">
        <v>21</v>
      </c>
      <c r="G735" s="3" t="s">
        <v>410</v>
      </c>
      <c r="H735" s="3" t="s">
        <v>411</v>
      </c>
      <c r="I735" s="3" t="s">
        <v>24</v>
      </c>
      <c r="J735" s="3" t="s">
        <v>24</v>
      </c>
      <c r="K735" s="3" t="s">
        <v>25</v>
      </c>
      <c r="L735" s="4">
        <v>0</v>
      </c>
      <c r="M735" s="3" t="s">
        <v>26</v>
      </c>
      <c r="N735" s="3" t="s">
        <v>24</v>
      </c>
      <c r="O735" s="4">
        <v>1</v>
      </c>
      <c r="P735" s="4">
        <v>8</v>
      </c>
      <c r="Q735" s="4">
        <v>1</v>
      </c>
    </row>
    <row r="736" spans="1:17" x14ac:dyDescent="0.25">
      <c r="A736" s="3" t="s">
        <v>18</v>
      </c>
      <c r="B736" s="3">
        <v>11876727</v>
      </c>
      <c r="C736" s="3" t="s">
        <v>776</v>
      </c>
      <c r="D736" s="3" t="s">
        <v>20</v>
      </c>
      <c r="E736" s="3" t="s">
        <v>21</v>
      </c>
      <c r="F736" s="3" t="s">
        <v>21</v>
      </c>
      <c r="G736" s="3" t="s">
        <v>410</v>
      </c>
      <c r="H736" s="3" t="s">
        <v>411</v>
      </c>
      <c r="I736" s="3" t="s">
        <v>24</v>
      </c>
      <c r="J736" s="3" t="s">
        <v>24</v>
      </c>
      <c r="K736" s="3" t="s">
        <v>25</v>
      </c>
      <c r="L736" s="4">
        <v>0</v>
      </c>
      <c r="M736" s="3" t="s">
        <v>26</v>
      </c>
      <c r="N736" s="3" t="s">
        <v>24</v>
      </c>
      <c r="O736" s="4">
        <v>1</v>
      </c>
      <c r="P736" s="4">
        <v>4</v>
      </c>
      <c r="Q736" s="4">
        <v>1</v>
      </c>
    </row>
    <row r="737" spans="1:17" x14ac:dyDescent="0.25">
      <c r="A737" s="3" t="s">
        <v>18</v>
      </c>
      <c r="B737" s="3">
        <v>11876801</v>
      </c>
      <c r="C737" s="3" t="s">
        <v>777</v>
      </c>
      <c r="D737" s="3" t="s">
        <v>20</v>
      </c>
      <c r="E737" s="3" t="s">
        <v>21</v>
      </c>
      <c r="F737" s="3" t="s">
        <v>21</v>
      </c>
      <c r="G737" s="3" t="s">
        <v>410</v>
      </c>
      <c r="H737" s="3" t="s">
        <v>411</v>
      </c>
      <c r="I737" s="3" t="s">
        <v>24</v>
      </c>
      <c r="J737" s="3" t="s">
        <v>24</v>
      </c>
      <c r="K737" s="3" t="s">
        <v>25</v>
      </c>
      <c r="L737" s="4">
        <v>0</v>
      </c>
      <c r="M737" s="3" t="s">
        <v>26</v>
      </c>
      <c r="N737" s="3" t="s">
        <v>24</v>
      </c>
      <c r="O737" s="4">
        <v>1</v>
      </c>
      <c r="P737" s="4">
        <v>4</v>
      </c>
      <c r="Q737" s="4">
        <v>1</v>
      </c>
    </row>
    <row r="738" spans="1:17" x14ac:dyDescent="0.25">
      <c r="A738" s="3" t="s">
        <v>18</v>
      </c>
      <c r="B738" s="3">
        <v>11876803</v>
      </c>
      <c r="C738" s="3" t="s">
        <v>778</v>
      </c>
      <c r="D738" s="3" t="s">
        <v>20</v>
      </c>
      <c r="E738" s="3" t="s">
        <v>21</v>
      </c>
      <c r="F738" s="3" t="s">
        <v>21</v>
      </c>
      <c r="G738" s="3" t="s">
        <v>410</v>
      </c>
      <c r="H738" s="3" t="s">
        <v>411</v>
      </c>
      <c r="I738" s="3" t="s">
        <v>24</v>
      </c>
      <c r="J738" s="3" t="s">
        <v>24</v>
      </c>
      <c r="K738" s="3" t="s">
        <v>25</v>
      </c>
      <c r="L738" s="4">
        <v>0</v>
      </c>
      <c r="M738" s="3" t="s">
        <v>26</v>
      </c>
      <c r="N738" s="3" t="s">
        <v>24</v>
      </c>
      <c r="O738" s="4">
        <v>1</v>
      </c>
      <c r="P738" s="4">
        <v>4</v>
      </c>
      <c r="Q738" s="4">
        <v>1</v>
      </c>
    </row>
    <row r="739" spans="1:17" x14ac:dyDescent="0.25">
      <c r="A739" s="3" t="s">
        <v>18</v>
      </c>
      <c r="B739" s="3">
        <v>11876845</v>
      </c>
      <c r="C739" s="3" t="s">
        <v>779</v>
      </c>
      <c r="D739" s="3" t="s">
        <v>20</v>
      </c>
      <c r="E739" s="3" t="s">
        <v>21</v>
      </c>
      <c r="F739" s="3" t="s">
        <v>21</v>
      </c>
      <c r="G739" s="3" t="s">
        <v>410</v>
      </c>
      <c r="H739" s="3" t="s">
        <v>411</v>
      </c>
      <c r="I739" s="3" t="s">
        <v>24</v>
      </c>
      <c r="J739" s="3" t="s">
        <v>24</v>
      </c>
      <c r="K739" s="3" t="s">
        <v>25</v>
      </c>
      <c r="L739" s="4">
        <v>0</v>
      </c>
      <c r="M739" s="3" t="s">
        <v>26</v>
      </c>
      <c r="N739" s="3" t="s">
        <v>24</v>
      </c>
      <c r="O739" s="4">
        <v>1</v>
      </c>
      <c r="P739" s="4">
        <v>4</v>
      </c>
      <c r="Q739" s="4">
        <v>1</v>
      </c>
    </row>
    <row r="740" spans="1:17" x14ac:dyDescent="0.25">
      <c r="A740" s="3" t="s">
        <v>18</v>
      </c>
      <c r="B740" s="3">
        <v>11876858</v>
      </c>
      <c r="C740" s="3" t="s">
        <v>780</v>
      </c>
      <c r="D740" s="3" t="s">
        <v>20</v>
      </c>
      <c r="E740" s="3" t="s">
        <v>21</v>
      </c>
      <c r="F740" s="3" t="s">
        <v>21</v>
      </c>
      <c r="G740" s="3" t="s">
        <v>410</v>
      </c>
      <c r="H740" s="3" t="s">
        <v>411</v>
      </c>
      <c r="I740" s="3" t="s">
        <v>24</v>
      </c>
      <c r="J740" s="3" t="s">
        <v>24</v>
      </c>
      <c r="K740" s="3" t="s">
        <v>25</v>
      </c>
      <c r="L740" s="4">
        <v>0</v>
      </c>
      <c r="M740" s="3" t="s">
        <v>26</v>
      </c>
      <c r="N740" s="3" t="s">
        <v>24</v>
      </c>
      <c r="O740" s="4">
        <v>1</v>
      </c>
      <c r="P740" s="4">
        <v>4</v>
      </c>
      <c r="Q740" s="4">
        <v>1</v>
      </c>
    </row>
    <row r="741" spans="1:17" x14ac:dyDescent="0.25">
      <c r="A741" s="3" t="s">
        <v>18</v>
      </c>
      <c r="B741" s="3">
        <v>11876859</v>
      </c>
      <c r="C741" s="3" t="s">
        <v>781</v>
      </c>
      <c r="D741" s="3" t="s">
        <v>20</v>
      </c>
      <c r="E741" s="3" t="s">
        <v>21</v>
      </c>
      <c r="F741" s="3" t="s">
        <v>21</v>
      </c>
      <c r="G741" s="3" t="s">
        <v>410</v>
      </c>
      <c r="H741" s="3" t="s">
        <v>411</v>
      </c>
      <c r="I741" s="3" t="s">
        <v>24</v>
      </c>
      <c r="J741" s="3" t="s">
        <v>24</v>
      </c>
      <c r="K741" s="3" t="s">
        <v>25</v>
      </c>
      <c r="L741" s="4">
        <v>0</v>
      </c>
      <c r="M741" s="3" t="s">
        <v>26</v>
      </c>
      <c r="N741" s="3" t="s">
        <v>24</v>
      </c>
      <c r="O741" s="4">
        <v>1</v>
      </c>
      <c r="P741" s="4">
        <v>4</v>
      </c>
      <c r="Q741" s="4">
        <v>1</v>
      </c>
    </row>
    <row r="742" spans="1:17" x14ac:dyDescent="0.25">
      <c r="A742" s="3" t="s">
        <v>18</v>
      </c>
      <c r="B742" s="3">
        <v>11876866</v>
      </c>
      <c r="C742" s="3" t="s">
        <v>782</v>
      </c>
      <c r="D742" s="3" t="s">
        <v>20</v>
      </c>
      <c r="E742" s="3" t="s">
        <v>21</v>
      </c>
      <c r="F742" s="3" t="s">
        <v>21</v>
      </c>
      <c r="G742" s="3" t="s">
        <v>410</v>
      </c>
      <c r="H742" s="3" t="s">
        <v>411</v>
      </c>
      <c r="I742" s="3" t="s">
        <v>24</v>
      </c>
      <c r="J742" s="3" t="s">
        <v>24</v>
      </c>
      <c r="K742" s="3" t="s">
        <v>25</v>
      </c>
      <c r="L742" s="4">
        <v>0</v>
      </c>
      <c r="M742" s="3" t="s">
        <v>26</v>
      </c>
      <c r="N742" s="3" t="s">
        <v>24</v>
      </c>
      <c r="O742" s="4">
        <v>1</v>
      </c>
      <c r="P742" s="4">
        <v>10</v>
      </c>
      <c r="Q742" s="4">
        <v>1</v>
      </c>
    </row>
    <row r="743" spans="1:17" x14ac:dyDescent="0.25">
      <c r="A743" s="3" t="s">
        <v>18</v>
      </c>
      <c r="B743" s="3">
        <v>11876918</v>
      </c>
      <c r="C743" s="3" t="s">
        <v>783</v>
      </c>
      <c r="D743" s="3" t="s">
        <v>20</v>
      </c>
      <c r="E743" s="3" t="s">
        <v>21</v>
      </c>
      <c r="F743" s="3" t="s">
        <v>21</v>
      </c>
      <c r="G743" s="3" t="s">
        <v>410</v>
      </c>
      <c r="H743" s="3" t="s">
        <v>411</v>
      </c>
      <c r="I743" s="3" t="s">
        <v>24</v>
      </c>
      <c r="J743" s="3" t="s">
        <v>24</v>
      </c>
      <c r="K743" s="3" t="s">
        <v>25</v>
      </c>
      <c r="L743" s="4">
        <v>0</v>
      </c>
      <c r="M743" s="3" t="s">
        <v>26</v>
      </c>
      <c r="N743" s="3" t="s">
        <v>24</v>
      </c>
      <c r="O743" s="4">
        <v>1</v>
      </c>
      <c r="P743" s="4">
        <v>10</v>
      </c>
      <c r="Q743" s="4">
        <v>1</v>
      </c>
    </row>
    <row r="744" spans="1:17" x14ac:dyDescent="0.25">
      <c r="A744" s="3" t="s">
        <v>18</v>
      </c>
      <c r="B744" s="3">
        <v>11876919</v>
      </c>
      <c r="C744" s="3" t="s">
        <v>784</v>
      </c>
      <c r="D744" s="3" t="s">
        <v>20</v>
      </c>
      <c r="E744" s="3" t="s">
        <v>21</v>
      </c>
      <c r="F744" s="3" t="s">
        <v>21</v>
      </c>
      <c r="G744" s="3" t="s">
        <v>410</v>
      </c>
      <c r="H744" s="3" t="s">
        <v>411</v>
      </c>
      <c r="I744" s="3" t="s">
        <v>24</v>
      </c>
      <c r="J744" s="3" t="s">
        <v>24</v>
      </c>
      <c r="K744" s="3" t="s">
        <v>25</v>
      </c>
      <c r="L744" s="4">
        <v>0</v>
      </c>
      <c r="M744" s="3" t="s">
        <v>26</v>
      </c>
      <c r="N744" s="3" t="s">
        <v>24</v>
      </c>
      <c r="O744" s="4">
        <v>1</v>
      </c>
      <c r="P744" s="4">
        <v>10</v>
      </c>
      <c r="Q744" s="4">
        <v>1</v>
      </c>
    </row>
    <row r="745" spans="1:17" x14ac:dyDescent="0.25">
      <c r="A745" s="3" t="s">
        <v>18</v>
      </c>
      <c r="B745" s="3">
        <v>11876923</v>
      </c>
      <c r="C745" s="3" t="s">
        <v>785</v>
      </c>
      <c r="D745" s="3" t="s">
        <v>20</v>
      </c>
      <c r="E745" s="3" t="s">
        <v>21</v>
      </c>
      <c r="F745" s="3" t="s">
        <v>21</v>
      </c>
      <c r="G745" s="3" t="s">
        <v>410</v>
      </c>
      <c r="H745" s="3" t="s">
        <v>411</v>
      </c>
      <c r="I745" s="3" t="s">
        <v>24</v>
      </c>
      <c r="J745" s="3" t="s">
        <v>24</v>
      </c>
      <c r="K745" s="3" t="s">
        <v>25</v>
      </c>
      <c r="L745" s="4">
        <v>0</v>
      </c>
      <c r="M745" s="3" t="s">
        <v>26</v>
      </c>
      <c r="N745" s="3" t="s">
        <v>24</v>
      </c>
      <c r="O745" s="4">
        <v>1</v>
      </c>
      <c r="P745" s="4">
        <v>10</v>
      </c>
      <c r="Q745" s="4">
        <v>1</v>
      </c>
    </row>
    <row r="746" spans="1:17" x14ac:dyDescent="0.25">
      <c r="A746" s="3" t="s">
        <v>18</v>
      </c>
      <c r="B746" s="3">
        <v>11876980</v>
      </c>
      <c r="C746" s="3" t="s">
        <v>786</v>
      </c>
      <c r="D746" s="3" t="s">
        <v>20</v>
      </c>
      <c r="E746" s="3" t="s">
        <v>21</v>
      </c>
      <c r="F746" s="3" t="s">
        <v>21</v>
      </c>
      <c r="G746" s="3" t="s">
        <v>410</v>
      </c>
      <c r="H746" s="3" t="s">
        <v>411</v>
      </c>
      <c r="I746" s="3" t="s">
        <v>24</v>
      </c>
      <c r="J746" s="3" t="s">
        <v>24</v>
      </c>
      <c r="K746" s="3" t="s">
        <v>25</v>
      </c>
      <c r="L746" s="4">
        <v>0</v>
      </c>
      <c r="M746" s="3" t="s">
        <v>26</v>
      </c>
      <c r="N746" s="3" t="s">
        <v>24</v>
      </c>
      <c r="O746" s="4">
        <v>1</v>
      </c>
      <c r="P746" s="4">
        <v>99999999</v>
      </c>
      <c r="Q746" s="4">
        <v>1</v>
      </c>
    </row>
    <row r="747" spans="1:17" x14ac:dyDescent="0.25">
      <c r="A747" s="3" t="s">
        <v>18</v>
      </c>
      <c r="B747" s="3">
        <v>11876982</v>
      </c>
      <c r="C747" s="3" t="s">
        <v>787</v>
      </c>
      <c r="D747" s="3" t="s">
        <v>20</v>
      </c>
      <c r="E747" s="3" t="s">
        <v>21</v>
      </c>
      <c r="F747" s="3" t="s">
        <v>21</v>
      </c>
      <c r="G747" s="3" t="s">
        <v>410</v>
      </c>
      <c r="H747" s="3" t="s">
        <v>411</v>
      </c>
      <c r="I747" s="3" t="s">
        <v>24</v>
      </c>
      <c r="J747" s="3" t="s">
        <v>24</v>
      </c>
      <c r="K747" s="3" t="s">
        <v>25</v>
      </c>
      <c r="L747" s="4">
        <v>0</v>
      </c>
      <c r="M747" s="3" t="s">
        <v>26</v>
      </c>
      <c r="N747" s="3" t="s">
        <v>24</v>
      </c>
      <c r="O747" s="4">
        <v>1</v>
      </c>
      <c r="P747" s="4">
        <v>99999999</v>
      </c>
      <c r="Q747" s="4">
        <v>1</v>
      </c>
    </row>
    <row r="748" spans="1:17" x14ac:dyDescent="0.25">
      <c r="A748" s="3" t="s">
        <v>18</v>
      </c>
      <c r="B748" s="3">
        <v>11876984</v>
      </c>
      <c r="C748" s="3" t="s">
        <v>788</v>
      </c>
      <c r="D748" s="3" t="s">
        <v>20</v>
      </c>
      <c r="E748" s="3" t="s">
        <v>21</v>
      </c>
      <c r="F748" s="3" t="s">
        <v>21</v>
      </c>
      <c r="G748" s="3" t="s">
        <v>410</v>
      </c>
      <c r="H748" s="3" t="s">
        <v>411</v>
      </c>
      <c r="I748" s="3" t="s">
        <v>24</v>
      </c>
      <c r="J748" s="3" t="s">
        <v>24</v>
      </c>
      <c r="K748" s="3" t="s">
        <v>25</v>
      </c>
      <c r="L748" s="4">
        <v>0</v>
      </c>
      <c r="M748" s="3" t="s">
        <v>26</v>
      </c>
      <c r="N748" s="3" t="s">
        <v>24</v>
      </c>
      <c r="O748" s="4">
        <v>1</v>
      </c>
      <c r="P748" s="4">
        <v>3</v>
      </c>
      <c r="Q748" s="4">
        <v>1</v>
      </c>
    </row>
    <row r="749" spans="1:17" x14ac:dyDescent="0.25">
      <c r="A749" s="3" t="s">
        <v>18</v>
      </c>
      <c r="B749" s="3">
        <v>11876986</v>
      </c>
      <c r="C749" s="3" t="s">
        <v>789</v>
      </c>
      <c r="D749" s="3" t="s">
        <v>20</v>
      </c>
      <c r="E749" s="3" t="s">
        <v>21</v>
      </c>
      <c r="F749" s="3" t="s">
        <v>21</v>
      </c>
      <c r="G749" s="3" t="s">
        <v>410</v>
      </c>
      <c r="H749" s="3" t="s">
        <v>411</v>
      </c>
      <c r="I749" s="3" t="s">
        <v>24</v>
      </c>
      <c r="J749" s="3" t="s">
        <v>24</v>
      </c>
      <c r="K749" s="3" t="s">
        <v>25</v>
      </c>
      <c r="L749" s="4">
        <v>0</v>
      </c>
      <c r="M749" s="3" t="s">
        <v>26</v>
      </c>
      <c r="N749" s="3" t="s">
        <v>24</v>
      </c>
      <c r="O749" s="4">
        <v>1</v>
      </c>
      <c r="P749" s="4">
        <v>2</v>
      </c>
      <c r="Q749" s="4">
        <v>1</v>
      </c>
    </row>
    <row r="750" spans="1:17" x14ac:dyDescent="0.25">
      <c r="A750" s="3" t="s">
        <v>18</v>
      </c>
      <c r="B750" s="3">
        <v>11877023</v>
      </c>
      <c r="C750" s="3" t="s">
        <v>790</v>
      </c>
      <c r="D750" s="3" t="s">
        <v>20</v>
      </c>
      <c r="E750" s="3" t="s">
        <v>21</v>
      </c>
      <c r="F750" s="3" t="s">
        <v>21</v>
      </c>
      <c r="G750" s="3" t="s">
        <v>410</v>
      </c>
      <c r="H750" s="3" t="s">
        <v>411</v>
      </c>
      <c r="I750" s="3" t="s">
        <v>24</v>
      </c>
      <c r="J750" s="3" t="s">
        <v>24</v>
      </c>
      <c r="K750" s="3" t="s">
        <v>25</v>
      </c>
      <c r="L750" s="4">
        <v>0</v>
      </c>
      <c r="M750" s="3" t="s">
        <v>26</v>
      </c>
      <c r="N750" s="3" t="s">
        <v>24</v>
      </c>
      <c r="O750" s="4">
        <v>1</v>
      </c>
      <c r="P750" s="4">
        <v>3</v>
      </c>
      <c r="Q750" s="4">
        <v>1</v>
      </c>
    </row>
    <row r="751" spans="1:17" x14ac:dyDescent="0.25">
      <c r="A751" s="3" t="s">
        <v>18</v>
      </c>
      <c r="B751" s="3">
        <v>11877024</v>
      </c>
      <c r="C751" s="3" t="s">
        <v>791</v>
      </c>
      <c r="D751" s="3" t="s">
        <v>20</v>
      </c>
      <c r="E751" s="3" t="s">
        <v>21</v>
      </c>
      <c r="F751" s="3" t="s">
        <v>21</v>
      </c>
      <c r="G751" s="3" t="s">
        <v>410</v>
      </c>
      <c r="H751" s="3" t="s">
        <v>411</v>
      </c>
      <c r="I751" s="3" t="s">
        <v>24</v>
      </c>
      <c r="J751" s="3" t="s">
        <v>24</v>
      </c>
      <c r="K751" s="3" t="s">
        <v>25</v>
      </c>
      <c r="L751" s="4">
        <v>0</v>
      </c>
      <c r="M751" s="3" t="s">
        <v>26</v>
      </c>
      <c r="N751" s="3" t="s">
        <v>24</v>
      </c>
      <c r="O751" s="4">
        <v>1</v>
      </c>
      <c r="P751" s="4">
        <v>3</v>
      </c>
      <c r="Q751" s="4">
        <v>1</v>
      </c>
    </row>
    <row r="752" spans="1:17" x14ac:dyDescent="0.25">
      <c r="A752" s="3" t="s">
        <v>18</v>
      </c>
      <c r="B752" s="3">
        <v>11951116</v>
      </c>
      <c r="C752" s="3" t="s">
        <v>792</v>
      </c>
      <c r="D752" s="3" t="s">
        <v>20</v>
      </c>
      <c r="E752" s="3" t="s">
        <v>21</v>
      </c>
      <c r="F752" s="3" t="s">
        <v>21</v>
      </c>
      <c r="G752" s="3" t="s">
        <v>42</v>
      </c>
      <c r="H752" s="3" t="s">
        <v>43</v>
      </c>
      <c r="I752" s="3" t="s">
        <v>24</v>
      </c>
      <c r="J752" s="3" t="s">
        <v>24</v>
      </c>
      <c r="K752" s="3" t="s">
        <v>25</v>
      </c>
      <c r="L752" s="4">
        <v>0</v>
      </c>
      <c r="M752" s="3" t="s">
        <v>26</v>
      </c>
      <c r="N752" s="3" t="s">
        <v>24</v>
      </c>
      <c r="O752" s="4">
        <v>1</v>
      </c>
      <c r="P752" s="4">
        <v>8</v>
      </c>
      <c r="Q752" s="4">
        <v>1</v>
      </c>
    </row>
    <row r="753" spans="1:17" x14ac:dyDescent="0.25">
      <c r="A753" s="3" t="s">
        <v>18</v>
      </c>
      <c r="B753" s="3">
        <v>11951159</v>
      </c>
      <c r="C753" s="3" t="s">
        <v>793</v>
      </c>
      <c r="D753" s="3" t="s">
        <v>20</v>
      </c>
      <c r="E753" s="3" t="s">
        <v>21</v>
      </c>
      <c r="F753" s="3" t="s">
        <v>21</v>
      </c>
      <c r="G753" s="3" t="s">
        <v>30</v>
      </c>
      <c r="H753" s="3" t="s">
        <v>31</v>
      </c>
      <c r="I753" s="3" t="s">
        <v>24</v>
      </c>
      <c r="J753" s="3" t="s">
        <v>24</v>
      </c>
      <c r="K753" s="3" t="s">
        <v>25</v>
      </c>
      <c r="L753" s="4">
        <v>0</v>
      </c>
      <c r="M753" s="3" t="s">
        <v>26</v>
      </c>
      <c r="N753" s="3" t="s">
        <v>24</v>
      </c>
      <c r="O753" s="4">
        <v>1</v>
      </c>
      <c r="P753" s="4">
        <v>8</v>
      </c>
      <c r="Q753" s="4">
        <v>1</v>
      </c>
    </row>
    <row r="754" spans="1:17" x14ac:dyDescent="0.25">
      <c r="A754" s="3" t="s">
        <v>18</v>
      </c>
      <c r="B754" s="3">
        <v>11968971</v>
      </c>
      <c r="C754" s="3" t="s">
        <v>794</v>
      </c>
      <c r="D754" s="3" t="s">
        <v>20</v>
      </c>
      <c r="E754" s="3" t="s">
        <v>21</v>
      </c>
      <c r="F754" s="3" t="s">
        <v>21</v>
      </c>
      <c r="G754" s="3" t="s">
        <v>410</v>
      </c>
      <c r="H754" s="3" t="s">
        <v>411</v>
      </c>
      <c r="I754" s="3" t="s">
        <v>24</v>
      </c>
      <c r="J754" s="3" t="s">
        <v>24</v>
      </c>
      <c r="K754" s="3" t="s">
        <v>25</v>
      </c>
      <c r="L754" s="4">
        <v>0</v>
      </c>
      <c r="M754" s="3" t="s">
        <v>26</v>
      </c>
      <c r="N754" s="3" t="s">
        <v>24</v>
      </c>
      <c r="O754" s="4">
        <v>1</v>
      </c>
      <c r="P754" s="4">
        <v>8</v>
      </c>
      <c r="Q754" s="4">
        <v>1</v>
      </c>
    </row>
    <row r="755" spans="1:17" x14ac:dyDescent="0.25">
      <c r="A755" s="3" t="s">
        <v>18</v>
      </c>
      <c r="B755" s="3">
        <v>11969031</v>
      </c>
      <c r="C755" s="3" t="s">
        <v>795</v>
      </c>
      <c r="D755" s="3" t="s">
        <v>20</v>
      </c>
      <c r="E755" s="3" t="s">
        <v>21</v>
      </c>
      <c r="F755" s="3" t="s">
        <v>21</v>
      </c>
      <c r="G755" s="3" t="s">
        <v>410</v>
      </c>
      <c r="H755" s="3" t="s">
        <v>411</v>
      </c>
      <c r="I755" s="3" t="s">
        <v>24</v>
      </c>
      <c r="J755" s="3" t="s">
        <v>24</v>
      </c>
      <c r="K755" s="3" t="s">
        <v>25</v>
      </c>
      <c r="L755" s="4">
        <v>0</v>
      </c>
      <c r="M755" s="3" t="s">
        <v>26</v>
      </c>
      <c r="N755" s="3" t="s">
        <v>24</v>
      </c>
      <c r="O755" s="4">
        <v>1</v>
      </c>
      <c r="P755" s="4">
        <v>8</v>
      </c>
      <c r="Q755" s="4">
        <v>1</v>
      </c>
    </row>
    <row r="756" spans="1:17" x14ac:dyDescent="0.25">
      <c r="A756" s="3" t="s">
        <v>18</v>
      </c>
      <c r="B756" s="3">
        <v>11969560</v>
      </c>
      <c r="C756" s="3" t="s">
        <v>796</v>
      </c>
      <c r="D756" s="3" t="s">
        <v>20</v>
      </c>
      <c r="E756" s="3" t="s">
        <v>21</v>
      </c>
      <c r="F756" s="3" t="s">
        <v>21</v>
      </c>
      <c r="G756" s="3" t="s">
        <v>487</v>
      </c>
      <c r="H756" s="3" t="s">
        <v>488</v>
      </c>
      <c r="I756" s="3" t="s">
        <v>24</v>
      </c>
      <c r="J756" s="3" t="s">
        <v>24</v>
      </c>
      <c r="K756" s="3" t="s">
        <v>25</v>
      </c>
      <c r="L756" s="4">
        <v>0</v>
      </c>
      <c r="M756" s="3" t="s">
        <v>26</v>
      </c>
      <c r="N756" s="3" t="s">
        <v>24</v>
      </c>
      <c r="O756" s="4">
        <v>1</v>
      </c>
      <c r="P756" s="4">
        <v>2</v>
      </c>
      <c r="Q756" s="4">
        <v>1</v>
      </c>
    </row>
    <row r="757" spans="1:17" x14ac:dyDescent="0.25">
      <c r="A757" s="3" t="s">
        <v>18</v>
      </c>
      <c r="B757" s="3">
        <v>11979719</v>
      </c>
      <c r="C757" s="3" t="s">
        <v>797</v>
      </c>
      <c r="D757" s="3" t="s">
        <v>20</v>
      </c>
      <c r="E757" s="3" t="s">
        <v>21</v>
      </c>
      <c r="F757" s="3" t="s">
        <v>21</v>
      </c>
      <c r="G757" s="3" t="s">
        <v>477</v>
      </c>
      <c r="H757" s="3" t="s">
        <v>478</v>
      </c>
      <c r="I757" s="3" t="s">
        <v>24</v>
      </c>
      <c r="J757" s="3" t="s">
        <v>24</v>
      </c>
      <c r="K757" s="3" t="s">
        <v>25</v>
      </c>
      <c r="L757" s="4">
        <v>0</v>
      </c>
      <c r="M757" s="3" t="s">
        <v>26</v>
      </c>
      <c r="N757" s="3" t="s">
        <v>24</v>
      </c>
      <c r="O757" s="4">
        <v>1</v>
      </c>
      <c r="P757" s="4">
        <v>1</v>
      </c>
      <c r="Q757" s="4">
        <v>1</v>
      </c>
    </row>
    <row r="758" spans="1:17" x14ac:dyDescent="0.25">
      <c r="A758" s="3" t="s">
        <v>18</v>
      </c>
      <c r="B758" s="3">
        <v>11981062</v>
      </c>
      <c r="C758" s="3" t="s">
        <v>798</v>
      </c>
      <c r="D758" s="3" t="s">
        <v>20</v>
      </c>
      <c r="E758" s="3" t="s">
        <v>21</v>
      </c>
      <c r="F758" s="3" t="s">
        <v>21</v>
      </c>
      <c r="G758" s="3" t="s">
        <v>477</v>
      </c>
      <c r="H758" s="3" t="s">
        <v>478</v>
      </c>
      <c r="I758" s="3" t="s">
        <v>24</v>
      </c>
      <c r="J758" s="3" t="s">
        <v>24</v>
      </c>
      <c r="K758" s="3" t="s">
        <v>25</v>
      </c>
      <c r="L758" s="4">
        <v>0</v>
      </c>
      <c r="M758" s="3" t="s">
        <v>26</v>
      </c>
      <c r="N758" s="3" t="s">
        <v>24</v>
      </c>
      <c r="O758" s="4">
        <v>1</v>
      </c>
      <c r="P758" s="4">
        <v>1</v>
      </c>
      <c r="Q758" s="4">
        <v>1</v>
      </c>
    </row>
    <row r="759" spans="1:17" x14ac:dyDescent="0.25">
      <c r="A759" s="3" t="s">
        <v>18</v>
      </c>
      <c r="B759" s="3">
        <v>11987312</v>
      </c>
      <c r="C759" s="3" t="s">
        <v>799</v>
      </c>
      <c r="D759" s="3" t="s">
        <v>20</v>
      </c>
      <c r="E759" s="3" t="s">
        <v>21</v>
      </c>
      <c r="F759" s="3" t="s">
        <v>21</v>
      </c>
      <c r="G759" s="3" t="s">
        <v>233</v>
      </c>
      <c r="H759" s="3" t="s">
        <v>234</v>
      </c>
      <c r="I759" s="3" t="s">
        <v>24</v>
      </c>
      <c r="J759" s="3" t="s">
        <v>24</v>
      </c>
      <c r="K759" s="3" t="s">
        <v>25</v>
      </c>
      <c r="L759" s="4">
        <v>0</v>
      </c>
      <c r="M759" s="3" t="s">
        <v>26</v>
      </c>
      <c r="N759" s="3" t="s">
        <v>24</v>
      </c>
      <c r="O759" s="4">
        <v>1</v>
      </c>
      <c r="P759" s="4">
        <v>2</v>
      </c>
      <c r="Q759" s="4">
        <v>1</v>
      </c>
    </row>
    <row r="760" spans="1:17" x14ac:dyDescent="0.25">
      <c r="A760" s="3" t="s">
        <v>18</v>
      </c>
      <c r="B760" s="3">
        <v>11987316</v>
      </c>
      <c r="C760" s="3" t="s">
        <v>800</v>
      </c>
      <c r="D760" s="3" t="s">
        <v>20</v>
      </c>
      <c r="E760" s="3" t="s">
        <v>21</v>
      </c>
      <c r="F760" s="3" t="s">
        <v>21</v>
      </c>
      <c r="G760" s="3" t="s">
        <v>233</v>
      </c>
      <c r="H760" s="3" t="s">
        <v>234</v>
      </c>
      <c r="I760" s="3" t="s">
        <v>24</v>
      </c>
      <c r="J760" s="3" t="s">
        <v>24</v>
      </c>
      <c r="K760" s="3" t="s">
        <v>25</v>
      </c>
      <c r="L760" s="4">
        <v>0</v>
      </c>
      <c r="M760" s="3" t="s">
        <v>26</v>
      </c>
      <c r="N760" s="3" t="s">
        <v>24</v>
      </c>
      <c r="O760" s="4">
        <v>1</v>
      </c>
      <c r="P760" s="4">
        <v>2</v>
      </c>
      <c r="Q760" s="4">
        <v>1</v>
      </c>
    </row>
    <row r="761" spans="1:17" x14ac:dyDescent="0.25">
      <c r="A761" s="3" t="s">
        <v>18</v>
      </c>
      <c r="B761" s="3">
        <v>11987816</v>
      </c>
      <c r="C761" s="3" t="s">
        <v>801</v>
      </c>
      <c r="D761" s="3" t="s">
        <v>20</v>
      </c>
      <c r="E761" s="3" t="s">
        <v>21</v>
      </c>
      <c r="F761" s="3" t="s">
        <v>21</v>
      </c>
      <c r="G761" s="3" t="s">
        <v>36</v>
      </c>
      <c r="H761" s="3" t="s">
        <v>37</v>
      </c>
      <c r="I761" s="3" t="s">
        <v>24</v>
      </c>
      <c r="J761" s="3" t="s">
        <v>24</v>
      </c>
      <c r="K761" s="3" t="s">
        <v>25</v>
      </c>
      <c r="L761" s="4">
        <v>0</v>
      </c>
      <c r="M761" s="3" t="s">
        <v>26</v>
      </c>
      <c r="N761" s="3" t="s">
        <v>24</v>
      </c>
      <c r="O761" s="4">
        <v>1</v>
      </c>
      <c r="P761" s="4">
        <v>10</v>
      </c>
      <c r="Q761" s="4">
        <v>1</v>
      </c>
    </row>
    <row r="762" spans="1:17" x14ac:dyDescent="0.25">
      <c r="A762" s="3" t="s">
        <v>18</v>
      </c>
      <c r="B762" s="3">
        <v>11988346</v>
      </c>
      <c r="C762" s="3" t="s">
        <v>802</v>
      </c>
      <c r="D762" s="3" t="s">
        <v>20</v>
      </c>
      <c r="E762" s="3" t="s">
        <v>21</v>
      </c>
      <c r="F762" s="3" t="s">
        <v>21</v>
      </c>
      <c r="G762" s="3" t="s">
        <v>36</v>
      </c>
      <c r="H762" s="3" t="s">
        <v>37</v>
      </c>
      <c r="I762" s="3" t="s">
        <v>24</v>
      </c>
      <c r="J762" s="3" t="s">
        <v>24</v>
      </c>
      <c r="K762" s="3" t="s">
        <v>25</v>
      </c>
      <c r="L762" s="4">
        <v>0</v>
      </c>
      <c r="M762" s="3" t="s">
        <v>26</v>
      </c>
      <c r="N762" s="3" t="s">
        <v>24</v>
      </c>
      <c r="O762" s="4">
        <v>1</v>
      </c>
      <c r="P762" s="4">
        <v>10</v>
      </c>
      <c r="Q762" s="4">
        <v>1</v>
      </c>
    </row>
    <row r="763" spans="1:17" x14ac:dyDescent="0.25">
      <c r="A763" s="3" t="s">
        <v>18</v>
      </c>
      <c r="B763" s="3">
        <v>11988496</v>
      </c>
      <c r="C763" s="3" t="s">
        <v>803</v>
      </c>
      <c r="D763" s="3" t="s">
        <v>20</v>
      </c>
      <c r="E763" s="3" t="s">
        <v>21</v>
      </c>
      <c r="F763" s="3" t="s">
        <v>21</v>
      </c>
      <c r="G763" s="3" t="s">
        <v>36</v>
      </c>
      <c r="H763" s="3" t="s">
        <v>37</v>
      </c>
      <c r="I763" s="3" t="s">
        <v>24</v>
      </c>
      <c r="J763" s="3" t="s">
        <v>24</v>
      </c>
      <c r="K763" s="3" t="s">
        <v>25</v>
      </c>
      <c r="L763" s="4">
        <v>0</v>
      </c>
      <c r="M763" s="3" t="s">
        <v>26</v>
      </c>
      <c r="N763" s="3" t="s">
        <v>24</v>
      </c>
      <c r="O763" s="4">
        <v>1</v>
      </c>
      <c r="P763" s="4">
        <v>10</v>
      </c>
      <c r="Q763" s="4">
        <v>1</v>
      </c>
    </row>
    <row r="764" spans="1:17" x14ac:dyDescent="0.25">
      <c r="A764" s="3" t="s">
        <v>18</v>
      </c>
      <c r="B764" s="3">
        <v>11988619</v>
      </c>
      <c r="C764" s="3" t="s">
        <v>804</v>
      </c>
      <c r="D764" s="3" t="s">
        <v>20</v>
      </c>
      <c r="E764" s="3" t="s">
        <v>21</v>
      </c>
      <c r="F764" s="3" t="s">
        <v>21</v>
      </c>
      <c r="G764" s="3" t="s">
        <v>233</v>
      </c>
      <c r="H764" s="3" t="s">
        <v>234</v>
      </c>
      <c r="I764" s="3" t="s">
        <v>24</v>
      </c>
      <c r="J764" s="3" t="s">
        <v>24</v>
      </c>
      <c r="K764" s="3" t="s">
        <v>25</v>
      </c>
      <c r="L764" s="4">
        <v>0</v>
      </c>
      <c r="M764" s="3" t="s">
        <v>26</v>
      </c>
      <c r="N764" s="3" t="s">
        <v>24</v>
      </c>
      <c r="O764" s="4">
        <v>1</v>
      </c>
      <c r="P764" s="4">
        <v>3</v>
      </c>
      <c r="Q764" s="4">
        <v>1</v>
      </c>
    </row>
    <row r="765" spans="1:17" x14ac:dyDescent="0.25">
      <c r="A765" s="3" t="s">
        <v>18</v>
      </c>
      <c r="B765" s="3">
        <v>11988627</v>
      </c>
      <c r="C765" s="3" t="s">
        <v>805</v>
      </c>
      <c r="D765" s="3" t="s">
        <v>20</v>
      </c>
      <c r="E765" s="3" t="s">
        <v>21</v>
      </c>
      <c r="F765" s="3" t="s">
        <v>21</v>
      </c>
      <c r="G765" s="3" t="s">
        <v>233</v>
      </c>
      <c r="H765" s="3" t="s">
        <v>234</v>
      </c>
      <c r="I765" s="3" t="s">
        <v>24</v>
      </c>
      <c r="J765" s="3" t="s">
        <v>24</v>
      </c>
      <c r="K765" s="3" t="s">
        <v>25</v>
      </c>
      <c r="L765" s="4">
        <v>0</v>
      </c>
      <c r="M765" s="3" t="s">
        <v>26</v>
      </c>
      <c r="N765" s="3" t="s">
        <v>24</v>
      </c>
      <c r="O765" s="4">
        <v>1</v>
      </c>
      <c r="P765" s="4">
        <v>2</v>
      </c>
      <c r="Q765" s="4">
        <v>1</v>
      </c>
    </row>
    <row r="766" spans="1:17" x14ac:dyDescent="0.25">
      <c r="A766" s="3" t="s">
        <v>18</v>
      </c>
      <c r="B766" s="3">
        <v>11988630</v>
      </c>
      <c r="C766" s="3" t="s">
        <v>806</v>
      </c>
      <c r="D766" s="3" t="s">
        <v>20</v>
      </c>
      <c r="E766" s="3" t="s">
        <v>21</v>
      </c>
      <c r="F766" s="3" t="s">
        <v>21</v>
      </c>
      <c r="G766" s="3" t="s">
        <v>36</v>
      </c>
      <c r="H766" s="3" t="s">
        <v>37</v>
      </c>
      <c r="I766" s="3" t="s">
        <v>24</v>
      </c>
      <c r="J766" s="3" t="s">
        <v>24</v>
      </c>
      <c r="K766" s="3" t="s">
        <v>25</v>
      </c>
      <c r="L766" s="4">
        <v>0</v>
      </c>
      <c r="M766" s="3" t="s">
        <v>26</v>
      </c>
      <c r="N766" s="3" t="s">
        <v>24</v>
      </c>
      <c r="O766" s="4">
        <v>1</v>
      </c>
      <c r="P766" s="4">
        <v>10</v>
      </c>
      <c r="Q766" s="4">
        <v>1</v>
      </c>
    </row>
    <row r="767" spans="1:17" x14ac:dyDescent="0.25">
      <c r="A767" s="3" t="s">
        <v>18</v>
      </c>
      <c r="B767" s="3">
        <v>11988632</v>
      </c>
      <c r="C767" s="3" t="s">
        <v>807</v>
      </c>
      <c r="D767" s="3" t="s">
        <v>20</v>
      </c>
      <c r="E767" s="3" t="s">
        <v>21</v>
      </c>
      <c r="F767" s="3" t="s">
        <v>21</v>
      </c>
      <c r="G767" s="3" t="s">
        <v>36</v>
      </c>
      <c r="H767" s="3" t="s">
        <v>37</v>
      </c>
      <c r="I767" s="3" t="s">
        <v>24</v>
      </c>
      <c r="J767" s="3" t="s">
        <v>24</v>
      </c>
      <c r="K767" s="3" t="s">
        <v>25</v>
      </c>
      <c r="L767" s="4">
        <v>0</v>
      </c>
      <c r="M767" s="3" t="s">
        <v>26</v>
      </c>
      <c r="N767" s="3" t="s">
        <v>24</v>
      </c>
      <c r="O767" s="4">
        <v>1</v>
      </c>
      <c r="P767" s="4">
        <v>10</v>
      </c>
      <c r="Q767" s="4">
        <v>1</v>
      </c>
    </row>
    <row r="768" spans="1:17" x14ac:dyDescent="0.25">
      <c r="A768" s="3" t="s">
        <v>18</v>
      </c>
      <c r="B768" s="3">
        <v>11988635</v>
      </c>
      <c r="C768" s="3" t="s">
        <v>808</v>
      </c>
      <c r="D768" s="3" t="s">
        <v>20</v>
      </c>
      <c r="E768" s="3" t="s">
        <v>21</v>
      </c>
      <c r="F768" s="3" t="s">
        <v>21</v>
      </c>
      <c r="G768" s="3" t="s">
        <v>36</v>
      </c>
      <c r="H768" s="3" t="s">
        <v>37</v>
      </c>
      <c r="I768" s="3" t="s">
        <v>24</v>
      </c>
      <c r="J768" s="3" t="s">
        <v>24</v>
      </c>
      <c r="K768" s="3" t="s">
        <v>25</v>
      </c>
      <c r="L768" s="4">
        <v>0</v>
      </c>
      <c r="M768" s="3" t="s">
        <v>26</v>
      </c>
      <c r="N768" s="3" t="s">
        <v>24</v>
      </c>
      <c r="O768" s="4">
        <v>1</v>
      </c>
      <c r="P768" s="4">
        <v>10</v>
      </c>
      <c r="Q768" s="4">
        <v>1</v>
      </c>
    </row>
    <row r="769" spans="1:17" x14ac:dyDescent="0.25">
      <c r="A769" s="3" t="s">
        <v>18</v>
      </c>
      <c r="B769" s="3">
        <v>11988636</v>
      </c>
      <c r="C769" s="3" t="s">
        <v>809</v>
      </c>
      <c r="D769" s="3" t="s">
        <v>20</v>
      </c>
      <c r="E769" s="3" t="s">
        <v>21</v>
      </c>
      <c r="F769" s="3" t="s">
        <v>21</v>
      </c>
      <c r="G769" s="3" t="s">
        <v>36</v>
      </c>
      <c r="H769" s="3" t="s">
        <v>37</v>
      </c>
      <c r="I769" s="3" t="s">
        <v>24</v>
      </c>
      <c r="J769" s="3" t="s">
        <v>24</v>
      </c>
      <c r="K769" s="3" t="s">
        <v>25</v>
      </c>
      <c r="L769" s="4">
        <v>0</v>
      </c>
      <c r="M769" s="3" t="s">
        <v>26</v>
      </c>
      <c r="N769" s="3" t="s">
        <v>24</v>
      </c>
      <c r="O769" s="4">
        <v>1</v>
      </c>
      <c r="P769" s="4">
        <v>10</v>
      </c>
      <c r="Q769" s="4">
        <v>1</v>
      </c>
    </row>
    <row r="770" spans="1:17" x14ac:dyDescent="0.25">
      <c r="A770" s="3" t="s">
        <v>18</v>
      </c>
      <c r="B770" s="3">
        <v>11988637</v>
      </c>
      <c r="C770" s="3" t="s">
        <v>810</v>
      </c>
      <c r="D770" s="3" t="s">
        <v>20</v>
      </c>
      <c r="E770" s="3" t="s">
        <v>21</v>
      </c>
      <c r="F770" s="3" t="s">
        <v>21</v>
      </c>
      <c r="G770" s="3" t="s">
        <v>36</v>
      </c>
      <c r="H770" s="3" t="s">
        <v>37</v>
      </c>
      <c r="I770" s="3" t="s">
        <v>24</v>
      </c>
      <c r="J770" s="3" t="s">
        <v>24</v>
      </c>
      <c r="K770" s="3" t="s">
        <v>25</v>
      </c>
      <c r="L770" s="4">
        <v>0</v>
      </c>
      <c r="M770" s="3" t="s">
        <v>26</v>
      </c>
      <c r="N770" s="3" t="s">
        <v>24</v>
      </c>
      <c r="O770" s="4">
        <v>1</v>
      </c>
      <c r="P770" s="4">
        <v>10</v>
      </c>
      <c r="Q770" s="4">
        <v>1</v>
      </c>
    </row>
    <row r="771" spans="1:17" x14ac:dyDescent="0.25">
      <c r="A771" s="3" t="s">
        <v>18</v>
      </c>
      <c r="B771" s="3">
        <v>11988648</v>
      </c>
      <c r="C771" s="3" t="s">
        <v>811</v>
      </c>
      <c r="D771" s="3" t="s">
        <v>20</v>
      </c>
      <c r="E771" s="3" t="s">
        <v>21</v>
      </c>
      <c r="F771" s="3" t="s">
        <v>21</v>
      </c>
      <c r="G771" s="3" t="s">
        <v>233</v>
      </c>
      <c r="H771" s="3" t="s">
        <v>234</v>
      </c>
      <c r="I771" s="3" t="s">
        <v>24</v>
      </c>
      <c r="J771" s="3" t="s">
        <v>24</v>
      </c>
      <c r="K771" s="3" t="s">
        <v>25</v>
      </c>
      <c r="L771" s="4">
        <v>0</v>
      </c>
      <c r="M771" s="3" t="s">
        <v>26</v>
      </c>
      <c r="N771" s="3" t="s">
        <v>24</v>
      </c>
      <c r="O771" s="4">
        <v>1</v>
      </c>
      <c r="P771" s="4">
        <v>2</v>
      </c>
      <c r="Q771" s="4">
        <v>1</v>
      </c>
    </row>
    <row r="772" spans="1:17" x14ac:dyDescent="0.25">
      <c r="A772" s="3" t="s">
        <v>18</v>
      </c>
      <c r="B772" s="3">
        <v>11988650</v>
      </c>
      <c r="C772" s="3" t="s">
        <v>812</v>
      </c>
      <c r="D772" s="3" t="s">
        <v>20</v>
      </c>
      <c r="E772" s="3" t="s">
        <v>21</v>
      </c>
      <c r="F772" s="3" t="s">
        <v>21</v>
      </c>
      <c r="G772" s="3" t="s">
        <v>233</v>
      </c>
      <c r="H772" s="3" t="s">
        <v>234</v>
      </c>
      <c r="I772" s="3" t="s">
        <v>24</v>
      </c>
      <c r="J772" s="3" t="s">
        <v>24</v>
      </c>
      <c r="K772" s="3" t="s">
        <v>25</v>
      </c>
      <c r="L772" s="4">
        <v>0</v>
      </c>
      <c r="M772" s="3" t="s">
        <v>26</v>
      </c>
      <c r="N772" s="3" t="s">
        <v>24</v>
      </c>
      <c r="O772" s="4">
        <v>1</v>
      </c>
      <c r="P772" s="4">
        <v>2</v>
      </c>
      <c r="Q772" s="4">
        <v>1</v>
      </c>
    </row>
    <row r="773" spans="1:17" x14ac:dyDescent="0.25">
      <c r="A773" s="3" t="s">
        <v>18</v>
      </c>
      <c r="B773" s="3">
        <v>11988653</v>
      </c>
      <c r="C773" s="3" t="s">
        <v>813</v>
      </c>
      <c r="D773" s="3" t="s">
        <v>20</v>
      </c>
      <c r="E773" s="3" t="s">
        <v>21</v>
      </c>
      <c r="F773" s="3" t="s">
        <v>21</v>
      </c>
      <c r="G773" s="3" t="s">
        <v>233</v>
      </c>
      <c r="H773" s="3" t="s">
        <v>234</v>
      </c>
      <c r="I773" s="3" t="s">
        <v>24</v>
      </c>
      <c r="J773" s="3" t="s">
        <v>24</v>
      </c>
      <c r="K773" s="3" t="s">
        <v>25</v>
      </c>
      <c r="L773" s="4">
        <v>0</v>
      </c>
      <c r="M773" s="3" t="s">
        <v>26</v>
      </c>
      <c r="N773" s="3" t="s">
        <v>24</v>
      </c>
      <c r="O773" s="4">
        <v>1</v>
      </c>
      <c r="P773" s="4">
        <v>2</v>
      </c>
      <c r="Q773" s="4">
        <v>1</v>
      </c>
    </row>
    <row r="774" spans="1:17" x14ac:dyDescent="0.25">
      <c r="A774" s="3" t="s">
        <v>18</v>
      </c>
      <c r="B774" s="3">
        <v>11988654</v>
      </c>
      <c r="C774" s="3" t="s">
        <v>814</v>
      </c>
      <c r="D774" s="3" t="s">
        <v>20</v>
      </c>
      <c r="E774" s="3" t="s">
        <v>21</v>
      </c>
      <c r="F774" s="3" t="s">
        <v>21</v>
      </c>
      <c r="G774" s="3" t="s">
        <v>233</v>
      </c>
      <c r="H774" s="3" t="s">
        <v>234</v>
      </c>
      <c r="I774" s="3" t="s">
        <v>24</v>
      </c>
      <c r="J774" s="3" t="s">
        <v>24</v>
      </c>
      <c r="K774" s="3" t="s">
        <v>25</v>
      </c>
      <c r="L774" s="4">
        <v>0</v>
      </c>
      <c r="M774" s="3" t="s">
        <v>26</v>
      </c>
      <c r="N774" s="3" t="s">
        <v>24</v>
      </c>
      <c r="O774" s="4">
        <v>1</v>
      </c>
      <c r="P774" s="4">
        <v>2</v>
      </c>
      <c r="Q774" s="4">
        <v>1</v>
      </c>
    </row>
    <row r="775" spans="1:17" x14ac:dyDescent="0.25">
      <c r="A775" s="3" t="s">
        <v>18</v>
      </c>
      <c r="B775" s="3">
        <v>11988656</v>
      </c>
      <c r="C775" s="3" t="s">
        <v>815</v>
      </c>
      <c r="D775" s="3" t="s">
        <v>20</v>
      </c>
      <c r="E775" s="3" t="s">
        <v>21</v>
      </c>
      <c r="F775" s="3" t="s">
        <v>21</v>
      </c>
      <c r="G775" s="3" t="s">
        <v>233</v>
      </c>
      <c r="H775" s="3" t="s">
        <v>234</v>
      </c>
      <c r="I775" s="3" t="s">
        <v>24</v>
      </c>
      <c r="J775" s="3" t="s">
        <v>24</v>
      </c>
      <c r="K775" s="3" t="s">
        <v>25</v>
      </c>
      <c r="L775" s="4">
        <v>0</v>
      </c>
      <c r="M775" s="3" t="s">
        <v>26</v>
      </c>
      <c r="N775" s="3" t="s">
        <v>24</v>
      </c>
      <c r="O775" s="4">
        <v>1</v>
      </c>
      <c r="P775" s="4">
        <v>2</v>
      </c>
      <c r="Q775" s="4">
        <v>1</v>
      </c>
    </row>
    <row r="776" spans="1:17" x14ac:dyDescent="0.25">
      <c r="A776" s="3" t="s">
        <v>18</v>
      </c>
      <c r="B776" s="3">
        <v>11988657</v>
      </c>
      <c r="C776" s="3" t="s">
        <v>816</v>
      </c>
      <c r="D776" s="3" t="s">
        <v>20</v>
      </c>
      <c r="E776" s="3" t="s">
        <v>21</v>
      </c>
      <c r="F776" s="3" t="s">
        <v>21</v>
      </c>
      <c r="G776" s="3" t="s">
        <v>233</v>
      </c>
      <c r="H776" s="3" t="s">
        <v>234</v>
      </c>
      <c r="I776" s="3" t="s">
        <v>24</v>
      </c>
      <c r="J776" s="3" t="s">
        <v>24</v>
      </c>
      <c r="K776" s="3" t="s">
        <v>25</v>
      </c>
      <c r="L776" s="4">
        <v>0</v>
      </c>
      <c r="M776" s="3" t="s">
        <v>26</v>
      </c>
      <c r="N776" s="3" t="s">
        <v>24</v>
      </c>
      <c r="O776" s="4">
        <v>1</v>
      </c>
      <c r="P776" s="4">
        <v>2</v>
      </c>
      <c r="Q776" s="4">
        <v>1</v>
      </c>
    </row>
    <row r="777" spans="1:17" x14ac:dyDescent="0.25">
      <c r="A777" s="3" t="s">
        <v>18</v>
      </c>
      <c r="B777" s="3">
        <v>11988658</v>
      </c>
      <c r="C777" s="3" t="s">
        <v>817</v>
      </c>
      <c r="D777" s="3" t="s">
        <v>20</v>
      </c>
      <c r="E777" s="3" t="s">
        <v>21</v>
      </c>
      <c r="F777" s="3" t="s">
        <v>21</v>
      </c>
      <c r="G777" s="3" t="s">
        <v>36</v>
      </c>
      <c r="H777" s="3" t="s">
        <v>37</v>
      </c>
      <c r="I777" s="3" t="s">
        <v>24</v>
      </c>
      <c r="J777" s="3" t="s">
        <v>24</v>
      </c>
      <c r="K777" s="3" t="s">
        <v>25</v>
      </c>
      <c r="L777" s="4">
        <v>0</v>
      </c>
      <c r="M777" s="3" t="s">
        <v>26</v>
      </c>
      <c r="N777" s="3" t="s">
        <v>24</v>
      </c>
      <c r="O777" s="4">
        <v>1</v>
      </c>
      <c r="P777" s="4">
        <v>10</v>
      </c>
      <c r="Q777" s="4">
        <v>1</v>
      </c>
    </row>
    <row r="778" spans="1:17" x14ac:dyDescent="0.25">
      <c r="A778" s="3" t="s">
        <v>18</v>
      </c>
      <c r="B778" s="3">
        <v>11988661</v>
      </c>
      <c r="C778" s="3" t="s">
        <v>818</v>
      </c>
      <c r="D778" s="3" t="s">
        <v>20</v>
      </c>
      <c r="E778" s="3" t="s">
        <v>21</v>
      </c>
      <c r="F778" s="3" t="s">
        <v>21</v>
      </c>
      <c r="G778" s="3" t="s">
        <v>36</v>
      </c>
      <c r="H778" s="3" t="s">
        <v>37</v>
      </c>
      <c r="I778" s="3" t="s">
        <v>24</v>
      </c>
      <c r="J778" s="3" t="s">
        <v>24</v>
      </c>
      <c r="K778" s="3" t="s">
        <v>25</v>
      </c>
      <c r="L778" s="4">
        <v>0</v>
      </c>
      <c r="M778" s="3" t="s">
        <v>26</v>
      </c>
      <c r="N778" s="3" t="s">
        <v>24</v>
      </c>
      <c r="O778" s="4">
        <v>1</v>
      </c>
      <c r="P778" s="4">
        <v>10</v>
      </c>
      <c r="Q778" s="4">
        <v>1</v>
      </c>
    </row>
    <row r="779" spans="1:17" x14ac:dyDescent="0.25">
      <c r="A779" s="3" t="s">
        <v>18</v>
      </c>
      <c r="B779" s="3">
        <v>11988663</v>
      </c>
      <c r="C779" s="3" t="s">
        <v>819</v>
      </c>
      <c r="D779" s="3" t="s">
        <v>20</v>
      </c>
      <c r="E779" s="3" t="s">
        <v>21</v>
      </c>
      <c r="F779" s="3" t="s">
        <v>21</v>
      </c>
      <c r="G779" s="3" t="s">
        <v>36</v>
      </c>
      <c r="H779" s="3" t="s">
        <v>37</v>
      </c>
      <c r="I779" s="3" t="s">
        <v>24</v>
      </c>
      <c r="J779" s="3" t="s">
        <v>24</v>
      </c>
      <c r="K779" s="3" t="s">
        <v>25</v>
      </c>
      <c r="L779" s="4">
        <v>0</v>
      </c>
      <c r="M779" s="3" t="s">
        <v>26</v>
      </c>
      <c r="N779" s="3" t="s">
        <v>24</v>
      </c>
      <c r="O779" s="4">
        <v>1</v>
      </c>
      <c r="P779" s="4">
        <v>10</v>
      </c>
      <c r="Q779" s="4">
        <v>1</v>
      </c>
    </row>
    <row r="780" spans="1:17" x14ac:dyDescent="0.25">
      <c r="A780" s="3" t="s">
        <v>18</v>
      </c>
      <c r="B780" s="3">
        <v>11988664</v>
      </c>
      <c r="C780" s="3" t="s">
        <v>820</v>
      </c>
      <c r="D780" s="3" t="s">
        <v>20</v>
      </c>
      <c r="E780" s="3" t="s">
        <v>21</v>
      </c>
      <c r="F780" s="3" t="s">
        <v>21</v>
      </c>
      <c r="G780" s="3" t="s">
        <v>36</v>
      </c>
      <c r="H780" s="3" t="s">
        <v>37</v>
      </c>
      <c r="I780" s="3" t="s">
        <v>24</v>
      </c>
      <c r="J780" s="3" t="s">
        <v>24</v>
      </c>
      <c r="K780" s="3" t="s">
        <v>25</v>
      </c>
      <c r="L780" s="4">
        <v>0</v>
      </c>
      <c r="M780" s="3" t="s">
        <v>26</v>
      </c>
      <c r="N780" s="3" t="s">
        <v>24</v>
      </c>
      <c r="O780" s="4">
        <v>1</v>
      </c>
      <c r="P780" s="4">
        <v>10</v>
      </c>
      <c r="Q780" s="4">
        <v>1</v>
      </c>
    </row>
    <row r="781" spans="1:17" x14ac:dyDescent="0.25">
      <c r="A781" s="3" t="s">
        <v>18</v>
      </c>
      <c r="B781" s="3">
        <v>11988665</v>
      </c>
      <c r="C781" s="3" t="s">
        <v>821</v>
      </c>
      <c r="D781" s="3" t="s">
        <v>20</v>
      </c>
      <c r="E781" s="3" t="s">
        <v>21</v>
      </c>
      <c r="F781" s="3" t="s">
        <v>21</v>
      </c>
      <c r="G781" s="3" t="s">
        <v>36</v>
      </c>
      <c r="H781" s="3" t="s">
        <v>37</v>
      </c>
      <c r="I781" s="3" t="s">
        <v>24</v>
      </c>
      <c r="J781" s="3" t="s">
        <v>24</v>
      </c>
      <c r="K781" s="3" t="s">
        <v>25</v>
      </c>
      <c r="L781" s="4">
        <v>0</v>
      </c>
      <c r="M781" s="3" t="s">
        <v>26</v>
      </c>
      <c r="N781" s="3" t="s">
        <v>24</v>
      </c>
      <c r="O781" s="4">
        <v>1</v>
      </c>
      <c r="P781" s="4">
        <v>10</v>
      </c>
      <c r="Q781" s="4">
        <v>1</v>
      </c>
    </row>
    <row r="782" spans="1:17" x14ac:dyDescent="0.25">
      <c r="A782" s="3" t="s">
        <v>18</v>
      </c>
      <c r="B782" s="3">
        <v>11988679</v>
      </c>
      <c r="C782" s="3" t="s">
        <v>822</v>
      </c>
      <c r="D782" s="3" t="s">
        <v>20</v>
      </c>
      <c r="E782" s="3" t="s">
        <v>21</v>
      </c>
      <c r="F782" s="3" t="s">
        <v>21</v>
      </c>
      <c r="G782" s="3" t="s">
        <v>233</v>
      </c>
      <c r="H782" s="3" t="s">
        <v>234</v>
      </c>
      <c r="I782" s="3" t="s">
        <v>24</v>
      </c>
      <c r="J782" s="3" t="s">
        <v>24</v>
      </c>
      <c r="K782" s="3" t="s">
        <v>25</v>
      </c>
      <c r="L782" s="4">
        <v>0</v>
      </c>
      <c r="M782" s="3" t="s">
        <v>26</v>
      </c>
      <c r="N782" s="3" t="s">
        <v>24</v>
      </c>
      <c r="O782" s="4">
        <v>1</v>
      </c>
      <c r="P782" s="4">
        <v>2</v>
      </c>
      <c r="Q782" s="4">
        <v>1</v>
      </c>
    </row>
    <row r="783" spans="1:17" x14ac:dyDescent="0.25">
      <c r="A783" s="3" t="s">
        <v>18</v>
      </c>
      <c r="B783" s="3">
        <v>11988688</v>
      </c>
      <c r="C783" s="3" t="s">
        <v>823</v>
      </c>
      <c r="D783" s="3" t="s">
        <v>20</v>
      </c>
      <c r="E783" s="3" t="s">
        <v>21</v>
      </c>
      <c r="F783" s="3" t="s">
        <v>21</v>
      </c>
      <c r="G783" s="3" t="s">
        <v>36</v>
      </c>
      <c r="H783" s="3" t="s">
        <v>37</v>
      </c>
      <c r="I783" s="3" t="s">
        <v>24</v>
      </c>
      <c r="J783" s="3" t="s">
        <v>24</v>
      </c>
      <c r="K783" s="3" t="s">
        <v>25</v>
      </c>
      <c r="L783" s="4">
        <v>0</v>
      </c>
      <c r="M783" s="3" t="s">
        <v>26</v>
      </c>
      <c r="N783" s="3" t="s">
        <v>24</v>
      </c>
      <c r="O783" s="4">
        <v>1</v>
      </c>
      <c r="P783" s="4">
        <v>10</v>
      </c>
      <c r="Q783" s="4">
        <v>1</v>
      </c>
    </row>
    <row r="784" spans="1:17" x14ac:dyDescent="0.25">
      <c r="A784" s="3" t="s">
        <v>18</v>
      </c>
      <c r="B784" s="3">
        <v>11988691</v>
      </c>
      <c r="C784" s="3" t="s">
        <v>824</v>
      </c>
      <c r="D784" s="3" t="s">
        <v>20</v>
      </c>
      <c r="E784" s="3" t="s">
        <v>21</v>
      </c>
      <c r="F784" s="3" t="s">
        <v>21</v>
      </c>
      <c r="G784" s="3" t="s">
        <v>36</v>
      </c>
      <c r="H784" s="3" t="s">
        <v>37</v>
      </c>
      <c r="I784" s="3" t="s">
        <v>24</v>
      </c>
      <c r="J784" s="3" t="s">
        <v>24</v>
      </c>
      <c r="K784" s="3" t="s">
        <v>25</v>
      </c>
      <c r="L784" s="4">
        <v>0</v>
      </c>
      <c r="M784" s="3" t="s">
        <v>26</v>
      </c>
      <c r="N784" s="3" t="s">
        <v>24</v>
      </c>
      <c r="O784" s="4">
        <v>1</v>
      </c>
      <c r="P784" s="4">
        <v>10</v>
      </c>
      <c r="Q784" s="4">
        <v>1</v>
      </c>
    </row>
    <row r="785" spans="1:17" x14ac:dyDescent="0.25">
      <c r="A785" s="3" t="s">
        <v>18</v>
      </c>
      <c r="B785" s="3">
        <v>11988694</v>
      </c>
      <c r="C785" s="3" t="s">
        <v>825</v>
      </c>
      <c r="D785" s="3" t="s">
        <v>20</v>
      </c>
      <c r="E785" s="3" t="s">
        <v>21</v>
      </c>
      <c r="F785" s="3" t="s">
        <v>21</v>
      </c>
      <c r="G785" s="3" t="s">
        <v>36</v>
      </c>
      <c r="H785" s="3" t="s">
        <v>37</v>
      </c>
      <c r="I785" s="3" t="s">
        <v>24</v>
      </c>
      <c r="J785" s="3" t="s">
        <v>24</v>
      </c>
      <c r="K785" s="3" t="s">
        <v>25</v>
      </c>
      <c r="L785" s="4">
        <v>0</v>
      </c>
      <c r="M785" s="3" t="s">
        <v>26</v>
      </c>
      <c r="N785" s="3" t="s">
        <v>24</v>
      </c>
      <c r="O785" s="4">
        <v>1</v>
      </c>
      <c r="P785" s="4">
        <v>10</v>
      </c>
      <c r="Q785" s="4">
        <v>1</v>
      </c>
    </row>
    <row r="786" spans="1:17" x14ac:dyDescent="0.25">
      <c r="A786" s="3" t="s">
        <v>18</v>
      </c>
      <c r="B786" s="3">
        <v>11988697</v>
      </c>
      <c r="C786" s="3" t="s">
        <v>826</v>
      </c>
      <c r="D786" s="3" t="s">
        <v>20</v>
      </c>
      <c r="E786" s="3" t="s">
        <v>21</v>
      </c>
      <c r="F786" s="3" t="s">
        <v>21</v>
      </c>
      <c r="G786" s="3" t="s">
        <v>36</v>
      </c>
      <c r="H786" s="3" t="s">
        <v>37</v>
      </c>
      <c r="I786" s="3" t="s">
        <v>24</v>
      </c>
      <c r="J786" s="3" t="s">
        <v>24</v>
      </c>
      <c r="K786" s="3" t="s">
        <v>25</v>
      </c>
      <c r="L786" s="4">
        <v>0</v>
      </c>
      <c r="M786" s="3" t="s">
        <v>26</v>
      </c>
      <c r="N786" s="3" t="s">
        <v>24</v>
      </c>
      <c r="O786" s="4">
        <v>1</v>
      </c>
      <c r="P786" s="4">
        <v>10</v>
      </c>
      <c r="Q786" s="4">
        <v>1</v>
      </c>
    </row>
    <row r="787" spans="1:17" x14ac:dyDescent="0.25">
      <c r="A787" s="3" t="s">
        <v>18</v>
      </c>
      <c r="B787" s="3">
        <v>11988704</v>
      </c>
      <c r="C787" s="3" t="s">
        <v>827</v>
      </c>
      <c r="D787" s="3" t="s">
        <v>20</v>
      </c>
      <c r="E787" s="3" t="s">
        <v>21</v>
      </c>
      <c r="F787" s="3" t="s">
        <v>21</v>
      </c>
      <c r="G787" s="3" t="s">
        <v>233</v>
      </c>
      <c r="H787" s="3" t="s">
        <v>234</v>
      </c>
      <c r="I787" s="3" t="s">
        <v>24</v>
      </c>
      <c r="J787" s="3" t="s">
        <v>24</v>
      </c>
      <c r="K787" s="3" t="s">
        <v>25</v>
      </c>
      <c r="L787" s="4">
        <v>0</v>
      </c>
      <c r="M787" s="3" t="s">
        <v>26</v>
      </c>
      <c r="N787" s="3" t="s">
        <v>24</v>
      </c>
      <c r="O787" s="4">
        <v>1</v>
      </c>
      <c r="P787" s="4">
        <v>3</v>
      </c>
      <c r="Q787" s="4">
        <v>1</v>
      </c>
    </row>
    <row r="788" spans="1:17" x14ac:dyDescent="0.25">
      <c r="A788" s="3" t="s">
        <v>18</v>
      </c>
      <c r="B788" s="3">
        <v>11988720</v>
      </c>
      <c r="C788" s="3" t="s">
        <v>828</v>
      </c>
      <c r="D788" s="3" t="s">
        <v>20</v>
      </c>
      <c r="E788" s="3" t="s">
        <v>21</v>
      </c>
      <c r="F788" s="3" t="s">
        <v>21</v>
      </c>
      <c r="G788" s="3" t="s">
        <v>36</v>
      </c>
      <c r="H788" s="3" t="s">
        <v>37</v>
      </c>
      <c r="I788" s="3" t="s">
        <v>24</v>
      </c>
      <c r="J788" s="3" t="s">
        <v>24</v>
      </c>
      <c r="K788" s="3" t="s">
        <v>25</v>
      </c>
      <c r="L788" s="4">
        <v>0</v>
      </c>
      <c r="M788" s="3" t="s">
        <v>26</v>
      </c>
      <c r="N788" s="3" t="s">
        <v>24</v>
      </c>
      <c r="O788" s="4">
        <v>1</v>
      </c>
      <c r="P788" s="4">
        <v>10</v>
      </c>
      <c r="Q788" s="4">
        <v>1</v>
      </c>
    </row>
    <row r="789" spans="1:17" x14ac:dyDescent="0.25">
      <c r="A789" s="3" t="s">
        <v>18</v>
      </c>
      <c r="B789" s="3">
        <v>11988721</v>
      </c>
      <c r="C789" s="3" t="s">
        <v>829</v>
      </c>
      <c r="D789" s="3" t="s">
        <v>20</v>
      </c>
      <c r="E789" s="3" t="s">
        <v>21</v>
      </c>
      <c r="F789" s="3" t="s">
        <v>21</v>
      </c>
      <c r="G789" s="3" t="s">
        <v>36</v>
      </c>
      <c r="H789" s="3" t="s">
        <v>37</v>
      </c>
      <c r="I789" s="3" t="s">
        <v>24</v>
      </c>
      <c r="J789" s="3" t="s">
        <v>24</v>
      </c>
      <c r="K789" s="3" t="s">
        <v>25</v>
      </c>
      <c r="L789" s="4">
        <v>0</v>
      </c>
      <c r="M789" s="3" t="s">
        <v>26</v>
      </c>
      <c r="N789" s="3" t="s">
        <v>24</v>
      </c>
      <c r="O789" s="4">
        <v>1</v>
      </c>
      <c r="P789" s="4">
        <v>10</v>
      </c>
      <c r="Q789" s="4">
        <v>1</v>
      </c>
    </row>
    <row r="790" spans="1:17" x14ac:dyDescent="0.25">
      <c r="A790" s="3" t="s">
        <v>18</v>
      </c>
      <c r="B790" s="3">
        <v>11988763</v>
      </c>
      <c r="C790" s="3" t="s">
        <v>830</v>
      </c>
      <c r="D790" s="3" t="s">
        <v>20</v>
      </c>
      <c r="E790" s="3" t="s">
        <v>21</v>
      </c>
      <c r="F790" s="3" t="s">
        <v>21</v>
      </c>
      <c r="G790" s="3" t="s">
        <v>36</v>
      </c>
      <c r="H790" s="3" t="s">
        <v>37</v>
      </c>
      <c r="I790" s="3" t="s">
        <v>24</v>
      </c>
      <c r="J790" s="3" t="s">
        <v>24</v>
      </c>
      <c r="K790" s="3" t="s">
        <v>25</v>
      </c>
      <c r="L790" s="4">
        <v>0</v>
      </c>
      <c r="M790" s="3" t="s">
        <v>26</v>
      </c>
      <c r="N790" s="3" t="s">
        <v>24</v>
      </c>
      <c r="O790" s="4">
        <v>1</v>
      </c>
      <c r="P790" s="4">
        <v>10</v>
      </c>
      <c r="Q790" s="4">
        <v>1</v>
      </c>
    </row>
    <row r="791" spans="1:17" x14ac:dyDescent="0.25">
      <c r="A791" s="3" t="s">
        <v>18</v>
      </c>
      <c r="B791" s="3">
        <v>11988771</v>
      </c>
      <c r="C791" s="3" t="s">
        <v>831</v>
      </c>
      <c r="D791" s="3" t="s">
        <v>20</v>
      </c>
      <c r="E791" s="3" t="s">
        <v>21</v>
      </c>
      <c r="F791" s="3" t="s">
        <v>21</v>
      </c>
      <c r="G791" s="3" t="s">
        <v>233</v>
      </c>
      <c r="H791" s="3" t="s">
        <v>234</v>
      </c>
      <c r="I791" s="3" t="s">
        <v>24</v>
      </c>
      <c r="J791" s="3" t="s">
        <v>24</v>
      </c>
      <c r="K791" s="3" t="s">
        <v>25</v>
      </c>
      <c r="L791" s="4">
        <v>0</v>
      </c>
      <c r="M791" s="3" t="s">
        <v>26</v>
      </c>
      <c r="N791" s="3" t="s">
        <v>24</v>
      </c>
      <c r="O791" s="4">
        <v>1</v>
      </c>
      <c r="P791" s="4">
        <v>3</v>
      </c>
      <c r="Q791" s="4">
        <v>1</v>
      </c>
    </row>
    <row r="792" spans="1:17" x14ac:dyDescent="0.25">
      <c r="A792" s="3" t="s">
        <v>18</v>
      </c>
      <c r="B792" s="3">
        <v>11988775</v>
      </c>
      <c r="C792" s="3" t="s">
        <v>832</v>
      </c>
      <c r="D792" s="3" t="s">
        <v>20</v>
      </c>
      <c r="E792" s="3" t="s">
        <v>21</v>
      </c>
      <c r="F792" s="3" t="s">
        <v>21</v>
      </c>
      <c r="G792" s="3" t="s">
        <v>233</v>
      </c>
      <c r="H792" s="3" t="s">
        <v>234</v>
      </c>
      <c r="I792" s="3" t="s">
        <v>24</v>
      </c>
      <c r="J792" s="3" t="s">
        <v>24</v>
      </c>
      <c r="K792" s="3" t="s">
        <v>25</v>
      </c>
      <c r="L792" s="4">
        <v>0</v>
      </c>
      <c r="M792" s="3" t="s">
        <v>26</v>
      </c>
      <c r="N792" s="3" t="s">
        <v>24</v>
      </c>
      <c r="O792" s="4">
        <v>1</v>
      </c>
      <c r="P792" s="4">
        <v>2</v>
      </c>
      <c r="Q792" s="4">
        <v>1</v>
      </c>
    </row>
    <row r="793" spans="1:17" x14ac:dyDescent="0.25">
      <c r="A793" s="3" t="s">
        <v>18</v>
      </c>
      <c r="B793" s="3">
        <v>11988777</v>
      </c>
      <c r="C793" s="3" t="s">
        <v>833</v>
      </c>
      <c r="D793" s="3" t="s">
        <v>20</v>
      </c>
      <c r="E793" s="3" t="s">
        <v>21</v>
      </c>
      <c r="F793" s="3" t="s">
        <v>21</v>
      </c>
      <c r="G793" s="3" t="s">
        <v>233</v>
      </c>
      <c r="H793" s="3" t="s">
        <v>234</v>
      </c>
      <c r="I793" s="3" t="s">
        <v>24</v>
      </c>
      <c r="J793" s="3" t="s">
        <v>24</v>
      </c>
      <c r="K793" s="3" t="s">
        <v>25</v>
      </c>
      <c r="L793" s="4">
        <v>0</v>
      </c>
      <c r="M793" s="3" t="s">
        <v>26</v>
      </c>
      <c r="N793" s="3" t="s">
        <v>24</v>
      </c>
      <c r="O793" s="4">
        <v>1</v>
      </c>
      <c r="P793" s="4">
        <v>3</v>
      </c>
      <c r="Q793" s="4">
        <v>1</v>
      </c>
    </row>
    <row r="794" spans="1:17" x14ac:dyDescent="0.25">
      <c r="A794" s="3" t="s">
        <v>18</v>
      </c>
      <c r="B794" s="3">
        <v>11988799</v>
      </c>
      <c r="C794" s="3" t="s">
        <v>834</v>
      </c>
      <c r="D794" s="3" t="s">
        <v>20</v>
      </c>
      <c r="E794" s="3" t="s">
        <v>21</v>
      </c>
      <c r="F794" s="3" t="s">
        <v>21</v>
      </c>
      <c r="G794" s="3" t="s">
        <v>233</v>
      </c>
      <c r="H794" s="3" t="s">
        <v>234</v>
      </c>
      <c r="I794" s="3" t="s">
        <v>24</v>
      </c>
      <c r="J794" s="3" t="s">
        <v>24</v>
      </c>
      <c r="K794" s="3" t="s">
        <v>25</v>
      </c>
      <c r="L794" s="4">
        <v>0</v>
      </c>
      <c r="M794" s="3" t="s">
        <v>26</v>
      </c>
      <c r="N794" s="3" t="s">
        <v>24</v>
      </c>
      <c r="O794" s="4">
        <v>1</v>
      </c>
      <c r="P794" s="4">
        <v>3</v>
      </c>
      <c r="Q794" s="4">
        <v>1</v>
      </c>
    </row>
    <row r="795" spans="1:17" x14ac:dyDescent="0.25">
      <c r="A795" s="3" t="s">
        <v>18</v>
      </c>
      <c r="B795" s="3">
        <v>11988802</v>
      </c>
      <c r="C795" s="3" t="s">
        <v>835</v>
      </c>
      <c r="D795" s="3" t="s">
        <v>20</v>
      </c>
      <c r="E795" s="3" t="s">
        <v>21</v>
      </c>
      <c r="F795" s="3" t="s">
        <v>21</v>
      </c>
      <c r="G795" s="3" t="s">
        <v>233</v>
      </c>
      <c r="H795" s="3" t="s">
        <v>234</v>
      </c>
      <c r="I795" s="3" t="s">
        <v>24</v>
      </c>
      <c r="J795" s="3" t="s">
        <v>24</v>
      </c>
      <c r="K795" s="3" t="s">
        <v>25</v>
      </c>
      <c r="L795" s="4">
        <v>0</v>
      </c>
      <c r="M795" s="3" t="s">
        <v>26</v>
      </c>
      <c r="N795" s="3" t="s">
        <v>24</v>
      </c>
      <c r="O795" s="4">
        <v>1</v>
      </c>
      <c r="P795" s="4">
        <v>3</v>
      </c>
      <c r="Q795" s="4">
        <v>1</v>
      </c>
    </row>
    <row r="796" spans="1:17" x14ac:dyDescent="0.25">
      <c r="A796" s="3" t="s">
        <v>18</v>
      </c>
      <c r="B796" s="3">
        <v>11988846</v>
      </c>
      <c r="C796" s="3" t="s">
        <v>836</v>
      </c>
      <c r="D796" s="3" t="s">
        <v>20</v>
      </c>
      <c r="E796" s="3" t="s">
        <v>21</v>
      </c>
      <c r="F796" s="3" t="s">
        <v>21</v>
      </c>
      <c r="G796" s="3" t="s">
        <v>36</v>
      </c>
      <c r="H796" s="3" t="s">
        <v>37</v>
      </c>
      <c r="I796" s="3" t="s">
        <v>24</v>
      </c>
      <c r="J796" s="3" t="s">
        <v>24</v>
      </c>
      <c r="K796" s="3" t="s">
        <v>25</v>
      </c>
      <c r="L796" s="4">
        <v>0</v>
      </c>
      <c r="M796" s="3" t="s">
        <v>26</v>
      </c>
      <c r="N796" s="3" t="s">
        <v>24</v>
      </c>
      <c r="O796" s="4">
        <v>1</v>
      </c>
      <c r="P796" s="4">
        <v>10</v>
      </c>
      <c r="Q796" s="4">
        <v>1</v>
      </c>
    </row>
    <row r="797" spans="1:17" x14ac:dyDescent="0.25">
      <c r="A797" s="3" t="s">
        <v>18</v>
      </c>
      <c r="B797" s="3">
        <v>11988847</v>
      </c>
      <c r="C797" s="3" t="s">
        <v>837</v>
      </c>
      <c r="D797" s="3" t="s">
        <v>20</v>
      </c>
      <c r="E797" s="3" t="s">
        <v>21</v>
      </c>
      <c r="F797" s="3" t="s">
        <v>21</v>
      </c>
      <c r="G797" s="3" t="s">
        <v>36</v>
      </c>
      <c r="H797" s="3" t="s">
        <v>37</v>
      </c>
      <c r="I797" s="3" t="s">
        <v>24</v>
      </c>
      <c r="J797" s="3" t="s">
        <v>24</v>
      </c>
      <c r="K797" s="3" t="s">
        <v>25</v>
      </c>
      <c r="L797" s="4">
        <v>0</v>
      </c>
      <c r="M797" s="3" t="s">
        <v>26</v>
      </c>
      <c r="N797" s="3" t="s">
        <v>24</v>
      </c>
      <c r="O797" s="4">
        <v>1</v>
      </c>
      <c r="P797" s="4">
        <v>10</v>
      </c>
      <c r="Q797" s="4">
        <v>1</v>
      </c>
    </row>
    <row r="798" spans="1:17" x14ac:dyDescent="0.25">
      <c r="A798" s="3" t="s">
        <v>18</v>
      </c>
      <c r="B798" s="3">
        <v>11988878</v>
      </c>
      <c r="C798" s="3" t="s">
        <v>838</v>
      </c>
      <c r="D798" s="3" t="s">
        <v>20</v>
      </c>
      <c r="E798" s="3" t="s">
        <v>21</v>
      </c>
      <c r="F798" s="3" t="s">
        <v>21</v>
      </c>
      <c r="G798" s="3" t="s">
        <v>36</v>
      </c>
      <c r="H798" s="3" t="s">
        <v>37</v>
      </c>
      <c r="I798" s="3" t="s">
        <v>24</v>
      </c>
      <c r="J798" s="3" t="s">
        <v>24</v>
      </c>
      <c r="K798" s="3" t="s">
        <v>25</v>
      </c>
      <c r="L798" s="4">
        <v>0</v>
      </c>
      <c r="M798" s="3" t="s">
        <v>26</v>
      </c>
      <c r="N798" s="3" t="s">
        <v>24</v>
      </c>
      <c r="O798" s="4">
        <v>1</v>
      </c>
      <c r="P798" s="4">
        <v>10</v>
      </c>
      <c r="Q798" s="4">
        <v>1</v>
      </c>
    </row>
    <row r="799" spans="1:17" x14ac:dyDescent="0.25">
      <c r="A799" s="3" t="s">
        <v>18</v>
      </c>
      <c r="B799" s="3">
        <v>11988879</v>
      </c>
      <c r="C799" s="3" t="s">
        <v>839</v>
      </c>
      <c r="D799" s="3" t="s">
        <v>20</v>
      </c>
      <c r="E799" s="3" t="s">
        <v>21</v>
      </c>
      <c r="F799" s="3" t="s">
        <v>21</v>
      </c>
      <c r="G799" s="3" t="s">
        <v>36</v>
      </c>
      <c r="H799" s="3" t="s">
        <v>37</v>
      </c>
      <c r="I799" s="3" t="s">
        <v>24</v>
      </c>
      <c r="J799" s="3" t="s">
        <v>24</v>
      </c>
      <c r="K799" s="3" t="s">
        <v>25</v>
      </c>
      <c r="L799" s="4">
        <v>0</v>
      </c>
      <c r="M799" s="3" t="s">
        <v>26</v>
      </c>
      <c r="N799" s="3" t="s">
        <v>24</v>
      </c>
      <c r="O799" s="4">
        <v>1</v>
      </c>
      <c r="P799" s="4">
        <v>10</v>
      </c>
      <c r="Q799" s="4">
        <v>1</v>
      </c>
    </row>
    <row r="800" spans="1:17" x14ac:dyDescent="0.25">
      <c r="A800" s="3" t="s">
        <v>18</v>
      </c>
      <c r="B800" s="3">
        <v>11988880</v>
      </c>
      <c r="C800" s="3" t="s">
        <v>840</v>
      </c>
      <c r="D800" s="3" t="s">
        <v>20</v>
      </c>
      <c r="E800" s="3" t="s">
        <v>21</v>
      </c>
      <c r="F800" s="3" t="s">
        <v>21</v>
      </c>
      <c r="G800" s="3" t="s">
        <v>36</v>
      </c>
      <c r="H800" s="3" t="s">
        <v>37</v>
      </c>
      <c r="I800" s="3" t="s">
        <v>24</v>
      </c>
      <c r="J800" s="3" t="s">
        <v>24</v>
      </c>
      <c r="K800" s="3" t="s">
        <v>25</v>
      </c>
      <c r="L800" s="4">
        <v>0</v>
      </c>
      <c r="M800" s="3" t="s">
        <v>26</v>
      </c>
      <c r="N800" s="3" t="s">
        <v>24</v>
      </c>
      <c r="O800" s="4">
        <v>1</v>
      </c>
      <c r="P800" s="4">
        <v>10</v>
      </c>
      <c r="Q800" s="4">
        <v>1</v>
      </c>
    </row>
    <row r="801" spans="1:17" x14ac:dyDescent="0.25">
      <c r="A801" s="3" t="s">
        <v>18</v>
      </c>
      <c r="B801" s="3">
        <v>11988881</v>
      </c>
      <c r="C801" s="3" t="s">
        <v>841</v>
      </c>
      <c r="D801" s="3" t="s">
        <v>20</v>
      </c>
      <c r="E801" s="3" t="s">
        <v>21</v>
      </c>
      <c r="F801" s="3" t="s">
        <v>21</v>
      </c>
      <c r="G801" s="3" t="s">
        <v>36</v>
      </c>
      <c r="H801" s="3" t="s">
        <v>37</v>
      </c>
      <c r="I801" s="3" t="s">
        <v>24</v>
      </c>
      <c r="J801" s="3" t="s">
        <v>24</v>
      </c>
      <c r="K801" s="3" t="s">
        <v>25</v>
      </c>
      <c r="L801" s="4">
        <v>0</v>
      </c>
      <c r="M801" s="3" t="s">
        <v>26</v>
      </c>
      <c r="N801" s="3" t="s">
        <v>24</v>
      </c>
      <c r="O801" s="4">
        <v>1</v>
      </c>
      <c r="P801" s="4">
        <v>10</v>
      </c>
      <c r="Q801" s="4">
        <v>1</v>
      </c>
    </row>
    <row r="802" spans="1:17" x14ac:dyDescent="0.25">
      <c r="A802" s="3" t="s">
        <v>18</v>
      </c>
      <c r="B802" s="3">
        <v>11988883</v>
      </c>
      <c r="C802" s="3" t="s">
        <v>842</v>
      </c>
      <c r="D802" s="3" t="s">
        <v>20</v>
      </c>
      <c r="E802" s="3" t="s">
        <v>21</v>
      </c>
      <c r="F802" s="3" t="s">
        <v>21</v>
      </c>
      <c r="G802" s="3" t="s">
        <v>36</v>
      </c>
      <c r="H802" s="3" t="s">
        <v>37</v>
      </c>
      <c r="I802" s="3" t="s">
        <v>24</v>
      </c>
      <c r="J802" s="3" t="s">
        <v>24</v>
      </c>
      <c r="K802" s="3" t="s">
        <v>25</v>
      </c>
      <c r="L802" s="4">
        <v>0</v>
      </c>
      <c r="M802" s="3" t="s">
        <v>26</v>
      </c>
      <c r="N802" s="3" t="s">
        <v>24</v>
      </c>
      <c r="O802" s="4">
        <v>1</v>
      </c>
      <c r="P802" s="4">
        <v>10</v>
      </c>
      <c r="Q802" s="4">
        <v>1</v>
      </c>
    </row>
    <row r="803" spans="1:17" x14ac:dyDescent="0.25">
      <c r="A803" s="3" t="s">
        <v>18</v>
      </c>
      <c r="B803" s="3">
        <v>11988885</v>
      </c>
      <c r="C803" s="3" t="s">
        <v>843</v>
      </c>
      <c r="D803" s="3" t="s">
        <v>20</v>
      </c>
      <c r="E803" s="3" t="s">
        <v>21</v>
      </c>
      <c r="F803" s="3" t="s">
        <v>21</v>
      </c>
      <c r="G803" s="3" t="s">
        <v>36</v>
      </c>
      <c r="H803" s="3" t="s">
        <v>37</v>
      </c>
      <c r="I803" s="3" t="s">
        <v>24</v>
      </c>
      <c r="J803" s="3" t="s">
        <v>24</v>
      </c>
      <c r="K803" s="3" t="s">
        <v>25</v>
      </c>
      <c r="L803" s="4">
        <v>0</v>
      </c>
      <c r="M803" s="3" t="s">
        <v>26</v>
      </c>
      <c r="N803" s="3" t="s">
        <v>24</v>
      </c>
      <c r="O803" s="4">
        <v>1</v>
      </c>
      <c r="P803" s="4">
        <v>10</v>
      </c>
      <c r="Q803" s="4">
        <v>1</v>
      </c>
    </row>
    <row r="804" spans="1:17" x14ac:dyDescent="0.25">
      <c r="A804" s="3" t="s">
        <v>18</v>
      </c>
      <c r="B804" s="3">
        <v>11988945</v>
      </c>
      <c r="C804" s="3" t="s">
        <v>844</v>
      </c>
      <c r="D804" s="3" t="s">
        <v>20</v>
      </c>
      <c r="E804" s="3" t="s">
        <v>21</v>
      </c>
      <c r="F804" s="3" t="s">
        <v>21</v>
      </c>
      <c r="G804" s="3" t="s">
        <v>36</v>
      </c>
      <c r="H804" s="3" t="s">
        <v>37</v>
      </c>
      <c r="I804" s="3" t="s">
        <v>24</v>
      </c>
      <c r="J804" s="3" t="s">
        <v>24</v>
      </c>
      <c r="K804" s="3" t="s">
        <v>25</v>
      </c>
      <c r="L804" s="4">
        <v>0</v>
      </c>
      <c r="M804" s="3" t="s">
        <v>26</v>
      </c>
      <c r="N804" s="3" t="s">
        <v>24</v>
      </c>
      <c r="O804" s="4">
        <v>1</v>
      </c>
      <c r="P804" s="4">
        <v>10</v>
      </c>
      <c r="Q804" s="4">
        <v>1</v>
      </c>
    </row>
    <row r="805" spans="1:17" x14ac:dyDescent="0.25">
      <c r="A805" s="3" t="s">
        <v>18</v>
      </c>
      <c r="B805" s="3">
        <v>11988948</v>
      </c>
      <c r="C805" s="3" t="s">
        <v>845</v>
      </c>
      <c r="D805" s="3" t="s">
        <v>20</v>
      </c>
      <c r="E805" s="3" t="s">
        <v>21</v>
      </c>
      <c r="F805" s="3" t="s">
        <v>21</v>
      </c>
      <c r="G805" s="3" t="s">
        <v>36</v>
      </c>
      <c r="H805" s="3" t="s">
        <v>37</v>
      </c>
      <c r="I805" s="3" t="s">
        <v>24</v>
      </c>
      <c r="J805" s="3" t="s">
        <v>24</v>
      </c>
      <c r="K805" s="3" t="s">
        <v>25</v>
      </c>
      <c r="L805" s="4">
        <v>0</v>
      </c>
      <c r="M805" s="3" t="s">
        <v>26</v>
      </c>
      <c r="N805" s="3" t="s">
        <v>24</v>
      </c>
      <c r="O805" s="4">
        <v>1</v>
      </c>
      <c r="P805" s="4">
        <v>10</v>
      </c>
      <c r="Q805" s="4">
        <v>1</v>
      </c>
    </row>
    <row r="806" spans="1:17" x14ac:dyDescent="0.25">
      <c r="A806" s="3" t="s">
        <v>18</v>
      </c>
      <c r="B806" s="3">
        <v>11989348</v>
      </c>
      <c r="C806" s="3" t="s">
        <v>846</v>
      </c>
      <c r="D806" s="3" t="s">
        <v>20</v>
      </c>
      <c r="E806" s="3" t="s">
        <v>21</v>
      </c>
      <c r="F806" s="3" t="s">
        <v>21</v>
      </c>
      <c r="G806" s="3" t="s">
        <v>233</v>
      </c>
      <c r="H806" s="3" t="s">
        <v>234</v>
      </c>
      <c r="I806" s="3" t="s">
        <v>24</v>
      </c>
      <c r="J806" s="3" t="s">
        <v>24</v>
      </c>
      <c r="K806" s="3" t="s">
        <v>25</v>
      </c>
      <c r="L806" s="4">
        <v>0</v>
      </c>
      <c r="M806" s="3" t="s">
        <v>26</v>
      </c>
      <c r="N806" s="3" t="s">
        <v>24</v>
      </c>
      <c r="O806" s="4">
        <v>1</v>
      </c>
      <c r="P806" s="4">
        <v>3</v>
      </c>
      <c r="Q806" s="4">
        <v>1</v>
      </c>
    </row>
    <row r="807" spans="1:17" x14ac:dyDescent="0.25">
      <c r="A807" s="3" t="s">
        <v>18</v>
      </c>
      <c r="B807" s="3">
        <v>11989352</v>
      </c>
      <c r="C807" s="3" t="s">
        <v>847</v>
      </c>
      <c r="D807" s="3" t="s">
        <v>20</v>
      </c>
      <c r="E807" s="3" t="s">
        <v>21</v>
      </c>
      <c r="F807" s="3" t="s">
        <v>21</v>
      </c>
      <c r="G807" s="3" t="s">
        <v>233</v>
      </c>
      <c r="H807" s="3" t="s">
        <v>234</v>
      </c>
      <c r="I807" s="3" t="s">
        <v>24</v>
      </c>
      <c r="J807" s="3" t="s">
        <v>24</v>
      </c>
      <c r="K807" s="3" t="s">
        <v>25</v>
      </c>
      <c r="L807" s="4">
        <v>0</v>
      </c>
      <c r="M807" s="3" t="s">
        <v>26</v>
      </c>
      <c r="N807" s="3" t="s">
        <v>24</v>
      </c>
      <c r="O807" s="4">
        <v>1</v>
      </c>
      <c r="P807" s="4">
        <v>3</v>
      </c>
      <c r="Q807" s="4">
        <v>1</v>
      </c>
    </row>
    <row r="808" spans="1:17" x14ac:dyDescent="0.25">
      <c r="A808" s="3" t="s">
        <v>18</v>
      </c>
      <c r="B808" s="3">
        <v>11989354</v>
      </c>
      <c r="C808" s="3" t="s">
        <v>848</v>
      </c>
      <c r="D808" s="3" t="s">
        <v>20</v>
      </c>
      <c r="E808" s="3" t="s">
        <v>21</v>
      </c>
      <c r="F808" s="3" t="s">
        <v>21</v>
      </c>
      <c r="G808" s="3" t="s">
        <v>233</v>
      </c>
      <c r="H808" s="3" t="s">
        <v>234</v>
      </c>
      <c r="I808" s="3" t="s">
        <v>24</v>
      </c>
      <c r="J808" s="3" t="s">
        <v>24</v>
      </c>
      <c r="K808" s="3" t="s">
        <v>25</v>
      </c>
      <c r="L808" s="4">
        <v>0</v>
      </c>
      <c r="M808" s="3" t="s">
        <v>26</v>
      </c>
      <c r="N808" s="3" t="s">
        <v>24</v>
      </c>
      <c r="O808" s="4">
        <v>1</v>
      </c>
      <c r="P808" s="4">
        <v>2</v>
      </c>
      <c r="Q808" s="4">
        <v>1</v>
      </c>
    </row>
    <row r="809" spans="1:17" x14ac:dyDescent="0.25">
      <c r="A809" s="3" t="s">
        <v>18</v>
      </c>
      <c r="B809" s="3">
        <v>11989355</v>
      </c>
      <c r="C809" s="3" t="s">
        <v>849</v>
      </c>
      <c r="D809" s="3" t="s">
        <v>20</v>
      </c>
      <c r="E809" s="3" t="s">
        <v>21</v>
      </c>
      <c r="F809" s="3" t="s">
        <v>21</v>
      </c>
      <c r="G809" s="3" t="s">
        <v>233</v>
      </c>
      <c r="H809" s="3" t="s">
        <v>234</v>
      </c>
      <c r="I809" s="3" t="s">
        <v>24</v>
      </c>
      <c r="J809" s="3" t="s">
        <v>24</v>
      </c>
      <c r="K809" s="3" t="s">
        <v>25</v>
      </c>
      <c r="L809" s="4">
        <v>0</v>
      </c>
      <c r="M809" s="3" t="s">
        <v>26</v>
      </c>
      <c r="N809" s="3" t="s">
        <v>24</v>
      </c>
      <c r="O809" s="4">
        <v>1</v>
      </c>
      <c r="P809" s="4">
        <v>99999999</v>
      </c>
      <c r="Q809" s="4">
        <v>1</v>
      </c>
    </row>
    <row r="810" spans="1:17" x14ac:dyDescent="0.25">
      <c r="A810" s="3" t="s">
        <v>18</v>
      </c>
      <c r="B810" s="3">
        <v>11989356</v>
      </c>
      <c r="C810" s="3" t="s">
        <v>850</v>
      </c>
      <c r="D810" s="3" t="s">
        <v>20</v>
      </c>
      <c r="E810" s="3" t="s">
        <v>21</v>
      </c>
      <c r="F810" s="3" t="s">
        <v>21</v>
      </c>
      <c r="G810" s="3" t="s">
        <v>233</v>
      </c>
      <c r="H810" s="3" t="s">
        <v>234</v>
      </c>
      <c r="I810" s="3" t="s">
        <v>24</v>
      </c>
      <c r="J810" s="3" t="s">
        <v>24</v>
      </c>
      <c r="K810" s="3" t="s">
        <v>25</v>
      </c>
      <c r="L810" s="4">
        <v>0</v>
      </c>
      <c r="M810" s="3" t="s">
        <v>26</v>
      </c>
      <c r="N810" s="3" t="s">
        <v>24</v>
      </c>
      <c r="O810" s="4">
        <v>1</v>
      </c>
      <c r="P810" s="4">
        <v>2</v>
      </c>
      <c r="Q810" s="4">
        <v>1</v>
      </c>
    </row>
    <row r="811" spans="1:17" x14ac:dyDescent="0.25">
      <c r="A811" s="3" t="s">
        <v>18</v>
      </c>
      <c r="B811" s="3">
        <v>11989357</v>
      </c>
      <c r="C811" s="3" t="s">
        <v>851</v>
      </c>
      <c r="D811" s="3" t="s">
        <v>20</v>
      </c>
      <c r="E811" s="3" t="s">
        <v>21</v>
      </c>
      <c r="F811" s="3" t="s">
        <v>21</v>
      </c>
      <c r="G811" s="3" t="s">
        <v>233</v>
      </c>
      <c r="H811" s="3" t="s">
        <v>234</v>
      </c>
      <c r="I811" s="3" t="s">
        <v>24</v>
      </c>
      <c r="J811" s="3" t="s">
        <v>24</v>
      </c>
      <c r="K811" s="3" t="s">
        <v>25</v>
      </c>
      <c r="L811" s="4">
        <v>0</v>
      </c>
      <c r="M811" s="3" t="s">
        <v>26</v>
      </c>
      <c r="N811" s="3" t="s">
        <v>24</v>
      </c>
      <c r="O811" s="4">
        <v>1</v>
      </c>
      <c r="P811" s="4">
        <v>2</v>
      </c>
      <c r="Q811" s="4">
        <v>1</v>
      </c>
    </row>
    <row r="812" spans="1:17" x14ac:dyDescent="0.25">
      <c r="A812" s="3" t="s">
        <v>18</v>
      </c>
      <c r="B812" s="3">
        <v>11990207</v>
      </c>
      <c r="C812" s="3" t="s">
        <v>852</v>
      </c>
      <c r="D812" s="3" t="s">
        <v>20</v>
      </c>
      <c r="E812" s="3" t="s">
        <v>21</v>
      </c>
      <c r="F812" s="3" t="s">
        <v>21</v>
      </c>
      <c r="G812" s="3" t="s">
        <v>233</v>
      </c>
      <c r="H812" s="3" t="s">
        <v>234</v>
      </c>
      <c r="I812" s="3" t="s">
        <v>24</v>
      </c>
      <c r="J812" s="3" t="s">
        <v>24</v>
      </c>
      <c r="K812" s="3" t="s">
        <v>25</v>
      </c>
      <c r="L812" s="4">
        <v>0</v>
      </c>
      <c r="M812" s="3" t="s">
        <v>26</v>
      </c>
      <c r="N812" s="3" t="s">
        <v>24</v>
      </c>
      <c r="O812" s="4">
        <v>1</v>
      </c>
      <c r="P812" s="4">
        <v>3</v>
      </c>
      <c r="Q812" s="4">
        <v>1</v>
      </c>
    </row>
    <row r="813" spans="1:17" x14ac:dyDescent="0.25">
      <c r="A813" s="3" t="s">
        <v>18</v>
      </c>
      <c r="B813" s="3">
        <v>11990239</v>
      </c>
      <c r="C813" s="3" t="s">
        <v>853</v>
      </c>
      <c r="D813" s="3" t="s">
        <v>20</v>
      </c>
      <c r="E813" s="3" t="s">
        <v>21</v>
      </c>
      <c r="F813" s="3" t="s">
        <v>21</v>
      </c>
      <c r="G813" s="3" t="s">
        <v>233</v>
      </c>
      <c r="H813" s="3" t="s">
        <v>234</v>
      </c>
      <c r="I813" s="3" t="s">
        <v>24</v>
      </c>
      <c r="J813" s="3" t="s">
        <v>24</v>
      </c>
      <c r="K813" s="3" t="s">
        <v>25</v>
      </c>
      <c r="L813" s="4">
        <v>0</v>
      </c>
      <c r="M813" s="3" t="s">
        <v>26</v>
      </c>
      <c r="N813" s="3" t="s">
        <v>24</v>
      </c>
      <c r="O813" s="4">
        <v>1</v>
      </c>
      <c r="P813" s="4">
        <v>2</v>
      </c>
      <c r="Q813" s="4">
        <v>1</v>
      </c>
    </row>
    <row r="814" spans="1:17" x14ac:dyDescent="0.25">
      <c r="A814" s="3" t="s">
        <v>18</v>
      </c>
      <c r="B814" s="3">
        <v>11990240</v>
      </c>
      <c r="C814" s="3" t="s">
        <v>854</v>
      </c>
      <c r="D814" s="3" t="s">
        <v>20</v>
      </c>
      <c r="E814" s="3" t="s">
        <v>21</v>
      </c>
      <c r="F814" s="3" t="s">
        <v>21</v>
      </c>
      <c r="G814" s="3" t="s">
        <v>233</v>
      </c>
      <c r="H814" s="3" t="s">
        <v>234</v>
      </c>
      <c r="I814" s="3" t="s">
        <v>24</v>
      </c>
      <c r="J814" s="3" t="s">
        <v>24</v>
      </c>
      <c r="K814" s="3" t="s">
        <v>25</v>
      </c>
      <c r="L814" s="4">
        <v>0</v>
      </c>
      <c r="M814" s="3" t="s">
        <v>26</v>
      </c>
      <c r="N814" s="3" t="s">
        <v>24</v>
      </c>
      <c r="O814" s="4">
        <v>1</v>
      </c>
      <c r="P814" s="4">
        <v>2</v>
      </c>
      <c r="Q814" s="4">
        <v>1</v>
      </c>
    </row>
    <row r="815" spans="1:17" x14ac:dyDescent="0.25">
      <c r="A815" s="3" t="s">
        <v>18</v>
      </c>
      <c r="B815" s="3">
        <v>11990242</v>
      </c>
      <c r="C815" s="3" t="s">
        <v>855</v>
      </c>
      <c r="D815" s="3" t="s">
        <v>20</v>
      </c>
      <c r="E815" s="3" t="s">
        <v>21</v>
      </c>
      <c r="F815" s="3" t="s">
        <v>21</v>
      </c>
      <c r="G815" s="3" t="s">
        <v>233</v>
      </c>
      <c r="H815" s="3" t="s">
        <v>234</v>
      </c>
      <c r="I815" s="3" t="s">
        <v>24</v>
      </c>
      <c r="J815" s="3" t="s">
        <v>24</v>
      </c>
      <c r="K815" s="3" t="s">
        <v>25</v>
      </c>
      <c r="L815" s="4">
        <v>0</v>
      </c>
      <c r="M815" s="3" t="s">
        <v>26</v>
      </c>
      <c r="N815" s="3" t="s">
        <v>24</v>
      </c>
      <c r="O815" s="4">
        <v>1</v>
      </c>
      <c r="P815" s="4">
        <v>3</v>
      </c>
      <c r="Q815" s="4">
        <v>1</v>
      </c>
    </row>
    <row r="816" spans="1:17" x14ac:dyDescent="0.25">
      <c r="A816" s="3" t="s">
        <v>18</v>
      </c>
      <c r="B816" s="3">
        <v>11990247</v>
      </c>
      <c r="C816" s="3" t="s">
        <v>856</v>
      </c>
      <c r="D816" s="3" t="s">
        <v>20</v>
      </c>
      <c r="E816" s="3" t="s">
        <v>21</v>
      </c>
      <c r="F816" s="3" t="s">
        <v>21</v>
      </c>
      <c r="G816" s="3" t="s">
        <v>233</v>
      </c>
      <c r="H816" s="3" t="s">
        <v>234</v>
      </c>
      <c r="I816" s="3" t="s">
        <v>24</v>
      </c>
      <c r="J816" s="3" t="s">
        <v>24</v>
      </c>
      <c r="K816" s="3" t="s">
        <v>25</v>
      </c>
      <c r="L816" s="4">
        <v>0</v>
      </c>
      <c r="M816" s="3" t="s">
        <v>26</v>
      </c>
      <c r="N816" s="3" t="s">
        <v>24</v>
      </c>
      <c r="O816" s="4">
        <v>1</v>
      </c>
      <c r="P816" s="4">
        <v>2</v>
      </c>
      <c r="Q816" s="4">
        <v>1</v>
      </c>
    </row>
    <row r="817" spans="1:17" x14ac:dyDescent="0.25">
      <c r="A817" s="3" t="s">
        <v>18</v>
      </c>
      <c r="B817" s="3">
        <v>11990299</v>
      </c>
      <c r="C817" s="3" t="s">
        <v>857</v>
      </c>
      <c r="D817" s="3" t="s">
        <v>20</v>
      </c>
      <c r="E817" s="3" t="s">
        <v>21</v>
      </c>
      <c r="F817" s="3" t="s">
        <v>21</v>
      </c>
      <c r="G817" s="3" t="s">
        <v>233</v>
      </c>
      <c r="H817" s="3" t="s">
        <v>234</v>
      </c>
      <c r="I817" s="3" t="s">
        <v>24</v>
      </c>
      <c r="J817" s="3" t="s">
        <v>24</v>
      </c>
      <c r="K817" s="3" t="s">
        <v>25</v>
      </c>
      <c r="L817" s="4">
        <v>0</v>
      </c>
      <c r="M817" s="3" t="s">
        <v>26</v>
      </c>
      <c r="N817" s="3" t="s">
        <v>24</v>
      </c>
      <c r="O817" s="4">
        <v>1</v>
      </c>
      <c r="P817" s="4">
        <v>2</v>
      </c>
      <c r="Q817" s="4">
        <v>1</v>
      </c>
    </row>
    <row r="818" spans="1:17" x14ac:dyDescent="0.25">
      <c r="A818" s="3" t="s">
        <v>18</v>
      </c>
      <c r="B818" s="3">
        <v>11990300</v>
      </c>
      <c r="C818" s="3" t="s">
        <v>858</v>
      </c>
      <c r="D818" s="3" t="s">
        <v>20</v>
      </c>
      <c r="E818" s="3" t="s">
        <v>21</v>
      </c>
      <c r="F818" s="3" t="s">
        <v>21</v>
      </c>
      <c r="G818" s="3" t="s">
        <v>233</v>
      </c>
      <c r="H818" s="3" t="s">
        <v>234</v>
      </c>
      <c r="I818" s="3" t="s">
        <v>24</v>
      </c>
      <c r="J818" s="3" t="s">
        <v>24</v>
      </c>
      <c r="K818" s="3" t="s">
        <v>25</v>
      </c>
      <c r="L818" s="4">
        <v>0</v>
      </c>
      <c r="M818" s="3" t="s">
        <v>26</v>
      </c>
      <c r="N818" s="3" t="s">
        <v>24</v>
      </c>
      <c r="O818" s="4">
        <v>1</v>
      </c>
      <c r="P818" s="4">
        <v>2</v>
      </c>
      <c r="Q818" s="4">
        <v>1</v>
      </c>
    </row>
    <row r="819" spans="1:17" x14ac:dyDescent="0.25">
      <c r="A819" s="3" t="s">
        <v>18</v>
      </c>
      <c r="B819" s="3">
        <v>11993114</v>
      </c>
      <c r="C819" s="3" t="s">
        <v>859</v>
      </c>
      <c r="D819" s="3" t="s">
        <v>20</v>
      </c>
      <c r="E819" s="3" t="s">
        <v>21</v>
      </c>
      <c r="F819" s="3" t="s">
        <v>21</v>
      </c>
      <c r="G819" s="3" t="s">
        <v>36</v>
      </c>
      <c r="H819" s="3" t="s">
        <v>37</v>
      </c>
      <c r="I819" s="3" t="s">
        <v>24</v>
      </c>
      <c r="J819" s="3" t="s">
        <v>24</v>
      </c>
      <c r="K819" s="3" t="s">
        <v>25</v>
      </c>
      <c r="L819" s="4">
        <v>0</v>
      </c>
      <c r="M819" s="3" t="s">
        <v>26</v>
      </c>
      <c r="N819" s="3" t="s">
        <v>24</v>
      </c>
      <c r="O819" s="4">
        <v>1</v>
      </c>
      <c r="P819" s="4">
        <v>10</v>
      </c>
      <c r="Q819" s="4">
        <v>1</v>
      </c>
    </row>
    <row r="820" spans="1:17" x14ac:dyDescent="0.25">
      <c r="A820" s="3" t="s">
        <v>18</v>
      </c>
      <c r="B820" s="3">
        <v>11993162</v>
      </c>
      <c r="C820" s="3" t="s">
        <v>860</v>
      </c>
      <c r="D820" s="3" t="s">
        <v>20</v>
      </c>
      <c r="E820" s="3" t="s">
        <v>21</v>
      </c>
      <c r="F820" s="3" t="s">
        <v>21</v>
      </c>
      <c r="G820" s="3" t="s">
        <v>36</v>
      </c>
      <c r="H820" s="3" t="s">
        <v>37</v>
      </c>
      <c r="I820" s="3" t="s">
        <v>24</v>
      </c>
      <c r="J820" s="3" t="s">
        <v>24</v>
      </c>
      <c r="K820" s="3" t="s">
        <v>25</v>
      </c>
      <c r="L820" s="4">
        <v>0</v>
      </c>
      <c r="M820" s="3" t="s">
        <v>26</v>
      </c>
      <c r="N820" s="3" t="s">
        <v>24</v>
      </c>
      <c r="O820" s="4">
        <v>1</v>
      </c>
      <c r="P820" s="4">
        <v>10</v>
      </c>
      <c r="Q820" s="4">
        <v>1</v>
      </c>
    </row>
    <row r="821" spans="1:17" x14ac:dyDescent="0.25">
      <c r="A821" s="3" t="s">
        <v>18</v>
      </c>
      <c r="B821" s="3">
        <v>11993166</v>
      </c>
      <c r="C821" s="3" t="s">
        <v>861</v>
      </c>
      <c r="D821" s="3" t="s">
        <v>20</v>
      </c>
      <c r="E821" s="3" t="s">
        <v>21</v>
      </c>
      <c r="F821" s="3" t="s">
        <v>21</v>
      </c>
      <c r="G821" s="3" t="s">
        <v>36</v>
      </c>
      <c r="H821" s="3" t="s">
        <v>37</v>
      </c>
      <c r="I821" s="3" t="s">
        <v>24</v>
      </c>
      <c r="J821" s="3" t="s">
        <v>24</v>
      </c>
      <c r="K821" s="3" t="s">
        <v>25</v>
      </c>
      <c r="L821" s="4">
        <v>0</v>
      </c>
      <c r="M821" s="3" t="s">
        <v>26</v>
      </c>
      <c r="N821" s="3" t="s">
        <v>24</v>
      </c>
      <c r="O821" s="4">
        <v>1</v>
      </c>
      <c r="P821" s="4">
        <v>10</v>
      </c>
      <c r="Q821" s="4">
        <v>1</v>
      </c>
    </row>
    <row r="822" spans="1:17" x14ac:dyDescent="0.25">
      <c r="A822" s="3" t="s">
        <v>18</v>
      </c>
      <c r="B822" s="3">
        <v>11993167</v>
      </c>
      <c r="C822" s="3" t="s">
        <v>862</v>
      </c>
      <c r="D822" s="3" t="s">
        <v>20</v>
      </c>
      <c r="E822" s="3" t="s">
        <v>21</v>
      </c>
      <c r="F822" s="3" t="s">
        <v>21</v>
      </c>
      <c r="G822" s="3" t="s">
        <v>36</v>
      </c>
      <c r="H822" s="3" t="s">
        <v>37</v>
      </c>
      <c r="I822" s="3" t="s">
        <v>24</v>
      </c>
      <c r="J822" s="3" t="s">
        <v>24</v>
      </c>
      <c r="K822" s="3" t="s">
        <v>25</v>
      </c>
      <c r="L822" s="4">
        <v>0</v>
      </c>
      <c r="M822" s="3" t="s">
        <v>26</v>
      </c>
      <c r="N822" s="3" t="s">
        <v>24</v>
      </c>
      <c r="O822" s="4">
        <v>1</v>
      </c>
      <c r="P822" s="4">
        <v>10</v>
      </c>
      <c r="Q822" s="4">
        <v>1</v>
      </c>
    </row>
    <row r="823" spans="1:17" x14ac:dyDescent="0.25">
      <c r="A823" s="3" t="s">
        <v>18</v>
      </c>
      <c r="B823" s="3">
        <v>11994559</v>
      </c>
      <c r="C823" s="3" t="s">
        <v>863</v>
      </c>
      <c r="D823" s="3" t="s">
        <v>20</v>
      </c>
      <c r="E823" s="3" t="s">
        <v>21</v>
      </c>
      <c r="F823" s="3" t="s">
        <v>21</v>
      </c>
      <c r="G823" s="3" t="s">
        <v>233</v>
      </c>
      <c r="H823" s="3" t="s">
        <v>234</v>
      </c>
      <c r="I823" s="3" t="s">
        <v>24</v>
      </c>
      <c r="J823" s="3" t="s">
        <v>24</v>
      </c>
      <c r="K823" s="3" t="s">
        <v>25</v>
      </c>
      <c r="L823" s="4">
        <v>0</v>
      </c>
      <c r="M823" s="3" t="s">
        <v>26</v>
      </c>
      <c r="N823" s="3" t="s">
        <v>24</v>
      </c>
      <c r="O823" s="4">
        <v>1</v>
      </c>
      <c r="P823" s="4">
        <v>3</v>
      </c>
      <c r="Q823" s="4">
        <v>1</v>
      </c>
    </row>
    <row r="824" spans="1:17" x14ac:dyDescent="0.25">
      <c r="A824" s="3" t="s">
        <v>18</v>
      </c>
      <c r="B824" s="3">
        <v>11994561</v>
      </c>
      <c r="C824" s="3" t="s">
        <v>864</v>
      </c>
      <c r="D824" s="3" t="s">
        <v>20</v>
      </c>
      <c r="E824" s="3" t="s">
        <v>21</v>
      </c>
      <c r="F824" s="3" t="s">
        <v>21</v>
      </c>
      <c r="G824" s="3" t="s">
        <v>233</v>
      </c>
      <c r="H824" s="3" t="s">
        <v>234</v>
      </c>
      <c r="I824" s="3" t="s">
        <v>24</v>
      </c>
      <c r="J824" s="3" t="s">
        <v>24</v>
      </c>
      <c r="K824" s="3" t="s">
        <v>25</v>
      </c>
      <c r="L824" s="4">
        <v>0</v>
      </c>
      <c r="M824" s="3" t="s">
        <v>26</v>
      </c>
      <c r="N824" s="3" t="s">
        <v>24</v>
      </c>
      <c r="O824" s="4">
        <v>1</v>
      </c>
      <c r="P824" s="4">
        <v>2</v>
      </c>
      <c r="Q824" s="4">
        <v>1</v>
      </c>
    </row>
    <row r="825" spans="1:17" x14ac:dyDescent="0.25">
      <c r="A825" s="3" t="s">
        <v>18</v>
      </c>
      <c r="B825" s="3">
        <v>11994578</v>
      </c>
      <c r="C825" s="3" t="s">
        <v>865</v>
      </c>
      <c r="D825" s="3" t="s">
        <v>20</v>
      </c>
      <c r="E825" s="3" t="s">
        <v>21</v>
      </c>
      <c r="F825" s="3" t="s">
        <v>21</v>
      </c>
      <c r="G825" s="3" t="s">
        <v>233</v>
      </c>
      <c r="H825" s="3" t="s">
        <v>234</v>
      </c>
      <c r="I825" s="3" t="s">
        <v>24</v>
      </c>
      <c r="J825" s="3" t="s">
        <v>24</v>
      </c>
      <c r="K825" s="3" t="s">
        <v>25</v>
      </c>
      <c r="L825" s="4">
        <v>0</v>
      </c>
      <c r="M825" s="3" t="s">
        <v>26</v>
      </c>
      <c r="N825" s="3" t="s">
        <v>24</v>
      </c>
      <c r="O825" s="4">
        <v>1</v>
      </c>
      <c r="P825" s="4">
        <v>3</v>
      </c>
      <c r="Q825" s="4">
        <v>1</v>
      </c>
    </row>
    <row r="826" spans="1:17" x14ac:dyDescent="0.25">
      <c r="A826" s="3" t="s">
        <v>18</v>
      </c>
      <c r="B826" s="3">
        <v>11994583</v>
      </c>
      <c r="C826" s="3" t="s">
        <v>866</v>
      </c>
      <c r="D826" s="3" t="s">
        <v>20</v>
      </c>
      <c r="E826" s="3" t="s">
        <v>21</v>
      </c>
      <c r="F826" s="3" t="s">
        <v>21</v>
      </c>
      <c r="G826" s="3" t="s">
        <v>233</v>
      </c>
      <c r="H826" s="3" t="s">
        <v>234</v>
      </c>
      <c r="I826" s="3" t="s">
        <v>24</v>
      </c>
      <c r="J826" s="3" t="s">
        <v>24</v>
      </c>
      <c r="K826" s="3" t="s">
        <v>25</v>
      </c>
      <c r="L826" s="4">
        <v>0</v>
      </c>
      <c r="M826" s="3" t="s">
        <v>26</v>
      </c>
      <c r="N826" s="3" t="s">
        <v>24</v>
      </c>
      <c r="O826" s="4">
        <v>1</v>
      </c>
      <c r="P826" s="4">
        <v>2</v>
      </c>
      <c r="Q826" s="4">
        <v>1</v>
      </c>
    </row>
    <row r="827" spans="1:17" x14ac:dyDescent="0.25">
      <c r="A827" s="3" t="s">
        <v>18</v>
      </c>
      <c r="B827" s="3">
        <v>11994639</v>
      </c>
      <c r="C827" s="3" t="s">
        <v>867</v>
      </c>
      <c r="D827" s="3" t="s">
        <v>20</v>
      </c>
      <c r="E827" s="3" t="s">
        <v>21</v>
      </c>
      <c r="F827" s="3" t="s">
        <v>21</v>
      </c>
      <c r="G827" s="3" t="s">
        <v>36</v>
      </c>
      <c r="H827" s="3" t="s">
        <v>37</v>
      </c>
      <c r="I827" s="3" t="s">
        <v>24</v>
      </c>
      <c r="J827" s="3" t="s">
        <v>24</v>
      </c>
      <c r="K827" s="3" t="s">
        <v>25</v>
      </c>
      <c r="L827" s="4">
        <v>0</v>
      </c>
      <c r="M827" s="3" t="s">
        <v>26</v>
      </c>
      <c r="N827" s="3" t="s">
        <v>24</v>
      </c>
      <c r="O827" s="4">
        <v>1</v>
      </c>
      <c r="P827" s="4">
        <v>10</v>
      </c>
      <c r="Q827" s="4">
        <v>1</v>
      </c>
    </row>
    <row r="828" spans="1:17" x14ac:dyDescent="0.25">
      <c r="A828" s="3" t="s">
        <v>18</v>
      </c>
      <c r="B828" s="3">
        <v>11994721</v>
      </c>
      <c r="C828" s="3" t="s">
        <v>868</v>
      </c>
      <c r="D828" s="3" t="s">
        <v>20</v>
      </c>
      <c r="E828" s="3" t="s">
        <v>21</v>
      </c>
      <c r="F828" s="3" t="s">
        <v>21</v>
      </c>
      <c r="G828" s="3" t="s">
        <v>36</v>
      </c>
      <c r="H828" s="3" t="s">
        <v>37</v>
      </c>
      <c r="I828" s="3" t="s">
        <v>24</v>
      </c>
      <c r="J828" s="3" t="s">
        <v>24</v>
      </c>
      <c r="K828" s="3" t="s">
        <v>25</v>
      </c>
      <c r="L828" s="4">
        <v>0</v>
      </c>
      <c r="M828" s="3" t="s">
        <v>26</v>
      </c>
      <c r="N828" s="3" t="s">
        <v>24</v>
      </c>
      <c r="O828" s="4">
        <v>1</v>
      </c>
      <c r="P828" s="4">
        <v>10</v>
      </c>
      <c r="Q828" s="4">
        <v>1</v>
      </c>
    </row>
    <row r="829" spans="1:17" x14ac:dyDescent="0.25">
      <c r="A829" s="3" t="s">
        <v>18</v>
      </c>
      <c r="B829" s="3">
        <v>11994723</v>
      </c>
      <c r="C829" s="3" t="s">
        <v>869</v>
      </c>
      <c r="D829" s="3" t="s">
        <v>20</v>
      </c>
      <c r="E829" s="3" t="s">
        <v>21</v>
      </c>
      <c r="F829" s="3" t="s">
        <v>21</v>
      </c>
      <c r="G829" s="3" t="s">
        <v>36</v>
      </c>
      <c r="H829" s="3" t="s">
        <v>37</v>
      </c>
      <c r="I829" s="3" t="s">
        <v>24</v>
      </c>
      <c r="J829" s="3" t="s">
        <v>24</v>
      </c>
      <c r="K829" s="3" t="s">
        <v>25</v>
      </c>
      <c r="L829" s="4">
        <v>0</v>
      </c>
      <c r="M829" s="3" t="s">
        <v>26</v>
      </c>
      <c r="N829" s="3" t="s">
        <v>24</v>
      </c>
      <c r="O829" s="4">
        <v>1</v>
      </c>
      <c r="P829" s="4">
        <v>10</v>
      </c>
      <c r="Q829" s="4">
        <v>1</v>
      </c>
    </row>
    <row r="830" spans="1:17" x14ac:dyDescent="0.25">
      <c r="A830" s="3" t="s">
        <v>18</v>
      </c>
      <c r="B830" s="3">
        <v>11994726</v>
      </c>
      <c r="C830" s="3" t="s">
        <v>870</v>
      </c>
      <c r="D830" s="3" t="s">
        <v>20</v>
      </c>
      <c r="E830" s="3" t="s">
        <v>21</v>
      </c>
      <c r="F830" s="3" t="s">
        <v>21</v>
      </c>
      <c r="G830" s="3" t="s">
        <v>36</v>
      </c>
      <c r="H830" s="3" t="s">
        <v>37</v>
      </c>
      <c r="I830" s="3" t="s">
        <v>24</v>
      </c>
      <c r="J830" s="3" t="s">
        <v>24</v>
      </c>
      <c r="K830" s="3" t="s">
        <v>25</v>
      </c>
      <c r="L830" s="4">
        <v>0</v>
      </c>
      <c r="M830" s="3" t="s">
        <v>26</v>
      </c>
      <c r="N830" s="3" t="s">
        <v>24</v>
      </c>
      <c r="O830" s="4">
        <v>1</v>
      </c>
      <c r="P830" s="4">
        <v>10</v>
      </c>
      <c r="Q830" s="4">
        <v>1</v>
      </c>
    </row>
    <row r="831" spans="1:17" x14ac:dyDescent="0.25">
      <c r="A831" s="3" t="s">
        <v>18</v>
      </c>
      <c r="B831" s="3">
        <v>11994758</v>
      </c>
      <c r="C831" s="3" t="s">
        <v>871</v>
      </c>
      <c r="D831" s="3" t="s">
        <v>20</v>
      </c>
      <c r="E831" s="3" t="s">
        <v>21</v>
      </c>
      <c r="F831" s="3" t="s">
        <v>21</v>
      </c>
      <c r="G831" s="3" t="s">
        <v>36</v>
      </c>
      <c r="H831" s="3" t="s">
        <v>37</v>
      </c>
      <c r="I831" s="3" t="s">
        <v>24</v>
      </c>
      <c r="J831" s="3" t="s">
        <v>24</v>
      </c>
      <c r="K831" s="3" t="s">
        <v>25</v>
      </c>
      <c r="L831" s="4">
        <v>0</v>
      </c>
      <c r="M831" s="3" t="s">
        <v>26</v>
      </c>
      <c r="N831" s="3" t="s">
        <v>24</v>
      </c>
      <c r="O831" s="4">
        <v>1</v>
      </c>
      <c r="P831" s="4">
        <v>10</v>
      </c>
      <c r="Q831" s="4">
        <v>1</v>
      </c>
    </row>
    <row r="832" spans="1:17" x14ac:dyDescent="0.25">
      <c r="A832" s="3" t="s">
        <v>18</v>
      </c>
      <c r="B832" s="3">
        <v>11994759</v>
      </c>
      <c r="C832" s="3" t="s">
        <v>872</v>
      </c>
      <c r="D832" s="3" t="s">
        <v>20</v>
      </c>
      <c r="E832" s="3" t="s">
        <v>21</v>
      </c>
      <c r="F832" s="3" t="s">
        <v>21</v>
      </c>
      <c r="G832" s="3" t="s">
        <v>36</v>
      </c>
      <c r="H832" s="3" t="s">
        <v>37</v>
      </c>
      <c r="I832" s="3" t="s">
        <v>24</v>
      </c>
      <c r="J832" s="3" t="s">
        <v>24</v>
      </c>
      <c r="K832" s="3" t="s">
        <v>25</v>
      </c>
      <c r="L832" s="4">
        <v>0</v>
      </c>
      <c r="M832" s="3" t="s">
        <v>26</v>
      </c>
      <c r="N832" s="3" t="s">
        <v>24</v>
      </c>
      <c r="O832" s="4">
        <v>1</v>
      </c>
      <c r="P832" s="4">
        <v>10</v>
      </c>
      <c r="Q832" s="4">
        <v>1</v>
      </c>
    </row>
    <row r="833" spans="1:17" x14ac:dyDescent="0.25">
      <c r="A833" s="3" t="s">
        <v>18</v>
      </c>
      <c r="B833" s="3">
        <v>11994760</v>
      </c>
      <c r="C833" s="3" t="s">
        <v>873</v>
      </c>
      <c r="D833" s="3" t="s">
        <v>20</v>
      </c>
      <c r="E833" s="3" t="s">
        <v>21</v>
      </c>
      <c r="F833" s="3" t="s">
        <v>21</v>
      </c>
      <c r="G833" s="3" t="s">
        <v>36</v>
      </c>
      <c r="H833" s="3" t="s">
        <v>37</v>
      </c>
      <c r="I833" s="3" t="s">
        <v>24</v>
      </c>
      <c r="J833" s="3" t="s">
        <v>24</v>
      </c>
      <c r="K833" s="3" t="s">
        <v>25</v>
      </c>
      <c r="L833" s="4">
        <v>0</v>
      </c>
      <c r="M833" s="3" t="s">
        <v>26</v>
      </c>
      <c r="N833" s="3" t="s">
        <v>24</v>
      </c>
      <c r="O833" s="4">
        <v>1</v>
      </c>
      <c r="P833" s="4">
        <v>10</v>
      </c>
      <c r="Q833" s="4">
        <v>1</v>
      </c>
    </row>
    <row r="834" spans="1:17" x14ac:dyDescent="0.25">
      <c r="A834" s="3" t="s">
        <v>18</v>
      </c>
      <c r="B834" s="3">
        <v>11994761</v>
      </c>
      <c r="C834" s="3" t="s">
        <v>874</v>
      </c>
      <c r="D834" s="3" t="s">
        <v>20</v>
      </c>
      <c r="E834" s="3" t="s">
        <v>21</v>
      </c>
      <c r="F834" s="3" t="s">
        <v>21</v>
      </c>
      <c r="G834" s="3" t="s">
        <v>36</v>
      </c>
      <c r="H834" s="3" t="s">
        <v>37</v>
      </c>
      <c r="I834" s="3" t="s">
        <v>24</v>
      </c>
      <c r="J834" s="3" t="s">
        <v>24</v>
      </c>
      <c r="K834" s="3" t="s">
        <v>25</v>
      </c>
      <c r="L834" s="4">
        <v>0</v>
      </c>
      <c r="M834" s="3" t="s">
        <v>26</v>
      </c>
      <c r="N834" s="3" t="s">
        <v>24</v>
      </c>
      <c r="O834" s="4">
        <v>1</v>
      </c>
      <c r="P834" s="4">
        <v>10</v>
      </c>
      <c r="Q834" s="4">
        <v>1</v>
      </c>
    </row>
    <row r="835" spans="1:17" x14ac:dyDescent="0.25">
      <c r="A835" s="3" t="s">
        <v>18</v>
      </c>
      <c r="B835" s="3">
        <v>11994762</v>
      </c>
      <c r="C835" s="3" t="s">
        <v>875</v>
      </c>
      <c r="D835" s="3" t="s">
        <v>20</v>
      </c>
      <c r="E835" s="3" t="s">
        <v>21</v>
      </c>
      <c r="F835" s="3" t="s">
        <v>21</v>
      </c>
      <c r="G835" s="3" t="s">
        <v>36</v>
      </c>
      <c r="H835" s="3" t="s">
        <v>37</v>
      </c>
      <c r="I835" s="3" t="s">
        <v>24</v>
      </c>
      <c r="J835" s="3" t="s">
        <v>24</v>
      </c>
      <c r="K835" s="3" t="s">
        <v>25</v>
      </c>
      <c r="L835" s="4">
        <v>0</v>
      </c>
      <c r="M835" s="3" t="s">
        <v>26</v>
      </c>
      <c r="N835" s="3" t="s">
        <v>24</v>
      </c>
      <c r="O835" s="4">
        <v>1</v>
      </c>
      <c r="P835" s="4">
        <v>10</v>
      </c>
      <c r="Q835" s="4">
        <v>1</v>
      </c>
    </row>
    <row r="836" spans="1:17" x14ac:dyDescent="0.25">
      <c r="A836" s="3" t="s">
        <v>18</v>
      </c>
      <c r="B836" s="3">
        <v>11994767</v>
      </c>
      <c r="C836" s="3" t="s">
        <v>876</v>
      </c>
      <c r="D836" s="3" t="s">
        <v>20</v>
      </c>
      <c r="E836" s="3" t="s">
        <v>21</v>
      </c>
      <c r="F836" s="3" t="s">
        <v>21</v>
      </c>
      <c r="G836" s="3" t="s">
        <v>36</v>
      </c>
      <c r="H836" s="3" t="s">
        <v>37</v>
      </c>
      <c r="I836" s="3" t="s">
        <v>24</v>
      </c>
      <c r="J836" s="3" t="s">
        <v>24</v>
      </c>
      <c r="K836" s="3" t="s">
        <v>25</v>
      </c>
      <c r="L836" s="4">
        <v>0</v>
      </c>
      <c r="M836" s="3" t="s">
        <v>26</v>
      </c>
      <c r="N836" s="3" t="s">
        <v>24</v>
      </c>
      <c r="O836" s="4">
        <v>1</v>
      </c>
      <c r="P836" s="4">
        <v>10</v>
      </c>
      <c r="Q836" s="4">
        <v>1</v>
      </c>
    </row>
    <row r="837" spans="1:17" x14ac:dyDescent="0.25">
      <c r="A837" s="3" t="s">
        <v>18</v>
      </c>
      <c r="B837" s="3">
        <v>11994788</v>
      </c>
      <c r="C837" s="3" t="s">
        <v>877</v>
      </c>
      <c r="D837" s="3" t="s">
        <v>20</v>
      </c>
      <c r="E837" s="3" t="s">
        <v>21</v>
      </c>
      <c r="F837" s="3" t="s">
        <v>21</v>
      </c>
      <c r="G837" s="3" t="s">
        <v>233</v>
      </c>
      <c r="H837" s="3" t="s">
        <v>234</v>
      </c>
      <c r="I837" s="3" t="s">
        <v>24</v>
      </c>
      <c r="J837" s="3" t="s">
        <v>24</v>
      </c>
      <c r="K837" s="3" t="s">
        <v>25</v>
      </c>
      <c r="L837" s="4">
        <v>0</v>
      </c>
      <c r="M837" s="3" t="s">
        <v>26</v>
      </c>
      <c r="N837" s="3" t="s">
        <v>24</v>
      </c>
      <c r="O837" s="4">
        <v>1</v>
      </c>
      <c r="P837" s="4">
        <v>99999999</v>
      </c>
      <c r="Q837" s="4">
        <v>1</v>
      </c>
    </row>
    <row r="838" spans="1:17" x14ac:dyDescent="0.25">
      <c r="A838" s="3" t="s">
        <v>18</v>
      </c>
      <c r="B838" s="3">
        <v>11994790</v>
      </c>
      <c r="C838" s="3" t="s">
        <v>878</v>
      </c>
      <c r="D838" s="3" t="s">
        <v>20</v>
      </c>
      <c r="E838" s="3" t="s">
        <v>21</v>
      </c>
      <c r="F838" s="3" t="s">
        <v>21</v>
      </c>
      <c r="G838" s="3" t="s">
        <v>233</v>
      </c>
      <c r="H838" s="3" t="s">
        <v>234</v>
      </c>
      <c r="I838" s="3" t="s">
        <v>24</v>
      </c>
      <c r="J838" s="3" t="s">
        <v>24</v>
      </c>
      <c r="K838" s="3" t="s">
        <v>25</v>
      </c>
      <c r="L838" s="4">
        <v>0</v>
      </c>
      <c r="M838" s="3" t="s">
        <v>26</v>
      </c>
      <c r="N838" s="3" t="s">
        <v>24</v>
      </c>
      <c r="O838" s="4">
        <v>1</v>
      </c>
      <c r="P838" s="4">
        <v>2</v>
      </c>
      <c r="Q838" s="4">
        <v>1</v>
      </c>
    </row>
    <row r="839" spans="1:17" x14ac:dyDescent="0.25">
      <c r="A839" s="3" t="s">
        <v>18</v>
      </c>
      <c r="B839" s="3">
        <v>11994791</v>
      </c>
      <c r="C839" s="3" t="s">
        <v>879</v>
      </c>
      <c r="D839" s="3" t="s">
        <v>20</v>
      </c>
      <c r="E839" s="3" t="s">
        <v>21</v>
      </c>
      <c r="F839" s="3" t="s">
        <v>21</v>
      </c>
      <c r="G839" s="3" t="s">
        <v>233</v>
      </c>
      <c r="H839" s="3" t="s">
        <v>234</v>
      </c>
      <c r="I839" s="3" t="s">
        <v>24</v>
      </c>
      <c r="J839" s="3" t="s">
        <v>24</v>
      </c>
      <c r="K839" s="3" t="s">
        <v>25</v>
      </c>
      <c r="L839" s="4">
        <v>0</v>
      </c>
      <c r="M839" s="3" t="s">
        <v>26</v>
      </c>
      <c r="N839" s="3" t="s">
        <v>24</v>
      </c>
      <c r="O839" s="4">
        <v>1</v>
      </c>
      <c r="P839" s="4">
        <v>2</v>
      </c>
      <c r="Q839" s="4">
        <v>1</v>
      </c>
    </row>
    <row r="840" spans="1:17" x14ac:dyDescent="0.25">
      <c r="A840" s="3" t="s">
        <v>18</v>
      </c>
      <c r="B840" s="3">
        <v>11994792</v>
      </c>
      <c r="C840" s="3" t="s">
        <v>880</v>
      </c>
      <c r="D840" s="3" t="s">
        <v>20</v>
      </c>
      <c r="E840" s="3" t="s">
        <v>21</v>
      </c>
      <c r="F840" s="3" t="s">
        <v>21</v>
      </c>
      <c r="G840" s="3" t="s">
        <v>233</v>
      </c>
      <c r="H840" s="3" t="s">
        <v>234</v>
      </c>
      <c r="I840" s="3" t="s">
        <v>24</v>
      </c>
      <c r="J840" s="3" t="s">
        <v>24</v>
      </c>
      <c r="K840" s="3" t="s">
        <v>25</v>
      </c>
      <c r="L840" s="4">
        <v>0</v>
      </c>
      <c r="M840" s="3" t="s">
        <v>26</v>
      </c>
      <c r="N840" s="3" t="s">
        <v>24</v>
      </c>
      <c r="O840" s="4">
        <v>1</v>
      </c>
      <c r="P840" s="4">
        <v>99999999</v>
      </c>
      <c r="Q840" s="4">
        <v>1</v>
      </c>
    </row>
    <row r="841" spans="1:17" x14ac:dyDescent="0.25">
      <c r="A841" s="3" t="s">
        <v>18</v>
      </c>
      <c r="B841" s="3">
        <v>11994794</v>
      </c>
      <c r="C841" s="3" t="s">
        <v>881</v>
      </c>
      <c r="D841" s="3" t="s">
        <v>20</v>
      </c>
      <c r="E841" s="3" t="s">
        <v>21</v>
      </c>
      <c r="F841" s="3" t="s">
        <v>21</v>
      </c>
      <c r="G841" s="3" t="s">
        <v>233</v>
      </c>
      <c r="H841" s="3" t="s">
        <v>234</v>
      </c>
      <c r="I841" s="3" t="s">
        <v>24</v>
      </c>
      <c r="J841" s="3" t="s">
        <v>24</v>
      </c>
      <c r="K841" s="3" t="s">
        <v>25</v>
      </c>
      <c r="L841" s="4">
        <v>0</v>
      </c>
      <c r="M841" s="3" t="s">
        <v>26</v>
      </c>
      <c r="N841" s="3" t="s">
        <v>24</v>
      </c>
      <c r="O841" s="4">
        <v>1</v>
      </c>
      <c r="P841" s="4">
        <v>99999999</v>
      </c>
      <c r="Q841" s="4">
        <v>1</v>
      </c>
    </row>
    <row r="842" spans="1:17" x14ac:dyDescent="0.25">
      <c r="A842" s="3" t="s">
        <v>18</v>
      </c>
      <c r="B842" s="3">
        <v>11994795</v>
      </c>
      <c r="C842" s="3" t="s">
        <v>882</v>
      </c>
      <c r="D842" s="3" t="s">
        <v>20</v>
      </c>
      <c r="E842" s="3" t="s">
        <v>21</v>
      </c>
      <c r="F842" s="3" t="s">
        <v>21</v>
      </c>
      <c r="G842" s="3" t="s">
        <v>233</v>
      </c>
      <c r="H842" s="3" t="s">
        <v>234</v>
      </c>
      <c r="I842" s="3" t="s">
        <v>24</v>
      </c>
      <c r="J842" s="3" t="s">
        <v>24</v>
      </c>
      <c r="K842" s="3" t="s">
        <v>25</v>
      </c>
      <c r="L842" s="4">
        <v>0</v>
      </c>
      <c r="M842" s="3" t="s">
        <v>26</v>
      </c>
      <c r="N842" s="3" t="s">
        <v>24</v>
      </c>
      <c r="O842" s="4">
        <v>1</v>
      </c>
      <c r="P842" s="4">
        <v>2</v>
      </c>
      <c r="Q842" s="4">
        <v>1</v>
      </c>
    </row>
    <row r="843" spans="1:17" x14ac:dyDescent="0.25">
      <c r="A843" s="3" t="s">
        <v>18</v>
      </c>
      <c r="B843" s="3">
        <v>11995931</v>
      </c>
      <c r="C843" s="3" t="s">
        <v>883</v>
      </c>
      <c r="D843" s="3" t="s">
        <v>20</v>
      </c>
      <c r="E843" s="3" t="s">
        <v>21</v>
      </c>
      <c r="F843" s="3" t="s">
        <v>21</v>
      </c>
      <c r="G843" s="3" t="s">
        <v>42</v>
      </c>
      <c r="H843" s="3" t="s">
        <v>43</v>
      </c>
      <c r="I843" s="3" t="s">
        <v>24</v>
      </c>
      <c r="J843" s="3" t="s">
        <v>24</v>
      </c>
      <c r="K843" s="3" t="s">
        <v>25</v>
      </c>
      <c r="L843" s="4">
        <v>0</v>
      </c>
      <c r="M843" s="3" t="s">
        <v>26</v>
      </c>
      <c r="N843" s="3" t="s">
        <v>24</v>
      </c>
      <c r="O843" s="4">
        <v>1</v>
      </c>
      <c r="P843" s="4">
        <v>8</v>
      </c>
      <c r="Q843" s="4">
        <v>1</v>
      </c>
    </row>
    <row r="844" spans="1:17" x14ac:dyDescent="0.25">
      <c r="A844" s="3" t="s">
        <v>18</v>
      </c>
      <c r="B844" s="3">
        <v>11995935</v>
      </c>
      <c r="C844" s="3" t="s">
        <v>884</v>
      </c>
      <c r="D844" s="3" t="s">
        <v>20</v>
      </c>
      <c r="E844" s="3" t="s">
        <v>21</v>
      </c>
      <c r="F844" s="3" t="s">
        <v>21</v>
      </c>
      <c r="G844" s="3" t="s">
        <v>42</v>
      </c>
      <c r="H844" s="3" t="s">
        <v>43</v>
      </c>
      <c r="I844" s="3" t="s">
        <v>24</v>
      </c>
      <c r="J844" s="3" t="s">
        <v>24</v>
      </c>
      <c r="K844" s="3" t="s">
        <v>25</v>
      </c>
      <c r="L844" s="4">
        <v>0</v>
      </c>
      <c r="M844" s="3" t="s">
        <v>26</v>
      </c>
      <c r="N844" s="3" t="s">
        <v>24</v>
      </c>
      <c r="O844" s="4">
        <v>1</v>
      </c>
      <c r="P844" s="4">
        <v>8</v>
      </c>
      <c r="Q844" s="4">
        <v>1</v>
      </c>
    </row>
    <row r="845" spans="1:17" x14ac:dyDescent="0.25">
      <c r="A845" s="3" t="s">
        <v>18</v>
      </c>
      <c r="B845" s="3">
        <v>11995999</v>
      </c>
      <c r="C845" s="3" t="s">
        <v>885</v>
      </c>
      <c r="D845" s="3" t="s">
        <v>20</v>
      </c>
      <c r="E845" s="3" t="s">
        <v>21</v>
      </c>
      <c r="F845" s="3" t="s">
        <v>21</v>
      </c>
      <c r="G845" s="3" t="s">
        <v>42</v>
      </c>
      <c r="H845" s="3" t="s">
        <v>43</v>
      </c>
      <c r="I845" s="3" t="s">
        <v>24</v>
      </c>
      <c r="J845" s="3" t="s">
        <v>24</v>
      </c>
      <c r="K845" s="3" t="s">
        <v>25</v>
      </c>
      <c r="L845" s="4">
        <v>0</v>
      </c>
      <c r="M845" s="3" t="s">
        <v>26</v>
      </c>
      <c r="N845" s="3" t="s">
        <v>24</v>
      </c>
      <c r="O845" s="4">
        <v>1</v>
      </c>
      <c r="P845" s="4">
        <v>9</v>
      </c>
      <c r="Q845" s="4">
        <v>1</v>
      </c>
    </row>
    <row r="846" spans="1:17" x14ac:dyDescent="0.25">
      <c r="A846" s="3" t="s">
        <v>18</v>
      </c>
      <c r="B846" s="3">
        <v>11996002</v>
      </c>
      <c r="C846" s="3" t="s">
        <v>886</v>
      </c>
      <c r="D846" s="3" t="s">
        <v>20</v>
      </c>
      <c r="E846" s="3" t="s">
        <v>21</v>
      </c>
      <c r="F846" s="3" t="s">
        <v>21</v>
      </c>
      <c r="G846" s="3" t="s">
        <v>42</v>
      </c>
      <c r="H846" s="3" t="s">
        <v>43</v>
      </c>
      <c r="I846" s="3" t="s">
        <v>24</v>
      </c>
      <c r="J846" s="3" t="s">
        <v>24</v>
      </c>
      <c r="K846" s="3" t="s">
        <v>25</v>
      </c>
      <c r="L846" s="4">
        <v>0</v>
      </c>
      <c r="M846" s="3" t="s">
        <v>26</v>
      </c>
      <c r="N846" s="3" t="s">
        <v>24</v>
      </c>
      <c r="O846" s="4">
        <v>1</v>
      </c>
      <c r="P846" s="4">
        <v>9</v>
      </c>
      <c r="Q846" s="4">
        <v>1</v>
      </c>
    </row>
    <row r="847" spans="1:17" x14ac:dyDescent="0.25">
      <c r="A847" s="3" t="s">
        <v>18</v>
      </c>
      <c r="B847" s="3">
        <v>11996005</v>
      </c>
      <c r="C847" s="3" t="s">
        <v>887</v>
      </c>
      <c r="D847" s="3" t="s">
        <v>20</v>
      </c>
      <c r="E847" s="3" t="s">
        <v>21</v>
      </c>
      <c r="F847" s="3" t="s">
        <v>21</v>
      </c>
      <c r="G847" s="3" t="s">
        <v>42</v>
      </c>
      <c r="H847" s="3" t="s">
        <v>43</v>
      </c>
      <c r="I847" s="3" t="s">
        <v>24</v>
      </c>
      <c r="J847" s="3" t="s">
        <v>24</v>
      </c>
      <c r="K847" s="3" t="s">
        <v>25</v>
      </c>
      <c r="L847" s="4">
        <v>0</v>
      </c>
      <c r="M847" s="3" t="s">
        <v>26</v>
      </c>
      <c r="N847" s="3" t="s">
        <v>24</v>
      </c>
      <c r="O847" s="4">
        <v>1</v>
      </c>
      <c r="P847" s="4">
        <v>8</v>
      </c>
      <c r="Q847" s="4">
        <v>1</v>
      </c>
    </row>
    <row r="848" spans="1:17" x14ac:dyDescent="0.25">
      <c r="A848" s="3" t="s">
        <v>18</v>
      </c>
      <c r="B848" s="3">
        <v>11996006</v>
      </c>
      <c r="C848" s="3" t="s">
        <v>888</v>
      </c>
      <c r="D848" s="3" t="s">
        <v>20</v>
      </c>
      <c r="E848" s="3" t="s">
        <v>21</v>
      </c>
      <c r="F848" s="3" t="s">
        <v>21</v>
      </c>
      <c r="G848" s="3" t="s">
        <v>42</v>
      </c>
      <c r="H848" s="3" t="s">
        <v>43</v>
      </c>
      <c r="I848" s="3" t="s">
        <v>24</v>
      </c>
      <c r="J848" s="3" t="s">
        <v>24</v>
      </c>
      <c r="K848" s="3" t="s">
        <v>25</v>
      </c>
      <c r="L848" s="4">
        <v>0</v>
      </c>
      <c r="M848" s="3" t="s">
        <v>26</v>
      </c>
      <c r="N848" s="3" t="s">
        <v>24</v>
      </c>
      <c r="O848" s="4">
        <v>1</v>
      </c>
      <c r="P848" s="4">
        <v>8</v>
      </c>
      <c r="Q848" s="4">
        <v>1</v>
      </c>
    </row>
    <row r="849" spans="1:17" x14ac:dyDescent="0.25">
      <c r="A849" s="3" t="s">
        <v>18</v>
      </c>
      <c r="B849" s="3">
        <v>11996007</v>
      </c>
      <c r="C849" s="3" t="s">
        <v>889</v>
      </c>
      <c r="D849" s="3" t="s">
        <v>20</v>
      </c>
      <c r="E849" s="3" t="s">
        <v>21</v>
      </c>
      <c r="F849" s="3" t="s">
        <v>21</v>
      </c>
      <c r="G849" s="3" t="s">
        <v>42</v>
      </c>
      <c r="H849" s="3" t="s">
        <v>43</v>
      </c>
      <c r="I849" s="3" t="s">
        <v>24</v>
      </c>
      <c r="J849" s="3" t="s">
        <v>24</v>
      </c>
      <c r="K849" s="3" t="s">
        <v>25</v>
      </c>
      <c r="L849" s="4">
        <v>0</v>
      </c>
      <c r="M849" s="3" t="s">
        <v>26</v>
      </c>
      <c r="N849" s="3" t="s">
        <v>24</v>
      </c>
      <c r="O849" s="4">
        <v>1</v>
      </c>
      <c r="P849" s="4">
        <v>8</v>
      </c>
      <c r="Q849" s="4">
        <v>1</v>
      </c>
    </row>
    <row r="850" spans="1:17" x14ac:dyDescent="0.25">
      <c r="A850" s="3" t="s">
        <v>18</v>
      </c>
      <c r="B850" s="3">
        <v>11996008</v>
      </c>
      <c r="C850" s="3" t="s">
        <v>890</v>
      </c>
      <c r="D850" s="3" t="s">
        <v>20</v>
      </c>
      <c r="E850" s="3" t="s">
        <v>21</v>
      </c>
      <c r="F850" s="3" t="s">
        <v>21</v>
      </c>
      <c r="G850" s="3" t="s">
        <v>42</v>
      </c>
      <c r="H850" s="3" t="s">
        <v>43</v>
      </c>
      <c r="I850" s="3" t="s">
        <v>24</v>
      </c>
      <c r="J850" s="3" t="s">
        <v>24</v>
      </c>
      <c r="K850" s="3" t="s">
        <v>25</v>
      </c>
      <c r="L850" s="4">
        <v>0</v>
      </c>
      <c r="M850" s="3" t="s">
        <v>26</v>
      </c>
      <c r="N850" s="3" t="s">
        <v>24</v>
      </c>
      <c r="O850" s="4">
        <v>1</v>
      </c>
      <c r="P850" s="4">
        <v>8</v>
      </c>
      <c r="Q850" s="4">
        <v>1</v>
      </c>
    </row>
    <row r="851" spans="1:17" x14ac:dyDescent="0.25">
      <c r="A851" s="3" t="s">
        <v>18</v>
      </c>
      <c r="B851" s="3">
        <v>11996009</v>
      </c>
      <c r="C851" s="3" t="s">
        <v>891</v>
      </c>
      <c r="D851" s="3" t="s">
        <v>20</v>
      </c>
      <c r="E851" s="3" t="s">
        <v>21</v>
      </c>
      <c r="F851" s="3" t="s">
        <v>21</v>
      </c>
      <c r="G851" s="3" t="s">
        <v>42</v>
      </c>
      <c r="H851" s="3" t="s">
        <v>43</v>
      </c>
      <c r="I851" s="3" t="s">
        <v>24</v>
      </c>
      <c r="J851" s="3" t="s">
        <v>24</v>
      </c>
      <c r="K851" s="3" t="s">
        <v>25</v>
      </c>
      <c r="L851" s="4">
        <v>0</v>
      </c>
      <c r="M851" s="3" t="s">
        <v>26</v>
      </c>
      <c r="N851" s="3" t="s">
        <v>24</v>
      </c>
      <c r="O851" s="4">
        <v>1</v>
      </c>
      <c r="P851" s="4">
        <v>8</v>
      </c>
      <c r="Q851" s="4">
        <v>1</v>
      </c>
    </row>
    <row r="852" spans="1:17" x14ac:dyDescent="0.25">
      <c r="A852" s="3" t="s">
        <v>18</v>
      </c>
      <c r="B852" s="3">
        <v>11996010</v>
      </c>
      <c r="C852" s="3" t="s">
        <v>892</v>
      </c>
      <c r="D852" s="3" t="s">
        <v>20</v>
      </c>
      <c r="E852" s="3" t="s">
        <v>21</v>
      </c>
      <c r="F852" s="3" t="s">
        <v>21</v>
      </c>
      <c r="G852" s="3" t="s">
        <v>42</v>
      </c>
      <c r="H852" s="3" t="s">
        <v>43</v>
      </c>
      <c r="I852" s="3" t="s">
        <v>24</v>
      </c>
      <c r="J852" s="3" t="s">
        <v>24</v>
      </c>
      <c r="K852" s="3" t="s">
        <v>25</v>
      </c>
      <c r="L852" s="4">
        <v>0</v>
      </c>
      <c r="M852" s="3" t="s">
        <v>26</v>
      </c>
      <c r="N852" s="3" t="s">
        <v>24</v>
      </c>
      <c r="O852" s="4">
        <v>1</v>
      </c>
      <c r="P852" s="4">
        <v>8</v>
      </c>
      <c r="Q852" s="4">
        <v>1</v>
      </c>
    </row>
    <row r="853" spans="1:17" x14ac:dyDescent="0.25">
      <c r="A853" s="3" t="s">
        <v>18</v>
      </c>
      <c r="B853" s="3">
        <v>11996011</v>
      </c>
      <c r="C853" s="3" t="s">
        <v>893</v>
      </c>
      <c r="D853" s="3" t="s">
        <v>20</v>
      </c>
      <c r="E853" s="3" t="s">
        <v>21</v>
      </c>
      <c r="F853" s="3" t="s">
        <v>21</v>
      </c>
      <c r="G853" s="3" t="s">
        <v>42</v>
      </c>
      <c r="H853" s="3" t="s">
        <v>43</v>
      </c>
      <c r="I853" s="3" t="s">
        <v>24</v>
      </c>
      <c r="J853" s="3" t="s">
        <v>24</v>
      </c>
      <c r="K853" s="3" t="s">
        <v>25</v>
      </c>
      <c r="L853" s="4">
        <v>0</v>
      </c>
      <c r="M853" s="3" t="s">
        <v>26</v>
      </c>
      <c r="N853" s="3" t="s">
        <v>24</v>
      </c>
      <c r="O853" s="4">
        <v>1</v>
      </c>
      <c r="P853" s="4">
        <v>8</v>
      </c>
      <c r="Q853" s="4">
        <v>1</v>
      </c>
    </row>
    <row r="854" spans="1:17" x14ac:dyDescent="0.25">
      <c r="A854" s="3" t="s">
        <v>18</v>
      </c>
      <c r="B854" s="3">
        <v>11996013</v>
      </c>
      <c r="C854" s="3" t="s">
        <v>894</v>
      </c>
      <c r="D854" s="3" t="s">
        <v>20</v>
      </c>
      <c r="E854" s="3" t="s">
        <v>21</v>
      </c>
      <c r="F854" s="3" t="s">
        <v>21</v>
      </c>
      <c r="G854" s="3" t="s">
        <v>42</v>
      </c>
      <c r="H854" s="3" t="s">
        <v>43</v>
      </c>
      <c r="I854" s="3" t="s">
        <v>24</v>
      </c>
      <c r="J854" s="3" t="s">
        <v>24</v>
      </c>
      <c r="K854" s="3" t="s">
        <v>25</v>
      </c>
      <c r="L854" s="4">
        <v>0</v>
      </c>
      <c r="M854" s="3" t="s">
        <v>26</v>
      </c>
      <c r="N854" s="3" t="s">
        <v>24</v>
      </c>
      <c r="O854" s="4">
        <v>1</v>
      </c>
      <c r="P854" s="4">
        <v>9</v>
      </c>
      <c r="Q854" s="4">
        <v>1</v>
      </c>
    </row>
    <row r="855" spans="1:17" x14ac:dyDescent="0.25">
      <c r="A855" s="3" t="s">
        <v>18</v>
      </c>
      <c r="B855" s="3">
        <v>11996014</v>
      </c>
      <c r="C855" s="3" t="s">
        <v>895</v>
      </c>
      <c r="D855" s="3" t="s">
        <v>20</v>
      </c>
      <c r="E855" s="3" t="s">
        <v>21</v>
      </c>
      <c r="F855" s="3" t="s">
        <v>21</v>
      </c>
      <c r="G855" s="3" t="s">
        <v>42</v>
      </c>
      <c r="H855" s="3" t="s">
        <v>43</v>
      </c>
      <c r="I855" s="3" t="s">
        <v>24</v>
      </c>
      <c r="J855" s="3" t="s">
        <v>24</v>
      </c>
      <c r="K855" s="3" t="s">
        <v>25</v>
      </c>
      <c r="L855" s="4">
        <v>0</v>
      </c>
      <c r="M855" s="3" t="s">
        <v>26</v>
      </c>
      <c r="N855" s="3" t="s">
        <v>24</v>
      </c>
      <c r="O855" s="4">
        <v>1</v>
      </c>
      <c r="P855" s="4">
        <v>9</v>
      </c>
      <c r="Q855" s="4">
        <v>1</v>
      </c>
    </row>
    <row r="856" spans="1:17" x14ac:dyDescent="0.25">
      <c r="A856" s="3" t="s">
        <v>18</v>
      </c>
      <c r="B856" s="3">
        <v>11996015</v>
      </c>
      <c r="C856" s="3" t="s">
        <v>896</v>
      </c>
      <c r="D856" s="3" t="s">
        <v>20</v>
      </c>
      <c r="E856" s="3" t="s">
        <v>21</v>
      </c>
      <c r="F856" s="3" t="s">
        <v>21</v>
      </c>
      <c r="G856" s="3" t="s">
        <v>42</v>
      </c>
      <c r="H856" s="3" t="s">
        <v>43</v>
      </c>
      <c r="I856" s="3" t="s">
        <v>24</v>
      </c>
      <c r="J856" s="3" t="s">
        <v>24</v>
      </c>
      <c r="K856" s="3" t="s">
        <v>25</v>
      </c>
      <c r="L856" s="4">
        <v>0</v>
      </c>
      <c r="M856" s="3" t="s">
        <v>26</v>
      </c>
      <c r="N856" s="3" t="s">
        <v>24</v>
      </c>
      <c r="O856" s="4">
        <v>1</v>
      </c>
      <c r="P856" s="4">
        <v>9</v>
      </c>
      <c r="Q856" s="4">
        <v>1</v>
      </c>
    </row>
    <row r="857" spans="1:17" x14ac:dyDescent="0.25">
      <c r="A857" s="3" t="s">
        <v>18</v>
      </c>
      <c r="B857" s="3">
        <v>11996016</v>
      </c>
      <c r="C857" s="3" t="s">
        <v>897</v>
      </c>
      <c r="D857" s="3" t="s">
        <v>20</v>
      </c>
      <c r="E857" s="3" t="s">
        <v>21</v>
      </c>
      <c r="F857" s="3" t="s">
        <v>21</v>
      </c>
      <c r="G857" s="3" t="s">
        <v>42</v>
      </c>
      <c r="H857" s="3" t="s">
        <v>43</v>
      </c>
      <c r="I857" s="3" t="s">
        <v>24</v>
      </c>
      <c r="J857" s="3" t="s">
        <v>24</v>
      </c>
      <c r="K857" s="3" t="s">
        <v>25</v>
      </c>
      <c r="L857" s="4">
        <v>0</v>
      </c>
      <c r="M857" s="3" t="s">
        <v>26</v>
      </c>
      <c r="N857" s="3" t="s">
        <v>24</v>
      </c>
      <c r="O857" s="4">
        <v>1</v>
      </c>
      <c r="P857" s="4">
        <v>8</v>
      </c>
      <c r="Q857" s="4">
        <v>1</v>
      </c>
    </row>
    <row r="858" spans="1:17" x14ac:dyDescent="0.25">
      <c r="A858" s="3" t="s">
        <v>18</v>
      </c>
      <c r="B858" s="3">
        <v>11996050</v>
      </c>
      <c r="C858" s="3" t="s">
        <v>898</v>
      </c>
      <c r="D858" s="3" t="s">
        <v>20</v>
      </c>
      <c r="E858" s="3" t="s">
        <v>21</v>
      </c>
      <c r="F858" s="3" t="s">
        <v>21</v>
      </c>
      <c r="G858" s="3" t="s">
        <v>42</v>
      </c>
      <c r="H858" s="3" t="s">
        <v>43</v>
      </c>
      <c r="I858" s="3" t="s">
        <v>24</v>
      </c>
      <c r="J858" s="3" t="s">
        <v>24</v>
      </c>
      <c r="K858" s="3" t="s">
        <v>25</v>
      </c>
      <c r="L858" s="4">
        <v>0</v>
      </c>
      <c r="M858" s="3" t="s">
        <v>26</v>
      </c>
      <c r="N858" s="3" t="s">
        <v>24</v>
      </c>
      <c r="O858" s="4">
        <v>1</v>
      </c>
      <c r="P858" s="4">
        <v>8</v>
      </c>
      <c r="Q858" s="4">
        <v>1</v>
      </c>
    </row>
    <row r="859" spans="1:17" x14ac:dyDescent="0.25">
      <c r="A859" s="3" t="s">
        <v>18</v>
      </c>
      <c r="B859" s="3">
        <v>11996052</v>
      </c>
      <c r="C859" s="3" t="s">
        <v>899</v>
      </c>
      <c r="D859" s="3" t="s">
        <v>20</v>
      </c>
      <c r="E859" s="3" t="s">
        <v>21</v>
      </c>
      <c r="F859" s="3" t="s">
        <v>21</v>
      </c>
      <c r="G859" s="3" t="s">
        <v>42</v>
      </c>
      <c r="H859" s="3" t="s">
        <v>43</v>
      </c>
      <c r="I859" s="3" t="s">
        <v>24</v>
      </c>
      <c r="J859" s="3" t="s">
        <v>24</v>
      </c>
      <c r="K859" s="3" t="s">
        <v>25</v>
      </c>
      <c r="L859" s="4">
        <v>0</v>
      </c>
      <c r="M859" s="3" t="s">
        <v>26</v>
      </c>
      <c r="N859" s="3" t="s">
        <v>24</v>
      </c>
      <c r="O859" s="4">
        <v>1</v>
      </c>
      <c r="P859" s="4">
        <v>8</v>
      </c>
      <c r="Q859" s="4">
        <v>1</v>
      </c>
    </row>
    <row r="860" spans="1:17" x14ac:dyDescent="0.25">
      <c r="A860" s="3" t="s">
        <v>18</v>
      </c>
      <c r="B860" s="3">
        <v>11996056</v>
      </c>
      <c r="C860" s="3" t="s">
        <v>900</v>
      </c>
      <c r="D860" s="3" t="s">
        <v>20</v>
      </c>
      <c r="E860" s="3" t="s">
        <v>21</v>
      </c>
      <c r="F860" s="3" t="s">
        <v>21</v>
      </c>
      <c r="G860" s="3" t="s">
        <v>42</v>
      </c>
      <c r="H860" s="3" t="s">
        <v>43</v>
      </c>
      <c r="I860" s="3" t="s">
        <v>24</v>
      </c>
      <c r="J860" s="3" t="s">
        <v>24</v>
      </c>
      <c r="K860" s="3" t="s">
        <v>25</v>
      </c>
      <c r="L860" s="4">
        <v>0</v>
      </c>
      <c r="M860" s="3" t="s">
        <v>26</v>
      </c>
      <c r="N860" s="3" t="s">
        <v>24</v>
      </c>
      <c r="O860" s="4">
        <v>1</v>
      </c>
      <c r="P860" s="4">
        <v>8</v>
      </c>
      <c r="Q860" s="4">
        <v>1</v>
      </c>
    </row>
    <row r="861" spans="1:17" x14ac:dyDescent="0.25">
      <c r="A861" s="3" t="s">
        <v>18</v>
      </c>
      <c r="B861" s="3">
        <v>11996058</v>
      </c>
      <c r="C861" s="3" t="s">
        <v>901</v>
      </c>
      <c r="D861" s="3" t="s">
        <v>20</v>
      </c>
      <c r="E861" s="3" t="s">
        <v>21</v>
      </c>
      <c r="F861" s="3" t="s">
        <v>21</v>
      </c>
      <c r="G861" s="3" t="s">
        <v>42</v>
      </c>
      <c r="H861" s="3" t="s">
        <v>43</v>
      </c>
      <c r="I861" s="3" t="s">
        <v>24</v>
      </c>
      <c r="J861" s="3" t="s">
        <v>24</v>
      </c>
      <c r="K861" s="3" t="s">
        <v>25</v>
      </c>
      <c r="L861" s="4">
        <v>0</v>
      </c>
      <c r="M861" s="3" t="s">
        <v>26</v>
      </c>
      <c r="N861" s="3" t="s">
        <v>24</v>
      </c>
      <c r="O861" s="4">
        <v>1</v>
      </c>
      <c r="P861" s="4">
        <v>8</v>
      </c>
      <c r="Q861" s="4">
        <v>1</v>
      </c>
    </row>
    <row r="862" spans="1:17" x14ac:dyDescent="0.25">
      <c r="A862" s="3" t="s">
        <v>18</v>
      </c>
      <c r="B862" s="3">
        <v>11996061</v>
      </c>
      <c r="C862" s="3" t="s">
        <v>902</v>
      </c>
      <c r="D862" s="3" t="s">
        <v>20</v>
      </c>
      <c r="E862" s="3" t="s">
        <v>21</v>
      </c>
      <c r="F862" s="3" t="s">
        <v>21</v>
      </c>
      <c r="G862" s="3" t="s">
        <v>42</v>
      </c>
      <c r="H862" s="3" t="s">
        <v>43</v>
      </c>
      <c r="I862" s="3" t="s">
        <v>24</v>
      </c>
      <c r="J862" s="3" t="s">
        <v>24</v>
      </c>
      <c r="K862" s="3" t="s">
        <v>25</v>
      </c>
      <c r="L862" s="4">
        <v>0</v>
      </c>
      <c r="M862" s="3" t="s">
        <v>26</v>
      </c>
      <c r="N862" s="3" t="s">
        <v>24</v>
      </c>
      <c r="O862" s="4">
        <v>1</v>
      </c>
      <c r="P862" s="4">
        <v>9</v>
      </c>
      <c r="Q862" s="4">
        <v>1</v>
      </c>
    </row>
    <row r="863" spans="1:17" x14ac:dyDescent="0.25">
      <c r="A863" s="3" t="s">
        <v>18</v>
      </c>
      <c r="B863" s="3">
        <v>11996062</v>
      </c>
      <c r="C863" s="3" t="s">
        <v>903</v>
      </c>
      <c r="D863" s="3" t="s">
        <v>20</v>
      </c>
      <c r="E863" s="3" t="s">
        <v>21</v>
      </c>
      <c r="F863" s="3" t="s">
        <v>21</v>
      </c>
      <c r="G863" s="3" t="s">
        <v>42</v>
      </c>
      <c r="H863" s="3" t="s">
        <v>43</v>
      </c>
      <c r="I863" s="3" t="s">
        <v>24</v>
      </c>
      <c r="J863" s="3" t="s">
        <v>24</v>
      </c>
      <c r="K863" s="3" t="s">
        <v>25</v>
      </c>
      <c r="L863" s="4">
        <v>0</v>
      </c>
      <c r="M863" s="3" t="s">
        <v>26</v>
      </c>
      <c r="N863" s="3" t="s">
        <v>24</v>
      </c>
      <c r="O863" s="4">
        <v>1</v>
      </c>
      <c r="P863" s="4">
        <v>9</v>
      </c>
      <c r="Q863" s="4">
        <v>1</v>
      </c>
    </row>
    <row r="864" spans="1:17" x14ac:dyDescent="0.25">
      <c r="A864" s="3" t="s">
        <v>18</v>
      </c>
      <c r="B864" s="3">
        <v>11996063</v>
      </c>
      <c r="C864" s="3" t="s">
        <v>904</v>
      </c>
      <c r="D864" s="3" t="s">
        <v>20</v>
      </c>
      <c r="E864" s="3" t="s">
        <v>21</v>
      </c>
      <c r="F864" s="3" t="s">
        <v>21</v>
      </c>
      <c r="G864" s="3" t="s">
        <v>42</v>
      </c>
      <c r="H864" s="3" t="s">
        <v>43</v>
      </c>
      <c r="I864" s="3" t="s">
        <v>24</v>
      </c>
      <c r="J864" s="3" t="s">
        <v>24</v>
      </c>
      <c r="K864" s="3" t="s">
        <v>25</v>
      </c>
      <c r="L864" s="4">
        <v>0</v>
      </c>
      <c r="M864" s="3" t="s">
        <v>26</v>
      </c>
      <c r="N864" s="3" t="s">
        <v>24</v>
      </c>
      <c r="O864" s="4">
        <v>1</v>
      </c>
      <c r="P864" s="4">
        <v>8</v>
      </c>
      <c r="Q864" s="4">
        <v>1</v>
      </c>
    </row>
    <row r="865" spans="1:17" x14ac:dyDescent="0.25">
      <c r="A865" s="3" t="s">
        <v>18</v>
      </c>
      <c r="B865" s="3">
        <v>11996064</v>
      </c>
      <c r="C865" s="3" t="s">
        <v>905</v>
      </c>
      <c r="D865" s="3" t="s">
        <v>20</v>
      </c>
      <c r="E865" s="3" t="s">
        <v>21</v>
      </c>
      <c r="F865" s="3" t="s">
        <v>21</v>
      </c>
      <c r="G865" s="3" t="s">
        <v>42</v>
      </c>
      <c r="H865" s="3" t="s">
        <v>43</v>
      </c>
      <c r="I865" s="3" t="s">
        <v>24</v>
      </c>
      <c r="J865" s="3" t="s">
        <v>24</v>
      </c>
      <c r="K865" s="3" t="s">
        <v>25</v>
      </c>
      <c r="L865" s="4">
        <v>0</v>
      </c>
      <c r="M865" s="3" t="s">
        <v>26</v>
      </c>
      <c r="N865" s="3" t="s">
        <v>24</v>
      </c>
      <c r="O865" s="4">
        <v>1</v>
      </c>
      <c r="P865" s="4">
        <v>8</v>
      </c>
      <c r="Q865" s="4">
        <v>1</v>
      </c>
    </row>
    <row r="866" spans="1:17" x14ac:dyDescent="0.25">
      <c r="A866" s="3" t="s">
        <v>18</v>
      </c>
      <c r="B866" s="3">
        <v>11996066</v>
      </c>
      <c r="C866" s="3" t="s">
        <v>906</v>
      </c>
      <c r="D866" s="3" t="s">
        <v>20</v>
      </c>
      <c r="E866" s="3" t="s">
        <v>21</v>
      </c>
      <c r="F866" s="3" t="s">
        <v>21</v>
      </c>
      <c r="G866" s="3" t="s">
        <v>42</v>
      </c>
      <c r="H866" s="3" t="s">
        <v>43</v>
      </c>
      <c r="I866" s="3" t="s">
        <v>24</v>
      </c>
      <c r="J866" s="3" t="s">
        <v>24</v>
      </c>
      <c r="K866" s="3" t="s">
        <v>25</v>
      </c>
      <c r="L866" s="4">
        <v>0</v>
      </c>
      <c r="M866" s="3" t="s">
        <v>26</v>
      </c>
      <c r="N866" s="3" t="s">
        <v>24</v>
      </c>
      <c r="O866" s="4">
        <v>1</v>
      </c>
      <c r="P866" s="4">
        <v>9</v>
      </c>
      <c r="Q866" s="4">
        <v>1</v>
      </c>
    </row>
    <row r="867" spans="1:17" x14ac:dyDescent="0.25">
      <c r="A867" s="3" t="s">
        <v>18</v>
      </c>
      <c r="B867" s="3">
        <v>11996088</v>
      </c>
      <c r="C867" s="3" t="s">
        <v>907</v>
      </c>
      <c r="D867" s="3" t="s">
        <v>20</v>
      </c>
      <c r="E867" s="3" t="s">
        <v>21</v>
      </c>
      <c r="F867" s="3" t="s">
        <v>21</v>
      </c>
      <c r="G867" s="3" t="s">
        <v>42</v>
      </c>
      <c r="H867" s="3" t="s">
        <v>43</v>
      </c>
      <c r="I867" s="3" t="s">
        <v>24</v>
      </c>
      <c r="J867" s="3" t="s">
        <v>24</v>
      </c>
      <c r="K867" s="3" t="s">
        <v>25</v>
      </c>
      <c r="L867" s="4">
        <v>0</v>
      </c>
      <c r="M867" s="3" t="s">
        <v>26</v>
      </c>
      <c r="N867" s="3" t="s">
        <v>24</v>
      </c>
      <c r="O867" s="4">
        <v>1</v>
      </c>
      <c r="P867" s="4">
        <v>9</v>
      </c>
      <c r="Q867" s="4">
        <v>1</v>
      </c>
    </row>
    <row r="868" spans="1:17" x14ac:dyDescent="0.25">
      <c r="A868" s="3" t="s">
        <v>18</v>
      </c>
      <c r="B868" s="3">
        <v>11996090</v>
      </c>
      <c r="C868" s="3" t="s">
        <v>908</v>
      </c>
      <c r="D868" s="3" t="s">
        <v>20</v>
      </c>
      <c r="E868" s="3" t="s">
        <v>21</v>
      </c>
      <c r="F868" s="3" t="s">
        <v>21</v>
      </c>
      <c r="G868" s="3" t="s">
        <v>42</v>
      </c>
      <c r="H868" s="3" t="s">
        <v>43</v>
      </c>
      <c r="I868" s="3" t="s">
        <v>24</v>
      </c>
      <c r="J868" s="3" t="s">
        <v>24</v>
      </c>
      <c r="K868" s="3" t="s">
        <v>25</v>
      </c>
      <c r="L868" s="4">
        <v>0</v>
      </c>
      <c r="M868" s="3" t="s">
        <v>26</v>
      </c>
      <c r="N868" s="3" t="s">
        <v>24</v>
      </c>
      <c r="O868" s="4">
        <v>1</v>
      </c>
      <c r="P868" s="4">
        <v>8</v>
      </c>
      <c r="Q868" s="4">
        <v>1</v>
      </c>
    </row>
    <row r="869" spans="1:17" x14ac:dyDescent="0.25">
      <c r="A869" s="3" t="s">
        <v>18</v>
      </c>
      <c r="B869" s="3">
        <v>11996093</v>
      </c>
      <c r="C869" s="3" t="s">
        <v>909</v>
      </c>
      <c r="D869" s="3" t="s">
        <v>20</v>
      </c>
      <c r="E869" s="3" t="s">
        <v>21</v>
      </c>
      <c r="F869" s="3" t="s">
        <v>21</v>
      </c>
      <c r="G869" s="3" t="s">
        <v>42</v>
      </c>
      <c r="H869" s="3" t="s">
        <v>43</v>
      </c>
      <c r="I869" s="3" t="s">
        <v>24</v>
      </c>
      <c r="J869" s="3" t="s">
        <v>24</v>
      </c>
      <c r="K869" s="3" t="s">
        <v>25</v>
      </c>
      <c r="L869" s="4">
        <v>0</v>
      </c>
      <c r="M869" s="3" t="s">
        <v>26</v>
      </c>
      <c r="N869" s="3" t="s">
        <v>24</v>
      </c>
      <c r="O869" s="4">
        <v>1</v>
      </c>
      <c r="P869" s="4">
        <v>8</v>
      </c>
      <c r="Q869" s="4">
        <v>1</v>
      </c>
    </row>
    <row r="870" spans="1:17" x14ac:dyDescent="0.25">
      <c r="A870" s="3" t="s">
        <v>18</v>
      </c>
      <c r="B870" s="3">
        <v>11996095</v>
      </c>
      <c r="C870" s="3" t="s">
        <v>910</v>
      </c>
      <c r="D870" s="3" t="s">
        <v>20</v>
      </c>
      <c r="E870" s="3" t="s">
        <v>21</v>
      </c>
      <c r="F870" s="3" t="s">
        <v>21</v>
      </c>
      <c r="G870" s="3" t="s">
        <v>42</v>
      </c>
      <c r="H870" s="3" t="s">
        <v>43</v>
      </c>
      <c r="I870" s="3" t="s">
        <v>24</v>
      </c>
      <c r="J870" s="3" t="s">
        <v>24</v>
      </c>
      <c r="K870" s="3" t="s">
        <v>25</v>
      </c>
      <c r="L870" s="4">
        <v>0</v>
      </c>
      <c r="M870" s="3" t="s">
        <v>26</v>
      </c>
      <c r="N870" s="3" t="s">
        <v>24</v>
      </c>
      <c r="O870" s="4">
        <v>1</v>
      </c>
      <c r="P870" s="4">
        <v>8</v>
      </c>
      <c r="Q870" s="4">
        <v>1</v>
      </c>
    </row>
    <row r="871" spans="1:17" x14ac:dyDescent="0.25">
      <c r="A871" s="3" t="s">
        <v>18</v>
      </c>
      <c r="B871" s="3">
        <v>11996097</v>
      </c>
      <c r="C871" s="3" t="s">
        <v>911</v>
      </c>
      <c r="D871" s="3" t="s">
        <v>20</v>
      </c>
      <c r="E871" s="3" t="s">
        <v>21</v>
      </c>
      <c r="F871" s="3" t="s">
        <v>21</v>
      </c>
      <c r="G871" s="3" t="s">
        <v>42</v>
      </c>
      <c r="H871" s="3" t="s">
        <v>43</v>
      </c>
      <c r="I871" s="3" t="s">
        <v>24</v>
      </c>
      <c r="J871" s="3" t="s">
        <v>24</v>
      </c>
      <c r="K871" s="3" t="s">
        <v>25</v>
      </c>
      <c r="L871" s="4">
        <v>0</v>
      </c>
      <c r="M871" s="3" t="s">
        <v>26</v>
      </c>
      <c r="N871" s="3" t="s">
        <v>24</v>
      </c>
      <c r="O871" s="4">
        <v>1</v>
      </c>
      <c r="P871" s="4">
        <v>8</v>
      </c>
      <c r="Q871" s="4">
        <v>1</v>
      </c>
    </row>
    <row r="872" spans="1:17" x14ac:dyDescent="0.25">
      <c r="A872" s="3" t="s">
        <v>18</v>
      </c>
      <c r="B872" s="3">
        <v>12004001</v>
      </c>
      <c r="C872" s="3" t="s">
        <v>912</v>
      </c>
      <c r="D872" s="3" t="s">
        <v>20</v>
      </c>
      <c r="E872" s="3" t="s">
        <v>21</v>
      </c>
      <c r="F872" s="3" t="s">
        <v>21</v>
      </c>
      <c r="G872" s="3" t="s">
        <v>30</v>
      </c>
      <c r="H872" s="3" t="s">
        <v>31</v>
      </c>
      <c r="I872" s="3" t="s">
        <v>24</v>
      </c>
      <c r="J872" s="3" t="s">
        <v>24</v>
      </c>
      <c r="K872" s="3" t="s">
        <v>25</v>
      </c>
      <c r="L872" s="4">
        <v>0</v>
      </c>
      <c r="M872" s="3" t="s">
        <v>26</v>
      </c>
      <c r="N872" s="3" t="s">
        <v>24</v>
      </c>
      <c r="O872" s="4">
        <v>1</v>
      </c>
      <c r="P872" s="4">
        <v>9</v>
      </c>
      <c r="Q872" s="4">
        <v>1</v>
      </c>
    </row>
    <row r="873" spans="1:17" x14ac:dyDescent="0.25">
      <c r="A873" s="3" t="s">
        <v>18</v>
      </c>
      <c r="B873" s="3">
        <v>12004002</v>
      </c>
      <c r="C873" s="3" t="s">
        <v>913</v>
      </c>
      <c r="D873" s="3" t="s">
        <v>20</v>
      </c>
      <c r="E873" s="3" t="s">
        <v>21</v>
      </c>
      <c r="F873" s="3" t="s">
        <v>21</v>
      </c>
      <c r="G873" s="3" t="s">
        <v>30</v>
      </c>
      <c r="H873" s="3" t="s">
        <v>31</v>
      </c>
      <c r="I873" s="3" t="s">
        <v>24</v>
      </c>
      <c r="J873" s="3" t="s">
        <v>24</v>
      </c>
      <c r="K873" s="3" t="s">
        <v>25</v>
      </c>
      <c r="L873" s="4">
        <v>0</v>
      </c>
      <c r="M873" s="3" t="s">
        <v>26</v>
      </c>
      <c r="N873" s="3" t="s">
        <v>24</v>
      </c>
      <c r="O873" s="4">
        <v>1</v>
      </c>
      <c r="P873" s="4">
        <v>9</v>
      </c>
      <c r="Q873" s="4">
        <v>1</v>
      </c>
    </row>
    <row r="874" spans="1:17" x14ac:dyDescent="0.25">
      <c r="A874" s="3" t="s">
        <v>18</v>
      </c>
      <c r="B874" s="3">
        <v>12004004</v>
      </c>
      <c r="C874" s="3" t="s">
        <v>914</v>
      </c>
      <c r="D874" s="3" t="s">
        <v>20</v>
      </c>
      <c r="E874" s="3" t="s">
        <v>21</v>
      </c>
      <c r="F874" s="3" t="s">
        <v>21</v>
      </c>
      <c r="G874" s="3" t="s">
        <v>30</v>
      </c>
      <c r="H874" s="3" t="s">
        <v>31</v>
      </c>
      <c r="I874" s="3" t="s">
        <v>24</v>
      </c>
      <c r="J874" s="3" t="s">
        <v>24</v>
      </c>
      <c r="K874" s="3" t="s">
        <v>25</v>
      </c>
      <c r="L874" s="4">
        <v>0</v>
      </c>
      <c r="M874" s="3" t="s">
        <v>26</v>
      </c>
      <c r="N874" s="3" t="s">
        <v>24</v>
      </c>
      <c r="O874" s="4">
        <v>1</v>
      </c>
      <c r="P874" s="4">
        <v>8</v>
      </c>
      <c r="Q874" s="4">
        <v>1</v>
      </c>
    </row>
    <row r="875" spans="1:17" x14ac:dyDescent="0.25">
      <c r="A875" s="3" t="s">
        <v>18</v>
      </c>
      <c r="B875" s="3">
        <v>12004005</v>
      </c>
      <c r="C875" s="3" t="s">
        <v>915</v>
      </c>
      <c r="D875" s="3" t="s">
        <v>20</v>
      </c>
      <c r="E875" s="3" t="s">
        <v>21</v>
      </c>
      <c r="F875" s="3" t="s">
        <v>21</v>
      </c>
      <c r="G875" s="3" t="s">
        <v>30</v>
      </c>
      <c r="H875" s="3" t="s">
        <v>31</v>
      </c>
      <c r="I875" s="3" t="s">
        <v>24</v>
      </c>
      <c r="J875" s="3" t="s">
        <v>24</v>
      </c>
      <c r="K875" s="3" t="s">
        <v>25</v>
      </c>
      <c r="L875" s="4">
        <v>0</v>
      </c>
      <c r="M875" s="3" t="s">
        <v>26</v>
      </c>
      <c r="N875" s="3" t="s">
        <v>24</v>
      </c>
      <c r="O875" s="4">
        <v>1</v>
      </c>
      <c r="P875" s="4">
        <v>8</v>
      </c>
      <c r="Q875" s="4">
        <v>1</v>
      </c>
    </row>
    <row r="876" spans="1:17" x14ac:dyDescent="0.25">
      <c r="A876" s="3" t="s">
        <v>18</v>
      </c>
      <c r="B876" s="3">
        <v>12004006</v>
      </c>
      <c r="C876" s="3" t="s">
        <v>916</v>
      </c>
      <c r="D876" s="3" t="s">
        <v>20</v>
      </c>
      <c r="E876" s="3" t="s">
        <v>21</v>
      </c>
      <c r="F876" s="3" t="s">
        <v>21</v>
      </c>
      <c r="G876" s="3" t="s">
        <v>30</v>
      </c>
      <c r="H876" s="3" t="s">
        <v>31</v>
      </c>
      <c r="I876" s="3" t="s">
        <v>24</v>
      </c>
      <c r="J876" s="3" t="s">
        <v>24</v>
      </c>
      <c r="K876" s="3" t="s">
        <v>25</v>
      </c>
      <c r="L876" s="4">
        <v>0</v>
      </c>
      <c r="M876" s="3" t="s">
        <v>26</v>
      </c>
      <c r="N876" s="3" t="s">
        <v>24</v>
      </c>
      <c r="O876" s="4">
        <v>1</v>
      </c>
      <c r="P876" s="4">
        <v>8</v>
      </c>
      <c r="Q876" s="4">
        <v>1</v>
      </c>
    </row>
    <row r="877" spans="1:17" x14ac:dyDescent="0.25">
      <c r="A877" s="3" t="s">
        <v>18</v>
      </c>
      <c r="B877" s="3">
        <v>12004576</v>
      </c>
      <c r="C877" s="3" t="s">
        <v>917</v>
      </c>
      <c r="D877" s="3" t="s">
        <v>20</v>
      </c>
      <c r="E877" s="3" t="s">
        <v>21</v>
      </c>
      <c r="F877" s="3" t="s">
        <v>21</v>
      </c>
      <c r="G877" s="3" t="s">
        <v>42</v>
      </c>
      <c r="H877" s="3" t="s">
        <v>43</v>
      </c>
      <c r="I877" s="3" t="s">
        <v>24</v>
      </c>
      <c r="J877" s="3" t="s">
        <v>24</v>
      </c>
      <c r="K877" s="3" t="s">
        <v>25</v>
      </c>
      <c r="L877" s="4">
        <v>0</v>
      </c>
      <c r="M877" s="3" t="s">
        <v>26</v>
      </c>
      <c r="N877" s="3" t="s">
        <v>24</v>
      </c>
      <c r="O877" s="4">
        <v>1</v>
      </c>
      <c r="P877" s="4">
        <v>8</v>
      </c>
      <c r="Q877" s="4">
        <v>1</v>
      </c>
    </row>
    <row r="878" spans="1:17" x14ac:dyDescent="0.25">
      <c r="A878" s="3" t="s">
        <v>18</v>
      </c>
      <c r="B878" s="3">
        <v>12004577</v>
      </c>
      <c r="C878" s="3" t="s">
        <v>918</v>
      </c>
      <c r="D878" s="3" t="s">
        <v>20</v>
      </c>
      <c r="E878" s="3" t="s">
        <v>21</v>
      </c>
      <c r="F878" s="3" t="s">
        <v>21</v>
      </c>
      <c r="G878" s="3" t="s">
        <v>42</v>
      </c>
      <c r="H878" s="3" t="s">
        <v>43</v>
      </c>
      <c r="I878" s="3" t="s">
        <v>24</v>
      </c>
      <c r="J878" s="3" t="s">
        <v>24</v>
      </c>
      <c r="K878" s="3" t="s">
        <v>25</v>
      </c>
      <c r="L878" s="4">
        <v>0</v>
      </c>
      <c r="M878" s="3" t="s">
        <v>26</v>
      </c>
      <c r="N878" s="3" t="s">
        <v>24</v>
      </c>
      <c r="O878" s="4">
        <v>1</v>
      </c>
      <c r="P878" s="4">
        <v>8</v>
      </c>
      <c r="Q878" s="4">
        <v>1</v>
      </c>
    </row>
    <row r="879" spans="1:17" x14ac:dyDescent="0.25">
      <c r="A879" s="3" t="s">
        <v>18</v>
      </c>
      <c r="B879" s="3">
        <v>12004638</v>
      </c>
      <c r="C879" s="3" t="s">
        <v>919</v>
      </c>
      <c r="D879" s="3" t="s">
        <v>20</v>
      </c>
      <c r="E879" s="3" t="s">
        <v>21</v>
      </c>
      <c r="F879" s="3" t="s">
        <v>21</v>
      </c>
      <c r="G879" s="3" t="s">
        <v>42</v>
      </c>
      <c r="H879" s="3" t="s">
        <v>43</v>
      </c>
      <c r="I879" s="3" t="s">
        <v>24</v>
      </c>
      <c r="J879" s="3" t="s">
        <v>24</v>
      </c>
      <c r="K879" s="3" t="s">
        <v>25</v>
      </c>
      <c r="L879" s="4">
        <v>0</v>
      </c>
      <c r="M879" s="3" t="s">
        <v>26</v>
      </c>
      <c r="N879" s="3" t="s">
        <v>24</v>
      </c>
      <c r="O879" s="4">
        <v>1</v>
      </c>
      <c r="P879" s="4">
        <v>8</v>
      </c>
      <c r="Q879" s="4">
        <v>1</v>
      </c>
    </row>
    <row r="880" spans="1:17" x14ac:dyDescent="0.25">
      <c r="A880" s="3" t="s">
        <v>18</v>
      </c>
      <c r="B880" s="3">
        <v>12004640</v>
      </c>
      <c r="C880" s="3" t="s">
        <v>920</v>
      </c>
      <c r="D880" s="3" t="s">
        <v>20</v>
      </c>
      <c r="E880" s="3" t="s">
        <v>21</v>
      </c>
      <c r="F880" s="3" t="s">
        <v>21</v>
      </c>
      <c r="G880" s="3" t="s">
        <v>22</v>
      </c>
      <c r="H880" s="3" t="s">
        <v>23</v>
      </c>
      <c r="I880" s="3" t="s">
        <v>24</v>
      </c>
      <c r="J880" s="3" t="s">
        <v>24</v>
      </c>
      <c r="K880" s="3" t="s">
        <v>25</v>
      </c>
      <c r="L880" s="4">
        <v>0</v>
      </c>
      <c r="M880" s="3" t="s">
        <v>26</v>
      </c>
      <c r="N880" s="3" t="s">
        <v>24</v>
      </c>
      <c r="O880" s="4">
        <v>1</v>
      </c>
      <c r="P880" s="4">
        <v>4</v>
      </c>
      <c r="Q880" s="4">
        <v>1</v>
      </c>
    </row>
    <row r="881" spans="1:17" x14ac:dyDescent="0.25">
      <c r="A881" s="3" t="s">
        <v>18</v>
      </c>
      <c r="B881" s="3">
        <v>12013812</v>
      </c>
      <c r="C881" s="3" t="s">
        <v>921</v>
      </c>
      <c r="D881" s="3" t="s">
        <v>20</v>
      </c>
      <c r="E881" s="3" t="s">
        <v>21</v>
      </c>
      <c r="F881" s="3" t="s">
        <v>21</v>
      </c>
      <c r="G881" s="3" t="s">
        <v>22</v>
      </c>
      <c r="H881" s="3" t="s">
        <v>23</v>
      </c>
      <c r="I881" s="3" t="s">
        <v>24</v>
      </c>
      <c r="J881" s="3" t="s">
        <v>24</v>
      </c>
      <c r="K881" s="3" t="s">
        <v>25</v>
      </c>
      <c r="L881" s="4">
        <v>0</v>
      </c>
      <c r="M881" s="3" t="s">
        <v>26</v>
      </c>
      <c r="N881" s="3" t="s">
        <v>24</v>
      </c>
      <c r="O881" s="4">
        <v>1</v>
      </c>
      <c r="P881" s="4">
        <v>4</v>
      </c>
      <c r="Q881" s="4">
        <v>1</v>
      </c>
    </row>
    <row r="882" spans="1:17" x14ac:dyDescent="0.25">
      <c r="A882" s="3" t="s">
        <v>18</v>
      </c>
      <c r="B882" s="3">
        <v>12013814</v>
      </c>
      <c r="C882" s="3" t="s">
        <v>922</v>
      </c>
      <c r="D882" s="3" t="s">
        <v>20</v>
      </c>
      <c r="E882" s="3" t="s">
        <v>21</v>
      </c>
      <c r="F882" s="3" t="s">
        <v>21</v>
      </c>
      <c r="G882" s="3" t="s">
        <v>22</v>
      </c>
      <c r="H882" s="3" t="s">
        <v>23</v>
      </c>
      <c r="I882" s="3" t="s">
        <v>24</v>
      </c>
      <c r="J882" s="3" t="s">
        <v>24</v>
      </c>
      <c r="K882" s="3" t="s">
        <v>25</v>
      </c>
      <c r="L882" s="4">
        <v>0</v>
      </c>
      <c r="M882" s="3" t="s">
        <v>26</v>
      </c>
      <c r="N882" s="3" t="s">
        <v>24</v>
      </c>
      <c r="O882" s="4">
        <v>1</v>
      </c>
      <c r="P882" s="4">
        <v>4</v>
      </c>
      <c r="Q882" s="4">
        <v>1</v>
      </c>
    </row>
    <row r="883" spans="1:17" x14ac:dyDescent="0.25">
      <c r="A883" s="3" t="s">
        <v>18</v>
      </c>
      <c r="B883" s="3">
        <v>12013816</v>
      </c>
      <c r="C883" s="3" t="s">
        <v>923</v>
      </c>
      <c r="D883" s="3" t="s">
        <v>20</v>
      </c>
      <c r="E883" s="3" t="s">
        <v>21</v>
      </c>
      <c r="F883" s="3" t="s">
        <v>21</v>
      </c>
      <c r="G883" s="3" t="s">
        <v>36</v>
      </c>
      <c r="H883" s="3" t="s">
        <v>37</v>
      </c>
      <c r="I883" s="3" t="s">
        <v>24</v>
      </c>
      <c r="J883" s="3" t="s">
        <v>24</v>
      </c>
      <c r="K883" s="3" t="s">
        <v>25</v>
      </c>
      <c r="L883" s="4">
        <v>0</v>
      </c>
      <c r="M883" s="3" t="s">
        <v>26</v>
      </c>
      <c r="N883" s="3" t="s">
        <v>24</v>
      </c>
      <c r="O883" s="4">
        <v>1</v>
      </c>
      <c r="P883" s="4">
        <v>10</v>
      </c>
      <c r="Q883" s="4">
        <v>1</v>
      </c>
    </row>
    <row r="884" spans="1:17" x14ac:dyDescent="0.25">
      <c r="A884" s="3" t="s">
        <v>18</v>
      </c>
      <c r="B884" s="3">
        <v>12013841</v>
      </c>
      <c r="C884" s="3" t="s">
        <v>924</v>
      </c>
      <c r="D884" s="3" t="s">
        <v>20</v>
      </c>
      <c r="E884" s="3" t="s">
        <v>21</v>
      </c>
      <c r="F884" s="3" t="s">
        <v>21</v>
      </c>
      <c r="G884" s="3" t="s">
        <v>36</v>
      </c>
      <c r="H884" s="3" t="s">
        <v>37</v>
      </c>
      <c r="I884" s="3" t="s">
        <v>24</v>
      </c>
      <c r="J884" s="3" t="s">
        <v>24</v>
      </c>
      <c r="K884" s="3" t="s">
        <v>25</v>
      </c>
      <c r="L884" s="4">
        <v>0</v>
      </c>
      <c r="M884" s="3" t="s">
        <v>26</v>
      </c>
      <c r="N884" s="3" t="s">
        <v>24</v>
      </c>
      <c r="O884" s="4">
        <v>1</v>
      </c>
      <c r="P884" s="4">
        <v>10</v>
      </c>
      <c r="Q884" s="4">
        <v>1</v>
      </c>
    </row>
    <row r="885" spans="1:17" x14ac:dyDescent="0.25">
      <c r="A885" s="3" t="s">
        <v>18</v>
      </c>
      <c r="B885" s="3">
        <v>12013844</v>
      </c>
      <c r="C885" s="3" t="s">
        <v>925</v>
      </c>
      <c r="D885" s="3" t="s">
        <v>20</v>
      </c>
      <c r="E885" s="3" t="s">
        <v>21</v>
      </c>
      <c r="F885" s="3" t="s">
        <v>21</v>
      </c>
      <c r="G885" s="3" t="s">
        <v>233</v>
      </c>
      <c r="H885" s="3" t="s">
        <v>234</v>
      </c>
      <c r="I885" s="3" t="s">
        <v>24</v>
      </c>
      <c r="J885" s="3" t="s">
        <v>24</v>
      </c>
      <c r="K885" s="3" t="s">
        <v>25</v>
      </c>
      <c r="L885" s="4">
        <v>0</v>
      </c>
      <c r="M885" s="3" t="s">
        <v>26</v>
      </c>
      <c r="N885" s="3" t="s">
        <v>24</v>
      </c>
      <c r="O885" s="4">
        <v>1</v>
      </c>
      <c r="P885" s="4">
        <v>3</v>
      </c>
      <c r="Q885" s="4">
        <v>1</v>
      </c>
    </row>
    <row r="886" spans="1:17" x14ac:dyDescent="0.25">
      <c r="A886" s="3" t="s">
        <v>18</v>
      </c>
      <c r="B886" s="3">
        <v>12028734</v>
      </c>
      <c r="C886" s="3" t="s">
        <v>926</v>
      </c>
      <c r="D886" s="3" t="s">
        <v>20</v>
      </c>
      <c r="E886" s="3" t="s">
        <v>21</v>
      </c>
      <c r="F886" s="3" t="s">
        <v>21</v>
      </c>
      <c r="G886" s="3" t="s">
        <v>30</v>
      </c>
      <c r="H886" s="3" t="s">
        <v>31</v>
      </c>
      <c r="I886" s="3" t="s">
        <v>24</v>
      </c>
      <c r="J886" s="3" t="s">
        <v>24</v>
      </c>
      <c r="K886" s="3" t="s">
        <v>25</v>
      </c>
      <c r="L886" s="4">
        <v>0</v>
      </c>
      <c r="M886" s="3" t="s">
        <v>26</v>
      </c>
      <c r="N886" s="3" t="s">
        <v>24</v>
      </c>
      <c r="O886" s="4">
        <v>1</v>
      </c>
      <c r="P886" s="4">
        <v>8</v>
      </c>
      <c r="Q886" s="4">
        <v>1</v>
      </c>
    </row>
    <row r="887" spans="1:17" x14ac:dyDescent="0.25">
      <c r="A887" s="3" t="s">
        <v>18</v>
      </c>
      <c r="B887" s="3">
        <v>12028735</v>
      </c>
      <c r="C887" s="3" t="s">
        <v>927</v>
      </c>
      <c r="D887" s="3" t="s">
        <v>20</v>
      </c>
      <c r="E887" s="3" t="s">
        <v>21</v>
      </c>
      <c r="F887" s="3" t="s">
        <v>21</v>
      </c>
      <c r="G887" s="3" t="s">
        <v>36</v>
      </c>
      <c r="H887" s="3" t="s">
        <v>37</v>
      </c>
      <c r="I887" s="3" t="s">
        <v>24</v>
      </c>
      <c r="J887" s="3" t="s">
        <v>24</v>
      </c>
      <c r="K887" s="3" t="s">
        <v>25</v>
      </c>
      <c r="L887" s="4">
        <v>0</v>
      </c>
      <c r="M887" s="3" t="s">
        <v>26</v>
      </c>
      <c r="N887" s="3" t="s">
        <v>24</v>
      </c>
      <c r="O887" s="4">
        <v>1</v>
      </c>
      <c r="P887" s="4">
        <v>2</v>
      </c>
      <c r="Q887" s="4">
        <v>1</v>
      </c>
    </row>
    <row r="888" spans="1:17" x14ac:dyDescent="0.25">
      <c r="A888" s="3" t="s">
        <v>18</v>
      </c>
      <c r="B888" s="3">
        <v>12037609</v>
      </c>
      <c r="C888" s="3" t="s">
        <v>928</v>
      </c>
      <c r="D888" s="3" t="s">
        <v>20</v>
      </c>
      <c r="E888" s="3" t="s">
        <v>21</v>
      </c>
      <c r="F888" s="3" t="s">
        <v>21</v>
      </c>
      <c r="G888" s="3" t="s">
        <v>233</v>
      </c>
      <c r="H888" s="3" t="s">
        <v>234</v>
      </c>
      <c r="I888" s="3" t="s">
        <v>24</v>
      </c>
      <c r="J888" s="3" t="s">
        <v>24</v>
      </c>
      <c r="K888" s="3" t="s">
        <v>25</v>
      </c>
      <c r="L888" s="4">
        <v>0</v>
      </c>
      <c r="M888" s="3" t="s">
        <v>26</v>
      </c>
      <c r="N888" s="3" t="s">
        <v>24</v>
      </c>
      <c r="O888" s="4">
        <v>1</v>
      </c>
      <c r="P888" s="4">
        <v>2</v>
      </c>
      <c r="Q888" s="4">
        <v>1</v>
      </c>
    </row>
    <row r="889" spans="1:17" x14ac:dyDescent="0.25">
      <c r="A889" s="3" t="s">
        <v>18</v>
      </c>
      <c r="B889" s="3">
        <v>12037612</v>
      </c>
      <c r="C889" s="3" t="s">
        <v>929</v>
      </c>
      <c r="D889" s="3" t="s">
        <v>20</v>
      </c>
      <c r="E889" s="3" t="s">
        <v>21</v>
      </c>
      <c r="F889" s="3" t="s">
        <v>21</v>
      </c>
      <c r="G889" s="3" t="s">
        <v>233</v>
      </c>
      <c r="H889" s="3" t="s">
        <v>234</v>
      </c>
      <c r="I889" s="3" t="s">
        <v>24</v>
      </c>
      <c r="J889" s="3" t="s">
        <v>24</v>
      </c>
      <c r="K889" s="3" t="s">
        <v>25</v>
      </c>
      <c r="L889" s="4">
        <v>0</v>
      </c>
      <c r="M889" s="3" t="s">
        <v>26</v>
      </c>
      <c r="N889" s="3" t="s">
        <v>24</v>
      </c>
      <c r="O889" s="4">
        <v>1</v>
      </c>
      <c r="P889" s="4">
        <v>2</v>
      </c>
      <c r="Q889" s="4">
        <v>1</v>
      </c>
    </row>
    <row r="890" spans="1:17" x14ac:dyDescent="0.25">
      <c r="A890" s="3" t="s">
        <v>18</v>
      </c>
      <c r="B890" s="3">
        <v>12045117</v>
      </c>
      <c r="C890" s="3" t="s">
        <v>930</v>
      </c>
      <c r="D890" s="3" t="s">
        <v>20</v>
      </c>
      <c r="E890" s="3" t="s">
        <v>21</v>
      </c>
      <c r="F890" s="3" t="s">
        <v>21</v>
      </c>
      <c r="G890" s="3" t="s">
        <v>30</v>
      </c>
      <c r="H890" s="3" t="s">
        <v>31</v>
      </c>
      <c r="I890" s="3" t="s">
        <v>24</v>
      </c>
      <c r="J890" s="3" t="s">
        <v>24</v>
      </c>
      <c r="K890" s="3" t="s">
        <v>25</v>
      </c>
      <c r="L890" s="4">
        <v>0</v>
      </c>
      <c r="M890" s="3" t="s">
        <v>26</v>
      </c>
      <c r="N890" s="3" t="s">
        <v>24</v>
      </c>
      <c r="O890" s="4">
        <v>1</v>
      </c>
      <c r="P890" s="4">
        <v>9</v>
      </c>
      <c r="Q890" s="4">
        <v>1</v>
      </c>
    </row>
    <row r="891" spans="1:17" x14ac:dyDescent="0.25">
      <c r="A891" s="3" t="s">
        <v>18</v>
      </c>
      <c r="B891" s="3">
        <v>12046301</v>
      </c>
      <c r="C891" s="3" t="s">
        <v>931</v>
      </c>
      <c r="D891" s="3" t="s">
        <v>20</v>
      </c>
      <c r="E891" s="3" t="s">
        <v>21</v>
      </c>
      <c r="F891" s="3" t="s">
        <v>21</v>
      </c>
      <c r="G891" s="3" t="s">
        <v>30</v>
      </c>
      <c r="H891" s="3" t="s">
        <v>31</v>
      </c>
      <c r="I891" s="3" t="s">
        <v>24</v>
      </c>
      <c r="J891" s="3" t="s">
        <v>24</v>
      </c>
      <c r="K891" s="3" t="s">
        <v>25</v>
      </c>
      <c r="L891" s="4">
        <v>0</v>
      </c>
      <c r="M891" s="3" t="s">
        <v>26</v>
      </c>
      <c r="N891" s="3" t="s">
        <v>24</v>
      </c>
      <c r="O891" s="4">
        <v>1</v>
      </c>
      <c r="P891" s="4">
        <v>8</v>
      </c>
      <c r="Q891" s="4">
        <v>1</v>
      </c>
    </row>
    <row r="892" spans="1:17" x14ac:dyDescent="0.25">
      <c r="A892" s="3" t="s">
        <v>18</v>
      </c>
      <c r="B892" s="3">
        <v>12046303</v>
      </c>
      <c r="C892" s="3" t="s">
        <v>932</v>
      </c>
      <c r="D892" s="3" t="s">
        <v>20</v>
      </c>
      <c r="E892" s="3" t="s">
        <v>21</v>
      </c>
      <c r="F892" s="3" t="s">
        <v>21</v>
      </c>
      <c r="G892" s="3" t="s">
        <v>42</v>
      </c>
      <c r="H892" s="3" t="s">
        <v>43</v>
      </c>
      <c r="I892" s="3" t="s">
        <v>24</v>
      </c>
      <c r="J892" s="3" t="s">
        <v>24</v>
      </c>
      <c r="K892" s="3" t="s">
        <v>25</v>
      </c>
      <c r="L892" s="4">
        <v>0</v>
      </c>
      <c r="M892" s="3" t="s">
        <v>26</v>
      </c>
      <c r="N892" s="3" t="s">
        <v>24</v>
      </c>
      <c r="O892" s="4">
        <v>1</v>
      </c>
      <c r="P892" s="4">
        <v>8</v>
      </c>
      <c r="Q892" s="4">
        <v>1</v>
      </c>
    </row>
    <row r="893" spans="1:17" x14ac:dyDescent="0.25">
      <c r="A893" s="3" t="s">
        <v>18</v>
      </c>
      <c r="B893" s="3">
        <v>12046349</v>
      </c>
      <c r="C893" s="3" t="s">
        <v>933</v>
      </c>
      <c r="D893" s="3" t="s">
        <v>20</v>
      </c>
      <c r="E893" s="3" t="s">
        <v>21</v>
      </c>
      <c r="F893" s="3" t="s">
        <v>21</v>
      </c>
      <c r="G893" s="3" t="s">
        <v>42</v>
      </c>
      <c r="H893" s="3" t="s">
        <v>43</v>
      </c>
      <c r="I893" s="3" t="s">
        <v>24</v>
      </c>
      <c r="J893" s="3" t="s">
        <v>24</v>
      </c>
      <c r="K893" s="3" t="s">
        <v>25</v>
      </c>
      <c r="L893" s="4">
        <v>0</v>
      </c>
      <c r="M893" s="3" t="s">
        <v>26</v>
      </c>
      <c r="N893" s="3" t="s">
        <v>24</v>
      </c>
      <c r="O893" s="4">
        <v>1</v>
      </c>
      <c r="P893" s="4">
        <v>8</v>
      </c>
      <c r="Q893" s="4">
        <v>1</v>
      </c>
    </row>
    <row r="894" spans="1:17" x14ac:dyDescent="0.25">
      <c r="A894" s="3" t="s">
        <v>18</v>
      </c>
      <c r="B894" s="3">
        <v>12049220</v>
      </c>
      <c r="C894" s="3" t="s">
        <v>934</v>
      </c>
      <c r="D894" s="3" t="s">
        <v>20</v>
      </c>
      <c r="E894" s="3" t="s">
        <v>21</v>
      </c>
      <c r="F894" s="3" t="s">
        <v>21</v>
      </c>
      <c r="G894" s="3" t="s">
        <v>42</v>
      </c>
      <c r="H894" s="3" t="s">
        <v>43</v>
      </c>
      <c r="I894" s="3" t="s">
        <v>24</v>
      </c>
      <c r="J894" s="3" t="s">
        <v>24</v>
      </c>
      <c r="K894" s="3" t="s">
        <v>25</v>
      </c>
      <c r="L894" s="4">
        <v>0</v>
      </c>
      <c r="M894" s="3" t="s">
        <v>26</v>
      </c>
      <c r="N894" s="3" t="s">
        <v>24</v>
      </c>
      <c r="O894" s="4">
        <v>1</v>
      </c>
      <c r="P894" s="4">
        <v>8</v>
      </c>
      <c r="Q894" s="4">
        <v>1</v>
      </c>
    </row>
    <row r="895" spans="1:17" x14ac:dyDescent="0.25">
      <c r="A895" s="3" t="s">
        <v>18</v>
      </c>
      <c r="B895" s="3">
        <v>12049321</v>
      </c>
      <c r="C895" s="3" t="s">
        <v>935</v>
      </c>
      <c r="D895" s="3" t="s">
        <v>20</v>
      </c>
      <c r="E895" s="3" t="s">
        <v>21</v>
      </c>
      <c r="F895" s="3" t="s">
        <v>21</v>
      </c>
      <c r="G895" s="3" t="s">
        <v>22</v>
      </c>
      <c r="H895" s="3" t="s">
        <v>23</v>
      </c>
      <c r="I895" s="3" t="s">
        <v>24</v>
      </c>
      <c r="J895" s="3" t="s">
        <v>24</v>
      </c>
      <c r="K895" s="3" t="s">
        <v>25</v>
      </c>
      <c r="L895" s="4">
        <v>0</v>
      </c>
      <c r="M895" s="3" t="s">
        <v>26</v>
      </c>
      <c r="N895" s="3" t="s">
        <v>24</v>
      </c>
      <c r="O895" s="4">
        <v>1</v>
      </c>
      <c r="P895" s="4">
        <v>4</v>
      </c>
      <c r="Q895" s="4">
        <v>1</v>
      </c>
    </row>
    <row r="896" spans="1:17" x14ac:dyDescent="0.25">
      <c r="A896" s="3" t="s">
        <v>18</v>
      </c>
      <c r="B896" s="3">
        <v>12049438</v>
      </c>
      <c r="C896" s="3" t="s">
        <v>936</v>
      </c>
      <c r="D896" s="3" t="s">
        <v>20</v>
      </c>
      <c r="E896" s="3" t="s">
        <v>21</v>
      </c>
      <c r="F896" s="3" t="s">
        <v>21</v>
      </c>
      <c r="G896" s="3" t="s">
        <v>22</v>
      </c>
      <c r="H896" s="3" t="s">
        <v>23</v>
      </c>
      <c r="I896" s="3" t="s">
        <v>24</v>
      </c>
      <c r="J896" s="3" t="s">
        <v>24</v>
      </c>
      <c r="K896" s="3" t="s">
        <v>25</v>
      </c>
      <c r="L896" s="4">
        <v>0</v>
      </c>
      <c r="M896" s="3" t="s">
        <v>26</v>
      </c>
      <c r="N896" s="3" t="s">
        <v>24</v>
      </c>
      <c r="O896" s="4">
        <v>1</v>
      </c>
      <c r="P896" s="4">
        <v>4</v>
      </c>
      <c r="Q896" s="4">
        <v>1</v>
      </c>
    </row>
    <row r="897" spans="1:17" x14ac:dyDescent="0.25">
      <c r="A897" s="3" t="s">
        <v>18</v>
      </c>
      <c r="B897" s="3">
        <v>12070502</v>
      </c>
      <c r="C897" s="3" t="s">
        <v>937</v>
      </c>
      <c r="D897" s="3" t="s">
        <v>20</v>
      </c>
      <c r="E897" s="3" t="s">
        <v>21</v>
      </c>
      <c r="F897" s="3" t="s">
        <v>21</v>
      </c>
      <c r="G897" s="3" t="s">
        <v>938</v>
      </c>
      <c r="H897" s="3" t="s">
        <v>939</v>
      </c>
      <c r="I897" s="3" t="s">
        <v>24</v>
      </c>
      <c r="J897" s="3" t="s">
        <v>24</v>
      </c>
      <c r="K897" s="3" t="s">
        <v>25</v>
      </c>
      <c r="L897" s="4">
        <v>0</v>
      </c>
      <c r="M897" s="3" t="s">
        <v>26</v>
      </c>
      <c r="N897" s="3" t="s">
        <v>24</v>
      </c>
      <c r="O897" s="4">
        <v>1</v>
      </c>
      <c r="P897" s="4">
        <v>1</v>
      </c>
      <c r="Q897" s="4">
        <v>1</v>
      </c>
    </row>
    <row r="898" spans="1:17" x14ac:dyDescent="0.25">
      <c r="A898" s="3" t="s">
        <v>18</v>
      </c>
      <c r="B898" s="3">
        <v>12095324</v>
      </c>
      <c r="C898" s="3" t="s">
        <v>940</v>
      </c>
      <c r="D898" s="3" t="s">
        <v>20</v>
      </c>
      <c r="E898" s="3" t="s">
        <v>21</v>
      </c>
      <c r="F898" s="3" t="s">
        <v>21</v>
      </c>
      <c r="G898" s="3" t="s">
        <v>30</v>
      </c>
      <c r="H898" s="3" t="s">
        <v>31</v>
      </c>
      <c r="I898" s="3" t="s">
        <v>24</v>
      </c>
      <c r="J898" s="3" t="s">
        <v>24</v>
      </c>
      <c r="K898" s="3" t="s">
        <v>25</v>
      </c>
      <c r="L898" s="4">
        <v>0</v>
      </c>
      <c r="M898" s="3" t="s">
        <v>26</v>
      </c>
      <c r="N898" s="3" t="s">
        <v>24</v>
      </c>
      <c r="O898" s="4">
        <v>1</v>
      </c>
      <c r="P898" s="4">
        <v>9</v>
      </c>
      <c r="Q898" s="4">
        <v>1</v>
      </c>
    </row>
    <row r="899" spans="1:17" x14ac:dyDescent="0.25">
      <c r="A899" s="3" t="s">
        <v>18</v>
      </c>
      <c r="B899" s="3">
        <v>12095327</v>
      </c>
      <c r="C899" s="3" t="s">
        <v>941</v>
      </c>
      <c r="D899" s="3" t="s">
        <v>20</v>
      </c>
      <c r="E899" s="3" t="s">
        <v>21</v>
      </c>
      <c r="F899" s="3" t="s">
        <v>21</v>
      </c>
      <c r="G899" s="3" t="s">
        <v>30</v>
      </c>
      <c r="H899" s="3" t="s">
        <v>31</v>
      </c>
      <c r="I899" s="3" t="s">
        <v>24</v>
      </c>
      <c r="J899" s="3" t="s">
        <v>24</v>
      </c>
      <c r="K899" s="3" t="s">
        <v>25</v>
      </c>
      <c r="L899" s="4">
        <v>0</v>
      </c>
      <c r="M899" s="3" t="s">
        <v>26</v>
      </c>
      <c r="N899" s="3" t="s">
        <v>24</v>
      </c>
      <c r="O899" s="4">
        <v>1</v>
      </c>
      <c r="P899" s="4">
        <v>9</v>
      </c>
      <c r="Q899" s="4">
        <v>1</v>
      </c>
    </row>
    <row r="900" spans="1:17" x14ac:dyDescent="0.25">
      <c r="A900" s="3" t="s">
        <v>18</v>
      </c>
      <c r="B900" s="3">
        <v>12095339</v>
      </c>
      <c r="C900" s="3" t="s">
        <v>942</v>
      </c>
      <c r="D900" s="3" t="s">
        <v>20</v>
      </c>
      <c r="E900" s="3" t="s">
        <v>21</v>
      </c>
      <c r="F900" s="3" t="s">
        <v>21</v>
      </c>
      <c r="G900" s="3" t="s">
        <v>30</v>
      </c>
      <c r="H900" s="3" t="s">
        <v>31</v>
      </c>
      <c r="I900" s="3" t="s">
        <v>24</v>
      </c>
      <c r="J900" s="3" t="s">
        <v>24</v>
      </c>
      <c r="K900" s="3" t="s">
        <v>25</v>
      </c>
      <c r="L900" s="4">
        <v>0</v>
      </c>
      <c r="M900" s="3" t="s">
        <v>26</v>
      </c>
      <c r="N900" s="3" t="s">
        <v>24</v>
      </c>
      <c r="O900" s="4">
        <v>1</v>
      </c>
      <c r="P900" s="4">
        <v>8</v>
      </c>
      <c r="Q900" s="4">
        <v>1</v>
      </c>
    </row>
    <row r="901" spans="1:17" x14ac:dyDescent="0.25">
      <c r="A901" s="3" t="s">
        <v>18</v>
      </c>
      <c r="B901" s="3">
        <v>12095341</v>
      </c>
      <c r="C901" s="3" t="s">
        <v>943</v>
      </c>
      <c r="D901" s="3" t="s">
        <v>20</v>
      </c>
      <c r="E901" s="3" t="s">
        <v>21</v>
      </c>
      <c r="F901" s="3" t="s">
        <v>21</v>
      </c>
      <c r="G901" s="3" t="s">
        <v>42</v>
      </c>
      <c r="H901" s="3" t="s">
        <v>43</v>
      </c>
      <c r="I901" s="3" t="s">
        <v>24</v>
      </c>
      <c r="J901" s="3" t="s">
        <v>24</v>
      </c>
      <c r="K901" s="3" t="s">
        <v>25</v>
      </c>
      <c r="L901" s="4">
        <v>0</v>
      </c>
      <c r="M901" s="3" t="s">
        <v>26</v>
      </c>
      <c r="N901" s="3" t="s">
        <v>24</v>
      </c>
      <c r="O901" s="4">
        <v>1</v>
      </c>
      <c r="P901" s="4">
        <v>8</v>
      </c>
      <c r="Q901" s="4">
        <v>1</v>
      </c>
    </row>
    <row r="902" spans="1:17" x14ac:dyDescent="0.25">
      <c r="A902" s="3" t="s">
        <v>18</v>
      </c>
      <c r="B902" s="3">
        <v>12095342</v>
      </c>
      <c r="C902" s="3" t="s">
        <v>944</v>
      </c>
      <c r="D902" s="3" t="s">
        <v>20</v>
      </c>
      <c r="E902" s="3" t="s">
        <v>21</v>
      </c>
      <c r="F902" s="3" t="s">
        <v>21</v>
      </c>
      <c r="G902" s="3" t="s">
        <v>22</v>
      </c>
      <c r="H902" s="3" t="s">
        <v>23</v>
      </c>
      <c r="I902" s="3" t="s">
        <v>24</v>
      </c>
      <c r="J902" s="3" t="s">
        <v>24</v>
      </c>
      <c r="K902" s="3" t="s">
        <v>25</v>
      </c>
      <c r="L902" s="4">
        <v>0</v>
      </c>
      <c r="M902" s="3" t="s">
        <v>26</v>
      </c>
      <c r="N902" s="3" t="s">
        <v>24</v>
      </c>
      <c r="O902" s="4">
        <v>1</v>
      </c>
      <c r="P902" s="4">
        <v>4</v>
      </c>
      <c r="Q902" s="4">
        <v>1</v>
      </c>
    </row>
    <row r="903" spans="1:17" x14ac:dyDescent="0.25">
      <c r="A903" s="3" t="s">
        <v>18</v>
      </c>
      <c r="B903" s="3">
        <v>12095345</v>
      </c>
      <c r="C903" s="3" t="s">
        <v>945</v>
      </c>
      <c r="D903" s="3" t="s">
        <v>20</v>
      </c>
      <c r="E903" s="3" t="s">
        <v>21</v>
      </c>
      <c r="F903" s="3" t="s">
        <v>21</v>
      </c>
      <c r="G903" s="3" t="s">
        <v>36</v>
      </c>
      <c r="H903" s="3" t="s">
        <v>37</v>
      </c>
      <c r="I903" s="3" t="s">
        <v>24</v>
      </c>
      <c r="J903" s="3" t="s">
        <v>24</v>
      </c>
      <c r="K903" s="3" t="s">
        <v>25</v>
      </c>
      <c r="L903" s="4">
        <v>0</v>
      </c>
      <c r="M903" s="3" t="s">
        <v>26</v>
      </c>
      <c r="N903" s="3" t="s">
        <v>24</v>
      </c>
      <c r="O903" s="4">
        <v>1</v>
      </c>
      <c r="P903" s="4">
        <v>10</v>
      </c>
      <c r="Q903" s="4">
        <v>1</v>
      </c>
    </row>
    <row r="904" spans="1:17" x14ac:dyDescent="0.25">
      <c r="A904" s="3" t="s">
        <v>18</v>
      </c>
      <c r="B904" s="3">
        <v>12095564</v>
      </c>
      <c r="C904" s="3" t="s">
        <v>946</v>
      </c>
      <c r="D904" s="3" t="s">
        <v>20</v>
      </c>
      <c r="E904" s="3" t="s">
        <v>21</v>
      </c>
      <c r="F904" s="3" t="s">
        <v>21</v>
      </c>
      <c r="G904" s="3" t="s">
        <v>233</v>
      </c>
      <c r="H904" s="3" t="s">
        <v>234</v>
      </c>
      <c r="I904" s="3" t="s">
        <v>24</v>
      </c>
      <c r="J904" s="3" t="s">
        <v>24</v>
      </c>
      <c r="K904" s="3" t="s">
        <v>25</v>
      </c>
      <c r="L904" s="4">
        <v>0</v>
      </c>
      <c r="M904" s="3" t="s">
        <v>26</v>
      </c>
      <c r="N904" s="3" t="s">
        <v>24</v>
      </c>
      <c r="O904" s="4">
        <v>1</v>
      </c>
      <c r="P904" s="4">
        <v>2</v>
      </c>
      <c r="Q904" s="4">
        <v>1</v>
      </c>
    </row>
    <row r="905" spans="1:17" x14ac:dyDescent="0.25">
      <c r="A905" s="3" t="s">
        <v>18</v>
      </c>
      <c r="B905" s="3">
        <v>12095567</v>
      </c>
      <c r="C905" s="3" t="s">
        <v>947</v>
      </c>
      <c r="D905" s="3" t="s">
        <v>20</v>
      </c>
      <c r="E905" s="3" t="s">
        <v>21</v>
      </c>
      <c r="F905" s="3" t="s">
        <v>21</v>
      </c>
      <c r="G905" s="3" t="s">
        <v>233</v>
      </c>
      <c r="H905" s="3" t="s">
        <v>234</v>
      </c>
      <c r="I905" s="3" t="s">
        <v>24</v>
      </c>
      <c r="J905" s="3" t="s">
        <v>24</v>
      </c>
      <c r="K905" s="3" t="s">
        <v>25</v>
      </c>
      <c r="L905" s="4">
        <v>0</v>
      </c>
      <c r="M905" s="3" t="s">
        <v>26</v>
      </c>
      <c r="N905" s="3" t="s">
        <v>24</v>
      </c>
      <c r="O905" s="4">
        <v>1</v>
      </c>
      <c r="P905" s="4">
        <v>99999999</v>
      </c>
      <c r="Q905" s="4">
        <v>1</v>
      </c>
    </row>
    <row r="906" spans="1:17" x14ac:dyDescent="0.25">
      <c r="A906" s="3" t="s">
        <v>18</v>
      </c>
      <c r="B906" s="3">
        <v>12096128</v>
      </c>
      <c r="C906" s="3" t="s">
        <v>948</v>
      </c>
      <c r="D906" s="3" t="s">
        <v>20</v>
      </c>
      <c r="E906" s="3" t="s">
        <v>21</v>
      </c>
      <c r="F906" s="3" t="s">
        <v>21</v>
      </c>
      <c r="G906" s="3" t="s">
        <v>30</v>
      </c>
      <c r="H906" s="3" t="s">
        <v>31</v>
      </c>
      <c r="I906" s="3" t="s">
        <v>24</v>
      </c>
      <c r="J906" s="3" t="s">
        <v>24</v>
      </c>
      <c r="K906" s="3" t="s">
        <v>25</v>
      </c>
      <c r="L906" s="4">
        <v>0</v>
      </c>
      <c r="M906" s="3" t="s">
        <v>26</v>
      </c>
      <c r="N906" s="3" t="s">
        <v>24</v>
      </c>
      <c r="O906" s="4">
        <v>1</v>
      </c>
      <c r="P906" s="4">
        <v>9</v>
      </c>
      <c r="Q906" s="4">
        <v>1</v>
      </c>
    </row>
    <row r="907" spans="1:17" x14ac:dyDescent="0.25">
      <c r="A907" s="3" t="s">
        <v>18</v>
      </c>
      <c r="B907" s="3">
        <v>12096131</v>
      </c>
      <c r="C907" s="3" t="s">
        <v>949</v>
      </c>
      <c r="D907" s="3" t="s">
        <v>20</v>
      </c>
      <c r="E907" s="3" t="s">
        <v>21</v>
      </c>
      <c r="F907" s="3" t="s">
        <v>21</v>
      </c>
      <c r="G907" s="3" t="s">
        <v>30</v>
      </c>
      <c r="H907" s="3" t="s">
        <v>31</v>
      </c>
      <c r="I907" s="3" t="s">
        <v>24</v>
      </c>
      <c r="J907" s="3" t="s">
        <v>24</v>
      </c>
      <c r="K907" s="3" t="s">
        <v>25</v>
      </c>
      <c r="L907" s="4">
        <v>0</v>
      </c>
      <c r="M907" s="3" t="s">
        <v>26</v>
      </c>
      <c r="N907" s="3" t="s">
        <v>24</v>
      </c>
      <c r="O907" s="4">
        <v>1</v>
      </c>
      <c r="P907" s="4">
        <v>8</v>
      </c>
      <c r="Q907" s="4">
        <v>1</v>
      </c>
    </row>
    <row r="908" spans="1:17" x14ac:dyDescent="0.25">
      <c r="A908" s="3" t="s">
        <v>18</v>
      </c>
      <c r="B908" s="3">
        <v>12096132</v>
      </c>
      <c r="C908" s="3" t="s">
        <v>950</v>
      </c>
      <c r="D908" s="3" t="s">
        <v>20</v>
      </c>
      <c r="E908" s="3" t="s">
        <v>21</v>
      </c>
      <c r="F908" s="3" t="s">
        <v>21</v>
      </c>
      <c r="G908" s="3" t="s">
        <v>22</v>
      </c>
      <c r="H908" s="3" t="s">
        <v>23</v>
      </c>
      <c r="I908" s="3" t="s">
        <v>24</v>
      </c>
      <c r="J908" s="3" t="s">
        <v>24</v>
      </c>
      <c r="K908" s="3" t="s">
        <v>25</v>
      </c>
      <c r="L908" s="4">
        <v>0</v>
      </c>
      <c r="M908" s="3" t="s">
        <v>26</v>
      </c>
      <c r="N908" s="3" t="s">
        <v>24</v>
      </c>
      <c r="O908" s="4">
        <v>1</v>
      </c>
      <c r="P908" s="4">
        <v>4</v>
      </c>
      <c r="Q908" s="4">
        <v>1</v>
      </c>
    </row>
    <row r="909" spans="1:17" x14ac:dyDescent="0.25">
      <c r="A909" s="3" t="s">
        <v>18</v>
      </c>
      <c r="B909" s="3">
        <v>12096134</v>
      </c>
      <c r="C909" s="3" t="s">
        <v>951</v>
      </c>
      <c r="D909" s="3" t="s">
        <v>20</v>
      </c>
      <c r="E909" s="3" t="s">
        <v>21</v>
      </c>
      <c r="F909" s="3" t="s">
        <v>21</v>
      </c>
      <c r="G909" s="3" t="s">
        <v>36</v>
      </c>
      <c r="H909" s="3" t="s">
        <v>37</v>
      </c>
      <c r="I909" s="3" t="s">
        <v>24</v>
      </c>
      <c r="J909" s="3" t="s">
        <v>24</v>
      </c>
      <c r="K909" s="3" t="s">
        <v>25</v>
      </c>
      <c r="L909" s="4">
        <v>0</v>
      </c>
      <c r="M909" s="3" t="s">
        <v>26</v>
      </c>
      <c r="N909" s="3" t="s">
        <v>24</v>
      </c>
      <c r="O909" s="4">
        <v>1</v>
      </c>
      <c r="P909" s="4">
        <v>10</v>
      </c>
      <c r="Q909" s="4">
        <v>1</v>
      </c>
    </row>
    <row r="910" spans="1:17" x14ac:dyDescent="0.25">
      <c r="A910" s="3" t="s">
        <v>18</v>
      </c>
      <c r="B910" s="3">
        <v>12104580</v>
      </c>
      <c r="C910" s="3" t="s">
        <v>952</v>
      </c>
      <c r="D910" s="3" t="s">
        <v>20</v>
      </c>
      <c r="E910" s="3" t="s">
        <v>21</v>
      </c>
      <c r="F910" s="3" t="s">
        <v>21</v>
      </c>
      <c r="G910" s="3" t="s">
        <v>410</v>
      </c>
      <c r="H910" s="3" t="s">
        <v>411</v>
      </c>
      <c r="I910" s="3" t="s">
        <v>24</v>
      </c>
      <c r="J910" s="3" t="s">
        <v>24</v>
      </c>
      <c r="K910" s="3" t="s">
        <v>25</v>
      </c>
      <c r="L910" s="4">
        <v>0</v>
      </c>
      <c r="M910" s="3" t="s">
        <v>26</v>
      </c>
      <c r="N910" s="3" t="s">
        <v>24</v>
      </c>
      <c r="O910" s="4">
        <v>1</v>
      </c>
      <c r="P910" s="4">
        <v>8</v>
      </c>
      <c r="Q910" s="4">
        <v>1</v>
      </c>
    </row>
    <row r="911" spans="1:17" x14ac:dyDescent="0.25">
      <c r="A911" s="3" t="s">
        <v>18</v>
      </c>
      <c r="B911" s="3">
        <v>12104585</v>
      </c>
      <c r="C911" s="3" t="s">
        <v>953</v>
      </c>
      <c r="D911" s="3" t="s">
        <v>20</v>
      </c>
      <c r="E911" s="3" t="s">
        <v>21</v>
      </c>
      <c r="F911" s="3" t="s">
        <v>21</v>
      </c>
      <c r="G911" s="3" t="s">
        <v>410</v>
      </c>
      <c r="H911" s="3" t="s">
        <v>411</v>
      </c>
      <c r="I911" s="3" t="s">
        <v>24</v>
      </c>
      <c r="J911" s="3" t="s">
        <v>24</v>
      </c>
      <c r="K911" s="3" t="s">
        <v>25</v>
      </c>
      <c r="L911" s="4">
        <v>0</v>
      </c>
      <c r="M911" s="3" t="s">
        <v>26</v>
      </c>
      <c r="N911" s="3" t="s">
        <v>24</v>
      </c>
      <c r="O911" s="4">
        <v>1</v>
      </c>
      <c r="P911" s="4">
        <v>8</v>
      </c>
      <c r="Q911" s="4">
        <v>1</v>
      </c>
    </row>
    <row r="912" spans="1:17" x14ac:dyDescent="0.25">
      <c r="A912" s="3" t="s">
        <v>18</v>
      </c>
      <c r="B912" s="3">
        <v>12104733</v>
      </c>
      <c r="C912" s="3" t="s">
        <v>954</v>
      </c>
      <c r="D912" s="3" t="s">
        <v>20</v>
      </c>
      <c r="E912" s="3" t="s">
        <v>21</v>
      </c>
      <c r="F912" s="3" t="s">
        <v>21</v>
      </c>
      <c r="G912" s="3" t="s">
        <v>410</v>
      </c>
      <c r="H912" s="3" t="s">
        <v>411</v>
      </c>
      <c r="I912" s="3" t="s">
        <v>24</v>
      </c>
      <c r="J912" s="3" t="s">
        <v>24</v>
      </c>
      <c r="K912" s="3" t="s">
        <v>25</v>
      </c>
      <c r="L912" s="4">
        <v>0</v>
      </c>
      <c r="M912" s="3" t="s">
        <v>26</v>
      </c>
      <c r="N912" s="3" t="s">
        <v>24</v>
      </c>
      <c r="O912" s="4">
        <v>1</v>
      </c>
      <c r="P912" s="4">
        <v>8</v>
      </c>
      <c r="Q912" s="4">
        <v>1</v>
      </c>
    </row>
    <row r="913" spans="1:17" x14ac:dyDescent="0.25">
      <c r="A913" s="3" t="s">
        <v>18</v>
      </c>
      <c r="B913" s="3">
        <v>12104734</v>
      </c>
      <c r="C913" s="3" t="s">
        <v>955</v>
      </c>
      <c r="D913" s="3" t="s">
        <v>20</v>
      </c>
      <c r="E913" s="3" t="s">
        <v>21</v>
      </c>
      <c r="F913" s="3" t="s">
        <v>21</v>
      </c>
      <c r="G913" s="3" t="s">
        <v>410</v>
      </c>
      <c r="H913" s="3" t="s">
        <v>411</v>
      </c>
      <c r="I913" s="3" t="s">
        <v>24</v>
      </c>
      <c r="J913" s="3" t="s">
        <v>24</v>
      </c>
      <c r="K913" s="3" t="s">
        <v>25</v>
      </c>
      <c r="L913" s="4">
        <v>0</v>
      </c>
      <c r="M913" s="3" t="s">
        <v>26</v>
      </c>
      <c r="N913" s="3" t="s">
        <v>24</v>
      </c>
      <c r="O913" s="4">
        <v>1</v>
      </c>
      <c r="P913" s="4">
        <v>8</v>
      </c>
      <c r="Q913" s="4">
        <v>1</v>
      </c>
    </row>
    <row r="914" spans="1:17" x14ac:dyDescent="0.25">
      <c r="A914" s="3" t="s">
        <v>18</v>
      </c>
      <c r="B914" s="3">
        <v>12104735</v>
      </c>
      <c r="C914" s="3" t="s">
        <v>956</v>
      </c>
      <c r="D914" s="3" t="s">
        <v>20</v>
      </c>
      <c r="E914" s="3" t="s">
        <v>21</v>
      </c>
      <c r="F914" s="3" t="s">
        <v>21</v>
      </c>
      <c r="G914" s="3" t="s">
        <v>410</v>
      </c>
      <c r="H914" s="3" t="s">
        <v>411</v>
      </c>
      <c r="I914" s="3" t="s">
        <v>24</v>
      </c>
      <c r="J914" s="3" t="s">
        <v>24</v>
      </c>
      <c r="K914" s="3" t="s">
        <v>25</v>
      </c>
      <c r="L914" s="4">
        <v>0</v>
      </c>
      <c r="M914" s="3" t="s">
        <v>26</v>
      </c>
      <c r="N914" s="3" t="s">
        <v>24</v>
      </c>
      <c r="O914" s="4">
        <v>1</v>
      </c>
      <c r="P914" s="4">
        <v>8</v>
      </c>
      <c r="Q914" s="4">
        <v>1</v>
      </c>
    </row>
    <row r="915" spans="1:17" x14ac:dyDescent="0.25">
      <c r="A915" s="3" t="s">
        <v>18</v>
      </c>
      <c r="B915" s="3">
        <v>12104749</v>
      </c>
      <c r="C915" s="3" t="s">
        <v>957</v>
      </c>
      <c r="D915" s="3" t="s">
        <v>20</v>
      </c>
      <c r="E915" s="3" t="s">
        <v>21</v>
      </c>
      <c r="F915" s="3" t="s">
        <v>21</v>
      </c>
      <c r="G915" s="3" t="s">
        <v>410</v>
      </c>
      <c r="H915" s="3" t="s">
        <v>411</v>
      </c>
      <c r="I915" s="3" t="s">
        <v>24</v>
      </c>
      <c r="J915" s="3" t="s">
        <v>24</v>
      </c>
      <c r="K915" s="3" t="s">
        <v>25</v>
      </c>
      <c r="L915" s="4">
        <v>0</v>
      </c>
      <c r="M915" s="3" t="s">
        <v>26</v>
      </c>
      <c r="N915" s="3" t="s">
        <v>24</v>
      </c>
      <c r="O915" s="4">
        <v>1</v>
      </c>
      <c r="P915" s="4">
        <v>4</v>
      </c>
      <c r="Q915" s="4">
        <v>1</v>
      </c>
    </row>
    <row r="916" spans="1:17" x14ac:dyDescent="0.25">
      <c r="A916" s="3" t="s">
        <v>18</v>
      </c>
      <c r="B916" s="3">
        <v>12104750</v>
      </c>
      <c r="C916" s="3" t="s">
        <v>958</v>
      </c>
      <c r="D916" s="3" t="s">
        <v>20</v>
      </c>
      <c r="E916" s="3" t="s">
        <v>21</v>
      </c>
      <c r="F916" s="3" t="s">
        <v>21</v>
      </c>
      <c r="G916" s="3" t="s">
        <v>410</v>
      </c>
      <c r="H916" s="3" t="s">
        <v>411</v>
      </c>
      <c r="I916" s="3" t="s">
        <v>24</v>
      </c>
      <c r="J916" s="3" t="s">
        <v>24</v>
      </c>
      <c r="K916" s="3" t="s">
        <v>25</v>
      </c>
      <c r="L916" s="4">
        <v>0</v>
      </c>
      <c r="M916" s="3" t="s">
        <v>26</v>
      </c>
      <c r="N916" s="3" t="s">
        <v>24</v>
      </c>
      <c r="O916" s="4">
        <v>1</v>
      </c>
      <c r="P916" s="4">
        <v>4</v>
      </c>
      <c r="Q916" s="4">
        <v>1</v>
      </c>
    </row>
    <row r="917" spans="1:17" x14ac:dyDescent="0.25">
      <c r="A917" s="3" t="s">
        <v>18</v>
      </c>
      <c r="B917" s="3">
        <v>12104754</v>
      </c>
      <c r="C917" s="3" t="s">
        <v>959</v>
      </c>
      <c r="D917" s="3" t="s">
        <v>20</v>
      </c>
      <c r="E917" s="3" t="s">
        <v>21</v>
      </c>
      <c r="F917" s="3" t="s">
        <v>21</v>
      </c>
      <c r="G917" s="3" t="s">
        <v>410</v>
      </c>
      <c r="H917" s="3" t="s">
        <v>411</v>
      </c>
      <c r="I917" s="3" t="s">
        <v>24</v>
      </c>
      <c r="J917" s="3" t="s">
        <v>24</v>
      </c>
      <c r="K917" s="3" t="s">
        <v>25</v>
      </c>
      <c r="L917" s="4">
        <v>0</v>
      </c>
      <c r="M917" s="3" t="s">
        <v>26</v>
      </c>
      <c r="N917" s="3" t="s">
        <v>24</v>
      </c>
      <c r="O917" s="4">
        <v>1</v>
      </c>
      <c r="P917" s="4">
        <v>4</v>
      </c>
      <c r="Q917" s="4">
        <v>1</v>
      </c>
    </row>
    <row r="918" spans="1:17" x14ac:dyDescent="0.25">
      <c r="A918" s="3" t="s">
        <v>18</v>
      </c>
      <c r="B918" s="3">
        <v>12104757</v>
      </c>
      <c r="C918" s="3" t="s">
        <v>960</v>
      </c>
      <c r="D918" s="3" t="s">
        <v>20</v>
      </c>
      <c r="E918" s="3" t="s">
        <v>21</v>
      </c>
      <c r="F918" s="3" t="s">
        <v>21</v>
      </c>
      <c r="G918" s="3" t="s">
        <v>410</v>
      </c>
      <c r="H918" s="3" t="s">
        <v>411</v>
      </c>
      <c r="I918" s="3" t="s">
        <v>24</v>
      </c>
      <c r="J918" s="3" t="s">
        <v>24</v>
      </c>
      <c r="K918" s="3" t="s">
        <v>25</v>
      </c>
      <c r="L918" s="4">
        <v>0</v>
      </c>
      <c r="M918" s="3" t="s">
        <v>26</v>
      </c>
      <c r="N918" s="3" t="s">
        <v>24</v>
      </c>
      <c r="O918" s="4">
        <v>1</v>
      </c>
      <c r="P918" s="4">
        <v>2</v>
      </c>
      <c r="Q918" s="4">
        <v>1</v>
      </c>
    </row>
    <row r="919" spans="1:17" x14ac:dyDescent="0.25">
      <c r="A919" s="3" t="s">
        <v>18</v>
      </c>
      <c r="B919" s="3">
        <v>12104780</v>
      </c>
      <c r="C919" s="3" t="s">
        <v>961</v>
      </c>
      <c r="D919" s="3" t="s">
        <v>20</v>
      </c>
      <c r="E919" s="3" t="s">
        <v>21</v>
      </c>
      <c r="F919" s="3" t="s">
        <v>21</v>
      </c>
      <c r="G919" s="3" t="s">
        <v>410</v>
      </c>
      <c r="H919" s="3" t="s">
        <v>411</v>
      </c>
      <c r="I919" s="3" t="s">
        <v>24</v>
      </c>
      <c r="J919" s="3" t="s">
        <v>24</v>
      </c>
      <c r="K919" s="3" t="s">
        <v>25</v>
      </c>
      <c r="L919" s="4">
        <v>0</v>
      </c>
      <c r="M919" s="3" t="s">
        <v>26</v>
      </c>
      <c r="N919" s="3" t="s">
        <v>24</v>
      </c>
      <c r="O919" s="4">
        <v>1</v>
      </c>
      <c r="P919" s="4">
        <v>99999999</v>
      </c>
      <c r="Q919" s="4">
        <v>1</v>
      </c>
    </row>
    <row r="920" spans="1:17" x14ac:dyDescent="0.25">
      <c r="A920" s="3" t="s">
        <v>18</v>
      </c>
      <c r="B920" s="3">
        <v>12104781</v>
      </c>
      <c r="C920" s="3" t="s">
        <v>962</v>
      </c>
      <c r="D920" s="3" t="s">
        <v>20</v>
      </c>
      <c r="E920" s="3" t="s">
        <v>21</v>
      </c>
      <c r="F920" s="3" t="s">
        <v>21</v>
      </c>
      <c r="G920" s="3" t="s">
        <v>410</v>
      </c>
      <c r="H920" s="3" t="s">
        <v>411</v>
      </c>
      <c r="I920" s="3" t="s">
        <v>24</v>
      </c>
      <c r="J920" s="3" t="s">
        <v>24</v>
      </c>
      <c r="K920" s="3" t="s">
        <v>25</v>
      </c>
      <c r="L920" s="4">
        <v>0</v>
      </c>
      <c r="M920" s="3" t="s">
        <v>26</v>
      </c>
      <c r="N920" s="3" t="s">
        <v>24</v>
      </c>
      <c r="O920" s="4">
        <v>1</v>
      </c>
      <c r="P920" s="4">
        <v>99999999</v>
      </c>
      <c r="Q920" s="4">
        <v>1</v>
      </c>
    </row>
    <row r="921" spans="1:17" x14ac:dyDescent="0.25">
      <c r="A921" s="3" t="s">
        <v>18</v>
      </c>
      <c r="B921" s="3">
        <v>12104798</v>
      </c>
      <c r="C921" s="3" t="s">
        <v>963</v>
      </c>
      <c r="D921" s="3" t="s">
        <v>20</v>
      </c>
      <c r="E921" s="3" t="s">
        <v>21</v>
      </c>
      <c r="F921" s="3" t="s">
        <v>21</v>
      </c>
      <c r="G921" s="3" t="s">
        <v>410</v>
      </c>
      <c r="H921" s="3" t="s">
        <v>411</v>
      </c>
      <c r="I921" s="3" t="s">
        <v>24</v>
      </c>
      <c r="J921" s="3" t="s">
        <v>24</v>
      </c>
      <c r="K921" s="3" t="s">
        <v>25</v>
      </c>
      <c r="L921" s="4">
        <v>0</v>
      </c>
      <c r="M921" s="3" t="s">
        <v>26</v>
      </c>
      <c r="N921" s="3" t="s">
        <v>24</v>
      </c>
      <c r="O921" s="4">
        <v>1</v>
      </c>
      <c r="P921" s="4">
        <v>8</v>
      </c>
      <c r="Q921" s="4">
        <v>1</v>
      </c>
    </row>
    <row r="922" spans="1:17" x14ac:dyDescent="0.25">
      <c r="A922" s="3" t="s">
        <v>18</v>
      </c>
      <c r="B922" s="3">
        <v>12104799</v>
      </c>
      <c r="C922" s="3" t="s">
        <v>964</v>
      </c>
      <c r="D922" s="3" t="s">
        <v>20</v>
      </c>
      <c r="E922" s="3" t="s">
        <v>21</v>
      </c>
      <c r="F922" s="3" t="s">
        <v>21</v>
      </c>
      <c r="G922" s="3" t="s">
        <v>410</v>
      </c>
      <c r="H922" s="3" t="s">
        <v>411</v>
      </c>
      <c r="I922" s="3" t="s">
        <v>24</v>
      </c>
      <c r="J922" s="3" t="s">
        <v>24</v>
      </c>
      <c r="K922" s="3" t="s">
        <v>25</v>
      </c>
      <c r="L922" s="4">
        <v>0</v>
      </c>
      <c r="M922" s="3" t="s">
        <v>26</v>
      </c>
      <c r="N922" s="3" t="s">
        <v>24</v>
      </c>
      <c r="O922" s="4">
        <v>1</v>
      </c>
      <c r="P922" s="4">
        <v>8</v>
      </c>
      <c r="Q922" s="4">
        <v>1</v>
      </c>
    </row>
    <row r="923" spans="1:17" x14ac:dyDescent="0.25">
      <c r="A923" s="3" t="s">
        <v>18</v>
      </c>
      <c r="B923" s="3">
        <v>12104801</v>
      </c>
      <c r="C923" s="3" t="s">
        <v>965</v>
      </c>
      <c r="D923" s="3" t="s">
        <v>20</v>
      </c>
      <c r="E923" s="3" t="s">
        <v>21</v>
      </c>
      <c r="F923" s="3" t="s">
        <v>21</v>
      </c>
      <c r="G923" s="3" t="s">
        <v>410</v>
      </c>
      <c r="H923" s="3" t="s">
        <v>411</v>
      </c>
      <c r="I923" s="3" t="s">
        <v>24</v>
      </c>
      <c r="J923" s="3" t="s">
        <v>24</v>
      </c>
      <c r="K923" s="3" t="s">
        <v>25</v>
      </c>
      <c r="L923" s="4">
        <v>0</v>
      </c>
      <c r="M923" s="3" t="s">
        <v>26</v>
      </c>
      <c r="N923" s="3" t="s">
        <v>24</v>
      </c>
      <c r="O923" s="4">
        <v>1</v>
      </c>
      <c r="P923" s="4">
        <v>8</v>
      </c>
      <c r="Q923" s="4">
        <v>1</v>
      </c>
    </row>
    <row r="924" spans="1:17" x14ac:dyDescent="0.25">
      <c r="A924" s="3" t="s">
        <v>18</v>
      </c>
      <c r="B924" s="3">
        <v>12104803</v>
      </c>
      <c r="C924" s="3" t="s">
        <v>966</v>
      </c>
      <c r="D924" s="3" t="s">
        <v>20</v>
      </c>
      <c r="E924" s="3" t="s">
        <v>21</v>
      </c>
      <c r="F924" s="3" t="s">
        <v>21</v>
      </c>
      <c r="G924" s="3" t="s">
        <v>410</v>
      </c>
      <c r="H924" s="3" t="s">
        <v>411</v>
      </c>
      <c r="I924" s="3" t="s">
        <v>24</v>
      </c>
      <c r="J924" s="3" t="s">
        <v>24</v>
      </c>
      <c r="K924" s="3" t="s">
        <v>25</v>
      </c>
      <c r="L924" s="4">
        <v>0</v>
      </c>
      <c r="M924" s="3" t="s">
        <v>26</v>
      </c>
      <c r="N924" s="3" t="s">
        <v>24</v>
      </c>
      <c r="O924" s="4">
        <v>1</v>
      </c>
      <c r="P924" s="4">
        <v>4</v>
      </c>
      <c r="Q924" s="4">
        <v>1</v>
      </c>
    </row>
    <row r="925" spans="1:17" x14ac:dyDescent="0.25">
      <c r="A925" s="3" t="s">
        <v>18</v>
      </c>
      <c r="B925" s="3">
        <v>12104805</v>
      </c>
      <c r="C925" s="3" t="s">
        <v>967</v>
      </c>
      <c r="D925" s="3" t="s">
        <v>20</v>
      </c>
      <c r="E925" s="3" t="s">
        <v>21</v>
      </c>
      <c r="F925" s="3" t="s">
        <v>21</v>
      </c>
      <c r="G925" s="3" t="s">
        <v>410</v>
      </c>
      <c r="H925" s="3" t="s">
        <v>411</v>
      </c>
      <c r="I925" s="3" t="s">
        <v>24</v>
      </c>
      <c r="J925" s="3" t="s">
        <v>24</v>
      </c>
      <c r="K925" s="3" t="s">
        <v>25</v>
      </c>
      <c r="L925" s="4">
        <v>0</v>
      </c>
      <c r="M925" s="3" t="s">
        <v>26</v>
      </c>
      <c r="N925" s="3" t="s">
        <v>24</v>
      </c>
      <c r="O925" s="4">
        <v>1</v>
      </c>
      <c r="P925" s="4">
        <v>4</v>
      </c>
      <c r="Q925" s="4">
        <v>1</v>
      </c>
    </row>
    <row r="926" spans="1:17" x14ac:dyDescent="0.25">
      <c r="A926" s="3" t="s">
        <v>18</v>
      </c>
      <c r="B926" s="3">
        <v>12104807</v>
      </c>
      <c r="C926" s="3" t="s">
        <v>968</v>
      </c>
      <c r="D926" s="3" t="s">
        <v>20</v>
      </c>
      <c r="E926" s="3" t="s">
        <v>21</v>
      </c>
      <c r="F926" s="3" t="s">
        <v>21</v>
      </c>
      <c r="G926" s="3" t="s">
        <v>410</v>
      </c>
      <c r="H926" s="3" t="s">
        <v>411</v>
      </c>
      <c r="I926" s="3" t="s">
        <v>24</v>
      </c>
      <c r="J926" s="3" t="s">
        <v>24</v>
      </c>
      <c r="K926" s="3" t="s">
        <v>25</v>
      </c>
      <c r="L926" s="4">
        <v>0</v>
      </c>
      <c r="M926" s="3" t="s">
        <v>26</v>
      </c>
      <c r="N926" s="3" t="s">
        <v>24</v>
      </c>
      <c r="O926" s="4">
        <v>1</v>
      </c>
      <c r="P926" s="4">
        <v>4</v>
      </c>
      <c r="Q926" s="4">
        <v>1</v>
      </c>
    </row>
    <row r="927" spans="1:17" x14ac:dyDescent="0.25">
      <c r="A927" s="3" t="s">
        <v>18</v>
      </c>
      <c r="B927" s="3">
        <v>12104810</v>
      </c>
      <c r="C927" s="3" t="s">
        <v>969</v>
      </c>
      <c r="D927" s="3" t="s">
        <v>20</v>
      </c>
      <c r="E927" s="3" t="s">
        <v>21</v>
      </c>
      <c r="F927" s="3" t="s">
        <v>21</v>
      </c>
      <c r="G927" s="3" t="s">
        <v>410</v>
      </c>
      <c r="H927" s="3" t="s">
        <v>411</v>
      </c>
      <c r="I927" s="3" t="s">
        <v>24</v>
      </c>
      <c r="J927" s="3" t="s">
        <v>24</v>
      </c>
      <c r="K927" s="3" t="s">
        <v>25</v>
      </c>
      <c r="L927" s="4">
        <v>0</v>
      </c>
      <c r="M927" s="3" t="s">
        <v>26</v>
      </c>
      <c r="N927" s="3" t="s">
        <v>24</v>
      </c>
      <c r="O927" s="4">
        <v>1</v>
      </c>
      <c r="P927" s="4">
        <v>2</v>
      </c>
      <c r="Q927" s="4">
        <v>1</v>
      </c>
    </row>
    <row r="928" spans="1:17" x14ac:dyDescent="0.25">
      <c r="A928" s="3" t="s">
        <v>18</v>
      </c>
      <c r="B928" s="3">
        <v>12104811</v>
      </c>
      <c r="C928" s="3" t="s">
        <v>970</v>
      </c>
      <c r="D928" s="3" t="s">
        <v>20</v>
      </c>
      <c r="E928" s="3" t="s">
        <v>21</v>
      </c>
      <c r="F928" s="3" t="s">
        <v>21</v>
      </c>
      <c r="G928" s="3" t="s">
        <v>410</v>
      </c>
      <c r="H928" s="3" t="s">
        <v>411</v>
      </c>
      <c r="I928" s="3" t="s">
        <v>24</v>
      </c>
      <c r="J928" s="3" t="s">
        <v>24</v>
      </c>
      <c r="K928" s="3" t="s">
        <v>25</v>
      </c>
      <c r="L928" s="4">
        <v>0</v>
      </c>
      <c r="M928" s="3" t="s">
        <v>26</v>
      </c>
      <c r="N928" s="3" t="s">
        <v>24</v>
      </c>
      <c r="O928" s="4">
        <v>1</v>
      </c>
      <c r="P928" s="4">
        <v>2</v>
      </c>
      <c r="Q928" s="4">
        <v>1</v>
      </c>
    </row>
    <row r="929" spans="1:17" x14ac:dyDescent="0.25">
      <c r="A929" s="3" t="s">
        <v>18</v>
      </c>
      <c r="B929" s="3">
        <v>12104813</v>
      </c>
      <c r="C929" s="3" t="s">
        <v>971</v>
      </c>
      <c r="D929" s="3" t="s">
        <v>20</v>
      </c>
      <c r="E929" s="3" t="s">
        <v>21</v>
      </c>
      <c r="F929" s="3" t="s">
        <v>21</v>
      </c>
      <c r="G929" s="3" t="s">
        <v>410</v>
      </c>
      <c r="H929" s="3" t="s">
        <v>411</v>
      </c>
      <c r="I929" s="3" t="s">
        <v>24</v>
      </c>
      <c r="J929" s="3" t="s">
        <v>24</v>
      </c>
      <c r="K929" s="3" t="s">
        <v>25</v>
      </c>
      <c r="L929" s="4">
        <v>0</v>
      </c>
      <c r="M929" s="3" t="s">
        <v>26</v>
      </c>
      <c r="N929" s="3" t="s">
        <v>24</v>
      </c>
      <c r="O929" s="4">
        <v>1</v>
      </c>
      <c r="P929" s="4">
        <v>2</v>
      </c>
      <c r="Q929" s="4">
        <v>1</v>
      </c>
    </row>
    <row r="930" spans="1:17" x14ac:dyDescent="0.25">
      <c r="A930" s="3" t="s">
        <v>18</v>
      </c>
      <c r="B930" s="3">
        <v>12104815</v>
      </c>
      <c r="C930" s="3" t="s">
        <v>972</v>
      </c>
      <c r="D930" s="3" t="s">
        <v>20</v>
      </c>
      <c r="E930" s="3" t="s">
        <v>21</v>
      </c>
      <c r="F930" s="3" t="s">
        <v>21</v>
      </c>
      <c r="G930" s="3" t="s">
        <v>410</v>
      </c>
      <c r="H930" s="3" t="s">
        <v>411</v>
      </c>
      <c r="I930" s="3" t="s">
        <v>24</v>
      </c>
      <c r="J930" s="3" t="s">
        <v>24</v>
      </c>
      <c r="K930" s="3" t="s">
        <v>25</v>
      </c>
      <c r="L930" s="4">
        <v>0</v>
      </c>
      <c r="M930" s="3" t="s">
        <v>26</v>
      </c>
      <c r="N930" s="3" t="s">
        <v>24</v>
      </c>
      <c r="O930" s="4">
        <v>1</v>
      </c>
      <c r="P930" s="4">
        <v>99999999</v>
      </c>
      <c r="Q930" s="4">
        <v>1</v>
      </c>
    </row>
    <row r="931" spans="1:17" x14ac:dyDescent="0.25">
      <c r="A931" s="3" t="s">
        <v>18</v>
      </c>
      <c r="B931" s="3">
        <v>12104874</v>
      </c>
      <c r="C931" s="3" t="s">
        <v>973</v>
      </c>
      <c r="D931" s="3" t="s">
        <v>20</v>
      </c>
      <c r="E931" s="3" t="s">
        <v>21</v>
      </c>
      <c r="F931" s="3" t="s">
        <v>21</v>
      </c>
      <c r="G931" s="3" t="s">
        <v>30</v>
      </c>
      <c r="H931" s="3" t="s">
        <v>31</v>
      </c>
      <c r="I931" s="3" t="s">
        <v>24</v>
      </c>
      <c r="J931" s="3" t="s">
        <v>24</v>
      </c>
      <c r="K931" s="3" t="s">
        <v>25</v>
      </c>
      <c r="L931" s="4">
        <v>0</v>
      </c>
      <c r="M931" s="3" t="s">
        <v>26</v>
      </c>
      <c r="N931" s="3" t="s">
        <v>24</v>
      </c>
      <c r="O931" s="4">
        <v>1</v>
      </c>
      <c r="P931" s="4">
        <v>9</v>
      </c>
      <c r="Q931" s="4">
        <v>1</v>
      </c>
    </row>
    <row r="932" spans="1:17" x14ac:dyDescent="0.25">
      <c r="A932" s="3" t="s">
        <v>18</v>
      </c>
      <c r="B932" s="3">
        <v>12105053</v>
      </c>
      <c r="C932" s="3" t="s">
        <v>974</v>
      </c>
      <c r="D932" s="3" t="s">
        <v>20</v>
      </c>
      <c r="E932" s="3" t="s">
        <v>21</v>
      </c>
      <c r="F932" s="3" t="s">
        <v>21</v>
      </c>
      <c r="G932" s="3" t="s">
        <v>42</v>
      </c>
      <c r="H932" s="3" t="s">
        <v>43</v>
      </c>
      <c r="I932" s="3" t="s">
        <v>24</v>
      </c>
      <c r="J932" s="3" t="s">
        <v>24</v>
      </c>
      <c r="K932" s="3" t="s">
        <v>25</v>
      </c>
      <c r="L932" s="4">
        <v>0</v>
      </c>
      <c r="M932" s="3" t="s">
        <v>26</v>
      </c>
      <c r="N932" s="3" t="s">
        <v>24</v>
      </c>
      <c r="O932" s="4">
        <v>1</v>
      </c>
      <c r="P932" s="4">
        <v>8</v>
      </c>
      <c r="Q932" s="4">
        <v>1</v>
      </c>
    </row>
    <row r="933" spans="1:17" x14ac:dyDescent="0.25">
      <c r="A933" s="3" t="s">
        <v>18</v>
      </c>
      <c r="B933" s="3">
        <v>12105098</v>
      </c>
      <c r="C933" s="3" t="s">
        <v>975</v>
      </c>
      <c r="D933" s="3" t="s">
        <v>20</v>
      </c>
      <c r="E933" s="3" t="s">
        <v>21</v>
      </c>
      <c r="F933" s="3" t="s">
        <v>21</v>
      </c>
      <c r="G933" s="3" t="s">
        <v>42</v>
      </c>
      <c r="H933" s="3" t="s">
        <v>43</v>
      </c>
      <c r="I933" s="3" t="s">
        <v>24</v>
      </c>
      <c r="J933" s="3" t="s">
        <v>24</v>
      </c>
      <c r="K933" s="3" t="s">
        <v>25</v>
      </c>
      <c r="L933" s="4">
        <v>0</v>
      </c>
      <c r="M933" s="3" t="s">
        <v>26</v>
      </c>
      <c r="N933" s="3" t="s">
        <v>24</v>
      </c>
      <c r="O933" s="4">
        <v>1</v>
      </c>
      <c r="P933" s="4">
        <v>8</v>
      </c>
      <c r="Q933" s="4">
        <v>1</v>
      </c>
    </row>
    <row r="934" spans="1:17" x14ac:dyDescent="0.25">
      <c r="A934" s="3" t="s">
        <v>18</v>
      </c>
      <c r="B934" s="3">
        <v>12105100</v>
      </c>
      <c r="C934" s="3" t="s">
        <v>976</v>
      </c>
      <c r="D934" s="3" t="s">
        <v>20</v>
      </c>
      <c r="E934" s="3" t="s">
        <v>21</v>
      </c>
      <c r="F934" s="3" t="s">
        <v>21</v>
      </c>
      <c r="G934" s="3" t="s">
        <v>22</v>
      </c>
      <c r="H934" s="3" t="s">
        <v>23</v>
      </c>
      <c r="I934" s="3" t="s">
        <v>24</v>
      </c>
      <c r="J934" s="3" t="s">
        <v>24</v>
      </c>
      <c r="K934" s="3" t="s">
        <v>25</v>
      </c>
      <c r="L934" s="4">
        <v>0</v>
      </c>
      <c r="M934" s="3" t="s">
        <v>26</v>
      </c>
      <c r="N934" s="3" t="s">
        <v>24</v>
      </c>
      <c r="O934" s="4">
        <v>1</v>
      </c>
      <c r="P934" s="4">
        <v>4</v>
      </c>
      <c r="Q934" s="4">
        <v>1</v>
      </c>
    </row>
    <row r="935" spans="1:17" x14ac:dyDescent="0.25">
      <c r="A935" s="3" t="s">
        <v>18</v>
      </c>
      <c r="B935" s="3">
        <v>12105101</v>
      </c>
      <c r="C935" s="3" t="s">
        <v>977</v>
      </c>
      <c r="D935" s="3" t="s">
        <v>20</v>
      </c>
      <c r="E935" s="3" t="s">
        <v>21</v>
      </c>
      <c r="F935" s="3" t="s">
        <v>21</v>
      </c>
      <c r="G935" s="3" t="s">
        <v>22</v>
      </c>
      <c r="H935" s="3" t="s">
        <v>23</v>
      </c>
      <c r="I935" s="3" t="s">
        <v>24</v>
      </c>
      <c r="J935" s="3" t="s">
        <v>24</v>
      </c>
      <c r="K935" s="3" t="s">
        <v>25</v>
      </c>
      <c r="L935" s="4">
        <v>0</v>
      </c>
      <c r="M935" s="3" t="s">
        <v>26</v>
      </c>
      <c r="N935" s="3" t="s">
        <v>24</v>
      </c>
      <c r="O935" s="4">
        <v>1</v>
      </c>
      <c r="P935" s="4">
        <v>4</v>
      </c>
      <c r="Q935" s="4">
        <v>1</v>
      </c>
    </row>
    <row r="936" spans="1:17" x14ac:dyDescent="0.25">
      <c r="A936" s="3" t="s">
        <v>18</v>
      </c>
      <c r="B936" s="3">
        <v>12105105</v>
      </c>
      <c r="C936" s="3" t="s">
        <v>978</v>
      </c>
      <c r="D936" s="3" t="s">
        <v>20</v>
      </c>
      <c r="E936" s="3" t="s">
        <v>21</v>
      </c>
      <c r="F936" s="3" t="s">
        <v>21</v>
      </c>
      <c r="G936" s="3" t="s">
        <v>233</v>
      </c>
      <c r="H936" s="3" t="s">
        <v>234</v>
      </c>
      <c r="I936" s="3" t="s">
        <v>24</v>
      </c>
      <c r="J936" s="3" t="s">
        <v>24</v>
      </c>
      <c r="K936" s="3" t="s">
        <v>25</v>
      </c>
      <c r="L936" s="4">
        <v>0</v>
      </c>
      <c r="M936" s="3" t="s">
        <v>26</v>
      </c>
      <c r="N936" s="3" t="s">
        <v>24</v>
      </c>
      <c r="O936" s="4">
        <v>1</v>
      </c>
      <c r="P936" s="4">
        <v>2</v>
      </c>
      <c r="Q936" s="4">
        <v>1</v>
      </c>
    </row>
    <row r="937" spans="1:17" x14ac:dyDescent="0.25">
      <c r="A937" s="3" t="s">
        <v>18</v>
      </c>
      <c r="B937" s="3">
        <v>12105106</v>
      </c>
      <c r="C937" s="3" t="s">
        <v>979</v>
      </c>
      <c r="D937" s="3" t="s">
        <v>20</v>
      </c>
      <c r="E937" s="3" t="s">
        <v>21</v>
      </c>
      <c r="F937" s="3" t="s">
        <v>21</v>
      </c>
      <c r="G937" s="3" t="s">
        <v>233</v>
      </c>
      <c r="H937" s="3" t="s">
        <v>234</v>
      </c>
      <c r="I937" s="3" t="s">
        <v>24</v>
      </c>
      <c r="J937" s="3" t="s">
        <v>24</v>
      </c>
      <c r="K937" s="3" t="s">
        <v>25</v>
      </c>
      <c r="L937" s="4">
        <v>0</v>
      </c>
      <c r="M937" s="3" t="s">
        <v>26</v>
      </c>
      <c r="N937" s="3" t="s">
        <v>24</v>
      </c>
      <c r="O937" s="4">
        <v>1</v>
      </c>
      <c r="P937" s="4">
        <v>1</v>
      </c>
      <c r="Q937" s="4">
        <v>1</v>
      </c>
    </row>
    <row r="938" spans="1:17" x14ac:dyDescent="0.25">
      <c r="A938" s="3" t="s">
        <v>18</v>
      </c>
      <c r="B938" s="3">
        <v>12113278</v>
      </c>
      <c r="C938" s="3" t="s">
        <v>980</v>
      </c>
      <c r="D938" s="3" t="s">
        <v>20</v>
      </c>
      <c r="E938" s="3" t="s">
        <v>21</v>
      </c>
      <c r="F938" s="3" t="s">
        <v>21</v>
      </c>
      <c r="G938" s="3" t="s">
        <v>410</v>
      </c>
      <c r="H938" s="3" t="s">
        <v>411</v>
      </c>
      <c r="I938" s="3" t="s">
        <v>24</v>
      </c>
      <c r="J938" s="3" t="s">
        <v>24</v>
      </c>
      <c r="K938" s="3" t="s">
        <v>25</v>
      </c>
      <c r="L938" s="4">
        <v>0</v>
      </c>
      <c r="M938" s="3" t="s">
        <v>26</v>
      </c>
      <c r="N938" s="3" t="s">
        <v>24</v>
      </c>
      <c r="O938" s="4">
        <v>1</v>
      </c>
      <c r="P938" s="4">
        <v>9</v>
      </c>
      <c r="Q938" s="4">
        <v>1</v>
      </c>
    </row>
    <row r="939" spans="1:17" x14ac:dyDescent="0.25">
      <c r="A939" s="3" t="s">
        <v>18</v>
      </c>
      <c r="B939" s="3">
        <v>12113281</v>
      </c>
      <c r="C939" s="3" t="s">
        <v>981</v>
      </c>
      <c r="D939" s="3" t="s">
        <v>20</v>
      </c>
      <c r="E939" s="3" t="s">
        <v>21</v>
      </c>
      <c r="F939" s="3" t="s">
        <v>21</v>
      </c>
      <c r="G939" s="3" t="s">
        <v>410</v>
      </c>
      <c r="H939" s="3" t="s">
        <v>411</v>
      </c>
      <c r="I939" s="3" t="s">
        <v>24</v>
      </c>
      <c r="J939" s="3" t="s">
        <v>24</v>
      </c>
      <c r="K939" s="3" t="s">
        <v>25</v>
      </c>
      <c r="L939" s="4">
        <v>0</v>
      </c>
      <c r="M939" s="3" t="s">
        <v>26</v>
      </c>
      <c r="N939" s="3" t="s">
        <v>24</v>
      </c>
      <c r="O939" s="4">
        <v>1</v>
      </c>
      <c r="P939" s="4">
        <v>8</v>
      </c>
      <c r="Q939" s="4">
        <v>1</v>
      </c>
    </row>
    <row r="940" spans="1:17" x14ac:dyDescent="0.25">
      <c r="A940" s="3" t="s">
        <v>18</v>
      </c>
      <c r="B940" s="3">
        <v>12113282</v>
      </c>
      <c r="C940" s="3" t="s">
        <v>982</v>
      </c>
      <c r="D940" s="3" t="s">
        <v>20</v>
      </c>
      <c r="E940" s="3" t="s">
        <v>21</v>
      </c>
      <c r="F940" s="3" t="s">
        <v>21</v>
      </c>
      <c r="G940" s="3" t="s">
        <v>410</v>
      </c>
      <c r="H940" s="3" t="s">
        <v>411</v>
      </c>
      <c r="I940" s="3" t="s">
        <v>24</v>
      </c>
      <c r="J940" s="3" t="s">
        <v>24</v>
      </c>
      <c r="K940" s="3" t="s">
        <v>25</v>
      </c>
      <c r="L940" s="4">
        <v>0</v>
      </c>
      <c r="M940" s="3" t="s">
        <v>26</v>
      </c>
      <c r="N940" s="3" t="s">
        <v>24</v>
      </c>
      <c r="O940" s="4">
        <v>1</v>
      </c>
      <c r="P940" s="4">
        <v>8</v>
      </c>
      <c r="Q940" s="4">
        <v>1</v>
      </c>
    </row>
    <row r="941" spans="1:17" x14ac:dyDescent="0.25">
      <c r="A941" s="3" t="s">
        <v>18</v>
      </c>
      <c r="B941" s="3">
        <v>12113283</v>
      </c>
      <c r="C941" s="3" t="s">
        <v>983</v>
      </c>
      <c r="D941" s="3" t="s">
        <v>20</v>
      </c>
      <c r="E941" s="3" t="s">
        <v>21</v>
      </c>
      <c r="F941" s="3" t="s">
        <v>21</v>
      </c>
      <c r="G941" s="3" t="s">
        <v>410</v>
      </c>
      <c r="H941" s="3" t="s">
        <v>411</v>
      </c>
      <c r="I941" s="3" t="s">
        <v>24</v>
      </c>
      <c r="J941" s="3" t="s">
        <v>24</v>
      </c>
      <c r="K941" s="3" t="s">
        <v>25</v>
      </c>
      <c r="L941" s="4">
        <v>0</v>
      </c>
      <c r="M941" s="3" t="s">
        <v>26</v>
      </c>
      <c r="N941" s="3" t="s">
        <v>24</v>
      </c>
      <c r="O941" s="4">
        <v>1</v>
      </c>
      <c r="P941" s="4">
        <v>8</v>
      </c>
      <c r="Q941" s="4">
        <v>1</v>
      </c>
    </row>
    <row r="942" spans="1:17" x14ac:dyDescent="0.25">
      <c r="A942" s="3" t="s">
        <v>18</v>
      </c>
      <c r="B942" s="3">
        <v>12113284</v>
      </c>
      <c r="C942" s="3" t="s">
        <v>984</v>
      </c>
      <c r="D942" s="3" t="s">
        <v>20</v>
      </c>
      <c r="E942" s="3" t="s">
        <v>21</v>
      </c>
      <c r="F942" s="3" t="s">
        <v>21</v>
      </c>
      <c r="G942" s="3" t="s">
        <v>410</v>
      </c>
      <c r="H942" s="3" t="s">
        <v>411</v>
      </c>
      <c r="I942" s="3" t="s">
        <v>24</v>
      </c>
      <c r="J942" s="3" t="s">
        <v>24</v>
      </c>
      <c r="K942" s="3" t="s">
        <v>25</v>
      </c>
      <c r="L942" s="4">
        <v>0</v>
      </c>
      <c r="M942" s="3" t="s">
        <v>26</v>
      </c>
      <c r="N942" s="3" t="s">
        <v>24</v>
      </c>
      <c r="O942" s="4">
        <v>1</v>
      </c>
      <c r="P942" s="4">
        <v>8</v>
      </c>
      <c r="Q942" s="4">
        <v>1</v>
      </c>
    </row>
    <row r="943" spans="1:17" x14ac:dyDescent="0.25">
      <c r="A943" s="3" t="s">
        <v>18</v>
      </c>
      <c r="B943" s="3">
        <v>12113285</v>
      </c>
      <c r="C943" s="3" t="s">
        <v>985</v>
      </c>
      <c r="D943" s="3" t="s">
        <v>20</v>
      </c>
      <c r="E943" s="3" t="s">
        <v>21</v>
      </c>
      <c r="F943" s="3" t="s">
        <v>21</v>
      </c>
      <c r="G943" s="3" t="s">
        <v>410</v>
      </c>
      <c r="H943" s="3" t="s">
        <v>411</v>
      </c>
      <c r="I943" s="3" t="s">
        <v>24</v>
      </c>
      <c r="J943" s="3" t="s">
        <v>24</v>
      </c>
      <c r="K943" s="3" t="s">
        <v>25</v>
      </c>
      <c r="L943" s="4">
        <v>0</v>
      </c>
      <c r="M943" s="3" t="s">
        <v>26</v>
      </c>
      <c r="N943" s="3" t="s">
        <v>24</v>
      </c>
      <c r="O943" s="4">
        <v>1</v>
      </c>
      <c r="P943" s="4">
        <v>8</v>
      </c>
      <c r="Q943" s="4">
        <v>1</v>
      </c>
    </row>
    <row r="944" spans="1:17" x14ac:dyDescent="0.25">
      <c r="A944" s="3" t="s">
        <v>18</v>
      </c>
      <c r="B944" s="3">
        <v>12113298</v>
      </c>
      <c r="C944" s="3" t="s">
        <v>986</v>
      </c>
      <c r="D944" s="3" t="s">
        <v>20</v>
      </c>
      <c r="E944" s="3" t="s">
        <v>21</v>
      </c>
      <c r="F944" s="3" t="s">
        <v>21</v>
      </c>
      <c r="G944" s="3" t="s">
        <v>410</v>
      </c>
      <c r="H944" s="3" t="s">
        <v>411</v>
      </c>
      <c r="I944" s="3" t="s">
        <v>24</v>
      </c>
      <c r="J944" s="3" t="s">
        <v>24</v>
      </c>
      <c r="K944" s="3" t="s">
        <v>25</v>
      </c>
      <c r="L944" s="4">
        <v>0</v>
      </c>
      <c r="M944" s="3" t="s">
        <v>26</v>
      </c>
      <c r="N944" s="3" t="s">
        <v>24</v>
      </c>
      <c r="O944" s="4">
        <v>1</v>
      </c>
      <c r="P944" s="4">
        <v>8</v>
      </c>
      <c r="Q944" s="4">
        <v>1</v>
      </c>
    </row>
    <row r="945" spans="1:17" x14ac:dyDescent="0.25">
      <c r="A945" s="3" t="s">
        <v>18</v>
      </c>
      <c r="B945" s="3">
        <v>12113299</v>
      </c>
      <c r="C945" s="3" t="s">
        <v>987</v>
      </c>
      <c r="D945" s="3" t="s">
        <v>20</v>
      </c>
      <c r="E945" s="3" t="s">
        <v>21</v>
      </c>
      <c r="F945" s="3" t="s">
        <v>21</v>
      </c>
      <c r="G945" s="3" t="s">
        <v>410</v>
      </c>
      <c r="H945" s="3" t="s">
        <v>411</v>
      </c>
      <c r="I945" s="3" t="s">
        <v>24</v>
      </c>
      <c r="J945" s="3" t="s">
        <v>24</v>
      </c>
      <c r="K945" s="3" t="s">
        <v>25</v>
      </c>
      <c r="L945" s="4">
        <v>0</v>
      </c>
      <c r="M945" s="3" t="s">
        <v>26</v>
      </c>
      <c r="N945" s="3" t="s">
        <v>24</v>
      </c>
      <c r="O945" s="4">
        <v>1</v>
      </c>
      <c r="P945" s="4">
        <v>9</v>
      </c>
      <c r="Q945" s="4">
        <v>1</v>
      </c>
    </row>
    <row r="946" spans="1:17" x14ac:dyDescent="0.25">
      <c r="A946" s="3" t="s">
        <v>18</v>
      </c>
      <c r="B946" s="3">
        <v>12113300</v>
      </c>
      <c r="C946" s="3" t="s">
        <v>988</v>
      </c>
      <c r="D946" s="3" t="s">
        <v>20</v>
      </c>
      <c r="E946" s="3" t="s">
        <v>21</v>
      </c>
      <c r="F946" s="3" t="s">
        <v>21</v>
      </c>
      <c r="G946" s="3" t="s">
        <v>410</v>
      </c>
      <c r="H946" s="3" t="s">
        <v>411</v>
      </c>
      <c r="I946" s="3" t="s">
        <v>24</v>
      </c>
      <c r="J946" s="3" t="s">
        <v>24</v>
      </c>
      <c r="K946" s="3" t="s">
        <v>25</v>
      </c>
      <c r="L946" s="4">
        <v>0</v>
      </c>
      <c r="M946" s="3" t="s">
        <v>26</v>
      </c>
      <c r="N946" s="3" t="s">
        <v>24</v>
      </c>
      <c r="O946" s="4">
        <v>1</v>
      </c>
      <c r="P946" s="4">
        <v>9</v>
      </c>
      <c r="Q946" s="4">
        <v>1</v>
      </c>
    </row>
    <row r="947" spans="1:17" x14ac:dyDescent="0.25">
      <c r="A947" s="3" t="s">
        <v>18</v>
      </c>
      <c r="B947" s="3">
        <v>12113302</v>
      </c>
      <c r="C947" s="3" t="s">
        <v>989</v>
      </c>
      <c r="D947" s="3" t="s">
        <v>20</v>
      </c>
      <c r="E947" s="3" t="s">
        <v>21</v>
      </c>
      <c r="F947" s="3" t="s">
        <v>21</v>
      </c>
      <c r="G947" s="3" t="s">
        <v>410</v>
      </c>
      <c r="H947" s="3" t="s">
        <v>411</v>
      </c>
      <c r="I947" s="3" t="s">
        <v>24</v>
      </c>
      <c r="J947" s="3" t="s">
        <v>24</v>
      </c>
      <c r="K947" s="3" t="s">
        <v>25</v>
      </c>
      <c r="L947" s="4">
        <v>0</v>
      </c>
      <c r="M947" s="3" t="s">
        <v>26</v>
      </c>
      <c r="N947" s="3" t="s">
        <v>24</v>
      </c>
      <c r="O947" s="4">
        <v>1</v>
      </c>
      <c r="P947" s="4">
        <v>8</v>
      </c>
      <c r="Q947" s="4">
        <v>1</v>
      </c>
    </row>
    <row r="948" spans="1:17" x14ac:dyDescent="0.25">
      <c r="A948" s="3" t="s">
        <v>18</v>
      </c>
      <c r="B948" s="3">
        <v>12113303</v>
      </c>
      <c r="C948" s="3" t="s">
        <v>990</v>
      </c>
      <c r="D948" s="3" t="s">
        <v>20</v>
      </c>
      <c r="E948" s="3" t="s">
        <v>21</v>
      </c>
      <c r="F948" s="3" t="s">
        <v>21</v>
      </c>
      <c r="G948" s="3" t="s">
        <v>410</v>
      </c>
      <c r="H948" s="3" t="s">
        <v>411</v>
      </c>
      <c r="I948" s="3" t="s">
        <v>24</v>
      </c>
      <c r="J948" s="3" t="s">
        <v>24</v>
      </c>
      <c r="K948" s="3" t="s">
        <v>25</v>
      </c>
      <c r="L948" s="4">
        <v>0</v>
      </c>
      <c r="M948" s="3" t="s">
        <v>26</v>
      </c>
      <c r="N948" s="3" t="s">
        <v>24</v>
      </c>
      <c r="O948" s="4">
        <v>1</v>
      </c>
      <c r="P948" s="4">
        <v>8</v>
      </c>
      <c r="Q948" s="4">
        <v>1</v>
      </c>
    </row>
    <row r="949" spans="1:17" x14ac:dyDescent="0.25">
      <c r="A949" s="3" t="s">
        <v>18</v>
      </c>
      <c r="B949" s="3">
        <v>12113304</v>
      </c>
      <c r="C949" s="3" t="s">
        <v>991</v>
      </c>
      <c r="D949" s="3" t="s">
        <v>20</v>
      </c>
      <c r="E949" s="3" t="s">
        <v>21</v>
      </c>
      <c r="F949" s="3" t="s">
        <v>21</v>
      </c>
      <c r="G949" s="3" t="s">
        <v>410</v>
      </c>
      <c r="H949" s="3" t="s">
        <v>411</v>
      </c>
      <c r="I949" s="3" t="s">
        <v>24</v>
      </c>
      <c r="J949" s="3" t="s">
        <v>24</v>
      </c>
      <c r="K949" s="3" t="s">
        <v>25</v>
      </c>
      <c r="L949" s="4">
        <v>0</v>
      </c>
      <c r="M949" s="3" t="s">
        <v>26</v>
      </c>
      <c r="N949" s="3" t="s">
        <v>24</v>
      </c>
      <c r="O949" s="4">
        <v>1</v>
      </c>
      <c r="P949" s="4">
        <v>8</v>
      </c>
      <c r="Q949" s="4">
        <v>1</v>
      </c>
    </row>
    <row r="950" spans="1:17" x14ac:dyDescent="0.25">
      <c r="A950" s="3" t="s">
        <v>18</v>
      </c>
      <c r="B950" s="3">
        <v>12117551</v>
      </c>
      <c r="C950" s="3" t="s">
        <v>992</v>
      </c>
      <c r="D950" s="3" t="s">
        <v>20</v>
      </c>
      <c r="E950" s="3" t="s">
        <v>21</v>
      </c>
      <c r="F950" s="3" t="s">
        <v>21</v>
      </c>
      <c r="G950" s="3" t="s">
        <v>233</v>
      </c>
      <c r="H950" s="3" t="s">
        <v>234</v>
      </c>
      <c r="I950" s="3" t="s">
        <v>24</v>
      </c>
      <c r="J950" s="3" t="s">
        <v>24</v>
      </c>
      <c r="K950" s="3" t="s">
        <v>25</v>
      </c>
      <c r="L950" s="4">
        <v>0</v>
      </c>
      <c r="M950" s="3" t="s">
        <v>26</v>
      </c>
      <c r="N950" s="3" t="s">
        <v>24</v>
      </c>
      <c r="O950" s="4">
        <v>1</v>
      </c>
      <c r="P950" s="4">
        <v>99999999</v>
      </c>
      <c r="Q950" s="4">
        <v>1</v>
      </c>
    </row>
    <row r="951" spans="1:17" x14ac:dyDescent="0.25">
      <c r="A951" s="3" t="s">
        <v>18</v>
      </c>
      <c r="B951" s="3">
        <v>12144787</v>
      </c>
      <c r="C951" s="3" t="s">
        <v>993</v>
      </c>
      <c r="D951" s="3" t="s">
        <v>20</v>
      </c>
      <c r="E951" s="3" t="s">
        <v>21</v>
      </c>
      <c r="F951" s="3" t="s">
        <v>21</v>
      </c>
      <c r="G951" s="3" t="s">
        <v>233</v>
      </c>
      <c r="H951" s="3" t="s">
        <v>234</v>
      </c>
      <c r="I951" s="3" t="s">
        <v>24</v>
      </c>
      <c r="J951" s="3" t="s">
        <v>24</v>
      </c>
      <c r="K951" s="3" t="s">
        <v>25</v>
      </c>
      <c r="L951" s="4">
        <v>0</v>
      </c>
      <c r="M951" s="3" t="s">
        <v>26</v>
      </c>
      <c r="N951" s="3" t="s">
        <v>24</v>
      </c>
      <c r="O951" s="4">
        <v>1</v>
      </c>
      <c r="P951" s="4">
        <v>1</v>
      </c>
      <c r="Q951" s="4">
        <v>1</v>
      </c>
    </row>
    <row r="952" spans="1:17" x14ac:dyDescent="0.25">
      <c r="A952" s="3" t="s">
        <v>18</v>
      </c>
      <c r="B952" s="3">
        <v>12151754</v>
      </c>
      <c r="C952" s="3" t="s">
        <v>994</v>
      </c>
      <c r="D952" s="3" t="s">
        <v>20</v>
      </c>
      <c r="E952" s="3" t="s">
        <v>21</v>
      </c>
      <c r="F952" s="3" t="s">
        <v>21</v>
      </c>
      <c r="G952" s="3" t="s">
        <v>42</v>
      </c>
      <c r="H952" s="3" t="s">
        <v>43</v>
      </c>
      <c r="I952" s="3" t="s">
        <v>24</v>
      </c>
      <c r="J952" s="3" t="s">
        <v>24</v>
      </c>
      <c r="K952" s="3" t="s">
        <v>25</v>
      </c>
      <c r="L952" s="4">
        <v>0</v>
      </c>
      <c r="M952" s="3" t="s">
        <v>26</v>
      </c>
      <c r="N952" s="3" t="s">
        <v>24</v>
      </c>
      <c r="O952" s="4">
        <v>1</v>
      </c>
      <c r="P952" s="4">
        <v>8</v>
      </c>
      <c r="Q952" s="4">
        <v>1</v>
      </c>
    </row>
    <row r="953" spans="1:17" x14ac:dyDescent="0.25">
      <c r="A953" s="3" t="s">
        <v>18</v>
      </c>
      <c r="B953" s="3">
        <v>12159703</v>
      </c>
      <c r="C953" s="3" t="s">
        <v>995</v>
      </c>
      <c r="D953" s="3" t="s">
        <v>20</v>
      </c>
      <c r="E953" s="3" t="s">
        <v>21</v>
      </c>
      <c r="F953" s="3" t="s">
        <v>21</v>
      </c>
      <c r="G953" s="3" t="s">
        <v>233</v>
      </c>
      <c r="H953" s="3" t="s">
        <v>234</v>
      </c>
      <c r="I953" s="3" t="s">
        <v>24</v>
      </c>
      <c r="J953" s="3" t="s">
        <v>24</v>
      </c>
      <c r="K953" s="3" t="s">
        <v>25</v>
      </c>
      <c r="L953" s="4">
        <v>0</v>
      </c>
      <c r="M953" s="3" t="s">
        <v>26</v>
      </c>
      <c r="N953" s="3" t="s">
        <v>24</v>
      </c>
      <c r="O953" s="4">
        <v>1</v>
      </c>
      <c r="P953" s="4">
        <v>2</v>
      </c>
      <c r="Q953" s="4">
        <v>1</v>
      </c>
    </row>
    <row r="954" spans="1:17" x14ac:dyDescent="0.25">
      <c r="A954" s="3" t="s">
        <v>18</v>
      </c>
      <c r="B954" s="3">
        <v>12161782</v>
      </c>
      <c r="C954" s="3" t="s">
        <v>996</v>
      </c>
      <c r="D954" s="3" t="s">
        <v>20</v>
      </c>
      <c r="E954" s="3" t="s">
        <v>21</v>
      </c>
      <c r="F954" s="3" t="s">
        <v>21</v>
      </c>
      <c r="G954" s="3" t="s">
        <v>42</v>
      </c>
      <c r="H954" s="3" t="s">
        <v>43</v>
      </c>
      <c r="I954" s="3" t="s">
        <v>24</v>
      </c>
      <c r="J954" s="3" t="s">
        <v>24</v>
      </c>
      <c r="K954" s="3" t="s">
        <v>25</v>
      </c>
      <c r="L954" s="4">
        <v>0</v>
      </c>
      <c r="M954" s="3" t="s">
        <v>26</v>
      </c>
      <c r="N954" s="3" t="s">
        <v>24</v>
      </c>
      <c r="O954" s="4">
        <v>1</v>
      </c>
      <c r="P954" s="4">
        <v>8</v>
      </c>
      <c r="Q954" s="4">
        <v>1</v>
      </c>
    </row>
    <row r="955" spans="1:17" x14ac:dyDescent="0.25">
      <c r="A955" s="3" t="s">
        <v>18</v>
      </c>
      <c r="B955" s="3">
        <v>12161784</v>
      </c>
      <c r="C955" s="3" t="s">
        <v>997</v>
      </c>
      <c r="D955" s="3" t="s">
        <v>20</v>
      </c>
      <c r="E955" s="3" t="s">
        <v>21</v>
      </c>
      <c r="F955" s="3" t="s">
        <v>21</v>
      </c>
      <c r="G955" s="3" t="s">
        <v>42</v>
      </c>
      <c r="H955" s="3" t="s">
        <v>43</v>
      </c>
      <c r="I955" s="3" t="s">
        <v>24</v>
      </c>
      <c r="J955" s="3" t="s">
        <v>24</v>
      </c>
      <c r="K955" s="3" t="s">
        <v>25</v>
      </c>
      <c r="L955" s="4">
        <v>0</v>
      </c>
      <c r="M955" s="3" t="s">
        <v>26</v>
      </c>
      <c r="N955" s="3" t="s">
        <v>24</v>
      </c>
      <c r="O955" s="4">
        <v>1</v>
      </c>
      <c r="P955" s="4">
        <v>8</v>
      </c>
      <c r="Q955" s="4">
        <v>1</v>
      </c>
    </row>
    <row r="956" spans="1:17" x14ac:dyDescent="0.25">
      <c r="A956" s="3" t="s">
        <v>18</v>
      </c>
      <c r="B956" s="3">
        <v>12161785</v>
      </c>
      <c r="C956" s="3" t="s">
        <v>998</v>
      </c>
      <c r="D956" s="3" t="s">
        <v>20</v>
      </c>
      <c r="E956" s="3" t="s">
        <v>21</v>
      </c>
      <c r="F956" s="3" t="s">
        <v>21</v>
      </c>
      <c r="G956" s="3" t="s">
        <v>42</v>
      </c>
      <c r="H956" s="3" t="s">
        <v>43</v>
      </c>
      <c r="I956" s="3" t="s">
        <v>24</v>
      </c>
      <c r="J956" s="3" t="s">
        <v>24</v>
      </c>
      <c r="K956" s="3" t="s">
        <v>25</v>
      </c>
      <c r="L956" s="4">
        <v>0</v>
      </c>
      <c r="M956" s="3" t="s">
        <v>26</v>
      </c>
      <c r="N956" s="3" t="s">
        <v>24</v>
      </c>
      <c r="O956" s="4">
        <v>1</v>
      </c>
      <c r="P956" s="4">
        <v>8</v>
      </c>
      <c r="Q956" s="4">
        <v>1</v>
      </c>
    </row>
    <row r="957" spans="1:17" x14ac:dyDescent="0.25">
      <c r="A957" s="3" t="s">
        <v>18</v>
      </c>
      <c r="B957" s="3">
        <v>12161869</v>
      </c>
      <c r="C957" s="3" t="s">
        <v>999</v>
      </c>
      <c r="D957" s="3" t="s">
        <v>20</v>
      </c>
      <c r="E957" s="3" t="s">
        <v>21</v>
      </c>
      <c r="F957" s="3" t="s">
        <v>21</v>
      </c>
      <c r="G957" s="3" t="s">
        <v>42</v>
      </c>
      <c r="H957" s="3" t="s">
        <v>43</v>
      </c>
      <c r="I957" s="3" t="s">
        <v>24</v>
      </c>
      <c r="J957" s="3" t="s">
        <v>24</v>
      </c>
      <c r="K957" s="3" t="s">
        <v>25</v>
      </c>
      <c r="L957" s="4">
        <v>0</v>
      </c>
      <c r="M957" s="3" t="s">
        <v>26</v>
      </c>
      <c r="N957" s="3" t="s">
        <v>24</v>
      </c>
      <c r="O957" s="4">
        <v>1</v>
      </c>
      <c r="P957" s="4">
        <v>8</v>
      </c>
      <c r="Q957" s="4">
        <v>1</v>
      </c>
    </row>
    <row r="958" spans="1:17" x14ac:dyDescent="0.25">
      <c r="A958" s="3" t="s">
        <v>18</v>
      </c>
      <c r="B958" s="3">
        <v>12161870</v>
      </c>
      <c r="C958" s="3" t="s">
        <v>1000</v>
      </c>
      <c r="D958" s="3" t="s">
        <v>20</v>
      </c>
      <c r="E958" s="3" t="s">
        <v>21</v>
      </c>
      <c r="F958" s="3" t="s">
        <v>21</v>
      </c>
      <c r="G958" s="3" t="s">
        <v>42</v>
      </c>
      <c r="H958" s="3" t="s">
        <v>43</v>
      </c>
      <c r="I958" s="3" t="s">
        <v>24</v>
      </c>
      <c r="J958" s="3" t="s">
        <v>24</v>
      </c>
      <c r="K958" s="3" t="s">
        <v>25</v>
      </c>
      <c r="L958" s="4">
        <v>0</v>
      </c>
      <c r="M958" s="3" t="s">
        <v>26</v>
      </c>
      <c r="N958" s="3" t="s">
        <v>24</v>
      </c>
      <c r="O958" s="4">
        <v>1</v>
      </c>
      <c r="P958" s="4">
        <v>8</v>
      </c>
      <c r="Q958" s="4">
        <v>1</v>
      </c>
    </row>
    <row r="959" spans="1:17" x14ac:dyDescent="0.25">
      <c r="A959" s="3" t="s">
        <v>18</v>
      </c>
      <c r="B959" s="3">
        <v>12161871</v>
      </c>
      <c r="C959" s="3" t="s">
        <v>1001</v>
      </c>
      <c r="D959" s="3" t="s">
        <v>20</v>
      </c>
      <c r="E959" s="3" t="s">
        <v>21</v>
      </c>
      <c r="F959" s="3" t="s">
        <v>21</v>
      </c>
      <c r="G959" s="3" t="s">
        <v>42</v>
      </c>
      <c r="H959" s="3" t="s">
        <v>43</v>
      </c>
      <c r="I959" s="3" t="s">
        <v>24</v>
      </c>
      <c r="J959" s="3" t="s">
        <v>24</v>
      </c>
      <c r="K959" s="3" t="s">
        <v>25</v>
      </c>
      <c r="L959" s="4">
        <v>0</v>
      </c>
      <c r="M959" s="3" t="s">
        <v>26</v>
      </c>
      <c r="N959" s="3" t="s">
        <v>24</v>
      </c>
      <c r="O959" s="4">
        <v>1</v>
      </c>
      <c r="P959" s="4">
        <v>8</v>
      </c>
      <c r="Q959" s="4">
        <v>1</v>
      </c>
    </row>
    <row r="960" spans="1:17" x14ac:dyDescent="0.25">
      <c r="A960" s="3" t="s">
        <v>18</v>
      </c>
      <c r="B960" s="3">
        <v>12176364</v>
      </c>
      <c r="C960" s="3" t="s">
        <v>1002</v>
      </c>
      <c r="D960" s="3" t="s">
        <v>20</v>
      </c>
      <c r="E960" s="3" t="s">
        <v>21</v>
      </c>
      <c r="F960" s="3" t="s">
        <v>21</v>
      </c>
      <c r="G960" s="3" t="s">
        <v>36</v>
      </c>
      <c r="H960" s="3" t="s">
        <v>37</v>
      </c>
      <c r="I960" s="3" t="s">
        <v>24</v>
      </c>
      <c r="J960" s="3" t="s">
        <v>24</v>
      </c>
      <c r="K960" s="3" t="s">
        <v>25</v>
      </c>
      <c r="L960" s="4">
        <v>0</v>
      </c>
      <c r="M960" s="3" t="s">
        <v>26</v>
      </c>
      <c r="N960" s="3" t="s">
        <v>24</v>
      </c>
      <c r="O960" s="4">
        <v>1</v>
      </c>
      <c r="P960" s="4">
        <v>3</v>
      </c>
      <c r="Q960" s="4">
        <v>1</v>
      </c>
    </row>
    <row r="961" spans="1:17" x14ac:dyDescent="0.25">
      <c r="A961" s="3" t="s">
        <v>18</v>
      </c>
      <c r="B961" s="3">
        <v>12176365</v>
      </c>
      <c r="C961" s="3" t="s">
        <v>1003</v>
      </c>
      <c r="D961" s="3" t="s">
        <v>20</v>
      </c>
      <c r="E961" s="3" t="s">
        <v>21</v>
      </c>
      <c r="F961" s="3" t="s">
        <v>21</v>
      </c>
      <c r="G961" s="3" t="s">
        <v>36</v>
      </c>
      <c r="H961" s="3" t="s">
        <v>37</v>
      </c>
      <c r="I961" s="3" t="s">
        <v>24</v>
      </c>
      <c r="J961" s="3" t="s">
        <v>24</v>
      </c>
      <c r="K961" s="3" t="s">
        <v>25</v>
      </c>
      <c r="L961" s="4">
        <v>0</v>
      </c>
      <c r="M961" s="3" t="s">
        <v>26</v>
      </c>
      <c r="N961" s="3" t="s">
        <v>24</v>
      </c>
      <c r="O961" s="4">
        <v>1</v>
      </c>
      <c r="P961" s="4">
        <v>3</v>
      </c>
      <c r="Q961" s="4">
        <v>1</v>
      </c>
    </row>
    <row r="962" spans="1:17" x14ac:dyDescent="0.25">
      <c r="A962" s="3" t="s">
        <v>18</v>
      </c>
      <c r="B962" s="3">
        <v>12176366</v>
      </c>
      <c r="C962" s="3" t="s">
        <v>1004</v>
      </c>
      <c r="D962" s="3" t="s">
        <v>20</v>
      </c>
      <c r="E962" s="3" t="s">
        <v>21</v>
      </c>
      <c r="F962" s="3" t="s">
        <v>21</v>
      </c>
      <c r="G962" s="3" t="s">
        <v>36</v>
      </c>
      <c r="H962" s="3" t="s">
        <v>37</v>
      </c>
      <c r="I962" s="3" t="s">
        <v>24</v>
      </c>
      <c r="J962" s="3" t="s">
        <v>24</v>
      </c>
      <c r="K962" s="3" t="s">
        <v>25</v>
      </c>
      <c r="L962" s="4">
        <v>0</v>
      </c>
      <c r="M962" s="3" t="s">
        <v>26</v>
      </c>
      <c r="N962" s="3" t="s">
        <v>24</v>
      </c>
      <c r="O962" s="4">
        <v>1</v>
      </c>
      <c r="P962" s="4">
        <v>3</v>
      </c>
      <c r="Q962" s="4">
        <v>1</v>
      </c>
    </row>
    <row r="963" spans="1:17" x14ac:dyDescent="0.25">
      <c r="A963" s="3" t="s">
        <v>18</v>
      </c>
      <c r="B963" s="3">
        <v>12176367</v>
      </c>
      <c r="C963" s="3" t="s">
        <v>1005</v>
      </c>
      <c r="D963" s="3" t="s">
        <v>20</v>
      </c>
      <c r="E963" s="3" t="s">
        <v>21</v>
      </c>
      <c r="F963" s="3" t="s">
        <v>21</v>
      </c>
      <c r="G963" s="3" t="s">
        <v>36</v>
      </c>
      <c r="H963" s="3" t="s">
        <v>37</v>
      </c>
      <c r="I963" s="3" t="s">
        <v>24</v>
      </c>
      <c r="J963" s="3" t="s">
        <v>24</v>
      </c>
      <c r="K963" s="3" t="s">
        <v>25</v>
      </c>
      <c r="L963" s="4">
        <v>0</v>
      </c>
      <c r="M963" s="3" t="s">
        <v>26</v>
      </c>
      <c r="N963" s="3" t="s">
        <v>24</v>
      </c>
      <c r="O963" s="4">
        <v>1</v>
      </c>
      <c r="P963" s="4">
        <v>3</v>
      </c>
      <c r="Q963" s="4">
        <v>1</v>
      </c>
    </row>
    <row r="964" spans="1:17" x14ac:dyDescent="0.25">
      <c r="A964" s="3" t="s">
        <v>18</v>
      </c>
      <c r="B964" s="3">
        <v>12176428</v>
      </c>
      <c r="C964" s="3" t="s">
        <v>1006</v>
      </c>
      <c r="D964" s="3" t="s">
        <v>20</v>
      </c>
      <c r="E964" s="3" t="s">
        <v>21</v>
      </c>
      <c r="F964" s="3" t="s">
        <v>21</v>
      </c>
      <c r="G964" s="3" t="s">
        <v>36</v>
      </c>
      <c r="H964" s="3" t="s">
        <v>37</v>
      </c>
      <c r="I964" s="3" t="s">
        <v>24</v>
      </c>
      <c r="J964" s="3" t="s">
        <v>24</v>
      </c>
      <c r="K964" s="3" t="s">
        <v>25</v>
      </c>
      <c r="L964" s="4">
        <v>0</v>
      </c>
      <c r="M964" s="3" t="s">
        <v>26</v>
      </c>
      <c r="N964" s="3" t="s">
        <v>24</v>
      </c>
      <c r="O964" s="4">
        <v>1</v>
      </c>
      <c r="P964" s="4">
        <v>3</v>
      </c>
      <c r="Q964" s="4">
        <v>1</v>
      </c>
    </row>
    <row r="965" spans="1:17" x14ac:dyDescent="0.25">
      <c r="A965" s="3" t="s">
        <v>18</v>
      </c>
      <c r="B965" s="3">
        <v>12176429</v>
      </c>
      <c r="C965" s="3" t="s">
        <v>1007</v>
      </c>
      <c r="D965" s="3" t="s">
        <v>20</v>
      </c>
      <c r="E965" s="3" t="s">
        <v>21</v>
      </c>
      <c r="F965" s="3" t="s">
        <v>21</v>
      </c>
      <c r="G965" s="3" t="s">
        <v>36</v>
      </c>
      <c r="H965" s="3" t="s">
        <v>37</v>
      </c>
      <c r="I965" s="3" t="s">
        <v>24</v>
      </c>
      <c r="J965" s="3" t="s">
        <v>24</v>
      </c>
      <c r="K965" s="3" t="s">
        <v>25</v>
      </c>
      <c r="L965" s="4">
        <v>0</v>
      </c>
      <c r="M965" s="3" t="s">
        <v>26</v>
      </c>
      <c r="N965" s="3" t="s">
        <v>24</v>
      </c>
      <c r="O965" s="4">
        <v>1</v>
      </c>
      <c r="P965" s="4">
        <v>3</v>
      </c>
      <c r="Q965" s="4">
        <v>1</v>
      </c>
    </row>
    <row r="966" spans="1:17" x14ac:dyDescent="0.25">
      <c r="A966" s="3" t="s">
        <v>18</v>
      </c>
      <c r="B966" s="3">
        <v>12176431</v>
      </c>
      <c r="C966" s="3" t="s">
        <v>1008</v>
      </c>
      <c r="D966" s="3" t="s">
        <v>20</v>
      </c>
      <c r="E966" s="3" t="s">
        <v>21</v>
      </c>
      <c r="F966" s="3" t="s">
        <v>21</v>
      </c>
      <c r="G966" s="3" t="s">
        <v>36</v>
      </c>
      <c r="H966" s="3" t="s">
        <v>37</v>
      </c>
      <c r="I966" s="3" t="s">
        <v>24</v>
      </c>
      <c r="J966" s="3" t="s">
        <v>24</v>
      </c>
      <c r="K966" s="3" t="s">
        <v>25</v>
      </c>
      <c r="L966" s="4">
        <v>0</v>
      </c>
      <c r="M966" s="3" t="s">
        <v>26</v>
      </c>
      <c r="N966" s="3" t="s">
        <v>24</v>
      </c>
      <c r="O966" s="4">
        <v>1</v>
      </c>
      <c r="P966" s="4">
        <v>3</v>
      </c>
      <c r="Q966" s="4">
        <v>1</v>
      </c>
    </row>
    <row r="967" spans="1:17" x14ac:dyDescent="0.25">
      <c r="A967" s="3" t="s">
        <v>18</v>
      </c>
      <c r="B967" s="3">
        <v>12176432</v>
      </c>
      <c r="C967" s="3" t="s">
        <v>1009</v>
      </c>
      <c r="D967" s="3" t="s">
        <v>20</v>
      </c>
      <c r="E967" s="3" t="s">
        <v>21</v>
      </c>
      <c r="F967" s="3" t="s">
        <v>21</v>
      </c>
      <c r="G967" s="3" t="s">
        <v>36</v>
      </c>
      <c r="H967" s="3" t="s">
        <v>37</v>
      </c>
      <c r="I967" s="3" t="s">
        <v>24</v>
      </c>
      <c r="J967" s="3" t="s">
        <v>24</v>
      </c>
      <c r="K967" s="3" t="s">
        <v>25</v>
      </c>
      <c r="L967" s="4">
        <v>0</v>
      </c>
      <c r="M967" s="3" t="s">
        <v>26</v>
      </c>
      <c r="N967" s="3" t="s">
        <v>24</v>
      </c>
      <c r="O967" s="4">
        <v>1</v>
      </c>
      <c r="P967" s="4">
        <v>3</v>
      </c>
      <c r="Q967" s="4">
        <v>1</v>
      </c>
    </row>
    <row r="968" spans="1:17" x14ac:dyDescent="0.25">
      <c r="A968" s="3" t="s">
        <v>18</v>
      </c>
      <c r="B968" s="3">
        <v>12176433</v>
      </c>
      <c r="C968" s="3" t="s">
        <v>1010</v>
      </c>
      <c r="D968" s="3" t="s">
        <v>20</v>
      </c>
      <c r="E968" s="3" t="s">
        <v>21</v>
      </c>
      <c r="F968" s="3" t="s">
        <v>21</v>
      </c>
      <c r="G968" s="3" t="s">
        <v>36</v>
      </c>
      <c r="H968" s="3" t="s">
        <v>37</v>
      </c>
      <c r="I968" s="3" t="s">
        <v>24</v>
      </c>
      <c r="J968" s="3" t="s">
        <v>24</v>
      </c>
      <c r="K968" s="3" t="s">
        <v>25</v>
      </c>
      <c r="L968" s="4">
        <v>0</v>
      </c>
      <c r="M968" s="3" t="s">
        <v>26</v>
      </c>
      <c r="N968" s="3" t="s">
        <v>24</v>
      </c>
      <c r="O968" s="4">
        <v>1</v>
      </c>
      <c r="P968" s="4">
        <v>2</v>
      </c>
      <c r="Q968" s="4">
        <v>1</v>
      </c>
    </row>
    <row r="969" spans="1:17" x14ac:dyDescent="0.25">
      <c r="A969" s="3" t="s">
        <v>18</v>
      </c>
      <c r="B969" s="3">
        <v>12176435</v>
      </c>
      <c r="C969" s="3" t="s">
        <v>1011</v>
      </c>
      <c r="D969" s="3" t="s">
        <v>20</v>
      </c>
      <c r="E969" s="3" t="s">
        <v>21</v>
      </c>
      <c r="F969" s="3" t="s">
        <v>21</v>
      </c>
      <c r="G969" s="3" t="s">
        <v>36</v>
      </c>
      <c r="H969" s="3" t="s">
        <v>37</v>
      </c>
      <c r="I969" s="3" t="s">
        <v>24</v>
      </c>
      <c r="J969" s="3" t="s">
        <v>24</v>
      </c>
      <c r="K969" s="3" t="s">
        <v>25</v>
      </c>
      <c r="L969" s="4">
        <v>0</v>
      </c>
      <c r="M969" s="3" t="s">
        <v>26</v>
      </c>
      <c r="N969" s="3" t="s">
        <v>24</v>
      </c>
      <c r="O969" s="4">
        <v>1</v>
      </c>
      <c r="P969" s="4">
        <v>2</v>
      </c>
      <c r="Q969" s="4">
        <v>1</v>
      </c>
    </row>
    <row r="970" spans="1:17" x14ac:dyDescent="0.25">
      <c r="A970" s="3" t="s">
        <v>18</v>
      </c>
      <c r="B970" s="3">
        <v>12176437</v>
      </c>
      <c r="C970" s="3" t="s">
        <v>1012</v>
      </c>
      <c r="D970" s="3" t="s">
        <v>20</v>
      </c>
      <c r="E970" s="3" t="s">
        <v>21</v>
      </c>
      <c r="F970" s="3" t="s">
        <v>21</v>
      </c>
      <c r="G970" s="3" t="s">
        <v>36</v>
      </c>
      <c r="H970" s="3" t="s">
        <v>37</v>
      </c>
      <c r="I970" s="3" t="s">
        <v>24</v>
      </c>
      <c r="J970" s="3" t="s">
        <v>24</v>
      </c>
      <c r="K970" s="3" t="s">
        <v>25</v>
      </c>
      <c r="L970" s="4">
        <v>0</v>
      </c>
      <c r="M970" s="3" t="s">
        <v>26</v>
      </c>
      <c r="N970" s="3" t="s">
        <v>24</v>
      </c>
      <c r="O970" s="4">
        <v>1</v>
      </c>
      <c r="P970" s="4">
        <v>2</v>
      </c>
      <c r="Q970" s="4">
        <v>1</v>
      </c>
    </row>
    <row r="971" spans="1:17" x14ac:dyDescent="0.25">
      <c r="A971" s="3" t="s">
        <v>18</v>
      </c>
      <c r="B971" s="3">
        <v>12176816</v>
      </c>
      <c r="C971" s="3" t="s">
        <v>1013</v>
      </c>
      <c r="D971" s="3" t="s">
        <v>20</v>
      </c>
      <c r="E971" s="3" t="s">
        <v>21</v>
      </c>
      <c r="F971" s="3" t="s">
        <v>21</v>
      </c>
      <c r="G971" s="3" t="s">
        <v>36</v>
      </c>
      <c r="H971" s="3" t="s">
        <v>37</v>
      </c>
      <c r="I971" s="3" t="s">
        <v>24</v>
      </c>
      <c r="J971" s="3" t="s">
        <v>24</v>
      </c>
      <c r="K971" s="3" t="s">
        <v>25</v>
      </c>
      <c r="L971" s="4">
        <v>0</v>
      </c>
      <c r="M971" s="3" t="s">
        <v>26</v>
      </c>
      <c r="N971" s="3" t="s">
        <v>24</v>
      </c>
      <c r="O971" s="4">
        <v>1</v>
      </c>
      <c r="P971" s="4">
        <v>2</v>
      </c>
      <c r="Q971" s="4">
        <v>1</v>
      </c>
    </row>
    <row r="972" spans="1:17" x14ac:dyDescent="0.25">
      <c r="A972" s="3" t="s">
        <v>18</v>
      </c>
      <c r="B972" s="3">
        <v>12176817</v>
      </c>
      <c r="C972" s="3" t="s">
        <v>1014</v>
      </c>
      <c r="D972" s="3" t="s">
        <v>20</v>
      </c>
      <c r="E972" s="3" t="s">
        <v>21</v>
      </c>
      <c r="F972" s="3" t="s">
        <v>21</v>
      </c>
      <c r="G972" s="3" t="s">
        <v>362</v>
      </c>
      <c r="H972" s="3" t="s">
        <v>363</v>
      </c>
      <c r="I972" s="3" t="s">
        <v>24</v>
      </c>
      <c r="J972" s="3" t="s">
        <v>24</v>
      </c>
      <c r="K972" s="3" t="s">
        <v>25</v>
      </c>
      <c r="L972" s="4">
        <v>0</v>
      </c>
      <c r="M972" s="3" t="s">
        <v>26</v>
      </c>
      <c r="N972" s="3" t="s">
        <v>24</v>
      </c>
      <c r="O972" s="4">
        <v>1</v>
      </c>
      <c r="P972" s="4">
        <v>1</v>
      </c>
      <c r="Q972" s="4">
        <v>1</v>
      </c>
    </row>
    <row r="973" spans="1:17" x14ac:dyDescent="0.25">
      <c r="A973" s="3" t="s">
        <v>18</v>
      </c>
      <c r="B973" s="3">
        <v>12176875</v>
      </c>
      <c r="C973" s="3" t="s">
        <v>1015</v>
      </c>
      <c r="D973" s="3" t="s">
        <v>20</v>
      </c>
      <c r="E973" s="3" t="s">
        <v>21</v>
      </c>
      <c r="F973" s="3" t="s">
        <v>21</v>
      </c>
      <c r="G973" s="3" t="s">
        <v>362</v>
      </c>
      <c r="H973" s="3" t="s">
        <v>363</v>
      </c>
      <c r="I973" s="3" t="s">
        <v>24</v>
      </c>
      <c r="J973" s="3" t="s">
        <v>24</v>
      </c>
      <c r="K973" s="3" t="s">
        <v>25</v>
      </c>
      <c r="L973" s="4">
        <v>0</v>
      </c>
      <c r="M973" s="3" t="s">
        <v>26</v>
      </c>
      <c r="N973" s="3" t="s">
        <v>24</v>
      </c>
      <c r="O973" s="4">
        <v>1</v>
      </c>
      <c r="P973" s="4">
        <v>1</v>
      </c>
      <c r="Q973" s="4">
        <v>1</v>
      </c>
    </row>
    <row r="974" spans="1:17" x14ac:dyDescent="0.25">
      <c r="A974" s="3" t="s">
        <v>18</v>
      </c>
      <c r="B974" s="3">
        <v>12195903</v>
      </c>
      <c r="C974" s="3" t="s">
        <v>1016</v>
      </c>
      <c r="D974" s="3" t="s">
        <v>20</v>
      </c>
      <c r="E974" s="3" t="s">
        <v>21</v>
      </c>
      <c r="F974" s="3" t="s">
        <v>21</v>
      </c>
      <c r="G974" s="3" t="s">
        <v>410</v>
      </c>
      <c r="H974" s="3" t="s">
        <v>411</v>
      </c>
      <c r="I974" s="3" t="s">
        <v>24</v>
      </c>
      <c r="J974" s="3" t="s">
        <v>24</v>
      </c>
      <c r="K974" s="3" t="s">
        <v>25</v>
      </c>
      <c r="L974" s="4">
        <v>0</v>
      </c>
      <c r="M974" s="3" t="s">
        <v>26</v>
      </c>
      <c r="N974" s="3" t="s">
        <v>24</v>
      </c>
      <c r="O974" s="4">
        <v>1</v>
      </c>
      <c r="P974" s="4">
        <v>8</v>
      </c>
      <c r="Q974" s="4">
        <v>1</v>
      </c>
    </row>
    <row r="975" spans="1:17" x14ac:dyDescent="0.25">
      <c r="A975" s="3" t="s">
        <v>18</v>
      </c>
      <c r="B975" s="3">
        <v>12195904</v>
      </c>
      <c r="C975" s="3" t="s">
        <v>1017</v>
      </c>
      <c r="D975" s="3" t="s">
        <v>20</v>
      </c>
      <c r="E975" s="3" t="s">
        <v>21</v>
      </c>
      <c r="F975" s="3" t="s">
        <v>21</v>
      </c>
      <c r="G975" s="3" t="s">
        <v>410</v>
      </c>
      <c r="H975" s="3" t="s">
        <v>411</v>
      </c>
      <c r="I975" s="3" t="s">
        <v>24</v>
      </c>
      <c r="J975" s="3" t="s">
        <v>24</v>
      </c>
      <c r="K975" s="3" t="s">
        <v>25</v>
      </c>
      <c r="L975" s="4">
        <v>0</v>
      </c>
      <c r="M975" s="3" t="s">
        <v>26</v>
      </c>
      <c r="N975" s="3" t="s">
        <v>24</v>
      </c>
      <c r="O975" s="4">
        <v>1</v>
      </c>
      <c r="P975" s="4">
        <v>8</v>
      </c>
      <c r="Q975" s="4">
        <v>1</v>
      </c>
    </row>
    <row r="976" spans="1:17" x14ac:dyDescent="0.25">
      <c r="A976" s="3" t="s">
        <v>18</v>
      </c>
      <c r="B976" s="3">
        <v>12202863</v>
      </c>
      <c r="C976" s="3" t="s">
        <v>1018</v>
      </c>
      <c r="D976" s="3" t="s">
        <v>20</v>
      </c>
      <c r="E976" s="3" t="s">
        <v>21</v>
      </c>
      <c r="F976" s="3" t="s">
        <v>21</v>
      </c>
      <c r="G976" s="3" t="s">
        <v>233</v>
      </c>
      <c r="H976" s="3" t="s">
        <v>234</v>
      </c>
      <c r="I976" s="3" t="s">
        <v>24</v>
      </c>
      <c r="J976" s="3" t="s">
        <v>24</v>
      </c>
      <c r="K976" s="3" t="s">
        <v>25</v>
      </c>
      <c r="L976" s="4">
        <v>0</v>
      </c>
      <c r="M976" s="3" t="s">
        <v>26</v>
      </c>
      <c r="N976" s="3" t="s">
        <v>24</v>
      </c>
      <c r="O976" s="4">
        <v>1</v>
      </c>
      <c r="P976" s="4">
        <v>2</v>
      </c>
      <c r="Q976" s="4">
        <v>1</v>
      </c>
    </row>
    <row r="977" spans="1:17" x14ac:dyDescent="0.25">
      <c r="A977" s="3" t="s">
        <v>18</v>
      </c>
      <c r="B977" s="3">
        <v>12203253</v>
      </c>
      <c r="C977" s="3" t="s">
        <v>1019</v>
      </c>
      <c r="D977" s="3" t="s">
        <v>20</v>
      </c>
      <c r="E977" s="3" t="s">
        <v>21</v>
      </c>
      <c r="F977" s="3" t="s">
        <v>21</v>
      </c>
      <c r="G977" s="3" t="s">
        <v>410</v>
      </c>
      <c r="H977" s="3" t="s">
        <v>411</v>
      </c>
      <c r="I977" s="3" t="s">
        <v>24</v>
      </c>
      <c r="J977" s="3" t="s">
        <v>24</v>
      </c>
      <c r="K977" s="3" t="s">
        <v>25</v>
      </c>
      <c r="L977" s="4">
        <v>0</v>
      </c>
      <c r="M977" s="3" t="s">
        <v>26</v>
      </c>
      <c r="N977" s="3" t="s">
        <v>24</v>
      </c>
      <c r="O977" s="4">
        <v>1</v>
      </c>
      <c r="P977" s="4">
        <v>8</v>
      </c>
      <c r="Q977" s="4">
        <v>1</v>
      </c>
    </row>
    <row r="978" spans="1:17" x14ac:dyDescent="0.25">
      <c r="A978" s="3" t="s">
        <v>18</v>
      </c>
      <c r="B978" s="3">
        <v>12203255</v>
      </c>
      <c r="C978" s="3" t="s">
        <v>1020</v>
      </c>
      <c r="D978" s="3" t="s">
        <v>20</v>
      </c>
      <c r="E978" s="3" t="s">
        <v>21</v>
      </c>
      <c r="F978" s="3" t="s">
        <v>21</v>
      </c>
      <c r="G978" s="3" t="s">
        <v>410</v>
      </c>
      <c r="H978" s="3" t="s">
        <v>411</v>
      </c>
      <c r="I978" s="3" t="s">
        <v>24</v>
      </c>
      <c r="J978" s="3" t="s">
        <v>24</v>
      </c>
      <c r="K978" s="3" t="s">
        <v>25</v>
      </c>
      <c r="L978" s="4">
        <v>0</v>
      </c>
      <c r="M978" s="3" t="s">
        <v>26</v>
      </c>
      <c r="N978" s="3" t="s">
        <v>24</v>
      </c>
      <c r="O978" s="4">
        <v>1</v>
      </c>
      <c r="P978" s="4">
        <v>9</v>
      </c>
      <c r="Q978" s="4">
        <v>1</v>
      </c>
    </row>
    <row r="979" spans="1:17" x14ac:dyDescent="0.25">
      <c r="A979" s="3" t="s">
        <v>18</v>
      </c>
      <c r="B979" s="3">
        <v>12221360</v>
      </c>
      <c r="C979" s="3" t="s">
        <v>1021</v>
      </c>
      <c r="D979" s="3" t="s">
        <v>20</v>
      </c>
      <c r="E979" s="3" t="s">
        <v>21</v>
      </c>
      <c r="F979" s="3" t="s">
        <v>21</v>
      </c>
      <c r="G979" s="3" t="s">
        <v>410</v>
      </c>
      <c r="H979" s="3" t="s">
        <v>411</v>
      </c>
      <c r="I979" s="3" t="s">
        <v>24</v>
      </c>
      <c r="J979" s="3" t="s">
        <v>24</v>
      </c>
      <c r="K979" s="3" t="s">
        <v>25</v>
      </c>
      <c r="L979" s="4">
        <v>0</v>
      </c>
      <c r="M979" s="3" t="s">
        <v>26</v>
      </c>
      <c r="N979" s="3" t="s">
        <v>24</v>
      </c>
      <c r="O979" s="4">
        <v>1</v>
      </c>
      <c r="P979" s="4">
        <v>9</v>
      </c>
      <c r="Q979" s="4">
        <v>1</v>
      </c>
    </row>
    <row r="980" spans="1:17" x14ac:dyDescent="0.25">
      <c r="A980" s="3" t="s">
        <v>18</v>
      </c>
      <c r="B980" s="3">
        <v>12238189</v>
      </c>
      <c r="C980" s="3" t="s">
        <v>1022</v>
      </c>
      <c r="D980" s="3" t="s">
        <v>20</v>
      </c>
      <c r="E980" s="3" t="s">
        <v>21</v>
      </c>
      <c r="F980" s="3" t="s">
        <v>21</v>
      </c>
      <c r="G980" s="3" t="s">
        <v>487</v>
      </c>
      <c r="H980" s="3" t="s">
        <v>488</v>
      </c>
      <c r="I980" s="3" t="s">
        <v>24</v>
      </c>
      <c r="J980" s="3" t="s">
        <v>24</v>
      </c>
      <c r="K980" s="3" t="s">
        <v>25</v>
      </c>
      <c r="L980" s="4">
        <v>0</v>
      </c>
      <c r="M980" s="3" t="s">
        <v>26</v>
      </c>
      <c r="N980" s="3" t="s">
        <v>24</v>
      </c>
      <c r="O980" s="4">
        <v>1</v>
      </c>
      <c r="P980" s="4">
        <v>1</v>
      </c>
      <c r="Q980" s="4">
        <v>1</v>
      </c>
    </row>
    <row r="981" spans="1:17" x14ac:dyDescent="0.25">
      <c r="A981" s="3" t="s">
        <v>18</v>
      </c>
      <c r="B981" s="3">
        <v>12242948</v>
      </c>
      <c r="C981" s="3" t="s">
        <v>1023</v>
      </c>
      <c r="D981" s="3" t="s">
        <v>20</v>
      </c>
      <c r="E981" s="3" t="s">
        <v>21</v>
      </c>
      <c r="F981" s="3" t="s">
        <v>21</v>
      </c>
      <c r="G981" s="3" t="s">
        <v>36</v>
      </c>
      <c r="H981" s="3" t="s">
        <v>37</v>
      </c>
      <c r="I981" s="3" t="s">
        <v>24</v>
      </c>
      <c r="J981" s="3" t="s">
        <v>24</v>
      </c>
      <c r="K981" s="3" t="s">
        <v>25</v>
      </c>
      <c r="L981" s="4">
        <v>0</v>
      </c>
      <c r="M981" s="3" t="s">
        <v>26</v>
      </c>
      <c r="N981" s="3" t="s">
        <v>24</v>
      </c>
      <c r="O981" s="4">
        <v>1</v>
      </c>
      <c r="P981" s="4">
        <v>10</v>
      </c>
      <c r="Q981" s="4">
        <v>1</v>
      </c>
    </row>
    <row r="982" spans="1:17" x14ac:dyDescent="0.25">
      <c r="A982" s="3" t="s">
        <v>18</v>
      </c>
      <c r="B982" s="3">
        <v>12246500</v>
      </c>
      <c r="C982" s="3" t="s">
        <v>1024</v>
      </c>
      <c r="D982" s="3" t="s">
        <v>20</v>
      </c>
      <c r="E982" s="3" t="s">
        <v>21</v>
      </c>
      <c r="F982" s="3" t="s">
        <v>21</v>
      </c>
      <c r="G982" s="3" t="s">
        <v>938</v>
      </c>
      <c r="H982" s="3" t="s">
        <v>939</v>
      </c>
      <c r="I982" s="3" t="s">
        <v>24</v>
      </c>
      <c r="J982" s="3" t="s">
        <v>24</v>
      </c>
      <c r="K982" s="3" t="s">
        <v>25</v>
      </c>
      <c r="L982" s="4">
        <v>0</v>
      </c>
      <c r="M982" s="3" t="s">
        <v>26</v>
      </c>
      <c r="N982" s="3" t="s">
        <v>24</v>
      </c>
      <c r="O982" s="4">
        <v>1</v>
      </c>
      <c r="P982" s="4">
        <v>1</v>
      </c>
      <c r="Q982" s="4">
        <v>1</v>
      </c>
    </row>
    <row r="983" spans="1:17" x14ac:dyDescent="0.25">
      <c r="A983" s="3" t="s">
        <v>18</v>
      </c>
      <c r="B983" s="3">
        <v>12254396</v>
      </c>
      <c r="C983" s="3" t="s">
        <v>1025</v>
      </c>
      <c r="D983" s="3" t="s">
        <v>20</v>
      </c>
      <c r="E983" s="3" t="s">
        <v>21</v>
      </c>
      <c r="F983" s="3" t="s">
        <v>21</v>
      </c>
      <c r="G983" s="3" t="s">
        <v>233</v>
      </c>
      <c r="H983" s="3" t="s">
        <v>234</v>
      </c>
      <c r="I983" s="3" t="s">
        <v>24</v>
      </c>
      <c r="J983" s="3" t="s">
        <v>24</v>
      </c>
      <c r="K983" s="3" t="s">
        <v>25</v>
      </c>
      <c r="L983" s="4">
        <v>0</v>
      </c>
      <c r="M983" s="3" t="s">
        <v>26</v>
      </c>
      <c r="N983" s="3" t="s">
        <v>24</v>
      </c>
      <c r="O983" s="4">
        <v>1</v>
      </c>
      <c r="P983" s="4">
        <v>99999999</v>
      </c>
      <c r="Q983" s="4">
        <v>1</v>
      </c>
    </row>
    <row r="984" spans="1:17" x14ac:dyDescent="0.25">
      <c r="A984" s="3" t="s">
        <v>18</v>
      </c>
      <c r="B984" s="3">
        <v>12254417</v>
      </c>
      <c r="C984" s="3" t="s">
        <v>1026</v>
      </c>
      <c r="D984" s="3" t="s">
        <v>20</v>
      </c>
      <c r="E984" s="3" t="s">
        <v>21</v>
      </c>
      <c r="F984" s="3" t="s">
        <v>21</v>
      </c>
      <c r="G984" s="3" t="s">
        <v>938</v>
      </c>
      <c r="H984" s="3" t="s">
        <v>939</v>
      </c>
      <c r="I984" s="3" t="s">
        <v>24</v>
      </c>
      <c r="J984" s="3" t="s">
        <v>24</v>
      </c>
      <c r="K984" s="3" t="s">
        <v>25</v>
      </c>
      <c r="L984" s="4">
        <v>0</v>
      </c>
      <c r="M984" s="3" t="s">
        <v>26</v>
      </c>
      <c r="N984" s="3" t="s">
        <v>24</v>
      </c>
      <c r="O984" s="4">
        <v>1</v>
      </c>
      <c r="P984" s="4">
        <v>1</v>
      </c>
      <c r="Q984" s="4">
        <v>1</v>
      </c>
    </row>
    <row r="985" spans="1:17" x14ac:dyDescent="0.25">
      <c r="A985" s="3" t="s">
        <v>18</v>
      </c>
      <c r="B985" s="3">
        <v>12256318</v>
      </c>
      <c r="C985" s="3" t="s">
        <v>1027</v>
      </c>
      <c r="D985" s="3" t="s">
        <v>20</v>
      </c>
      <c r="E985" s="3" t="s">
        <v>21</v>
      </c>
      <c r="F985" s="3" t="s">
        <v>21</v>
      </c>
      <c r="G985" s="3" t="s">
        <v>233</v>
      </c>
      <c r="H985" s="3" t="s">
        <v>234</v>
      </c>
      <c r="I985" s="3" t="s">
        <v>24</v>
      </c>
      <c r="J985" s="3" t="s">
        <v>24</v>
      </c>
      <c r="K985" s="3" t="s">
        <v>25</v>
      </c>
      <c r="L985" s="4">
        <v>0</v>
      </c>
      <c r="M985" s="3" t="s">
        <v>26</v>
      </c>
      <c r="N985" s="3" t="s">
        <v>24</v>
      </c>
      <c r="O985" s="4">
        <v>1</v>
      </c>
      <c r="P985" s="4">
        <v>2</v>
      </c>
      <c r="Q985" s="4">
        <v>1</v>
      </c>
    </row>
    <row r="986" spans="1:17" x14ac:dyDescent="0.25">
      <c r="A986" s="3" t="s">
        <v>18</v>
      </c>
      <c r="B986" s="3">
        <v>12256321</v>
      </c>
      <c r="C986" s="3" t="s">
        <v>1028</v>
      </c>
      <c r="D986" s="3" t="s">
        <v>20</v>
      </c>
      <c r="E986" s="3" t="s">
        <v>21</v>
      </c>
      <c r="F986" s="3" t="s">
        <v>21</v>
      </c>
      <c r="G986" s="3" t="s">
        <v>233</v>
      </c>
      <c r="H986" s="3" t="s">
        <v>234</v>
      </c>
      <c r="I986" s="3" t="s">
        <v>24</v>
      </c>
      <c r="J986" s="3" t="s">
        <v>24</v>
      </c>
      <c r="K986" s="3" t="s">
        <v>25</v>
      </c>
      <c r="L986" s="4">
        <v>0</v>
      </c>
      <c r="M986" s="3" t="s">
        <v>26</v>
      </c>
      <c r="N986" s="3" t="s">
        <v>24</v>
      </c>
      <c r="O986" s="4">
        <v>1</v>
      </c>
      <c r="P986" s="4">
        <v>99999999</v>
      </c>
      <c r="Q986" s="4">
        <v>1</v>
      </c>
    </row>
    <row r="987" spans="1:17" x14ac:dyDescent="0.25">
      <c r="A987" s="3" t="s">
        <v>18</v>
      </c>
      <c r="B987" s="3">
        <v>12260376</v>
      </c>
      <c r="C987" s="3" t="s">
        <v>1029</v>
      </c>
      <c r="D987" s="3" t="s">
        <v>20</v>
      </c>
      <c r="E987" s="3" t="s">
        <v>21</v>
      </c>
      <c r="F987" s="3" t="s">
        <v>21</v>
      </c>
      <c r="G987" s="3" t="s">
        <v>410</v>
      </c>
      <c r="H987" s="3" t="s">
        <v>411</v>
      </c>
      <c r="I987" s="3" t="s">
        <v>24</v>
      </c>
      <c r="J987" s="3" t="s">
        <v>24</v>
      </c>
      <c r="K987" s="3" t="s">
        <v>25</v>
      </c>
      <c r="L987" s="4">
        <v>0</v>
      </c>
      <c r="M987" s="3" t="s">
        <v>26</v>
      </c>
      <c r="N987" s="3" t="s">
        <v>24</v>
      </c>
      <c r="O987" s="4">
        <v>1</v>
      </c>
      <c r="P987" s="4">
        <v>8</v>
      </c>
      <c r="Q987" s="4">
        <v>1</v>
      </c>
    </row>
    <row r="988" spans="1:17" x14ac:dyDescent="0.25">
      <c r="A988" s="3" t="s">
        <v>18</v>
      </c>
      <c r="B988" s="3">
        <v>12263575</v>
      </c>
      <c r="C988" s="3" t="s">
        <v>1030</v>
      </c>
      <c r="D988" s="3" t="s">
        <v>20</v>
      </c>
      <c r="E988" s="3" t="s">
        <v>21</v>
      </c>
      <c r="F988" s="3" t="s">
        <v>21</v>
      </c>
      <c r="G988" s="3" t="s">
        <v>410</v>
      </c>
      <c r="H988" s="3" t="s">
        <v>411</v>
      </c>
      <c r="I988" s="3" t="s">
        <v>24</v>
      </c>
      <c r="J988" s="3" t="s">
        <v>24</v>
      </c>
      <c r="K988" s="3" t="s">
        <v>25</v>
      </c>
      <c r="L988" s="4">
        <v>0</v>
      </c>
      <c r="M988" s="3" t="s">
        <v>26</v>
      </c>
      <c r="N988" s="3" t="s">
        <v>24</v>
      </c>
      <c r="O988" s="4">
        <v>1</v>
      </c>
      <c r="P988" s="4">
        <v>9</v>
      </c>
      <c r="Q988" s="4">
        <v>1</v>
      </c>
    </row>
    <row r="989" spans="1:17" x14ac:dyDescent="0.25">
      <c r="A989" s="3" t="s">
        <v>18</v>
      </c>
      <c r="B989" s="3">
        <v>12263576</v>
      </c>
      <c r="C989" s="3" t="s">
        <v>1031</v>
      </c>
      <c r="D989" s="3" t="s">
        <v>20</v>
      </c>
      <c r="E989" s="3" t="s">
        <v>21</v>
      </c>
      <c r="F989" s="3" t="s">
        <v>21</v>
      </c>
      <c r="G989" s="3" t="s">
        <v>410</v>
      </c>
      <c r="H989" s="3" t="s">
        <v>411</v>
      </c>
      <c r="I989" s="3" t="s">
        <v>24</v>
      </c>
      <c r="J989" s="3" t="s">
        <v>24</v>
      </c>
      <c r="K989" s="3" t="s">
        <v>25</v>
      </c>
      <c r="L989" s="4">
        <v>0</v>
      </c>
      <c r="M989" s="3" t="s">
        <v>26</v>
      </c>
      <c r="N989" s="3" t="s">
        <v>24</v>
      </c>
      <c r="O989" s="4">
        <v>1</v>
      </c>
      <c r="P989" s="4">
        <v>8</v>
      </c>
      <c r="Q989" s="4">
        <v>1</v>
      </c>
    </row>
    <row r="990" spans="1:17" x14ac:dyDescent="0.25">
      <c r="A990" s="3" t="s">
        <v>18</v>
      </c>
      <c r="B990" s="3">
        <v>12263648</v>
      </c>
      <c r="C990" s="3" t="s">
        <v>1032</v>
      </c>
      <c r="D990" s="3" t="s">
        <v>20</v>
      </c>
      <c r="E990" s="3" t="s">
        <v>21</v>
      </c>
      <c r="F990" s="3" t="s">
        <v>21</v>
      </c>
      <c r="G990" s="3" t="s">
        <v>410</v>
      </c>
      <c r="H990" s="3" t="s">
        <v>411</v>
      </c>
      <c r="I990" s="3" t="s">
        <v>24</v>
      </c>
      <c r="J990" s="3" t="s">
        <v>24</v>
      </c>
      <c r="K990" s="3" t="s">
        <v>25</v>
      </c>
      <c r="L990" s="4">
        <v>0</v>
      </c>
      <c r="M990" s="3" t="s">
        <v>26</v>
      </c>
      <c r="N990" s="3" t="s">
        <v>24</v>
      </c>
      <c r="O990" s="4">
        <v>1</v>
      </c>
      <c r="P990" s="4">
        <v>8</v>
      </c>
      <c r="Q990" s="4">
        <v>1</v>
      </c>
    </row>
    <row r="991" spans="1:17" x14ac:dyDescent="0.25">
      <c r="A991" s="3" t="s">
        <v>18</v>
      </c>
      <c r="B991" s="3">
        <v>12263649</v>
      </c>
      <c r="C991" s="3" t="s">
        <v>1033</v>
      </c>
      <c r="D991" s="3" t="s">
        <v>20</v>
      </c>
      <c r="E991" s="3" t="s">
        <v>21</v>
      </c>
      <c r="F991" s="3" t="s">
        <v>21</v>
      </c>
      <c r="G991" s="3" t="s">
        <v>410</v>
      </c>
      <c r="H991" s="3" t="s">
        <v>411</v>
      </c>
      <c r="I991" s="3" t="s">
        <v>24</v>
      </c>
      <c r="J991" s="3" t="s">
        <v>24</v>
      </c>
      <c r="K991" s="3" t="s">
        <v>25</v>
      </c>
      <c r="L991" s="4">
        <v>0</v>
      </c>
      <c r="M991" s="3" t="s">
        <v>26</v>
      </c>
      <c r="N991" s="3" t="s">
        <v>24</v>
      </c>
      <c r="O991" s="4">
        <v>1</v>
      </c>
      <c r="P991" s="4">
        <v>8</v>
      </c>
      <c r="Q991" s="4">
        <v>1</v>
      </c>
    </row>
    <row r="992" spans="1:17" x14ac:dyDescent="0.25">
      <c r="A992" s="3" t="s">
        <v>18</v>
      </c>
      <c r="B992" s="3">
        <v>12263651</v>
      </c>
      <c r="C992" s="3" t="s">
        <v>1034</v>
      </c>
      <c r="D992" s="3" t="s">
        <v>20</v>
      </c>
      <c r="E992" s="3" t="s">
        <v>21</v>
      </c>
      <c r="F992" s="3" t="s">
        <v>21</v>
      </c>
      <c r="G992" s="3" t="s">
        <v>410</v>
      </c>
      <c r="H992" s="3" t="s">
        <v>411</v>
      </c>
      <c r="I992" s="3" t="s">
        <v>24</v>
      </c>
      <c r="J992" s="3" t="s">
        <v>24</v>
      </c>
      <c r="K992" s="3" t="s">
        <v>25</v>
      </c>
      <c r="L992" s="4">
        <v>0</v>
      </c>
      <c r="M992" s="3" t="s">
        <v>26</v>
      </c>
      <c r="N992" s="3" t="s">
        <v>24</v>
      </c>
      <c r="O992" s="4">
        <v>1</v>
      </c>
      <c r="P992" s="4">
        <v>9</v>
      </c>
      <c r="Q992" s="4">
        <v>1</v>
      </c>
    </row>
    <row r="993" spans="1:17" x14ac:dyDescent="0.25">
      <c r="A993" s="3" t="s">
        <v>18</v>
      </c>
      <c r="B993" s="3">
        <v>12263653</v>
      </c>
      <c r="C993" s="3" t="s">
        <v>1035</v>
      </c>
      <c r="D993" s="3" t="s">
        <v>20</v>
      </c>
      <c r="E993" s="3" t="s">
        <v>21</v>
      </c>
      <c r="F993" s="3" t="s">
        <v>21</v>
      </c>
      <c r="G993" s="3" t="s">
        <v>410</v>
      </c>
      <c r="H993" s="3" t="s">
        <v>411</v>
      </c>
      <c r="I993" s="3" t="s">
        <v>24</v>
      </c>
      <c r="J993" s="3" t="s">
        <v>24</v>
      </c>
      <c r="K993" s="3" t="s">
        <v>25</v>
      </c>
      <c r="L993" s="4">
        <v>0</v>
      </c>
      <c r="M993" s="3" t="s">
        <v>26</v>
      </c>
      <c r="N993" s="3" t="s">
        <v>24</v>
      </c>
      <c r="O993" s="4">
        <v>1</v>
      </c>
      <c r="P993" s="4">
        <v>8</v>
      </c>
      <c r="Q993" s="4">
        <v>1</v>
      </c>
    </row>
    <row r="994" spans="1:17" x14ac:dyDescent="0.25">
      <c r="A994" s="3" t="s">
        <v>18</v>
      </c>
      <c r="B994" s="3">
        <v>12263656</v>
      </c>
      <c r="C994" s="3" t="s">
        <v>1036</v>
      </c>
      <c r="D994" s="3" t="s">
        <v>20</v>
      </c>
      <c r="E994" s="3" t="s">
        <v>21</v>
      </c>
      <c r="F994" s="3" t="s">
        <v>21</v>
      </c>
      <c r="G994" s="3" t="s">
        <v>410</v>
      </c>
      <c r="H994" s="3" t="s">
        <v>411</v>
      </c>
      <c r="I994" s="3" t="s">
        <v>24</v>
      </c>
      <c r="J994" s="3" t="s">
        <v>24</v>
      </c>
      <c r="K994" s="3" t="s">
        <v>25</v>
      </c>
      <c r="L994" s="4">
        <v>0</v>
      </c>
      <c r="M994" s="3" t="s">
        <v>26</v>
      </c>
      <c r="N994" s="3" t="s">
        <v>24</v>
      </c>
      <c r="O994" s="4">
        <v>1</v>
      </c>
      <c r="P994" s="4">
        <v>8</v>
      </c>
      <c r="Q994" s="4">
        <v>1</v>
      </c>
    </row>
    <row r="995" spans="1:17" x14ac:dyDescent="0.25">
      <c r="A995" s="3" t="s">
        <v>18</v>
      </c>
      <c r="B995" s="3">
        <v>12263689</v>
      </c>
      <c r="C995" s="3" t="s">
        <v>1037</v>
      </c>
      <c r="D995" s="3" t="s">
        <v>20</v>
      </c>
      <c r="E995" s="3" t="s">
        <v>21</v>
      </c>
      <c r="F995" s="3" t="s">
        <v>21</v>
      </c>
      <c r="G995" s="3" t="s">
        <v>410</v>
      </c>
      <c r="H995" s="3" t="s">
        <v>411</v>
      </c>
      <c r="I995" s="3" t="s">
        <v>24</v>
      </c>
      <c r="J995" s="3" t="s">
        <v>24</v>
      </c>
      <c r="K995" s="3" t="s">
        <v>25</v>
      </c>
      <c r="L995" s="4">
        <v>0</v>
      </c>
      <c r="M995" s="3" t="s">
        <v>26</v>
      </c>
      <c r="N995" s="3" t="s">
        <v>24</v>
      </c>
      <c r="O995" s="4">
        <v>1</v>
      </c>
      <c r="P995" s="4">
        <v>8</v>
      </c>
      <c r="Q995" s="4">
        <v>1</v>
      </c>
    </row>
    <row r="996" spans="1:17" x14ac:dyDescent="0.25">
      <c r="A996" s="3" t="s">
        <v>18</v>
      </c>
      <c r="B996" s="3">
        <v>12263690</v>
      </c>
      <c r="C996" s="3" t="s">
        <v>1038</v>
      </c>
      <c r="D996" s="3" t="s">
        <v>20</v>
      </c>
      <c r="E996" s="3" t="s">
        <v>21</v>
      </c>
      <c r="F996" s="3" t="s">
        <v>21</v>
      </c>
      <c r="G996" s="3" t="s">
        <v>410</v>
      </c>
      <c r="H996" s="3" t="s">
        <v>411</v>
      </c>
      <c r="I996" s="3" t="s">
        <v>24</v>
      </c>
      <c r="J996" s="3" t="s">
        <v>24</v>
      </c>
      <c r="K996" s="3" t="s">
        <v>25</v>
      </c>
      <c r="L996" s="4">
        <v>0</v>
      </c>
      <c r="M996" s="3" t="s">
        <v>26</v>
      </c>
      <c r="N996" s="3" t="s">
        <v>24</v>
      </c>
      <c r="O996" s="4">
        <v>1</v>
      </c>
      <c r="P996" s="4">
        <v>8</v>
      </c>
      <c r="Q996" s="4">
        <v>1</v>
      </c>
    </row>
    <row r="997" spans="1:17" x14ac:dyDescent="0.25">
      <c r="A997" s="3" t="s">
        <v>18</v>
      </c>
      <c r="B997" s="3">
        <v>12263697</v>
      </c>
      <c r="C997" s="3" t="s">
        <v>1039</v>
      </c>
      <c r="D997" s="3" t="s">
        <v>20</v>
      </c>
      <c r="E997" s="3" t="s">
        <v>21</v>
      </c>
      <c r="F997" s="3" t="s">
        <v>21</v>
      </c>
      <c r="G997" s="3" t="s">
        <v>410</v>
      </c>
      <c r="H997" s="3" t="s">
        <v>411</v>
      </c>
      <c r="I997" s="3" t="s">
        <v>24</v>
      </c>
      <c r="J997" s="3" t="s">
        <v>24</v>
      </c>
      <c r="K997" s="3" t="s">
        <v>25</v>
      </c>
      <c r="L997" s="4">
        <v>0</v>
      </c>
      <c r="M997" s="3" t="s">
        <v>26</v>
      </c>
      <c r="N997" s="3" t="s">
        <v>24</v>
      </c>
      <c r="O997" s="4">
        <v>1</v>
      </c>
      <c r="P997" s="4">
        <v>10</v>
      </c>
      <c r="Q997" s="4">
        <v>1</v>
      </c>
    </row>
    <row r="998" spans="1:17" x14ac:dyDescent="0.25">
      <c r="A998" s="3" t="s">
        <v>18</v>
      </c>
      <c r="B998" s="3">
        <v>12263708</v>
      </c>
      <c r="C998" s="3" t="s">
        <v>1040</v>
      </c>
      <c r="D998" s="3" t="s">
        <v>20</v>
      </c>
      <c r="E998" s="3" t="s">
        <v>21</v>
      </c>
      <c r="F998" s="3" t="s">
        <v>21</v>
      </c>
      <c r="G998" s="3" t="s">
        <v>410</v>
      </c>
      <c r="H998" s="3" t="s">
        <v>411</v>
      </c>
      <c r="I998" s="3" t="s">
        <v>24</v>
      </c>
      <c r="J998" s="3" t="s">
        <v>24</v>
      </c>
      <c r="K998" s="3" t="s">
        <v>25</v>
      </c>
      <c r="L998" s="4">
        <v>0</v>
      </c>
      <c r="M998" s="3" t="s">
        <v>26</v>
      </c>
      <c r="N998" s="3" t="s">
        <v>24</v>
      </c>
      <c r="O998" s="4">
        <v>1</v>
      </c>
      <c r="P998" s="4">
        <v>10</v>
      </c>
      <c r="Q998" s="4">
        <v>1</v>
      </c>
    </row>
    <row r="999" spans="1:17" x14ac:dyDescent="0.25">
      <c r="A999" s="3" t="s">
        <v>18</v>
      </c>
      <c r="B999" s="3">
        <v>12263709</v>
      </c>
      <c r="C999" s="3" t="s">
        <v>1041</v>
      </c>
      <c r="D999" s="3" t="s">
        <v>20</v>
      </c>
      <c r="E999" s="3" t="s">
        <v>21</v>
      </c>
      <c r="F999" s="3" t="s">
        <v>21</v>
      </c>
      <c r="G999" s="3" t="s">
        <v>410</v>
      </c>
      <c r="H999" s="3" t="s">
        <v>411</v>
      </c>
      <c r="I999" s="3" t="s">
        <v>24</v>
      </c>
      <c r="J999" s="3" t="s">
        <v>24</v>
      </c>
      <c r="K999" s="3" t="s">
        <v>25</v>
      </c>
      <c r="L999" s="4">
        <v>0</v>
      </c>
      <c r="M999" s="3" t="s">
        <v>26</v>
      </c>
      <c r="N999" s="3" t="s">
        <v>24</v>
      </c>
      <c r="O999" s="4">
        <v>1</v>
      </c>
      <c r="P999" s="4">
        <v>10</v>
      </c>
      <c r="Q999" s="4">
        <v>1</v>
      </c>
    </row>
    <row r="1000" spans="1:17" x14ac:dyDescent="0.25">
      <c r="A1000" s="3" t="s">
        <v>18</v>
      </c>
      <c r="B1000" s="3">
        <v>12263710</v>
      </c>
      <c r="C1000" s="3" t="s">
        <v>1042</v>
      </c>
      <c r="D1000" s="3" t="s">
        <v>20</v>
      </c>
      <c r="E1000" s="3" t="s">
        <v>21</v>
      </c>
      <c r="F1000" s="3" t="s">
        <v>21</v>
      </c>
      <c r="G1000" s="3" t="s">
        <v>410</v>
      </c>
      <c r="H1000" s="3" t="s">
        <v>411</v>
      </c>
      <c r="I1000" s="3" t="s">
        <v>24</v>
      </c>
      <c r="J1000" s="3" t="s">
        <v>24</v>
      </c>
      <c r="K1000" s="3" t="s">
        <v>25</v>
      </c>
      <c r="L1000" s="4">
        <v>0</v>
      </c>
      <c r="M1000" s="3" t="s">
        <v>26</v>
      </c>
      <c r="N1000" s="3" t="s">
        <v>24</v>
      </c>
      <c r="O1000" s="4">
        <v>1</v>
      </c>
      <c r="P1000" s="4">
        <v>10</v>
      </c>
      <c r="Q1000" s="4">
        <v>1</v>
      </c>
    </row>
    <row r="1001" spans="1:17" x14ac:dyDescent="0.25">
      <c r="A1001" s="3" t="s">
        <v>18</v>
      </c>
      <c r="B1001" s="3">
        <v>12263873</v>
      </c>
      <c r="C1001" s="3" t="s">
        <v>1043</v>
      </c>
      <c r="D1001" s="3" t="s">
        <v>20</v>
      </c>
      <c r="E1001" s="3" t="s">
        <v>21</v>
      </c>
      <c r="F1001" s="3" t="s">
        <v>21</v>
      </c>
      <c r="G1001" s="3" t="s">
        <v>410</v>
      </c>
      <c r="H1001" s="3" t="s">
        <v>411</v>
      </c>
      <c r="I1001" s="3" t="s">
        <v>24</v>
      </c>
      <c r="J1001" s="3" t="s">
        <v>24</v>
      </c>
      <c r="K1001" s="3" t="s">
        <v>25</v>
      </c>
      <c r="L1001" s="4">
        <v>0</v>
      </c>
      <c r="M1001" s="3" t="s">
        <v>26</v>
      </c>
      <c r="N1001" s="3" t="s">
        <v>24</v>
      </c>
      <c r="O1001" s="4">
        <v>1</v>
      </c>
      <c r="P1001" s="4">
        <v>2</v>
      </c>
      <c r="Q1001" s="4">
        <v>1</v>
      </c>
    </row>
    <row r="1002" spans="1:17" x14ac:dyDescent="0.25">
      <c r="A1002" s="3" t="s">
        <v>18</v>
      </c>
      <c r="B1002" s="3">
        <v>12263875</v>
      </c>
      <c r="C1002" s="3" t="s">
        <v>1044</v>
      </c>
      <c r="D1002" s="3" t="s">
        <v>20</v>
      </c>
      <c r="E1002" s="3" t="s">
        <v>21</v>
      </c>
      <c r="F1002" s="3" t="s">
        <v>21</v>
      </c>
      <c r="G1002" s="3" t="s">
        <v>410</v>
      </c>
      <c r="H1002" s="3" t="s">
        <v>411</v>
      </c>
      <c r="I1002" s="3" t="s">
        <v>24</v>
      </c>
      <c r="J1002" s="3" t="s">
        <v>24</v>
      </c>
      <c r="K1002" s="3" t="s">
        <v>25</v>
      </c>
      <c r="L1002" s="4">
        <v>0</v>
      </c>
      <c r="M1002" s="3" t="s">
        <v>26</v>
      </c>
      <c r="N1002" s="3" t="s">
        <v>24</v>
      </c>
      <c r="O1002" s="4">
        <v>1</v>
      </c>
      <c r="P1002" s="4">
        <v>2</v>
      </c>
      <c r="Q1002" s="4">
        <v>1</v>
      </c>
    </row>
    <row r="1003" spans="1:17" x14ac:dyDescent="0.25">
      <c r="A1003" s="3" t="s">
        <v>18</v>
      </c>
      <c r="B1003" s="3">
        <v>12263877</v>
      </c>
      <c r="C1003" s="3" t="s">
        <v>1045</v>
      </c>
      <c r="D1003" s="3" t="s">
        <v>20</v>
      </c>
      <c r="E1003" s="3" t="s">
        <v>21</v>
      </c>
      <c r="F1003" s="3" t="s">
        <v>21</v>
      </c>
      <c r="G1003" s="3" t="s">
        <v>410</v>
      </c>
      <c r="H1003" s="3" t="s">
        <v>411</v>
      </c>
      <c r="I1003" s="3" t="s">
        <v>24</v>
      </c>
      <c r="J1003" s="3" t="s">
        <v>24</v>
      </c>
      <c r="K1003" s="3" t="s">
        <v>25</v>
      </c>
      <c r="L1003" s="4">
        <v>0</v>
      </c>
      <c r="M1003" s="3" t="s">
        <v>26</v>
      </c>
      <c r="N1003" s="3" t="s">
        <v>24</v>
      </c>
      <c r="O1003" s="4">
        <v>1</v>
      </c>
      <c r="P1003" s="4">
        <v>2</v>
      </c>
      <c r="Q1003" s="4">
        <v>1</v>
      </c>
    </row>
    <row r="1004" spans="1:17" x14ac:dyDescent="0.25">
      <c r="A1004" s="3" t="s">
        <v>18</v>
      </c>
      <c r="B1004" s="3">
        <v>12263889</v>
      </c>
      <c r="C1004" s="3" t="s">
        <v>1046</v>
      </c>
      <c r="D1004" s="3" t="s">
        <v>20</v>
      </c>
      <c r="E1004" s="3" t="s">
        <v>21</v>
      </c>
      <c r="F1004" s="3" t="s">
        <v>21</v>
      </c>
      <c r="G1004" s="3" t="s">
        <v>410</v>
      </c>
      <c r="H1004" s="3" t="s">
        <v>411</v>
      </c>
      <c r="I1004" s="3" t="s">
        <v>24</v>
      </c>
      <c r="J1004" s="3" t="s">
        <v>24</v>
      </c>
      <c r="K1004" s="3" t="s">
        <v>25</v>
      </c>
      <c r="L1004" s="4">
        <v>0</v>
      </c>
      <c r="M1004" s="3" t="s">
        <v>26</v>
      </c>
      <c r="N1004" s="3" t="s">
        <v>24</v>
      </c>
      <c r="O1004" s="4">
        <v>1</v>
      </c>
      <c r="P1004" s="4">
        <v>2</v>
      </c>
      <c r="Q1004" s="4">
        <v>1</v>
      </c>
    </row>
    <row r="1005" spans="1:17" x14ac:dyDescent="0.25">
      <c r="A1005" s="3" t="s">
        <v>18</v>
      </c>
      <c r="B1005" s="3">
        <v>12263890</v>
      </c>
      <c r="C1005" s="3" t="s">
        <v>1047</v>
      </c>
      <c r="D1005" s="3" t="s">
        <v>20</v>
      </c>
      <c r="E1005" s="3" t="s">
        <v>21</v>
      </c>
      <c r="F1005" s="3" t="s">
        <v>21</v>
      </c>
      <c r="G1005" s="3" t="s">
        <v>410</v>
      </c>
      <c r="H1005" s="3" t="s">
        <v>411</v>
      </c>
      <c r="I1005" s="3" t="s">
        <v>24</v>
      </c>
      <c r="J1005" s="3" t="s">
        <v>24</v>
      </c>
      <c r="K1005" s="3" t="s">
        <v>25</v>
      </c>
      <c r="L1005" s="4">
        <v>0</v>
      </c>
      <c r="M1005" s="3" t="s">
        <v>26</v>
      </c>
      <c r="N1005" s="3" t="s">
        <v>24</v>
      </c>
      <c r="O1005" s="4">
        <v>1</v>
      </c>
      <c r="P1005" s="4">
        <v>2</v>
      </c>
      <c r="Q1005" s="4">
        <v>1</v>
      </c>
    </row>
    <row r="1006" spans="1:17" x14ac:dyDescent="0.25">
      <c r="A1006" s="3" t="s">
        <v>18</v>
      </c>
      <c r="B1006" s="3">
        <v>12263895</v>
      </c>
      <c r="C1006" s="3" t="s">
        <v>1048</v>
      </c>
      <c r="D1006" s="3" t="s">
        <v>20</v>
      </c>
      <c r="E1006" s="3" t="s">
        <v>21</v>
      </c>
      <c r="F1006" s="3" t="s">
        <v>21</v>
      </c>
      <c r="G1006" s="3" t="s">
        <v>410</v>
      </c>
      <c r="H1006" s="3" t="s">
        <v>411</v>
      </c>
      <c r="I1006" s="3" t="s">
        <v>24</v>
      </c>
      <c r="J1006" s="3" t="s">
        <v>24</v>
      </c>
      <c r="K1006" s="3" t="s">
        <v>25</v>
      </c>
      <c r="L1006" s="4">
        <v>0</v>
      </c>
      <c r="M1006" s="3" t="s">
        <v>26</v>
      </c>
      <c r="N1006" s="3" t="s">
        <v>24</v>
      </c>
      <c r="O1006" s="4">
        <v>1</v>
      </c>
      <c r="P1006" s="4">
        <v>99999999</v>
      </c>
      <c r="Q1006" s="4">
        <v>1</v>
      </c>
    </row>
    <row r="1007" spans="1:17" x14ac:dyDescent="0.25">
      <c r="A1007" s="3" t="s">
        <v>18</v>
      </c>
      <c r="B1007" s="3">
        <v>12263896</v>
      </c>
      <c r="C1007" s="3" t="s">
        <v>1049</v>
      </c>
      <c r="D1007" s="3" t="s">
        <v>20</v>
      </c>
      <c r="E1007" s="3" t="s">
        <v>21</v>
      </c>
      <c r="F1007" s="3" t="s">
        <v>21</v>
      </c>
      <c r="G1007" s="3" t="s">
        <v>410</v>
      </c>
      <c r="H1007" s="3" t="s">
        <v>411</v>
      </c>
      <c r="I1007" s="3" t="s">
        <v>24</v>
      </c>
      <c r="J1007" s="3" t="s">
        <v>24</v>
      </c>
      <c r="K1007" s="3" t="s">
        <v>25</v>
      </c>
      <c r="L1007" s="4">
        <v>0</v>
      </c>
      <c r="M1007" s="3" t="s">
        <v>26</v>
      </c>
      <c r="N1007" s="3" t="s">
        <v>24</v>
      </c>
      <c r="O1007" s="4">
        <v>1</v>
      </c>
      <c r="P1007" s="4">
        <v>99999999</v>
      </c>
      <c r="Q1007" s="4">
        <v>1</v>
      </c>
    </row>
    <row r="1008" spans="1:17" x14ac:dyDescent="0.25">
      <c r="A1008" s="3" t="s">
        <v>18</v>
      </c>
      <c r="B1008" s="3">
        <v>12263897</v>
      </c>
      <c r="C1008" s="3" t="s">
        <v>1050</v>
      </c>
      <c r="D1008" s="3" t="s">
        <v>20</v>
      </c>
      <c r="E1008" s="3" t="s">
        <v>21</v>
      </c>
      <c r="F1008" s="3" t="s">
        <v>21</v>
      </c>
      <c r="G1008" s="3" t="s">
        <v>410</v>
      </c>
      <c r="H1008" s="3" t="s">
        <v>411</v>
      </c>
      <c r="I1008" s="3" t="s">
        <v>24</v>
      </c>
      <c r="J1008" s="3" t="s">
        <v>24</v>
      </c>
      <c r="K1008" s="3" t="s">
        <v>25</v>
      </c>
      <c r="L1008" s="4">
        <v>0</v>
      </c>
      <c r="M1008" s="3" t="s">
        <v>26</v>
      </c>
      <c r="N1008" s="3" t="s">
        <v>24</v>
      </c>
      <c r="O1008" s="4">
        <v>1</v>
      </c>
      <c r="P1008" s="4">
        <v>99999999</v>
      </c>
      <c r="Q1008" s="4">
        <v>1</v>
      </c>
    </row>
    <row r="1009" spans="1:17" x14ac:dyDescent="0.25">
      <c r="A1009" s="3" t="s">
        <v>18</v>
      </c>
      <c r="B1009" s="3">
        <v>12263899</v>
      </c>
      <c r="C1009" s="3" t="s">
        <v>1051</v>
      </c>
      <c r="D1009" s="3" t="s">
        <v>20</v>
      </c>
      <c r="E1009" s="3" t="s">
        <v>21</v>
      </c>
      <c r="F1009" s="3" t="s">
        <v>21</v>
      </c>
      <c r="G1009" s="3" t="s">
        <v>410</v>
      </c>
      <c r="H1009" s="3" t="s">
        <v>411</v>
      </c>
      <c r="I1009" s="3" t="s">
        <v>24</v>
      </c>
      <c r="J1009" s="3" t="s">
        <v>24</v>
      </c>
      <c r="K1009" s="3" t="s">
        <v>25</v>
      </c>
      <c r="L1009" s="4">
        <v>0</v>
      </c>
      <c r="M1009" s="3" t="s">
        <v>26</v>
      </c>
      <c r="N1009" s="3" t="s">
        <v>24</v>
      </c>
      <c r="O1009" s="4">
        <v>1</v>
      </c>
      <c r="P1009" s="4">
        <v>99999999</v>
      </c>
      <c r="Q1009" s="4">
        <v>1</v>
      </c>
    </row>
    <row r="1010" spans="1:17" x14ac:dyDescent="0.25">
      <c r="A1010" s="3" t="s">
        <v>18</v>
      </c>
      <c r="B1010" s="3">
        <v>12263901</v>
      </c>
      <c r="C1010" s="3" t="s">
        <v>1052</v>
      </c>
      <c r="D1010" s="3" t="s">
        <v>20</v>
      </c>
      <c r="E1010" s="3" t="s">
        <v>21</v>
      </c>
      <c r="F1010" s="3" t="s">
        <v>21</v>
      </c>
      <c r="G1010" s="3" t="s">
        <v>410</v>
      </c>
      <c r="H1010" s="3" t="s">
        <v>411</v>
      </c>
      <c r="I1010" s="3" t="s">
        <v>24</v>
      </c>
      <c r="J1010" s="3" t="s">
        <v>24</v>
      </c>
      <c r="K1010" s="3" t="s">
        <v>25</v>
      </c>
      <c r="L1010" s="4">
        <v>0</v>
      </c>
      <c r="M1010" s="3" t="s">
        <v>26</v>
      </c>
      <c r="N1010" s="3" t="s">
        <v>24</v>
      </c>
      <c r="O1010" s="4">
        <v>1</v>
      </c>
      <c r="P1010" s="4">
        <v>3</v>
      </c>
      <c r="Q1010" s="4">
        <v>1</v>
      </c>
    </row>
    <row r="1011" spans="1:17" x14ac:dyDescent="0.25">
      <c r="A1011" s="3" t="s">
        <v>18</v>
      </c>
      <c r="B1011" s="3">
        <v>12263902</v>
      </c>
      <c r="C1011" s="3" t="s">
        <v>1053</v>
      </c>
      <c r="D1011" s="3" t="s">
        <v>20</v>
      </c>
      <c r="E1011" s="3" t="s">
        <v>21</v>
      </c>
      <c r="F1011" s="3" t="s">
        <v>21</v>
      </c>
      <c r="G1011" s="3" t="s">
        <v>410</v>
      </c>
      <c r="H1011" s="3" t="s">
        <v>411</v>
      </c>
      <c r="I1011" s="3" t="s">
        <v>24</v>
      </c>
      <c r="J1011" s="3" t="s">
        <v>24</v>
      </c>
      <c r="K1011" s="3" t="s">
        <v>25</v>
      </c>
      <c r="L1011" s="4">
        <v>0</v>
      </c>
      <c r="M1011" s="3" t="s">
        <v>26</v>
      </c>
      <c r="N1011" s="3" t="s">
        <v>24</v>
      </c>
      <c r="O1011" s="4">
        <v>1</v>
      </c>
      <c r="P1011" s="4">
        <v>99999999</v>
      </c>
      <c r="Q1011" s="4">
        <v>1</v>
      </c>
    </row>
    <row r="1012" spans="1:17" x14ac:dyDescent="0.25">
      <c r="A1012" s="3" t="s">
        <v>18</v>
      </c>
      <c r="B1012" s="3">
        <v>12263903</v>
      </c>
      <c r="C1012" s="3" t="s">
        <v>1054</v>
      </c>
      <c r="D1012" s="3" t="s">
        <v>20</v>
      </c>
      <c r="E1012" s="3" t="s">
        <v>21</v>
      </c>
      <c r="F1012" s="3" t="s">
        <v>21</v>
      </c>
      <c r="G1012" s="3" t="s">
        <v>410</v>
      </c>
      <c r="H1012" s="3" t="s">
        <v>411</v>
      </c>
      <c r="I1012" s="3" t="s">
        <v>24</v>
      </c>
      <c r="J1012" s="3" t="s">
        <v>24</v>
      </c>
      <c r="K1012" s="3" t="s">
        <v>25</v>
      </c>
      <c r="L1012" s="4">
        <v>0</v>
      </c>
      <c r="M1012" s="3" t="s">
        <v>26</v>
      </c>
      <c r="N1012" s="3" t="s">
        <v>24</v>
      </c>
      <c r="O1012" s="4">
        <v>1</v>
      </c>
      <c r="P1012" s="4">
        <v>2</v>
      </c>
      <c r="Q1012" s="4">
        <v>1</v>
      </c>
    </row>
    <row r="1013" spans="1:17" x14ac:dyDescent="0.25">
      <c r="A1013" s="3" t="s">
        <v>18</v>
      </c>
      <c r="B1013" s="3">
        <v>12263994</v>
      </c>
      <c r="C1013" s="3" t="s">
        <v>1055</v>
      </c>
      <c r="D1013" s="3" t="s">
        <v>20</v>
      </c>
      <c r="E1013" s="3" t="s">
        <v>21</v>
      </c>
      <c r="F1013" s="3" t="s">
        <v>21</v>
      </c>
      <c r="G1013" s="3" t="s">
        <v>233</v>
      </c>
      <c r="H1013" s="3" t="s">
        <v>234</v>
      </c>
      <c r="I1013" s="3" t="s">
        <v>24</v>
      </c>
      <c r="J1013" s="3" t="s">
        <v>24</v>
      </c>
      <c r="K1013" s="3" t="s">
        <v>25</v>
      </c>
      <c r="L1013" s="4">
        <v>0</v>
      </c>
      <c r="M1013" s="3" t="s">
        <v>26</v>
      </c>
      <c r="N1013" s="3" t="s">
        <v>24</v>
      </c>
      <c r="O1013" s="4">
        <v>1</v>
      </c>
      <c r="P1013" s="4">
        <v>99999999</v>
      </c>
      <c r="Q1013" s="4">
        <v>1</v>
      </c>
    </row>
    <row r="1014" spans="1:17" x14ac:dyDescent="0.25">
      <c r="A1014" s="3" t="s">
        <v>18</v>
      </c>
      <c r="B1014" s="3">
        <v>12264729</v>
      </c>
      <c r="C1014" s="3" t="s">
        <v>1056</v>
      </c>
      <c r="D1014" s="3" t="s">
        <v>20</v>
      </c>
      <c r="E1014" s="3" t="s">
        <v>21</v>
      </c>
      <c r="F1014" s="3" t="s">
        <v>21</v>
      </c>
      <c r="G1014" s="3" t="s">
        <v>410</v>
      </c>
      <c r="H1014" s="3" t="s">
        <v>411</v>
      </c>
      <c r="I1014" s="3" t="s">
        <v>24</v>
      </c>
      <c r="J1014" s="3" t="s">
        <v>24</v>
      </c>
      <c r="K1014" s="3" t="s">
        <v>25</v>
      </c>
      <c r="L1014" s="4">
        <v>0</v>
      </c>
      <c r="M1014" s="3" t="s">
        <v>26</v>
      </c>
      <c r="N1014" s="3" t="s">
        <v>24</v>
      </c>
      <c r="O1014" s="4">
        <v>1</v>
      </c>
      <c r="P1014" s="4">
        <v>8</v>
      </c>
      <c r="Q1014" s="4">
        <v>1</v>
      </c>
    </row>
    <row r="1015" spans="1:17" x14ac:dyDescent="0.25">
      <c r="A1015" s="3" t="s">
        <v>18</v>
      </c>
      <c r="B1015" s="3">
        <v>12267086</v>
      </c>
      <c r="C1015" s="3" t="s">
        <v>1057</v>
      </c>
      <c r="D1015" s="3" t="s">
        <v>20</v>
      </c>
      <c r="E1015" s="3" t="s">
        <v>21</v>
      </c>
      <c r="F1015" s="3" t="s">
        <v>21</v>
      </c>
      <c r="G1015" s="3" t="s">
        <v>233</v>
      </c>
      <c r="H1015" s="3" t="s">
        <v>234</v>
      </c>
      <c r="I1015" s="3" t="s">
        <v>24</v>
      </c>
      <c r="J1015" s="3" t="s">
        <v>24</v>
      </c>
      <c r="K1015" s="3" t="s">
        <v>25</v>
      </c>
      <c r="L1015" s="4">
        <v>0</v>
      </c>
      <c r="M1015" s="3" t="s">
        <v>26</v>
      </c>
      <c r="N1015" s="3" t="s">
        <v>24</v>
      </c>
      <c r="O1015" s="4">
        <v>1</v>
      </c>
      <c r="P1015" s="4">
        <v>99999999</v>
      </c>
      <c r="Q1015" s="4">
        <v>1</v>
      </c>
    </row>
    <row r="1016" spans="1:17" x14ac:dyDescent="0.25">
      <c r="A1016" s="3" t="s">
        <v>18</v>
      </c>
      <c r="B1016" s="3">
        <v>12276348</v>
      </c>
      <c r="C1016" s="3" t="s">
        <v>1058</v>
      </c>
      <c r="D1016" s="3" t="s">
        <v>20</v>
      </c>
      <c r="E1016" s="3" t="s">
        <v>21</v>
      </c>
      <c r="F1016" s="3" t="s">
        <v>21</v>
      </c>
      <c r="G1016" s="3" t="s">
        <v>30</v>
      </c>
      <c r="H1016" s="3" t="s">
        <v>31</v>
      </c>
      <c r="I1016" s="3" t="s">
        <v>24</v>
      </c>
      <c r="J1016" s="3" t="s">
        <v>24</v>
      </c>
      <c r="K1016" s="3" t="s">
        <v>25</v>
      </c>
      <c r="L1016" s="4">
        <v>0</v>
      </c>
      <c r="M1016" s="3" t="s">
        <v>26</v>
      </c>
      <c r="N1016" s="3" t="s">
        <v>24</v>
      </c>
      <c r="O1016" s="4">
        <v>1</v>
      </c>
      <c r="P1016" s="4">
        <v>9</v>
      </c>
      <c r="Q1016" s="4">
        <v>1</v>
      </c>
    </row>
    <row r="1017" spans="1:17" x14ac:dyDescent="0.25">
      <c r="A1017" s="3" t="s">
        <v>18</v>
      </c>
      <c r="B1017" s="3">
        <v>12276450</v>
      </c>
      <c r="C1017" s="3" t="s">
        <v>1059</v>
      </c>
      <c r="D1017" s="3" t="s">
        <v>20</v>
      </c>
      <c r="E1017" s="3" t="s">
        <v>21</v>
      </c>
      <c r="F1017" s="3" t="s">
        <v>21</v>
      </c>
      <c r="G1017" s="3" t="s">
        <v>42</v>
      </c>
      <c r="H1017" s="3" t="s">
        <v>43</v>
      </c>
      <c r="I1017" s="3" t="s">
        <v>24</v>
      </c>
      <c r="J1017" s="3" t="s">
        <v>24</v>
      </c>
      <c r="K1017" s="3" t="s">
        <v>25</v>
      </c>
      <c r="L1017" s="4">
        <v>0</v>
      </c>
      <c r="M1017" s="3" t="s">
        <v>26</v>
      </c>
      <c r="N1017" s="3" t="s">
        <v>24</v>
      </c>
      <c r="O1017" s="4">
        <v>1</v>
      </c>
      <c r="P1017" s="4">
        <v>8</v>
      </c>
      <c r="Q1017" s="4">
        <v>1</v>
      </c>
    </row>
    <row r="1018" spans="1:17" x14ac:dyDescent="0.25">
      <c r="A1018" s="3" t="s">
        <v>18</v>
      </c>
      <c r="B1018" s="3">
        <v>12276454</v>
      </c>
      <c r="C1018" s="3" t="s">
        <v>1060</v>
      </c>
      <c r="D1018" s="3" t="s">
        <v>20</v>
      </c>
      <c r="E1018" s="3" t="s">
        <v>21</v>
      </c>
      <c r="F1018" s="3" t="s">
        <v>21</v>
      </c>
      <c r="G1018" s="3" t="s">
        <v>22</v>
      </c>
      <c r="H1018" s="3" t="s">
        <v>23</v>
      </c>
      <c r="I1018" s="3" t="s">
        <v>24</v>
      </c>
      <c r="J1018" s="3" t="s">
        <v>24</v>
      </c>
      <c r="K1018" s="3" t="s">
        <v>25</v>
      </c>
      <c r="L1018" s="4">
        <v>0</v>
      </c>
      <c r="M1018" s="3" t="s">
        <v>26</v>
      </c>
      <c r="N1018" s="3" t="s">
        <v>24</v>
      </c>
      <c r="O1018" s="4">
        <v>1</v>
      </c>
      <c r="P1018" s="4">
        <v>4</v>
      </c>
      <c r="Q1018" s="4">
        <v>1</v>
      </c>
    </row>
    <row r="1019" spans="1:17" x14ac:dyDescent="0.25">
      <c r="A1019" s="3" t="s">
        <v>18</v>
      </c>
      <c r="B1019" s="3">
        <v>12276457</v>
      </c>
      <c r="C1019" s="3" t="s">
        <v>1061</v>
      </c>
      <c r="D1019" s="3" t="s">
        <v>20</v>
      </c>
      <c r="E1019" s="3" t="s">
        <v>21</v>
      </c>
      <c r="F1019" s="3" t="s">
        <v>21</v>
      </c>
      <c r="G1019" s="3" t="s">
        <v>36</v>
      </c>
      <c r="H1019" s="3" t="s">
        <v>37</v>
      </c>
      <c r="I1019" s="3" t="s">
        <v>24</v>
      </c>
      <c r="J1019" s="3" t="s">
        <v>24</v>
      </c>
      <c r="K1019" s="3" t="s">
        <v>25</v>
      </c>
      <c r="L1019" s="4">
        <v>0</v>
      </c>
      <c r="M1019" s="3" t="s">
        <v>26</v>
      </c>
      <c r="N1019" s="3" t="s">
        <v>24</v>
      </c>
      <c r="O1019" s="4">
        <v>1</v>
      </c>
      <c r="P1019" s="4">
        <v>10</v>
      </c>
      <c r="Q1019" s="4">
        <v>1</v>
      </c>
    </row>
    <row r="1020" spans="1:17" x14ac:dyDescent="0.25">
      <c r="A1020" s="3" t="s">
        <v>18</v>
      </c>
      <c r="B1020" s="3">
        <v>12292001</v>
      </c>
      <c r="C1020" s="3" t="s">
        <v>1062</v>
      </c>
      <c r="D1020" s="3" t="s">
        <v>20</v>
      </c>
      <c r="E1020" s="3" t="s">
        <v>21</v>
      </c>
      <c r="F1020" s="3" t="s">
        <v>21</v>
      </c>
      <c r="G1020" s="3" t="s">
        <v>477</v>
      </c>
      <c r="H1020" s="3" t="s">
        <v>478</v>
      </c>
      <c r="I1020" s="3" t="s">
        <v>24</v>
      </c>
      <c r="J1020" s="3" t="s">
        <v>24</v>
      </c>
      <c r="K1020" s="3" t="s">
        <v>25</v>
      </c>
      <c r="L1020" s="4">
        <v>0</v>
      </c>
      <c r="M1020" s="3" t="s">
        <v>26</v>
      </c>
      <c r="N1020" s="3" t="s">
        <v>24</v>
      </c>
      <c r="O1020" s="4">
        <v>1</v>
      </c>
      <c r="P1020" s="4">
        <v>1</v>
      </c>
      <c r="Q1020" s="4">
        <v>1</v>
      </c>
    </row>
    <row r="1021" spans="1:17" x14ac:dyDescent="0.25">
      <c r="A1021" s="3" t="s">
        <v>18</v>
      </c>
      <c r="B1021" s="3">
        <v>12292003</v>
      </c>
      <c r="C1021" s="3" t="s">
        <v>1063</v>
      </c>
      <c r="D1021" s="3" t="s">
        <v>20</v>
      </c>
      <c r="E1021" s="3" t="s">
        <v>21</v>
      </c>
      <c r="F1021" s="3" t="s">
        <v>21</v>
      </c>
      <c r="G1021" s="3" t="s">
        <v>30</v>
      </c>
      <c r="H1021" s="3" t="s">
        <v>31</v>
      </c>
      <c r="I1021" s="3" t="s">
        <v>24</v>
      </c>
      <c r="J1021" s="3" t="s">
        <v>24</v>
      </c>
      <c r="K1021" s="3" t="s">
        <v>25</v>
      </c>
      <c r="L1021" s="4">
        <v>0</v>
      </c>
      <c r="M1021" s="3" t="s">
        <v>26</v>
      </c>
      <c r="N1021" s="3" t="s">
        <v>24</v>
      </c>
      <c r="O1021" s="4">
        <v>1</v>
      </c>
      <c r="P1021" s="4">
        <v>8</v>
      </c>
      <c r="Q1021" s="4">
        <v>1</v>
      </c>
    </row>
    <row r="1022" spans="1:17" x14ac:dyDescent="0.25">
      <c r="A1022" s="3" t="s">
        <v>18</v>
      </c>
      <c r="B1022" s="3">
        <v>12300578</v>
      </c>
      <c r="C1022" s="3" t="s">
        <v>1064</v>
      </c>
      <c r="D1022" s="3" t="s">
        <v>20</v>
      </c>
      <c r="E1022" s="3" t="s">
        <v>21</v>
      </c>
      <c r="F1022" s="3" t="s">
        <v>21</v>
      </c>
      <c r="G1022" s="3" t="s">
        <v>30</v>
      </c>
      <c r="H1022" s="3" t="s">
        <v>31</v>
      </c>
      <c r="I1022" s="3" t="s">
        <v>24</v>
      </c>
      <c r="J1022" s="3" t="s">
        <v>24</v>
      </c>
      <c r="K1022" s="3" t="s">
        <v>25</v>
      </c>
      <c r="L1022" s="4">
        <v>0</v>
      </c>
      <c r="M1022" s="3" t="s">
        <v>26</v>
      </c>
      <c r="N1022" s="3" t="s">
        <v>24</v>
      </c>
      <c r="O1022" s="4">
        <v>1</v>
      </c>
      <c r="P1022" s="4">
        <v>8</v>
      </c>
      <c r="Q1022" s="4">
        <v>1</v>
      </c>
    </row>
    <row r="1023" spans="1:17" x14ac:dyDescent="0.25">
      <c r="A1023" s="3" t="s">
        <v>18</v>
      </c>
      <c r="B1023" s="3">
        <v>12300579</v>
      </c>
      <c r="C1023" s="3" t="s">
        <v>1065</v>
      </c>
      <c r="D1023" s="3" t="s">
        <v>20</v>
      </c>
      <c r="E1023" s="3" t="s">
        <v>21</v>
      </c>
      <c r="F1023" s="3" t="s">
        <v>21</v>
      </c>
      <c r="G1023" s="3" t="s">
        <v>30</v>
      </c>
      <c r="H1023" s="3" t="s">
        <v>31</v>
      </c>
      <c r="I1023" s="3" t="s">
        <v>24</v>
      </c>
      <c r="J1023" s="3" t="s">
        <v>24</v>
      </c>
      <c r="K1023" s="3" t="s">
        <v>25</v>
      </c>
      <c r="L1023" s="4">
        <v>0</v>
      </c>
      <c r="M1023" s="3" t="s">
        <v>26</v>
      </c>
      <c r="N1023" s="3" t="s">
        <v>24</v>
      </c>
      <c r="O1023" s="4">
        <v>1</v>
      </c>
      <c r="P1023" s="4">
        <v>8</v>
      </c>
      <c r="Q1023" s="4">
        <v>1</v>
      </c>
    </row>
    <row r="1024" spans="1:17" x14ac:dyDescent="0.25">
      <c r="A1024" s="3" t="s">
        <v>18</v>
      </c>
      <c r="B1024" s="3">
        <v>12306582</v>
      </c>
      <c r="C1024" s="3" t="s">
        <v>1066</v>
      </c>
      <c r="D1024" s="3" t="s">
        <v>20</v>
      </c>
      <c r="E1024" s="3" t="s">
        <v>21</v>
      </c>
      <c r="F1024" s="3" t="s">
        <v>21</v>
      </c>
      <c r="G1024" s="3" t="s">
        <v>42</v>
      </c>
      <c r="H1024" s="3" t="s">
        <v>43</v>
      </c>
      <c r="I1024" s="3" t="s">
        <v>24</v>
      </c>
      <c r="J1024" s="3" t="s">
        <v>24</v>
      </c>
      <c r="K1024" s="3" t="s">
        <v>25</v>
      </c>
      <c r="L1024" s="4">
        <v>0</v>
      </c>
      <c r="M1024" s="3" t="s">
        <v>26</v>
      </c>
      <c r="N1024" s="3" t="s">
        <v>24</v>
      </c>
      <c r="O1024" s="4">
        <v>1</v>
      </c>
      <c r="P1024" s="4">
        <v>8</v>
      </c>
      <c r="Q1024" s="4">
        <v>1</v>
      </c>
    </row>
    <row r="1025" spans="1:17" x14ac:dyDescent="0.25">
      <c r="A1025" s="3" t="s">
        <v>18</v>
      </c>
      <c r="B1025" s="3">
        <v>12313132</v>
      </c>
      <c r="C1025" s="3" t="s">
        <v>1067</v>
      </c>
      <c r="D1025" s="3" t="s">
        <v>20</v>
      </c>
      <c r="E1025" s="3" t="s">
        <v>21</v>
      </c>
      <c r="F1025" s="3" t="s">
        <v>21</v>
      </c>
      <c r="G1025" s="3" t="s">
        <v>233</v>
      </c>
      <c r="H1025" s="3" t="s">
        <v>234</v>
      </c>
      <c r="I1025" s="3" t="s">
        <v>24</v>
      </c>
      <c r="J1025" s="3" t="s">
        <v>24</v>
      </c>
      <c r="K1025" s="3" t="s">
        <v>25</v>
      </c>
      <c r="L1025" s="4">
        <v>0</v>
      </c>
      <c r="M1025" s="3" t="s">
        <v>26</v>
      </c>
      <c r="N1025" s="3" t="s">
        <v>24</v>
      </c>
      <c r="O1025" s="4">
        <v>1</v>
      </c>
      <c r="P1025" s="4">
        <v>99999999</v>
      </c>
      <c r="Q1025" s="4">
        <v>1</v>
      </c>
    </row>
    <row r="1026" spans="1:17" x14ac:dyDescent="0.25">
      <c r="A1026" s="3" t="s">
        <v>18</v>
      </c>
      <c r="B1026" s="3">
        <v>12319294</v>
      </c>
      <c r="C1026" s="3" t="s">
        <v>1068</v>
      </c>
      <c r="D1026" s="3" t="s">
        <v>20</v>
      </c>
      <c r="E1026" s="3" t="s">
        <v>21</v>
      </c>
      <c r="F1026" s="3" t="s">
        <v>21</v>
      </c>
      <c r="G1026" s="3" t="s">
        <v>410</v>
      </c>
      <c r="H1026" s="3" t="s">
        <v>411</v>
      </c>
      <c r="I1026" s="3" t="s">
        <v>24</v>
      </c>
      <c r="J1026" s="3" t="s">
        <v>24</v>
      </c>
      <c r="K1026" s="3" t="s">
        <v>25</v>
      </c>
      <c r="L1026" s="4">
        <v>0</v>
      </c>
      <c r="M1026" s="3" t="s">
        <v>26</v>
      </c>
      <c r="N1026" s="3" t="s">
        <v>24</v>
      </c>
      <c r="O1026" s="4">
        <v>1</v>
      </c>
      <c r="P1026" s="4">
        <v>4</v>
      </c>
      <c r="Q1026" s="4">
        <v>1</v>
      </c>
    </row>
    <row r="1027" spans="1:17" x14ac:dyDescent="0.25">
      <c r="A1027" s="3" t="s">
        <v>18</v>
      </c>
      <c r="B1027" s="3">
        <v>12330857</v>
      </c>
      <c r="C1027" s="3" t="s">
        <v>1069</v>
      </c>
      <c r="D1027" s="3" t="s">
        <v>20</v>
      </c>
      <c r="E1027" s="3" t="s">
        <v>21</v>
      </c>
      <c r="F1027" s="3" t="s">
        <v>21</v>
      </c>
      <c r="G1027" s="3" t="s">
        <v>410</v>
      </c>
      <c r="H1027" s="3" t="s">
        <v>411</v>
      </c>
      <c r="I1027" s="3" t="s">
        <v>24</v>
      </c>
      <c r="J1027" s="3" t="s">
        <v>24</v>
      </c>
      <c r="K1027" s="3" t="s">
        <v>25</v>
      </c>
      <c r="L1027" s="4">
        <v>0</v>
      </c>
      <c r="M1027" s="3" t="s">
        <v>26</v>
      </c>
      <c r="N1027" s="3" t="s">
        <v>24</v>
      </c>
      <c r="O1027" s="4">
        <v>1</v>
      </c>
      <c r="P1027" s="4">
        <v>8</v>
      </c>
      <c r="Q1027" s="4">
        <v>1</v>
      </c>
    </row>
    <row r="1028" spans="1:17" x14ac:dyDescent="0.25">
      <c r="A1028" s="3" t="s">
        <v>18</v>
      </c>
      <c r="B1028" s="3">
        <v>12331326</v>
      </c>
      <c r="C1028" s="3" t="s">
        <v>1070</v>
      </c>
      <c r="D1028" s="3" t="s">
        <v>20</v>
      </c>
      <c r="E1028" s="3" t="s">
        <v>21</v>
      </c>
      <c r="F1028" s="3" t="s">
        <v>21</v>
      </c>
      <c r="G1028" s="3" t="s">
        <v>36</v>
      </c>
      <c r="H1028" s="3" t="s">
        <v>37</v>
      </c>
      <c r="I1028" s="3" t="s">
        <v>24</v>
      </c>
      <c r="J1028" s="3" t="s">
        <v>24</v>
      </c>
      <c r="K1028" s="3" t="s">
        <v>25</v>
      </c>
      <c r="L1028" s="4">
        <v>0</v>
      </c>
      <c r="M1028" s="3" t="s">
        <v>26</v>
      </c>
      <c r="N1028" s="3" t="s">
        <v>24</v>
      </c>
      <c r="O1028" s="4">
        <v>1</v>
      </c>
      <c r="P1028" s="4">
        <v>10</v>
      </c>
      <c r="Q1028" s="4">
        <v>1</v>
      </c>
    </row>
    <row r="1029" spans="1:17" x14ac:dyDescent="0.25">
      <c r="A1029" s="3" t="s">
        <v>18</v>
      </c>
      <c r="B1029" s="3">
        <v>12331388</v>
      </c>
      <c r="C1029" s="3" t="s">
        <v>1071</v>
      </c>
      <c r="D1029" s="3" t="s">
        <v>20</v>
      </c>
      <c r="E1029" s="3" t="s">
        <v>21</v>
      </c>
      <c r="F1029" s="3" t="s">
        <v>21</v>
      </c>
      <c r="G1029" s="3" t="s">
        <v>36</v>
      </c>
      <c r="H1029" s="3" t="s">
        <v>37</v>
      </c>
      <c r="I1029" s="3" t="s">
        <v>24</v>
      </c>
      <c r="J1029" s="3" t="s">
        <v>24</v>
      </c>
      <c r="K1029" s="3" t="s">
        <v>25</v>
      </c>
      <c r="L1029" s="4">
        <v>0</v>
      </c>
      <c r="M1029" s="3" t="s">
        <v>26</v>
      </c>
      <c r="N1029" s="3" t="s">
        <v>24</v>
      </c>
      <c r="O1029" s="4">
        <v>1</v>
      </c>
      <c r="P1029" s="4">
        <v>10</v>
      </c>
      <c r="Q1029" s="4">
        <v>1</v>
      </c>
    </row>
    <row r="1030" spans="1:17" x14ac:dyDescent="0.25">
      <c r="A1030" s="3" t="s">
        <v>18</v>
      </c>
      <c r="B1030" s="3">
        <v>12331389</v>
      </c>
      <c r="C1030" s="3" t="s">
        <v>1072</v>
      </c>
      <c r="D1030" s="3" t="s">
        <v>20</v>
      </c>
      <c r="E1030" s="3" t="s">
        <v>21</v>
      </c>
      <c r="F1030" s="3" t="s">
        <v>21</v>
      </c>
      <c r="G1030" s="3" t="s">
        <v>36</v>
      </c>
      <c r="H1030" s="3" t="s">
        <v>37</v>
      </c>
      <c r="I1030" s="3" t="s">
        <v>24</v>
      </c>
      <c r="J1030" s="3" t="s">
        <v>24</v>
      </c>
      <c r="K1030" s="3" t="s">
        <v>25</v>
      </c>
      <c r="L1030" s="4">
        <v>0</v>
      </c>
      <c r="M1030" s="3" t="s">
        <v>26</v>
      </c>
      <c r="N1030" s="3" t="s">
        <v>24</v>
      </c>
      <c r="O1030" s="4">
        <v>1</v>
      </c>
      <c r="P1030" s="4">
        <v>10</v>
      </c>
      <c r="Q1030" s="4">
        <v>1</v>
      </c>
    </row>
    <row r="1031" spans="1:17" x14ac:dyDescent="0.25">
      <c r="A1031" s="3" t="s">
        <v>18</v>
      </c>
      <c r="B1031" s="3">
        <v>12331390</v>
      </c>
      <c r="C1031" s="3" t="s">
        <v>1073</v>
      </c>
      <c r="D1031" s="3" t="s">
        <v>20</v>
      </c>
      <c r="E1031" s="3" t="s">
        <v>21</v>
      </c>
      <c r="F1031" s="3" t="s">
        <v>21</v>
      </c>
      <c r="G1031" s="3" t="s">
        <v>36</v>
      </c>
      <c r="H1031" s="3" t="s">
        <v>37</v>
      </c>
      <c r="I1031" s="3" t="s">
        <v>24</v>
      </c>
      <c r="J1031" s="3" t="s">
        <v>24</v>
      </c>
      <c r="K1031" s="3" t="s">
        <v>25</v>
      </c>
      <c r="L1031" s="4">
        <v>0</v>
      </c>
      <c r="M1031" s="3" t="s">
        <v>26</v>
      </c>
      <c r="N1031" s="3" t="s">
        <v>24</v>
      </c>
      <c r="O1031" s="4">
        <v>1</v>
      </c>
      <c r="P1031" s="4">
        <v>10</v>
      </c>
      <c r="Q1031" s="4">
        <v>1</v>
      </c>
    </row>
    <row r="1032" spans="1:17" x14ac:dyDescent="0.25">
      <c r="A1032" s="3" t="s">
        <v>18</v>
      </c>
      <c r="B1032" s="3">
        <v>12331391</v>
      </c>
      <c r="C1032" s="3" t="s">
        <v>1074</v>
      </c>
      <c r="D1032" s="3" t="s">
        <v>20</v>
      </c>
      <c r="E1032" s="3" t="s">
        <v>21</v>
      </c>
      <c r="F1032" s="3" t="s">
        <v>21</v>
      </c>
      <c r="G1032" s="3" t="s">
        <v>36</v>
      </c>
      <c r="H1032" s="3" t="s">
        <v>37</v>
      </c>
      <c r="I1032" s="3" t="s">
        <v>24</v>
      </c>
      <c r="J1032" s="3" t="s">
        <v>24</v>
      </c>
      <c r="K1032" s="3" t="s">
        <v>25</v>
      </c>
      <c r="L1032" s="4">
        <v>0</v>
      </c>
      <c r="M1032" s="3" t="s">
        <v>26</v>
      </c>
      <c r="N1032" s="3" t="s">
        <v>24</v>
      </c>
      <c r="O1032" s="4">
        <v>1</v>
      </c>
      <c r="P1032" s="4">
        <v>10</v>
      </c>
      <c r="Q1032" s="4">
        <v>1</v>
      </c>
    </row>
    <row r="1033" spans="1:17" x14ac:dyDescent="0.25">
      <c r="A1033" s="3" t="s">
        <v>18</v>
      </c>
      <c r="B1033" s="3">
        <v>12331392</v>
      </c>
      <c r="C1033" s="3" t="s">
        <v>1075</v>
      </c>
      <c r="D1033" s="3" t="s">
        <v>20</v>
      </c>
      <c r="E1033" s="3" t="s">
        <v>21</v>
      </c>
      <c r="F1033" s="3" t="s">
        <v>21</v>
      </c>
      <c r="G1033" s="3" t="s">
        <v>36</v>
      </c>
      <c r="H1033" s="3" t="s">
        <v>37</v>
      </c>
      <c r="I1033" s="3" t="s">
        <v>24</v>
      </c>
      <c r="J1033" s="3" t="s">
        <v>24</v>
      </c>
      <c r="K1033" s="3" t="s">
        <v>25</v>
      </c>
      <c r="L1033" s="4">
        <v>0</v>
      </c>
      <c r="M1033" s="3" t="s">
        <v>26</v>
      </c>
      <c r="N1033" s="3" t="s">
        <v>24</v>
      </c>
      <c r="O1033" s="4">
        <v>1</v>
      </c>
      <c r="P1033" s="4">
        <v>10</v>
      </c>
      <c r="Q1033" s="4">
        <v>1</v>
      </c>
    </row>
    <row r="1034" spans="1:17" x14ac:dyDescent="0.25">
      <c r="A1034" s="3" t="s">
        <v>18</v>
      </c>
      <c r="B1034" s="3">
        <v>12331394</v>
      </c>
      <c r="C1034" s="3" t="s">
        <v>1076</v>
      </c>
      <c r="D1034" s="3" t="s">
        <v>20</v>
      </c>
      <c r="E1034" s="3" t="s">
        <v>21</v>
      </c>
      <c r="F1034" s="3" t="s">
        <v>21</v>
      </c>
      <c r="G1034" s="3" t="s">
        <v>36</v>
      </c>
      <c r="H1034" s="3" t="s">
        <v>37</v>
      </c>
      <c r="I1034" s="3" t="s">
        <v>24</v>
      </c>
      <c r="J1034" s="3" t="s">
        <v>24</v>
      </c>
      <c r="K1034" s="3" t="s">
        <v>25</v>
      </c>
      <c r="L1034" s="4">
        <v>0</v>
      </c>
      <c r="M1034" s="3" t="s">
        <v>26</v>
      </c>
      <c r="N1034" s="3" t="s">
        <v>24</v>
      </c>
      <c r="O1034" s="4">
        <v>1</v>
      </c>
      <c r="P1034" s="4">
        <v>10</v>
      </c>
      <c r="Q1034" s="4">
        <v>1</v>
      </c>
    </row>
    <row r="1035" spans="1:17" x14ac:dyDescent="0.25">
      <c r="A1035" s="3" t="s">
        <v>18</v>
      </c>
      <c r="B1035" s="3">
        <v>12331395</v>
      </c>
      <c r="C1035" s="3" t="s">
        <v>1077</v>
      </c>
      <c r="D1035" s="3" t="s">
        <v>20</v>
      </c>
      <c r="E1035" s="3" t="s">
        <v>21</v>
      </c>
      <c r="F1035" s="3" t="s">
        <v>21</v>
      </c>
      <c r="G1035" s="3" t="s">
        <v>36</v>
      </c>
      <c r="H1035" s="3" t="s">
        <v>37</v>
      </c>
      <c r="I1035" s="3" t="s">
        <v>24</v>
      </c>
      <c r="J1035" s="3" t="s">
        <v>24</v>
      </c>
      <c r="K1035" s="3" t="s">
        <v>25</v>
      </c>
      <c r="L1035" s="4">
        <v>0</v>
      </c>
      <c r="M1035" s="3" t="s">
        <v>26</v>
      </c>
      <c r="N1035" s="3" t="s">
        <v>24</v>
      </c>
      <c r="O1035" s="4">
        <v>1</v>
      </c>
      <c r="P1035" s="4">
        <v>10</v>
      </c>
      <c r="Q1035" s="4">
        <v>1</v>
      </c>
    </row>
    <row r="1036" spans="1:17" x14ac:dyDescent="0.25">
      <c r="A1036" s="3" t="s">
        <v>18</v>
      </c>
      <c r="B1036" s="3">
        <v>12331397</v>
      </c>
      <c r="C1036" s="3" t="s">
        <v>1078</v>
      </c>
      <c r="D1036" s="3" t="s">
        <v>20</v>
      </c>
      <c r="E1036" s="3" t="s">
        <v>21</v>
      </c>
      <c r="F1036" s="3" t="s">
        <v>21</v>
      </c>
      <c r="G1036" s="3" t="s">
        <v>36</v>
      </c>
      <c r="H1036" s="3" t="s">
        <v>37</v>
      </c>
      <c r="I1036" s="3" t="s">
        <v>24</v>
      </c>
      <c r="J1036" s="3" t="s">
        <v>24</v>
      </c>
      <c r="K1036" s="3" t="s">
        <v>25</v>
      </c>
      <c r="L1036" s="4">
        <v>0</v>
      </c>
      <c r="M1036" s="3" t="s">
        <v>26</v>
      </c>
      <c r="N1036" s="3" t="s">
        <v>24</v>
      </c>
      <c r="O1036" s="4">
        <v>1</v>
      </c>
      <c r="P1036" s="4">
        <v>10</v>
      </c>
      <c r="Q1036" s="4">
        <v>1</v>
      </c>
    </row>
    <row r="1037" spans="1:17" x14ac:dyDescent="0.25">
      <c r="A1037" s="3" t="s">
        <v>18</v>
      </c>
      <c r="B1037" s="3">
        <v>12331419</v>
      </c>
      <c r="C1037" s="3" t="s">
        <v>1079</v>
      </c>
      <c r="D1037" s="3" t="s">
        <v>20</v>
      </c>
      <c r="E1037" s="3" t="s">
        <v>21</v>
      </c>
      <c r="F1037" s="3" t="s">
        <v>21</v>
      </c>
      <c r="G1037" s="3" t="s">
        <v>36</v>
      </c>
      <c r="H1037" s="3" t="s">
        <v>37</v>
      </c>
      <c r="I1037" s="3" t="s">
        <v>24</v>
      </c>
      <c r="J1037" s="3" t="s">
        <v>24</v>
      </c>
      <c r="K1037" s="3" t="s">
        <v>25</v>
      </c>
      <c r="L1037" s="4">
        <v>0</v>
      </c>
      <c r="M1037" s="3" t="s">
        <v>26</v>
      </c>
      <c r="N1037" s="3" t="s">
        <v>24</v>
      </c>
      <c r="O1037" s="4">
        <v>1</v>
      </c>
      <c r="P1037" s="4">
        <v>10</v>
      </c>
      <c r="Q1037" s="4">
        <v>1</v>
      </c>
    </row>
    <row r="1038" spans="1:17" x14ac:dyDescent="0.25">
      <c r="A1038" s="3" t="s">
        <v>18</v>
      </c>
      <c r="B1038" s="3">
        <v>12331420</v>
      </c>
      <c r="C1038" s="3" t="s">
        <v>1080</v>
      </c>
      <c r="D1038" s="3" t="s">
        <v>20</v>
      </c>
      <c r="E1038" s="3" t="s">
        <v>21</v>
      </c>
      <c r="F1038" s="3" t="s">
        <v>21</v>
      </c>
      <c r="G1038" s="3" t="s">
        <v>233</v>
      </c>
      <c r="H1038" s="3" t="s">
        <v>234</v>
      </c>
      <c r="I1038" s="3" t="s">
        <v>24</v>
      </c>
      <c r="J1038" s="3" t="s">
        <v>24</v>
      </c>
      <c r="K1038" s="3" t="s">
        <v>25</v>
      </c>
      <c r="L1038" s="4">
        <v>0</v>
      </c>
      <c r="M1038" s="3" t="s">
        <v>26</v>
      </c>
      <c r="N1038" s="3" t="s">
        <v>24</v>
      </c>
      <c r="O1038" s="4">
        <v>1</v>
      </c>
      <c r="P1038" s="4">
        <v>99999999</v>
      </c>
      <c r="Q1038" s="4">
        <v>1</v>
      </c>
    </row>
    <row r="1039" spans="1:17" x14ac:dyDescent="0.25">
      <c r="A1039" s="3" t="s">
        <v>18</v>
      </c>
      <c r="B1039" s="3">
        <v>12331422</v>
      </c>
      <c r="C1039" s="3" t="s">
        <v>1081</v>
      </c>
      <c r="D1039" s="3" t="s">
        <v>20</v>
      </c>
      <c r="E1039" s="3" t="s">
        <v>21</v>
      </c>
      <c r="F1039" s="3" t="s">
        <v>21</v>
      </c>
      <c r="G1039" s="3" t="s">
        <v>233</v>
      </c>
      <c r="H1039" s="3" t="s">
        <v>234</v>
      </c>
      <c r="I1039" s="3" t="s">
        <v>24</v>
      </c>
      <c r="J1039" s="3" t="s">
        <v>24</v>
      </c>
      <c r="K1039" s="3" t="s">
        <v>25</v>
      </c>
      <c r="L1039" s="4">
        <v>0</v>
      </c>
      <c r="M1039" s="3" t="s">
        <v>26</v>
      </c>
      <c r="N1039" s="3" t="s">
        <v>24</v>
      </c>
      <c r="O1039" s="4">
        <v>1</v>
      </c>
      <c r="P1039" s="4">
        <v>99999999</v>
      </c>
      <c r="Q1039" s="4">
        <v>1</v>
      </c>
    </row>
    <row r="1040" spans="1:17" x14ac:dyDescent="0.25">
      <c r="A1040" s="3" t="s">
        <v>18</v>
      </c>
      <c r="B1040" s="3">
        <v>12331423</v>
      </c>
      <c r="C1040" s="3" t="s">
        <v>1082</v>
      </c>
      <c r="D1040" s="3" t="s">
        <v>20</v>
      </c>
      <c r="E1040" s="3" t="s">
        <v>21</v>
      </c>
      <c r="F1040" s="3" t="s">
        <v>21</v>
      </c>
      <c r="G1040" s="3" t="s">
        <v>233</v>
      </c>
      <c r="H1040" s="3" t="s">
        <v>234</v>
      </c>
      <c r="I1040" s="3" t="s">
        <v>24</v>
      </c>
      <c r="J1040" s="3" t="s">
        <v>24</v>
      </c>
      <c r="K1040" s="3" t="s">
        <v>25</v>
      </c>
      <c r="L1040" s="4">
        <v>0</v>
      </c>
      <c r="M1040" s="3" t="s">
        <v>26</v>
      </c>
      <c r="N1040" s="3" t="s">
        <v>24</v>
      </c>
      <c r="O1040" s="4">
        <v>1</v>
      </c>
      <c r="P1040" s="4">
        <v>2</v>
      </c>
      <c r="Q1040" s="4">
        <v>1</v>
      </c>
    </row>
    <row r="1041" spans="1:17" x14ac:dyDescent="0.25">
      <c r="A1041" s="3" t="s">
        <v>18</v>
      </c>
      <c r="B1041" s="3">
        <v>12331424</v>
      </c>
      <c r="C1041" s="3" t="s">
        <v>1083</v>
      </c>
      <c r="D1041" s="3" t="s">
        <v>20</v>
      </c>
      <c r="E1041" s="3" t="s">
        <v>21</v>
      </c>
      <c r="F1041" s="3" t="s">
        <v>21</v>
      </c>
      <c r="G1041" s="3" t="s">
        <v>233</v>
      </c>
      <c r="H1041" s="3" t="s">
        <v>234</v>
      </c>
      <c r="I1041" s="3" t="s">
        <v>24</v>
      </c>
      <c r="J1041" s="3" t="s">
        <v>24</v>
      </c>
      <c r="K1041" s="3" t="s">
        <v>25</v>
      </c>
      <c r="L1041" s="4">
        <v>0</v>
      </c>
      <c r="M1041" s="3" t="s">
        <v>26</v>
      </c>
      <c r="N1041" s="3" t="s">
        <v>24</v>
      </c>
      <c r="O1041" s="4">
        <v>1</v>
      </c>
      <c r="P1041" s="4">
        <v>1</v>
      </c>
      <c r="Q1041" s="4">
        <v>1</v>
      </c>
    </row>
    <row r="1042" spans="1:17" x14ac:dyDescent="0.25">
      <c r="A1042" s="3" t="s">
        <v>18</v>
      </c>
      <c r="B1042" s="3">
        <v>12331425</v>
      </c>
      <c r="C1042" s="3" t="s">
        <v>1084</v>
      </c>
      <c r="D1042" s="3" t="s">
        <v>20</v>
      </c>
      <c r="E1042" s="3" t="s">
        <v>21</v>
      </c>
      <c r="F1042" s="3" t="s">
        <v>21</v>
      </c>
      <c r="G1042" s="3" t="s">
        <v>233</v>
      </c>
      <c r="H1042" s="3" t="s">
        <v>234</v>
      </c>
      <c r="I1042" s="3" t="s">
        <v>24</v>
      </c>
      <c r="J1042" s="3" t="s">
        <v>24</v>
      </c>
      <c r="K1042" s="3" t="s">
        <v>25</v>
      </c>
      <c r="L1042" s="4">
        <v>0</v>
      </c>
      <c r="M1042" s="3" t="s">
        <v>26</v>
      </c>
      <c r="N1042" s="3" t="s">
        <v>24</v>
      </c>
      <c r="O1042" s="4">
        <v>1</v>
      </c>
      <c r="P1042" s="4">
        <v>99999999</v>
      </c>
      <c r="Q1042" s="4">
        <v>1</v>
      </c>
    </row>
    <row r="1043" spans="1:17" x14ac:dyDescent="0.25">
      <c r="A1043" s="3" t="s">
        <v>18</v>
      </c>
      <c r="B1043" s="3">
        <v>12331426</v>
      </c>
      <c r="C1043" s="3" t="s">
        <v>1085</v>
      </c>
      <c r="D1043" s="3" t="s">
        <v>20</v>
      </c>
      <c r="E1043" s="3" t="s">
        <v>21</v>
      </c>
      <c r="F1043" s="3" t="s">
        <v>21</v>
      </c>
      <c r="G1043" s="3" t="s">
        <v>233</v>
      </c>
      <c r="H1043" s="3" t="s">
        <v>234</v>
      </c>
      <c r="I1043" s="3" t="s">
        <v>24</v>
      </c>
      <c r="J1043" s="3" t="s">
        <v>24</v>
      </c>
      <c r="K1043" s="3" t="s">
        <v>25</v>
      </c>
      <c r="L1043" s="4">
        <v>0</v>
      </c>
      <c r="M1043" s="3" t="s">
        <v>26</v>
      </c>
      <c r="N1043" s="3" t="s">
        <v>24</v>
      </c>
      <c r="O1043" s="4">
        <v>1</v>
      </c>
      <c r="P1043" s="4">
        <v>99999999</v>
      </c>
      <c r="Q1043" s="4">
        <v>1</v>
      </c>
    </row>
    <row r="1044" spans="1:17" x14ac:dyDescent="0.25">
      <c r="A1044" s="3" t="s">
        <v>18</v>
      </c>
      <c r="B1044" s="3">
        <v>12336205</v>
      </c>
      <c r="C1044" s="3" t="s">
        <v>1086</v>
      </c>
      <c r="D1044" s="3" t="s">
        <v>20</v>
      </c>
      <c r="E1044" s="3" t="s">
        <v>21</v>
      </c>
      <c r="F1044" s="3" t="s">
        <v>21</v>
      </c>
      <c r="G1044" s="3" t="s">
        <v>42</v>
      </c>
      <c r="H1044" s="3" t="s">
        <v>43</v>
      </c>
      <c r="I1044" s="3" t="s">
        <v>24</v>
      </c>
      <c r="J1044" s="3" t="s">
        <v>24</v>
      </c>
      <c r="K1044" s="3" t="s">
        <v>25</v>
      </c>
      <c r="L1044" s="4">
        <v>0</v>
      </c>
      <c r="M1044" s="3" t="s">
        <v>26</v>
      </c>
      <c r="N1044" s="3" t="s">
        <v>24</v>
      </c>
      <c r="O1044" s="4">
        <v>1</v>
      </c>
      <c r="P1044" s="4">
        <v>8</v>
      </c>
      <c r="Q1044" s="4">
        <v>1</v>
      </c>
    </row>
    <row r="1045" spans="1:17" x14ac:dyDescent="0.25">
      <c r="A1045" s="3" t="s">
        <v>18</v>
      </c>
      <c r="B1045" s="3">
        <v>12341418</v>
      </c>
      <c r="C1045" s="3" t="s">
        <v>1087</v>
      </c>
      <c r="D1045" s="3" t="s">
        <v>20</v>
      </c>
      <c r="E1045" s="3" t="s">
        <v>21</v>
      </c>
      <c r="F1045" s="3" t="s">
        <v>21</v>
      </c>
      <c r="G1045" s="3" t="s">
        <v>30</v>
      </c>
      <c r="H1045" s="3" t="s">
        <v>31</v>
      </c>
      <c r="I1045" s="3" t="s">
        <v>24</v>
      </c>
      <c r="J1045" s="3" t="s">
        <v>24</v>
      </c>
      <c r="K1045" s="3" t="s">
        <v>25</v>
      </c>
      <c r="L1045" s="4">
        <v>0</v>
      </c>
      <c r="M1045" s="3" t="s">
        <v>26</v>
      </c>
      <c r="N1045" s="3" t="s">
        <v>24</v>
      </c>
      <c r="O1045" s="4">
        <v>1</v>
      </c>
      <c r="P1045" s="4">
        <v>8</v>
      </c>
      <c r="Q1045" s="4">
        <v>1</v>
      </c>
    </row>
    <row r="1046" spans="1:17" x14ac:dyDescent="0.25">
      <c r="A1046" s="3" t="s">
        <v>18</v>
      </c>
      <c r="B1046" s="3">
        <v>12341419</v>
      </c>
      <c r="C1046" s="3" t="s">
        <v>1088</v>
      </c>
      <c r="D1046" s="3" t="s">
        <v>20</v>
      </c>
      <c r="E1046" s="3" t="s">
        <v>21</v>
      </c>
      <c r="F1046" s="3" t="s">
        <v>21</v>
      </c>
      <c r="G1046" s="3" t="s">
        <v>30</v>
      </c>
      <c r="H1046" s="3" t="s">
        <v>31</v>
      </c>
      <c r="I1046" s="3" t="s">
        <v>24</v>
      </c>
      <c r="J1046" s="3" t="s">
        <v>24</v>
      </c>
      <c r="K1046" s="3" t="s">
        <v>25</v>
      </c>
      <c r="L1046" s="4">
        <v>0</v>
      </c>
      <c r="M1046" s="3" t="s">
        <v>26</v>
      </c>
      <c r="N1046" s="3" t="s">
        <v>24</v>
      </c>
      <c r="O1046" s="4">
        <v>1</v>
      </c>
      <c r="P1046" s="4">
        <v>9</v>
      </c>
      <c r="Q1046" s="4">
        <v>1</v>
      </c>
    </row>
    <row r="1047" spans="1:17" x14ac:dyDescent="0.25">
      <c r="A1047" s="3" t="s">
        <v>18</v>
      </c>
      <c r="B1047" s="3">
        <v>12346200</v>
      </c>
      <c r="C1047" s="3" t="s">
        <v>1089</v>
      </c>
      <c r="D1047" s="3" t="s">
        <v>20</v>
      </c>
      <c r="E1047" s="3" t="s">
        <v>21</v>
      </c>
      <c r="F1047" s="3" t="s">
        <v>21</v>
      </c>
      <c r="G1047" s="3" t="s">
        <v>22</v>
      </c>
      <c r="H1047" s="3" t="s">
        <v>23</v>
      </c>
      <c r="I1047" s="3" t="s">
        <v>24</v>
      </c>
      <c r="J1047" s="3" t="s">
        <v>24</v>
      </c>
      <c r="K1047" s="3" t="s">
        <v>25</v>
      </c>
      <c r="L1047" s="4">
        <v>0</v>
      </c>
      <c r="M1047" s="3" t="s">
        <v>26</v>
      </c>
      <c r="N1047" s="3" t="s">
        <v>24</v>
      </c>
      <c r="O1047" s="4">
        <v>1</v>
      </c>
      <c r="P1047" s="4">
        <v>4</v>
      </c>
      <c r="Q1047" s="4">
        <v>1</v>
      </c>
    </row>
    <row r="1048" spans="1:17" x14ac:dyDescent="0.25">
      <c r="A1048" s="3" t="s">
        <v>18</v>
      </c>
      <c r="B1048" s="3">
        <v>12346205</v>
      </c>
      <c r="C1048" s="3" t="s">
        <v>1090</v>
      </c>
      <c r="D1048" s="3" t="s">
        <v>20</v>
      </c>
      <c r="E1048" s="3" t="s">
        <v>21</v>
      </c>
      <c r="F1048" s="3" t="s">
        <v>21</v>
      </c>
      <c r="G1048" s="3" t="s">
        <v>410</v>
      </c>
      <c r="H1048" s="3" t="s">
        <v>411</v>
      </c>
      <c r="I1048" s="3" t="s">
        <v>24</v>
      </c>
      <c r="J1048" s="3" t="s">
        <v>24</v>
      </c>
      <c r="K1048" s="3" t="s">
        <v>25</v>
      </c>
      <c r="L1048" s="4">
        <v>0</v>
      </c>
      <c r="M1048" s="3" t="s">
        <v>26</v>
      </c>
      <c r="N1048" s="3" t="s">
        <v>24</v>
      </c>
      <c r="O1048" s="4">
        <v>1</v>
      </c>
      <c r="P1048" s="4">
        <v>8</v>
      </c>
      <c r="Q1048" s="4">
        <v>1</v>
      </c>
    </row>
    <row r="1049" spans="1:17" x14ac:dyDescent="0.25">
      <c r="A1049" s="3" t="s">
        <v>18</v>
      </c>
      <c r="B1049" s="3">
        <v>12358647</v>
      </c>
      <c r="C1049" s="3" t="s">
        <v>1091</v>
      </c>
      <c r="D1049" s="3" t="s">
        <v>20</v>
      </c>
      <c r="E1049" s="3" t="s">
        <v>21</v>
      </c>
      <c r="F1049" s="3" t="s">
        <v>21</v>
      </c>
      <c r="G1049" s="3" t="s">
        <v>233</v>
      </c>
      <c r="H1049" s="3" t="s">
        <v>234</v>
      </c>
      <c r="I1049" s="3" t="s">
        <v>24</v>
      </c>
      <c r="J1049" s="3" t="s">
        <v>24</v>
      </c>
      <c r="K1049" s="3" t="s">
        <v>25</v>
      </c>
      <c r="L1049" s="4">
        <v>0</v>
      </c>
      <c r="M1049" s="3" t="s">
        <v>26</v>
      </c>
      <c r="N1049" s="3" t="s">
        <v>24</v>
      </c>
      <c r="O1049" s="4">
        <v>1</v>
      </c>
      <c r="P1049" s="4">
        <v>99999999</v>
      </c>
      <c r="Q1049" s="4">
        <v>1</v>
      </c>
    </row>
    <row r="1050" spans="1:17" x14ac:dyDescent="0.25">
      <c r="A1050" s="3" t="s">
        <v>18</v>
      </c>
      <c r="B1050" s="3">
        <v>12359937</v>
      </c>
      <c r="C1050" s="3" t="s">
        <v>1092</v>
      </c>
      <c r="D1050" s="3" t="s">
        <v>20</v>
      </c>
      <c r="E1050" s="3" t="s">
        <v>21</v>
      </c>
      <c r="F1050" s="3" t="s">
        <v>21</v>
      </c>
      <c r="G1050" s="3" t="s">
        <v>42</v>
      </c>
      <c r="H1050" s="3" t="s">
        <v>43</v>
      </c>
      <c r="I1050" s="3" t="s">
        <v>24</v>
      </c>
      <c r="J1050" s="3" t="s">
        <v>24</v>
      </c>
      <c r="K1050" s="3" t="s">
        <v>25</v>
      </c>
      <c r="L1050" s="4">
        <v>0</v>
      </c>
      <c r="M1050" s="3" t="s">
        <v>26</v>
      </c>
      <c r="N1050" s="3" t="s">
        <v>24</v>
      </c>
      <c r="O1050" s="4">
        <v>1</v>
      </c>
      <c r="P1050" s="4">
        <v>8</v>
      </c>
      <c r="Q1050" s="4">
        <v>1</v>
      </c>
    </row>
    <row r="1051" spans="1:17" x14ac:dyDescent="0.25">
      <c r="A1051" s="3" t="s">
        <v>18</v>
      </c>
      <c r="B1051" s="3">
        <v>12381340</v>
      </c>
      <c r="C1051" s="3" t="s">
        <v>1093</v>
      </c>
      <c r="D1051" s="3" t="s">
        <v>20</v>
      </c>
      <c r="E1051" s="3" t="s">
        <v>21</v>
      </c>
      <c r="F1051" s="3" t="s">
        <v>21</v>
      </c>
      <c r="G1051" s="3" t="s">
        <v>36</v>
      </c>
      <c r="H1051" s="3" t="s">
        <v>37</v>
      </c>
      <c r="I1051" s="3" t="s">
        <v>24</v>
      </c>
      <c r="J1051" s="3" t="s">
        <v>24</v>
      </c>
      <c r="K1051" s="3" t="s">
        <v>25</v>
      </c>
      <c r="L1051" s="4">
        <v>0</v>
      </c>
      <c r="M1051" s="3" t="s">
        <v>26</v>
      </c>
      <c r="N1051" s="3" t="s">
        <v>24</v>
      </c>
      <c r="O1051" s="4">
        <v>1</v>
      </c>
      <c r="P1051" s="4">
        <v>10</v>
      </c>
      <c r="Q1051" s="4">
        <v>1</v>
      </c>
    </row>
    <row r="1052" spans="1:17" x14ac:dyDescent="0.25">
      <c r="A1052" s="3" t="s">
        <v>18</v>
      </c>
      <c r="B1052" s="3">
        <v>12381341</v>
      </c>
      <c r="C1052" s="3" t="s">
        <v>1094</v>
      </c>
      <c r="D1052" s="3" t="s">
        <v>20</v>
      </c>
      <c r="E1052" s="3" t="s">
        <v>21</v>
      </c>
      <c r="F1052" s="3" t="s">
        <v>21</v>
      </c>
      <c r="G1052" s="3" t="s">
        <v>36</v>
      </c>
      <c r="H1052" s="3" t="s">
        <v>37</v>
      </c>
      <c r="I1052" s="3" t="s">
        <v>24</v>
      </c>
      <c r="J1052" s="3" t="s">
        <v>24</v>
      </c>
      <c r="K1052" s="3" t="s">
        <v>25</v>
      </c>
      <c r="L1052" s="4">
        <v>0</v>
      </c>
      <c r="M1052" s="3" t="s">
        <v>26</v>
      </c>
      <c r="N1052" s="3" t="s">
        <v>24</v>
      </c>
      <c r="O1052" s="4">
        <v>1</v>
      </c>
      <c r="P1052" s="4">
        <v>10</v>
      </c>
      <c r="Q1052" s="4">
        <v>1</v>
      </c>
    </row>
    <row r="1053" spans="1:17" x14ac:dyDescent="0.25">
      <c r="A1053" s="3" t="s">
        <v>18</v>
      </c>
      <c r="B1053" s="3">
        <v>12381342</v>
      </c>
      <c r="C1053" s="3" t="s">
        <v>1095</v>
      </c>
      <c r="D1053" s="3" t="s">
        <v>20</v>
      </c>
      <c r="E1053" s="3" t="s">
        <v>21</v>
      </c>
      <c r="F1053" s="3" t="s">
        <v>21</v>
      </c>
      <c r="G1053" s="3" t="s">
        <v>36</v>
      </c>
      <c r="H1053" s="3" t="s">
        <v>37</v>
      </c>
      <c r="I1053" s="3" t="s">
        <v>24</v>
      </c>
      <c r="J1053" s="3" t="s">
        <v>24</v>
      </c>
      <c r="K1053" s="3" t="s">
        <v>25</v>
      </c>
      <c r="L1053" s="4">
        <v>0</v>
      </c>
      <c r="M1053" s="3" t="s">
        <v>26</v>
      </c>
      <c r="N1053" s="3" t="s">
        <v>24</v>
      </c>
      <c r="O1053" s="4">
        <v>1</v>
      </c>
      <c r="P1053" s="4">
        <v>10</v>
      </c>
      <c r="Q1053" s="4">
        <v>1</v>
      </c>
    </row>
    <row r="1054" spans="1:17" x14ac:dyDescent="0.25">
      <c r="A1054" s="3" t="s">
        <v>18</v>
      </c>
      <c r="B1054" s="3">
        <v>12381345</v>
      </c>
      <c r="C1054" s="3" t="s">
        <v>1096</v>
      </c>
      <c r="D1054" s="3" t="s">
        <v>20</v>
      </c>
      <c r="E1054" s="3" t="s">
        <v>21</v>
      </c>
      <c r="F1054" s="3" t="s">
        <v>21</v>
      </c>
      <c r="G1054" s="3" t="s">
        <v>36</v>
      </c>
      <c r="H1054" s="3" t="s">
        <v>37</v>
      </c>
      <c r="I1054" s="3" t="s">
        <v>24</v>
      </c>
      <c r="J1054" s="3" t="s">
        <v>24</v>
      </c>
      <c r="K1054" s="3" t="s">
        <v>25</v>
      </c>
      <c r="L1054" s="4">
        <v>0</v>
      </c>
      <c r="M1054" s="3" t="s">
        <v>26</v>
      </c>
      <c r="N1054" s="3" t="s">
        <v>24</v>
      </c>
      <c r="O1054" s="4">
        <v>1</v>
      </c>
      <c r="P1054" s="4">
        <v>10</v>
      </c>
      <c r="Q1054" s="4">
        <v>1</v>
      </c>
    </row>
    <row r="1055" spans="1:17" x14ac:dyDescent="0.25">
      <c r="A1055" s="3" t="s">
        <v>18</v>
      </c>
      <c r="B1055" s="3">
        <v>12381346</v>
      </c>
      <c r="C1055" s="3" t="s">
        <v>1097</v>
      </c>
      <c r="D1055" s="3" t="s">
        <v>20</v>
      </c>
      <c r="E1055" s="3" t="s">
        <v>21</v>
      </c>
      <c r="F1055" s="3" t="s">
        <v>21</v>
      </c>
      <c r="G1055" s="3" t="s">
        <v>36</v>
      </c>
      <c r="H1055" s="3" t="s">
        <v>37</v>
      </c>
      <c r="I1055" s="3" t="s">
        <v>24</v>
      </c>
      <c r="J1055" s="3" t="s">
        <v>24</v>
      </c>
      <c r="K1055" s="3" t="s">
        <v>25</v>
      </c>
      <c r="L1055" s="4">
        <v>0</v>
      </c>
      <c r="M1055" s="3" t="s">
        <v>26</v>
      </c>
      <c r="N1055" s="3" t="s">
        <v>24</v>
      </c>
      <c r="O1055" s="4">
        <v>1</v>
      </c>
      <c r="P1055" s="4">
        <v>10</v>
      </c>
      <c r="Q1055" s="4">
        <v>1</v>
      </c>
    </row>
    <row r="1056" spans="1:17" x14ac:dyDescent="0.25">
      <c r="A1056" s="3" t="s">
        <v>18</v>
      </c>
      <c r="B1056" s="3">
        <v>12381347</v>
      </c>
      <c r="C1056" s="3" t="s">
        <v>1098</v>
      </c>
      <c r="D1056" s="3" t="s">
        <v>20</v>
      </c>
      <c r="E1056" s="3" t="s">
        <v>21</v>
      </c>
      <c r="F1056" s="3" t="s">
        <v>21</v>
      </c>
      <c r="G1056" s="3" t="s">
        <v>36</v>
      </c>
      <c r="H1056" s="3" t="s">
        <v>37</v>
      </c>
      <c r="I1056" s="3" t="s">
        <v>24</v>
      </c>
      <c r="J1056" s="3" t="s">
        <v>24</v>
      </c>
      <c r="K1056" s="3" t="s">
        <v>25</v>
      </c>
      <c r="L1056" s="4">
        <v>0</v>
      </c>
      <c r="M1056" s="3" t="s">
        <v>26</v>
      </c>
      <c r="N1056" s="3" t="s">
        <v>24</v>
      </c>
      <c r="O1056" s="4">
        <v>1</v>
      </c>
      <c r="P1056" s="4">
        <v>10</v>
      </c>
      <c r="Q1056" s="4">
        <v>1</v>
      </c>
    </row>
    <row r="1057" spans="1:17" x14ac:dyDescent="0.25">
      <c r="A1057" s="3" t="s">
        <v>18</v>
      </c>
      <c r="B1057" s="3">
        <v>12381398</v>
      </c>
      <c r="C1057" s="3" t="s">
        <v>1099</v>
      </c>
      <c r="D1057" s="3" t="s">
        <v>20</v>
      </c>
      <c r="E1057" s="3" t="s">
        <v>21</v>
      </c>
      <c r="F1057" s="3" t="s">
        <v>21</v>
      </c>
      <c r="G1057" s="3" t="s">
        <v>36</v>
      </c>
      <c r="H1057" s="3" t="s">
        <v>37</v>
      </c>
      <c r="I1057" s="3" t="s">
        <v>24</v>
      </c>
      <c r="J1057" s="3" t="s">
        <v>24</v>
      </c>
      <c r="K1057" s="3" t="s">
        <v>25</v>
      </c>
      <c r="L1057" s="4">
        <v>0</v>
      </c>
      <c r="M1057" s="3" t="s">
        <v>26</v>
      </c>
      <c r="N1057" s="3" t="s">
        <v>24</v>
      </c>
      <c r="O1057" s="4">
        <v>1</v>
      </c>
      <c r="P1057" s="4">
        <v>10</v>
      </c>
      <c r="Q1057" s="4">
        <v>1</v>
      </c>
    </row>
    <row r="1058" spans="1:17" x14ac:dyDescent="0.25">
      <c r="A1058" s="3" t="s">
        <v>18</v>
      </c>
      <c r="B1058" s="3">
        <v>12381399</v>
      </c>
      <c r="C1058" s="3" t="s">
        <v>1100</v>
      </c>
      <c r="D1058" s="3" t="s">
        <v>20</v>
      </c>
      <c r="E1058" s="3" t="s">
        <v>21</v>
      </c>
      <c r="F1058" s="3" t="s">
        <v>21</v>
      </c>
      <c r="G1058" s="3" t="s">
        <v>36</v>
      </c>
      <c r="H1058" s="3" t="s">
        <v>37</v>
      </c>
      <c r="I1058" s="3" t="s">
        <v>24</v>
      </c>
      <c r="J1058" s="3" t="s">
        <v>24</v>
      </c>
      <c r="K1058" s="3" t="s">
        <v>25</v>
      </c>
      <c r="L1058" s="4">
        <v>0</v>
      </c>
      <c r="M1058" s="3" t="s">
        <v>26</v>
      </c>
      <c r="N1058" s="3" t="s">
        <v>24</v>
      </c>
      <c r="O1058" s="4">
        <v>1</v>
      </c>
      <c r="P1058" s="4">
        <v>10</v>
      </c>
      <c r="Q1058" s="4">
        <v>1</v>
      </c>
    </row>
    <row r="1059" spans="1:17" x14ac:dyDescent="0.25">
      <c r="A1059" s="3" t="s">
        <v>18</v>
      </c>
      <c r="B1059" s="3">
        <v>12381400</v>
      </c>
      <c r="C1059" s="3" t="s">
        <v>1101</v>
      </c>
      <c r="D1059" s="3" t="s">
        <v>20</v>
      </c>
      <c r="E1059" s="3" t="s">
        <v>21</v>
      </c>
      <c r="F1059" s="3" t="s">
        <v>21</v>
      </c>
      <c r="G1059" s="3" t="s">
        <v>36</v>
      </c>
      <c r="H1059" s="3" t="s">
        <v>37</v>
      </c>
      <c r="I1059" s="3" t="s">
        <v>24</v>
      </c>
      <c r="J1059" s="3" t="s">
        <v>24</v>
      </c>
      <c r="K1059" s="3" t="s">
        <v>25</v>
      </c>
      <c r="L1059" s="4">
        <v>0</v>
      </c>
      <c r="M1059" s="3" t="s">
        <v>26</v>
      </c>
      <c r="N1059" s="3" t="s">
        <v>24</v>
      </c>
      <c r="O1059" s="4">
        <v>1</v>
      </c>
      <c r="P1059" s="4">
        <v>10</v>
      </c>
      <c r="Q1059" s="4">
        <v>1</v>
      </c>
    </row>
    <row r="1060" spans="1:17" x14ac:dyDescent="0.25">
      <c r="A1060" s="3" t="s">
        <v>18</v>
      </c>
      <c r="B1060" s="3">
        <v>12381401</v>
      </c>
      <c r="C1060" s="3" t="s">
        <v>1102</v>
      </c>
      <c r="D1060" s="3" t="s">
        <v>20</v>
      </c>
      <c r="E1060" s="3" t="s">
        <v>21</v>
      </c>
      <c r="F1060" s="3" t="s">
        <v>21</v>
      </c>
      <c r="G1060" s="3" t="s">
        <v>36</v>
      </c>
      <c r="H1060" s="3" t="s">
        <v>37</v>
      </c>
      <c r="I1060" s="3" t="s">
        <v>24</v>
      </c>
      <c r="J1060" s="3" t="s">
        <v>24</v>
      </c>
      <c r="K1060" s="3" t="s">
        <v>25</v>
      </c>
      <c r="L1060" s="4">
        <v>0</v>
      </c>
      <c r="M1060" s="3" t="s">
        <v>26</v>
      </c>
      <c r="N1060" s="3" t="s">
        <v>24</v>
      </c>
      <c r="O1060" s="4">
        <v>1</v>
      </c>
      <c r="P1060" s="4">
        <v>10</v>
      </c>
      <c r="Q1060" s="4">
        <v>1</v>
      </c>
    </row>
    <row r="1061" spans="1:17" x14ac:dyDescent="0.25">
      <c r="A1061" s="3" t="s">
        <v>18</v>
      </c>
      <c r="B1061" s="3">
        <v>12381403</v>
      </c>
      <c r="C1061" s="3" t="s">
        <v>1103</v>
      </c>
      <c r="D1061" s="3" t="s">
        <v>20</v>
      </c>
      <c r="E1061" s="3" t="s">
        <v>21</v>
      </c>
      <c r="F1061" s="3" t="s">
        <v>21</v>
      </c>
      <c r="G1061" s="3" t="s">
        <v>233</v>
      </c>
      <c r="H1061" s="3" t="s">
        <v>234</v>
      </c>
      <c r="I1061" s="3" t="s">
        <v>24</v>
      </c>
      <c r="J1061" s="3" t="s">
        <v>24</v>
      </c>
      <c r="K1061" s="3" t="s">
        <v>25</v>
      </c>
      <c r="L1061" s="4">
        <v>0</v>
      </c>
      <c r="M1061" s="3" t="s">
        <v>26</v>
      </c>
      <c r="N1061" s="3" t="s">
        <v>24</v>
      </c>
      <c r="O1061" s="4">
        <v>1</v>
      </c>
      <c r="P1061" s="4">
        <v>99999999</v>
      </c>
      <c r="Q1061" s="4">
        <v>1</v>
      </c>
    </row>
    <row r="1062" spans="1:17" x14ac:dyDescent="0.25">
      <c r="A1062" s="3" t="s">
        <v>18</v>
      </c>
      <c r="B1062" s="3">
        <v>12381404</v>
      </c>
      <c r="C1062" s="3" t="s">
        <v>1104</v>
      </c>
      <c r="D1062" s="3" t="s">
        <v>20</v>
      </c>
      <c r="E1062" s="3" t="s">
        <v>21</v>
      </c>
      <c r="F1062" s="3" t="s">
        <v>21</v>
      </c>
      <c r="G1062" s="3" t="s">
        <v>233</v>
      </c>
      <c r="H1062" s="3" t="s">
        <v>234</v>
      </c>
      <c r="I1062" s="3" t="s">
        <v>24</v>
      </c>
      <c r="J1062" s="3" t="s">
        <v>24</v>
      </c>
      <c r="K1062" s="3" t="s">
        <v>25</v>
      </c>
      <c r="L1062" s="4">
        <v>0</v>
      </c>
      <c r="M1062" s="3" t="s">
        <v>26</v>
      </c>
      <c r="N1062" s="3" t="s">
        <v>24</v>
      </c>
      <c r="O1062" s="4">
        <v>1</v>
      </c>
      <c r="P1062" s="4">
        <v>99999999</v>
      </c>
      <c r="Q1062" s="4">
        <v>1</v>
      </c>
    </row>
    <row r="1063" spans="1:17" x14ac:dyDescent="0.25">
      <c r="A1063" s="3" t="s">
        <v>18</v>
      </c>
      <c r="B1063" s="3">
        <v>12382633</v>
      </c>
      <c r="C1063" s="3" t="s">
        <v>1105</v>
      </c>
      <c r="D1063" s="3" t="s">
        <v>20</v>
      </c>
      <c r="E1063" s="3" t="s">
        <v>21</v>
      </c>
      <c r="F1063" s="3" t="s">
        <v>21</v>
      </c>
      <c r="G1063" s="3" t="s">
        <v>233</v>
      </c>
      <c r="H1063" s="3" t="s">
        <v>234</v>
      </c>
      <c r="I1063" s="3" t="s">
        <v>24</v>
      </c>
      <c r="J1063" s="3" t="s">
        <v>24</v>
      </c>
      <c r="K1063" s="3" t="s">
        <v>25</v>
      </c>
      <c r="L1063" s="4">
        <v>0</v>
      </c>
      <c r="M1063" s="3" t="s">
        <v>26</v>
      </c>
      <c r="N1063" s="3" t="s">
        <v>24</v>
      </c>
      <c r="O1063" s="4">
        <v>1</v>
      </c>
      <c r="P1063" s="4">
        <v>2</v>
      </c>
      <c r="Q1063" s="4">
        <v>1</v>
      </c>
    </row>
    <row r="1064" spans="1:17" x14ac:dyDescent="0.25">
      <c r="A1064" s="3" t="s">
        <v>18</v>
      </c>
      <c r="B1064" s="3">
        <v>12382671</v>
      </c>
      <c r="C1064" s="3" t="s">
        <v>1106</v>
      </c>
      <c r="D1064" s="3" t="s">
        <v>20</v>
      </c>
      <c r="E1064" s="3" t="s">
        <v>21</v>
      </c>
      <c r="F1064" s="3" t="s">
        <v>21</v>
      </c>
      <c r="G1064" s="3" t="s">
        <v>233</v>
      </c>
      <c r="H1064" s="3" t="s">
        <v>234</v>
      </c>
      <c r="I1064" s="3" t="s">
        <v>24</v>
      </c>
      <c r="J1064" s="3" t="s">
        <v>24</v>
      </c>
      <c r="K1064" s="3" t="s">
        <v>25</v>
      </c>
      <c r="L1064" s="4">
        <v>0</v>
      </c>
      <c r="M1064" s="3" t="s">
        <v>26</v>
      </c>
      <c r="N1064" s="3" t="s">
        <v>24</v>
      </c>
      <c r="O1064" s="4">
        <v>1</v>
      </c>
      <c r="P1064" s="4">
        <v>99999999</v>
      </c>
      <c r="Q1064" s="4">
        <v>1</v>
      </c>
    </row>
    <row r="1065" spans="1:17" x14ac:dyDescent="0.25">
      <c r="A1065" s="3" t="s">
        <v>18</v>
      </c>
      <c r="B1065" s="3">
        <v>12382673</v>
      </c>
      <c r="C1065" s="3" t="s">
        <v>1107</v>
      </c>
      <c r="D1065" s="3" t="s">
        <v>20</v>
      </c>
      <c r="E1065" s="3" t="s">
        <v>21</v>
      </c>
      <c r="F1065" s="3" t="s">
        <v>21</v>
      </c>
      <c r="G1065" s="3" t="s">
        <v>233</v>
      </c>
      <c r="H1065" s="3" t="s">
        <v>234</v>
      </c>
      <c r="I1065" s="3" t="s">
        <v>24</v>
      </c>
      <c r="J1065" s="3" t="s">
        <v>24</v>
      </c>
      <c r="K1065" s="3" t="s">
        <v>25</v>
      </c>
      <c r="L1065" s="4">
        <v>0</v>
      </c>
      <c r="M1065" s="3" t="s">
        <v>26</v>
      </c>
      <c r="N1065" s="3" t="s">
        <v>24</v>
      </c>
      <c r="O1065" s="4">
        <v>1</v>
      </c>
      <c r="P1065" s="4">
        <v>99999999</v>
      </c>
      <c r="Q1065" s="4">
        <v>1</v>
      </c>
    </row>
    <row r="1066" spans="1:17" x14ac:dyDescent="0.25">
      <c r="A1066" s="3" t="s">
        <v>18</v>
      </c>
      <c r="B1066" s="3">
        <v>12382675</v>
      </c>
      <c r="C1066" s="3" t="s">
        <v>1108</v>
      </c>
      <c r="D1066" s="3" t="s">
        <v>20</v>
      </c>
      <c r="E1066" s="3" t="s">
        <v>21</v>
      </c>
      <c r="F1066" s="3" t="s">
        <v>21</v>
      </c>
      <c r="G1066" s="3" t="s">
        <v>233</v>
      </c>
      <c r="H1066" s="3" t="s">
        <v>234</v>
      </c>
      <c r="I1066" s="3" t="s">
        <v>24</v>
      </c>
      <c r="J1066" s="3" t="s">
        <v>24</v>
      </c>
      <c r="K1066" s="3" t="s">
        <v>25</v>
      </c>
      <c r="L1066" s="4">
        <v>0</v>
      </c>
      <c r="M1066" s="3" t="s">
        <v>26</v>
      </c>
      <c r="N1066" s="3" t="s">
        <v>24</v>
      </c>
      <c r="O1066" s="4">
        <v>1</v>
      </c>
      <c r="P1066" s="4">
        <v>99999999</v>
      </c>
      <c r="Q1066" s="4">
        <v>1</v>
      </c>
    </row>
    <row r="1067" spans="1:17" x14ac:dyDescent="0.25">
      <c r="A1067" s="3" t="s">
        <v>18</v>
      </c>
      <c r="B1067" s="3">
        <v>12388071</v>
      </c>
      <c r="C1067" s="3" t="s">
        <v>1109</v>
      </c>
      <c r="D1067" s="3" t="s">
        <v>20</v>
      </c>
      <c r="E1067" s="3" t="s">
        <v>21</v>
      </c>
      <c r="F1067" s="3" t="s">
        <v>21</v>
      </c>
      <c r="G1067" s="3" t="s">
        <v>36</v>
      </c>
      <c r="H1067" s="3" t="s">
        <v>37</v>
      </c>
      <c r="I1067" s="3" t="s">
        <v>24</v>
      </c>
      <c r="J1067" s="3" t="s">
        <v>24</v>
      </c>
      <c r="K1067" s="3" t="s">
        <v>25</v>
      </c>
      <c r="L1067" s="4">
        <v>0</v>
      </c>
      <c r="M1067" s="3" t="s">
        <v>26</v>
      </c>
      <c r="N1067" s="3" t="s">
        <v>24</v>
      </c>
      <c r="O1067" s="4">
        <v>1</v>
      </c>
      <c r="P1067" s="4">
        <v>2</v>
      </c>
      <c r="Q1067" s="4">
        <v>1</v>
      </c>
    </row>
    <row r="1068" spans="1:17" x14ac:dyDescent="0.25">
      <c r="A1068" s="3" t="s">
        <v>18</v>
      </c>
      <c r="B1068" s="3">
        <v>12388649</v>
      </c>
      <c r="C1068" s="3" t="s">
        <v>1110</v>
      </c>
      <c r="D1068" s="3" t="s">
        <v>20</v>
      </c>
      <c r="E1068" s="3" t="s">
        <v>21</v>
      </c>
      <c r="F1068" s="3" t="s">
        <v>21</v>
      </c>
      <c r="G1068" s="3" t="s">
        <v>22</v>
      </c>
      <c r="H1068" s="3" t="s">
        <v>23</v>
      </c>
      <c r="I1068" s="3" t="s">
        <v>24</v>
      </c>
      <c r="J1068" s="3" t="s">
        <v>24</v>
      </c>
      <c r="K1068" s="3" t="s">
        <v>25</v>
      </c>
      <c r="L1068" s="4">
        <v>0</v>
      </c>
      <c r="M1068" s="3" t="s">
        <v>26</v>
      </c>
      <c r="N1068" s="3" t="s">
        <v>24</v>
      </c>
      <c r="O1068" s="4">
        <v>1</v>
      </c>
      <c r="P1068" s="4">
        <v>4</v>
      </c>
      <c r="Q1068" s="4">
        <v>1</v>
      </c>
    </row>
    <row r="1069" spans="1:17" x14ac:dyDescent="0.25">
      <c r="A1069" s="3" t="s">
        <v>18</v>
      </c>
      <c r="B1069" s="3">
        <v>12394124</v>
      </c>
      <c r="C1069" s="3" t="s">
        <v>1111</v>
      </c>
      <c r="D1069" s="3" t="s">
        <v>20</v>
      </c>
      <c r="E1069" s="3" t="s">
        <v>21</v>
      </c>
      <c r="F1069" s="3" t="s">
        <v>21</v>
      </c>
      <c r="G1069" s="3" t="s">
        <v>233</v>
      </c>
      <c r="H1069" s="3" t="s">
        <v>234</v>
      </c>
      <c r="I1069" s="3" t="s">
        <v>24</v>
      </c>
      <c r="J1069" s="3" t="s">
        <v>24</v>
      </c>
      <c r="K1069" s="3" t="s">
        <v>25</v>
      </c>
      <c r="L1069" s="4">
        <v>0</v>
      </c>
      <c r="M1069" s="3" t="s">
        <v>26</v>
      </c>
      <c r="N1069" s="3" t="s">
        <v>24</v>
      </c>
      <c r="O1069" s="4">
        <v>1</v>
      </c>
      <c r="P1069" s="4">
        <v>99999999</v>
      </c>
      <c r="Q1069" s="4">
        <v>1</v>
      </c>
    </row>
    <row r="1070" spans="1:17" x14ac:dyDescent="0.25">
      <c r="A1070" s="3" t="s">
        <v>18</v>
      </c>
      <c r="B1070" s="3">
        <v>12394126</v>
      </c>
      <c r="C1070" s="3" t="s">
        <v>1112</v>
      </c>
      <c r="D1070" s="3" t="s">
        <v>20</v>
      </c>
      <c r="E1070" s="3" t="s">
        <v>21</v>
      </c>
      <c r="F1070" s="3" t="s">
        <v>21</v>
      </c>
      <c r="G1070" s="3" t="s">
        <v>233</v>
      </c>
      <c r="H1070" s="3" t="s">
        <v>234</v>
      </c>
      <c r="I1070" s="3" t="s">
        <v>24</v>
      </c>
      <c r="J1070" s="3" t="s">
        <v>24</v>
      </c>
      <c r="K1070" s="3" t="s">
        <v>25</v>
      </c>
      <c r="L1070" s="4">
        <v>0</v>
      </c>
      <c r="M1070" s="3" t="s">
        <v>26</v>
      </c>
      <c r="N1070" s="3" t="s">
        <v>24</v>
      </c>
      <c r="O1070" s="4">
        <v>1</v>
      </c>
      <c r="P1070" s="4">
        <v>99999999</v>
      </c>
      <c r="Q1070" s="4">
        <v>1</v>
      </c>
    </row>
    <row r="1071" spans="1:17" x14ac:dyDescent="0.25">
      <c r="A1071" s="3" t="s">
        <v>18</v>
      </c>
      <c r="B1071" s="3">
        <v>12394127</v>
      </c>
      <c r="C1071" s="3" t="s">
        <v>1113</v>
      </c>
      <c r="D1071" s="3" t="s">
        <v>20</v>
      </c>
      <c r="E1071" s="3" t="s">
        <v>21</v>
      </c>
      <c r="F1071" s="3" t="s">
        <v>21</v>
      </c>
      <c r="G1071" s="3" t="s">
        <v>233</v>
      </c>
      <c r="H1071" s="3" t="s">
        <v>234</v>
      </c>
      <c r="I1071" s="3" t="s">
        <v>24</v>
      </c>
      <c r="J1071" s="3" t="s">
        <v>24</v>
      </c>
      <c r="K1071" s="3" t="s">
        <v>25</v>
      </c>
      <c r="L1071" s="4">
        <v>0</v>
      </c>
      <c r="M1071" s="3" t="s">
        <v>26</v>
      </c>
      <c r="N1071" s="3" t="s">
        <v>24</v>
      </c>
      <c r="O1071" s="4">
        <v>1</v>
      </c>
      <c r="P1071" s="4">
        <v>2</v>
      </c>
      <c r="Q1071" s="4">
        <v>1</v>
      </c>
    </row>
    <row r="1072" spans="1:17" x14ac:dyDescent="0.25">
      <c r="A1072" s="3" t="s">
        <v>18</v>
      </c>
      <c r="B1072" s="3">
        <v>12394148</v>
      </c>
      <c r="C1072" s="3" t="s">
        <v>1114</v>
      </c>
      <c r="D1072" s="3" t="s">
        <v>20</v>
      </c>
      <c r="E1072" s="3" t="s">
        <v>21</v>
      </c>
      <c r="F1072" s="3" t="s">
        <v>21</v>
      </c>
      <c r="G1072" s="3" t="s">
        <v>233</v>
      </c>
      <c r="H1072" s="3" t="s">
        <v>234</v>
      </c>
      <c r="I1072" s="3" t="s">
        <v>24</v>
      </c>
      <c r="J1072" s="3" t="s">
        <v>24</v>
      </c>
      <c r="K1072" s="3" t="s">
        <v>25</v>
      </c>
      <c r="L1072" s="4">
        <v>0</v>
      </c>
      <c r="M1072" s="3" t="s">
        <v>26</v>
      </c>
      <c r="N1072" s="3" t="s">
        <v>24</v>
      </c>
      <c r="O1072" s="4">
        <v>1</v>
      </c>
      <c r="P1072" s="4">
        <v>99999999</v>
      </c>
      <c r="Q1072" s="4">
        <v>1</v>
      </c>
    </row>
    <row r="1073" spans="1:17" x14ac:dyDescent="0.25">
      <c r="A1073" s="3" t="s">
        <v>18</v>
      </c>
      <c r="B1073" s="3">
        <v>12394149</v>
      </c>
      <c r="C1073" s="3" t="s">
        <v>1115</v>
      </c>
      <c r="D1073" s="3" t="s">
        <v>20</v>
      </c>
      <c r="E1073" s="3" t="s">
        <v>21</v>
      </c>
      <c r="F1073" s="3" t="s">
        <v>21</v>
      </c>
      <c r="G1073" s="3" t="s">
        <v>233</v>
      </c>
      <c r="H1073" s="3" t="s">
        <v>234</v>
      </c>
      <c r="I1073" s="3" t="s">
        <v>24</v>
      </c>
      <c r="J1073" s="3" t="s">
        <v>24</v>
      </c>
      <c r="K1073" s="3" t="s">
        <v>25</v>
      </c>
      <c r="L1073" s="4">
        <v>0</v>
      </c>
      <c r="M1073" s="3" t="s">
        <v>26</v>
      </c>
      <c r="N1073" s="3" t="s">
        <v>24</v>
      </c>
      <c r="O1073" s="4">
        <v>1</v>
      </c>
      <c r="P1073" s="4">
        <v>3</v>
      </c>
      <c r="Q1073" s="4">
        <v>1</v>
      </c>
    </row>
    <row r="1074" spans="1:17" x14ac:dyDescent="0.25">
      <c r="A1074" s="3" t="s">
        <v>18</v>
      </c>
      <c r="B1074" s="3">
        <v>12394151</v>
      </c>
      <c r="C1074" s="3" t="s">
        <v>1116</v>
      </c>
      <c r="D1074" s="3" t="s">
        <v>20</v>
      </c>
      <c r="E1074" s="3" t="s">
        <v>21</v>
      </c>
      <c r="F1074" s="3" t="s">
        <v>21</v>
      </c>
      <c r="G1074" s="3" t="s">
        <v>233</v>
      </c>
      <c r="H1074" s="3" t="s">
        <v>234</v>
      </c>
      <c r="I1074" s="3" t="s">
        <v>24</v>
      </c>
      <c r="J1074" s="3" t="s">
        <v>24</v>
      </c>
      <c r="K1074" s="3" t="s">
        <v>25</v>
      </c>
      <c r="L1074" s="4">
        <v>0</v>
      </c>
      <c r="M1074" s="3" t="s">
        <v>26</v>
      </c>
      <c r="N1074" s="3" t="s">
        <v>24</v>
      </c>
      <c r="O1074" s="4">
        <v>1</v>
      </c>
      <c r="P1074" s="4">
        <v>99999999</v>
      </c>
      <c r="Q1074" s="4">
        <v>1</v>
      </c>
    </row>
    <row r="1075" spans="1:17" x14ac:dyDescent="0.25">
      <c r="A1075" s="3" t="s">
        <v>18</v>
      </c>
      <c r="B1075" s="3">
        <v>12394154</v>
      </c>
      <c r="C1075" s="3" t="s">
        <v>1117</v>
      </c>
      <c r="D1075" s="3" t="s">
        <v>20</v>
      </c>
      <c r="E1075" s="3" t="s">
        <v>21</v>
      </c>
      <c r="F1075" s="3" t="s">
        <v>21</v>
      </c>
      <c r="G1075" s="3" t="s">
        <v>42</v>
      </c>
      <c r="H1075" s="3" t="s">
        <v>43</v>
      </c>
      <c r="I1075" s="3" t="s">
        <v>24</v>
      </c>
      <c r="J1075" s="3" t="s">
        <v>24</v>
      </c>
      <c r="K1075" s="3" t="s">
        <v>25</v>
      </c>
      <c r="L1075" s="4">
        <v>0</v>
      </c>
      <c r="M1075" s="3" t="s">
        <v>26</v>
      </c>
      <c r="N1075" s="3" t="s">
        <v>24</v>
      </c>
      <c r="O1075" s="4">
        <v>1</v>
      </c>
      <c r="P1075" s="4">
        <v>9</v>
      </c>
      <c r="Q1075" s="4">
        <v>1</v>
      </c>
    </row>
    <row r="1076" spans="1:17" x14ac:dyDescent="0.25">
      <c r="A1076" s="3" t="s">
        <v>18</v>
      </c>
      <c r="B1076" s="3">
        <v>12394157</v>
      </c>
      <c r="C1076" s="3" t="s">
        <v>1118</v>
      </c>
      <c r="D1076" s="3" t="s">
        <v>20</v>
      </c>
      <c r="E1076" s="3" t="s">
        <v>21</v>
      </c>
      <c r="F1076" s="3" t="s">
        <v>21</v>
      </c>
      <c r="G1076" s="3" t="s">
        <v>42</v>
      </c>
      <c r="H1076" s="3" t="s">
        <v>43</v>
      </c>
      <c r="I1076" s="3" t="s">
        <v>24</v>
      </c>
      <c r="J1076" s="3" t="s">
        <v>24</v>
      </c>
      <c r="K1076" s="3" t="s">
        <v>25</v>
      </c>
      <c r="L1076" s="4">
        <v>0</v>
      </c>
      <c r="M1076" s="3" t="s">
        <v>26</v>
      </c>
      <c r="N1076" s="3" t="s">
        <v>24</v>
      </c>
      <c r="O1076" s="4">
        <v>1</v>
      </c>
      <c r="P1076" s="4">
        <v>9</v>
      </c>
      <c r="Q1076" s="4">
        <v>1</v>
      </c>
    </row>
    <row r="1077" spans="1:17" x14ac:dyDescent="0.25">
      <c r="A1077" s="3" t="s">
        <v>18</v>
      </c>
      <c r="B1077" s="3">
        <v>12394211</v>
      </c>
      <c r="C1077" s="3" t="s">
        <v>1119</v>
      </c>
      <c r="D1077" s="3" t="s">
        <v>20</v>
      </c>
      <c r="E1077" s="3" t="s">
        <v>21</v>
      </c>
      <c r="F1077" s="3" t="s">
        <v>21</v>
      </c>
      <c r="G1077" s="3" t="s">
        <v>42</v>
      </c>
      <c r="H1077" s="3" t="s">
        <v>43</v>
      </c>
      <c r="I1077" s="3" t="s">
        <v>24</v>
      </c>
      <c r="J1077" s="3" t="s">
        <v>24</v>
      </c>
      <c r="K1077" s="3" t="s">
        <v>25</v>
      </c>
      <c r="L1077" s="4">
        <v>0</v>
      </c>
      <c r="M1077" s="3" t="s">
        <v>26</v>
      </c>
      <c r="N1077" s="3" t="s">
        <v>24</v>
      </c>
      <c r="O1077" s="4">
        <v>1</v>
      </c>
      <c r="P1077" s="4">
        <v>8</v>
      </c>
      <c r="Q1077" s="4">
        <v>1</v>
      </c>
    </row>
    <row r="1078" spans="1:17" x14ac:dyDescent="0.25">
      <c r="A1078" s="3" t="s">
        <v>18</v>
      </c>
      <c r="B1078" s="3">
        <v>12394213</v>
      </c>
      <c r="C1078" s="3" t="s">
        <v>1120</v>
      </c>
      <c r="D1078" s="3" t="s">
        <v>20</v>
      </c>
      <c r="E1078" s="3" t="s">
        <v>21</v>
      </c>
      <c r="F1078" s="3" t="s">
        <v>21</v>
      </c>
      <c r="G1078" s="3" t="s">
        <v>42</v>
      </c>
      <c r="H1078" s="3" t="s">
        <v>43</v>
      </c>
      <c r="I1078" s="3" t="s">
        <v>24</v>
      </c>
      <c r="J1078" s="3" t="s">
        <v>24</v>
      </c>
      <c r="K1078" s="3" t="s">
        <v>25</v>
      </c>
      <c r="L1078" s="4">
        <v>0</v>
      </c>
      <c r="M1078" s="3" t="s">
        <v>26</v>
      </c>
      <c r="N1078" s="3" t="s">
        <v>24</v>
      </c>
      <c r="O1078" s="4">
        <v>1</v>
      </c>
      <c r="P1078" s="4">
        <v>8</v>
      </c>
      <c r="Q1078" s="4">
        <v>1</v>
      </c>
    </row>
    <row r="1079" spans="1:17" x14ac:dyDescent="0.25">
      <c r="A1079" s="3" t="s">
        <v>18</v>
      </c>
      <c r="B1079" s="3">
        <v>12394216</v>
      </c>
      <c r="C1079" s="3" t="s">
        <v>1121</v>
      </c>
      <c r="D1079" s="3" t="s">
        <v>20</v>
      </c>
      <c r="E1079" s="3" t="s">
        <v>21</v>
      </c>
      <c r="F1079" s="3" t="s">
        <v>21</v>
      </c>
      <c r="G1079" s="3" t="s">
        <v>42</v>
      </c>
      <c r="H1079" s="3" t="s">
        <v>43</v>
      </c>
      <c r="I1079" s="3" t="s">
        <v>24</v>
      </c>
      <c r="J1079" s="3" t="s">
        <v>24</v>
      </c>
      <c r="K1079" s="3" t="s">
        <v>25</v>
      </c>
      <c r="L1079" s="4">
        <v>0</v>
      </c>
      <c r="M1079" s="3" t="s">
        <v>26</v>
      </c>
      <c r="N1079" s="3" t="s">
        <v>24</v>
      </c>
      <c r="O1079" s="4">
        <v>1</v>
      </c>
      <c r="P1079" s="4">
        <v>8</v>
      </c>
      <c r="Q1079" s="4">
        <v>1</v>
      </c>
    </row>
    <row r="1080" spans="1:17" x14ac:dyDescent="0.25">
      <c r="A1080" s="3" t="s">
        <v>18</v>
      </c>
      <c r="B1080" s="3">
        <v>12394248</v>
      </c>
      <c r="C1080" s="3" t="s">
        <v>1122</v>
      </c>
      <c r="D1080" s="3" t="s">
        <v>20</v>
      </c>
      <c r="E1080" s="3" t="s">
        <v>21</v>
      </c>
      <c r="F1080" s="3" t="s">
        <v>21</v>
      </c>
      <c r="G1080" s="3" t="s">
        <v>42</v>
      </c>
      <c r="H1080" s="3" t="s">
        <v>43</v>
      </c>
      <c r="I1080" s="3" t="s">
        <v>24</v>
      </c>
      <c r="J1080" s="3" t="s">
        <v>24</v>
      </c>
      <c r="K1080" s="3" t="s">
        <v>25</v>
      </c>
      <c r="L1080" s="4">
        <v>0</v>
      </c>
      <c r="M1080" s="3" t="s">
        <v>26</v>
      </c>
      <c r="N1080" s="3" t="s">
        <v>24</v>
      </c>
      <c r="O1080" s="4">
        <v>1</v>
      </c>
      <c r="P1080" s="4">
        <v>8</v>
      </c>
      <c r="Q1080" s="4">
        <v>1</v>
      </c>
    </row>
    <row r="1081" spans="1:17" x14ac:dyDescent="0.25">
      <c r="A1081" s="3" t="s">
        <v>18</v>
      </c>
      <c r="B1081" s="3">
        <v>12403465</v>
      </c>
      <c r="C1081" s="3" t="s">
        <v>1123</v>
      </c>
      <c r="D1081" s="3" t="s">
        <v>20</v>
      </c>
      <c r="E1081" s="3" t="s">
        <v>21</v>
      </c>
      <c r="F1081" s="3" t="s">
        <v>21</v>
      </c>
      <c r="G1081" s="3" t="s">
        <v>30</v>
      </c>
      <c r="H1081" s="3" t="s">
        <v>31</v>
      </c>
      <c r="I1081" s="3" t="s">
        <v>24</v>
      </c>
      <c r="J1081" s="3" t="s">
        <v>24</v>
      </c>
      <c r="K1081" s="3" t="s">
        <v>25</v>
      </c>
      <c r="L1081" s="4">
        <v>0</v>
      </c>
      <c r="M1081" s="3" t="s">
        <v>26</v>
      </c>
      <c r="N1081" s="3" t="s">
        <v>24</v>
      </c>
      <c r="O1081" s="4">
        <v>1</v>
      </c>
      <c r="P1081" s="4">
        <v>4</v>
      </c>
      <c r="Q1081" s="4">
        <v>1</v>
      </c>
    </row>
    <row r="1082" spans="1:17" x14ac:dyDescent="0.25">
      <c r="A1082" s="3" t="s">
        <v>18</v>
      </c>
      <c r="B1082" s="3">
        <v>12403466</v>
      </c>
      <c r="C1082" s="3" t="s">
        <v>1124</v>
      </c>
      <c r="D1082" s="3" t="s">
        <v>20</v>
      </c>
      <c r="E1082" s="3" t="s">
        <v>21</v>
      </c>
      <c r="F1082" s="3" t="s">
        <v>21</v>
      </c>
      <c r="G1082" s="3" t="s">
        <v>30</v>
      </c>
      <c r="H1082" s="3" t="s">
        <v>31</v>
      </c>
      <c r="I1082" s="3" t="s">
        <v>24</v>
      </c>
      <c r="J1082" s="3" t="s">
        <v>24</v>
      </c>
      <c r="K1082" s="3" t="s">
        <v>25</v>
      </c>
      <c r="L1082" s="4">
        <v>0</v>
      </c>
      <c r="M1082" s="3" t="s">
        <v>26</v>
      </c>
      <c r="N1082" s="3" t="s">
        <v>24</v>
      </c>
      <c r="O1082" s="4">
        <v>1</v>
      </c>
      <c r="P1082" s="4">
        <v>8</v>
      </c>
      <c r="Q1082" s="4">
        <v>1</v>
      </c>
    </row>
    <row r="1083" spans="1:17" x14ac:dyDescent="0.25">
      <c r="A1083" s="3" t="s">
        <v>18</v>
      </c>
      <c r="B1083" s="3">
        <v>12403467</v>
      </c>
      <c r="C1083" s="3" t="s">
        <v>1125</v>
      </c>
      <c r="D1083" s="3" t="s">
        <v>20</v>
      </c>
      <c r="E1083" s="3" t="s">
        <v>21</v>
      </c>
      <c r="F1083" s="3" t="s">
        <v>21</v>
      </c>
      <c r="G1083" s="3" t="s">
        <v>30</v>
      </c>
      <c r="H1083" s="3" t="s">
        <v>31</v>
      </c>
      <c r="I1083" s="3" t="s">
        <v>24</v>
      </c>
      <c r="J1083" s="3" t="s">
        <v>24</v>
      </c>
      <c r="K1083" s="3" t="s">
        <v>25</v>
      </c>
      <c r="L1083" s="4">
        <v>0</v>
      </c>
      <c r="M1083" s="3" t="s">
        <v>26</v>
      </c>
      <c r="N1083" s="3" t="s">
        <v>24</v>
      </c>
      <c r="O1083" s="4">
        <v>1</v>
      </c>
      <c r="P1083" s="4">
        <v>4</v>
      </c>
      <c r="Q1083" s="4">
        <v>1</v>
      </c>
    </row>
    <row r="1084" spans="1:17" x14ac:dyDescent="0.25">
      <c r="A1084" s="3" t="s">
        <v>18</v>
      </c>
      <c r="B1084" s="3">
        <v>12403618</v>
      </c>
      <c r="C1084" s="3" t="s">
        <v>1126</v>
      </c>
      <c r="D1084" s="3" t="s">
        <v>20</v>
      </c>
      <c r="E1084" s="3" t="s">
        <v>21</v>
      </c>
      <c r="F1084" s="3" t="s">
        <v>21</v>
      </c>
      <c r="G1084" s="3" t="s">
        <v>30</v>
      </c>
      <c r="H1084" s="3" t="s">
        <v>31</v>
      </c>
      <c r="I1084" s="3" t="s">
        <v>24</v>
      </c>
      <c r="J1084" s="3" t="s">
        <v>24</v>
      </c>
      <c r="K1084" s="3" t="s">
        <v>25</v>
      </c>
      <c r="L1084" s="4">
        <v>0</v>
      </c>
      <c r="M1084" s="3" t="s">
        <v>26</v>
      </c>
      <c r="N1084" s="3" t="s">
        <v>24</v>
      </c>
      <c r="O1084" s="4">
        <v>1</v>
      </c>
      <c r="P1084" s="4">
        <v>9</v>
      </c>
      <c r="Q1084" s="4">
        <v>1</v>
      </c>
    </row>
    <row r="1085" spans="1:17" x14ac:dyDescent="0.25">
      <c r="A1085" s="3" t="s">
        <v>18</v>
      </c>
      <c r="B1085" s="3">
        <v>12403620</v>
      </c>
      <c r="C1085" s="3" t="s">
        <v>1127</v>
      </c>
      <c r="D1085" s="3" t="s">
        <v>20</v>
      </c>
      <c r="E1085" s="3" t="s">
        <v>21</v>
      </c>
      <c r="F1085" s="3" t="s">
        <v>21</v>
      </c>
      <c r="G1085" s="3" t="s">
        <v>30</v>
      </c>
      <c r="H1085" s="3" t="s">
        <v>31</v>
      </c>
      <c r="I1085" s="3" t="s">
        <v>24</v>
      </c>
      <c r="J1085" s="3" t="s">
        <v>24</v>
      </c>
      <c r="K1085" s="3" t="s">
        <v>25</v>
      </c>
      <c r="L1085" s="4">
        <v>0</v>
      </c>
      <c r="M1085" s="3" t="s">
        <v>26</v>
      </c>
      <c r="N1085" s="3" t="s">
        <v>24</v>
      </c>
      <c r="O1085" s="4">
        <v>1</v>
      </c>
      <c r="P1085" s="4">
        <v>9</v>
      </c>
      <c r="Q1085" s="4">
        <v>1</v>
      </c>
    </row>
    <row r="1086" spans="1:17" x14ac:dyDescent="0.25">
      <c r="A1086" s="3" t="s">
        <v>18</v>
      </c>
      <c r="B1086" s="3">
        <v>12403624</v>
      </c>
      <c r="C1086" s="3" t="s">
        <v>1128</v>
      </c>
      <c r="D1086" s="3" t="s">
        <v>20</v>
      </c>
      <c r="E1086" s="3" t="s">
        <v>21</v>
      </c>
      <c r="F1086" s="3" t="s">
        <v>21</v>
      </c>
      <c r="G1086" s="3" t="s">
        <v>30</v>
      </c>
      <c r="H1086" s="3" t="s">
        <v>31</v>
      </c>
      <c r="I1086" s="3" t="s">
        <v>24</v>
      </c>
      <c r="J1086" s="3" t="s">
        <v>24</v>
      </c>
      <c r="K1086" s="3" t="s">
        <v>25</v>
      </c>
      <c r="L1086" s="4">
        <v>0</v>
      </c>
      <c r="M1086" s="3" t="s">
        <v>26</v>
      </c>
      <c r="N1086" s="3" t="s">
        <v>24</v>
      </c>
      <c r="O1086" s="4">
        <v>1</v>
      </c>
      <c r="P1086" s="4">
        <v>8</v>
      </c>
      <c r="Q1086" s="4">
        <v>1</v>
      </c>
    </row>
    <row r="1087" spans="1:17" x14ac:dyDescent="0.25">
      <c r="A1087" s="3" t="s">
        <v>18</v>
      </c>
      <c r="B1087" s="3">
        <v>12403625</v>
      </c>
      <c r="C1087" s="3" t="s">
        <v>1129</v>
      </c>
      <c r="D1087" s="3" t="s">
        <v>20</v>
      </c>
      <c r="E1087" s="3" t="s">
        <v>21</v>
      </c>
      <c r="F1087" s="3" t="s">
        <v>21</v>
      </c>
      <c r="G1087" s="3" t="s">
        <v>30</v>
      </c>
      <c r="H1087" s="3" t="s">
        <v>31</v>
      </c>
      <c r="I1087" s="3" t="s">
        <v>24</v>
      </c>
      <c r="J1087" s="3" t="s">
        <v>24</v>
      </c>
      <c r="K1087" s="3" t="s">
        <v>25</v>
      </c>
      <c r="L1087" s="4">
        <v>0</v>
      </c>
      <c r="M1087" s="3" t="s">
        <v>26</v>
      </c>
      <c r="N1087" s="3" t="s">
        <v>24</v>
      </c>
      <c r="O1087" s="4">
        <v>1</v>
      </c>
      <c r="P1087" s="4">
        <v>8</v>
      </c>
      <c r="Q1087" s="4">
        <v>1</v>
      </c>
    </row>
    <row r="1088" spans="1:17" x14ac:dyDescent="0.25">
      <c r="A1088" s="3" t="s">
        <v>18</v>
      </c>
      <c r="B1088" s="3">
        <v>12403627</v>
      </c>
      <c r="C1088" s="3" t="s">
        <v>1130</v>
      </c>
      <c r="D1088" s="3" t="s">
        <v>20</v>
      </c>
      <c r="E1088" s="3" t="s">
        <v>21</v>
      </c>
      <c r="F1088" s="3" t="s">
        <v>21</v>
      </c>
      <c r="G1088" s="3" t="s">
        <v>30</v>
      </c>
      <c r="H1088" s="3" t="s">
        <v>31</v>
      </c>
      <c r="I1088" s="3" t="s">
        <v>24</v>
      </c>
      <c r="J1088" s="3" t="s">
        <v>24</v>
      </c>
      <c r="K1088" s="3" t="s">
        <v>25</v>
      </c>
      <c r="L1088" s="4">
        <v>0</v>
      </c>
      <c r="M1088" s="3" t="s">
        <v>26</v>
      </c>
      <c r="N1088" s="3" t="s">
        <v>24</v>
      </c>
      <c r="O1088" s="4">
        <v>1</v>
      </c>
      <c r="P1088" s="4">
        <v>8</v>
      </c>
      <c r="Q1088" s="4">
        <v>1</v>
      </c>
    </row>
    <row r="1089" spans="1:17" x14ac:dyDescent="0.25">
      <c r="A1089" s="3" t="s">
        <v>18</v>
      </c>
      <c r="B1089" s="3">
        <v>12403698</v>
      </c>
      <c r="C1089" s="3" t="s">
        <v>1131</v>
      </c>
      <c r="D1089" s="3" t="s">
        <v>20</v>
      </c>
      <c r="E1089" s="3" t="s">
        <v>21</v>
      </c>
      <c r="F1089" s="3" t="s">
        <v>21</v>
      </c>
      <c r="G1089" s="3" t="s">
        <v>42</v>
      </c>
      <c r="H1089" s="3" t="s">
        <v>43</v>
      </c>
      <c r="I1089" s="3" t="s">
        <v>24</v>
      </c>
      <c r="J1089" s="3" t="s">
        <v>24</v>
      </c>
      <c r="K1089" s="3" t="s">
        <v>25</v>
      </c>
      <c r="L1089" s="4">
        <v>0</v>
      </c>
      <c r="M1089" s="3" t="s">
        <v>26</v>
      </c>
      <c r="N1089" s="3" t="s">
        <v>24</v>
      </c>
      <c r="O1089" s="4">
        <v>1</v>
      </c>
      <c r="P1089" s="4">
        <v>8</v>
      </c>
      <c r="Q1089" s="4">
        <v>1</v>
      </c>
    </row>
    <row r="1090" spans="1:17" x14ac:dyDescent="0.25">
      <c r="A1090" s="3" t="s">
        <v>18</v>
      </c>
      <c r="B1090" s="3">
        <v>12403699</v>
      </c>
      <c r="C1090" s="3" t="s">
        <v>1132</v>
      </c>
      <c r="D1090" s="3" t="s">
        <v>20</v>
      </c>
      <c r="E1090" s="3" t="s">
        <v>21</v>
      </c>
      <c r="F1090" s="3" t="s">
        <v>21</v>
      </c>
      <c r="G1090" s="3" t="s">
        <v>42</v>
      </c>
      <c r="H1090" s="3" t="s">
        <v>43</v>
      </c>
      <c r="I1090" s="3" t="s">
        <v>24</v>
      </c>
      <c r="J1090" s="3" t="s">
        <v>24</v>
      </c>
      <c r="K1090" s="3" t="s">
        <v>25</v>
      </c>
      <c r="L1090" s="4">
        <v>0</v>
      </c>
      <c r="M1090" s="3" t="s">
        <v>26</v>
      </c>
      <c r="N1090" s="3" t="s">
        <v>24</v>
      </c>
      <c r="O1090" s="4">
        <v>1</v>
      </c>
      <c r="P1090" s="4">
        <v>8</v>
      </c>
      <c r="Q1090" s="4">
        <v>1</v>
      </c>
    </row>
    <row r="1091" spans="1:17" x14ac:dyDescent="0.25">
      <c r="A1091" s="3" t="s">
        <v>18</v>
      </c>
      <c r="B1091" s="3">
        <v>12403701</v>
      </c>
      <c r="C1091" s="3" t="s">
        <v>1133</v>
      </c>
      <c r="D1091" s="3" t="s">
        <v>20</v>
      </c>
      <c r="E1091" s="3" t="s">
        <v>21</v>
      </c>
      <c r="F1091" s="3" t="s">
        <v>21</v>
      </c>
      <c r="G1091" s="3" t="s">
        <v>42</v>
      </c>
      <c r="H1091" s="3" t="s">
        <v>43</v>
      </c>
      <c r="I1091" s="3" t="s">
        <v>24</v>
      </c>
      <c r="J1091" s="3" t="s">
        <v>24</v>
      </c>
      <c r="K1091" s="3" t="s">
        <v>25</v>
      </c>
      <c r="L1091" s="4">
        <v>0</v>
      </c>
      <c r="M1091" s="3" t="s">
        <v>26</v>
      </c>
      <c r="N1091" s="3" t="s">
        <v>24</v>
      </c>
      <c r="O1091" s="4">
        <v>1</v>
      </c>
      <c r="P1091" s="4">
        <v>8</v>
      </c>
      <c r="Q1091" s="4">
        <v>1</v>
      </c>
    </row>
    <row r="1092" spans="1:17" x14ac:dyDescent="0.25">
      <c r="A1092" s="3" t="s">
        <v>18</v>
      </c>
      <c r="B1092" s="3">
        <v>12403703</v>
      </c>
      <c r="C1092" s="3" t="s">
        <v>1134</v>
      </c>
      <c r="D1092" s="3" t="s">
        <v>20</v>
      </c>
      <c r="E1092" s="3" t="s">
        <v>21</v>
      </c>
      <c r="F1092" s="3" t="s">
        <v>21</v>
      </c>
      <c r="G1092" s="3" t="s">
        <v>22</v>
      </c>
      <c r="H1092" s="3" t="s">
        <v>23</v>
      </c>
      <c r="I1092" s="3" t="s">
        <v>24</v>
      </c>
      <c r="J1092" s="3" t="s">
        <v>24</v>
      </c>
      <c r="K1092" s="3" t="s">
        <v>25</v>
      </c>
      <c r="L1092" s="4">
        <v>0</v>
      </c>
      <c r="M1092" s="3" t="s">
        <v>26</v>
      </c>
      <c r="N1092" s="3" t="s">
        <v>24</v>
      </c>
      <c r="O1092" s="4">
        <v>1</v>
      </c>
      <c r="P1092" s="4">
        <v>4</v>
      </c>
      <c r="Q1092" s="4">
        <v>1</v>
      </c>
    </row>
    <row r="1093" spans="1:17" x14ac:dyDescent="0.25">
      <c r="A1093" s="3" t="s">
        <v>18</v>
      </c>
      <c r="B1093" s="3">
        <v>12403704</v>
      </c>
      <c r="C1093" s="3" t="s">
        <v>1135</v>
      </c>
      <c r="D1093" s="3" t="s">
        <v>20</v>
      </c>
      <c r="E1093" s="3" t="s">
        <v>21</v>
      </c>
      <c r="F1093" s="3" t="s">
        <v>21</v>
      </c>
      <c r="G1093" s="3" t="s">
        <v>22</v>
      </c>
      <c r="H1093" s="3" t="s">
        <v>23</v>
      </c>
      <c r="I1093" s="3" t="s">
        <v>24</v>
      </c>
      <c r="J1093" s="3" t="s">
        <v>24</v>
      </c>
      <c r="K1093" s="3" t="s">
        <v>25</v>
      </c>
      <c r="L1093" s="4">
        <v>0</v>
      </c>
      <c r="M1093" s="3" t="s">
        <v>26</v>
      </c>
      <c r="N1093" s="3" t="s">
        <v>24</v>
      </c>
      <c r="O1093" s="4">
        <v>1</v>
      </c>
      <c r="P1093" s="4">
        <v>4</v>
      </c>
      <c r="Q1093" s="4">
        <v>1</v>
      </c>
    </row>
    <row r="1094" spans="1:17" x14ac:dyDescent="0.25">
      <c r="A1094" s="3" t="s">
        <v>18</v>
      </c>
      <c r="B1094" s="3">
        <v>12403705</v>
      </c>
      <c r="C1094" s="3" t="s">
        <v>1136</v>
      </c>
      <c r="D1094" s="3" t="s">
        <v>20</v>
      </c>
      <c r="E1094" s="3" t="s">
        <v>21</v>
      </c>
      <c r="F1094" s="3" t="s">
        <v>21</v>
      </c>
      <c r="G1094" s="3" t="s">
        <v>22</v>
      </c>
      <c r="H1094" s="3" t="s">
        <v>23</v>
      </c>
      <c r="I1094" s="3" t="s">
        <v>24</v>
      </c>
      <c r="J1094" s="3" t="s">
        <v>24</v>
      </c>
      <c r="K1094" s="3" t="s">
        <v>25</v>
      </c>
      <c r="L1094" s="4">
        <v>0</v>
      </c>
      <c r="M1094" s="3" t="s">
        <v>26</v>
      </c>
      <c r="N1094" s="3" t="s">
        <v>24</v>
      </c>
      <c r="O1094" s="4">
        <v>1</v>
      </c>
      <c r="P1094" s="4">
        <v>4</v>
      </c>
      <c r="Q1094" s="4">
        <v>1</v>
      </c>
    </row>
    <row r="1095" spans="1:17" x14ac:dyDescent="0.25">
      <c r="A1095" s="3" t="s">
        <v>18</v>
      </c>
      <c r="B1095" s="3">
        <v>12403706</v>
      </c>
      <c r="C1095" s="3" t="s">
        <v>1137</v>
      </c>
      <c r="D1095" s="3" t="s">
        <v>20</v>
      </c>
      <c r="E1095" s="3" t="s">
        <v>21</v>
      </c>
      <c r="F1095" s="3" t="s">
        <v>21</v>
      </c>
      <c r="G1095" s="3" t="s">
        <v>36</v>
      </c>
      <c r="H1095" s="3" t="s">
        <v>37</v>
      </c>
      <c r="I1095" s="3" t="s">
        <v>24</v>
      </c>
      <c r="J1095" s="3" t="s">
        <v>24</v>
      </c>
      <c r="K1095" s="3" t="s">
        <v>25</v>
      </c>
      <c r="L1095" s="4">
        <v>0</v>
      </c>
      <c r="M1095" s="3" t="s">
        <v>26</v>
      </c>
      <c r="N1095" s="3" t="s">
        <v>24</v>
      </c>
      <c r="O1095" s="4">
        <v>1</v>
      </c>
      <c r="P1095" s="4">
        <v>10</v>
      </c>
      <c r="Q1095" s="4">
        <v>1</v>
      </c>
    </row>
    <row r="1096" spans="1:17" x14ac:dyDescent="0.25">
      <c r="A1096" s="3" t="s">
        <v>18</v>
      </c>
      <c r="B1096" s="3">
        <v>12403707</v>
      </c>
      <c r="C1096" s="3" t="s">
        <v>1138</v>
      </c>
      <c r="D1096" s="3" t="s">
        <v>20</v>
      </c>
      <c r="E1096" s="3" t="s">
        <v>21</v>
      </c>
      <c r="F1096" s="3" t="s">
        <v>21</v>
      </c>
      <c r="G1096" s="3" t="s">
        <v>36</v>
      </c>
      <c r="H1096" s="3" t="s">
        <v>37</v>
      </c>
      <c r="I1096" s="3" t="s">
        <v>24</v>
      </c>
      <c r="J1096" s="3" t="s">
        <v>24</v>
      </c>
      <c r="K1096" s="3" t="s">
        <v>25</v>
      </c>
      <c r="L1096" s="4">
        <v>0</v>
      </c>
      <c r="M1096" s="3" t="s">
        <v>26</v>
      </c>
      <c r="N1096" s="3" t="s">
        <v>24</v>
      </c>
      <c r="O1096" s="4">
        <v>1</v>
      </c>
      <c r="P1096" s="4">
        <v>10</v>
      </c>
      <c r="Q1096" s="4">
        <v>1</v>
      </c>
    </row>
    <row r="1097" spans="1:17" x14ac:dyDescent="0.25">
      <c r="A1097" s="3" t="s">
        <v>18</v>
      </c>
      <c r="B1097" s="3">
        <v>12436086</v>
      </c>
      <c r="C1097" s="3" t="s">
        <v>1139</v>
      </c>
      <c r="D1097" s="3" t="s">
        <v>20</v>
      </c>
      <c r="E1097" s="3" t="s">
        <v>21</v>
      </c>
      <c r="F1097" s="3" t="s">
        <v>21</v>
      </c>
      <c r="G1097" s="3" t="s">
        <v>36</v>
      </c>
      <c r="H1097" s="3" t="s">
        <v>37</v>
      </c>
      <c r="I1097" s="3" t="s">
        <v>24</v>
      </c>
      <c r="J1097" s="3" t="s">
        <v>24</v>
      </c>
      <c r="K1097" s="3" t="s">
        <v>25</v>
      </c>
      <c r="L1097" s="4">
        <v>0</v>
      </c>
      <c r="M1097" s="3" t="s">
        <v>26</v>
      </c>
      <c r="N1097" s="3" t="s">
        <v>24</v>
      </c>
      <c r="O1097" s="4">
        <v>1</v>
      </c>
      <c r="P1097" s="4">
        <v>10</v>
      </c>
      <c r="Q1097" s="4">
        <v>1</v>
      </c>
    </row>
    <row r="1098" spans="1:17" x14ac:dyDescent="0.25">
      <c r="A1098" s="3" t="s">
        <v>18</v>
      </c>
      <c r="B1098" s="3">
        <v>12436087</v>
      </c>
      <c r="C1098" s="3" t="s">
        <v>1140</v>
      </c>
      <c r="D1098" s="3" t="s">
        <v>20</v>
      </c>
      <c r="E1098" s="3" t="s">
        <v>21</v>
      </c>
      <c r="F1098" s="3" t="s">
        <v>21</v>
      </c>
      <c r="G1098" s="3" t="s">
        <v>233</v>
      </c>
      <c r="H1098" s="3" t="s">
        <v>234</v>
      </c>
      <c r="I1098" s="3" t="s">
        <v>24</v>
      </c>
      <c r="J1098" s="3" t="s">
        <v>24</v>
      </c>
      <c r="K1098" s="3" t="s">
        <v>25</v>
      </c>
      <c r="L1098" s="4">
        <v>0</v>
      </c>
      <c r="M1098" s="3" t="s">
        <v>26</v>
      </c>
      <c r="N1098" s="3" t="s">
        <v>24</v>
      </c>
      <c r="O1098" s="4">
        <v>1</v>
      </c>
      <c r="P1098" s="4">
        <v>99999999</v>
      </c>
      <c r="Q1098" s="4">
        <v>1</v>
      </c>
    </row>
    <row r="1099" spans="1:17" x14ac:dyDescent="0.25">
      <c r="A1099" s="3" t="s">
        <v>18</v>
      </c>
      <c r="B1099" s="3">
        <v>12438986</v>
      </c>
      <c r="C1099" s="3" t="s">
        <v>1141</v>
      </c>
      <c r="D1099" s="3" t="s">
        <v>20</v>
      </c>
      <c r="E1099" s="3" t="s">
        <v>21</v>
      </c>
      <c r="F1099" s="3" t="s">
        <v>21</v>
      </c>
      <c r="G1099" s="3" t="s">
        <v>30</v>
      </c>
      <c r="H1099" s="3" t="s">
        <v>31</v>
      </c>
      <c r="I1099" s="3" t="s">
        <v>24</v>
      </c>
      <c r="J1099" s="3" t="s">
        <v>24</v>
      </c>
      <c r="K1099" s="3" t="s">
        <v>25</v>
      </c>
      <c r="L1099" s="4">
        <v>0</v>
      </c>
      <c r="M1099" s="3" t="s">
        <v>26</v>
      </c>
      <c r="N1099" s="3" t="s">
        <v>24</v>
      </c>
      <c r="O1099" s="4">
        <v>1</v>
      </c>
      <c r="P1099" s="4">
        <v>9</v>
      </c>
      <c r="Q1099" s="4">
        <v>1</v>
      </c>
    </row>
    <row r="1100" spans="1:17" x14ac:dyDescent="0.25">
      <c r="A1100" s="3" t="s">
        <v>18</v>
      </c>
      <c r="B1100" s="3">
        <v>12452080</v>
      </c>
      <c r="C1100" s="3" t="s">
        <v>1142</v>
      </c>
      <c r="D1100" s="3" t="s">
        <v>20</v>
      </c>
      <c r="E1100" s="3" t="s">
        <v>21</v>
      </c>
      <c r="F1100" s="3" t="s">
        <v>21</v>
      </c>
      <c r="G1100" s="3" t="s">
        <v>410</v>
      </c>
      <c r="H1100" s="3" t="s">
        <v>411</v>
      </c>
      <c r="I1100" s="3" t="s">
        <v>24</v>
      </c>
      <c r="J1100" s="3" t="s">
        <v>24</v>
      </c>
      <c r="K1100" s="3" t="s">
        <v>25</v>
      </c>
      <c r="L1100" s="4">
        <v>0</v>
      </c>
      <c r="M1100" s="3" t="s">
        <v>26</v>
      </c>
      <c r="N1100" s="3" t="s">
        <v>24</v>
      </c>
      <c r="O1100" s="4">
        <v>1</v>
      </c>
      <c r="P1100" s="4">
        <v>4</v>
      </c>
      <c r="Q1100" s="4">
        <v>1</v>
      </c>
    </row>
    <row r="1101" spans="1:17" x14ac:dyDescent="0.25">
      <c r="A1101" s="3" t="s">
        <v>18</v>
      </c>
      <c r="B1101" s="3">
        <v>12467915</v>
      </c>
      <c r="C1101" s="3" t="s">
        <v>1143</v>
      </c>
      <c r="D1101" s="3" t="s">
        <v>20</v>
      </c>
      <c r="E1101" s="3" t="s">
        <v>21</v>
      </c>
      <c r="F1101" s="3" t="s">
        <v>21</v>
      </c>
      <c r="G1101" s="3" t="s">
        <v>30</v>
      </c>
      <c r="H1101" s="3" t="s">
        <v>31</v>
      </c>
      <c r="I1101" s="3" t="s">
        <v>24</v>
      </c>
      <c r="J1101" s="3" t="s">
        <v>24</v>
      </c>
      <c r="K1101" s="3" t="s">
        <v>25</v>
      </c>
      <c r="L1101" s="4">
        <v>0</v>
      </c>
      <c r="M1101" s="3" t="s">
        <v>26</v>
      </c>
      <c r="N1101" s="3" t="s">
        <v>24</v>
      </c>
      <c r="O1101" s="4">
        <v>1</v>
      </c>
      <c r="P1101" s="4">
        <v>9</v>
      </c>
      <c r="Q1101" s="4">
        <v>1</v>
      </c>
    </row>
    <row r="1102" spans="1:17" x14ac:dyDescent="0.25">
      <c r="A1102" s="3" t="s">
        <v>18</v>
      </c>
      <c r="B1102" s="3">
        <v>12467958</v>
      </c>
      <c r="C1102" s="3" t="s">
        <v>1144</v>
      </c>
      <c r="D1102" s="3" t="s">
        <v>20</v>
      </c>
      <c r="E1102" s="3" t="s">
        <v>21</v>
      </c>
      <c r="F1102" s="3" t="s">
        <v>21</v>
      </c>
      <c r="G1102" s="3" t="s">
        <v>30</v>
      </c>
      <c r="H1102" s="3" t="s">
        <v>31</v>
      </c>
      <c r="I1102" s="3" t="s">
        <v>24</v>
      </c>
      <c r="J1102" s="3" t="s">
        <v>24</v>
      </c>
      <c r="K1102" s="3" t="s">
        <v>25</v>
      </c>
      <c r="L1102" s="4">
        <v>0</v>
      </c>
      <c r="M1102" s="3" t="s">
        <v>26</v>
      </c>
      <c r="N1102" s="3" t="s">
        <v>24</v>
      </c>
      <c r="O1102" s="4">
        <v>1</v>
      </c>
      <c r="P1102" s="4">
        <v>8</v>
      </c>
      <c r="Q1102" s="4">
        <v>1</v>
      </c>
    </row>
    <row r="1103" spans="1:17" x14ac:dyDescent="0.25">
      <c r="A1103" s="3" t="s">
        <v>18</v>
      </c>
      <c r="B1103" s="3">
        <v>12467960</v>
      </c>
      <c r="C1103" s="3" t="s">
        <v>1145</v>
      </c>
      <c r="D1103" s="3" t="s">
        <v>20</v>
      </c>
      <c r="E1103" s="3" t="s">
        <v>21</v>
      </c>
      <c r="F1103" s="3" t="s">
        <v>21</v>
      </c>
      <c r="G1103" s="3" t="s">
        <v>30</v>
      </c>
      <c r="H1103" s="3" t="s">
        <v>31</v>
      </c>
      <c r="I1103" s="3" t="s">
        <v>24</v>
      </c>
      <c r="J1103" s="3" t="s">
        <v>24</v>
      </c>
      <c r="K1103" s="3" t="s">
        <v>25</v>
      </c>
      <c r="L1103" s="4">
        <v>0</v>
      </c>
      <c r="M1103" s="3" t="s">
        <v>26</v>
      </c>
      <c r="N1103" s="3" t="s">
        <v>24</v>
      </c>
      <c r="O1103" s="4">
        <v>1</v>
      </c>
      <c r="P1103" s="4">
        <v>8</v>
      </c>
      <c r="Q1103" s="4">
        <v>1</v>
      </c>
    </row>
    <row r="1104" spans="1:17" x14ac:dyDescent="0.25">
      <c r="A1104" s="3" t="s">
        <v>18</v>
      </c>
      <c r="B1104" s="3">
        <v>12467961</v>
      </c>
      <c r="C1104" s="3" t="s">
        <v>1146</v>
      </c>
      <c r="D1104" s="3" t="s">
        <v>20</v>
      </c>
      <c r="E1104" s="3" t="s">
        <v>21</v>
      </c>
      <c r="F1104" s="3" t="s">
        <v>21</v>
      </c>
      <c r="G1104" s="3" t="s">
        <v>42</v>
      </c>
      <c r="H1104" s="3" t="s">
        <v>43</v>
      </c>
      <c r="I1104" s="3" t="s">
        <v>24</v>
      </c>
      <c r="J1104" s="3" t="s">
        <v>24</v>
      </c>
      <c r="K1104" s="3" t="s">
        <v>25</v>
      </c>
      <c r="L1104" s="4">
        <v>0</v>
      </c>
      <c r="M1104" s="3" t="s">
        <v>26</v>
      </c>
      <c r="N1104" s="3" t="s">
        <v>24</v>
      </c>
      <c r="O1104" s="4">
        <v>1</v>
      </c>
      <c r="P1104" s="4">
        <v>8</v>
      </c>
      <c r="Q1104" s="4">
        <v>1</v>
      </c>
    </row>
    <row r="1105" spans="1:17" x14ac:dyDescent="0.25">
      <c r="A1105" s="3" t="s">
        <v>18</v>
      </c>
      <c r="B1105" s="3">
        <v>12467962</v>
      </c>
      <c r="C1105" s="3" t="s">
        <v>1147</v>
      </c>
      <c r="D1105" s="3" t="s">
        <v>20</v>
      </c>
      <c r="E1105" s="3" t="s">
        <v>21</v>
      </c>
      <c r="F1105" s="3" t="s">
        <v>21</v>
      </c>
      <c r="G1105" s="3" t="s">
        <v>22</v>
      </c>
      <c r="H1105" s="3" t="s">
        <v>23</v>
      </c>
      <c r="I1105" s="3" t="s">
        <v>24</v>
      </c>
      <c r="J1105" s="3" t="s">
        <v>24</v>
      </c>
      <c r="K1105" s="3" t="s">
        <v>25</v>
      </c>
      <c r="L1105" s="4">
        <v>0</v>
      </c>
      <c r="M1105" s="3" t="s">
        <v>26</v>
      </c>
      <c r="N1105" s="3" t="s">
        <v>24</v>
      </c>
      <c r="O1105" s="4">
        <v>1</v>
      </c>
      <c r="P1105" s="4">
        <v>4</v>
      </c>
      <c r="Q1105" s="4">
        <v>1</v>
      </c>
    </row>
    <row r="1106" spans="1:17" x14ac:dyDescent="0.25">
      <c r="A1106" s="3" t="s">
        <v>18</v>
      </c>
      <c r="B1106" s="3">
        <v>12467963</v>
      </c>
      <c r="C1106" s="3" t="s">
        <v>1148</v>
      </c>
      <c r="D1106" s="3" t="s">
        <v>20</v>
      </c>
      <c r="E1106" s="3" t="s">
        <v>21</v>
      </c>
      <c r="F1106" s="3" t="s">
        <v>21</v>
      </c>
      <c r="G1106" s="3" t="s">
        <v>36</v>
      </c>
      <c r="H1106" s="3" t="s">
        <v>37</v>
      </c>
      <c r="I1106" s="3" t="s">
        <v>24</v>
      </c>
      <c r="J1106" s="3" t="s">
        <v>24</v>
      </c>
      <c r="K1106" s="3" t="s">
        <v>25</v>
      </c>
      <c r="L1106" s="4">
        <v>0</v>
      </c>
      <c r="M1106" s="3" t="s">
        <v>26</v>
      </c>
      <c r="N1106" s="3" t="s">
        <v>24</v>
      </c>
      <c r="O1106" s="4">
        <v>1</v>
      </c>
      <c r="P1106" s="4">
        <v>10</v>
      </c>
      <c r="Q1106" s="4">
        <v>1</v>
      </c>
    </row>
    <row r="1107" spans="1:17" x14ac:dyDescent="0.25">
      <c r="A1107" s="3" t="s">
        <v>18</v>
      </c>
      <c r="B1107" s="3">
        <v>12502107</v>
      </c>
      <c r="C1107" s="3" t="s">
        <v>1149</v>
      </c>
      <c r="D1107" s="3" t="s">
        <v>20</v>
      </c>
      <c r="E1107" s="3" t="s">
        <v>21</v>
      </c>
      <c r="F1107" s="3" t="s">
        <v>21</v>
      </c>
      <c r="G1107" s="3" t="s">
        <v>22</v>
      </c>
      <c r="H1107" s="3" t="s">
        <v>23</v>
      </c>
      <c r="I1107" s="3" t="s">
        <v>24</v>
      </c>
      <c r="J1107" s="3" t="s">
        <v>24</v>
      </c>
      <c r="K1107" s="3" t="s">
        <v>25</v>
      </c>
      <c r="L1107" s="4">
        <v>0</v>
      </c>
      <c r="M1107" s="3" t="s">
        <v>26</v>
      </c>
      <c r="N1107" s="3" t="s">
        <v>24</v>
      </c>
      <c r="O1107" s="4">
        <v>1</v>
      </c>
      <c r="P1107" s="4">
        <v>4</v>
      </c>
      <c r="Q1107" s="4">
        <v>1</v>
      </c>
    </row>
    <row r="1108" spans="1:17" x14ac:dyDescent="0.25">
      <c r="A1108" s="3" t="s">
        <v>18</v>
      </c>
      <c r="B1108" s="3">
        <v>12511858</v>
      </c>
      <c r="C1108" s="3" t="s">
        <v>1150</v>
      </c>
      <c r="D1108" s="3" t="s">
        <v>20</v>
      </c>
      <c r="E1108" s="3" t="s">
        <v>21</v>
      </c>
      <c r="F1108" s="3" t="s">
        <v>21</v>
      </c>
      <c r="G1108" s="3" t="s">
        <v>30</v>
      </c>
      <c r="H1108" s="3" t="s">
        <v>31</v>
      </c>
      <c r="I1108" s="3" t="s">
        <v>24</v>
      </c>
      <c r="J1108" s="3" t="s">
        <v>24</v>
      </c>
      <c r="K1108" s="3" t="s">
        <v>25</v>
      </c>
      <c r="L1108" s="4">
        <v>0</v>
      </c>
      <c r="M1108" s="3" t="s">
        <v>26</v>
      </c>
      <c r="N1108" s="3" t="s">
        <v>24</v>
      </c>
      <c r="O1108" s="4">
        <v>1</v>
      </c>
      <c r="P1108" s="4">
        <v>9</v>
      </c>
      <c r="Q1108" s="4">
        <v>1</v>
      </c>
    </row>
    <row r="1109" spans="1:17" x14ac:dyDescent="0.25">
      <c r="A1109" s="3" t="s">
        <v>18</v>
      </c>
      <c r="B1109" s="3">
        <v>12511860</v>
      </c>
      <c r="C1109" s="3" t="s">
        <v>1151</v>
      </c>
      <c r="D1109" s="3" t="s">
        <v>20</v>
      </c>
      <c r="E1109" s="3" t="s">
        <v>21</v>
      </c>
      <c r="F1109" s="3" t="s">
        <v>21</v>
      </c>
      <c r="G1109" s="3" t="s">
        <v>30</v>
      </c>
      <c r="H1109" s="3" t="s">
        <v>31</v>
      </c>
      <c r="I1109" s="3" t="s">
        <v>24</v>
      </c>
      <c r="J1109" s="3" t="s">
        <v>24</v>
      </c>
      <c r="K1109" s="3" t="s">
        <v>25</v>
      </c>
      <c r="L1109" s="4">
        <v>0</v>
      </c>
      <c r="M1109" s="3" t="s">
        <v>26</v>
      </c>
      <c r="N1109" s="3" t="s">
        <v>24</v>
      </c>
      <c r="O1109" s="4">
        <v>1</v>
      </c>
      <c r="P1109" s="4">
        <v>8</v>
      </c>
      <c r="Q1109" s="4">
        <v>1</v>
      </c>
    </row>
    <row r="1110" spans="1:17" x14ac:dyDescent="0.25">
      <c r="A1110" s="3" t="s">
        <v>18</v>
      </c>
      <c r="B1110" s="3">
        <v>12511862</v>
      </c>
      <c r="C1110" s="3" t="s">
        <v>1152</v>
      </c>
      <c r="D1110" s="3" t="s">
        <v>20</v>
      </c>
      <c r="E1110" s="3" t="s">
        <v>21</v>
      </c>
      <c r="F1110" s="3" t="s">
        <v>21</v>
      </c>
      <c r="G1110" s="3" t="s">
        <v>30</v>
      </c>
      <c r="H1110" s="3" t="s">
        <v>31</v>
      </c>
      <c r="I1110" s="3" t="s">
        <v>24</v>
      </c>
      <c r="J1110" s="3" t="s">
        <v>24</v>
      </c>
      <c r="K1110" s="3" t="s">
        <v>25</v>
      </c>
      <c r="L1110" s="4">
        <v>0</v>
      </c>
      <c r="M1110" s="3" t="s">
        <v>26</v>
      </c>
      <c r="N1110" s="3" t="s">
        <v>24</v>
      </c>
      <c r="O1110" s="4">
        <v>1</v>
      </c>
      <c r="P1110" s="4">
        <v>8</v>
      </c>
      <c r="Q1110" s="4">
        <v>1</v>
      </c>
    </row>
    <row r="1111" spans="1:17" x14ac:dyDescent="0.25">
      <c r="A1111" s="3" t="s">
        <v>18</v>
      </c>
      <c r="B1111" s="3">
        <v>12511863</v>
      </c>
      <c r="C1111" s="3" t="s">
        <v>1153</v>
      </c>
      <c r="D1111" s="3" t="s">
        <v>20</v>
      </c>
      <c r="E1111" s="3" t="s">
        <v>21</v>
      </c>
      <c r="F1111" s="3" t="s">
        <v>21</v>
      </c>
      <c r="G1111" s="3" t="s">
        <v>22</v>
      </c>
      <c r="H1111" s="3" t="s">
        <v>23</v>
      </c>
      <c r="I1111" s="3" t="s">
        <v>24</v>
      </c>
      <c r="J1111" s="3" t="s">
        <v>24</v>
      </c>
      <c r="K1111" s="3" t="s">
        <v>25</v>
      </c>
      <c r="L1111" s="4">
        <v>0</v>
      </c>
      <c r="M1111" s="3" t="s">
        <v>26</v>
      </c>
      <c r="N1111" s="3" t="s">
        <v>24</v>
      </c>
      <c r="O1111" s="4">
        <v>1</v>
      </c>
      <c r="P1111" s="4">
        <v>4</v>
      </c>
      <c r="Q1111" s="4">
        <v>1</v>
      </c>
    </row>
    <row r="1112" spans="1:17" x14ac:dyDescent="0.25">
      <c r="A1112" s="3" t="s">
        <v>18</v>
      </c>
      <c r="B1112" s="3">
        <v>12511864</v>
      </c>
      <c r="C1112" s="3" t="s">
        <v>1154</v>
      </c>
      <c r="D1112" s="3" t="s">
        <v>20</v>
      </c>
      <c r="E1112" s="3" t="s">
        <v>21</v>
      </c>
      <c r="F1112" s="3" t="s">
        <v>21</v>
      </c>
      <c r="G1112" s="3" t="s">
        <v>36</v>
      </c>
      <c r="H1112" s="3" t="s">
        <v>37</v>
      </c>
      <c r="I1112" s="3" t="s">
        <v>24</v>
      </c>
      <c r="J1112" s="3" t="s">
        <v>24</v>
      </c>
      <c r="K1112" s="3" t="s">
        <v>25</v>
      </c>
      <c r="L1112" s="4">
        <v>0</v>
      </c>
      <c r="M1112" s="3" t="s">
        <v>26</v>
      </c>
      <c r="N1112" s="3" t="s">
        <v>24</v>
      </c>
      <c r="O1112" s="4">
        <v>1</v>
      </c>
      <c r="P1112" s="4">
        <v>10</v>
      </c>
      <c r="Q1112" s="4">
        <v>1</v>
      </c>
    </row>
    <row r="1113" spans="1:17" x14ac:dyDescent="0.25">
      <c r="A1113" s="3" t="s">
        <v>18</v>
      </c>
      <c r="B1113" s="3">
        <v>12514721</v>
      </c>
      <c r="C1113" s="3" t="s">
        <v>1155</v>
      </c>
      <c r="D1113" s="3" t="s">
        <v>20</v>
      </c>
      <c r="E1113" s="3" t="s">
        <v>21</v>
      </c>
      <c r="F1113" s="3" t="s">
        <v>21</v>
      </c>
      <c r="G1113" s="3" t="s">
        <v>30</v>
      </c>
      <c r="H1113" s="3" t="s">
        <v>31</v>
      </c>
      <c r="I1113" s="3" t="s">
        <v>24</v>
      </c>
      <c r="J1113" s="3" t="s">
        <v>24</v>
      </c>
      <c r="K1113" s="3" t="s">
        <v>25</v>
      </c>
      <c r="L1113" s="4">
        <v>0</v>
      </c>
      <c r="M1113" s="3" t="s">
        <v>26</v>
      </c>
      <c r="N1113" s="3" t="s">
        <v>24</v>
      </c>
      <c r="O1113" s="4">
        <v>1</v>
      </c>
      <c r="P1113" s="4">
        <v>9</v>
      </c>
      <c r="Q1113" s="4">
        <v>1</v>
      </c>
    </row>
    <row r="1114" spans="1:17" x14ac:dyDescent="0.25">
      <c r="A1114" s="3" t="s">
        <v>18</v>
      </c>
      <c r="B1114" s="3">
        <v>12529352</v>
      </c>
      <c r="C1114" s="3" t="s">
        <v>1156</v>
      </c>
      <c r="D1114" s="3" t="s">
        <v>20</v>
      </c>
      <c r="E1114" s="3" t="s">
        <v>21</v>
      </c>
      <c r="F1114" s="3" t="s">
        <v>21</v>
      </c>
      <c r="G1114" s="3" t="s">
        <v>42</v>
      </c>
      <c r="H1114" s="3" t="s">
        <v>43</v>
      </c>
      <c r="I1114" s="3" t="s">
        <v>24</v>
      </c>
      <c r="J1114" s="3" t="s">
        <v>24</v>
      </c>
      <c r="K1114" s="3" t="s">
        <v>25</v>
      </c>
      <c r="L1114" s="4">
        <v>0</v>
      </c>
      <c r="M1114" s="3" t="s">
        <v>26</v>
      </c>
      <c r="N1114" s="3" t="s">
        <v>24</v>
      </c>
      <c r="O1114" s="4">
        <v>1</v>
      </c>
      <c r="P1114" s="4">
        <v>8</v>
      </c>
      <c r="Q1114" s="4">
        <v>1</v>
      </c>
    </row>
    <row r="1115" spans="1:17" x14ac:dyDescent="0.25">
      <c r="A1115" s="3" t="s">
        <v>18</v>
      </c>
      <c r="B1115" s="3">
        <v>12547422</v>
      </c>
      <c r="C1115" s="3" t="s">
        <v>1157</v>
      </c>
      <c r="D1115" s="3" t="s">
        <v>20</v>
      </c>
      <c r="E1115" s="3" t="s">
        <v>21</v>
      </c>
      <c r="F1115" s="3" t="s">
        <v>21</v>
      </c>
      <c r="G1115" s="3" t="s">
        <v>233</v>
      </c>
      <c r="H1115" s="3" t="s">
        <v>234</v>
      </c>
      <c r="I1115" s="3" t="s">
        <v>24</v>
      </c>
      <c r="J1115" s="3" t="s">
        <v>24</v>
      </c>
      <c r="K1115" s="3" t="s">
        <v>25</v>
      </c>
      <c r="L1115" s="4">
        <v>0</v>
      </c>
      <c r="M1115" s="3" t="s">
        <v>26</v>
      </c>
      <c r="N1115" s="3" t="s">
        <v>24</v>
      </c>
      <c r="O1115" s="4">
        <v>1</v>
      </c>
      <c r="P1115" s="4">
        <v>2</v>
      </c>
      <c r="Q1115" s="4">
        <v>1</v>
      </c>
    </row>
    <row r="1116" spans="1:17" x14ac:dyDescent="0.25">
      <c r="A1116" s="3" t="s">
        <v>18</v>
      </c>
      <c r="B1116" s="3">
        <v>12551189</v>
      </c>
      <c r="C1116" s="3" t="s">
        <v>1158</v>
      </c>
      <c r="D1116" s="3" t="s">
        <v>20</v>
      </c>
      <c r="E1116" s="3" t="s">
        <v>21</v>
      </c>
      <c r="F1116" s="3" t="s">
        <v>21</v>
      </c>
      <c r="G1116" s="3" t="s">
        <v>487</v>
      </c>
      <c r="H1116" s="3" t="s">
        <v>488</v>
      </c>
      <c r="I1116" s="3" t="s">
        <v>24</v>
      </c>
      <c r="J1116" s="3" t="s">
        <v>24</v>
      </c>
      <c r="K1116" s="3" t="s">
        <v>25</v>
      </c>
      <c r="L1116" s="4">
        <v>0</v>
      </c>
      <c r="M1116" s="3" t="s">
        <v>26</v>
      </c>
      <c r="N1116" s="3" t="s">
        <v>24</v>
      </c>
      <c r="O1116" s="4">
        <v>1</v>
      </c>
      <c r="P1116" s="4">
        <v>2</v>
      </c>
      <c r="Q1116" s="4">
        <v>1</v>
      </c>
    </row>
    <row r="1117" spans="1:17" x14ac:dyDescent="0.25">
      <c r="A1117" s="3" t="s">
        <v>18</v>
      </c>
      <c r="B1117" s="3">
        <v>12551190</v>
      </c>
      <c r="C1117" s="3" t="s">
        <v>1159</v>
      </c>
      <c r="D1117" s="3" t="s">
        <v>20</v>
      </c>
      <c r="E1117" s="3" t="s">
        <v>21</v>
      </c>
      <c r="F1117" s="3" t="s">
        <v>21</v>
      </c>
      <c r="G1117" s="3" t="s">
        <v>487</v>
      </c>
      <c r="H1117" s="3" t="s">
        <v>488</v>
      </c>
      <c r="I1117" s="3" t="s">
        <v>24</v>
      </c>
      <c r="J1117" s="3" t="s">
        <v>24</v>
      </c>
      <c r="K1117" s="3" t="s">
        <v>25</v>
      </c>
      <c r="L1117" s="4">
        <v>0</v>
      </c>
      <c r="M1117" s="3" t="s">
        <v>26</v>
      </c>
      <c r="N1117" s="3" t="s">
        <v>24</v>
      </c>
      <c r="O1117" s="4">
        <v>1</v>
      </c>
      <c r="P1117" s="4">
        <v>2</v>
      </c>
      <c r="Q1117" s="4">
        <v>1</v>
      </c>
    </row>
    <row r="1118" spans="1:17" x14ac:dyDescent="0.25">
      <c r="A1118" s="3" t="s">
        <v>18</v>
      </c>
      <c r="B1118" s="3">
        <v>12551191</v>
      </c>
      <c r="C1118" s="3" t="s">
        <v>1160</v>
      </c>
      <c r="D1118" s="3" t="s">
        <v>20</v>
      </c>
      <c r="E1118" s="3" t="s">
        <v>21</v>
      </c>
      <c r="F1118" s="3" t="s">
        <v>21</v>
      </c>
      <c r="G1118" s="3" t="s">
        <v>487</v>
      </c>
      <c r="H1118" s="3" t="s">
        <v>488</v>
      </c>
      <c r="I1118" s="3" t="s">
        <v>24</v>
      </c>
      <c r="J1118" s="3" t="s">
        <v>24</v>
      </c>
      <c r="K1118" s="3" t="s">
        <v>25</v>
      </c>
      <c r="L1118" s="4">
        <v>0</v>
      </c>
      <c r="M1118" s="3" t="s">
        <v>26</v>
      </c>
      <c r="N1118" s="3" t="s">
        <v>24</v>
      </c>
      <c r="O1118" s="4">
        <v>1</v>
      </c>
      <c r="P1118" s="4">
        <v>2</v>
      </c>
      <c r="Q1118" s="4">
        <v>1</v>
      </c>
    </row>
    <row r="1119" spans="1:17" x14ac:dyDescent="0.25">
      <c r="A1119" s="3" t="s">
        <v>18</v>
      </c>
      <c r="B1119" s="3">
        <v>12575636</v>
      </c>
      <c r="C1119" s="3" t="s">
        <v>1161</v>
      </c>
      <c r="D1119" s="3" t="s">
        <v>20</v>
      </c>
      <c r="E1119" s="3" t="s">
        <v>21</v>
      </c>
      <c r="F1119" s="3" t="s">
        <v>21</v>
      </c>
      <c r="G1119" s="3" t="s">
        <v>487</v>
      </c>
      <c r="H1119" s="3" t="s">
        <v>488</v>
      </c>
      <c r="I1119" s="3" t="s">
        <v>24</v>
      </c>
      <c r="J1119" s="3" t="s">
        <v>24</v>
      </c>
      <c r="K1119" s="3" t="s">
        <v>25</v>
      </c>
      <c r="L1119" s="4">
        <v>0</v>
      </c>
      <c r="M1119" s="3" t="s">
        <v>26</v>
      </c>
      <c r="N1119" s="3" t="s">
        <v>24</v>
      </c>
      <c r="O1119" s="4">
        <v>1</v>
      </c>
      <c r="P1119" s="4">
        <v>2</v>
      </c>
      <c r="Q1119" s="4">
        <v>1</v>
      </c>
    </row>
    <row r="1120" spans="1:17" x14ac:dyDescent="0.25">
      <c r="A1120" s="3" t="s">
        <v>18</v>
      </c>
      <c r="B1120" s="3">
        <v>12579132</v>
      </c>
      <c r="C1120" s="3" t="s">
        <v>1162</v>
      </c>
      <c r="D1120" s="3" t="s">
        <v>20</v>
      </c>
      <c r="E1120" s="3" t="s">
        <v>21</v>
      </c>
      <c r="F1120" s="3" t="s">
        <v>21</v>
      </c>
      <c r="G1120" s="3" t="s">
        <v>410</v>
      </c>
      <c r="H1120" s="3" t="s">
        <v>411</v>
      </c>
      <c r="I1120" s="3" t="s">
        <v>24</v>
      </c>
      <c r="J1120" s="3" t="s">
        <v>24</v>
      </c>
      <c r="K1120" s="3" t="s">
        <v>25</v>
      </c>
      <c r="L1120" s="4">
        <v>0</v>
      </c>
      <c r="M1120" s="3" t="s">
        <v>26</v>
      </c>
      <c r="N1120" s="3" t="s">
        <v>24</v>
      </c>
      <c r="O1120" s="4">
        <v>2</v>
      </c>
      <c r="P1120" s="4">
        <v>4</v>
      </c>
      <c r="Q1120" s="4">
        <v>1</v>
      </c>
    </row>
    <row r="1121" spans="1:17" x14ac:dyDescent="0.25">
      <c r="A1121" s="3" t="s">
        <v>18</v>
      </c>
      <c r="B1121" s="3">
        <v>12579133</v>
      </c>
      <c r="C1121" s="3" t="s">
        <v>1163</v>
      </c>
      <c r="D1121" s="3" t="s">
        <v>20</v>
      </c>
      <c r="E1121" s="3" t="s">
        <v>21</v>
      </c>
      <c r="F1121" s="3" t="s">
        <v>21</v>
      </c>
      <c r="G1121" s="3" t="s">
        <v>410</v>
      </c>
      <c r="H1121" s="3" t="s">
        <v>411</v>
      </c>
      <c r="I1121" s="3" t="s">
        <v>24</v>
      </c>
      <c r="J1121" s="3" t="s">
        <v>24</v>
      </c>
      <c r="K1121" s="3" t="s">
        <v>25</v>
      </c>
      <c r="L1121" s="4">
        <v>0</v>
      </c>
      <c r="M1121" s="3" t="s">
        <v>26</v>
      </c>
      <c r="N1121" s="3" t="s">
        <v>24</v>
      </c>
      <c r="O1121" s="4">
        <v>2</v>
      </c>
      <c r="P1121" s="4">
        <v>4</v>
      </c>
      <c r="Q1121" s="4">
        <v>1</v>
      </c>
    </row>
    <row r="1122" spans="1:17" x14ac:dyDescent="0.25">
      <c r="A1122" s="3" t="s">
        <v>18</v>
      </c>
      <c r="B1122" s="3">
        <v>12579134</v>
      </c>
      <c r="C1122" s="3" t="s">
        <v>1164</v>
      </c>
      <c r="D1122" s="3" t="s">
        <v>20</v>
      </c>
      <c r="E1122" s="3" t="s">
        <v>21</v>
      </c>
      <c r="F1122" s="3" t="s">
        <v>21</v>
      </c>
      <c r="G1122" s="3" t="s">
        <v>410</v>
      </c>
      <c r="H1122" s="3" t="s">
        <v>411</v>
      </c>
      <c r="I1122" s="3" t="s">
        <v>24</v>
      </c>
      <c r="J1122" s="3" t="s">
        <v>24</v>
      </c>
      <c r="K1122" s="3" t="s">
        <v>25</v>
      </c>
      <c r="L1122" s="4">
        <v>0</v>
      </c>
      <c r="M1122" s="3" t="s">
        <v>26</v>
      </c>
      <c r="N1122" s="3" t="s">
        <v>24</v>
      </c>
      <c r="O1122" s="4">
        <v>2</v>
      </c>
      <c r="P1122" s="4">
        <v>4</v>
      </c>
      <c r="Q1122" s="4">
        <v>1</v>
      </c>
    </row>
    <row r="1123" spans="1:17" x14ac:dyDescent="0.25">
      <c r="A1123" s="3" t="s">
        <v>18</v>
      </c>
      <c r="B1123" s="3">
        <v>12579136</v>
      </c>
      <c r="C1123" s="3" t="s">
        <v>1165</v>
      </c>
      <c r="D1123" s="3" t="s">
        <v>20</v>
      </c>
      <c r="E1123" s="3" t="s">
        <v>21</v>
      </c>
      <c r="F1123" s="3" t="s">
        <v>21</v>
      </c>
      <c r="G1123" s="3" t="s">
        <v>410</v>
      </c>
      <c r="H1123" s="3" t="s">
        <v>411</v>
      </c>
      <c r="I1123" s="3" t="s">
        <v>24</v>
      </c>
      <c r="J1123" s="3" t="s">
        <v>24</v>
      </c>
      <c r="K1123" s="3" t="s">
        <v>25</v>
      </c>
      <c r="L1123" s="4">
        <v>0</v>
      </c>
      <c r="M1123" s="3" t="s">
        <v>26</v>
      </c>
      <c r="N1123" s="3" t="s">
        <v>24</v>
      </c>
      <c r="O1123" s="4">
        <v>1</v>
      </c>
      <c r="P1123" s="4">
        <v>3</v>
      </c>
      <c r="Q1123" s="4">
        <v>1</v>
      </c>
    </row>
    <row r="1124" spans="1:17" x14ac:dyDescent="0.25">
      <c r="A1124" s="3" t="s">
        <v>18</v>
      </c>
      <c r="B1124" s="3">
        <v>12579150</v>
      </c>
      <c r="C1124" s="3" t="s">
        <v>1166</v>
      </c>
      <c r="D1124" s="3" t="s">
        <v>20</v>
      </c>
      <c r="E1124" s="3" t="s">
        <v>21</v>
      </c>
      <c r="F1124" s="3" t="s">
        <v>21</v>
      </c>
      <c r="G1124" s="3" t="s">
        <v>410</v>
      </c>
      <c r="H1124" s="3" t="s">
        <v>411</v>
      </c>
      <c r="I1124" s="3" t="s">
        <v>24</v>
      </c>
      <c r="J1124" s="3" t="s">
        <v>24</v>
      </c>
      <c r="K1124" s="3" t="s">
        <v>25</v>
      </c>
      <c r="L1124" s="4">
        <v>0</v>
      </c>
      <c r="M1124" s="3" t="s">
        <v>26</v>
      </c>
      <c r="N1124" s="3" t="s">
        <v>24</v>
      </c>
      <c r="O1124" s="4">
        <v>1</v>
      </c>
      <c r="P1124" s="4">
        <v>2</v>
      </c>
      <c r="Q1124" s="4">
        <v>1</v>
      </c>
    </row>
    <row r="1125" spans="1:17" x14ac:dyDescent="0.25">
      <c r="A1125" s="3" t="s">
        <v>18</v>
      </c>
      <c r="B1125" s="3">
        <v>12579151</v>
      </c>
      <c r="C1125" s="3" t="s">
        <v>1167</v>
      </c>
      <c r="D1125" s="3" t="s">
        <v>20</v>
      </c>
      <c r="E1125" s="3" t="s">
        <v>21</v>
      </c>
      <c r="F1125" s="3" t="s">
        <v>21</v>
      </c>
      <c r="G1125" s="3" t="s">
        <v>410</v>
      </c>
      <c r="H1125" s="3" t="s">
        <v>411</v>
      </c>
      <c r="I1125" s="3" t="s">
        <v>24</v>
      </c>
      <c r="J1125" s="3" t="s">
        <v>24</v>
      </c>
      <c r="K1125" s="3" t="s">
        <v>25</v>
      </c>
      <c r="L1125" s="4">
        <v>0</v>
      </c>
      <c r="M1125" s="3" t="s">
        <v>26</v>
      </c>
      <c r="N1125" s="3" t="s">
        <v>24</v>
      </c>
      <c r="O1125" s="4">
        <v>1</v>
      </c>
      <c r="P1125" s="4">
        <v>3</v>
      </c>
      <c r="Q1125" s="4">
        <v>1</v>
      </c>
    </row>
    <row r="1126" spans="1:17" x14ac:dyDescent="0.25">
      <c r="A1126" s="3" t="s">
        <v>18</v>
      </c>
      <c r="B1126" s="3">
        <v>12579152</v>
      </c>
      <c r="C1126" s="3" t="s">
        <v>1168</v>
      </c>
      <c r="D1126" s="3" t="s">
        <v>20</v>
      </c>
      <c r="E1126" s="3" t="s">
        <v>21</v>
      </c>
      <c r="F1126" s="3" t="s">
        <v>21</v>
      </c>
      <c r="G1126" s="3" t="s">
        <v>410</v>
      </c>
      <c r="H1126" s="3" t="s">
        <v>411</v>
      </c>
      <c r="I1126" s="3" t="s">
        <v>24</v>
      </c>
      <c r="J1126" s="3" t="s">
        <v>24</v>
      </c>
      <c r="K1126" s="3" t="s">
        <v>25</v>
      </c>
      <c r="L1126" s="4">
        <v>0</v>
      </c>
      <c r="M1126" s="3" t="s">
        <v>26</v>
      </c>
      <c r="N1126" s="3" t="s">
        <v>24</v>
      </c>
      <c r="O1126" s="4">
        <v>2</v>
      </c>
      <c r="P1126" s="4">
        <v>4</v>
      </c>
      <c r="Q1126" s="4">
        <v>1</v>
      </c>
    </row>
    <row r="1127" spans="1:17" x14ac:dyDescent="0.25">
      <c r="A1127" s="3" t="s">
        <v>18</v>
      </c>
      <c r="B1127" s="3">
        <v>12579153</v>
      </c>
      <c r="C1127" s="3" t="s">
        <v>1169</v>
      </c>
      <c r="D1127" s="3" t="s">
        <v>20</v>
      </c>
      <c r="E1127" s="3" t="s">
        <v>21</v>
      </c>
      <c r="F1127" s="3" t="s">
        <v>21</v>
      </c>
      <c r="G1127" s="3" t="s">
        <v>410</v>
      </c>
      <c r="H1127" s="3" t="s">
        <v>411</v>
      </c>
      <c r="I1127" s="3" t="s">
        <v>24</v>
      </c>
      <c r="J1127" s="3" t="s">
        <v>24</v>
      </c>
      <c r="K1127" s="3" t="s">
        <v>25</v>
      </c>
      <c r="L1127" s="4">
        <v>0</v>
      </c>
      <c r="M1127" s="3" t="s">
        <v>26</v>
      </c>
      <c r="N1127" s="3" t="s">
        <v>24</v>
      </c>
      <c r="O1127" s="4">
        <v>2</v>
      </c>
      <c r="P1127" s="4">
        <v>4</v>
      </c>
      <c r="Q1127" s="4">
        <v>1</v>
      </c>
    </row>
    <row r="1128" spans="1:17" x14ac:dyDescent="0.25">
      <c r="A1128" s="3" t="s">
        <v>18</v>
      </c>
      <c r="B1128" s="3">
        <v>12579154</v>
      </c>
      <c r="C1128" s="3" t="s">
        <v>1170</v>
      </c>
      <c r="D1128" s="3" t="s">
        <v>20</v>
      </c>
      <c r="E1128" s="3" t="s">
        <v>21</v>
      </c>
      <c r="F1128" s="3" t="s">
        <v>21</v>
      </c>
      <c r="G1128" s="3" t="s">
        <v>410</v>
      </c>
      <c r="H1128" s="3" t="s">
        <v>411</v>
      </c>
      <c r="I1128" s="3" t="s">
        <v>24</v>
      </c>
      <c r="J1128" s="3" t="s">
        <v>24</v>
      </c>
      <c r="K1128" s="3" t="s">
        <v>25</v>
      </c>
      <c r="L1128" s="4">
        <v>0</v>
      </c>
      <c r="M1128" s="3" t="s">
        <v>26</v>
      </c>
      <c r="N1128" s="3" t="s">
        <v>24</v>
      </c>
      <c r="O1128" s="4">
        <v>2</v>
      </c>
      <c r="P1128" s="4">
        <v>4</v>
      </c>
      <c r="Q1128" s="4">
        <v>1</v>
      </c>
    </row>
    <row r="1129" spans="1:17" x14ac:dyDescent="0.25">
      <c r="A1129" s="3" t="s">
        <v>18</v>
      </c>
      <c r="B1129" s="3">
        <v>12579155</v>
      </c>
      <c r="C1129" s="3" t="s">
        <v>1171</v>
      </c>
      <c r="D1129" s="3" t="s">
        <v>20</v>
      </c>
      <c r="E1129" s="3" t="s">
        <v>21</v>
      </c>
      <c r="F1129" s="3" t="s">
        <v>21</v>
      </c>
      <c r="G1129" s="3" t="s">
        <v>410</v>
      </c>
      <c r="H1129" s="3" t="s">
        <v>411</v>
      </c>
      <c r="I1129" s="3" t="s">
        <v>24</v>
      </c>
      <c r="J1129" s="3" t="s">
        <v>24</v>
      </c>
      <c r="K1129" s="3" t="s">
        <v>25</v>
      </c>
      <c r="L1129" s="4">
        <v>0</v>
      </c>
      <c r="M1129" s="3" t="s">
        <v>26</v>
      </c>
      <c r="N1129" s="3" t="s">
        <v>24</v>
      </c>
      <c r="O1129" s="4">
        <v>1</v>
      </c>
      <c r="P1129" s="4">
        <v>3</v>
      </c>
      <c r="Q1129" s="4">
        <v>1</v>
      </c>
    </row>
    <row r="1130" spans="1:17" x14ac:dyDescent="0.25">
      <c r="A1130" s="3" t="s">
        <v>18</v>
      </c>
      <c r="B1130" s="3">
        <v>12579156</v>
      </c>
      <c r="C1130" s="3" t="s">
        <v>1172</v>
      </c>
      <c r="D1130" s="3" t="s">
        <v>20</v>
      </c>
      <c r="E1130" s="3" t="s">
        <v>21</v>
      </c>
      <c r="F1130" s="3" t="s">
        <v>21</v>
      </c>
      <c r="G1130" s="3" t="s">
        <v>410</v>
      </c>
      <c r="H1130" s="3" t="s">
        <v>411</v>
      </c>
      <c r="I1130" s="3" t="s">
        <v>24</v>
      </c>
      <c r="J1130" s="3" t="s">
        <v>24</v>
      </c>
      <c r="K1130" s="3" t="s">
        <v>25</v>
      </c>
      <c r="L1130" s="4">
        <v>0</v>
      </c>
      <c r="M1130" s="3" t="s">
        <v>26</v>
      </c>
      <c r="N1130" s="3" t="s">
        <v>24</v>
      </c>
      <c r="O1130" s="4">
        <v>1</v>
      </c>
      <c r="P1130" s="4">
        <v>3</v>
      </c>
      <c r="Q1130" s="4">
        <v>1</v>
      </c>
    </row>
    <row r="1131" spans="1:17" x14ac:dyDescent="0.25">
      <c r="A1131" s="3" t="s">
        <v>18</v>
      </c>
      <c r="B1131" s="3">
        <v>12579157</v>
      </c>
      <c r="C1131" s="3" t="s">
        <v>1173</v>
      </c>
      <c r="D1131" s="3" t="s">
        <v>20</v>
      </c>
      <c r="E1131" s="3" t="s">
        <v>21</v>
      </c>
      <c r="F1131" s="3" t="s">
        <v>21</v>
      </c>
      <c r="G1131" s="3" t="s">
        <v>410</v>
      </c>
      <c r="H1131" s="3" t="s">
        <v>411</v>
      </c>
      <c r="I1131" s="3" t="s">
        <v>24</v>
      </c>
      <c r="J1131" s="3" t="s">
        <v>24</v>
      </c>
      <c r="K1131" s="3" t="s">
        <v>25</v>
      </c>
      <c r="L1131" s="4">
        <v>0</v>
      </c>
      <c r="M1131" s="3" t="s">
        <v>26</v>
      </c>
      <c r="N1131" s="3" t="s">
        <v>24</v>
      </c>
      <c r="O1131" s="4">
        <v>1</v>
      </c>
      <c r="P1131" s="4">
        <v>3</v>
      </c>
      <c r="Q1131" s="4">
        <v>1</v>
      </c>
    </row>
    <row r="1132" spans="1:17" x14ac:dyDescent="0.25">
      <c r="A1132" s="3" t="s">
        <v>18</v>
      </c>
      <c r="B1132" s="3">
        <v>12600795</v>
      </c>
      <c r="C1132" s="3" t="s">
        <v>1174</v>
      </c>
      <c r="D1132" s="3" t="s">
        <v>20</v>
      </c>
      <c r="E1132" s="3" t="s">
        <v>21</v>
      </c>
      <c r="F1132" s="3" t="s">
        <v>21</v>
      </c>
      <c r="G1132" s="3" t="s">
        <v>22</v>
      </c>
      <c r="H1132" s="3" t="s">
        <v>23</v>
      </c>
      <c r="I1132" s="3" t="s">
        <v>24</v>
      </c>
      <c r="J1132" s="3" t="s">
        <v>24</v>
      </c>
      <c r="K1132" s="3" t="s">
        <v>25</v>
      </c>
      <c r="L1132" s="4">
        <v>0</v>
      </c>
      <c r="M1132" s="3" t="s">
        <v>26</v>
      </c>
      <c r="N1132" s="3" t="s">
        <v>24</v>
      </c>
      <c r="O1132" s="4">
        <v>1</v>
      </c>
      <c r="P1132" s="4">
        <v>4</v>
      </c>
      <c r="Q1132" s="4">
        <v>1</v>
      </c>
    </row>
    <row r="1133" spans="1:17" x14ac:dyDescent="0.25">
      <c r="A1133" s="3" t="s">
        <v>18</v>
      </c>
      <c r="B1133" s="3">
        <v>12600796</v>
      </c>
      <c r="C1133" s="3" t="s">
        <v>1175</v>
      </c>
      <c r="D1133" s="3" t="s">
        <v>20</v>
      </c>
      <c r="E1133" s="3" t="s">
        <v>21</v>
      </c>
      <c r="F1133" s="3" t="s">
        <v>21</v>
      </c>
      <c r="G1133" s="3" t="s">
        <v>22</v>
      </c>
      <c r="H1133" s="3" t="s">
        <v>23</v>
      </c>
      <c r="I1133" s="3" t="s">
        <v>24</v>
      </c>
      <c r="J1133" s="3" t="s">
        <v>24</v>
      </c>
      <c r="K1133" s="3" t="s">
        <v>25</v>
      </c>
      <c r="L1133" s="4">
        <v>0</v>
      </c>
      <c r="M1133" s="3" t="s">
        <v>26</v>
      </c>
      <c r="N1133" s="3" t="s">
        <v>24</v>
      </c>
      <c r="O1133" s="4">
        <v>1</v>
      </c>
      <c r="P1133" s="4">
        <v>4</v>
      </c>
      <c r="Q1133" s="4">
        <v>1</v>
      </c>
    </row>
    <row r="1134" spans="1:17" x14ac:dyDescent="0.25">
      <c r="A1134" s="3" t="s">
        <v>18</v>
      </c>
      <c r="B1134" s="3">
        <v>12600797</v>
      </c>
      <c r="C1134" s="3" t="s">
        <v>1176</v>
      </c>
      <c r="D1134" s="3" t="s">
        <v>20</v>
      </c>
      <c r="E1134" s="3" t="s">
        <v>21</v>
      </c>
      <c r="F1134" s="3" t="s">
        <v>21</v>
      </c>
      <c r="G1134" s="3" t="s">
        <v>22</v>
      </c>
      <c r="H1134" s="3" t="s">
        <v>23</v>
      </c>
      <c r="I1134" s="3" t="s">
        <v>24</v>
      </c>
      <c r="J1134" s="3" t="s">
        <v>24</v>
      </c>
      <c r="K1134" s="3" t="s">
        <v>25</v>
      </c>
      <c r="L1134" s="4">
        <v>0</v>
      </c>
      <c r="M1134" s="3" t="s">
        <v>26</v>
      </c>
      <c r="N1134" s="3" t="s">
        <v>24</v>
      </c>
      <c r="O1134" s="4">
        <v>1</v>
      </c>
      <c r="P1134" s="4">
        <v>4</v>
      </c>
      <c r="Q1134" s="4">
        <v>1</v>
      </c>
    </row>
    <row r="1135" spans="1:17" x14ac:dyDescent="0.25">
      <c r="A1135" s="3" t="s">
        <v>18</v>
      </c>
      <c r="B1135" s="3">
        <v>12600949</v>
      </c>
      <c r="C1135" s="3" t="s">
        <v>1177</v>
      </c>
      <c r="D1135" s="3" t="s">
        <v>20</v>
      </c>
      <c r="E1135" s="3" t="s">
        <v>21</v>
      </c>
      <c r="F1135" s="3" t="s">
        <v>21</v>
      </c>
      <c r="G1135" s="3" t="s">
        <v>22</v>
      </c>
      <c r="H1135" s="3" t="s">
        <v>23</v>
      </c>
      <c r="I1135" s="3" t="s">
        <v>24</v>
      </c>
      <c r="J1135" s="3" t="s">
        <v>24</v>
      </c>
      <c r="K1135" s="3" t="s">
        <v>25</v>
      </c>
      <c r="L1135" s="4">
        <v>0</v>
      </c>
      <c r="M1135" s="3" t="s">
        <v>26</v>
      </c>
      <c r="N1135" s="3" t="s">
        <v>24</v>
      </c>
      <c r="O1135" s="4">
        <v>1</v>
      </c>
      <c r="P1135" s="4">
        <v>4</v>
      </c>
      <c r="Q1135" s="4">
        <v>1</v>
      </c>
    </row>
    <row r="1136" spans="1:17" x14ac:dyDescent="0.25">
      <c r="A1136" s="3" t="s">
        <v>18</v>
      </c>
      <c r="B1136" s="3">
        <v>12619858</v>
      </c>
      <c r="C1136" s="3" t="s">
        <v>1178</v>
      </c>
      <c r="D1136" s="3" t="s">
        <v>20</v>
      </c>
      <c r="E1136" s="3" t="s">
        <v>21</v>
      </c>
      <c r="F1136" s="3" t="s">
        <v>21</v>
      </c>
      <c r="G1136" s="3" t="s">
        <v>410</v>
      </c>
      <c r="H1136" s="3" t="s">
        <v>411</v>
      </c>
      <c r="I1136" s="3" t="s">
        <v>24</v>
      </c>
      <c r="J1136" s="3" t="s">
        <v>24</v>
      </c>
      <c r="K1136" s="3" t="s">
        <v>25</v>
      </c>
      <c r="L1136" s="4">
        <v>0</v>
      </c>
      <c r="M1136" s="3" t="s">
        <v>26</v>
      </c>
      <c r="N1136" s="3" t="s">
        <v>24</v>
      </c>
      <c r="O1136" s="4">
        <v>2</v>
      </c>
      <c r="P1136" s="4">
        <v>4</v>
      </c>
      <c r="Q1136" s="4">
        <v>1</v>
      </c>
    </row>
    <row r="1137" spans="1:17" x14ac:dyDescent="0.25">
      <c r="A1137" s="3" t="s">
        <v>18</v>
      </c>
      <c r="B1137" s="3">
        <v>12619859</v>
      </c>
      <c r="C1137" s="3" t="s">
        <v>1179</v>
      </c>
      <c r="D1137" s="3" t="s">
        <v>20</v>
      </c>
      <c r="E1137" s="3" t="s">
        <v>21</v>
      </c>
      <c r="F1137" s="3" t="s">
        <v>21</v>
      </c>
      <c r="G1137" s="3" t="s">
        <v>410</v>
      </c>
      <c r="H1137" s="3" t="s">
        <v>411</v>
      </c>
      <c r="I1137" s="3" t="s">
        <v>24</v>
      </c>
      <c r="J1137" s="3" t="s">
        <v>24</v>
      </c>
      <c r="K1137" s="3" t="s">
        <v>25</v>
      </c>
      <c r="L1137" s="4">
        <v>0</v>
      </c>
      <c r="M1137" s="3" t="s">
        <v>26</v>
      </c>
      <c r="N1137" s="3" t="s">
        <v>24</v>
      </c>
      <c r="O1137" s="4">
        <v>2</v>
      </c>
      <c r="P1137" s="4">
        <v>4</v>
      </c>
      <c r="Q1137" s="4">
        <v>1</v>
      </c>
    </row>
    <row r="1138" spans="1:17" x14ac:dyDescent="0.25">
      <c r="A1138" s="3" t="s">
        <v>18</v>
      </c>
      <c r="B1138" s="3">
        <v>12619860</v>
      </c>
      <c r="C1138" s="3" t="s">
        <v>1180</v>
      </c>
      <c r="D1138" s="3" t="s">
        <v>20</v>
      </c>
      <c r="E1138" s="3" t="s">
        <v>21</v>
      </c>
      <c r="F1138" s="3" t="s">
        <v>21</v>
      </c>
      <c r="G1138" s="3" t="s">
        <v>410</v>
      </c>
      <c r="H1138" s="3" t="s">
        <v>411</v>
      </c>
      <c r="I1138" s="3" t="s">
        <v>24</v>
      </c>
      <c r="J1138" s="3" t="s">
        <v>24</v>
      </c>
      <c r="K1138" s="3" t="s">
        <v>25</v>
      </c>
      <c r="L1138" s="4">
        <v>0</v>
      </c>
      <c r="M1138" s="3" t="s">
        <v>26</v>
      </c>
      <c r="N1138" s="3" t="s">
        <v>24</v>
      </c>
      <c r="O1138" s="4">
        <v>2</v>
      </c>
      <c r="P1138" s="4">
        <v>4</v>
      </c>
      <c r="Q1138" s="4">
        <v>1</v>
      </c>
    </row>
    <row r="1139" spans="1:17" x14ac:dyDescent="0.25">
      <c r="A1139" s="3" t="s">
        <v>18</v>
      </c>
      <c r="B1139" s="3">
        <v>12619861</v>
      </c>
      <c r="C1139" s="3" t="s">
        <v>1181</v>
      </c>
      <c r="D1139" s="3" t="s">
        <v>20</v>
      </c>
      <c r="E1139" s="3" t="s">
        <v>21</v>
      </c>
      <c r="F1139" s="3" t="s">
        <v>21</v>
      </c>
      <c r="G1139" s="3" t="s">
        <v>410</v>
      </c>
      <c r="H1139" s="3" t="s">
        <v>411</v>
      </c>
      <c r="I1139" s="3" t="s">
        <v>24</v>
      </c>
      <c r="J1139" s="3" t="s">
        <v>24</v>
      </c>
      <c r="K1139" s="3" t="s">
        <v>25</v>
      </c>
      <c r="L1139" s="4">
        <v>0</v>
      </c>
      <c r="M1139" s="3" t="s">
        <v>26</v>
      </c>
      <c r="N1139" s="3" t="s">
        <v>24</v>
      </c>
      <c r="O1139" s="4">
        <v>2</v>
      </c>
      <c r="P1139" s="4">
        <v>4</v>
      </c>
      <c r="Q1139" s="4">
        <v>1</v>
      </c>
    </row>
    <row r="1140" spans="1:17" x14ac:dyDescent="0.25">
      <c r="A1140" s="3" t="s">
        <v>18</v>
      </c>
      <c r="B1140" s="3">
        <v>12619862</v>
      </c>
      <c r="C1140" s="3" t="s">
        <v>1182</v>
      </c>
      <c r="D1140" s="3" t="s">
        <v>20</v>
      </c>
      <c r="E1140" s="3" t="s">
        <v>21</v>
      </c>
      <c r="F1140" s="3" t="s">
        <v>21</v>
      </c>
      <c r="G1140" s="3" t="s">
        <v>410</v>
      </c>
      <c r="H1140" s="3" t="s">
        <v>411</v>
      </c>
      <c r="I1140" s="3" t="s">
        <v>24</v>
      </c>
      <c r="J1140" s="3" t="s">
        <v>24</v>
      </c>
      <c r="K1140" s="3" t="s">
        <v>25</v>
      </c>
      <c r="L1140" s="4">
        <v>0</v>
      </c>
      <c r="M1140" s="3" t="s">
        <v>26</v>
      </c>
      <c r="N1140" s="3" t="s">
        <v>24</v>
      </c>
      <c r="O1140" s="4">
        <v>2</v>
      </c>
      <c r="P1140" s="4">
        <v>4</v>
      </c>
      <c r="Q1140" s="4">
        <v>1</v>
      </c>
    </row>
    <row r="1141" spans="1:17" x14ac:dyDescent="0.25">
      <c r="A1141" s="3" t="s">
        <v>18</v>
      </c>
      <c r="B1141" s="3">
        <v>12619863</v>
      </c>
      <c r="C1141" s="3" t="s">
        <v>1183</v>
      </c>
      <c r="D1141" s="3" t="s">
        <v>20</v>
      </c>
      <c r="E1141" s="3" t="s">
        <v>21</v>
      </c>
      <c r="F1141" s="3" t="s">
        <v>21</v>
      </c>
      <c r="G1141" s="3" t="s">
        <v>410</v>
      </c>
      <c r="H1141" s="3" t="s">
        <v>411</v>
      </c>
      <c r="I1141" s="3" t="s">
        <v>24</v>
      </c>
      <c r="J1141" s="3" t="s">
        <v>24</v>
      </c>
      <c r="K1141" s="3" t="s">
        <v>25</v>
      </c>
      <c r="L1141" s="4">
        <v>0</v>
      </c>
      <c r="M1141" s="3" t="s">
        <v>26</v>
      </c>
      <c r="N1141" s="3" t="s">
        <v>24</v>
      </c>
      <c r="O1141" s="4">
        <v>2</v>
      </c>
      <c r="P1141" s="4">
        <v>4</v>
      </c>
      <c r="Q1141" s="4">
        <v>1</v>
      </c>
    </row>
    <row r="1142" spans="1:17" x14ac:dyDescent="0.25">
      <c r="A1142" s="3" t="s">
        <v>18</v>
      </c>
      <c r="B1142" s="3">
        <v>12619864</v>
      </c>
      <c r="C1142" s="3" t="s">
        <v>1184</v>
      </c>
      <c r="D1142" s="3" t="s">
        <v>20</v>
      </c>
      <c r="E1142" s="3" t="s">
        <v>21</v>
      </c>
      <c r="F1142" s="3" t="s">
        <v>21</v>
      </c>
      <c r="G1142" s="3" t="s">
        <v>410</v>
      </c>
      <c r="H1142" s="3" t="s">
        <v>411</v>
      </c>
      <c r="I1142" s="3" t="s">
        <v>24</v>
      </c>
      <c r="J1142" s="3" t="s">
        <v>24</v>
      </c>
      <c r="K1142" s="3" t="s">
        <v>25</v>
      </c>
      <c r="L1142" s="4">
        <v>0</v>
      </c>
      <c r="M1142" s="3" t="s">
        <v>26</v>
      </c>
      <c r="N1142" s="3" t="s">
        <v>24</v>
      </c>
      <c r="O1142" s="4">
        <v>1</v>
      </c>
      <c r="P1142" s="4">
        <v>3</v>
      </c>
      <c r="Q1142" s="4">
        <v>1</v>
      </c>
    </row>
    <row r="1143" spans="1:17" x14ac:dyDescent="0.25">
      <c r="A1143" s="3" t="s">
        <v>18</v>
      </c>
      <c r="B1143" s="3">
        <v>12619865</v>
      </c>
      <c r="C1143" s="3" t="s">
        <v>1185</v>
      </c>
      <c r="D1143" s="3" t="s">
        <v>20</v>
      </c>
      <c r="E1143" s="3" t="s">
        <v>21</v>
      </c>
      <c r="F1143" s="3" t="s">
        <v>21</v>
      </c>
      <c r="G1143" s="3" t="s">
        <v>410</v>
      </c>
      <c r="H1143" s="3" t="s">
        <v>411</v>
      </c>
      <c r="I1143" s="3" t="s">
        <v>24</v>
      </c>
      <c r="J1143" s="3" t="s">
        <v>24</v>
      </c>
      <c r="K1143" s="3" t="s">
        <v>25</v>
      </c>
      <c r="L1143" s="4">
        <v>0</v>
      </c>
      <c r="M1143" s="3" t="s">
        <v>26</v>
      </c>
      <c r="N1143" s="3" t="s">
        <v>24</v>
      </c>
      <c r="O1143" s="4">
        <v>1</v>
      </c>
      <c r="P1143" s="4">
        <v>3</v>
      </c>
      <c r="Q1143" s="4">
        <v>1</v>
      </c>
    </row>
    <row r="1144" spans="1:17" x14ac:dyDescent="0.25">
      <c r="A1144" s="3" t="s">
        <v>18</v>
      </c>
      <c r="B1144" s="3">
        <v>12619867</v>
      </c>
      <c r="C1144" s="3" t="s">
        <v>1186</v>
      </c>
      <c r="D1144" s="3" t="s">
        <v>20</v>
      </c>
      <c r="E1144" s="3" t="s">
        <v>21</v>
      </c>
      <c r="F1144" s="3" t="s">
        <v>21</v>
      </c>
      <c r="G1144" s="3" t="s">
        <v>410</v>
      </c>
      <c r="H1144" s="3" t="s">
        <v>411</v>
      </c>
      <c r="I1144" s="3" t="s">
        <v>24</v>
      </c>
      <c r="J1144" s="3" t="s">
        <v>24</v>
      </c>
      <c r="K1144" s="3" t="s">
        <v>25</v>
      </c>
      <c r="L1144" s="4">
        <v>0</v>
      </c>
      <c r="M1144" s="3" t="s">
        <v>26</v>
      </c>
      <c r="N1144" s="3" t="s">
        <v>24</v>
      </c>
      <c r="O1144" s="4">
        <v>1</v>
      </c>
      <c r="P1144" s="4">
        <v>3</v>
      </c>
      <c r="Q1144" s="4">
        <v>1</v>
      </c>
    </row>
    <row r="1145" spans="1:17" x14ac:dyDescent="0.25">
      <c r="A1145" s="3" t="s">
        <v>18</v>
      </c>
      <c r="B1145" s="3">
        <v>12619898</v>
      </c>
      <c r="C1145" s="3" t="s">
        <v>1187</v>
      </c>
      <c r="D1145" s="3" t="s">
        <v>20</v>
      </c>
      <c r="E1145" s="3" t="s">
        <v>21</v>
      </c>
      <c r="F1145" s="3" t="s">
        <v>21</v>
      </c>
      <c r="G1145" s="3" t="s">
        <v>410</v>
      </c>
      <c r="H1145" s="3" t="s">
        <v>411</v>
      </c>
      <c r="I1145" s="3" t="s">
        <v>24</v>
      </c>
      <c r="J1145" s="3" t="s">
        <v>24</v>
      </c>
      <c r="K1145" s="3" t="s">
        <v>25</v>
      </c>
      <c r="L1145" s="4">
        <v>0</v>
      </c>
      <c r="M1145" s="3" t="s">
        <v>26</v>
      </c>
      <c r="N1145" s="3" t="s">
        <v>24</v>
      </c>
      <c r="O1145" s="4">
        <v>1</v>
      </c>
      <c r="P1145" s="4">
        <v>2</v>
      </c>
      <c r="Q1145" s="4">
        <v>1</v>
      </c>
    </row>
    <row r="1146" spans="1:17" x14ac:dyDescent="0.25">
      <c r="A1146" s="3" t="s">
        <v>18</v>
      </c>
      <c r="B1146" s="3">
        <v>12619900</v>
      </c>
      <c r="C1146" s="3" t="s">
        <v>1188</v>
      </c>
      <c r="D1146" s="3" t="s">
        <v>20</v>
      </c>
      <c r="E1146" s="3" t="s">
        <v>21</v>
      </c>
      <c r="F1146" s="3" t="s">
        <v>21</v>
      </c>
      <c r="G1146" s="3" t="s">
        <v>410</v>
      </c>
      <c r="H1146" s="3" t="s">
        <v>411</v>
      </c>
      <c r="I1146" s="3" t="s">
        <v>24</v>
      </c>
      <c r="J1146" s="3" t="s">
        <v>24</v>
      </c>
      <c r="K1146" s="3" t="s">
        <v>25</v>
      </c>
      <c r="L1146" s="4">
        <v>0</v>
      </c>
      <c r="M1146" s="3" t="s">
        <v>26</v>
      </c>
      <c r="N1146" s="3" t="s">
        <v>24</v>
      </c>
      <c r="O1146" s="4">
        <v>1</v>
      </c>
      <c r="P1146" s="4">
        <v>3</v>
      </c>
      <c r="Q1146" s="4">
        <v>1</v>
      </c>
    </row>
    <row r="1147" spans="1:17" x14ac:dyDescent="0.25">
      <c r="A1147" s="3" t="s">
        <v>18</v>
      </c>
      <c r="B1147" s="3">
        <v>12619901</v>
      </c>
      <c r="C1147" s="3" t="s">
        <v>1189</v>
      </c>
      <c r="D1147" s="3" t="s">
        <v>20</v>
      </c>
      <c r="E1147" s="3" t="s">
        <v>21</v>
      </c>
      <c r="F1147" s="3" t="s">
        <v>21</v>
      </c>
      <c r="G1147" s="3" t="s">
        <v>410</v>
      </c>
      <c r="H1147" s="3" t="s">
        <v>411</v>
      </c>
      <c r="I1147" s="3" t="s">
        <v>24</v>
      </c>
      <c r="J1147" s="3" t="s">
        <v>24</v>
      </c>
      <c r="K1147" s="3" t="s">
        <v>25</v>
      </c>
      <c r="L1147" s="4">
        <v>0</v>
      </c>
      <c r="M1147" s="3" t="s">
        <v>26</v>
      </c>
      <c r="N1147" s="3" t="s">
        <v>24</v>
      </c>
      <c r="O1147" s="4">
        <v>1</v>
      </c>
      <c r="P1147" s="4">
        <v>3</v>
      </c>
      <c r="Q1147" s="4">
        <v>1</v>
      </c>
    </row>
    <row r="1148" spans="1:17" x14ac:dyDescent="0.25">
      <c r="A1148" s="3" t="s">
        <v>18</v>
      </c>
      <c r="B1148" s="3">
        <v>12623396</v>
      </c>
      <c r="C1148" s="3" t="s">
        <v>1190</v>
      </c>
      <c r="D1148" s="3" t="s">
        <v>20</v>
      </c>
      <c r="E1148" s="3" t="s">
        <v>21</v>
      </c>
      <c r="F1148" s="3" t="s">
        <v>21</v>
      </c>
      <c r="G1148" s="3" t="s">
        <v>30</v>
      </c>
      <c r="H1148" s="3" t="s">
        <v>31</v>
      </c>
      <c r="I1148" s="3" t="s">
        <v>24</v>
      </c>
      <c r="J1148" s="3" t="s">
        <v>24</v>
      </c>
      <c r="K1148" s="3" t="s">
        <v>25</v>
      </c>
      <c r="L1148" s="4">
        <v>0</v>
      </c>
      <c r="M1148" s="3" t="s">
        <v>26</v>
      </c>
      <c r="N1148" s="3" t="s">
        <v>24</v>
      </c>
      <c r="O1148" s="4">
        <v>1</v>
      </c>
      <c r="P1148" s="4">
        <v>8</v>
      </c>
      <c r="Q1148" s="4">
        <v>1</v>
      </c>
    </row>
    <row r="1149" spans="1:17" x14ac:dyDescent="0.25">
      <c r="A1149" s="3" t="s">
        <v>18</v>
      </c>
      <c r="B1149" s="3">
        <v>12646062</v>
      </c>
      <c r="C1149" s="3" t="s">
        <v>1191</v>
      </c>
      <c r="D1149" s="3" t="s">
        <v>20</v>
      </c>
      <c r="E1149" s="3" t="s">
        <v>21</v>
      </c>
      <c r="F1149" s="3" t="s">
        <v>21</v>
      </c>
      <c r="G1149" s="3" t="s">
        <v>233</v>
      </c>
      <c r="H1149" s="3" t="s">
        <v>234</v>
      </c>
      <c r="I1149" s="3" t="s">
        <v>24</v>
      </c>
      <c r="J1149" s="3" t="s">
        <v>24</v>
      </c>
      <c r="K1149" s="3" t="s">
        <v>25</v>
      </c>
      <c r="L1149" s="4">
        <v>0</v>
      </c>
      <c r="M1149" s="3" t="s">
        <v>26</v>
      </c>
      <c r="N1149" s="3" t="s">
        <v>24</v>
      </c>
      <c r="O1149" s="4">
        <v>1</v>
      </c>
      <c r="P1149" s="4">
        <v>2</v>
      </c>
      <c r="Q1149" s="4">
        <v>1</v>
      </c>
    </row>
    <row r="1150" spans="1:17" x14ac:dyDescent="0.25">
      <c r="A1150" s="3" t="s">
        <v>18</v>
      </c>
      <c r="B1150" s="3">
        <v>12646705</v>
      </c>
      <c r="C1150" s="3" t="s">
        <v>1192</v>
      </c>
      <c r="D1150" s="3" t="s">
        <v>20</v>
      </c>
      <c r="E1150" s="3" t="s">
        <v>21</v>
      </c>
      <c r="F1150" s="3" t="s">
        <v>21</v>
      </c>
      <c r="G1150" s="3" t="s">
        <v>233</v>
      </c>
      <c r="H1150" s="3" t="s">
        <v>234</v>
      </c>
      <c r="I1150" s="3" t="s">
        <v>24</v>
      </c>
      <c r="J1150" s="3" t="s">
        <v>24</v>
      </c>
      <c r="K1150" s="3" t="s">
        <v>25</v>
      </c>
      <c r="L1150" s="4">
        <v>0</v>
      </c>
      <c r="M1150" s="3" t="s">
        <v>26</v>
      </c>
      <c r="N1150" s="3" t="s">
        <v>24</v>
      </c>
      <c r="O1150" s="4">
        <v>1</v>
      </c>
      <c r="P1150" s="4">
        <v>3</v>
      </c>
      <c r="Q1150" s="4">
        <v>1</v>
      </c>
    </row>
    <row r="1151" spans="1:17" x14ac:dyDescent="0.25">
      <c r="A1151" s="3" t="s">
        <v>18</v>
      </c>
      <c r="B1151" s="3">
        <v>12646707</v>
      </c>
      <c r="C1151" s="3" t="s">
        <v>1193</v>
      </c>
      <c r="D1151" s="3" t="s">
        <v>20</v>
      </c>
      <c r="E1151" s="3" t="s">
        <v>21</v>
      </c>
      <c r="F1151" s="3" t="s">
        <v>21</v>
      </c>
      <c r="G1151" s="3" t="s">
        <v>233</v>
      </c>
      <c r="H1151" s="3" t="s">
        <v>234</v>
      </c>
      <c r="I1151" s="3" t="s">
        <v>24</v>
      </c>
      <c r="J1151" s="3" t="s">
        <v>24</v>
      </c>
      <c r="K1151" s="3" t="s">
        <v>25</v>
      </c>
      <c r="L1151" s="4">
        <v>0</v>
      </c>
      <c r="M1151" s="3" t="s">
        <v>26</v>
      </c>
      <c r="N1151" s="3" t="s">
        <v>24</v>
      </c>
      <c r="O1151" s="4">
        <v>1</v>
      </c>
      <c r="P1151" s="4">
        <v>3</v>
      </c>
      <c r="Q1151" s="4">
        <v>1</v>
      </c>
    </row>
    <row r="1152" spans="1:17" x14ac:dyDescent="0.25">
      <c r="A1152" s="3" t="s">
        <v>18</v>
      </c>
      <c r="B1152" s="3">
        <v>12664108</v>
      </c>
      <c r="C1152" s="3" t="s">
        <v>1194</v>
      </c>
      <c r="D1152" s="3" t="s">
        <v>20</v>
      </c>
      <c r="E1152" s="3" t="s">
        <v>21</v>
      </c>
      <c r="F1152" s="3" t="s">
        <v>21</v>
      </c>
      <c r="G1152" s="3" t="s">
        <v>30</v>
      </c>
      <c r="H1152" s="3" t="s">
        <v>31</v>
      </c>
      <c r="I1152" s="3" t="s">
        <v>24</v>
      </c>
      <c r="J1152" s="3" t="s">
        <v>24</v>
      </c>
      <c r="K1152" s="3" t="s">
        <v>25</v>
      </c>
      <c r="L1152" s="4">
        <v>0</v>
      </c>
      <c r="M1152" s="3" t="s">
        <v>26</v>
      </c>
      <c r="N1152" s="3" t="s">
        <v>24</v>
      </c>
      <c r="O1152" s="4">
        <v>1</v>
      </c>
      <c r="P1152" s="4">
        <v>8</v>
      </c>
      <c r="Q1152" s="4">
        <v>1</v>
      </c>
    </row>
    <row r="1153" spans="1:17" x14ac:dyDescent="0.25">
      <c r="A1153" s="3" t="s">
        <v>18</v>
      </c>
      <c r="B1153" s="3">
        <v>12696487</v>
      </c>
      <c r="C1153" s="3" t="s">
        <v>1195</v>
      </c>
      <c r="D1153" s="3" t="s">
        <v>20</v>
      </c>
      <c r="E1153" s="3" t="s">
        <v>21</v>
      </c>
      <c r="F1153" s="3" t="s">
        <v>21</v>
      </c>
      <c r="G1153" s="3" t="s">
        <v>30</v>
      </c>
      <c r="H1153" s="3" t="s">
        <v>31</v>
      </c>
      <c r="I1153" s="3" t="s">
        <v>24</v>
      </c>
      <c r="J1153" s="3" t="s">
        <v>24</v>
      </c>
      <c r="K1153" s="3" t="s">
        <v>25</v>
      </c>
      <c r="L1153" s="4">
        <v>0</v>
      </c>
      <c r="M1153" s="3" t="s">
        <v>26</v>
      </c>
      <c r="N1153" s="3" t="s">
        <v>24</v>
      </c>
      <c r="O1153" s="4">
        <v>1</v>
      </c>
      <c r="P1153" s="4">
        <v>8</v>
      </c>
      <c r="Q1153" s="4">
        <v>1</v>
      </c>
    </row>
    <row r="1154" spans="1:17" x14ac:dyDescent="0.25">
      <c r="A1154" s="3" t="s">
        <v>18</v>
      </c>
      <c r="B1154" s="3">
        <v>12696559</v>
      </c>
      <c r="C1154" s="3" t="s">
        <v>1196</v>
      </c>
      <c r="D1154" s="3" t="s">
        <v>20</v>
      </c>
      <c r="E1154" s="3" t="s">
        <v>21</v>
      </c>
      <c r="F1154" s="3" t="s">
        <v>21</v>
      </c>
      <c r="G1154" s="3" t="s">
        <v>42</v>
      </c>
      <c r="H1154" s="3" t="s">
        <v>43</v>
      </c>
      <c r="I1154" s="3" t="s">
        <v>24</v>
      </c>
      <c r="J1154" s="3" t="s">
        <v>24</v>
      </c>
      <c r="K1154" s="3" t="s">
        <v>25</v>
      </c>
      <c r="L1154" s="4">
        <v>0</v>
      </c>
      <c r="M1154" s="3" t="s">
        <v>26</v>
      </c>
      <c r="N1154" s="3" t="s">
        <v>24</v>
      </c>
      <c r="O1154" s="4">
        <v>1</v>
      </c>
      <c r="P1154" s="4">
        <v>8</v>
      </c>
      <c r="Q1154" s="4">
        <v>1</v>
      </c>
    </row>
    <row r="1155" spans="1:17" x14ac:dyDescent="0.25">
      <c r="A1155" s="3" t="s">
        <v>18</v>
      </c>
      <c r="B1155" s="3">
        <v>12696565</v>
      </c>
      <c r="C1155" s="3" t="s">
        <v>1197</v>
      </c>
      <c r="D1155" s="3" t="s">
        <v>20</v>
      </c>
      <c r="E1155" s="3" t="s">
        <v>21</v>
      </c>
      <c r="F1155" s="3" t="s">
        <v>21</v>
      </c>
      <c r="G1155" s="3" t="s">
        <v>233</v>
      </c>
      <c r="H1155" s="3" t="s">
        <v>234</v>
      </c>
      <c r="I1155" s="3" t="s">
        <v>24</v>
      </c>
      <c r="J1155" s="3" t="s">
        <v>24</v>
      </c>
      <c r="K1155" s="3" t="s">
        <v>25</v>
      </c>
      <c r="L1155" s="4">
        <v>0</v>
      </c>
      <c r="M1155" s="3" t="s">
        <v>26</v>
      </c>
      <c r="N1155" s="3" t="s">
        <v>24</v>
      </c>
      <c r="O1155" s="4">
        <v>1</v>
      </c>
      <c r="P1155" s="4">
        <v>3</v>
      </c>
      <c r="Q1155" s="4">
        <v>1</v>
      </c>
    </row>
    <row r="1156" spans="1:17" x14ac:dyDescent="0.25">
      <c r="A1156" s="3" t="s">
        <v>18</v>
      </c>
      <c r="B1156" s="3">
        <v>12697291</v>
      </c>
      <c r="C1156" s="3" t="s">
        <v>1198</v>
      </c>
      <c r="D1156" s="3" t="s">
        <v>20</v>
      </c>
      <c r="E1156" s="3" t="s">
        <v>21</v>
      </c>
      <c r="F1156" s="3" t="s">
        <v>21</v>
      </c>
      <c r="G1156" s="3" t="s">
        <v>233</v>
      </c>
      <c r="H1156" s="3" t="s">
        <v>234</v>
      </c>
      <c r="I1156" s="3" t="s">
        <v>24</v>
      </c>
      <c r="J1156" s="3" t="s">
        <v>24</v>
      </c>
      <c r="K1156" s="3" t="s">
        <v>25</v>
      </c>
      <c r="L1156" s="4">
        <v>0</v>
      </c>
      <c r="M1156" s="3" t="s">
        <v>26</v>
      </c>
      <c r="N1156" s="3" t="s">
        <v>24</v>
      </c>
      <c r="O1156" s="4">
        <v>1</v>
      </c>
      <c r="P1156" s="4">
        <v>3</v>
      </c>
      <c r="Q1156" s="4">
        <v>1</v>
      </c>
    </row>
    <row r="1157" spans="1:17" x14ac:dyDescent="0.25">
      <c r="A1157" s="3" t="s">
        <v>18</v>
      </c>
      <c r="B1157" s="3">
        <v>12713555</v>
      </c>
      <c r="C1157" s="3" t="s">
        <v>1199</v>
      </c>
      <c r="D1157" s="3" t="s">
        <v>20</v>
      </c>
      <c r="E1157" s="3" t="s">
        <v>21</v>
      </c>
      <c r="F1157" s="3" t="s">
        <v>21</v>
      </c>
      <c r="G1157" s="3" t="s">
        <v>233</v>
      </c>
      <c r="H1157" s="3" t="s">
        <v>234</v>
      </c>
      <c r="I1157" s="3" t="s">
        <v>24</v>
      </c>
      <c r="J1157" s="3" t="s">
        <v>24</v>
      </c>
      <c r="K1157" s="3" t="s">
        <v>25</v>
      </c>
      <c r="L1157" s="4">
        <v>0</v>
      </c>
      <c r="M1157" s="3" t="s">
        <v>26</v>
      </c>
      <c r="N1157" s="3" t="s">
        <v>24</v>
      </c>
      <c r="O1157" s="4">
        <v>1</v>
      </c>
      <c r="P1157" s="4">
        <v>2</v>
      </c>
      <c r="Q1157" s="4">
        <v>1</v>
      </c>
    </row>
    <row r="1158" spans="1:17" x14ac:dyDescent="0.25">
      <c r="A1158" s="3" t="s">
        <v>18</v>
      </c>
      <c r="B1158" s="3">
        <v>12735605</v>
      </c>
      <c r="C1158" s="3" t="s">
        <v>1200</v>
      </c>
      <c r="D1158" s="3" t="s">
        <v>20</v>
      </c>
      <c r="E1158" s="3" t="s">
        <v>21</v>
      </c>
      <c r="F1158" s="3" t="s">
        <v>21</v>
      </c>
      <c r="G1158" s="3" t="s">
        <v>36</v>
      </c>
      <c r="H1158" s="3" t="s">
        <v>37</v>
      </c>
      <c r="I1158" s="3" t="s">
        <v>24</v>
      </c>
      <c r="J1158" s="3" t="s">
        <v>24</v>
      </c>
      <c r="K1158" s="3" t="s">
        <v>25</v>
      </c>
      <c r="L1158" s="4">
        <v>0</v>
      </c>
      <c r="M1158" s="3" t="s">
        <v>26</v>
      </c>
      <c r="N1158" s="3" t="s">
        <v>24</v>
      </c>
      <c r="O1158" s="4">
        <v>1</v>
      </c>
      <c r="P1158" s="4">
        <v>10</v>
      </c>
      <c r="Q1158" s="4">
        <v>1</v>
      </c>
    </row>
    <row r="1159" spans="1:17" x14ac:dyDescent="0.25">
      <c r="A1159" s="3" t="s">
        <v>18</v>
      </c>
      <c r="B1159" s="3">
        <v>12742658</v>
      </c>
      <c r="C1159" s="3" t="s">
        <v>1201</v>
      </c>
      <c r="D1159" s="3" t="s">
        <v>20</v>
      </c>
      <c r="E1159" s="3" t="s">
        <v>21</v>
      </c>
      <c r="F1159" s="3" t="s">
        <v>21</v>
      </c>
      <c r="G1159" s="3" t="s">
        <v>30</v>
      </c>
      <c r="H1159" s="3" t="s">
        <v>31</v>
      </c>
      <c r="I1159" s="3" t="s">
        <v>24</v>
      </c>
      <c r="J1159" s="3" t="s">
        <v>24</v>
      </c>
      <c r="K1159" s="3" t="s">
        <v>25</v>
      </c>
      <c r="L1159" s="4">
        <v>0</v>
      </c>
      <c r="M1159" s="3" t="s">
        <v>26</v>
      </c>
      <c r="N1159" s="3" t="s">
        <v>24</v>
      </c>
      <c r="O1159" s="4">
        <v>1</v>
      </c>
      <c r="P1159" s="4">
        <v>8</v>
      </c>
      <c r="Q1159" s="4">
        <v>1</v>
      </c>
    </row>
    <row r="1160" spans="1:17" x14ac:dyDescent="0.25">
      <c r="A1160" s="3" t="s">
        <v>18</v>
      </c>
      <c r="B1160" s="3">
        <v>12743947</v>
      </c>
      <c r="C1160" s="3" t="s">
        <v>1202</v>
      </c>
      <c r="D1160" s="3" t="s">
        <v>20</v>
      </c>
      <c r="E1160" s="3" t="s">
        <v>21</v>
      </c>
      <c r="F1160" s="3" t="s">
        <v>21</v>
      </c>
      <c r="G1160" s="3" t="s">
        <v>233</v>
      </c>
      <c r="H1160" s="3" t="s">
        <v>234</v>
      </c>
      <c r="I1160" s="3" t="s">
        <v>24</v>
      </c>
      <c r="J1160" s="3" t="s">
        <v>24</v>
      </c>
      <c r="K1160" s="3" t="s">
        <v>25</v>
      </c>
      <c r="L1160" s="4">
        <v>0</v>
      </c>
      <c r="M1160" s="3" t="s">
        <v>26</v>
      </c>
      <c r="N1160" s="3" t="s">
        <v>24</v>
      </c>
      <c r="O1160" s="4">
        <v>1</v>
      </c>
      <c r="P1160" s="4">
        <v>99999999</v>
      </c>
      <c r="Q1160" s="4">
        <v>1</v>
      </c>
    </row>
    <row r="1161" spans="1:17" x14ac:dyDescent="0.25">
      <c r="A1161" s="3" t="s">
        <v>18</v>
      </c>
      <c r="B1161" s="3">
        <v>12744138</v>
      </c>
      <c r="C1161" s="3" t="s">
        <v>1203</v>
      </c>
      <c r="D1161" s="3" t="s">
        <v>20</v>
      </c>
      <c r="E1161" s="3" t="s">
        <v>21</v>
      </c>
      <c r="F1161" s="3" t="s">
        <v>21</v>
      </c>
      <c r="G1161" s="3" t="s">
        <v>233</v>
      </c>
      <c r="H1161" s="3" t="s">
        <v>234</v>
      </c>
      <c r="I1161" s="3" t="s">
        <v>24</v>
      </c>
      <c r="J1161" s="3" t="s">
        <v>24</v>
      </c>
      <c r="K1161" s="3" t="s">
        <v>25</v>
      </c>
      <c r="L1161" s="4">
        <v>0</v>
      </c>
      <c r="M1161" s="3" t="s">
        <v>26</v>
      </c>
      <c r="N1161" s="3" t="s">
        <v>24</v>
      </c>
      <c r="O1161" s="4">
        <v>1</v>
      </c>
      <c r="P1161" s="4">
        <v>99999999</v>
      </c>
      <c r="Q1161" s="4">
        <v>1</v>
      </c>
    </row>
    <row r="1162" spans="1:17" x14ac:dyDescent="0.25">
      <c r="A1162" s="3" t="s">
        <v>18</v>
      </c>
      <c r="B1162" s="3">
        <v>12759375</v>
      </c>
      <c r="C1162" s="3" t="s">
        <v>1204</v>
      </c>
      <c r="D1162" s="3" t="s">
        <v>20</v>
      </c>
      <c r="E1162" s="3" t="s">
        <v>21</v>
      </c>
      <c r="F1162" s="3" t="s">
        <v>21</v>
      </c>
      <c r="G1162" s="3" t="s">
        <v>233</v>
      </c>
      <c r="H1162" s="3" t="s">
        <v>234</v>
      </c>
      <c r="I1162" s="3" t="s">
        <v>24</v>
      </c>
      <c r="J1162" s="3" t="s">
        <v>24</v>
      </c>
      <c r="K1162" s="3" t="s">
        <v>25</v>
      </c>
      <c r="L1162" s="4">
        <v>0</v>
      </c>
      <c r="M1162" s="3" t="s">
        <v>26</v>
      </c>
      <c r="N1162" s="3" t="s">
        <v>24</v>
      </c>
      <c r="O1162" s="4">
        <v>1</v>
      </c>
      <c r="P1162" s="4">
        <v>2</v>
      </c>
      <c r="Q1162" s="4">
        <v>1</v>
      </c>
    </row>
    <row r="1163" spans="1:17" x14ac:dyDescent="0.25">
      <c r="A1163" s="3" t="s">
        <v>18</v>
      </c>
      <c r="B1163" s="3">
        <v>12784255</v>
      </c>
      <c r="C1163" s="3" t="s">
        <v>1205</v>
      </c>
      <c r="D1163" s="3" t="s">
        <v>20</v>
      </c>
      <c r="E1163" s="3" t="s">
        <v>21</v>
      </c>
      <c r="F1163" s="3" t="s">
        <v>21</v>
      </c>
      <c r="G1163" s="3" t="s">
        <v>477</v>
      </c>
      <c r="H1163" s="3" t="s">
        <v>478</v>
      </c>
      <c r="I1163" s="3" t="s">
        <v>24</v>
      </c>
      <c r="J1163" s="3" t="s">
        <v>24</v>
      </c>
      <c r="K1163" s="3" t="s">
        <v>25</v>
      </c>
      <c r="L1163" s="4">
        <v>0</v>
      </c>
      <c r="M1163" s="3" t="s">
        <v>26</v>
      </c>
      <c r="N1163" s="3" t="s">
        <v>24</v>
      </c>
      <c r="O1163" s="4">
        <v>1</v>
      </c>
      <c r="P1163" s="4">
        <v>1</v>
      </c>
      <c r="Q1163" s="4">
        <v>1</v>
      </c>
    </row>
    <row r="1164" spans="1:17" x14ac:dyDescent="0.25">
      <c r="A1164" s="3" t="s">
        <v>18</v>
      </c>
      <c r="B1164" s="3">
        <v>12784445</v>
      </c>
      <c r="C1164" s="3" t="s">
        <v>1206</v>
      </c>
      <c r="D1164" s="3" t="s">
        <v>20</v>
      </c>
      <c r="E1164" s="3" t="s">
        <v>21</v>
      </c>
      <c r="F1164" s="3" t="s">
        <v>21</v>
      </c>
      <c r="G1164" s="3" t="s">
        <v>36</v>
      </c>
      <c r="H1164" s="3" t="s">
        <v>37</v>
      </c>
      <c r="I1164" s="3" t="s">
        <v>24</v>
      </c>
      <c r="J1164" s="3" t="s">
        <v>24</v>
      </c>
      <c r="K1164" s="3" t="s">
        <v>25</v>
      </c>
      <c r="L1164" s="4">
        <v>0</v>
      </c>
      <c r="M1164" s="3" t="s">
        <v>26</v>
      </c>
      <c r="N1164" s="3" t="s">
        <v>24</v>
      </c>
      <c r="O1164" s="4">
        <v>1</v>
      </c>
      <c r="P1164" s="4">
        <v>3</v>
      </c>
      <c r="Q1164" s="4">
        <v>1</v>
      </c>
    </row>
    <row r="1165" spans="1:17" x14ac:dyDescent="0.25">
      <c r="A1165" s="3" t="s">
        <v>18</v>
      </c>
      <c r="B1165" s="3">
        <v>12789077</v>
      </c>
      <c r="C1165" s="3" t="s">
        <v>1207</v>
      </c>
      <c r="D1165" s="3" t="s">
        <v>20</v>
      </c>
      <c r="E1165" s="3" t="s">
        <v>21</v>
      </c>
      <c r="F1165" s="3" t="s">
        <v>21</v>
      </c>
      <c r="G1165" s="3" t="s">
        <v>233</v>
      </c>
      <c r="H1165" s="3" t="s">
        <v>234</v>
      </c>
      <c r="I1165" s="3" t="s">
        <v>24</v>
      </c>
      <c r="J1165" s="3" t="s">
        <v>24</v>
      </c>
      <c r="K1165" s="3" t="s">
        <v>25</v>
      </c>
      <c r="L1165" s="4">
        <v>0</v>
      </c>
      <c r="M1165" s="3" t="s">
        <v>26</v>
      </c>
      <c r="N1165" s="3" t="s">
        <v>24</v>
      </c>
      <c r="O1165" s="4">
        <v>1</v>
      </c>
      <c r="P1165" s="4">
        <v>2</v>
      </c>
      <c r="Q1165" s="4">
        <v>1</v>
      </c>
    </row>
    <row r="1166" spans="1:17" x14ac:dyDescent="0.25">
      <c r="A1166" s="3" t="s">
        <v>18</v>
      </c>
      <c r="B1166" s="3">
        <v>12789099</v>
      </c>
      <c r="C1166" s="3" t="s">
        <v>1208</v>
      </c>
      <c r="D1166" s="3" t="s">
        <v>20</v>
      </c>
      <c r="E1166" s="3" t="s">
        <v>21</v>
      </c>
      <c r="F1166" s="3" t="s">
        <v>21</v>
      </c>
      <c r="G1166" s="3" t="s">
        <v>22</v>
      </c>
      <c r="H1166" s="3" t="s">
        <v>23</v>
      </c>
      <c r="I1166" s="3" t="s">
        <v>24</v>
      </c>
      <c r="J1166" s="3" t="s">
        <v>24</v>
      </c>
      <c r="K1166" s="3" t="s">
        <v>25</v>
      </c>
      <c r="L1166" s="4">
        <v>0</v>
      </c>
      <c r="M1166" s="3" t="s">
        <v>26</v>
      </c>
      <c r="N1166" s="3" t="s">
        <v>24</v>
      </c>
      <c r="O1166" s="4">
        <v>1</v>
      </c>
      <c r="P1166" s="4">
        <v>4</v>
      </c>
      <c r="Q1166" s="4">
        <v>1</v>
      </c>
    </row>
    <row r="1167" spans="1:17" x14ac:dyDescent="0.25">
      <c r="A1167" s="3" t="s">
        <v>18</v>
      </c>
      <c r="B1167" s="3">
        <v>12789106</v>
      </c>
      <c r="C1167" s="3" t="s">
        <v>1209</v>
      </c>
      <c r="D1167" s="3" t="s">
        <v>20</v>
      </c>
      <c r="E1167" s="3" t="s">
        <v>21</v>
      </c>
      <c r="F1167" s="3" t="s">
        <v>21</v>
      </c>
      <c r="G1167" s="3" t="s">
        <v>42</v>
      </c>
      <c r="H1167" s="3" t="s">
        <v>43</v>
      </c>
      <c r="I1167" s="3" t="s">
        <v>24</v>
      </c>
      <c r="J1167" s="3" t="s">
        <v>24</v>
      </c>
      <c r="K1167" s="3" t="s">
        <v>25</v>
      </c>
      <c r="L1167" s="4">
        <v>0</v>
      </c>
      <c r="M1167" s="3" t="s">
        <v>26</v>
      </c>
      <c r="N1167" s="3" t="s">
        <v>24</v>
      </c>
      <c r="O1167" s="4">
        <v>1</v>
      </c>
      <c r="P1167" s="4">
        <v>8</v>
      </c>
      <c r="Q1167" s="4">
        <v>1</v>
      </c>
    </row>
    <row r="1168" spans="1:17" x14ac:dyDescent="0.25">
      <c r="A1168" s="3" t="s">
        <v>18</v>
      </c>
      <c r="B1168" s="3">
        <v>12789128</v>
      </c>
      <c r="C1168" s="3" t="s">
        <v>1210</v>
      </c>
      <c r="D1168" s="3" t="s">
        <v>20</v>
      </c>
      <c r="E1168" s="3" t="s">
        <v>21</v>
      </c>
      <c r="F1168" s="3" t="s">
        <v>21</v>
      </c>
      <c r="G1168" s="3" t="s">
        <v>42</v>
      </c>
      <c r="H1168" s="3" t="s">
        <v>43</v>
      </c>
      <c r="I1168" s="3" t="s">
        <v>24</v>
      </c>
      <c r="J1168" s="3" t="s">
        <v>24</v>
      </c>
      <c r="K1168" s="3" t="s">
        <v>25</v>
      </c>
      <c r="L1168" s="4">
        <v>0</v>
      </c>
      <c r="M1168" s="3" t="s">
        <v>26</v>
      </c>
      <c r="N1168" s="3" t="s">
        <v>24</v>
      </c>
      <c r="O1168" s="4">
        <v>1</v>
      </c>
      <c r="P1168" s="4">
        <v>8</v>
      </c>
      <c r="Q1168" s="4">
        <v>1</v>
      </c>
    </row>
    <row r="1169" spans="1:17" x14ac:dyDescent="0.25">
      <c r="A1169" s="3" t="s">
        <v>18</v>
      </c>
      <c r="B1169" s="3">
        <v>12793340</v>
      </c>
      <c r="C1169" s="3" t="s">
        <v>1211</v>
      </c>
      <c r="D1169" s="3" t="s">
        <v>20</v>
      </c>
      <c r="E1169" s="3" t="s">
        <v>21</v>
      </c>
      <c r="F1169" s="3" t="s">
        <v>21</v>
      </c>
      <c r="G1169" s="3" t="s">
        <v>36</v>
      </c>
      <c r="H1169" s="3" t="s">
        <v>37</v>
      </c>
      <c r="I1169" s="3" t="s">
        <v>24</v>
      </c>
      <c r="J1169" s="3" t="s">
        <v>24</v>
      </c>
      <c r="K1169" s="3" t="s">
        <v>25</v>
      </c>
      <c r="L1169" s="4">
        <v>0</v>
      </c>
      <c r="M1169" s="3" t="s">
        <v>26</v>
      </c>
      <c r="N1169" s="3" t="s">
        <v>24</v>
      </c>
      <c r="O1169" s="4">
        <v>1</v>
      </c>
      <c r="P1169" s="4">
        <v>3</v>
      </c>
      <c r="Q1169" s="4">
        <v>1</v>
      </c>
    </row>
    <row r="1170" spans="1:17" x14ac:dyDescent="0.25">
      <c r="A1170" s="3" t="s">
        <v>18</v>
      </c>
      <c r="B1170" s="3">
        <v>12805751</v>
      </c>
      <c r="C1170" s="3" t="s">
        <v>1212</v>
      </c>
      <c r="D1170" s="3" t="s">
        <v>20</v>
      </c>
      <c r="E1170" s="3" t="s">
        <v>21</v>
      </c>
      <c r="F1170" s="3" t="s">
        <v>21</v>
      </c>
      <c r="G1170" s="3" t="s">
        <v>410</v>
      </c>
      <c r="H1170" s="3" t="s">
        <v>411</v>
      </c>
      <c r="I1170" s="3" t="s">
        <v>24</v>
      </c>
      <c r="J1170" s="3" t="s">
        <v>24</v>
      </c>
      <c r="K1170" s="3" t="s">
        <v>25</v>
      </c>
      <c r="L1170" s="4">
        <v>0</v>
      </c>
      <c r="M1170" s="3" t="s">
        <v>26</v>
      </c>
      <c r="N1170" s="3" t="s">
        <v>24</v>
      </c>
      <c r="O1170" s="4">
        <v>1</v>
      </c>
      <c r="P1170" s="4">
        <v>8</v>
      </c>
      <c r="Q1170" s="4">
        <v>1</v>
      </c>
    </row>
    <row r="1171" spans="1:17" x14ac:dyDescent="0.25">
      <c r="A1171" s="3" t="s">
        <v>18</v>
      </c>
      <c r="B1171" s="3">
        <v>12805752</v>
      </c>
      <c r="C1171" s="3" t="s">
        <v>1213</v>
      </c>
      <c r="D1171" s="3" t="s">
        <v>20</v>
      </c>
      <c r="E1171" s="3" t="s">
        <v>21</v>
      </c>
      <c r="F1171" s="3" t="s">
        <v>21</v>
      </c>
      <c r="G1171" s="3" t="s">
        <v>410</v>
      </c>
      <c r="H1171" s="3" t="s">
        <v>411</v>
      </c>
      <c r="I1171" s="3" t="s">
        <v>24</v>
      </c>
      <c r="J1171" s="3" t="s">
        <v>24</v>
      </c>
      <c r="K1171" s="3" t="s">
        <v>25</v>
      </c>
      <c r="L1171" s="4">
        <v>0</v>
      </c>
      <c r="M1171" s="3" t="s">
        <v>26</v>
      </c>
      <c r="N1171" s="3" t="s">
        <v>24</v>
      </c>
      <c r="O1171" s="4">
        <v>1</v>
      </c>
      <c r="P1171" s="4">
        <v>4</v>
      </c>
      <c r="Q1171" s="4">
        <v>1</v>
      </c>
    </row>
    <row r="1172" spans="1:17" x14ac:dyDescent="0.25">
      <c r="A1172" s="3" t="s">
        <v>18</v>
      </c>
      <c r="B1172" s="3">
        <v>12832718</v>
      </c>
      <c r="C1172" s="3" t="s">
        <v>1214</v>
      </c>
      <c r="D1172" s="3" t="s">
        <v>20</v>
      </c>
      <c r="E1172" s="3" t="s">
        <v>21</v>
      </c>
      <c r="F1172" s="3" t="s">
        <v>21</v>
      </c>
      <c r="G1172" s="3" t="s">
        <v>938</v>
      </c>
      <c r="H1172" s="3" t="s">
        <v>939</v>
      </c>
      <c r="I1172" s="3" t="s">
        <v>24</v>
      </c>
      <c r="J1172" s="3" t="s">
        <v>24</v>
      </c>
      <c r="K1172" s="3" t="s">
        <v>25</v>
      </c>
      <c r="L1172" s="4">
        <v>0</v>
      </c>
      <c r="M1172" s="3" t="s">
        <v>26</v>
      </c>
      <c r="N1172" s="3" t="s">
        <v>24</v>
      </c>
      <c r="O1172" s="4">
        <v>1</v>
      </c>
      <c r="P1172" s="4">
        <v>1</v>
      </c>
      <c r="Q1172" s="4">
        <v>1</v>
      </c>
    </row>
    <row r="1173" spans="1:17" x14ac:dyDescent="0.25">
      <c r="A1173" s="3" t="s">
        <v>18</v>
      </c>
      <c r="B1173" s="3">
        <v>12832719</v>
      </c>
      <c r="C1173" s="3" t="s">
        <v>1215</v>
      </c>
      <c r="D1173" s="3" t="s">
        <v>20</v>
      </c>
      <c r="E1173" s="3" t="s">
        <v>21</v>
      </c>
      <c r="F1173" s="3" t="s">
        <v>21</v>
      </c>
      <c r="G1173" s="3" t="s">
        <v>938</v>
      </c>
      <c r="H1173" s="3" t="s">
        <v>939</v>
      </c>
      <c r="I1173" s="3" t="s">
        <v>24</v>
      </c>
      <c r="J1173" s="3" t="s">
        <v>24</v>
      </c>
      <c r="K1173" s="3" t="s">
        <v>25</v>
      </c>
      <c r="L1173" s="4">
        <v>0</v>
      </c>
      <c r="M1173" s="3" t="s">
        <v>26</v>
      </c>
      <c r="N1173" s="3" t="s">
        <v>24</v>
      </c>
      <c r="O1173" s="4">
        <v>1</v>
      </c>
      <c r="P1173" s="4">
        <v>1</v>
      </c>
      <c r="Q1173" s="4">
        <v>1</v>
      </c>
    </row>
    <row r="1174" spans="1:17" x14ac:dyDescent="0.25">
      <c r="A1174" s="3" t="s">
        <v>18</v>
      </c>
      <c r="B1174" s="3">
        <v>12853203</v>
      </c>
      <c r="C1174" s="3" t="s">
        <v>1216</v>
      </c>
      <c r="D1174" s="3" t="s">
        <v>20</v>
      </c>
      <c r="E1174" s="3" t="s">
        <v>21</v>
      </c>
      <c r="F1174" s="3" t="s">
        <v>21</v>
      </c>
      <c r="G1174" s="3" t="s">
        <v>22</v>
      </c>
      <c r="H1174" s="3" t="s">
        <v>23</v>
      </c>
      <c r="I1174" s="3" t="s">
        <v>24</v>
      </c>
      <c r="J1174" s="3" t="s">
        <v>24</v>
      </c>
      <c r="K1174" s="3" t="s">
        <v>25</v>
      </c>
      <c r="L1174" s="4">
        <v>0</v>
      </c>
      <c r="M1174" s="3" t="s">
        <v>26</v>
      </c>
      <c r="N1174" s="3" t="s">
        <v>24</v>
      </c>
      <c r="O1174" s="4">
        <v>1</v>
      </c>
      <c r="P1174" s="4">
        <v>4</v>
      </c>
      <c r="Q1174" s="4">
        <v>1</v>
      </c>
    </row>
    <row r="1175" spans="1:17" x14ac:dyDescent="0.25">
      <c r="A1175" s="3" t="s">
        <v>18</v>
      </c>
      <c r="B1175" s="3">
        <v>12873256</v>
      </c>
      <c r="C1175" s="3" t="s">
        <v>1217</v>
      </c>
      <c r="D1175" s="3" t="s">
        <v>20</v>
      </c>
      <c r="E1175" s="3" t="s">
        <v>21</v>
      </c>
      <c r="F1175" s="3" t="s">
        <v>21</v>
      </c>
      <c r="G1175" s="3" t="s">
        <v>233</v>
      </c>
      <c r="H1175" s="3" t="s">
        <v>234</v>
      </c>
      <c r="I1175" s="3" t="s">
        <v>24</v>
      </c>
      <c r="J1175" s="3" t="s">
        <v>24</v>
      </c>
      <c r="K1175" s="3" t="s">
        <v>25</v>
      </c>
      <c r="L1175" s="4">
        <v>0</v>
      </c>
      <c r="M1175" s="3" t="s">
        <v>26</v>
      </c>
      <c r="N1175" s="3" t="s">
        <v>24</v>
      </c>
      <c r="O1175" s="4">
        <v>1</v>
      </c>
      <c r="P1175" s="4">
        <v>99999999</v>
      </c>
      <c r="Q1175" s="4">
        <v>1</v>
      </c>
    </row>
    <row r="1176" spans="1:17" x14ac:dyDescent="0.25">
      <c r="A1176" s="3" t="s">
        <v>18</v>
      </c>
      <c r="B1176" s="3">
        <v>12884609</v>
      </c>
      <c r="C1176" s="3" t="s">
        <v>1218</v>
      </c>
      <c r="D1176" s="3" t="s">
        <v>20</v>
      </c>
      <c r="E1176" s="3" t="s">
        <v>21</v>
      </c>
      <c r="F1176" s="3" t="s">
        <v>21</v>
      </c>
      <c r="G1176" s="3" t="s">
        <v>42</v>
      </c>
      <c r="H1176" s="3" t="s">
        <v>43</v>
      </c>
      <c r="I1176" s="3" t="s">
        <v>24</v>
      </c>
      <c r="J1176" s="3" t="s">
        <v>24</v>
      </c>
      <c r="K1176" s="3" t="s">
        <v>25</v>
      </c>
      <c r="L1176" s="4">
        <v>0</v>
      </c>
      <c r="M1176" s="3" t="s">
        <v>26</v>
      </c>
      <c r="N1176" s="3" t="s">
        <v>24</v>
      </c>
      <c r="O1176" s="4">
        <v>1</v>
      </c>
      <c r="P1176" s="4">
        <v>8</v>
      </c>
      <c r="Q1176" s="4">
        <v>1</v>
      </c>
    </row>
    <row r="1177" spans="1:17" x14ac:dyDescent="0.25">
      <c r="A1177" s="3" t="s">
        <v>18</v>
      </c>
      <c r="B1177" s="3">
        <v>12884612</v>
      </c>
      <c r="C1177" s="3" t="s">
        <v>1219</v>
      </c>
      <c r="D1177" s="3" t="s">
        <v>20</v>
      </c>
      <c r="E1177" s="3" t="s">
        <v>21</v>
      </c>
      <c r="F1177" s="3" t="s">
        <v>21</v>
      </c>
      <c r="G1177" s="3" t="s">
        <v>42</v>
      </c>
      <c r="H1177" s="3" t="s">
        <v>43</v>
      </c>
      <c r="I1177" s="3" t="s">
        <v>24</v>
      </c>
      <c r="J1177" s="3" t="s">
        <v>24</v>
      </c>
      <c r="K1177" s="3" t="s">
        <v>25</v>
      </c>
      <c r="L1177" s="4">
        <v>0</v>
      </c>
      <c r="M1177" s="3" t="s">
        <v>26</v>
      </c>
      <c r="N1177" s="3" t="s">
        <v>24</v>
      </c>
      <c r="O1177" s="4">
        <v>1</v>
      </c>
      <c r="P1177" s="4">
        <v>8</v>
      </c>
      <c r="Q1177" s="4">
        <v>1</v>
      </c>
    </row>
    <row r="1178" spans="1:17" x14ac:dyDescent="0.25">
      <c r="A1178" s="3" t="s">
        <v>18</v>
      </c>
      <c r="B1178" s="3">
        <v>12884613</v>
      </c>
      <c r="C1178" s="3" t="s">
        <v>1220</v>
      </c>
      <c r="D1178" s="3" t="s">
        <v>20</v>
      </c>
      <c r="E1178" s="3" t="s">
        <v>21</v>
      </c>
      <c r="F1178" s="3" t="s">
        <v>21</v>
      </c>
      <c r="G1178" s="3" t="s">
        <v>42</v>
      </c>
      <c r="H1178" s="3" t="s">
        <v>43</v>
      </c>
      <c r="I1178" s="3" t="s">
        <v>24</v>
      </c>
      <c r="J1178" s="3" t="s">
        <v>24</v>
      </c>
      <c r="K1178" s="3" t="s">
        <v>25</v>
      </c>
      <c r="L1178" s="4">
        <v>0</v>
      </c>
      <c r="M1178" s="3" t="s">
        <v>26</v>
      </c>
      <c r="N1178" s="3" t="s">
        <v>24</v>
      </c>
      <c r="O1178" s="4">
        <v>1</v>
      </c>
      <c r="P1178" s="4">
        <v>8</v>
      </c>
      <c r="Q1178" s="4">
        <v>1</v>
      </c>
    </row>
    <row r="1179" spans="1:17" x14ac:dyDescent="0.25">
      <c r="A1179" s="3" t="s">
        <v>18</v>
      </c>
      <c r="B1179" s="3">
        <v>12884614</v>
      </c>
      <c r="C1179" s="3" t="s">
        <v>1221</v>
      </c>
      <c r="D1179" s="3" t="s">
        <v>20</v>
      </c>
      <c r="E1179" s="3" t="s">
        <v>21</v>
      </c>
      <c r="F1179" s="3" t="s">
        <v>21</v>
      </c>
      <c r="G1179" s="3" t="s">
        <v>22</v>
      </c>
      <c r="H1179" s="3" t="s">
        <v>23</v>
      </c>
      <c r="I1179" s="3" t="s">
        <v>24</v>
      </c>
      <c r="J1179" s="3" t="s">
        <v>24</v>
      </c>
      <c r="K1179" s="3" t="s">
        <v>25</v>
      </c>
      <c r="L1179" s="4">
        <v>0</v>
      </c>
      <c r="M1179" s="3" t="s">
        <v>26</v>
      </c>
      <c r="N1179" s="3" t="s">
        <v>24</v>
      </c>
      <c r="O1179" s="4">
        <v>1</v>
      </c>
      <c r="P1179" s="4">
        <v>4</v>
      </c>
      <c r="Q1179" s="4">
        <v>1</v>
      </c>
    </row>
    <row r="1180" spans="1:17" x14ac:dyDescent="0.25">
      <c r="A1180" s="3" t="s">
        <v>18</v>
      </c>
      <c r="B1180" s="3">
        <v>12884617</v>
      </c>
      <c r="C1180" s="3" t="s">
        <v>1222</v>
      </c>
      <c r="D1180" s="3" t="s">
        <v>20</v>
      </c>
      <c r="E1180" s="3" t="s">
        <v>21</v>
      </c>
      <c r="F1180" s="3" t="s">
        <v>21</v>
      </c>
      <c r="G1180" s="3" t="s">
        <v>22</v>
      </c>
      <c r="H1180" s="3" t="s">
        <v>23</v>
      </c>
      <c r="I1180" s="3" t="s">
        <v>24</v>
      </c>
      <c r="J1180" s="3" t="s">
        <v>24</v>
      </c>
      <c r="K1180" s="3" t="s">
        <v>25</v>
      </c>
      <c r="L1180" s="4">
        <v>0</v>
      </c>
      <c r="M1180" s="3" t="s">
        <v>26</v>
      </c>
      <c r="N1180" s="3" t="s">
        <v>24</v>
      </c>
      <c r="O1180" s="4">
        <v>1</v>
      </c>
      <c r="P1180" s="4">
        <v>4</v>
      </c>
      <c r="Q1180" s="4">
        <v>1</v>
      </c>
    </row>
    <row r="1181" spans="1:17" x14ac:dyDescent="0.25">
      <c r="A1181" s="3" t="s">
        <v>18</v>
      </c>
      <c r="B1181" s="3">
        <v>12884628</v>
      </c>
      <c r="C1181" s="3" t="s">
        <v>1223</v>
      </c>
      <c r="D1181" s="3" t="s">
        <v>20</v>
      </c>
      <c r="E1181" s="3" t="s">
        <v>21</v>
      </c>
      <c r="F1181" s="3" t="s">
        <v>21</v>
      </c>
      <c r="G1181" s="3" t="s">
        <v>22</v>
      </c>
      <c r="H1181" s="3" t="s">
        <v>23</v>
      </c>
      <c r="I1181" s="3" t="s">
        <v>24</v>
      </c>
      <c r="J1181" s="3" t="s">
        <v>24</v>
      </c>
      <c r="K1181" s="3" t="s">
        <v>25</v>
      </c>
      <c r="L1181" s="4">
        <v>0</v>
      </c>
      <c r="M1181" s="3" t="s">
        <v>26</v>
      </c>
      <c r="N1181" s="3" t="s">
        <v>24</v>
      </c>
      <c r="O1181" s="4">
        <v>1</v>
      </c>
      <c r="P1181" s="4">
        <v>4</v>
      </c>
      <c r="Q1181" s="4">
        <v>1</v>
      </c>
    </row>
    <row r="1182" spans="1:17" x14ac:dyDescent="0.25">
      <c r="A1182" s="3" t="s">
        <v>18</v>
      </c>
      <c r="B1182" s="3">
        <v>12884629</v>
      </c>
      <c r="C1182" s="3" t="s">
        <v>1224</v>
      </c>
      <c r="D1182" s="3" t="s">
        <v>20</v>
      </c>
      <c r="E1182" s="3" t="s">
        <v>21</v>
      </c>
      <c r="F1182" s="3" t="s">
        <v>21</v>
      </c>
      <c r="G1182" s="3" t="s">
        <v>36</v>
      </c>
      <c r="H1182" s="3" t="s">
        <v>37</v>
      </c>
      <c r="I1182" s="3" t="s">
        <v>24</v>
      </c>
      <c r="J1182" s="3" t="s">
        <v>24</v>
      </c>
      <c r="K1182" s="3" t="s">
        <v>25</v>
      </c>
      <c r="L1182" s="4">
        <v>0</v>
      </c>
      <c r="M1182" s="3" t="s">
        <v>26</v>
      </c>
      <c r="N1182" s="3" t="s">
        <v>24</v>
      </c>
      <c r="O1182" s="4">
        <v>1</v>
      </c>
      <c r="P1182" s="4">
        <v>10</v>
      </c>
      <c r="Q1182" s="4">
        <v>1</v>
      </c>
    </row>
    <row r="1183" spans="1:17" x14ac:dyDescent="0.25">
      <c r="A1183" s="3" t="s">
        <v>18</v>
      </c>
      <c r="B1183" s="3">
        <v>12884631</v>
      </c>
      <c r="C1183" s="3" t="s">
        <v>1225</v>
      </c>
      <c r="D1183" s="3" t="s">
        <v>20</v>
      </c>
      <c r="E1183" s="3" t="s">
        <v>21</v>
      </c>
      <c r="F1183" s="3" t="s">
        <v>21</v>
      </c>
      <c r="G1183" s="3" t="s">
        <v>36</v>
      </c>
      <c r="H1183" s="3" t="s">
        <v>37</v>
      </c>
      <c r="I1183" s="3" t="s">
        <v>24</v>
      </c>
      <c r="J1183" s="3" t="s">
        <v>24</v>
      </c>
      <c r="K1183" s="3" t="s">
        <v>25</v>
      </c>
      <c r="L1183" s="4">
        <v>0</v>
      </c>
      <c r="M1183" s="3" t="s">
        <v>26</v>
      </c>
      <c r="N1183" s="3" t="s">
        <v>24</v>
      </c>
      <c r="O1183" s="4">
        <v>1</v>
      </c>
      <c r="P1183" s="4">
        <v>10</v>
      </c>
      <c r="Q1183" s="4">
        <v>1</v>
      </c>
    </row>
    <row r="1184" spans="1:17" x14ac:dyDescent="0.25">
      <c r="A1184" s="3" t="s">
        <v>18</v>
      </c>
      <c r="B1184" s="3">
        <v>12884632</v>
      </c>
      <c r="C1184" s="3" t="s">
        <v>1226</v>
      </c>
      <c r="D1184" s="3" t="s">
        <v>20</v>
      </c>
      <c r="E1184" s="3" t="s">
        <v>21</v>
      </c>
      <c r="F1184" s="3" t="s">
        <v>21</v>
      </c>
      <c r="G1184" s="3" t="s">
        <v>233</v>
      </c>
      <c r="H1184" s="3" t="s">
        <v>234</v>
      </c>
      <c r="I1184" s="3" t="s">
        <v>24</v>
      </c>
      <c r="J1184" s="3" t="s">
        <v>24</v>
      </c>
      <c r="K1184" s="3" t="s">
        <v>25</v>
      </c>
      <c r="L1184" s="4">
        <v>0</v>
      </c>
      <c r="M1184" s="3" t="s">
        <v>26</v>
      </c>
      <c r="N1184" s="3" t="s">
        <v>24</v>
      </c>
      <c r="O1184" s="4">
        <v>1</v>
      </c>
      <c r="P1184" s="4">
        <v>2</v>
      </c>
      <c r="Q1184" s="4">
        <v>1</v>
      </c>
    </row>
    <row r="1185" spans="1:17" x14ac:dyDescent="0.25">
      <c r="A1185" s="3" t="s">
        <v>18</v>
      </c>
      <c r="B1185" s="3">
        <v>12884634</v>
      </c>
      <c r="C1185" s="3" t="s">
        <v>1227</v>
      </c>
      <c r="D1185" s="3" t="s">
        <v>20</v>
      </c>
      <c r="E1185" s="3" t="s">
        <v>21</v>
      </c>
      <c r="F1185" s="3" t="s">
        <v>21</v>
      </c>
      <c r="G1185" s="3" t="s">
        <v>233</v>
      </c>
      <c r="H1185" s="3" t="s">
        <v>234</v>
      </c>
      <c r="I1185" s="3" t="s">
        <v>24</v>
      </c>
      <c r="J1185" s="3" t="s">
        <v>24</v>
      </c>
      <c r="K1185" s="3" t="s">
        <v>25</v>
      </c>
      <c r="L1185" s="4">
        <v>0</v>
      </c>
      <c r="M1185" s="3" t="s">
        <v>26</v>
      </c>
      <c r="N1185" s="3" t="s">
        <v>24</v>
      </c>
      <c r="O1185" s="4">
        <v>1</v>
      </c>
      <c r="P1185" s="4">
        <v>99999999</v>
      </c>
      <c r="Q1185" s="4">
        <v>1</v>
      </c>
    </row>
    <row r="1186" spans="1:17" x14ac:dyDescent="0.25">
      <c r="A1186" s="3" t="s">
        <v>18</v>
      </c>
      <c r="B1186" s="3">
        <v>12884635</v>
      </c>
      <c r="C1186" s="3" t="s">
        <v>1228</v>
      </c>
      <c r="D1186" s="3" t="s">
        <v>20</v>
      </c>
      <c r="E1186" s="3" t="s">
        <v>21</v>
      </c>
      <c r="F1186" s="3" t="s">
        <v>21</v>
      </c>
      <c r="G1186" s="3" t="s">
        <v>233</v>
      </c>
      <c r="H1186" s="3" t="s">
        <v>234</v>
      </c>
      <c r="I1186" s="3" t="s">
        <v>24</v>
      </c>
      <c r="J1186" s="3" t="s">
        <v>24</v>
      </c>
      <c r="K1186" s="3" t="s">
        <v>25</v>
      </c>
      <c r="L1186" s="4">
        <v>0</v>
      </c>
      <c r="M1186" s="3" t="s">
        <v>26</v>
      </c>
      <c r="N1186" s="3" t="s">
        <v>24</v>
      </c>
      <c r="O1186" s="4">
        <v>1</v>
      </c>
      <c r="P1186" s="4">
        <v>99999999</v>
      </c>
      <c r="Q1186" s="4">
        <v>1</v>
      </c>
    </row>
    <row r="1187" spans="1:17" x14ac:dyDescent="0.25">
      <c r="A1187" s="3" t="s">
        <v>18</v>
      </c>
      <c r="B1187" s="3">
        <v>12884636</v>
      </c>
      <c r="C1187" s="3" t="s">
        <v>1229</v>
      </c>
      <c r="D1187" s="3" t="s">
        <v>20</v>
      </c>
      <c r="E1187" s="3" t="s">
        <v>21</v>
      </c>
      <c r="F1187" s="3" t="s">
        <v>21</v>
      </c>
      <c r="G1187" s="3" t="s">
        <v>233</v>
      </c>
      <c r="H1187" s="3" t="s">
        <v>234</v>
      </c>
      <c r="I1187" s="3" t="s">
        <v>24</v>
      </c>
      <c r="J1187" s="3" t="s">
        <v>24</v>
      </c>
      <c r="K1187" s="3" t="s">
        <v>25</v>
      </c>
      <c r="L1187" s="4">
        <v>0</v>
      </c>
      <c r="M1187" s="3" t="s">
        <v>26</v>
      </c>
      <c r="N1187" s="3" t="s">
        <v>24</v>
      </c>
      <c r="O1187" s="4">
        <v>1</v>
      </c>
      <c r="P1187" s="4">
        <v>2</v>
      </c>
      <c r="Q1187" s="4">
        <v>1</v>
      </c>
    </row>
    <row r="1188" spans="1:17" x14ac:dyDescent="0.25">
      <c r="A1188" s="3" t="s">
        <v>18</v>
      </c>
      <c r="B1188" s="3">
        <v>12884708</v>
      </c>
      <c r="C1188" s="3" t="s">
        <v>1230</v>
      </c>
      <c r="D1188" s="3" t="s">
        <v>20</v>
      </c>
      <c r="E1188" s="3" t="s">
        <v>21</v>
      </c>
      <c r="F1188" s="3" t="s">
        <v>21</v>
      </c>
      <c r="G1188" s="3" t="s">
        <v>30</v>
      </c>
      <c r="H1188" s="3" t="s">
        <v>31</v>
      </c>
      <c r="I1188" s="3" t="s">
        <v>24</v>
      </c>
      <c r="J1188" s="3" t="s">
        <v>24</v>
      </c>
      <c r="K1188" s="3" t="s">
        <v>25</v>
      </c>
      <c r="L1188" s="4">
        <v>0</v>
      </c>
      <c r="M1188" s="3" t="s">
        <v>26</v>
      </c>
      <c r="N1188" s="3" t="s">
        <v>24</v>
      </c>
      <c r="O1188" s="4">
        <v>1</v>
      </c>
      <c r="P1188" s="4">
        <v>8</v>
      </c>
      <c r="Q1188" s="4">
        <v>1</v>
      </c>
    </row>
    <row r="1189" spans="1:17" x14ac:dyDescent="0.25">
      <c r="A1189" s="3" t="s">
        <v>18</v>
      </c>
      <c r="B1189" s="3">
        <v>12884710</v>
      </c>
      <c r="C1189" s="3" t="s">
        <v>1231</v>
      </c>
      <c r="D1189" s="3" t="s">
        <v>20</v>
      </c>
      <c r="E1189" s="3" t="s">
        <v>21</v>
      </c>
      <c r="F1189" s="3" t="s">
        <v>21</v>
      </c>
      <c r="G1189" s="3" t="s">
        <v>42</v>
      </c>
      <c r="H1189" s="3" t="s">
        <v>43</v>
      </c>
      <c r="I1189" s="3" t="s">
        <v>24</v>
      </c>
      <c r="J1189" s="3" t="s">
        <v>24</v>
      </c>
      <c r="K1189" s="3" t="s">
        <v>25</v>
      </c>
      <c r="L1189" s="4">
        <v>0</v>
      </c>
      <c r="M1189" s="3" t="s">
        <v>26</v>
      </c>
      <c r="N1189" s="3" t="s">
        <v>24</v>
      </c>
      <c r="O1189" s="4">
        <v>1</v>
      </c>
      <c r="P1189" s="4">
        <v>8</v>
      </c>
      <c r="Q1189" s="4">
        <v>1</v>
      </c>
    </row>
    <row r="1190" spans="1:17" x14ac:dyDescent="0.25">
      <c r="A1190" s="3" t="s">
        <v>18</v>
      </c>
      <c r="B1190" s="3">
        <v>12884716</v>
      </c>
      <c r="C1190" s="3" t="s">
        <v>1232</v>
      </c>
      <c r="D1190" s="3" t="s">
        <v>20</v>
      </c>
      <c r="E1190" s="3" t="s">
        <v>21</v>
      </c>
      <c r="F1190" s="3" t="s">
        <v>21</v>
      </c>
      <c r="G1190" s="3" t="s">
        <v>42</v>
      </c>
      <c r="H1190" s="3" t="s">
        <v>43</v>
      </c>
      <c r="I1190" s="3" t="s">
        <v>24</v>
      </c>
      <c r="J1190" s="3" t="s">
        <v>24</v>
      </c>
      <c r="K1190" s="3" t="s">
        <v>25</v>
      </c>
      <c r="L1190" s="4">
        <v>0</v>
      </c>
      <c r="M1190" s="3" t="s">
        <v>26</v>
      </c>
      <c r="N1190" s="3" t="s">
        <v>24</v>
      </c>
      <c r="O1190" s="4">
        <v>1</v>
      </c>
      <c r="P1190" s="4">
        <v>8</v>
      </c>
      <c r="Q1190" s="4">
        <v>1</v>
      </c>
    </row>
    <row r="1191" spans="1:17" x14ac:dyDescent="0.25">
      <c r="A1191" s="3" t="s">
        <v>18</v>
      </c>
      <c r="B1191" s="3">
        <v>12884738</v>
      </c>
      <c r="C1191" s="3" t="s">
        <v>1233</v>
      </c>
      <c r="D1191" s="3" t="s">
        <v>20</v>
      </c>
      <c r="E1191" s="3" t="s">
        <v>21</v>
      </c>
      <c r="F1191" s="3" t="s">
        <v>21</v>
      </c>
      <c r="G1191" s="3" t="s">
        <v>42</v>
      </c>
      <c r="H1191" s="3" t="s">
        <v>43</v>
      </c>
      <c r="I1191" s="3" t="s">
        <v>24</v>
      </c>
      <c r="J1191" s="3" t="s">
        <v>24</v>
      </c>
      <c r="K1191" s="3" t="s">
        <v>25</v>
      </c>
      <c r="L1191" s="4">
        <v>0</v>
      </c>
      <c r="M1191" s="3" t="s">
        <v>26</v>
      </c>
      <c r="N1191" s="3" t="s">
        <v>24</v>
      </c>
      <c r="O1191" s="4">
        <v>1</v>
      </c>
      <c r="P1191" s="4">
        <v>8</v>
      </c>
      <c r="Q1191" s="4">
        <v>1</v>
      </c>
    </row>
    <row r="1192" spans="1:17" x14ac:dyDescent="0.25">
      <c r="A1192" s="3" t="s">
        <v>18</v>
      </c>
      <c r="B1192" s="3">
        <v>12884741</v>
      </c>
      <c r="C1192" s="3" t="s">
        <v>1234</v>
      </c>
      <c r="D1192" s="3" t="s">
        <v>20</v>
      </c>
      <c r="E1192" s="3" t="s">
        <v>21</v>
      </c>
      <c r="F1192" s="3" t="s">
        <v>21</v>
      </c>
      <c r="G1192" s="3" t="s">
        <v>22</v>
      </c>
      <c r="H1192" s="3" t="s">
        <v>23</v>
      </c>
      <c r="I1192" s="3" t="s">
        <v>24</v>
      </c>
      <c r="J1192" s="3" t="s">
        <v>24</v>
      </c>
      <c r="K1192" s="3" t="s">
        <v>25</v>
      </c>
      <c r="L1192" s="4">
        <v>0</v>
      </c>
      <c r="M1192" s="3" t="s">
        <v>26</v>
      </c>
      <c r="N1192" s="3" t="s">
        <v>24</v>
      </c>
      <c r="O1192" s="4">
        <v>1</v>
      </c>
      <c r="P1192" s="4">
        <v>4</v>
      </c>
      <c r="Q1192" s="4">
        <v>1</v>
      </c>
    </row>
    <row r="1193" spans="1:17" x14ac:dyDescent="0.25">
      <c r="A1193" s="3" t="s">
        <v>18</v>
      </c>
      <c r="B1193" s="3">
        <v>12884745</v>
      </c>
      <c r="C1193" s="3" t="s">
        <v>1235</v>
      </c>
      <c r="D1193" s="3" t="s">
        <v>20</v>
      </c>
      <c r="E1193" s="3" t="s">
        <v>21</v>
      </c>
      <c r="F1193" s="3" t="s">
        <v>21</v>
      </c>
      <c r="G1193" s="3" t="s">
        <v>22</v>
      </c>
      <c r="H1193" s="3" t="s">
        <v>23</v>
      </c>
      <c r="I1193" s="3" t="s">
        <v>24</v>
      </c>
      <c r="J1193" s="3" t="s">
        <v>24</v>
      </c>
      <c r="K1193" s="3" t="s">
        <v>25</v>
      </c>
      <c r="L1193" s="4">
        <v>0</v>
      </c>
      <c r="M1193" s="3" t="s">
        <v>26</v>
      </c>
      <c r="N1193" s="3" t="s">
        <v>24</v>
      </c>
      <c r="O1193" s="4">
        <v>1</v>
      </c>
      <c r="P1193" s="4">
        <v>4</v>
      </c>
      <c r="Q1193" s="4">
        <v>1</v>
      </c>
    </row>
    <row r="1194" spans="1:17" x14ac:dyDescent="0.25">
      <c r="A1194" s="3" t="s">
        <v>18</v>
      </c>
      <c r="B1194" s="3">
        <v>12884869</v>
      </c>
      <c r="C1194" s="3" t="s">
        <v>1236</v>
      </c>
      <c r="D1194" s="3" t="s">
        <v>20</v>
      </c>
      <c r="E1194" s="3" t="s">
        <v>21</v>
      </c>
      <c r="F1194" s="3" t="s">
        <v>21</v>
      </c>
      <c r="G1194" s="3" t="s">
        <v>22</v>
      </c>
      <c r="H1194" s="3" t="s">
        <v>23</v>
      </c>
      <c r="I1194" s="3" t="s">
        <v>24</v>
      </c>
      <c r="J1194" s="3" t="s">
        <v>24</v>
      </c>
      <c r="K1194" s="3" t="s">
        <v>25</v>
      </c>
      <c r="L1194" s="4">
        <v>0</v>
      </c>
      <c r="M1194" s="3" t="s">
        <v>26</v>
      </c>
      <c r="N1194" s="3" t="s">
        <v>24</v>
      </c>
      <c r="O1194" s="4">
        <v>1</v>
      </c>
      <c r="P1194" s="4">
        <v>4</v>
      </c>
      <c r="Q1194" s="4">
        <v>1</v>
      </c>
    </row>
    <row r="1195" spans="1:17" x14ac:dyDescent="0.25">
      <c r="A1195" s="3" t="s">
        <v>18</v>
      </c>
      <c r="B1195" s="3">
        <v>12884870</v>
      </c>
      <c r="C1195" s="3" t="s">
        <v>1237</v>
      </c>
      <c r="D1195" s="3" t="s">
        <v>20</v>
      </c>
      <c r="E1195" s="3" t="s">
        <v>21</v>
      </c>
      <c r="F1195" s="3" t="s">
        <v>21</v>
      </c>
      <c r="G1195" s="3" t="s">
        <v>36</v>
      </c>
      <c r="H1195" s="3" t="s">
        <v>37</v>
      </c>
      <c r="I1195" s="3" t="s">
        <v>24</v>
      </c>
      <c r="J1195" s="3" t="s">
        <v>24</v>
      </c>
      <c r="K1195" s="3" t="s">
        <v>25</v>
      </c>
      <c r="L1195" s="4">
        <v>0</v>
      </c>
      <c r="M1195" s="3" t="s">
        <v>26</v>
      </c>
      <c r="N1195" s="3" t="s">
        <v>24</v>
      </c>
      <c r="O1195" s="4">
        <v>1</v>
      </c>
      <c r="P1195" s="4">
        <v>10</v>
      </c>
      <c r="Q1195" s="4">
        <v>1</v>
      </c>
    </row>
    <row r="1196" spans="1:17" x14ac:dyDescent="0.25">
      <c r="A1196" s="3" t="s">
        <v>18</v>
      </c>
      <c r="B1196" s="3">
        <v>12884871</v>
      </c>
      <c r="C1196" s="3" t="s">
        <v>1238</v>
      </c>
      <c r="D1196" s="3" t="s">
        <v>20</v>
      </c>
      <c r="E1196" s="3" t="s">
        <v>21</v>
      </c>
      <c r="F1196" s="3" t="s">
        <v>21</v>
      </c>
      <c r="G1196" s="3" t="s">
        <v>36</v>
      </c>
      <c r="H1196" s="3" t="s">
        <v>37</v>
      </c>
      <c r="I1196" s="3" t="s">
        <v>24</v>
      </c>
      <c r="J1196" s="3" t="s">
        <v>24</v>
      </c>
      <c r="K1196" s="3" t="s">
        <v>25</v>
      </c>
      <c r="L1196" s="4">
        <v>0</v>
      </c>
      <c r="M1196" s="3" t="s">
        <v>26</v>
      </c>
      <c r="N1196" s="3" t="s">
        <v>24</v>
      </c>
      <c r="O1196" s="4">
        <v>1</v>
      </c>
      <c r="P1196" s="4">
        <v>10</v>
      </c>
      <c r="Q1196" s="4">
        <v>1</v>
      </c>
    </row>
    <row r="1197" spans="1:17" x14ac:dyDescent="0.25">
      <c r="A1197" s="3" t="s">
        <v>18</v>
      </c>
      <c r="B1197" s="3">
        <v>12884872</v>
      </c>
      <c r="C1197" s="3" t="s">
        <v>1239</v>
      </c>
      <c r="D1197" s="3" t="s">
        <v>20</v>
      </c>
      <c r="E1197" s="3" t="s">
        <v>21</v>
      </c>
      <c r="F1197" s="3" t="s">
        <v>21</v>
      </c>
      <c r="G1197" s="3" t="s">
        <v>233</v>
      </c>
      <c r="H1197" s="3" t="s">
        <v>234</v>
      </c>
      <c r="I1197" s="3" t="s">
        <v>24</v>
      </c>
      <c r="J1197" s="3" t="s">
        <v>24</v>
      </c>
      <c r="K1197" s="3" t="s">
        <v>25</v>
      </c>
      <c r="L1197" s="4">
        <v>0</v>
      </c>
      <c r="M1197" s="3" t="s">
        <v>26</v>
      </c>
      <c r="N1197" s="3" t="s">
        <v>24</v>
      </c>
      <c r="O1197" s="4">
        <v>1</v>
      </c>
      <c r="P1197" s="4">
        <v>2</v>
      </c>
      <c r="Q1197" s="4">
        <v>1</v>
      </c>
    </row>
    <row r="1198" spans="1:17" x14ac:dyDescent="0.25">
      <c r="A1198" s="3" t="s">
        <v>18</v>
      </c>
      <c r="B1198" s="3">
        <v>12884900</v>
      </c>
      <c r="C1198" s="3" t="s">
        <v>1240</v>
      </c>
      <c r="D1198" s="3" t="s">
        <v>20</v>
      </c>
      <c r="E1198" s="3" t="s">
        <v>21</v>
      </c>
      <c r="F1198" s="3" t="s">
        <v>21</v>
      </c>
      <c r="G1198" s="3" t="s">
        <v>233</v>
      </c>
      <c r="H1198" s="3" t="s">
        <v>234</v>
      </c>
      <c r="I1198" s="3" t="s">
        <v>24</v>
      </c>
      <c r="J1198" s="3" t="s">
        <v>24</v>
      </c>
      <c r="K1198" s="3" t="s">
        <v>25</v>
      </c>
      <c r="L1198" s="4">
        <v>0</v>
      </c>
      <c r="M1198" s="3" t="s">
        <v>26</v>
      </c>
      <c r="N1198" s="3" t="s">
        <v>24</v>
      </c>
      <c r="O1198" s="4">
        <v>1</v>
      </c>
      <c r="P1198" s="4">
        <v>99999999</v>
      </c>
      <c r="Q1198" s="4">
        <v>1</v>
      </c>
    </row>
    <row r="1199" spans="1:17" x14ac:dyDescent="0.25">
      <c r="A1199" s="3" t="s">
        <v>18</v>
      </c>
      <c r="B1199" s="3">
        <v>12884902</v>
      </c>
      <c r="C1199" s="3" t="s">
        <v>1241</v>
      </c>
      <c r="D1199" s="3" t="s">
        <v>20</v>
      </c>
      <c r="E1199" s="3" t="s">
        <v>21</v>
      </c>
      <c r="F1199" s="3" t="s">
        <v>21</v>
      </c>
      <c r="G1199" s="3" t="s">
        <v>233</v>
      </c>
      <c r="H1199" s="3" t="s">
        <v>234</v>
      </c>
      <c r="I1199" s="3" t="s">
        <v>24</v>
      </c>
      <c r="J1199" s="3" t="s">
        <v>24</v>
      </c>
      <c r="K1199" s="3" t="s">
        <v>25</v>
      </c>
      <c r="L1199" s="4">
        <v>0</v>
      </c>
      <c r="M1199" s="3" t="s">
        <v>26</v>
      </c>
      <c r="N1199" s="3" t="s">
        <v>24</v>
      </c>
      <c r="O1199" s="4">
        <v>1</v>
      </c>
      <c r="P1199" s="4">
        <v>99999999</v>
      </c>
      <c r="Q1199" s="4">
        <v>1</v>
      </c>
    </row>
    <row r="1200" spans="1:17" x14ac:dyDescent="0.25">
      <c r="A1200" s="3" t="s">
        <v>18</v>
      </c>
      <c r="B1200" s="3">
        <v>12884903</v>
      </c>
      <c r="C1200" s="3" t="s">
        <v>1242</v>
      </c>
      <c r="D1200" s="3" t="s">
        <v>20</v>
      </c>
      <c r="E1200" s="3" t="s">
        <v>21</v>
      </c>
      <c r="F1200" s="3" t="s">
        <v>21</v>
      </c>
      <c r="G1200" s="3" t="s">
        <v>233</v>
      </c>
      <c r="H1200" s="3" t="s">
        <v>234</v>
      </c>
      <c r="I1200" s="3" t="s">
        <v>24</v>
      </c>
      <c r="J1200" s="3" t="s">
        <v>24</v>
      </c>
      <c r="K1200" s="3" t="s">
        <v>25</v>
      </c>
      <c r="L1200" s="4">
        <v>0</v>
      </c>
      <c r="M1200" s="3" t="s">
        <v>26</v>
      </c>
      <c r="N1200" s="3" t="s">
        <v>24</v>
      </c>
      <c r="O1200" s="4">
        <v>1</v>
      </c>
      <c r="P1200" s="4">
        <v>2</v>
      </c>
      <c r="Q1200" s="4">
        <v>1</v>
      </c>
    </row>
    <row r="1201" spans="1:17" x14ac:dyDescent="0.25">
      <c r="A1201" s="3" t="s">
        <v>18</v>
      </c>
      <c r="B1201" s="3">
        <v>12897240</v>
      </c>
      <c r="C1201" s="3" t="s">
        <v>1243</v>
      </c>
      <c r="D1201" s="3" t="s">
        <v>20</v>
      </c>
      <c r="E1201" s="3" t="s">
        <v>21</v>
      </c>
      <c r="F1201" s="3" t="s">
        <v>21</v>
      </c>
      <c r="G1201" s="3" t="s">
        <v>233</v>
      </c>
      <c r="H1201" s="3" t="s">
        <v>234</v>
      </c>
      <c r="I1201" s="3" t="s">
        <v>24</v>
      </c>
      <c r="J1201" s="3" t="s">
        <v>24</v>
      </c>
      <c r="K1201" s="3" t="s">
        <v>25</v>
      </c>
      <c r="L1201" s="4">
        <v>0</v>
      </c>
      <c r="M1201" s="3" t="s">
        <v>26</v>
      </c>
      <c r="N1201" s="3" t="s">
        <v>24</v>
      </c>
      <c r="O1201" s="4">
        <v>1</v>
      </c>
      <c r="P1201" s="4">
        <v>2</v>
      </c>
      <c r="Q1201" s="4">
        <v>1</v>
      </c>
    </row>
    <row r="1202" spans="1:17" x14ac:dyDescent="0.25">
      <c r="A1202" s="3" t="s">
        <v>18</v>
      </c>
      <c r="B1202" s="3">
        <v>12897242</v>
      </c>
      <c r="C1202" s="3" t="s">
        <v>1244</v>
      </c>
      <c r="D1202" s="3" t="s">
        <v>20</v>
      </c>
      <c r="E1202" s="3" t="s">
        <v>21</v>
      </c>
      <c r="F1202" s="3" t="s">
        <v>21</v>
      </c>
      <c r="G1202" s="3" t="s">
        <v>233</v>
      </c>
      <c r="H1202" s="3" t="s">
        <v>234</v>
      </c>
      <c r="I1202" s="3" t="s">
        <v>24</v>
      </c>
      <c r="J1202" s="3" t="s">
        <v>24</v>
      </c>
      <c r="K1202" s="3" t="s">
        <v>25</v>
      </c>
      <c r="L1202" s="4">
        <v>0</v>
      </c>
      <c r="M1202" s="3" t="s">
        <v>26</v>
      </c>
      <c r="N1202" s="3" t="s">
        <v>24</v>
      </c>
      <c r="O1202" s="4">
        <v>1</v>
      </c>
      <c r="P1202" s="4">
        <v>99999999</v>
      </c>
      <c r="Q1202" s="4">
        <v>1</v>
      </c>
    </row>
    <row r="1203" spans="1:17" x14ac:dyDescent="0.25">
      <c r="A1203" s="3" t="s">
        <v>18</v>
      </c>
      <c r="B1203" s="3">
        <v>12913267</v>
      </c>
      <c r="C1203" s="3" t="s">
        <v>1245</v>
      </c>
      <c r="D1203" s="3" t="s">
        <v>20</v>
      </c>
      <c r="E1203" s="3" t="s">
        <v>21</v>
      </c>
      <c r="F1203" s="3" t="s">
        <v>21</v>
      </c>
      <c r="G1203" s="3" t="s">
        <v>410</v>
      </c>
      <c r="H1203" s="3" t="s">
        <v>411</v>
      </c>
      <c r="I1203" s="3" t="s">
        <v>24</v>
      </c>
      <c r="J1203" s="3" t="s">
        <v>24</v>
      </c>
      <c r="K1203" s="3" t="s">
        <v>25</v>
      </c>
      <c r="L1203" s="4">
        <v>0</v>
      </c>
      <c r="M1203" s="3" t="s">
        <v>26</v>
      </c>
      <c r="N1203" s="3" t="s">
        <v>24</v>
      </c>
      <c r="O1203" s="4">
        <v>1</v>
      </c>
      <c r="P1203" s="4">
        <v>2</v>
      </c>
      <c r="Q1203" s="4">
        <v>1</v>
      </c>
    </row>
    <row r="1204" spans="1:17" x14ac:dyDescent="0.25">
      <c r="A1204" s="3" t="s">
        <v>18</v>
      </c>
      <c r="B1204" s="3">
        <v>12913308</v>
      </c>
      <c r="C1204" s="3" t="s">
        <v>1246</v>
      </c>
      <c r="D1204" s="3" t="s">
        <v>20</v>
      </c>
      <c r="E1204" s="3" t="s">
        <v>21</v>
      </c>
      <c r="F1204" s="3" t="s">
        <v>21</v>
      </c>
      <c r="G1204" s="3" t="s">
        <v>410</v>
      </c>
      <c r="H1204" s="3" t="s">
        <v>411</v>
      </c>
      <c r="I1204" s="3" t="s">
        <v>24</v>
      </c>
      <c r="J1204" s="3" t="s">
        <v>24</v>
      </c>
      <c r="K1204" s="3" t="s">
        <v>25</v>
      </c>
      <c r="L1204" s="4">
        <v>0</v>
      </c>
      <c r="M1204" s="3" t="s">
        <v>26</v>
      </c>
      <c r="N1204" s="3" t="s">
        <v>24</v>
      </c>
      <c r="O1204" s="4">
        <v>1</v>
      </c>
      <c r="P1204" s="4">
        <v>10</v>
      </c>
      <c r="Q1204" s="4">
        <v>1</v>
      </c>
    </row>
    <row r="1205" spans="1:17" x14ac:dyDescent="0.25">
      <c r="A1205" s="3" t="s">
        <v>18</v>
      </c>
      <c r="B1205" s="3">
        <v>12913313</v>
      </c>
      <c r="C1205" s="3" t="s">
        <v>1247</v>
      </c>
      <c r="D1205" s="3" t="s">
        <v>20</v>
      </c>
      <c r="E1205" s="3" t="s">
        <v>21</v>
      </c>
      <c r="F1205" s="3" t="s">
        <v>21</v>
      </c>
      <c r="G1205" s="3" t="s">
        <v>410</v>
      </c>
      <c r="H1205" s="3" t="s">
        <v>411</v>
      </c>
      <c r="I1205" s="3" t="s">
        <v>24</v>
      </c>
      <c r="J1205" s="3" t="s">
        <v>24</v>
      </c>
      <c r="K1205" s="3" t="s">
        <v>25</v>
      </c>
      <c r="L1205" s="4">
        <v>0</v>
      </c>
      <c r="M1205" s="3" t="s">
        <v>26</v>
      </c>
      <c r="N1205" s="3" t="s">
        <v>24</v>
      </c>
      <c r="O1205" s="4">
        <v>1</v>
      </c>
      <c r="P1205" s="4">
        <v>10</v>
      </c>
      <c r="Q1205" s="4">
        <v>1</v>
      </c>
    </row>
    <row r="1206" spans="1:17" x14ac:dyDescent="0.25">
      <c r="A1206" s="3" t="s">
        <v>18</v>
      </c>
      <c r="B1206" s="3">
        <v>12913315</v>
      </c>
      <c r="C1206" s="3" t="s">
        <v>1248</v>
      </c>
      <c r="D1206" s="3" t="s">
        <v>20</v>
      </c>
      <c r="E1206" s="3" t="s">
        <v>21</v>
      </c>
      <c r="F1206" s="3" t="s">
        <v>21</v>
      </c>
      <c r="G1206" s="3" t="s">
        <v>410</v>
      </c>
      <c r="H1206" s="3" t="s">
        <v>411</v>
      </c>
      <c r="I1206" s="3" t="s">
        <v>24</v>
      </c>
      <c r="J1206" s="3" t="s">
        <v>24</v>
      </c>
      <c r="K1206" s="3" t="s">
        <v>25</v>
      </c>
      <c r="L1206" s="4">
        <v>0</v>
      </c>
      <c r="M1206" s="3" t="s">
        <v>26</v>
      </c>
      <c r="N1206" s="3" t="s">
        <v>24</v>
      </c>
      <c r="O1206" s="4">
        <v>1</v>
      </c>
      <c r="P1206" s="4">
        <v>3</v>
      </c>
      <c r="Q1206" s="4">
        <v>1</v>
      </c>
    </row>
    <row r="1207" spans="1:17" x14ac:dyDescent="0.25">
      <c r="A1207" s="3" t="s">
        <v>18</v>
      </c>
      <c r="B1207" s="3">
        <v>12914568</v>
      </c>
      <c r="C1207" s="3" t="s">
        <v>1249</v>
      </c>
      <c r="D1207" s="3" t="s">
        <v>20</v>
      </c>
      <c r="E1207" s="3" t="s">
        <v>21</v>
      </c>
      <c r="F1207" s="3" t="s">
        <v>21</v>
      </c>
      <c r="G1207" s="3" t="s">
        <v>410</v>
      </c>
      <c r="H1207" s="3" t="s">
        <v>411</v>
      </c>
      <c r="I1207" s="3" t="s">
        <v>24</v>
      </c>
      <c r="J1207" s="3" t="s">
        <v>24</v>
      </c>
      <c r="K1207" s="3" t="s">
        <v>25</v>
      </c>
      <c r="L1207" s="4">
        <v>0</v>
      </c>
      <c r="M1207" s="3" t="s">
        <v>26</v>
      </c>
      <c r="N1207" s="3" t="s">
        <v>24</v>
      </c>
      <c r="O1207" s="4">
        <v>1</v>
      </c>
      <c r="P1207" s="4">
        <v>2</v>
      </c>
      <c r="Q1207" s="4">
        <v>1</v>
      </c>
    </row>
    <row r="1208" spans="1:17" x14ac:dyDescent="0.25">
      <c r="A1208" s="3" t="s">
        <v>18</v>
      </c>
      <c r="B1208" s="3">
        <v>12914569</v>
      </c>
      <c r="C1208" s="3" t="s">
        <v>1250</v>
      </c>
      <c r="D1208" s="3" t="s">
        <v>20</v>
      </c>
      <c r="E1208" s="3" t="s">
        <v>21</v>
      </c>
      <c r="F1208" s="3" t="s">
        <v>21</v>
      </c>
      <c r="G1208" s="3" t="s">
        <v>410</v>
      </c>
      <c r="H1208" s="3" t="s">
        <v>411</v>
      </c>
      <c r="I1208" s="3" t="s">
        <v>24</v>
      </c>
      <c r="J1208" s="3" t="s">
        <v>24</v>
      </c>
      <c r="K1208" s="3" t="s">
        <v>25</v>
      </c>
      <c r="L1208" s="4">
        <v>0</v>
      </c>
      <c r="M1208" s="3" t="s">
        <v>26</v>
      </c>
      <c r="N1208" s="3" t="s">
        <v>24</v>
      </c>
      <c r="O1208" s="4">
        <v>1</v>
      </c>
      <c r="P1208" s="4">
        <v>4</v>
      </c>
      <c r="Q1208" s="4">
        <v>1</v>
      </c>
    </row>
    <row r="1209" spans="1:17" x14ac:dyDescent="0.25">
      <c r="A1209" s="3" t="s">
        <v>18</v>
      </c>
      <c r="B1209" s="3">
        <v>12914570</v>
      </c>
      <c r="C1209" s="3" t="s">
        <v>1251</v>
      </c>
      <c r="D1209" s="3" t="s">
        <v>20</v>
      </c>
      <c r="E1209" s="3" t="s">
        <v>21</v>
      </c>
      <c r="F1209" s="3" t="s">
        <v>21</v>
      </c>
      <c r="G1209" s="3" t="s">
        <v>410</v>
      </c>
      <c r="H1209" s="3" t="s">
        <v>411</v>
      </c>
      <c r="I1209" s="3" t="s">
        <v>24</v>
      </c>
      <c r="J1209" s="3" t="s">
        <v>24</v>
      </c>
      <c r="K1209" s="3" t="s">
        <v>25</v>
      </c>
      <c r="L1209" s="4">
        <v>0</v>
      </c>
      <c r="M1209" s="3" t="s">
        <v>26</v>
      </c>
      <c r="N1209" s="3" t="s">
        <v>24</v>
      </c>
      <c r="O1209" s="4">
        <v>1</v>
      </c>
      <c r="P1209" s="4">
        <v>4</v>
      </c>
      <c r="Q1209" s="4">
        <v>1</v>
      </c>
    </row>
    <row r="1210" spans="1:17" x14ac:dyDescent="0.25">
      <c r="A1210" s="3" t="s">
        <v>18</v>
      </c>
      <c r="B1210" s="3">
        <v>12918926</v>
      </c>
      <c r="C1210" s="3" t="s">
        <v>1252</v>
      </c>
      <c r="D1210" s="3" t="s">
        <v>20</v>
      </c>
      <c r="E1210" s="3" t="s">
        <v>21</v>
      </c>
      <c r="F1210" s="3" t="s">
        <v>21</v>
      </c>
      <c r="G1210" s="3" t="s">
        <v>30</v>
      </c>
      <c r="H1210" s="3" t="s">
        <v>31</v>
      </c>
      <c r="I1210" s="3" t="s">
        <v>24</v>
      </c>
      <c r="J1210" s="3" t="s">
        <v>24</v>
      </c>
      <c r="K1210" s="3" t="s">
        <v>25</v>
      </c>
      <c r="L1210" s="4">
        <v>0</v>
      </c>
      <c r="M1210" s="3" t="s">
        <v>26</v>
      </c>
      <c r="N1210" s="3" t="s">
        <v>24</v>
      </c>
      <c r="O1210" s="4">
        <v>1</v>
      </c>
      <c r="P1210" s="4">
        <v>4</v>
      </c>
      <c r="Q1210" s="4">
        <v>1</v>
      </c>
    </row>
    <row r="1211" spans="1:17" x14ac:dyDescent="0.25">
      <c r="A1211" s="3" t="s">
        <v>18</v>
      </c>
      <c r="B1211" s="3">
        <v>12919008</v>
      </c>
      <c r="C1211" s="3" t="s">
        <v>1253</v>
      </c>
      <c r="D1211" s="3" t="s">
        <v>20</v>
      </c>
      <c r="E1211" s="3" t="s">
        <v>21</v>
      </c>
      <c r="F1211" s="3" t="s">
        <v>21</v>
      </c>
      <c r="G1211" s="3" t="s">
        <v>30</v>
      </c>
      <c r="H1211" s="3" t="s">
        <v>31</v>
      </c>
      <c r="I1211" s="3" t="s">
        <v>24</v>
      </c>
      <c r="J1211" s="3" t="s">
        <v>24</v>
      </c>
      <c r="K1211" s="3" t="s">
        <v>25</v>
      </c>
      <c r="L1211" s="4">
        <v>0</v>
      </c>
      <c r="M1211" s="3" t="s">
        <v>26</v>
      </c>
      <c r="N1211" s="3" t="s">
        <v>24</v>
      </c>
      <c r="O1211" s="4">
        <v>1</v>
      </c>
      <c r="P1211" s="4">
        <v>8</v>
      </c>
      <c r="Q1211" s="4">
        <v>1</v>
      </c>
    </row>
    <row r="1212" spans="1:17" x14ac:dyDescent="0.25">
      <c r="A1212" s="3" t="s">
        <v>18</v>
      </c>
      <c r="B1212" s="3">
        <v>12919009</v>
      </c>
      <c r="C1212" s="3" t="s">
        <v>1254</v>
      </c>
      <c r="D1212" s="3" t="s">
        <v>20</v>
      </c>
      <c r="E1212" s="3" t="s">
        <v>21</v>
      </c>
      <c r="F1212" s="3" t="s">
        <v>21</v>
      </c>
      <c r="G1212" s="3" t="s">
        <v>30</v>
      </c>
      <c r="H1212" s="3" t="s">
        <v>31</v>
      </c>
      <c r="I1212" s="3" t="s">
        <v>24</v>
      </c>
      <c r="J1212" s="3" t="s">
        <v>24</v>
      </c>
      <c r="K1212" s="3" t="s">
        <v>25</v>
      </c>
      <c r="L1212" s="4">
        <v>0</v>
      </c>
      <c r="M1212" s="3" t="s">
        <v>26</v>
      </c>
      <c r="N1212" s="3" t="s">
        <v>24</v>
      </c>
      <c r="O1212" s="4">
        <v>1</v>
      </c>
      <c r="P1212" s="4">
        <v>4</v>
      </c>
      <c r="Q1212" s="4">
        <v>1</v>
      </c>
    </row>
    <row r="1213" spans="1:17" x14ac:dyDescent="0.25">
      <c r="A1213" s="3" t="s">
        <v>18</v>
      </c>
      <c r="B1213" s="3">
        <v>12919010</v>
      </c>
      <c r="C1213" s="3" t="s">
        <v>1255</v>
      </c>
      <c r="D1213" s="3" t="s">
        <v>20</v>
      </c>
      <c r="E1213" s="3" t="s">
        <v>21</v>
      </c>
      <c r="F1213" s="3" t="s">
        <v>21</v>
      </c>
      <c r="G1213" s="3" t="s">
        <v>30</v>
      </c>
      <c r="H1213" s="3" t="s">
        <v>31</v>
      </c>
      <c r="I1213" s="3" t="s">
        <v>24</v>
      </c>
      <c r="J1213" s="3" t="s">
        <v>24</v>
      </c>
      <c r="K1213" s="3" t="s">
        <v>25</v>
      </c>
      <c r="L1213" s="4">
        <v>0</v>
      </c>
      <c r="M1213" s="3" t="s">
        <v>26</v>
      </c>
      <c r="N1213" s="3" t="s">
        <v>24</v>
      </c>
      <c r="O1213" s="4">
        <v>1</v>
      </c>
      <c r="P1213" s="4">
        <v>8</v>
      </c>
      <c r="Q1213" s="4">
        <v>1</v>
      </c>
    </row>
    <row r="1214" spans="1:17" x14ac:dyDescent="0.25">
      <c r="A1214" s="3" t="s">
        <v>18</v>
      </c>
      <c r="B1214" s="3">
        <v>12919011</v>
      </c>
      <c r="C1214" s="3" t="s">
        <v>1256</v>
      </c>
      <c r="D1214" s="3" t="s">
        <v>20</v>
      </c>
      <c r="E1214" s="3" t="s">
        <v>21</v>
      </c>
      <c r="F1214" s="3" t="s">
        <v>21</v>
      </c>
      <c r="G1214" s="3" t="s">
        <v>30</v>
      </c>
      <c r="H1214" s="3" t="s">
        <v>31</v>
      </c>
      <c r="I1214" s="3" t="s">
        <v>24</v>
      </c>
      <c r="J1214" s="3" t="s">
        <v>24</v>
      </c>
      <c r="K1214" s="3" t="s">
        <v>25</v>
      </c>
      <c r="L1214" s="4">
        <v>0</v>
      </c>
      <c r="M1214" s="3" t="s">
        <v>26</v>
      </c>
      <c r="N1214" s="3" t="s">
        <v>24</v>
      </c>
      <c r="O1214" s="4">
        <v>1</v>
      </c>
      <c r="P1214" s="4">
        <v>4</v>
      </c>
      <c r="Q1214" s="4">
        <v>1</v>
      </c>
    </row>
    <row r="1215" spans="1:17" x14ac:dyDescent="0.25">
      <c r="A1215" s="3" t="s">
        <v>18</v>
      </c>
      <c r="B1215" s="3">
        <v>12919012</v>
      </c>
      <c r="C1215" s="3" t="s">
        <v>1257</v>
      </c>
      <c r="D1215" s="3" t="s">
        <v>20</v>
      </c>
      <c r="E1215" s="3" t="s">
        <v>21</v>
      </c>
      <c r="F1215" s="3" t="s">
        <v>21</v>
      </c>
      <c r="G1215" s="3" t="s">
        <v>30</v>
      </c>
      <c r="H1215" s="3" t="s">
        <v>31</v>
      </c>
      <c r="I1215" s="3" t="s">
        <v>24</v>
      </c>
      <c r="J1215" s="3" t="s">
        <v>24</v>
      </c>
      <c r="K1215" s="3" t="s">
        <v>25</v>
      </c>
      <c r="L1215" s="4">
        <v>0</v>
      </c>
      <c r="M1215" s="3" t="s">
        <v>26</v>
      </c>
      <c r="N1215" s="3" t="s">
        <v>24</v>
      </c>
      <c r="O1215" s="4">
        <v>1</v>
      </c>
      <c r="P1215" s="4">
        <v>4</v>
      </c>
      <c r="Q1215" s="4">
        <v>1</v>
      </c>
    </row>
    <row r="1216" spans="1:17" x14ac:dyDescent="0.25">
      <c r="A1216" s="3" t="s">
        <v>18</v>
      </c>
      <c r="B1216" s="3">
        <v>12919014</v>
      </c>
      <c r="C1216" s="3" t="s">
        <v>1258</v>
      </c>
      <c r="D1216" s="3" t="s">
        <v>20</v>
      </c>
      <c r="E1216" s="3" t="s">
        <v>21</v>
      </c>
      <c r="F1216" s="3" t="s">
        <v>21</v>
      </c>
      <c r="G1216" s="3" t="s">
        <v>30</v>
      </c>
      <c r="H1216" s="3" t="s">
        <v>31</v>
      </c>
      <c r="I1216" s="3" t="s">
        <v>24</v>
      </c>
      <c r="J1216" s="3" t="s">
        <v>24</v>
      </c>
      <c r="K1216" s="3" t="s">
        <v>25</v>
      </c>
      <c r="L1216" s="4">
        <v>0</v>
      </c>
      <c r="M1216" s="3" t="s">
        <v>26</v>
      </c>
      <c r="N1216" s="3" t="s">
        <v>24</v>
      </c>
      <c r="O1216" s="4">
        <v>1</v>
      </c>
      <c r="P1216" s="4">
        <v>8</v>
      </c>
      <c r="Q1216" s="4">
        <v>1</v>
      </c>
    </row>
    <row r="1217" spans="1:17" x14ac:dyDescent="0.25">
      <c r="A1217" s="3" t="s">
        <v>18</v>
      </c>
      <c r="B1217" s="3">
        <v>12919015</v>
      </c>
      <c r="C1217" s="3" t="s">
        <v>1259</v>
      </c>
      <c r="D1217" s="3" t="s">
        <v>20</v>
      </c>
      <c r="E1217" s="3" t="s">
        <v>21</v>
      </c>
      <c r="F1217" s="3" t="s">
        <v>21</v>
      </c>
      <c r="G1217" s="3" t="s">
        <v>30</v>
      </c>
      <c r="H1217" s="3" t="s">
        <v>31</v>
      </c>
      <c r="I1217" s="3" t="s">
        <v>24</v>
      </c>
      <c r="J1217" s="3" t="s">
        <v>24</v>
      </c>
      <c r="K1217" s="3" t="s">
        <v>25</v>
      </c>
      <c r="L1217" s="4">
        <v>0</v>
      </c>
      <c r="M1217" s="3" t="s">
        <v>26</v>
      </c>
      <c r="N1217" s="3" t="s">
        <v>24</v>
      </c>
      <c r="O1217" s="4">
        <v>1</v>
      </c>
      <c r="P1217" s="4">
        <v>8</v>
      </c>
      <c r="Q1217" s="4">
        <v>1</v>
      </c>
    </row>
    <row r="1218" spans="1:17" x14ac:dyDescent="0.25">
      <c r="A1218" s="3" t="s">
        <v>18</v>
      </c>
      <c r="B1218" s="3">
        <v>12919016</v>
      </c>
      <c r="C1218" s="3" t="s">
        <v>1260</v>
      </c>
      <c r="D1218" s="3" t="s">
        <v>20</v>
      </c>
      <c r="E1218" s="3" t="s">
        <v>21</v>
      </c>
      <c r="F1218" s="3" t="s">
        <v>21</v>
      </c>
      <c r="G1218" s="3" t="s">
        <v>22</v>
      </c>
      <c r="H1218" s="3" t="s">
        <v>23</v>
      </c>
      <c r="I1218" s="3" t="s">
        <v>24</v>
      </c>
      <c r="J1218" s="3" t="s">
        <v>24</v>
      </c>
      <c r="K1218" s="3" t="s">
        <v>25</v>
      </c>
      <c r="L1218" s="4">
        <v>0</v>
      </c>
      <c r="M1218" s="3" t="s">
        <v>26</v>
      </c>
      <c r="N1218" s="3" t="s">
        <v>24</v>
      </c>
      <c r="O1218" s="4">
        <v>1</v>
      </c>
      <c r="P1218" s="4">
        <v>4</v>
      </c>
      <c r="Q1218" s="4">
        <v>1</v>
      </c>
    </row>
    <row r="1219" spans="1:17" x14ac:dyDescent="0.25">
      <c r="A1219" s="3" t="s">
        <v>18</v>
      </c>
      <c r="B1219" s="3">
        <v>12919017</v>
      </c>
      <c r="C1219" s="3" t="s">
        <v>1261</v>
      </c>
      <c r="D1219" s="3" t="s">
        <v>20</v>
      </c>
      <c r="E1219" s="3" t="s">
        <v>21</v>
      </c>
      <c r="F1219" s="3" t="s">
        <v>21</v>
      </c>
      <c r="G1219" s="3" t="s">
        <v>22</v>
      </c>
      <c r="H1219" s="3" t="s">
        <v>23</v>
      </c>
      <c r="I1219" s="3" t="s">
        <v>24</v>
      </c>
      <c r="J1219" s="3" t="s">
        <v>24</v>
      </c>
      <c r="K1219" s="3" t="s">
        <v>25</v>
      </c>
      <c r="L1219" s="4">
        <v>0</v>
      </c>
      <c r="M1219" s="3" t="s">
        <v>26</v>
      </c>
      <c r="N1219" s="3" t="s">
        <v>24</v>
      </c>
      <c r="O1219" s="4">
        <v>1</v>
      </c>
      <c r="P1219" s="4">
        <v>4</v>
      </c>
      <c r="Q1219" s="4">
        <v>1</v>
      </c>
    </row>
    <row r="1220" spans="1:17" x14ac:dyDescent="0.25">
      <c r="A1220" s="3" t="s">
        <v>18</v>
      </c>
      <c r="B1220" s="3">
        <v>12919059</v>
      </c>
      <c r="C1220" s="3" t="s">
        <v>1262</v>
      </c>
      <c r="D1220" s="3" t="s">
        <v>20</v>
      </c>
      <c r="E1220" s="3" t="s">
        <v>21</v>
      </c>
      <c r="F1220" s="3" t="s">
        <v>21</v>
      </c>
      <c r="G1220" s="3" t="s">
        <v>22</v>
      </c>
      <c r="H1220" s="3" t="s">
        <v>23</v>
      </c>
      <c r="I1220" s="3" t="s">
        <v>24</v>
      </c>
      <c r="J1220" s="3" t="s">
        <v>24</v>
      </c>
      <c r="K1220" s="3" t="s">
        <v>25</v>
      </c>
      <c r="L1220" s="4">
        <v>0</v>
      </c>
      <c r="M1220" s="3" t="s">
        <v>26</v>
      </c>
      <c r="N1220" s="3" t="s">
        <v>24</v>
      </c>
      <c r="O1220" s="4">
        <v>1</v>
      </c>
      <c r="P1220" s="4">
        <v>4</v>
      </c>
      <c r="Q1220" s="4">
        <v>1</v>
      </c>
    </row>
    <row r="1221" spans="1:17" x14ac:dyDescent="0.25">
      <c r="A1221" s="3" t="s">
        <v>18</v>
      </c>
      <c r="B1221" s="3">
        <v>12919060</v>
      </c>
      <c r="C1221" s="3" t="s">
        <v>1263</v>
      </c>
      <c r="D1221" s="3" t="s">
        <v>20</v>
      </c>
      <c r="E1221" s="3" t="s">
        <v>21</v>
      </c>
      <c r="F1221" s="3" t="s">
        <v>21</v>
      </c>
      <c r="G1221" s="3" t="s">
        <v>36</v>
      </c>
      <c r="H1221" s="3" t="s">
        <v>37</v>
      </c>
      <c r="I1221" s="3" t="s">
        <v>24</v>
      </c>
      <c r="J1221" s="3" t="s">
        <v>24</v>
      </c>
      <c r="K1221" s="3" t="s">
        <v>25</v>
      </c>
      <c r="L1221" s="4">
        <v>0</v>
      </c>
      <c r="M1221" s="3" t="s">
        <v>26</v>
      </c>
      <c r="N1221" s="3" t="s">
        <v>24</v>
      </c>
      <c r="O1221" s="4">
        <v>1</v>
      </c>
      <c r="P1221" s="4">
        <v>10</v>
      </c>
      <c r="Q1221" s="4">
        <v>1</v>
      </c>
    </row>
    <row r="1222" spans="1:17" x14ac:dyDescent="0.25">
      <c r="A1222" s="3" t="s">
        <v>18</v>
      </c>
      <c r="B1222" s="3">
        <v>12919061</v>
      </c>
      <c r="C1222" s="3" t="s">
        <v>1264</v>
      </c>
      <c r="D1222" s="3" t="s">
        <v>20</v>
      </c>
      <c r="E1222" s="3" t="s">
        <v>21</v>
      </c>
      <c r="F1222" s="3" t="s">
        <v>21</v>
      </c>
      <c r="G1222" s="3" t="s">
        <v>36</v>
      </c>
      <c r="H1222" s="3" t="s">
        <v>37</v>
      </c>
      <c r="I1222" s="3" t="s">
        <v>24</v>
      </c>
      <c r="J1222" s="3" t="s">
        <v>24</v>
      </c>
      <c r="K1222" s="3" t="s">
        <v>25</v>
      </c>
      <c r="L1222" s="4">
        <v>0</v>
      </c>
      <c r="M1222" s="3" t="s">
        <v>26</v>
      </c>
      <c r="N1222" s="3" t="s">
        <v>24</v>
      </c>
      <c r="O1222" s="4">
        <v>1</v>
      </c>
      <c r="P1222" s="4">
        <v>10</v>
      </c>
      <c r="Q1222" s="4">
        <v>1</v>
      </c>
    </row>
    <row r="1223" spans="1:17" x14ac:dyDescent="0.25">
      <c r="A1223" s="3" t="s">
        <v>18</v>
      </c>
      <c r="B1223" s="3">
        <v>12919062</v>
      </c>
      <c r="C1223" s="3" t="s">
        <v>1265</v>
      </c>
      <c r="D1223" s="3" t="s">
        <v>20</v>
      </c>
      <c r="E1223" s="3" t="s">
        <v>21</v>
      </c>
      <c r="F1223" s="3" t="s">
        <v>21</v>
      </c>
      <c r="G1223" s="3" t="s">
        <v>233</v>
      </c>
      <c r="H1223" s="3" t="s">
        <v>234</v>
      </c>
      <c r="I1223" s="3" t="s">
        <v>24</v>
      </c>
      <c r="J1223" s="3" t="s">
        <v>24</v>
      </c>
      <c r="K1223" s="3" t="s">
        <v>25</v>
      </c>
      <c r="L1223" s="4">
        <v>0</v>
      </c>
      <c r="M1223" s="3" t="s">
        <v>26</v>
      </c>
      <c r="N1223" s="3" t="s">
        <v>24</v>
      </c>
      <c r="O1223" s="4">
        <v>1</v>
      </c>
      <c r="P1223" s="4">
        <v>2</v>
      </c>
      <c r="Q1223" s="4">
        <v>1</v>
      </c>
    </row>
    <row r="1224" spans="1:17" x14ac:dyDescent="0.25">
      <c r="A1224" s="3" t="s">
        <v>18</v>
      </c>
      <c r="B1224" s="3">
        <v>12919063</v>
      </c>
      <c r="C1224" s="3" t="s">
        <v>1266</v>
      </c>
      <c r="D1224" s="3" t="s">
        <v>20</v>
      </c>
      <c r="E1224" s="3" t="s">
        <v>21</v>
      </c>
      <c r="F1224" s="3" t="s">
        <v>21</v>
      </c>
      <c r="G1224" s="3" t="s">
        <v>30</v>
      </c>
      <c r="H1224" s="3" t="s">
        <v>31</v>
      </c>
      <c r="I1224" s="3" t="s">
        <v>24</v>
      </c>
      <c r="J1224" s="3" t="s">
        <v>24</v>
      </c>
      <c r="K1224" s="3" t="s">
        <v>25</v>
      </c>
      <c r="L1224" s="4">
        <v>0</v>
      </c>
      <c r="M1224" s="3" t="s">
        <v>26</v>
      </c>
      <c r="N1224" s="3" t="s">
        <v>24</v>
      </c>
      <c r="O1224" s="4">
        <v>1</v>
      </c>
      <c r="P1224" s="4">
        <v>9</v>
      </c>
      <c r="Q1224" s="4">
        <v>1</v>
      </c>
    </row>
    <row r="1225" spans="1:17" x14ac:dyDescent="0.25">
      <c r="A1225" s="3" t="s">
        <v>18</v>
      </c>
      <c r="B1225" s="3">
        <v>12919064</v>
      </c>
      <c r="C1225" s="3" t="s">
        <v>1267</v>
      </c>
      <c r="D1225" s="3" t="s">
        <v>20</v>
      </c>
      <c r="E1225" s="3" t="s">
        <v>21</v>
      </c>
      <c r="F1225" s="3" t="s">
        <v>21</v>
      </c>
      <c r="G1225" s="3" t="s">
        <v>30</v>
      </c>
      <c r="H1225" s="3" t="s">
        <v>31</v>
      </c>
      <c r="I1225" s="3" t="s">
        <v>24</v>
      </c>
      <c r="J1225" s="3" t="s">
        <v>24</v>
      </c>
      <c r="K1225" s="3" t="s">
        <v>25</v>
      </c>
      <c r="L1225" s="4">
        <v>0</v>
      </c>
      <c r="M1225" s="3" t="s">
        <v>26</v>
      </c>
      <c r="N1225" s="3" t="s">
        <v>24</v>
      </c>
      <c r="O1225" s="4">
        <v>1</v>
      </c>
      <c r="P1225" s="4">
        <v>9</v>
      </c>
      <c r="Q1225" s="4">
        <v>1</v>
      </c>
    </row>
    <row r="1226" spans="1:17" x14ac:dyDescent="0.25">
      <c r="A1226" s="3" t="s">
        <v>18</v>
      </c>
      <c r="B1226" s="3">
        <v>12919065</v>
      </c>
      <c r="C1226" s="3" t="s">
        <v>1268</v>
      </c>
      <c r="D1226" s="3" t="s">
        <v>20</v>
      </c>
      <c r="E1226" s="3" t="s">
        <v>21</v>
      </c>
      <c r="F1226" s="3" t="s">
        <v>21</v>
      </c>
      <c r="G1226" s="3" t="s">
        <v>30</v>
      </c>
      <c r="H1226" s="3" t="s">
        <v>31</v>
      </c>
      <c r="I1226" s="3" t="s">
        <v>24</v>
      </c>
      <c r="J1226" s="3" t="s">
        <v>24</v>
      </c>
      <c r="K1226" s="3" t="s">
        <v>25</v>
      </c>
      <c r="L1226" s="4">
        <v>0</v>
      </c>
      <c r="M1226" s="3" t="s">
        <v>26</v>
      </c>
      <c r="N1226" s="3" t="s">
        <v>24</v>
      </c>
      <c r="O1226" s="4">
        <v>1</v>
      </c>
      <c r="P1226" s="4">
        <v>8</v>
      </c>
      <c r="Q1226" s="4">
        <v>1</v>
      </c>
    </row>
    <row r="1227" spans="1:17" x14ac:dyDescent="0.25">
      <c r="A1227" s="3" t="s">
        <v>18</v>
      </c>
      <c r="B1227" s="3">
        <v>12919066</v>
      </c>
      <c r="C1227" s="3" t="s">
        <v>1269</v>
      </c>
      <c r="D1227" s="3" t="s">
        <v>20</v>
      </c>
      <c r="E1227" s="3" t="s">
        <v>21</v>
      </c>
      <c r="F1227" s="3" t="s">
        <v>21</v>
      </c>
      <c r="G1227" s="3" t="s">
        <v>30</v>
      </c>
      <c r="H1227" s="3" t="s">
        <v>31</v>
      </c>
      <c r="I1227" s="3" t="s">
        <v>24</v>
      </c>
      <c r="J1227" s="3" t="s">
        <v>24</v>
      </c>
      <c r="K1227" s="3" t="s">
        <v>25</v>
      </c>
      <c r="L1227" s="4">
        <v>0</v>
      </c>
      <c r="M1227" s="3" t="s">
        <v>26</v>
      </c>
      <c r="N1227" s="3" t="s">
        <v>24</v>
      </c>
      <c r="O1227" s="4">
        <v>1</v>
      </c>
      <c r="P1227" s="4">
        <v>8</v>
      </c>
      <c r="Q1227" s="4">
        <v>1</v>
      </c>
    </row>
    <row r="1228" spans="1:17" x14ac:dyDescent="0.25">
      <c r="A1228" s="3" t="s">
        <v>18</v>
      </c>
      <c r="B1228" s="3">
        <v>12919168</v>
      </c>
      <c r="C1228" s="3" t="s">
        <v>1270</v>
      </c>
      <c r="D1228" s="3" t="s">
        <v>20</v>
      </c>
      <c r="E1228" s="3" t="s">
        <v>21</v>
      </c>
      <c r="F1228" s="3" t="s">
        <v>21</v>
      </c>
      <c r="G1228" s="3" t="s">
        <v>30</v>
      </c>
      <c r="H1228" s="3" t="s">
        <v>31</v>
      </c>
      <c r="I1228" s="3" t="s">
        <v>24</v>
      </c>
      <c r="J1228" s="3" t="s">
        <v>24</v>
      </c>
      <c r="K1228" s="3" t="s">
        <v>25</v>
      </c>
      <c r="L1228" s="4">
        <v>0</v>
      </c>
      <c r="M1228" s="3" t="s">
        <v>26</v>
      </c>
      <c r="N1228" s="3" t="s">
        <v>24</v>
      </c>
      <c r="O1228" s="4">
        <v>1</v>
      </c>
      <c r="P1228" s="4">
        <v>8</v>
      </c>
      <c r="Q1228" s="4">
        <v>1</v>
      </c>
    </row>
    <row r="1229" spans="1:17" x14ac:dyDescent="0.25">
      <c r="A1229" s="3" t="s">
        <v>18</v>
      </c>
      <c r="B1229" s="3">
        <v>12919169</v>
      </c>
      <c r="C1229" s="3" t="s">
        <v>1271</v>
      </c>
      <c r="D1229" s="3" t="s">
        <v>20</v>
      </c>
      <c r="E1229" s="3" t="s">
        <v>21</v>
      </c>
      <c r="F1229" s="3" t="s">
        <v>21</v>
      </c>
      <c r="G1229" s="3" t="s">
        <v>30</v>
      </c>
      <c r="H1229" s="3" t="s">
        <v>31</v>
      </c>
      <c r="I1229" s="3" t="s">
        <v>24</v>
      </c>
      <c r="J1229" s="3" t="s">
        <v>24</v>
      </c>
      <c r="K1229" s="3" t="s">
        <v>25</v>
      </c>
      <c r="L1229" s="4">
        <v>0</v>
      </c>
      <c r="M1229" s="3" t="s">
        <v>26</v>
      </c>
      <c r="N1229" s="3" t="s">
        <v>24</v>
      </c>
      <c r="O1229" s="4">
        <v>1</v>
      </c>
      <c r="P1229" s="4">
        <v>8</v>
      </c>
      <c r="Q1229" s="4">
        <v>1</v>
      </c>
    </row>
    <row r="1230" spans="1:17" x14ac:dyDescent="0.25">
      <c r="A1230" s="3" t="s">
        <v>18</v>
      </c>
      <c r="B1230" s="3">
        <v>12919170</v>
      </c>
      <c r="C1230" s="3" t="s">
        <v>1272</v>
      </c>
      <c r="D1230" s="3" t="s">
        <v>20</v>
      </c>
      <c r="E1230" s="3" t="s">
        <v>21</v>
      </c>
      <c r="F1230" s="3" t="s">
        <v>21</v>
      </c>
      <c r="G1230" s="3" t="s">
        <v>30</v>
      </c>
      <c r="H1230" s="3" t="s">
        <v>31</v>
      </c>
      <c r="I1230" s="3" t="s">
        <v>24</v>
      </c>
      <c r="J1230" s="3" t="s">
        <v>24</v>
      </c>
      <c r="K1230" s="3" t="s">
        <v>25</v>
      </c>
      <c r="L1230" s="4">
        <v>0</v>
      </c>
      <c r="M1230" s="3" t="s">
        <v>26</v>
      </c>
      <c r="N1230" s="3" t="s">
        <v>24</v>
      </c>
      <c r="O1230" s="4">
        <v>1</v>
      </c>
      <c r="P1230" s="4">
        <v>8</v>
      </c>
      <c r="Q1230" s="4">
        <v>1</v>
      </c>
    </row>
    <row r="1231" spans="1:17" x14ac:dyDescent="0.25">
      <c r="A1231" s="3" t="s">
        <v>18</v>
      </c>
      <c r="B1231" s="3">
        <v>12919171</v>
      </c>
      <c r="C1231" s="3" t="s">
        <v>1273</v>
      </c>
      <c r="D1231" s="3" t="s">
        <v>20</v>
      </c>
      <c r="E1231" s="3" t="s">
        <v>21</v>
      </c>
      <c r="F1231" s="3" t="s">
        <v>21</v>
      </c>
      <c r="G1231" s="3" t="s">
        <v>22</v>
      </c>
      <c r="H1231" s="3" t="s">
        <v>23</v>
      </c>
      <c r="I1231" s="3" t="s">
        <v>24</v>
      </c>
      <c r="J1231" s="3" t="s">
        <v>24</v>
      </c>
      <c r="K1231" s="3" t="s">
        <v>25</v>
      </c>
      <c r="L1231" s="4">
        <v>0</v>
      </c>
      <c r="M1231" s="3" t="s">
        <v>26</v>
      </c>
      <c r="N1231" s="3" t="s">
        <v>24</v>
      </c>
      <c r="O1231" s="4">
        <v>1</v>
      </c>
      <c r="P1231" s="4">
        <v>4</v>
      </c>
      <c r="Q1231" s="4">
        <v>1</v>
      </c>
    </row>
    <row r="1232" spans="1:17" x14ac:dyDescent="0.25">
      <c r="A1232" s="3" t="s">
        <v>18</v>
      </c>
      <c r="B1232" s="3">
        <v>12919175</v>
      </c>
      <c r="C1232" s="3" t="s">
        <v>1274</v>
      </c>
      <c r="D1232" s="3" t="s">
        <v>20</v>
      </c>
      <c r="E1232" s="3" t="s">
        <v>21</v>
      </c>
      <c r="F1232" s="3" t="s">
        <v>21</v>
      </c>
      <c r="G1232" s="3" t="s">
        <v>22</v>
      </c>
      <c r="H1232" s="3" t="s">
        <v>23</v>
      </c>
      <c r="I1232" s="3" t="s">
        <v>24</v>
      </c>
      <c r="J1232" s="3" t="s">
        <v>24</v>
      </c>
      <c r="K1232" s="3" t="s">
        <v>25</v>
      </c>
      <c r="L1232" s="4">
        <v>0</v>
      </c>
      <c r="M1232" s="3" t="s">
        <v>26</v>
      </c>
      <c r="N1232" s="3" t="s">
        <v>24</v>
      </c>
      <c r="O1232" s="4">
        <v>1</v>
      </c>
      <c r="P1232" s="4">
        <v>4</v>
      </c>
      <c r="Q1232" s="4">
        <v>1</v>
      </c>
    </row>
    <row r="1233" spans="1:17" x14ac:dyDescent="0.25">
      <c r="A1233" s="3" t="s">
        <v>18</v>
      </c>
      <c r="B1233" s="3">
        <v>12919176</v>
      </c>
      <c r="C1233" s="3" t="s">
        <v>1275</v>
      </c>
      <c r="D1233" s="3" t="s">
        <v>20</v>
      </c>
      <c r="E1233" s="3" t="s">
        <v>21</v>
      </c>
      <c r="F1233" s="3" t="s">
        <v>21</v>
      </c>
      <c r="G1233" s="3" t="s">
        <v>22</v>
      </c>
      <c r="H1233" s="3" t="s">
        <v>23</v>
      </c>
      <c r="I1233" s="3" t="s">
        <v>24</v>
      </c>
      <c r="J1233" s="3" t="s">
        <v>24</v>
      </c>
      <c r="K1233" s="3" t="s">
        <v>25</v>
      </c>
      <c r="L1233" s="4">
        <v>0</v>
      </c>
      <c r="M1233" s="3" t="s">
        <v>26</v>
      </c>
      <c r="N1233" s="3" t="s">
        <v>24</v>
      </c>
      <c r="O1233" s="4">
        <v>1</v>
      </c>
      <c r="P1233" s="4">
        <v>4</v>
      </c>
      <c r="Q1233" s="4">
        <v>1</v>
      </c>
    </row>
    <row r="1234" spans="1:17" x14ac:dyDescent="0.25">
      <c r="A1234" s="3" t="s">
        <v>18</v>
      </c>
      <c r="B1234" s="3">
        <v>12919230</v>
      </c>
      <c r="C1234" s="3" t="s">
        <v>1276</v>
      </c>
      <c r="D1234" s="3" t="s">
        <v>20</v>
      </c>
      <c r="E1234" s="3" t="s">
        <v>21</v>
      </c>
      <c r="F1234" s="3" t="s">
        <v>21</v>
      </c>
      <c r="G1234" s="3" t="s">
        <v>36</v>
      </c>
      <c r="H1234" s="3" t="s">
        <v>37</v>
      </c>
      <c r="I1234" s="3" t="s">
        <v>24</v>
      </c>
      <c r="J1234" s="3" t="s">
        <v>24</v>
      </c>
      <c r="K1234" s="3" t="s">
        <v>25</v>
      </c>
      <c r="L1234" s="4">
        <v>0</v>
      </c>
      <c r="M1234" s="3" t="s">
        <v>26</v>
      </c>
      <c r="N1234" s="3" t="s">
        <v>24</v>
      </c>
      <c r="O1234" s="4">
        <v>1</v>
      </c>
      <c r="P1234" s="4">
        <v>10</v>
      </c>
      <c r="Q1234" s="4">
        <v>1</v>
      </c>
    </row>
    <row r="1235" spans="1:17" x14ac:dyDescent="0.25">
      <c r="A1235" s="3" t="s">
        <v>18</v>
      </c>
      <c r="B1235" s="3">
        <v>12939875</v>
      </c>
      <c r="C1235" s="3" t="s">
        <v>1277</v>
      </c>
      <c r="D1235" s="3" t="s">
        <v>20</v>
      </c>
      <c r="E1235" s="3" t="s">
        <v>21</v>
      </c>
      <c r="F1235" s="3" t="s">
        <v>21</v>
      </c>
      <c r="G1235" s="3" t="s">
        <v>22</v>
      </c>
      <c r="H1235" s="3" t="s">
        <v>23</v>
      </c>
      <c r="I1235" s="3" t="s">
        <v>24</v>
      </c>
      <c r="J1235" s="3" t="s">
        <v>24</v>
      </c>
      <c r="K1235" s="3" t="s">
        <v>25</v>
      </c>
      <c r="L1235" s="4">
        <v>0</v>
      </c>
      <c r="M1235" s="3" t="s">
        <v>26</v>
      </c>
      <c r="N1235" s="3" t="s">
        <v>24</v>
      </c>
      <c r="O1235" s="4">
        <v>1</v>
      </c>
      <c r="P1235" s="4">
        <v>4</v>
      </c>
      <c r="Q1235" s="4">
        <v>1</v>
      </c>
    </row>
    <row r="1236" spans="1:17" x14ac:dyDescent="0.25">
      <c r="A1236" s="3" t="s">
        <v>18</v>
      </c>
      <c r="B1236" s="3">
        <v>12939942</v>
      </c>
      <c r="C1236" s="3" t="s">
        <v>1278</v>
      </c>
      <c r="D1236" s="3" t="s">
        <v>20</v>
      </c>
      <c r="E1236" s="3" t="s">
        <v>21</v>
      </c>
      <c r="F1236" s="3" t="s">
        <v>21</v>
      </c>
      <c r="G1236" s="3" t="s">
        <v>42</v>
      </c>
      <c r="H1236" s="3" t="s">
        <v>43</v>
      </c>
      <c r="I1236" s="3" t="s">
        <v>24</v>
      </c>
      <c r="J1236" s="3" t="s">
        <v>24</v>
      </c>
      <c r="K1236" s="3" t="s">
        <v>25</v>
      </c>
      <c r="L1236" s="4">
        <v>0</v>
      </c>
      <c r="M1236" s="3" t="s">
        <v>26</v>
      </c>
      <c r="N1236" s="3" t="s">
        <v>24</v>
      </c>
      <c r="O1236" s="4">
        <v>1</v>
      </c>
      <c r="P1236" s="4">
        <v>8</v>
      </c>
      <c r="Q1236" s="4">
        <v>1</v>
      </c>
    </row>
    <row r="1237" spans="1:17" x14ac:dyDescent="0.25">
      <c r="A1237" s="3" t="s">
        <v>18</v>
      </c>
      <c r="B1237" s="3">
        <v>12944177</v>
      </c>
      <c r="C1237" s="3" t="s">
        <v>1279</v>
      </c>
      <c r="D1237" s="3" t="s">
        <v>20</v>
      </c>
      <c r="E1237" s="3" t="s">
        <v>21</v>
      </c>
      <c r="F1237" s="3" t="s">
        <v>21</v>
      </c>
      <c r="G1237" s="3" t="s">
        <v>233</v>
      </c>
      <c r="H1237" s="3" t="s">
        <v>234</v>
      </c>
      <c r="I1237" s="3" t="s">
        <v>24</v>
      </c>
      <c r="J1237" s="3" t="s">
        <v>24</v>
      </c>
      <c r="K1237" s="3" t="s">
        <v>25</v>
      </c>
      <c r="L1237" s="4">
        <v>0</v>
      </c>
      <c r="M1237" s="3" t="s">
        <v>26</v>
      </c>
      <c r="N1237" s="3" t="s">
        <v>24</v>
      </c>
      <c r="O1237" s="4">
        <v>1</v>
      </c>
      <c r="P1237" s="4">
        <v>99999999</v>
      </c>
      <c r="Q1237" s="4">
        <v>1</v>
      </c>
    </row>
    <row r="1238" spans="1:17" x14ac:dyDescent="0.25">
      <c r="A1238" s="3" t="s">
        <v>18</v>
      </c>
      <c r="B1238" s="3">
        <v>12948171</v>
      </c>
      <c r="C1238" s="3" t="s">
        <v>1280</v>
      </c>
      <c r="D1238" s="3" t="s">
        <v>20</v>
      </c>
      <c r="E1238" s="3" t="s">
        <v>21</v>
      </c>
      <c r="F1238" s="3" t="s">
        <v>21</v>
      </c>
      <c r="G1238" s="3" t="s">
        <v>410</v>
      </c>
      <c r="H1238" s="3" t="s">
        <v>411</v>
      </c>
      <c r="I1238" s="3" t="s">
        <v>24</v>
      </c>
      <c r="J1238" s="3" t="s">
        <v>24</v>
      </c>
      <c r="K1238" s="3" t="s">
        <v>25</v>
      </c>
      <c r="L1238" s="4">
        <v>0</v>
      </c>
      <c r="M1238" s="3" t="s">
        <v>26</v>
      </c>
      <c r="N1238" s="3" t="s">
        <v>24</v>
      </c>
      <c r="O1238" s="4">
        <v>1</v>
      </c>
      <c r="P1238" s="4">
        <v>10</v>
      </c>
      <c r="Q1238" s="4">
        <v>1</v>
      </c>
    </row>
    <row r="1239" spans="1:17" x14ac:dyDescent="0.25">
      <c r="A1239" s="3" t="s">
        <v>18</v>
      </c>
      <c r="B1239" s="3">
        <v>12954027</v>
      </c>
      <c r="C1239" s="3" t="s">
        <v>1281</v>
      </c>
      <c r="D1239" s="3" t="s">
        <v>20</v>
      </c>
      <c r="E1239" s="3" t="s">
        <v>21</v>
      </c>
      <c r="F1239" s="3" t="s">
        <v>21</v>
      </c>
      <c r="G1239" s="3" t="s">
        <v>410</v>
      </c>
      <c r="H1239" s="3" t="s">
        <v>411</v>
      </c>
      <c r="I1239" s="3" t="s">
        <v>24</v>
      </c>
      <c r="J1239" s="3" t="s">
        <v>24</v>
      </c>
      <c r="K1239" s="3" t="s">
        <v>25</v>
      </c>
      <c r="L1239" s="4">
        <v>0</v>
      </c>
      <c r="M1239" s="3" t="s">
        <v>26</v>
      </c>
      <c r="N1239" s="3" t="s">
        <v>24</v>
      </c>
      <c r="O1239" s="4">
        <v>1</v>
      </c>
      <c r="P1239" s="4">
        <v>2</v>
      </c>
      <c r="Q1239" s="4">
        <v>1</v>
      </c>
    </row>
    <row r="1240" spans="1:17" x14ac:dyDescent="0.25">
      <c r="A1240" s="3" t="s">
        <v>18</v>
      </c>
      <c r="B1240" s="3">
        <v>12954181</v>
      </c>
      <c r="C1240" s="3" t="s">
        <v>1282</v>
      </c>
      <c r="D1240" s="3" t="s">
        <v>20</v>
      </c>
      <c r="E1240" s="3" t="s">
        <v>21</v>
      </c>
      <c r="F1240" s="3" t="s">
        <v>21</v>
      </c>
      <c r="G1240" s="3" t="s">
        <v>410</v>
      </c>
      <c r="H1240" s="3" t="s">
        <v>411</v>
      </c>
      <c r="I1240" s="3" t="s">
        <v>24</v>
      </c>
      <c r="J1240" s="3" t="s">
        <v>24</v>
      </c>
      <c r="K1240" s="3" t="s">
        <v>25</v>
      </c>
      <c r="L1240" s="4">
        <v>0</v>
      </c>
      <c r="M1240" s="3" t="s">
        <v>26</v>
      </c>
      <c r="N1240" s="3" t="s">
        <v>24</v>
      </c>
      <c r="O1240" s="4">
        <v>1</v>
      </c>
      <c r="P1240" s="4">
        <v>2</v>
      </c>
      <c r="Q1240" s="4">
        <v>1</v>
      </c>
    </row>
    <row r="1241" spans="1:17" x14ac:dyDescent="0.25">
      <c r="A1241" s="3" t="s">
        <v>18</v>
      </c>
      <c r="B1241" s="3">
        <v>12954182</v>
      </c>
      <c r="C1241" s="3" t="s">
        <v>1283</v>
      </c>
      <c r="D1241" s="3" t="s">
        <v>20</v>
      </c>
      <c r="E1241" s="3" t="s">
        <v>21</v>
      </c>
      <c r="F1241" s="3" t="s">
        <v>21</v>
      </c>
      <c r="G1241" s="3" t="s">
        <v>410</v>
      </c>
      <c r="H1241" s="3" t="s">
        <v>411</v>
      </c>
      <c r="I1241" s="3" t="s">
        <v>24</v>
      </c>
      <c r="J1241" s="3" t="s">
        <v>24</v>
      </c>
      <c r="K1241" s="3" t="s">
        <v>25</v>
      </c>
      <c r="L1241" s="4">
        <v>0</v>
      </c>
      <c r="M1241" s="3" t="s">
        <v>26</v>
      </c>
      <c r="N1241" s="3" t="s">
        <v>24</v>
      </c>
      <c r="O1241" s="4">
        <v>1</v>
      </c>
      <c r="P1241" s="4">
        <v>1</v>
      </c>
      <c r="Q1241" s="4">
        <v>1</v>
      </c>
    </row>
    <row r="1242" spans="1:17" x14ac:dyDescent="0.25">
      <c r="A1242" s="3" t="s">
        <v>18</v>
      </c>
      <c r="B1242" s="3">
        <v>12954185</v>
      </c>
      <c r="C1242" s="3" t="s">
        <v>1284</v>
      </c>
      <c r="D1242" s="3" t="s">
        <v>20</v>
      </c>
      <c r="E1242" s="3" t="s">
        <v>21</v>
      </c>
      <c r="F1242" s="3" t="s">
        <v>21</v>
      </c>
      <c r="G1242" s="3" t="s">
        <v>410</v>
      </c>
      <c r="H1242" s="3" t="s">
        <v>411</v>
      </c>
      <c r="I1242" s="3" t="s">
        <v>24</v>
      </c>
      <c r="J1242" s="3" t="s">
        <v>24</v>
      </c>
      <c r="K1242" s="3" t="s">
        <v>25</v>
      </c>
      <c r="L1242" s="4">
        <v>0</v>
      </c>
      <c r="M1242" s="3" t="s">
        <v>26</v>
      </c>
      <c r="N1242" s="3" t="s">
        <v>24</v>
      </c>
      <c r="O1242" s="4">
        <v>1</v>
      </c>
      <c r="P1242" s="4">
        <v>1</v>
      </c>
      <c r="Q1242" s="4">
        <v>1</v>
      </c>
    </row>
    <row r="1243" spans="1:17" x14ac:dyDescent="0.25">
      <c r="A1243" s="3" t="s">
        <v>18</v>
      </c>
      <c r="B1243" s="3">
        <v>12954186</v>
      </c>
      <c r="C1243" s="3" t="s">
        <v>1285</v>
      </c>
      <c r="D1243" s="3" t="s">
        <v>20</v>
      </c>
      <c r="E1243" s="3" t="s">
        <v>21</v>
      </c>
      <c r="F1243" s="3" t="s">
        <v>21</v>
      </c>
      <c r="G1243" s="3" t="s">
        <v>410</v>
      </c>
      <c r="H1243" s="3" t="s">
        <v>411</v>
      </c>
      <c r="I1243" s="3" t="s">
        <v>24</v>
      </c>
      <c r="J1243" s="3" t="s">
        <v>24</v>
      </c>
      <c r="K1243" s="3" t="s">
        <v>25</v>
      </c>
      <c r="L1243" s="4">
        <v>0</v>
      </c>
      <c r="M1243" s="3" t="s">
        <v>26</v>
      </c>
      <c r="N1243" s="3" t="s">
        <v>24</v>
      </c>
      <c r="O1243" s="4">
        <v>1</v>
      </c>
      <c r="P1243" s="4">
        <v>1</v>
      </c>
      <c r="Q1243" s="4">
        <v>1</v>
      </c>
    </row>
    <row r="1244" spans="1:17" x14ac:dyDescent="0.25">
      <c r="A1244" s="3" t="s">
        <v>18</v>
      </c>
      <c r="B1244" s="3">
        <v>12954187</v>
      </c>
      <c r="C1244" s="3" t="s">
        <v>1286</v>
      </c>
      <c r="D1244" s="3" t="s">
        <v>20</v>
      </c>
      <c r="E1244" s="3" t="s">
        <v>21</v>
      </c>
      <c r="F1244" s="3" t="s">
        <v>21</v>
      </c>
      <c r="G1244" s="3" t="s">
        <v>410</v>
      </c>
      <c r="H1244" s="3" t="s">
        <v>411</v>
      </c>
      <c r="I1244" s="3" t="s">
        <v>24</v>
      </c>
      <c r="J1244" s="3" t="s">
        <v>24</v>
      </c>
      <c r="K1244" s="3" t="s">
        <v>25</v>
      </c>
      <c r="L1244" s="4">
        <v>0</v>
      </c>
      <c r="M1244" s="3" t="s">
        <v>26</v>
      </c>
      <c r="N1244" s="3" t="s">
        <v>24</v>
      </c>
      <c r="O1244" s="4">
        <v>1</v>
      </c>
      <c r="P1244" s="4">
        <v>2</v>
      </c>
      <c r="Q1244" s="4">
        <v>1</v>
      </c>
    </row>
    <row r="1245" spans="1:17" x14ac:dyDescent="0.25">
      <c r="A1245" s="3" t="s">
        <v>18</v>
      </c>
      <c r="B1245" s="3">
        <v>12954278</v>
      </c>
      <c r="C1245" s="3" t="s">
        <v>1287</v>
      </c>
      <c r="D1245" s="3" t="s">
        <v>20</v>
      </c>
      <c r="E1245" s="3" t="s">
        <v>21</v>
      </c>
      <c r="F1245" s="3" t="s">
        <v>21</v>
      </c>
      <c r="G1245" s="3" t="s">
        <v>410</v>
      </c>
      <c r="H1245" s="3" t="s">
        <v>411</v>
      </c>
      <c r="I1245" s="3" t="s">
        <v>24</v>
      </c>
      <c r="J1245" s="3" t="s">
        <v>24</v>
      </c>
      <c r="K1245" s="3" t="s">
        <v>25</v>
      </c>
      <c r="L1245" s="4">
        <v>0</v>
      </c>
      <c r="M1245" s="3" t="s">
        <v>26</v>
      </c>
      <c r="N1245" s="3" t="s">
        <v>24</v>
      </c>
      <c r="O1245" s="4">
        <v>1</v>
      </c>
      <c r="P1245" s="4">
        <v>2</v>
      </c>
      <c r="Q1245" s="4">
        <v>1</v>
      </c>
    </row>
    <row r="1246" spans="1:17" x14ac:dyDescent="0.25">
      <c r="A1246" s="3" t="s">
        <v>18</v>
      </c>
      <c r="B1246" s="3">
        <v>12954279</v>
      </c>
      <c r="C1246" s="3" t="s">
        <v>1288</v>
      </c>
      <c r="D1246" s="3" t="s">
        <v>20</v>
      </c>
      <c r="E1246" s="3" t="s">
        <v>21</v>
      </c>
      <c r="F1246" s="3" t="s">
        <v>21</v>
      </c>
      <c r="G1246" s="3" t="s">
        <v>410</v>
      </c>
      <c r="H1246" s="3" t="s">
        <v>411</v>
      </c>
      <c r="I1246" s="3" t="s">
        <v>24</v>
      </c>
      <c r="J1246" s="3" t="s">
        <v>24</v>
      </c>
      <c r="K1246" s="3" t="s">
        <v>25</v>
      </c>
      <c r="L1246" s="4">
        <v>0</v>
      </c>
      <c r="M1246" s="3" t="s">
        <v>26</v>
      </c>
      <c r="N1246" s="3" t="s">
        <v>24</v>
      </c>
      <c r="O1246" s="4">
        <v>1</v>
      </c>
      <c r="P1246" s="4">
        <v>1</v>
      </c>
      <c r="Q1246" s="4">
        <v>1</v>
      </c>
    </row>
    <row r="1247" spans="1:17" x14ac:dyDescent="0.25">
      <c r="A1247" s="3" t="s">
        <v>18</v>
      </c>
      <c r="B1247" s="3">
        <v>12954280</v>
      </c>
      <c r="C1247" s="3" t="s">
        <v>1289</v>
      </c>
      <c r="D1247" s="3" t="s">
        <v>20</v>
      </c>
      <c r="E1247" s="3" t="s">
        <v>21</v>
      </c>
      <c r="F1247" s="3" t="s">
        <v>21</v>
      </c>
      <c r="G1247" s="3" t="s">
        <v>410</v>
      </c>
      <c r="H1247" s="3" t="s">
        <v>411</v>
      </c>
      <c r="I1247" s="3" t="s">
        <v>24</v>
      </c>
      <c r="J1247" s="3" t="s">
        <v>24</v>
      </c>
      <c r="K1247" s="3" t="s">
        <v>25</v>
      </c>
      <c r="L1247" s="4">
        <v>0</v>
      </c>
      <c r="M1247" s="3" t="s">
        <v>26</v>
      </c>
      <c r="N1247" s="3" t="s">
        <v>24</v>
      </c>
      <c r="O1247" s="4">
        <v>1</v>
      </c>
      <c r="P1247" s="4">
        <v>1</v>
      </c>
      <c r="Q1247" s="4">
        <v>1</v>
      </c>
    </row>
    <row r="1248" spans="1:17" x14ac:dyDescent="0.25">
      <c r="A1248" s="3" t="s">
        <v>18</v>
      </c>
      <c r="B1248" s="3">
        <v>12954281</v>
      </c>
      <c r="C1248" s="3" t="s">
        <v>1290</v>
      </c>
      <c r="D1248" s="3" t="s">
        <v>20</v>
      </c>
      <c r="E1248" s="3" t="s">
        <v>21</v>
      </c>
      <c r="F1248" s="3" t="s">
        <v>21</v>
      </c>
      <c r="G1248" s="3" t="s">
        <v>410</v>
      </c>
      <c r="H1248" s="3" t="s">
        <v>411</v>
      </c>
      <c r="I1248" s="3" t="s">
        <v>24</v>
      </c>
      <c r="J1248" s="3" t="s">
        <v>24</v>
      </c>
      <c r="K1248" s="3" t="s">
        <v>25</v>
      </c>
      <c r="L1248" s="4">
        <v>0</v>
      </c>
      <c r="M1248" s="3" t="s">
        <v>26</v>
      </c>
      <c r="N1248" s="3" t="s">
        <v>24</v>
      </c>
      <c r="O1248" s="4">
        <v>1</v>
      </c>
      <c r="P1248" s="4">
        <v>1</v>
      </c>
      <c r="Q1248" s="4">
        <v>1</v>
      </c>
    </row>
    <row r="1249" spans="1:17" x14ac:dyDescent="0.25">
      <c r="A1249" s="3" t="s">
        <v>18</v>
      </c>
      <c r="B1249" s="3">
        <v>12954282</v>
      </c>
      <c r="C1249" s="3" t="s">
        <v>1291</v>
      </c>
      <c r="D1249" s="3" t="s">
        <v>20</v>
      </c>
      <c r="E1249" s="3" t="s">
        <v>21</v>
      </c>
      <c r="F1249" s="3" t="s">
        <v>21</v>
      </c>
      <c r="G1249" s="3" t="s">
        <v>410</v>
      </c>
      <c r="H1249" s="3" t="s">
        <v>411</v>
      </c>
      <c r="I1249" s="3" t="s">
        <v>24</v>
      </c>
      <c r="J1249" s="3" t="s">
        <v>24</v>
      </c>
      <c r="K1249" s="3" t="s">
        <v>25</v>
      </c>
      <c r="L1249" s="4">
        <v>0</v>
      </c>
      <c r="M1249" s="3" t="s">
        <v>26</v>
      </c>
      <c r="N1249" s="3" t="s">
        <v>24</v>
      </c>
      <c r="O1249" s="4">
        <v>1</v>
      </c>
      <c r="P1249" s="4">
        <v>1</v>
      </c>
      <c r="Q1249" s="4">
        <v>1</v>
      </c>
    </row>
    <row r="1250" spans="1:17" x14ac:dyDescent="0.25">
      <c r="A1250" s="3" t="s">
        <v>18</v>
      </c>
      <c r="B1250" s="3">
        <v>12954283</v>
      </c>
      <c r="C1250" s="3" t="s">
        <v>1292</v>
      </c>
      <c r="D1250" s="3" t="s">
        <v>20</v>
      </c>
      <c r="E1250" s="3" t="s">
        <v>21</v>
      </c>
      <c r="F1250" s="3" t="s">
        <v>21</v>
      </c>
      <c r="G1250" s="3" t="s">
        <v>410</v>
      </c>
      <c r="H1250" s="3" t="s">
        <v>411</v>
      </c>
      <c r="I1250" s="3" t="s">
        <v>24</v>
      </c>
      <c r="J1250" s="3" t="s">
        <v>24</v>
      </c>
      <c r="K1250" s="3" t="s">
        <v>25</v>
      </c>
      <c r="L1250" s="4">
        <v>0</v>
      </c>
      <c r="M1250" s="3" t="s">
        <v>26</v>
      </c>
      <c r="N1250" s="3" t="s">
        <v>24</v>
      </c>
      <c r="O1250" s="4">
        <v>1</v>
      </c>
      <c r="P1250" s="4">
        <v>1</v>
      </c>
      <c r="Q1250" s="4">
        <v>1</v>
      </c>
    </row>
    <row r="1251" spans="1:17" x14ac:dyDescent="0.25">
      <c r="A1251" s="3" t="s">
        <v>18</v>
      </c>
      <c r="B1251" s="3">
        <v>12954284</v>
      </c>
      <c r="C1251" s="3" t="s">
        <v>1293</v>
      </c>
      <c r="D1251" s="3" t="s">
        <v>20</v>
      </c>
      <c r="E1251" s="3" t="s">
        <v>21</v>
      </c>
      <c r="F1251" s="3" t="s">
        <v>21</v>
      </c>
      <c r="G1251" s="3" t="s">
        <v>410</v>
      </c>
      <c r="H1251" s="3" t="s">
        <v>411</v>
      </c>
      <c r="I1251" s="3" t="s">
        <v>24</v>
      </c>
      <c r="J1251" s="3" t="s">
        <v>24</v>
      </c>
      <c r="K1251" s="3" t="s">
        <v>25</v>
      </c>
      <c r="L1251" s="4">
        <v>0</v>
      </c>
      <c r="M1251" s="3" t="s">
        <v>26</v>
      </c>
      <c r="N1251" s="3" t="s">
        <v>24</v>
      </c>
      <c r="O1251" s="4">
        <v>1</v>
      </c>
      <c r="P1251" s="4">
        <v>1</v>
      </c>
      <c r="Q1251" s="4">
        <v>1</v>
      </c>
    </row>
    <row r="1252" spans="1:17" x14ac:dyDescent="0.25">
      <c r="A1252" s="3" t="s">
        <v>18</v>
      </c>
      <c r="B1252" s="3">
        <v>12954286</v>
      </c>
      <c r="C1252" s="3" t="s">
        <v>1294</v>
      </c>
      <c r="D1252" s="3" t="s">
        <v>20</v>
      </c>
      <c r="E1252" s="3" t="s">
        <v>21</v>
      </c>
      <c r="F1252" s="3" t="s">
        <v>21</v>
      </c>
      <c r="G1252" s="3" t="s">
        <v>410</v>
      </c>
      <c r="H1252" s="3" t="s">
        <v>411</v>
      </c>
      <c r="I1252" s="3" t="s">
        <v>24</v>
      </c>
      <c r="J1252" s="3" t="s">
        <v>24</v>
      </c>
      <c r="K1252" s="3" t="s">
        <v>25</v>
      </c>
      <c r="L1252" s="4">
        <v>0</v>
      </c>
      <c r="M1252" s="3" t="s">
        <v>26</v>
      </c>
      <c r="N1252" s="3" t="s">
        <v>24</v>
      </c>
      <c r="O1252" s="4">
        <v>1</v>
      </c>
      <c r="P1252" s="4">
        <v>1</v>
      </c>
      <c r="Q1252" s="4">
        <v>1</v>
      </c>
    </row>
    <row r="1253" spans="1:17" x14ac:dyDescent="0.25">
      <c r="A1253" s="3" t="s">
        <v>18</v>
      </c>
      <c r="B1253" s="3">
        <v>12954287</v>
      </c>
      <c r="C1253" s="3" t="s">
        <v>1295</v>
      </c>
      <c r="D1253" s="3" t="s">
        <v>20</v>
      </c>
      <c r="E1253" s="3" t="s">
        <v>21</v>
      </c>
      <c r="F1253" s="3" t="s">
        <v>21</v>
      </c>
      <c r="G1253" s="3" t="s">
        <v>410</v>
      </c>
      <c r="H1253" s="3" t="s">
        <v>411</v>
      </c>
      <c r="I1253" s="3" t="s">
        <v>24</v>
      </c>
      <c r="J1253" s="3" t="s">
        <v>24</v>
      </c>
      <c r="K1253" s="3" t="s">
        <v>25</v>
      </c>
      <c r="L1253" s="4">
        <v>0</v>
      </c>
      <c r="M1253" s="3" t="s">
        <v>26</v>
      </c>
      <c r="N1253" s="3" t="s">
        <v>24</v>
      </c>
      <c r="O1253" s="4">
        <v>1</v>
      </c>
      <c r="P1253" s="4">
        <v>1</v>
      </c>
      <c r="Q1253" s="4">
        <v>1</v>
      </c>
    </row>
    <row r="1254" spans="1:17" x14ac:dyDescent="0.25">
      <c r="A1254" s="3" t="s">
        <v>18</v>
      </c>
      <c r="B1254" s="3">
        <v>12954319</v>
      </c>
      <c r="C1254" s="3" t="s">
        <v>1296</v>
      </c>
      <c r="D1254" s="3" t="s">
        <v>20</v>
      </c>
      <c r="E1254" s="3" t="s">
        <v>21</v>
      </c>
      <c r="F1254" s="3" t="s">
        <v>21</v>
      </c>
      <c r="G1254" s="3" t="s">
        <v>410</v>
      </c>
      <c r="H1254" s="3" t="s">
        <v>411</v>
      </c>
      <c r="I1254" s="3" t="s">
        <v>24</v>
      </c>
      <c r="J1254" s="3" t="s">
        <v>24</v>
      </c>
      <c r="K1254" s="3" t="s">
        <v>25</v>
      </c>
      <c r="L1254" s="4">
        <v>0</v>
      </c>
      <c r="M1254" s="3" t="s">
        <v>26</v>
      </c>
      <c r="N1254" s="3" t="s">
        <v>24</v>
      </c>
      <c r="O1254" s="4">
        <v>1</v>
      </c>
      <c r="P1254" s="4">
        <v>1</v>
      </c>
      <c r="Q1254" s="4">
        <v>1</v>
      </c>
    </row>
    <row r="1255" spans="1:17" x14ac:dyDescent="0.25">
      <c r="A1255" s="3" t="s">
        <v>18</v>
      </c>
      <c r="B1255" s="3">
        <v>12954320</v>
      </c>
      <c r="C1255" s="3" t="s">
        <v>1297</v>
      </c>
      <c r="D1255" s="3" t="s">
        <v>20</v>
      </c>
      <c r="E1255" s="3" t="s">
        <v>21</v>
      </c>
      <c r="F1255" s="3" t="s">
        <v>21</v>
      </c>
      <c r="G1255" s="3" t="s">
        <v>410</v>
      </c>
      <c r="H1255" s="3" t="s">
        <v>411</v>
      </c>
      <c r="I1255" s="3" t="s">
        <v>24</v>
      </c>
      <c r="J1255" s="3" t="s">
        <v>24</v>
      </c>
      <c r="K1255" s="3" t="s">
        <v>25</v>
      </c>
      <c r="L1255" s="4">
        <v>0</v>
      </c>
      <c r="M1255" s="3" t="s">
        <v>26</v>
      </c>
      <c r="N1255" s="3" t="s">
        <v>24</v>
      </c>
      <c r="O1255" s="4">
        <v>1</v>
      </c>
      <c r="P1255" s="4">
        <v>1</v>
      </c>
      <c r="Q1255" s="4">
        <v>1</v>
      </c>
    </row>
    <row r="1256" spans="1:17" x14ac:dyDescent="0.25">
      <c r="A1256" s="3" t="s">
        <v>18</v>
      </c>
      <c r="B1256" s="3">
        <v>12954322</v>
      </c>
      <c r="C1256" s="3" t="s">
        <v>1298</v>
      </c>
      <c r="D1256" s="3" t="s">
        <v>20</v>
      </c>
      <c r="E1256" s="3" t="s">
        <v>21</v>
      </c>
      <c r="F1256" s="3" t="s">
        <v>21</v>
      </c>
      <c r="G1256" s="3" t="s">
        <v>410</v>
      </c>
      <c r="H1256" s="3" t="s">
        <v>411</v>
      </c>
      <c r="I1256" s="3" t="s">
        <v>24</v>
      </c>
      <c r="J1256" s="3" t="s">
        <v>24</v>
      </c>
      <c r="K1256" s="3" t="s">
        <v>25</v>
      </c>
      <c r="L1256" s="4">
        <v>0</v>
      </c>
      <c r="M1256" s="3" t="s">
        <v>26</v>
      </c>
      <c r="N1256" s="3" t="s">
        <v>24</v>
      </c>
      <c r="O1256" s="4">
        <v>1</v>
      </c>
      <c r="P1256" s="4">
        <v>1</v>
      </c>
      <c r="Q1256" s="4">
        <v>1</v>
      </c>
    </row>
    <row r="1257" spans="1:17" x14ac:dyDescent="0.25">
      <c r="A1257" s="3" t="s">
        <v>18</v>
      </c>
      <c r="B1257" s="3">
        <v>12954431</v>
      </c>
      <c r="C1257" s="3" t="s">
        <v>1299</v>
      </c>
      <c r="D1257" s="3" t="s">
        <v>20</v>
      </c>
      <c r="E1257" s="3" t="s">
        <v>21</v>
      </c>
      <c r="F1257" s="3" t="s">
        <v>21</v>
      </c>
      <c r="G1257" s="3" t="s">
        <v>410</v>
      </c>
      <c r="H1257" s="3" t="s">
        <v>411</v>
      </c>
      <c r="I1257" s="3" t="s">
        <v>24</v>
      </c>
      <c r="J1257" s="3" t="s">
        <v>24</v>
      </c>
      <c r="K1257" s="3" t="s">
        <v>25</v>
      </c>
      <c r="L1257" s="4">
        <v>0</v>
      </c>
      <c r="M1257" s="3" t="s">
        <v>26</v>
      </c>
      <c r="N1257" s="3" t="s">
        <v>24</v>
      </c>
      <c r="O1257" s="4">
        <v>1</v>
      </c>
      <c r="P1257" s="4">
        <v>2</v>
      </c>
      <c r="Q1257" s="4">
        <v>1</v>
      </c>
    </row>
    <row r="1258" spans="1:17" x14ac:dyDescent="0.25">
      <c r="A1258" s="3" t="s">
        <v>18</v>
      </c>
      <c r="B1258" s="3">
        <v>12954432</v>
      </c>
      <c r="C1258" s="3" t="s">
        <v>1300</v>
      </c>
      <c r="D1258" s="3" t="s">
        <v>20</v>
      </c>
      <c r="E1258" s="3" t="s">
        <v>21</v>
      </c>
      <c r="F1258" s="3" t="s">
        <v>21</v>
      </c>
      <c r="G1258" s="3" t="s">
        <v>410</v>
      </c>
      <c r="H1258" s="3" t="s">
        <v>411</v>
      </c>
      <c r="I1258" s="3" t="s">
        <v>24</v>
      </c>
      <c r="J1258" s="3" t="s">
        <v>24</v>
      </c>
      <c r="K1258" s="3" t="s">
        <v>25</v>
      </c>
      <c r="L1258" s="4">
        <v>0</v>
      </c>
      <c r="M1258" s="3" t="s">
        <v>26</v>
      </c>
      <c r="N1258" s="3" t="s">
        <v>24</v>
      </c>
      <c r="O1258" s="4">
        <v>1</v>
      </c>
      <c r="P1258" s="4">
        <v>2</v>
      </c>
      <c r="Q1258" s="4">
        <v>1</v>
      </c>
    </row>
    <row r="1259" spans="1:17" x14ac:dyDescent="0.25">
      <c r="A1259" s="3" t="s">
        <v>18</v>
      </c>
      <c r="B1259" s="3">
        <v>12954433</v>
      </c>
      <c r="C1259" s="3" t="s">
        <v>1301</v>
      </c>
      <c r="D1259" s="3" t="s">
        <v>20</v>
      </c>
      <c r="E1259" s="3" t="s">
        <v>21</v>
      </c>
      <c r="F1259" s="3" t="s">
        <v>21</v>
      </c>
      <c r="G1259" s="3" t="s">
        <v>410</v>
      </c>
      <c r="H1259" s="3" t="s">
        <v>411</v>
      </c>
      <c r="I1259" s="3" t="s">
        <v>24</v>
      </c>
      <c r="J1259" s="3" t="s">
        <v>24</v>
      </c>
      <c r="K1259" s="3" t="s">
        <v>25</v>
      </c>
      <c r="L1259" s="4">
        <v>0</v>
      </c>
      <c r="M1259" s="3" t="s">
        <v>26</v>
      </c>
      <c r="N1259" s="3" t="s">
        <v>24</v>
      </c>
      <c r="O1259" s="4">
        <v>1</v>
      </c>
      <c r="P1259" s="4">
        <v>2</v>
      </c>
      <c r="Q1259" s="4">
        <v>1</v>
      </c>
    </row>
    <row r="1260" spans="1:17" x14ac:dyDescent="0.25">
      <c r="A1260" s="3" t="s">
        <v>18</v>
      </c>
      <c r="B1260" s="3">
        <v>12954434</v>
      </c>
      <c r="C1260" s="3" t="s">
        <v>1302</v>
      </c>
      <c r="D1260" s="3" t="s">
        <v>20</v>
      </c>
      <c r="E1260" s="3" t="s">
        <v>21</v>
      </c>
      <c r="F1260" s="3" t="s">
        <v>21</v>
      </c>
      <c r="G1260" s="3" t="s">
        <v>410</v>
      </c>
      <c r="H1260" s="3" t="s">
        <v>411</v>
      </c>
      <c r="I1260" s="3" t="s">
        <v>24</v>
      </c>
      <c r="J1260" s="3" t="s">
        <v>24</v>
      </c>
      <c r="K1260" s="3" t="s">
        <v>25</v>
      </c>
      <c r="L1260" s="4">
        <v>0</v>
      </c>
      <c r="M1260" s="3" t="s">
        <v>26</v>
      </c>
      <c r="N1260" s="3" t="s">
        <v>24</v>
      </c>
      <c r="O1260" s="4">
        <v>1</v>
      </c>
      <c r="P1260" s="4">
        <v>2</v>
      </c>
      <c r="Q1260" s="4">
        <v>1</v>
      </c>
    </row>
    <row r="1261" spans="1:17" x14ac:dyDescent="0.25">
      <c r="A1261" s="3" t="s">
        <v>18</v>
      </c>
      <c r="B1261" s="3">
        <v>12975620</v>
      </c>
      <c r="C1261" s="3" t="s">
        <v>1303</v>
      </c>
      <c r="D1261" s="3" t="s">
        <v>20</v>
      </c>
      <c r="E1261" s="3" t="s">
        <v>21</v>
      </c>
      <c r="F1261" s="3" t="s">
        <v>21</v>
      </c>
      <c r="G1261" s="3" t="s">
        <v>42</v>
      </c>
      <c r="H1261" s="3" t="s">
        <v>43</v>
      </c>
      <c r="I1261" s="3" t="s">
        <v>24</v>
      </c>
      <c r="J1261" s="3" t="s">
        <v>24</v>
      </c>
      <c r="K1261" s="3" t="s">
        <v>25</v>
      </c>
      <c r="L1261" s="4">
        <v>0</v>
      </c>
      <c r="M1261" s="3" t="s">
        <v>26</v>
      </c>
      <c r="N1261" s="3" t="s">
        <v>24</v>
      </c>
      <c r="O1261" s="4">
        <v>1</v>
      </c>
      <c r="P1261" s="4">
        <v>8</v>
      </c>
      <c r="Q1261" s="4">
        <v>1</v>
      </c>
    </row>
    <row r="1262" spans="1:17" x14ac:dyDescent="0.25">
      <c r="A1262" s="3" t="s">
        <v>18</v>
      </c>
      <c r="B1262" s="3">
        <v>12983170</v>
      </c>
      <c r="C1262" s="3" t="s">
        <v>1304</v>
      </c>
      <c r="D1262" s="3" t="s">
        <v>20</v>
      </c>
      <c r="E1262" s="3" t="s">
        <v>21</v>
      </c>
      <c r="F1262" s="3" t="s">
        <v>21</v>
      </c>
      <c r="G1262" s="3" t="s">
        <v>410</v>
      </c>
      <c r="H1262" s="3" t="s">
        <v>411</v>
      </c>
      <c r="I1262" s="3" t="s">
        <v>24</v>
      </c>
      <c r="J1262" s="3" t="s">
        <v>24</v>
      </c>
      <c r="K1262" s="3" t="s">
        <v>25</v>
      </c>
      <c r="L1262" s="4">
        <v>0</v>
      </c>
      <c r="M1262" s="3" t="s">
        <v>26</v>
      </c>
      <c r="N1262" s="3" t="s">
        <v>24</v>
      </c>
      <c r="O1262" s="4">
        <v>1</v>
      </c>
      <c r="P1262" s="4">
        <v>2</v>
      </c>
      <c r="Q1262" s="4">
        <v>1</v>
      </c>
    </row>
    <row r="1263" spans="1:17" x14ac:dyDescent="0.25">
      <c r="A1263" s="3" t="s">
        <v>18</v>
      </c>
      <c r="B1263" s="3">
        <v>12999221</v>
      </c>
      <c r="C1263" s="3" t="s">
        <v>1305</v>
      </c>
      <c r="D1263" s="3" t="s">
        <v>20</v>
      </c>
      <c r="E1263" s="3" t="s">
        <v>21</v>
      </c>
      <c r="F1263" s="3" t="s">
        <v>21</v>
      </c>
      <c r="G1263" s="3" t="s">
        <v>410</v>
      </c>
      <c r="H1263" s="3" t="s">
        <v>411</v>
      </c>
      <c r="I1263" s="3" t="s">
        <v>24</v>
      </c>
      <c r="J1263" s="3" t="s">
        <v>24</v>
      </c>
      <c r="K1263" s="3" t="s">
        <v>25</v>
      </c>
      <c r="L1263" s="4">
        <v>0</v>
      </c>
      <c r="M1263" s="3" t="s">
        <v>26</v>
      </c>
      <c r="N1263" s="3" t="s">
        <v>24</v>
      </c>
      <c r="O1263" s="4">
        <v>1</v>
      </c>
      <c r="P1263" s="4">
        <v>2</v>
      </c>
      <c r="Q1263" s="4">
        <v>1</v>
      </c>
    </row>
    <row r="1264" spans="1:17" x14ac:dyDescent="0.25">
      <c r="A1264" s="3" t="s">
        <v>18</v>
      </c>
      <c r="B1264" s="3">
        <v>13000961</v>
      </c>
      <c r="C1264" s="3" t="s">
        <v>1306</v>
      </c>
      <c r="D1264" s="3" t="s">
        <v>20</v>
      </c>
      <c r="E1264" s="3" t="s">
        <v>21</v>
      </c>
      <c r="F1264" s="3" t="s">
        <v>21</v>
      </c>
      <c r="G1264" s="3" t="s">
        <v>36</v>
      </c>
      <c r="H1264" s="3" t="s">
        <v>37</v>
      </c>
      <c r="I1264" s="3" t="s">
        <v>24</v>
      </c>
      <c r="J1264" s="3" t="s">
        <v>24</v>
      </c>
      <c r="K1264" s="3" t="s">
        <v>25</v>
      </c>
      <c r="L1264" s="4">
        <v>0</v>
      </c>
      <c r="M1264" s="3" t="s">
        <v>26</v>
      </c>
      <c r="N1264" s="3" t="s">
        <v>24</v>
      </c>
      <c r="O1264" s="4">
        <v>1</v>
      </c>
      <c r="P1264" s="4">
        <v>10</v>
      </c>
      <c r="Q1264" s="4">
        <v>1</v>
      </c>
    </row>
    <row r="1265" spans="1:17" x14ac:dyDescent="0.25">
      <c r="A1265" s="3" t="s">
        <v>18</v>
      </c>
      <c r="B1265" s="3">
        <v>13005264</v>
      </c>
      <c r="C1265" s="3" t="s">
        <v>1307</v>
      </c>
      <c r="D1265" s="3" t="s">
        <v>20</v>
      </c>
      <c r="E1265" s="3" t="s">
        <v>21</v>
      </c>
      <c r="F1265" s="3" t="s">
        <v>21</v>
      </c>
      <c r="G1265" s="3" t="s">
        <v>36</v>
      </c>
      <c r="H1265" s="3" t="s">
        <v>37</v>
      </c>
      <c r="I1265" s="3" t="s">
        <v>24</v>
      </c>
      <c r="J1265" s="3" t="s">
        <v>24</v>
      </c>
      <c r="K1265" s="3" t="s">
        <v>25</v>
      </c>
      <c r="L1265" s="4">
        <v>0</v>
      </c>
      <c r="M1265" s="3" t="s">
        <v>26</v>
      </c>
      <c r="N1265" s="3" t="s">
        <v>24</v>
      </c>
      <c r="O1265" s="4">
        <v>1</v>
      </c>
      <c r="P1265" s="4">
        <v>10</v>
      </c>
      <c r="Q1265" s="4">
        <v>1</v>
      </c>
    </row>
    <row r="1266" spans="1:17" x14ac:dyDescent="0.25">
      <c r="A1266" s="3" t="s">
        <v>18</v>
      </c>
      <c r="B1266" s="3">
        <v>13007988</v>
      </c>
      <c r="C1266" s="3" t="s">
        <v>1308</v>
      </c>
      <c r="D1266" s="3" t="s">
        <v>20</v>
      </c>
      <c r="E1266" s="3" t="s">
        <v>21</v>
      </c>
      <c r="F1266" s="3" t="s">
        <v>21</v>
      </c>
      <c r="G1266" s="3" t="s">
        <v>30</v>
      </c>
      <c r="H1266" s="3" t="s">
        <v>31</v>
      </c>
      <c r="I1266" s="3" t="s">
        <v>24</v>
      </c>
      <c r="J1266" s="3" t="s">
        <v>24</v>
      </c>
      <c r="K1266" s="3" t="s">
        <v>25</v>
      </c>
      <c r="L1266" s="4">
        <v>0</v>
      </c>
      <c r="M1266" s="3" t="s">
        <v>26</v>
      </c>
      <c r="N1266" s="3" t="s">
        <v>24</v>
      </c>
      <c r="O1266" s="4">
        <v>1</v>
      </c>
      <c r="P1266" s="4">
        <v>4</v>
      </c>
      <c r="Q1266" s="4">
        <v>1</v>
      </c>
    </row>
    <row r="1267" spans="1:17" x14ac:dyDescent="0.25">
      <c r="A1267" s="3" t="s">
        <v>18</v>
      </c>
      <c r="B1267" s="3">
        <v>13008183</v>
      </c>
      <c r="C1267" s="3" t="s">
        <v>1309</v>
      </c>
      <c r="D1267" s="3" t="s">
        <v>20</v>
      </c>
      <c r="E1267" s="3" t="s">
        <v>21</v>
      </c>
      <c r="F1267" s="3" t="s">
        <v>21</v>
      </c>
      <c r="G1267" s="3" t="s">
        <v>233</v>
      </c>
      <c r="H1267" s="3" t="s">
        <v>234</v>
      </c>
      <c r="I1267" s="3" t="s">
        <v>24</v>
      </c>
      <c r="J1267" s="3" t="s">
        <v>24</v>
      </c>
      <c r="K1267" s="3" t="s">
        <v>25</v>
      </c>
      <c r="L1267" s="4">
        <v>0</v>
      </c>
      <c r="M1267" s="3" t="s">
        <v>26</v>
      </c>
      <c r="N1267" s="3" t="s">
        <v>24</v>
      </c>
      <c r="O1267" s="4">
        <v>1</v>
      </c>
      <c r="P1267" s="4">
        <v>99999999</v>
      </c>
      <c r="Q1267" s="4">
        <v>1</v>
      </c>
    </row>
    <row r="1268" spans="1:17" x14ac:dyDescent="0.25">
      <c r="A1268" s="3" t="s">
        <v>18</v>
      </c>
      <c r="B1268" s="3">
        <v>13017694</v>
      </c>
      <c r="C1268" s="3" t="s">
        <v>1310</v>
      </c>
      <c r="D1268" s="3" t="s">
        <v>20</v>
      </c>
      <c r="E1268" s="3" t="s">
        <v>21</v>
      </c>
      <c r="F1268" s="3" t="s">
        <v>21</v>
      </c>
      <c r="G1268" s="3" t="s">
        <v>42</v>
      </c>
      <c r="H1268" s="3" t="s">
        <v>43</v>
      </c>
      <c r="I1268" s="3" t="s">
        <v>24</v>
      </c>
      <c r="J1268" s="3" t="s">
        <v>24</v>
      </c>
      <c r="K1268" s="3" t="s">
        <v>25</v>
      </c>
      <c r="L1268" s="4">
        <v>0</v>
      </c>
      <c r="M1268" s="3" t="s">
        <v>26</v>
      </c>
      <c r="N1268" s="3" t="s">
        <v>24</v>
      </c>
      <c r="O1268" s="4">
        <v>1</v>
      </c>
      <c r="P1268" s="4">
        <v>8</v>
      </c>
      <c r="Q1268" s="4">
        <v>1</v>
      </c>
    </row>
    <row r="1269" spans="1:17" x14ac:dyDescent="0.25">
      <c r="A1269" s="3" t="s">
        <v>18</v>
      </c>
      <c r="B1269" s="3">
        <v>13070952</v>
      </c>
      <c r="C1269" s="3" t="s">
        <v>1311</v>
      </c>
      <c r="D1269" s="3" t="s">
        <v>20</v>
      </c>
      <c r="E1269" s="3" t="s">
        <v>21</v>
      </c>
      <c r="F1269" s="3" t="s">
        <v>21</v>
      </c>
      <c r="G1269" s="3" t="s">
        <v>233</v>
      </c>
      <c r="H1269" s="3" t="s">
        <v>234</v>
      </c>
      <c r="I1269" s="3" t="s">
        <v>24</v>
      </c>
      <c r="J1269" s="3" t="s">
        <v>24</v>
      </c>
      <c r="K1269" s="3" t="s">
        <v>25</v>
      </c>
      <c r="L1269" s="4">
        <v>0</v>
      </c>
      <c r="M1269" s="3" t="s">
        <v>26</v>
      </c>
      <c r="N1269" s="3" t="s">
        <v>24</v>
      </c>
      <c r="O1269" s="4">
        <v>1</v>
      </c>
      <c r="P1269" s="4">
        <v>99999999</v>
      </c>
      <c r="Q1269" s="4">
        <v>1</v>
      </c>
    </row>
    <row r="1270" spans="1:17" x14ac:dyDescent="0.25">
      <c r="A1270" s="3" t="s">
        <v>18</v>
      </c>
      <c r="B1270" s="3">
        <v>13079775</v>
      </c>
      <c r="C1270" s="3" t="s">
        <v>1312</v>
      </c>
      <c r="D1270" s="3" t="s">
        <v>20</v>
      </c>
      <c r="E1270" s="3" t="s">
        <v>21</v>
      </c>
      <c r="F1270" s="3" t="s">
        <v>21</v>
      </c>
      <c r="G1270" s="3" t="s">
        <v>233</v>
      </c>
      <c r="H1270" s="3" t="s">
        <v>234</v>
      </c>
      <c r="I1270" s="3" t="s">
        <v>24</v>
      </c>
      <c r="J1270" s="3" t="s">
        <v>24</v>
      </c>
      <c r="K1270" s="3" t="s">
        <v>25</v>
      </c>
      <c r="L1270" s="4">
        <v>0</v>
      </c>
      <c r="M1270" s="3" t="s">
        <v>26</v>
      </c>
      <c r="N1270" s="3" t="s">
        <v>24</v>
      </c>
      <c r="O1270" s="4">
        <v>1</v>
      </c>
      <c r="P1270" s="4">
        <v>99999999</v>
      </c>
      <c r="Q1270" s="4">
        <v>1</v>
      </c>
    </row>
    <row r="1271" spans="1:17" x14ac:dyDescent="0.25">
      <c r="A1271" s="3" t="s">
        <v>18</v>
      </c>
      <c r="B1271" s="3">
        <v>13107766</v>
      </c>
      <c r="C1271" s="3" t="s">
        <v>1313</v>
      </c>
      <c r="D1271" s="3" t="s">
        <v>20</v>
      </c>
      <c r="E1271" s="3" t="s">
        <v>21</v>
      </c>
      <c r="F1271" s="3" t="s">
        <v>21</v>
      </c>
      <c r="G1271" s="3" t="s">
        <v>22</v>
      </c>
      <c r="H1271" s="3" t="s">
        <v>23</v>
      </c>
      <c r="I1271" s="3" t="s">
        <v>24</v>
      </c>
      <c r="J1271" s="3" t="s">
        <v>24</v>
      </c>
      <c r="K1271" s="3" t="s">
        <v>25</v>
      </c>
      <c r="L1271" s="4">
        <v>0</v>
      </c>
      <c r="M1271" s="3" t="s">
        <v>26</v>
      </c>
      <c r="N1271" s="3" t="s">
        <v>24</v>
      </c>
      <c r="O1271" s="4">
        <v>1</v>
      </c>
      <c r="P1271" s="4">
        <v>4</v>
      </c>
      <c r="Q1271" s="4">
        <v>1</v>
      </c>
    </row>
    <row r="1272" spans="1:17" x14ac:dyDescent="0.25">
      <c r="A1272" s="3" t="s">
        <v>18</v>
      </c>
      <c r="B1272" s="3">
        <v>13107778</v>
      </c>
      <c r="C1272" s="3" t="s">
        <v>1314</v>
      </c>
      <c r="D1272" s="3" t="s">
        <v>20</v>
      </c>
      <c r="E1272" s="3" t="s">
        <v>21</v>
      </c>
      <c r="F1272" s="3" t="s">
        <v>21</v>
      </c>
      <c r="G1272" s="3" t="s">
        <v>22</v>
      </c>
      <c r="H1272" s="3" t="s">
        <v>23</v>
      </c>
      <c r="I1272" s="3" t="s">
        <v>24</v>
      </c>
      <c r="J1272" s="3" t="s">
        <v>24</v>
      </c>
      <c r="K1272" s="3" t="s">
        <v>25</v>
      </c>
      <c r="L1272" s="4">
        <v>0</v>
      </c>
      <c r="M1272" s="3" t="s">
        <v>26</v>
      </c>
      <c r="N1272" s="3" t="s">
        <v>24</v>
      </c>
      <c r="O1272" s="4">
        <v>1</v>
      </c>
      <c r="P1272" s="4">
        <v>4</v>
      </c>
      <c r="Q1272" s="4">
        <v>1</v>
      </c>
    </row>
    <row r="1273" spans="1:17" x14ac:dyDescent="0.25">
      <c r="A1273" s="3" t="s">
        <v>18</v>
      </c>
      <c r="B1273" s="3">
        <v>13107781</v>
      </c>
      <c r="C1273" s="3" t="s">
        <v>1315</v>
      </c>
      <c r="D1273" s="3" t="s">
        <v>20</v>
      </c>
      <c r="E1273" s="3" t="s">
        <v>21</v>
      </c>
      <c r="F1273" s="3" t="s">
        <v>21</v>
      </c>
      <c r="G1273" s="3" t="s">
        <v>22</v>
      </c>
      <c r="H1273" s="3" t="s">
        <v>23</v>
      </c>
      <c r="I1273" s="3" t="s">
        <v>24</v>
      </c>
      <c r="J1273" s="3" t="s">
        <v>24</v>
      </c>
      <c r="K1273" s="3" t="s">
        <v>25</v>
      </c>
      <c r="L1273" s="4">
        <v>0</v>
      </c>
      <c r="M1273" s="3" t="s">
        <v>26</v>
      </c>
      <c r="N1273" s="3" t="s">
        <v>24</v>
      </c>
      <c r="O1273" s="4">
        <v>1</v>
      </c>
      <c r="P1273" s="4">
        <v>4</v>
      </c>
      <c r="Q1273" s="4">
        <v>1</v>
      </c>
    </row>
    <row r="1274" spans="1:17" x14ac:dyDescent="0.25">
      <c r="A1274" s="3" t="s">
        <v>18</v>
      </c>
      <c r="B1274" s="3">
        <v>13108091</v>
      </c>
      <c r="C1274" s="3" t="s">
        <v>1316</v>
      </c>
      <c r="D1274" s="3" t="s">
        <v>20</v>
      </c>
      <c r="E1274" s="3" t="s">
        <v>21</v>
      </c>
      <c r="F1274" s="3" t="s">
        <v>21</v>
      </c>
      <c r="G1274" s="3" t="s">
        <v>22</v>
      </c>
      <c r="H1274" s="3" t="s">
        <v>23</v>
      </c>
      <c r="I1274" s="3" t="s">
        <v>24</v>
      </c>
      <c r="J1274" s="3" t="s">
        <v>24</v>
      </c>
      <c r="K1274" s="3" t="s">
        <v>25</v>
      </c>
      <c r="L1274" s="4">
        <v>0</v>
      </c>
      <c r="M1274" s="3" t="s">
        <v>26</v>
      </c>
      <c r="N1274" s="3" t="s">
        <v>24</v>
      </c>
      <c r="O1274" s="4">
        <v>1</v>
      </c>
      <c r="P1274" s="4">
        <v>4</v>
      </c>
      <c r="Q1274" s="4">
        <v>1</v>
      </c>
    </row>
    <row r="1275" spans="1:17" x14ac:dyDescent="0.25">
      <c r="A1275" s="3" t="s">
        <v>18</v>
      </c>
      <c r="B1275" s="3">
        <v>13111984</v>
      </c>
      <c r="C1275" s="3" t="s">
        <v>1317</v>
      </c>
      <c r="D1275" s="3" t="s">
        <v>20</v>
      </c>
      <c r="E1275" s="3" t="s">
        <v>21</v>
      </c>
      <c r="F1275" s="3" t="s">
        <v>21</v>
      </c>
      <c r="G1275" s="3" t="s">
        <v>22</v>
      </c>
      <c r="H1275" s="3" t="s">
        <v>23</v>
      </c>
      <c r="I1275" s="3" t="s">
        <v>24</v>
      </c>
      <c r="J1275" s="3" t="s">
        <v>24</v>
      </c>
      <c r="K1275" s="3" t="s">
        <v>25</v>
      </c>
      <c r="L1275" s="4">
        <v>0</v>
      </c>
      <c r="M1275" s="3" t="s">
        <v>26</v>
      </c>
      <c r="N1275" s="3" t="s">
        <v>24</v>
      </c>
      <c r="O1275" s="4">
        <v>1</v>
      </c>
      <c r="P1275" s="4">
        <v>4</v>
      </c>
      <c r="Q1275" s="4">
        <v>1</v>
      </c>
    </row>
    <row r="1276" spans="1:17" x14ac:dyDescent="0.25">
      <c r="A1276" s="3" t="s">
        <v>18</v>
      </c>
      <c r="B1276" s="3">
        <v>13111985</v>
      </c>
      <c r="C1276" s="3" t="s">
        <v>1318</v>
      </c>
      <c r="D1276" s="3" t="s">
        <v>20</v>
      </c>
      <c r="E1276" s="3" t="s">
        <v>21</v>
      </c>
      <c r="F1276" s="3" t="s">
        <v>21</v>
      </c>
      <c r="G1276" s="3" t="s">
        <v>22</v>
      </c>
      <c r="H1276" s="3" t="s">
        <v>23</v>
      </c>
      <c r="I1276" s="3" t="s">
        <v>24</v>
      </c>
      <c r="J1276" s="3" t="s">
        <v>24</v>
      </c>
      <c r="K1276" s="3" t="s">
        <v>25</v>
      </c>
      <c r="L1276" s="4">
        <v>0</v>
      </c>
      <c r="M1276" s="3" t="s">
        <v>26</v>
      </c>
      <c r="N1276" s="3" t="s">
        <v>24</v>
      </c>
      <c r="O1276" s="4">
        <v>1</v>
      </c>
      <c r="P1276" s="4">
        <v>4</v>
      </c>
      <c r="Q1276" s="4">
        <v>1</v>
      </c>
    </row>
    <row r="1277" spans="1:17" x14ac:dyDescent="0.25">
      <c r="A1277" s="3" t="s">
        <v>18</v>
      </c>
      <c r="B1277" s="3">
        <v>13111986</v>
      </c>
      <c r="C1277" s="3" t="s">
        <v>1319</v>
      </c>
      <c r="D1277" s="3" t="s">
        <v>20</v>
      </c>
      <c r="E1277" s="3" t="s">
        <v>21</v>
      </c>
      <c r="F1277" s="3" t="s">
        <v>21</v>
      </c>
      <c r="G1277" s="3" t="s">
        <v>22</v>
      </c>
      <c r="H1277" s="3" t="s">
        <v>23</v>
      </c>
      <c r="I1277" s="3" t="s">
        <v>24</v>
      </c>
      <c r="J1277" s="3" t="s">
        <v>24</v>
      </c>
      <c r="K1277" s="3" t="s">
        <v>25</v>
      </c>
      <c r="L1277" s="4">
        <v>0</v>
      </c>
      <c r="M1277" s="3" t="s">
        <v>26</v>
      </c>
      <c r="N1277" s="3" t="s">
        <v>24</v>
      </c>
      <c r="O1277" s="4">
        <v>1</v>
      </c>
      <c r="P1277" s="4">
        <v>4</v>
      </c>
      <c r="Q1277" s="4">
        <v>1</v>
      </c>
    </row>
    <row r="1278" spans="1:17" x14ac:dyDescent="0.25">
      <c r="A1278" s="3" t="s">
        <v>18</v>
      </c>
      <c r="B1278" s="3">
        <v>13111987</v>
      </c>
      <c r="C1278" s="3" t="s">
        <v>1320</v>
      </c>
      <c r="D1278" s="3" t="s">
        <v>20</v>
      </c>
      <c r="E1278" s="3" t="s">
        <v>21</v>
      </c>
      <c r="F1278" s="3" t="s">
        <v>21</v>
      </c>
      <c r="G1278" s="3" t="s">
        <v>22</v>
      </c>
      <c r="H1278" s="3" t="s">
        <v>23</v>
      </c>
      <c r="I1278" s="3" t="s">
        <v>24</v>
      </c>
      <c r="J1278" s="3" t="s">
        <v>24</v>
      </c>
      <c r="K1278" s="3" t="s">
        <v>25</v>
      </c>
      <c r="L1278" s="4">
        <v>0</v>
      </c>
      <c r="M1278" s="3" t="s">
        <v>26</v>
      </c>
      <c r="N1278" s="3" t="s">
        <v>24</v>
      </c>
      <c r="O1278" s="4">
        <v>1</v>
      </c>
      <c r="P1278" s="4">
        <v>4</v>
      </c>
      <c r="Q1278" s="4">
        <v>1</v>
      </c>
    </row>
    <row r="1279" spans="1:17" x14ac:dyDescent="0.25">
      <c r="A1279" s="3" t="s">
        <v>18</v>
      </c>
      <c r="B1279" s="3">
        <v>13130070</v>
      </c>
      <c r="C1279" s="3" t="s">
        <v>1321</v>
      </c>
      <c r="D1279" s="3" t="s">
        <v>20</v>
      </c>
      <c r="E1279" s="3" t="s">
        <v>21</v>
      </c>
      <c r="F1279" s="3" t="s">
        <v>21</v>
      </c>
      <c r="G1279" s="3" t="s">
        <v>233</v>
      </c>
      <c r="H1279" s="3" t="s">
        <v>234</v>
      </c>
      <c r="I1279" s="3" t="s">
        <v>24</v>
      </c>
      <c r="J1279" s="3" t="s">
        <v>24</v>
      </c>
      <c r="K1279" s="3" t="s">
        <v>25</v>
      </c>
      <c r="L1279" s="4">
        <v>0</v>
      </c>
      <c r="M1279" s="3" t="s">
        <v>26</v>
      </c>
      <c r="N1279" s="3" t="s">
        <v>24</v>
      </c>
      <c r="O1279" s="4">
        <v>1</v>
      </c>
      <c r="P1279" s="4">
        <v>2</v>
      </c>
      <c r="Q1279" s="4">
        <v>1</v>
      </c>
    </row>
    <row r="1280" spans="1:17" x14ac:dyDescent="0.25">
      <c r="A1280" s="3" t="s">
        <v>18</v>
      </c>
      <c r="B1280" s="3">
        <v>13159365</v>
      </c>
      <c r="C1280" s="3" t="s">
        <v>1322</v>
      </c>
      <c r="D1280" s="3" t="s">
        <v>20</v>
      </c>
      <c r="E1280" s="3" t="s">
        <v>21</v>
      </c>
      <c r="F1280" s="3" t="s">
        <v>21</v>
      </c>
      <c r="G1280" s="3" t="s">
        <v>233</v>
      </c>
      <c r="H1280" s="3" t="s">
        <v>234</v>
      </c>
      <c r="I1280" s="3" t="s">
        <v>24</v>
      </c>
      <c r="J1280" s="3" t="s">
        <v>24</v>
      </c>
      <c r="K1280" s="3" t="s">
        <v>25</v>
      </c>
      <c r="L1280" s="4">
        <v>0</v>
      </c>
      <c r="M1280" s="3" t="s">
        <v>26</v>
      </c>
      <c r="N1280" s="3" t="s">
        <v>24</v>
      </c>
      <c r="O1280" s="4">
        <v>1</v>
      </c>
      <c r="P1280" s="4">
        <v>99999999</v>
      </c>
      <c r="Q1280" s="4">
        <v>1</v>
      </c>
    </row>
    <row r="1281" spans="1:17" x14ac:dyDescent="0.25">
      <c r="A1281" s="3" t="s">
        <v>18</v>
      </c>
      <c r="B1281" s="3">
        <v>13198574</v>
      </c>
      <c r="C1281" s="3" t="s">
        <v>1323</v>
      </c>
      <c r="D1281" s="3" t="s">
        <v>20</v>
      </c>
      <c r="E1281" s="3" t="s">
        <v>21</v>
      </c>
      <c r="F1281" s="3" t="s">
        <v>21</v>
      </c>
      <c r="G1281" s="3" t="s">
        <v>22</v>
      </c>
      <c r="H1281" s="3" t="s">
        <v>23</v>
      </c>
      <c r="I1281" s="3" t="s">
        <v>24</v>
      </c>
      <c r="J1281" s="3" t="s">
        <v>24</v>
      </c>
      <c r="K1281" s="3" t="s">
        <v>25</v>
      </c>
      <c r="L1281" s="4">
        <v>0</v>
      </c>
      <c r="M1281" s="3" t="s">
        <v>26</v>
      </c>
      <c r="N1281" s="3" t="s">
        <v>24</v>
      </c>
      <c r="O1281" s="4">
        <v>1</v>
      </c>
      <c r="P1281" s="4">
        <v>4</v>
      </c>
      <c r="Q1281" s="4">
        <v>1</v>
      </c>
    </row>
    <row r="1282" spans="1:17" x14ac:dyDescent="0.25">
      <c r="A1282" s="3" t="s">
        <v>18</v>
      </c>
      <c r="B1282" s="3">
        <v>13202101</v>
      </c>
      <c r="C1282" s="3" t="s">
        <v>1324</v>
      </c>
      <c r="D1282" s="3" t="s">
        <v>20</v>
      </c>
      <c r="E1282" s="3" t="s">
        <v>21</v>
      </c>
      <c r="F1282" s="3" t="s">
        <v>21</v>
      </c>
      <c r="G1282" s="3" t="s">
        <v>233</v>
      </c>
      <c r="H1282" s="3" t="s">
        <v>234</v>
      </c>
      <c r="I1282" s="3" t="s">
        <v>24</v>
      </c>
      <c r="J1282" s="3" t="s">
        <v>24</v>
      </c>
      <c r="K1282" s="3" t="s">
        <v>25</v>
      </c>
      <c r="L1282" s="4">
        <v>0</v>
      </c>
      <c r="M1282" s="3" t="s">
        <v>26</v>
      </c>
      <c r="N1282" s="3" t="s">
        <v>24</v>
      </c>
      <c r="O1282" s="4">
        <v>1</v>
      </c>
      <c r="P1282" s="4">
        <v>2</v>
      </c>
      <c r="Q1282" s="4">
        <v>1</v>
      </c>
    </row>
    <row r="1283" spans="1:17" x14ac:dyDescent="0.25">
      <c r="A1283" s="3" t="s">
        <v>18</v>
      </c>
      <c r="B1283" s="3">
        <v>13224785</v>
      </c>
      <c r="C1283" s="3" t="s">
        <v>1325</v>
      </c>
      <c r="D1283" s="3" t="s">
        <v>20</v>
      </c>
      <c r="E1283" s="3" t="s">
        <v>21</v>
      </c>
      <c r="F1283" s="3" t="s">
        <v>21</v>
      </c>
      <c r="G1283" s="3" t="s">
        <v>36</v>
      </c>
      <c r="H1283" s="3" t="s">
        <v>37</v>
      </c>
      <c r="I1283" s="3" t="s">
        <v>24</v>
      </c>
      <c r="J1283" s="3" t="s">
        <v>24</v>
      </c>
      <c r="K1283" s="3" t="s">
        <v>25</v>
      </c>
      <c r="L1283" s="4">
        <v>0</v>
      </c>
      <c r="M1283" s="3" t="s">
        <v>26</v>
      </c>
      <c r="N1283" s="3" t="s">
        <v>24</v>
      </c>
      <c r="O1283" s="4">
        <v>1</v>
      </c>
      <c r="P1283" s="4">
        <v>10</v>
      </c>
      <c r="Q1283" s="4">
        <v>1</v>
      </c>
    </row>
    <row r="1284" spans="1:17" x14ac:dyDescent="0.25">
      <c r="A1284" s="3" t="s">
        <v>18</v>
      </c>
      <c r="B1284" s="3">
        <v>13226557</v>
      </c>
      <c r="C1284" s="3" t="s">
        <v>1326</v>
      </c>
      <c r="D1284" s="3" t="s">
        <v>20</v>
      </c>
      <c r="E1284" s="3" t="s">
        <v>21</v>
      </c>
      <c r="F1284" s="3" t="s">
        <v>21</v>
      </c>
      <c r="G1284" s="3" t="s">
        <v>410</v>
      </c>
      <c r="H1284" s="3" t="s">
        <v>411</v>
      </c>
      <c r="I1284" s="3" t="s">
        <v>24</v>
      </c>
      <c r="J1284" s="3" t="s">
        <v>24</v>
      </c>
      <c r="K1284" s="3" t="s">
        <v>25</v>
      </c>
      <c r="L1284" s="4">
        <v>0</v>
      </c>
      <c r="M1284" s="3" t="s">
        <v>26</v>
      </c>
      <c r="N1284" s="3" t="s">
        <v>24</v>
      </c>
      <c r="O1284" s="4">
        <v>1</v>
      </c>
      <c r="P1284" s="4">
        <v>8</v>
      </c>
      <c r="Q1284" s="4">
        <v>1</v>
      </c>
    </row>
    <row r="1285" spans="1:17" x14ac:dyDescent="0.25">
      <c r="A1285" s="3" t="s">
        <v>18</v>
      </c>
      <c r="B1285" s="3">
        <v>13226625</v>
      </c>
      <c r="C1285" s="3" t="s">
        <v>1327</v>
      </c>
      <c r="D1285" s="3" t="s">
        <v>20</v>
      </c>
      <c r="E1285" s="3" t="s">
        <v>21</v>
      </c>
      <c r="F1285" s="3" t="s">
        <v>21</v>
      </c>
      <c r="G1285" s="3" t="s">
        <v>410</v>
      </c>
      <c r="H1285" s="3" t="s">
        <v>411</v>
      </c>
      <c r="I1285" s="3" t="s">
        <v>24</v>
      </c>
      <c r="J1285" s="3" t="s">
        <v>24</v>
      </c>
      <c r="K1285" s="3" t="s">
        <v>25</v>
      </c>
      <c r="L1285" s="4">
        <v>0</v>
      </c>
      <c r="M1285" s="3" t="s">
        <v>26</v>
      </c>
      <c r="N1285" s="3" t="s">
        <v>24</v>
      </c>
      <c r="O1285" s="4">
        <v>1</v>
      </c>
      <c r="P1285" s="4">
        <v>4</v>
      </c>
      <c r="Q1285" s="4">
        <v>1</v>
      </c>
    </row>
    <row r="1286" spans="1:17" x14ac:dyDescent="0.25">
      <c r="A1286" s="3" t="s">
        <v>18</v>
      </c>
      <c r="B1286" s="3">
        <v>13226627</v>
      </c>
      <c r="C1286" s="3" t="s">
        <v>1328</v>
      </c>
      <c r="D1286" s="3" t="s">
        <v>20</v>
      </c>
      <c r="E1286" s="3" t="s">
        <v>21</v>
      </c>
      <c r="F1286" s="3" t="s">
        <v>21</v>
      </c>
      <c r="G1286" s="3" t="s">
        <v>410</v>
      </c>
      <c r="H1286" s="3" t="s">
        <v>411</v>
      </c>
      <c r="I1286" s="3" t="s">
        <v>24</v>
      </c>
      <c r="J1286" s="3" t="s">
        <v>24</v>
      </c>
      <c r="K1286" s="3" t="s">
        <v>25</v>
      </c>
      <c r="L1286" s="4">
        <v>0</v>
      </c>
      <c r="M1286" s="3" t="s">
        <v>26</v>
      </c>
      <c r="N1286" s="3" t="s">
        <v>24</v>
      </c>
      <c r="O1286" s="4">
        <v>1</v>
      </c>
      <c r="P1286" s="4">
        <v>8</v>
      </c>
      <c r="Q1286" s="4">
        <v>1</v>
      </c>
    </row>
    <row r="1287" spans="1:17" x14ac:dyDescent="0.25">
      <c r="A1287" s="3" t="s">
        <v>18</v>
      </c>
      <c r="B1287" s="3">
        <v>13226688</v>
      </c>
      <c r="C1287" s="3" t="s">
        <v>1329</v>
      </c>
      <c r="D1287" s="3" t="s">
        <v>20</v>
      </c>
      <c r="E1287" s="3" t="s">
        <v>21</v>
      </c>
      <c r="F1287" s="3" t="s">
        <v>21</v>
      </c>
      <c r="G1287" s="3" t="s">
        <v>410</v>
      </c>
      <c r="H1287" s="3" t="s">
        <v>411</v>
      </c>
      <c r="I1287" s="3" t="s">
        <v>24</v>
      </c>
      <c r="J1287" s="3" t="s">
        <v>24</v>
      </c>
      <c r="K1287" s="3" t="s">
        <v>25</v>
      </c>
      <c r="L1287" s="4">
        <v>0</v>
      </c>
      <c r="M1287" s="3" t="s">
        <v>26</v>
      </c>
      <c r="N1287" s="3" t="s">
        <v>24</v>
      </c>
      <c r="O1287" s="4">
        <v>1</v>
      </c>
      <c r="P1287" s="4">
        <v>4</v>
      </c>
      <c r="Q1287" s="4">
        <v>1</v>
      </c>
    </row>
    <row r="1288" spans="1:17" x14ac:dyDescent="0.25">
      <c r="A1288" s="3" t="s">
        <v>18</v>
      </c>
      <c r="B1288" s="3">
        <v>13226690</v>
      </c>
      <c r="C1288" s="3" t="s">
        <v>1330</v>
      </c>
      <c r="D1288" s="3" t="s">
        <v>20</v>
      </c>
      <c r="E1288" s="3" t="s">
        <v>21</v>
      </c>
      <c r="F1288" s="3" t="s">
        <v>21</v>
      </c>
      <c r="G1288" s="3" t="s">
        <v>410</v>
      </c>
      <c r="H1288" s="3" t="s">
        <v>411</v>
      </c>
      <c r="I1288" s="3" t="s">
        <v>24</v>
      </c>
      <c r="J1288" s="3" t="s">
        <v>24</v>
      </c>
      <c r="K1288" s="3" t="s">
        <v>25</v>
      </c>
      <c r="L1288" s="4">
        <v>0</v>
      </c>
      <c r="M1288" s="3" t="s">
        <v>26</v>
      </c>
      <c r="N1288" s="3" t="s">
        <v>24</v>
      </c>
      <c r="O1288" s="4">
        <v>1</v>
      </c>
      <c r="P1288" s="4">
        <v>8</v>
      </c>
      <c r="Q1288" s="4">
        <v>1</v>
      </c>
    </row>
    <row r="1289" spans="1:17" x14ac:dyDescent="0.25">
      <c r="A1289" s="3" t="s">
        <v>18</v>
      </c>
      <c r="B1289" s="3">
        <v>13240158</v>
      </c>
      <c r="C1289" s="3" t="s">
        <v>1331</v>
      </c>
      <c r="D1289" s="3" t="s">
        <v>20</v>
      </c>
      <c r="E1289" s="3" t="s">
        <v>21</v>
      </c>
      <c r="F1289" s="3" t="s">
        <v>21</v>
      </c>
      <c r="G1289" s="3" t="s">
        <v>233</v>
      </c>
      <c r="H1289" s="3" t="s">
        <v>234</v>
      </c>
      <c r="I1289" s="3" t="s">
        <v>24</v>
      </c>
      <c r="J1289" s="3" t="s">
        <v>24</v>
      </c>
      <c r="K1289" s="3" t="s">
        <v>25</v>
      </c>
      <c r="L1289" s="4">
        <v>0</v>
      </c>
      <c r="M1289" s="3" t="s">
        <v>26</v>
      </c>
      <c r="N1289" s="3" t="s">
        <v>24</v>
      </c>
      <c r="O1289" s="4">
        <v>1</v>
      </c>
      <c r="P1289" s="4">
        <v>2</v>
      </c>
      <c r="Q1289" s="4">
        <v>1</v>
      </c>
    </row>
    <row r="1290" spans="1:17" x14ac:dyDescent="0.25">
      <c r="A1290" s="3" t="s">
        <v>18</v>
      </c>
      <c r="B1290" s="3">
        <v>13253821</v>
      </c>
      <c r="C1290" s="3" t="s">
        <v>1332</v>
      </c>
      <c r="D1290" s="3" t="s">
        <v>20</v>
      </c>
      <c r="E1290" s="3" t="s">
        <v>21</v>
      </c>
      <c r="F1290" s="3" t="s">
        <v>21</v>
      </c>
      <c r="G1290" s="3" t="s">
        <v>30</v>
      </c>
      <c r="H1290" s="3" t="s">
        <v>31</v>
      </c>
      <c r="I1290" s="3" t="s">
        <v>24</v>
      </c>
      <c r="J1290" s="3" t="s">
        <v>24</v>
      </c>
      <c r="K1290" s="3" t="s">
        <v>25</v>
      </c>
      <c r="L1290" s="4">
        <v>0</v>
      </c>
      <c r="M1290" s="3" t="s">
        <v>26</v>
      </c>
      <c r="N1290" s="3" t="s">
        <v>24</v>
      </c>
      <c r="O1290" s="4">
        <v>1</v>
      </c>
      <c r="P1290" s="4">
        <v>8</v>
      </c>
      <c r="Q1290" s="4">
        <v>1</v>
      </c>
    </row>
    <row r="1291" spans="1:17" x14ac:dyDescent="0.25">
      <c r="A1291" s="3" t="s">
        <v>18</v>
      </c>
      <c r="B1291" s="3">
        <v>13253822</v>
      </c>
      <c r="C1291" s="3" t="s">
        <v>1333</v>
      </c>
      <c r="D1291" s="3" t="s">
        <v>20</v>
      </c>
      <c r="E1291" s="3" t="s">
        <v>21</v>
      </c>
      <c r="F1291" s="3" t="s">
        <v>21</v>
      </c>
      <c r="G1291" s="3" t="s">
        <v>30</v>
      </c>
      <c r="H1291" s="3" t="s">
        <v>31</v>
      </c>
      <c r="I1291" s="3" t="s">
        <v>24</v>
      </c>
      <c r="J1291" s="3" t="s">
        <v>24</v>
      </c>
      <c r="K1291" s="3" t="s">
        <v>25</v>
      </c>
      <c r="L1291" s="4">
        <v>0</v>
      </c>
      <c r="M1291" s="3" t="s">
        <v>26</v>
      </c>
      <c r="N1291" s="3" t="s">
        <v>24</v>
      </c>
      <c r="O1291" s="4">
        <v>1</v>
      </c>
      <c r="P1291" s="4">
        <v>8</v>
      </c>
      <c r="Q1291" s="4">
        <v>1</v>
      </c>
    </row>
    <row r="1292" spans="1:17" x14ac:dyDescent="0.25">
      <c r="A1292" s="3" t="s">
        <v>18</v>
      </c>
      <c r="B1292" s="3">
        <v>13253823</v>
      </c>
      <c r="C1292" s="3" t="s">
        <v>1334</v>
      </c>
      <c r="D1292" s="3" t="s">
        <v>20</v>
      </c>
      <c r="E1292" s="3" t="s">
        <v>21</v>
      </c>
      <c r="F1292" s="3" t="s">
        <v>21</v>
      </c>
      <c r="G1292" s="3" t="s">
        <v>42</v>
      </c>
      <c r="H1292" s="3" t="s">
        <v>43</v>
      </c>
      <c r="I1292" s="3" t="s">
        <v>24</v>
      </c>
      <c r="J1292" s="3" t="s">
        <v>24</v>
      </c>
      <c r="K1292" s="3" t="s">
        <v>25</v>
      </c>
      <c r="L1292" s="4">
        <v>0</v>
      </c>
      <c r="M1292" s="3" t="s">
        <v>26</v>
      </c>
      <c r="N1292" s="3" t="s">
        <v>24</v>
      </c>
      <c r="O1292" s="4">
        <v>1</v>
      </c>
      <c r="P1292" s="4">
        <v>8</v>
      </c>
      <c r="Q1292" s="4">
        <v>1</v>
      </c>
    </row>
    <row r="1293" spans="1:17" x14ac:dyDescent="0.25">
      <c r="A1293" s="3" t="s">
        <v>18</v>
      </c>
      <c r="B1293" s="3">
        <v>13253824</v>
      </c>
      <c r="C1293" s="3" t="s">
        <v>1335</v>
      </c>
      <c r="D1293" s="3" t="s">
        <v>20</v>
      </c>
      <c r="E1293" s="3" t="s">
        <v>21</v>
      </c>
      <c r="F1293" s="3" t="s">
        <v>21</v>
      </c>
      <c r="G1293" s="3" t="s">
        <v>42</v>
      </c>
      <c r="H1293" s="3" t="s">
        <v>43</v>
      </c>
      <c r="I1293" s="3" t="s">
        <v>24</v>
      </c>
      <c r="J1293" s="3" t="s">
        <v>24</v>
      </c>
      <c r="K1293" s="3" t="s">
        <v>25</v>
      </c>
      <c r="L1293" s="4">
        <v>0</v>
      </c>
      <c r="M1293" s="3" t="s">
        <v>26</v>
      </c>
      <c r="N1293" s="3" t="s">
        <v>24</v>
      </c>
      <c r="O1293" s="4">
        <v>1</v>
      </c>
      <c r="P1293" s="4">
        <v>8</v>
      </c>
      <c r="Q1293" s="4">
        <v>1</v>
      </c>
    </row>
    <row r="1294" spans="1:17" x14ac:dyDescent="0.25">
      <c r="A1294" s="3" t="s">
        <v>18</v>
      </c>
      <c r="B1294" s="3">
        <v>13253825</v>
      </c>
      <c r="C1294" s="3" t="s">
        <v>1336</v>
      </c>
      <c r="D1294" s="3" t="s">
        <v>20</v>
      </c>
      <c r="E1294" s="3" t="s">
        <v>21</v>
      </c>
      <c r="F1294" s="3" t="s">
        <v>21</v>
      </c>
      <c r="G1294" s="3" t="s">
        <v>42</v>
      </c>
      <c r="H1294" s="3" t="s">
        <v>43</v>
      </c>
      <c r="I1294" s="3" t="s">
        <v>24</v>
      </c>
      <c r="J1294" s="3" t="s">
        <v>24</v>
      </c>
      <c r="K1294" s="3" t="s">
        <v>25</v>
      </c>
      <c r="L1294" s="4">
        <v>0</v>
      </c>
      <c r="M1294" s="3" t="s">
        <v>26</v>
      </c>
      <c r="N1294" s="3" t="s">
        <v>24</v>
      </c>
      <c r="O1294" s="4">
        <v>1</v>
      </c>
      <c r="P1294" s="4">
        <v>8</v>
      </c>
      <c r="Q1294" s="4">
        <v>1</v>
      </c>
    </row>
    <row r="1295" spans="1:17" x14ac:dyDescent="0.25">
      <c r="A1295" s="3" t="s">
        <v>18</v>
      </c>
      <c r="B1295" s="3">
        <v>13253826</v>
      </c>
      <c r="C1295" s="3" t="s">
        <v>1337</v>
      </c>
      <c r="D1295" s="3" t="s">
        <v>20</v>
      </c>
      <c r="E1295" s="3" t="s">
        <v>21</v>
      </c>
      <c r="F1295" s="3" t="s">
        <v>21</v>
      </c>
      <c r="G1295" s="3" t="s">
        <v>22</v>
      </c>
      <c r="H1295" s="3" t="s">
        <v>23</v>
      </c>
      <c r="I1295" s="3" t="s">
        <v>24</v>
      </c>
      <c r="J1295" s="3" t="s">
        <v>24</v>
      </c>
      <c r="K1295" s="3" t="s">
        <v>25</v>
      </c>
      <c r="L1295" s="4">
        <v>0</v>
      </c>
      <c r="M1295" s="3" t="s">
        <v>26</v>
      </c>
      <c r="N1295" s="3" t="s">
        <v>24</v>
      </c>
      <c r="O1295" s="4">
        <v>1</v>
      </c>
      <c r="P1295" s="4">
        <v>4</v>
      </c>
      <c r="Q1295" s="4">
        <v>1</v>
      </c>
    </row>
    <row r="1296" spans="1:17" x14ac:dyDescent="0.25">
      <c r="A1296" s="3" t="s">
        <v>18</v>
      </c>
      <c r="B1296" s="3">
        <v>13253827</v>
      </c>
      <c r="C1296" s="3" t="s">
        <v>1338</v>
      </c>
      <c r="D1296" s="3" t="s">
        <v>20</v>
      </c>
      <c r="E1296" s="3" t="s">
        <v>21</v>
      </c>
      <c r="F1296" s="3" t="s">
        <v>21</v>
      </c>
      <c r="G1296" s="3" t="s">
        <v>22</v>
      </c>
      <c r="H1296" s="3" t="s">
        <v>23</v>
      </c>
      <c r="I1296" s="3" t="s">
        <v>24</v>
      </c>
      <c r="J1296" s="3" t="s">
        <v>24</v>
      </c>
      <c r="K1296" s="3" t="s">
        <v>25</v>
      </c>
      <c r="L1296" s="4">
        <v>0</v>
      </c>
      <c r="M1296" s="3" t="s">
        <v>26</v>
      </c>
      <c r="N1296" s="3" t="s">
        <v>24</v>
      </c>
      <c r="O1296" s="4">
        <v>1</v>
      </c>
      <c r="P1296" s="4">
        <v>4</v>
      </c>
      <c r="Q1296" s="4">
        <v>1</v>
      </c>
    </row>
    <row r="1297" spans="1:17" x14ac:dyDescent="0.25">
      <c r="A1297" s="3" t="s">
        <v>18</v>
      </c>
      <c r="B1297" s="3">
        <v>13253868</v>
      </c>
      <c r="C1297" s="3" t="s">
        <v>1339</v>
      </c>
      <c r="D1297" s="3" t="s">
        <v>20</v>
      </c>
      <c r="E1297" s="3" t="s">
        <v>21</v>
      </c>
      <c r="F1297" s="3" t="s">
        <v>21</v>
      </c>
      <c r="G1297" s="3" t="s">
        <v>36</v>
      </c>
      <c r="H1297" s="3" t="s">
        <v>37</v>
      </c>
      <c r="I1297" s="3" t="s">
        <v>24</v>
      </c>
      <c r="J1297" s="3" t="s">
        <v>24</v>
      </c>
      <c r="K1297" s="3" t="s">
        <v>25</v>
      </c>
      <c r="L1297" s="4">
        <v>0</v>
      </c>
      <c r="M1297" s="3" t="s">
        <v>26</v>
      </c>
      <c r="N1297" s="3" t="s">
        <v>24</v>
      </c>
      <c r="O1297" s="4">
        <v>1</v>
      </c>
      <c r="P1297" s="4">
        <v>10</v>
      </c>
      <c r="Q1297" s="4">
        <v>1</v>
      </c>
    </row>
    <row r="1298" spans="1:17" x14ac:dyDescent="0.25">
      <c r="A1298" s="3" t="s">
        <v>18</v>
      </c>
      <c r="B1298" s="3">
        <v>13253869</v>
      </c>
      <c r="C1298" s="3" t="s">
        <v>1340</v>
      </c>
      <c r="D1298" s="3" t="s">
        <v>20</v>
      </c>
      <c r="E1298" s="3" t="s">
        <v>21</v>
      </c>
      <c r="F1298" s="3" t="s">
        <v>21</v>
      </c>
      <c r="G1298" s="3" t="s">
        <v>36</v>
      </c>
      <c r="H1298" s="3" t="s">
        <v>37</v>
      </c>
      <c r="I1298" s="3" t="s">
        <v>24</v>
      </c>
      <c r="J1298" s="3" t="s">
        <v>24</v>
      </c>
      <c r="K1298" s="3" t="s">
        <v>25</v>
      </c>
      <c r="L1298" s="4">
        <v>0</v>
      </c>
      <c r="M1298" s="3" t="s">
        <v>26</v>
      </c>
      <c r="N1298" s="3" t="s">
        <v>24</v>
      </c>
      <c r="O1298" s="4">
        <v>1</v>
      </c>
      <c r="P1298" s="4">
        <v>10</v>
      </c>
      <c r="Q1298" s="4">
        <v>1</v>
      </c>
    </row>
    <row r="1299" spans="1:17" x14ac:dyDescent="0.25">
      <c r="A1299" s="3" t="s">
        <v>18</v>
      </c>
      <c r="B1299" s="3">
        <v>13253870</v>
      </c>
      <c r="C1299" s="3" t="s">
        <v>1341</v>
      </c>
      <c r="D1299" s="3" t="s">
        <v>20</v>
      </c>
      <c r="E1299" s="3" t="s">
        <v>21</v>
      </c>
      <c r="F1299" s="3" t="s">
        <v>21</v>
      </c>
      <c r="G1299" s="3" t="s">
        <v>233</v>
      </c>
      <c r="H1299" s="3" t="s">
        <v>234</v>
      </c>
      <c r="I1299" s="3" t="s">
        <v>24</v>
      </c>
      <c r="J1299" s="3" t="s">
        <v>24</v>
      </c>
      <c r="K1299" s="3" t="s">
        <v>25</v>
      </c>
      <c r="L1299" s="4">
        <v>0</v>
      </c>
      <c r="M1299" s="3" t="s">
        <v>26</v>
      </c>
      <c r="N1299" s="3" t="s">
        <v>24</v>
      </c>
      <c r="O1299" s="4">
        <v>1</v>
      </c>
      <c r="P1299" s="4">
        <v>2</v>
      </c>
      <c r="Q1299" s="4">
        <v>1</v>
      </c>
    </row>
    <row r="1300" spans="1:17" x14ac:dyDescent="0.25">
      <c r="A1300" s="3" t="s">
        <v>18</v>
      </c>
      <c r="B1300" s="3">
        <v>13253871</v>
      </c>
      <c r="C1300" s="3" t="s">
        <v>1342</v>
      </c>
      <c r="D1300" s="3" t="s">
        <v>20</v>
      </c>
      <c r="E1300" s="3" t="s">
        <v>21</v>
      </c>
      <c r="F1300" s="3" t="s">
        <v>21</v>
      </c>
      <c r="G1300" s="3" t="s">
        <v>233</v>
      </c>
      <c r="H1300" s="3" t="s">
        <v>234</v>
      </c>
      <c r="I1300" s="3" t="s">
        <v>24</v>
      </c>
      <c r="J1300" s="3" t="s">
        <v>24</v>
      </c>
      <c r="K1300" s="3" t="s">
        <v>25</v>
      </c>
      <c r="L1300" s="4">
        <v>0</v>
      </c>
      <c r="M1300" s="3" t="s">
        <v>26</v>
      </c>
      <c r="N1300" s="3" t="s">
        <v>24</v>
      </c>
      <c r="O1300" s="4">
        <v>1</v>
      </c>
      <c r="P1300" s="4">
        <v>2</v>
      </c>
      <c r="Q1300" s="4">
        <v>1</v>
      </c>
    </row>
    <row r="1301" spans="1:17" x14ac:dyDescent="0.25">
      <c r="A1301" s="3" t="s">
        <v>18</v>
      </c>
      <c r="B1301" s="3">
        <v>13253872</v>
      </c>
      <c r="C1301" s="3" t="s">
        <v>1343</v>
      </c>
      <c r="D1301" s="3" t="s">
        <v>20</v>
      </c>
      <c r="E1301" s="3" t="s">
        <v>21</v>
      </c>
      <c r="F1301" s="3" t="s">
        <v>21</v>
      </c>
      <c r="G1301" s="3" t="s">
        <v>233</v>
      </c>
      <c r="H1301" s="3" t="s">
        <v>234</v>
      </c>
      <c r="I1301" s="3" t="s">
        <v>24</v>
      </c>
      <c r="J1301" s="3" t="s">
        <v>24</v>
      </c>
      <c r="K1301" s="3" t="s">
        <v>25</v>
      </c>
      <c r="L1301" s="4">
        <v>0</v>
      </c>
      <c r="M1301" s="3" t="s">
        <v>26</v>
      </c>
      <c r="N1301" s="3" t="s">
        <v>24</v>
      </c>
      <c r="O1301" s="4">
        <v>1</v>
      </c>
      <c r="P1301" s="4">
        <v>2</v>
      </c>
      <c r="Q1301" s="4">
        <v>1</v>
      </c>
    </row>
    <row r="1302" spans="1:17" x14ac:dyDescent="0.25">
      <c r="A1302" s="3" t="s">
        <v>18</v>
      </c>
      <c r="B1302" s="3">
        <v>13285447</v>
      </c>
      <c r="C1302" s="3" t="s">
        <v>1344</v>
      </c>
      <c r="D1302" s="3" t="s">
        <v>20</v>
      </c>
      <c r="E1302" s="3" t="s">
        <v>21</v>
      </c>
      <c r="F1302" s="3" t="s">
        <v>21</v>
      </c>
      <c r="G1302" s="3" t="s">
        <v>30</v>
      </c>
      <c r="H1302" s="3" t="s">
        <v>31</v>
      </c>
      <c r="I1302" s="3" t="s">
        <v>24</v>
      </c>
      <c r="J1302" s="3" t="s">
        <v>24</v>
      </c>
      <c r="K1302" s="3" t="s">
        <v>25</v>
      </c>
      <c r="L1302" s="4">
        <v>0</v>
      </c>
      <c r="M1302" s="3" t="s">
        <v>26</v>
      </c>
      <c r="N1302" s="3" t="s">
        <v>24</v>
      </c>
      <c r="O1302" s="4">
        <v>1</v>
      </c>
      <c r="P1302" s="4">
        <v>4</v>
      </c>
      <c r="Q1302" s="4">
        <v>1</v>
      </c>
    </row>
    <row r="1303" spans="1:17" x14ac:dyDescent="0.25">
      <c r="A1303" s="3" t="s">
        <v>18</v>
      </c>
      <c r="B1303" s="3">
        <v>13287534</v>
      </c>
      <c r="C1303" s="3" t="s">
        <v>1345</v>
      </c>
      <c r="D1303" s="3" t="s">
        <v>20</v>
      </c>
      <c r="E1303" s="3" t="s">
        <v>21</v>
      </c>
      <c r="F1303" s="3" t="s">
        <v>21</v>
      </c>
      <c r="G1303" s="3" t="s">
        <v>233</v>
      </c>
      <c r="H1303" s="3" t="s">
        <v>234</v>
      </c>
      <c r="I1303" s="3" t="s">
        <v>24</v>
      </c>
      <c r="J1303" s="3" t="s">
        <v>24</v>
      </c>
      <c r="K1303" s="3" t="s">
        <v>25</v>
      </c>
      <c r="L1303" s="4">
        <v>0</v>
      </c>
      <c r="M1303" s="3" t="s">
        <v>26</v>
      </c>
      <c r="N1303" s="3" t="s">
        <v>24</v>
      </c>
      <c r="O1303" s="4">
        <v>1</v>
      </c>
      <c r="P1303" s="4">
        <v>3</v>
      </c>
      <c r="Q1303" s="4">
        <v>1</v>
      </c>
    </row>
    <row r="1304" spans="1:17" x14ac:dyDescent="0.25">
      <c r="A1304" s="3" t="s">
        <v>18</v>
      </c>
      <c r="B1304" s="3">
        <v>13287536</v>
      </c>
      <c r="C1304" s="3" t="s">
        <v>1346</v>
      </c>
      <c r="D1304" s="3" t="s">
        <v>20</v>
      </c>
      <c r="E1304" s="3" t="s">
        <v>21</v>
      </c>
      <c r="F1304" s="3" t="s">
        <v>21</v>
      </c>
      <c r="G1304" s="3" t="s">
        <v>233</v>
      </c>
      <c r="H1304" s="3" t="s">
        <v>234</v>
      </c>
      <c r="I1304" s="3" t="s">
        <v>24</v>
      </c>
      <c r="J1304" s="3" t="s">
        <v>24</v>
      </c>
      <c r="K1304" s="3" t="s">
        <v>25</v>
      </c>
      <c r="L1304" s="4">
        <v>0</v>
      </c>
      <c r="M1304" s="3" t="s">
        <v>26</v>
      </c>
      <c r="N1304" s="3" t="s">
        <v>24</v>
      </c>
      <c r="O1304" s="4">
        <v>1</v>
      </c>
      <c r="P1304" s="4">
        <v>99999999</v>
      </c>
      <c r="Q1304" s="4">
        <v>1</v>
      </c>
    </row>
    <row r="1305" spans="1:17" x14ac:dyDescent="0.25">
      <c r="A1305" s="3" t="s">
        <v>18</v>
      </c>
      <c r="B1305" s="3">
        <v>13288111</v>
      </c>
      <c r="C1305" s="3" t="s">
        <v>1347</v>
      </c>
      <c r="D1305" s="3" t="s">
        <v>20</v>
      </c>
      <c r="E1305" s="3" t="s">
        <v>21</v>
      </c>
      <c r="F1305" s="3" t="s">
        <v>21</v>
      </c>
      <c r="G1305" s="3" t="s">
        <v>233</v>
      </c>
      <c r="H1305" s="3" t="s">
        <v>234</v>
      </c>
      <c r="I1305" s="3" t="s">
        <v>24</v>
      </c>
      <c r="J1305" s="3" t="s">
        <v>24</v>
      </c>
      <c r="K1305" s="3" t="s">
        <v>25</v>
      </c>
      <c r="L1305" s="4">
        <v>0</v>
      </c>
      <c r="M1305" s="3" t="s">
        <v>26</v>
      </c>
      <c r="N1305" s="3" t="s">
        <v>24</v>
      </c>
      <c r="O1305" s="4">
        <v>1</v>
      </c>
      <c r="P1305" s="4">
        <v>2</v>
      </c>
      <c r="Q1305" s="4">
        <v>1</v>
      </c>
    </row>
    <row r="1306" spans="1:17" x14ac:dyDescent="0.25">
      <c r="A1306" s="3" t="s">
        <v>18</v>
      </c>
      <c r="B1306" s="3">
        <v>13288113</v>
      </c>
      <c r="C1306" s="3" t="s">
        <v>1348</v>
      </c>
      <c r="D1306" s="3" t="s">
        <v>20</v>
      </c>
      <c r="E1306" s="3" t="s">
        <v>21</v>
      </c>
      <c r="F1306" s="3" t="s">
        <v>21</v>
      </c>
      <c r="G1306" s="3" t="s">
        <v>22</v>
      </c>
      <c r="H1306" s="3" t="s">
        <v>23</v>
      </c>
      <c r="I1306" s="3" t="s">
        <v>24</v>
      </c>
      <c r="J1306" s="3" t="s">
        <v>24</v>
      </c>
      <c r="K1306" s="3" t="s">
        <v>25</v>
      </c>
      <c r="L1306" s="4">
        <v>0</v>
      </c>
      <c r="M1306" s="3" t="s">
        <v>26</v>
      </c>
      <c r="N1306" s="3" t="s">
        <v>24</v>
      </c>
      <c r="O1306" s="4">
        <v>1</v>
      </c>
      <c r="P1306" s="4">
        <v>4</v>
      </c>
      <c r="Q1306" s="4">
        <v>1</v>
      </c>
    </row>
    <row r="1307" spans="1:17" x14ac:dyDescent="0.25">
      <c r="A1307" s="3" t="s">
        <v>18</v>
      </c>
      <c r="B1307" s="3">
        <v>13290135</v>
      </c>
      <c r="C1307" s="3" t="s">
        <v>1349</v>
      </c>
      <c r="D1307" s="3" t="s">
        <v>20</v>
      </c>
      <c r="E1307" s="3" t="s">
        <v>21</v>
      </c>
      <c r="F1307" s="3" t="s">
        <v>21</v>
      </c>
      <c r="G1307" s="3" t="s">
        <v>410</v>
      </c>
      <c r="H1307" s="3" t="s">
        <v>411</v>
      </c>
      <c r="I1307" s="3" t="s">
        <v>24</v>
      </c>
      <c r="J1307" s="3" t="s">
        <v>24</v>
      </c>
      <c r="K1307" s="3" t="s">
        <v>25</v>
      </c>
      <c r="L1307" s="4">
        <v>0</v>
      </c>
      <c r="M1307" s="3" t="s">
        <v>26</v>
      </c>
      <c r="N1307" s="3" t="s">
        <v>24</v>
      </c>
      <c r="O1307" s="4">
        <v>1</v>
      </c>
      <c r="P1307" s="4">
        <v>4</v>
      </c>
      <c r="Q1307" s="4">
        <v>1</v>
      </c>
    </row>
    <row r="1308" spans="1:17" x14ac:dyDescent="0.25">
      <c r="A1308" s="3" t="s">
        <v>18</v>
      </c>
      <c r="B1308" s="3">
        <v>13297547</v>
      </c>
      <c r="C1308" s="3" t="s">
        <v>1350</v>
      </c>
      <c r="D1308" s="3" t="s">
        <v>20</v>
      </c>
      <c r="E1308" s="3" t="s">
        <v>21</v>
      </c>
      <c r="F1308" s="3" t="s">
        <v>21</v>
      </c>
      <c r="G1308" s="3" t="s">
        <v>30</v>
      </c>
      <c r="H1308" s="3" t="s">
        <v>31</v>
      </c>
      <c r="I1308" s="3" t="s">
        <v>24</v>
      </c>
      <c r="J1308" s="3" t="s">
        <v>24</v>
      </c>
      <c r="K1308" s="3" t="s">
        <v>25</v>
      </c>
      <c r="L1308" s="4">
        <v>0</v>
      </c>
      <c r="M1308" s="3" t="s">
        <v>26</v>
      </c>
      <c r="N1308" s="3" t="s">
        <v>24</v>
      </c>
      <c r="O1308" s="4">
        <v>1</v>
      </c>
      <c r="P1308" s="4">
        <v>8</v>
      </c>
      <c r="Q1308" s="4">
        <v>1</v>
      </c>
    </row>
    <row r="1309" spans="1:17" x14ac:dyDescent="0.25">
      <c r="A1309" s="3" t="s">
        <v>18</v>
      </c>
      <c r="B1309" s="3">
        <v>13297667</v>
      </c>
      <c r="C1309" s="3" t="s">
        <v>1351</v>
      </c>
      <c r="D1309" s="3" t="s">
        <v>20</v>
      </c>
      <c r="E1309" s="3" t="s">
        <v>21</v>
      </c>
      <c r="F1309" s="3" t="s">
        <v>21</v>
      </c>
      <c r="G1309" s="3" t="s">
        <v>30</v>
      </c>
      <c r="H1309" s="3" t="s">
        <v>31</v>
      </c>
      <c r="I1309" s="3" t="s">
        <v>24</v>
      </c>
      <c r="J1309" s="3" t="s">
        <v>24</v>
      </c>
      <c r="K1309" s="3" t="s">
        <v>25</v>
      </c>
      <c r="L1309" s="4">
        <v>0</v>
      </c>
      <c r="M1309" s="3" t="s">
        <v>26</v>
      </c>
      <c r="N1309" s="3" t="s">
        <v>24</v>
      </c>
      <c r="O1309" s="4">
        <v>1</v>
      </c>
      <c r="P1309" s="4">
        <v>8</v>
      </c>
      <c r="Q1309" s="4">
        <v>1</v>
      </c>
    </row>
    <row r="1310" spans="1:17" x14ac:dyDescent="0.25">
      <c r="A1310" s="3" t="s">
        <v>18</v>
      </c>
      <c r="B1310" s="3">
        <v>13303978</v>
      </c>
      <c r="C1310" s="3" t="s">
        <v>1352</v>
      </c>
      <c r="D1310" s="3" t="s">
        <v>20</v>
      </c>
      <c r="E1310" s="3" t="s">
        <v>21</v>
      </c>
      <c r="F1310" s="3" t="s">
        <v>21</v>
      </c>
      <c r="G1310" s="3" t="s">
        <v>233</v>
      </c>
      <c r="H1310" s="3" t="s">
        <v>234</v>
      </c>
      <c r="I1310" s="3" t="s">
        <v>24</v>
      </c>
      <c r="J1310" s="3" t="s">
        <v>24</v>
      </c>
      <c r="K1310" s="3" t="s">
        <v>25</v>
      </c>
      <c r="L1310" s="4">
        <v>0</v>
      </c>
      <c r="M1310" s="3" t="s">
        <v>26</v>
      </c>
      <c r="N1310" s="3" t="s">
        <v>24</v>
      </c>
      <c r="O1310" s="4">
        <v>1</v>
      </c>
      <c r="P1310" s="4">
        <v>2</v>
      </c>
      <c r="Q1310" s="4">
        <v>1</v>
      </c>
    </row>
    <row r="1311" spans="1:17" x14ac:dyDescent="0.25">
      <c r="A1311" s="3" t="s">
        <v>18</v>
      </c>
      <c r="B1311" s="3">
        <v>13303985</v>
      </c>
      <c r="C1311" s="3" t="s">
        <v>1353</v>
      </c>
      <c r="D1311" s="3" t="s">
        <v>20</v>
      </c>
      <c r="E1311" s="3" t="s">
        <v>21</v>
      </c>
      <c r="F1311" s="3" t="s">
        <v>21</v>
      </c>
      <c r="G1311" s="3" t="s">
        <v>233</v>
      </c>
      <c r="H1311" s="3" t="s">
        <v>234</v>
      </c>
      <c r="I1311" s="3" t="s">
        <v>24</v>
      </c>
      <c r="J1311" s="3" t="s">
        <v>24</v>
      </c>
      <c r="K1311" s="3" t="s">
        <v>25</v>
      </c>
      <c r="L1311" s="4">
        <v>0</v>
      </c>
      <c r="M1311" s="3" t="s">
        <v>26</v>
      </c>
      <c r="N1311" s="3" t="s">
        <v>24</v>
      </c>
      <c r="O1311" s="4">
        <v>1</v>
      </c>
      <c r="P1311" s="4">
        <v>2</v>
      </c>
      <c r="Q1311" s="4">
        <v>1</v>
      </c>
    </row>
    <row r="1312" spans="1:17" x14ac:dyDescent="0.25">
      <c r="A1312" s="3" t="s">
        <v>18</v>
      </c>
      <c r="B1312" s="3">
        <v>13312550</v>
      </c>
      <c r="C1312" s="3" t="s">
        <v>1354</v>
      </c>
      <c r="D1312" s="3" t="s">
        <v>20</v>
      </c>
      <c r="E1312" s="3" t="s">
        <v>21</v>
      </c>
      <c r="F1312" s="3" t="s">
        <v>21</v>
      </c>
      <c r="G1312" s="3" t="s">
        <v>410</v>
      </c>
      <c r="H1312" s="3" t="s">
        <v>411</v>
      </c>
      <c r="I1312" s="3" t="s">
        <v>24</v>
      </c>
      <c r="J1312" s="3" t="s">
        <v>24</v>
      </c>
      <c r="K1312" s="3" t="s">
        <v>25</v>
      </c>
      <c r="L1312" s="4">
        <v>0</v>
      </c>
      <c r="M1312" s="3" t="s">
        <v>26</v>
      </c>
      <c r="N1312" s="3" t="s">
        <v>24</v>
      </c>
      <c r="O1312" s="4">
        <v>1</v>
      </c>
      <c r="P1312" s="4">
        <v>4</v>
      </c>
      <c r="Q1312" s="4">
        <v>1</v>
      </c>
    </row>
    <row r="1313" spans="1:17" x14ac:dyDescent="0.25">
      <c r="A1313" s="3" t="s">
        <v>18</v>
      </c>
      <c r="B1313" s="3">
        <v>13312551</v>
      </c>
      <c r="C1313" s="3" t="s">
        <v>1355</v>
      </c>
      <c r="D1313" s="3" t="s">
        <v>20</v>
      </c>
      <c r="E1313" s="3" t="s">
        <v>21</v>
      </c>
      <c r="F1313" s="3" t="s">
        <v>21</v>
      </c>
      <c r="G1313" s="3" t="s">
        <v>410</v>
      </c>
      <c r="H1313" s="3" t="s">
        <v>411</v>
      </c>
      <c r="I1313" s="3" t="s">
        <v>24</v>
      </c>
      <c r="J1313" s="3" t="s">
        <v>24</v>
      </c>
      <c r="K1313" s="3" t="s">
        <v>25</v>
      </c>
      <c r="L1313" s="4">
        <v>0</v>
      </c>
      <c r="M1313" s="3" t="s">
        <v>26</v>
      </c>
      <c r="N1313" s="3" t="s">
        <v>24</v>
      </c>
      <c r="O1313" s="4">
        <v>1</v>
      </c>
      <c r="P1313" s="4">
        <v>4</v>
      </c>
      <c r="Q1313" s="4">
        <v>1</v>
      </c>
    </row>
    <row r="1314" spans="1:17" x14ac:dyDescent="0.25">
      <c r="A1314" s="3" t="s">
        <v>18</v>
      </c>
      <c r="B1314" s="3">
        <v>13312552</v>
      </c>
      <c r="C1314" s="3" t="s">
        <v>1356</v>
      </c>
      <c r="D1314" s="3" t="s">
        <v>20</v>
      </c>
      <c r="E1314" s="3" t="s">
        <v>21</v>
      </c>
      <c r="F1314" s="3" t="s">
        <v>21</v>
      </c>
      <c r="G1314" s="3" t="s">
        <v>410</v>
      </c>
      <c r="H1314" s="3" t="s">
        <v>411</v>
      </c>
      <c r="I1314" s="3" t="s">
        <v>24</v>
      </c>
      <c r="J1314" s="3" t="s">
        <v>24</v>
      </c>
      <c r="K1314" s="3" t="s">
        <v>25</v>
      </c>
      <c r="L1314" s="4">
        <v>0</v>
      </c>
      <c r="M1314" s="3" t="s">
        <v>26</v>
      </c>
      <c r="N1314" s="3" t="s">
        <v>24</v>
      </c>
      <c r="O1314" s="4">
        <v>1</v>
      </c>
      <c r="P1314" s="4">
        <v>4</v>
      </c>
      <c r="Q1314" s="4">
        <v>1</v>
      </c>
    </row>
    <row r="1315" spans="1:17" x14ac:dyDescent="0.25">
      <c r="A1315" s="3" t="s">
        <v>18</v>
      </c>
      <c r="B1315" s="3">
        <v>13312554</v>
      </c>
      <c r="C1315" s="3" t="s">
        <v>1357</v>
      </c>
      <c r="D1315" s="3" t="s">
        <v>20</v>
      </c>
      <c r="E1315" s="3" t="s">
        <v>21</v>
      </c>
      <c r="F1315" s="3" t="s">
        <v>21</v>
      </c>
      <c r="G1315" s="3" t="s">
        <v>410</v>
      </c>
      <c r="H1315" s="3" t="s">
        <v>411</v>
      </c>
      <c r="I1315" s="3" t="s">
        <v>24</v>
      </c>
      <c r="J1315" s="3" t="s">
        <v>24</v>
      </c>
      <c r="K1315" s="3" t="s">
        <v>25</v>
      </c>
      <c r="L1315" s="4">
        <v>0</v>
      </c>
      <c r="M1315" s="3" t="s">
        <v>26</v>
      </c>
      <c r="N1315" s="3" t="s">
        <v>24</v>
      </c>
      <c r="O1315" s="4">
        <v>1</v>
      </c>
      <c r="P1315" s="4">
        <v>4</v>
      </c>
      <c r="Q1315" s="4">
        <v>1</v>
      </c>
    </row>
    <row r="1316" spans="1:17" x14ac:dyDescent="0.25">
      <c r="A1316" s="3" t="s">
        <v>18</v>
      </c>
      <c r="B1316" s="3">
        <v>13325306</v>
      </c>
      <c r="C1316" s="3" t="s">
        <v>1358</v>
      </c>
      <c r="D1316" s="3" t="s">
        <v>20</v>
      </c>
      <c r="E1316" s="3" t="s">
        <v>21</v>
      </c>
      <c r="F1316" s="3" t="s">
        <v>21</v>
      </c>
      <c r="G1316" s="3" t="s">
        <v>22</v>
      </c>
      <c r="H1316" s="3" t="s">
        <v>23</v>
      </c>
      <c r="I1316" s="3" t="s">
        <v>24</v>
      </c>
      <c r="J1316" s="3" t="s">
        <v>24</v>
      </c>
      <c r="K1316" s="3" t="s">
        <v>25</v>
      </c>
      <c r="L1316" s="4">
        <v>0</v>
      </c>
      <c r="M1316" s="3" t="s">
        <v>26</v>
      </c>
      <c r="N1316" s="3" t="s">
        <v>24</v>
      </c>
      <c r="O1316" s="4">
        <v>1</v>
      </c>
      <c r="P1316" s="4">
        <v>4</v>
      </c>
      <c r="Q1316" s="4">
        <v>1</v>
      </c>
    </row>
    <row r="1317" spans="1:17" x14ac:dyDescent="0.25">
      <c r="A1317" s="3" t="s">
        <v>18</v>
      </c>
      <c r="B1317" s="3">
        <v>13326767</v>
      </c>
      <c r="C1317" s="3" t="s">
        <v>1359</v>
      </c>
      <c r="D1317" s="3" t="s">
        <v>1360</v>
      </c>
      <c r="E1317" s="3" t="s">
        <v>21</v>
      </c>
      <c r="F1317" s="3" t="s">
        <v>21</v>
      </c>
      <c r="G1317" s="3" t="s">
        <v>233</v>
      </c>
      <c r="H1317" s="3" t="s">
        <v>234</v>
      </c>
      <c r="I1317" s="3" t="s">
        <v>24</v>
      </c>
      <c r="J1317" s="3" t="s">
        <v>24</v>
      </c>
      <c r="K1317" s="3" t="s">
        <v>25</v>
      </c>
      <c r="L1317" s="4">
        <v>0</v>
      </c>
      <c r="M1317" s="3" t="s">
        <v>26</v>
      </c>
      <c r="N1317" s="3" t="s">
        <v>24</v>
      </c>
      <c r="O1317" s="4">
        <v>1</v>
      </c>
      <c r="P1317" s="4">
        <v>3</v>
      </c>
      <c r="Q1317" s="4">
        <v>1</v>
      </c>
    </row>
    <row r="1318" spans="1:17" x14ac:dyDescent="0.25">
      <c r="A1318" s="3" t="s">
        <v>18</v>
      </c>
      <c r="B1318" s="3">
        <v>13326890</v>
      </c>
      <c r="C1318" s="3" t="s">
        <v>1361</v>
      </c>
      <c r="D1318" s="3" t="s">
        <v>1360</v>
      </c>
      <c r="E1318" s="3" t="s">
        <v>21</v>
      </c>
      <c r="F1318" s="3" t="s">
        <v>21</v>
      </c>
      <c r="G1318" s="3" t="s">
        <v>233</v>
      </c>
      <c r="H1318" s="3" t="s">
        <v>234</v>
      </c>
      <c r="I1318" s="3" t="s">
        <v>24</v>
      </c>
      <c r="J1318" s="3" t="s">
        <v>24</v>
      </c>
      <c r="K1318" s="3" t="s">
        <v>25</v>
      </c>
      <c r="L1318" s="4">
        <v>0</v>
      </c>
      <c r="M1318" s="3" t="s">
        <v>26</v>
      </c>
      <c r="N1318" s="3" t="s">
        <v>24</v>
      </c>
      <c r="O1318" s="4">
        <v>1</v>
      </c>
      <c r="P1318" s="4">
        <v>2</v>
      </c>
      <c r="Q1318" s="4">
        <v>1</v>
      </c>
    </row>
    <row r="1319" spans="1:17" x14ac:dyDescent="0.25">
      <c r="A1319" s="3" t="s">
        <v>18</v>
      </c>
      <c r="B1319" s="3">
        <v>13326891</v>
      </c>
      <c r="C1319" s="3" t="s">
        <v>1362</v>
      </c>
      <c r="D1319" s="3" t="s">
        <v>1360</v>
      </c>
      <c r="E1319" s="3" t="s">
        <v>21</v>
      </c>
      <c r="F1319" s="3" t="s">
        <v>21</v>
      </c>
      <c r="G1319" s="3" t="s">
        <v>233</v>
      </c>
      <c r="H1319" s="3" t="s">
        <v>234</v>
      </c>
      <c r="I1319" s="3" t="s">
        <v>24</v>
      </c>
      <c r="J1319" s="3" t="s">
        <v>24</v>
      </c>
      <c r="K1319" s="3" t="s">
        <v>25</v>
      </c>
      <c r="L1319" s="4">
        <v>0</v>
      </c>
      <c r="M1319" s="3" t="s">
        <v>26</v>
      </c>
      <c r="N1319" s="3" t="s">
        <v>24</v>
      </c>
      <c r="O1319" s="4">
        <v>1</v>
      </c>
      <c r="P1319" s="4">
        <v>2</v>
      </c>
      <c r="Q1319" s="4">
        <v>1</v>
      </c>
    </row>
    <row r="1320" spans="1:17" x14ac:dyDescent="0.25">
      <c r="A1320" s="3" t="s">
        <v>18</v>
      </c>
      <c r="B1320" s="3">
        <v>13326892</v>
      </c>
      <c r="C1320" s="3" t="s">
        <v>1363</v>
      </c>
      <c r="D1320" s="3" t="s">
        <v>1360</v>
      </c>
      <c r="E1320" s="3" t="s">
        <v>21</v>
      </c>
      <c r="F1320" s="3" t="s">
        <v>21</v>
      </c>
      <c r="G1320" s="3" t="s">
        <v>233</v>
      </c>
      <c r="H1320" s="3" t="s">
        <v>234</v>
      </c>
      <c r="I1320" s="3" t="s">
        <v>24</v>
      </c>
      <c r="J1320" s="3" t="s">
        <v>24</v>
      </c>
      <c r="K1320" s="3" t="s">
        <v>25</v>
      </c>
      <c r="L1320" s="4">
        <v>0</v>
      </c>
      <c r="M1320" s="3" t="s">
        <v>26</v>
      </c>
      <c r="N1320" s="3" t="s">
        <v>24</v>
      </c>
      <c r="O1320" s="4">
        <v>1</v>
      </c>
      <c r="P1320" s="4">
        <v>3</v>
      </c>
      <c r="Q1320" s="4">
        <v>1</v>
      </c>
    </row>
    <row r="1321" spans="1:17" x14ac:dyDescent="0.25">
      <c r="A1321" s="3" t="s">
        <v>18</v>
      </c>
      <c r="B1321" s="3">
        <v>13326895</v>
      </c>
      <c r="C1321" s="3" t="s">
        <v>1364</v>
      </c>
      <c r="D1321" s="3" t="s">
        <v>1360</v>
      </c>
      <c r="E1321" s="3" t="s">
        <v>21</v>
      </c>
      <c r="F1321" s="3" t="s">
        <v>21</v>
      </c>
      <c r="G1321" s="3" t="s">
        <v>233</v>
      </c>
      <c r="H1321" s="3" t="s">
        <v>234</v>
      </c>
      <c r="I1321" s="3" t="s">
        <v>24</v>
      </c>
      <c r="J1321" s="3" t="s">
        <v>24</v>
      </c>
      <c r="K1321" s="3" t="s">
        <v>25</v>
      </c>
      <c r="L1321" s="4">
        <v>0</v>
      </c>
      <c r="M1321" s="3" t="s">
        <v>26</v>
      </c>
      <c r="N1321" s="3" t="s">
        <v>24</v>
      </c>
      <c r="O1321" s="4">
        <v>1</v>
      </c>
      <c r="P1321" s="4">
        <v>2</v>
      </c>
      <c r="Q1321" s="4">
        <v>1</v>
      </c>
    </row>
    <row r="1322" spans="1:17" x14ac:dyDescent="0.25">
      <c r="A1322" s="3" t="s">
        <v>18</v>
      </c>
      <c r="B1322" s="3">
        <v>13326897</v>
      </c>
      <c r="C1322" s="3" t="s">
        <v>1365</v>
      </c>
      <c r="D1322" s="3" t="s">
        <v>1360</v>
      </c>
      <c r="E1322" s="3" t="s">
        <v>21</v>
      </c>
      <c r="F1322" s="3" t="s">
        <v>21</v>
      </c>
      <c r="G1322" s="3" t="s">
        <v>233</v>
      </c>
      <c r="H1322" s="3" t="s">
        <v>234</v>
      </c>
      <c r="I1322" s="3" t="s">
        <v>24</v>
      </c>
      <c r="J1322" s="3" t="s">
        <v>24</v>
      </c>
      <c r="K1322" s="3" t="s">
        <v>25</v>
      </c>
      <c r="L1322" s="4">
        <v>0</v>
      </c>
      <c r="M1322" s="3" t="s">
        <v>26</v>
      </c>
      <c r="N1322" s="3" t="s">
        <v>24</v>
      </c>
      <c r="O1322" s="4">
        <v>1</v>
      </c>
      <c r="P1322" s="4">
        <v>3</v>
      </c>
      <c r="Q1322" s="4">
        <v>1</v>
      </c>
    </row>
    <row r="1323" spans="1:17" x14ac:dyDescent="0.25">
      <c r="A1323" s="3" t="s">
        <v>18</v>
      </c>
      <c r="B1323" s="3">
        <v>13327008</v>
      </c>
      <c r="C1323" s="3" t="s">
        <v>1366</v>
      </c>
      <c r="D1323" s="3" t="s">
        <v>1360</v>
      </c>
      <c r="E1323" s="3" t="s">
        <v>21</v>
      </c>
      <c r="F1323" s="3" t="s">
        <v>21</v>
      </c>
      <c r="G1323" s="3" t="s">
        <v>233</v>
      </c>
      <c r="H1323" s="3" t="s">
        <v>234</v>
      </c>
      <c r="I1323" s="3" t="s">
        <v>24</v>
      </c>
      <c r="J1323" s="3" t="s">
        <v>24</v>
      </c>
      <c r="K1323" s="3" t="s">
        <v>25</v>
      </c>
      <c r="L1323" s="4">
        <v>0</v>
      </c>
      <c r="M1323" s="3" t="s">
        <v>26</v>
      </c>
      <c r="N1323" s="3" t="s">
        <v>24</v>
      </c>
      <c r="O1323" s="4">
        <v>1</v>
      </c>
      <c r="P1323" s="4">
        <v>3</v>
      </c>
      <c r="Q1323" s="4">
        <v>1</v>
      </c>
    </row>
    <row r="1324" spans="1:17" x14ac:dyDescent="0.25">
      <c r="A1324" s="3" t="s">
        <v>18</v>
      </c>
      <c r="B1324" s="3">
        <v>13327009</v>
      </c>
      <c r="C1324" s="3" t="s">
        <v>1367</v>
      </c>
      <c r="D1324" s="3" t="s">
        <v>1360</v>
      </c>
      <c r="E1324" s="3" t="s">
        <v>21</v>
      </c>
      <c r="F1324" s="3" t="s">
        <v>21</v>
      </c>
      <c r="G1324" s="3" t="s">
        <v>233</v>
      </c>
      <c r="H1324" s="3" t="s">
        <v>234</v>
      </c>
      <c r="I1324" s="3" t="s">
        <v>24</v>
      </c>
      <c r="J1324" s="3" t="s">
        <v>24</v>
      </c>
      <c r="K1324" s="3" t="s">
        <v>25</v>
      </c>
      <c r="L1324" s="4">
        <v>0</v>
      </c>
      <c r="M1324" s="3" t="s">
        <v>26</v>
      </c>
      <c r="N1324" s="3" t="s">
        <v>24</v>
      </c>
      <c r="O1324" s="4">
        <v>1</v>
      </c>
      <c r="P1324" s="4">
        <v>3</v>
      </c>
      <c r="Q1324" s="4">
        <v>1</v>
      </c>
    </row>
    <row r="1325" spans="1:17" x14ac:dyDescent="0.25">
      <c r="A1325" s="3" t="s">
        <v>18</v>
      </c>
      <c r="B1325" s="3">
        <v>13327013</v>
      </c>
      <c r="C1325" s="3" t="s">
        <v>1368</v>
      </c>
      <c r="D1325" s="3" t="s">
        <v>1360</v>
      </c>
      <c r="E1325" s="3" t="s">
        <v>21</v>
      </c>
      <c r="F1325" s="3" t="s">
        <v>21</v>
      </c>
      <c r="G1325" s="3" t="s">
        <v>233</v>
      </c>
      <c r="H1325" s="3" t="s">
        <v>234</v>
      </c>
      <c r="I1325" s="3" t="s">
        <v>24</v>
      </c>
      <c r="J1325" s="3" t="s">
        <v>24</v>
      </c>
      <c r="K1325" s="3" t="s">
        <v>25</v>
      </c>
      <c r="L1325" s="4">
        <v>0</v>
      </c>
      <c r="M1325" s="3" t="s">
        <v>26</v>
      </c>
      <c r="N1325" s="3" t="s">
        <v>24</v>
      </c>
      <c r="O1325" s="4">
        <v>1</v>
      </c>
      <c r="P1325" s="4">
        <v>2</v>
      </c>
      <c r="Q1325" s="4">
        <v>1</v>
      </c>
    </row>
    <row r="1326" spans="1:17" x14ac:dyDescent="0.25">
      <c r="A1326" s="3" t="s">
        <v>18</v>
      </c>
      <c r="B1326" s="3">
        <v>13327015</v>
      </c>
      <c r="C1326" s="3" t="s">
        <v>1369</v>
      </c>
      <c r="D1326" s="3" t="s">
        <v>1360</v>
      </c>
      <c r="E1326" s="3" t="s">
        <v>21</v>
      </c>
      <c r="F1326" s="3" t="s">
        <v>21</v>
      </c>
      <c r="G1326" s="3" t="s">
        <v>233</v>
      </c>
      <c r="H1326" s="3" t="s">
        <v>234</v>
      </c>
      <c r="I1326" s="3" t="s">
        <v>24</v>
      </c>
      <c r="J1326" s="3" t="s">
        <v>24</v>
      </c>
      <c r="K1326" s="3" t="s">
        <v>25</v>
      </c>
      <c r="L1326" s="4">
        <v>0</v>
      </c>
      <c r="M1326" s="3" t="s">
        <v>26</v>
      </c>
      <c r="N1326" s="3" t="s">
        <v>24</v>
      </c>
      <c r="O1326" s="4">
        <v>1</v>
      </c>
      <c r="P1326" s="4">
        <v>3</v>
      </c>
      <c r="Q1326" s="4">
        <v>1</v>
      </c>
    </row>
    <row r="1327" spans="1:17" x14ac:dyDescent="0.25">
      <c r="A1327" s="3" t="s">
        <v>18</v>
      </c>
      <c r="B1327" s="3">
        <v>13339009</v>
      </c>
      <c r="C1327" s="3" t="s">
        <v>1370</v>
      </c>
      <c r="D1327" s="3" t="s">
        <v>20</v>
      </c>
      <c r="E1327" s="3" t="s">
        <v>21</v>
      </c>
      <c r="F1327" s="3" t="s">
        <v>21</v>
      </c>
      <c r="G1327" s="3" t="s">
        <v>410</v>
      </c>
      <c r="H1327" s="3" t="s">
        <v>411</v>
      </c>
      <c r="I1327" s="3" t="s">
        <v>24</v>
      </c>
      <c r="J1327" s="3" t="s">
        <v>24</v>
      </c>
      <c r="K1327" s="3" t="s">
        <v>25</v>
      </c>
      <c r="L1327" s="4">
        <v>0</v>
      </c>
      <c r="M1327" s="3" t="s">
        <v>26</v>
      </c>
      <c r="N1327" s="3" t="s">
        <v>24</v>
      </c>
      <c r="O1327" s="4">
        <v>1</v>
      </c>
      <c r="P1327" s="4">
        <v>2</v>
      </c>
      <c r="Q1327" s="4">
        <v>1</v>
      </c>
    </row>
    <row r="1328" spans="1:17" x14ac:dyDescent="0.25">
      <c r="A1328" s="3" t="s">
        <v>18</v>
      </c>
      <c r="B1328" s="3">
        <v>13358760</v>
      </c>
      <c r="C1328" s="3" t="s">
        <v>1371</v>
      </c>
      <c r="D1328" s="3" t="s">
        <v>20</v>
      </c>
      <c r="E1328" s="3" t="s">
        <v>21</v>
      </c>
      <c r="F1328" s="3" t="s">
        <v>21</v>
      </c>
      <c r="G1328" s="3" t="s">
        <v>42</v>
      </c>
      <c r="H1328" s="3" t="s">
        <v>43</v>
      </c>
      <c r="I1328" s="3" t="s">
        <v>24</v>
      </c>
      <c r="J1328" s="3" t="s">
        <v>24</v>
      </c>
      <c r="K1328" s="3" t="s">
        <v>25</v>
      </c>
      <c r="L1328" s="4">
        <v>0</v>
      </c>
      <c r="M1328" s="3" t="s">
        <v>26</v>
      </c>
      <c r="N1328" s="3" t="s">
        <v>24</v>
      </c>
      <c r="O1328" s="4">
        <v>1</v>
      </c>
      <c r="P1328" s="4">
        <v>8</v>
      </c>
      <c r="Q1328" s="4">
        <v>1</v>
      </c>
    </row>
    <row r="1329" spans="1:17" x14ac:dyDescent="0.25">
      <c r="A1329" s="3" t="s">
        <v>18</v>
      </c>
      <c r="B1329" s="3">
        <v>13358767</v>
      </c>
      <c r="C1329" s="3" t="s">
        <v>1372</v>
      </c>
      <c r="D1329" s="3" t="s">
        <v>20</v>
      </c>
      <c r="E1329" s="3" t="s">
        <v>21</v>
      </c>
      <c r="F1329" s="3" t="s">
        <v>21</v>
      </c>
      <c r="G1329" s="3" t="s">
        <v>22</v>
      </c>
      <c r="H1329" s="3" t="s">
        <v>23</v>
      </c>
      <c r="I1329" s="3" t="s">
        <v>24</v>
      </c>
      <c r="J1329" s="3" t="s">
        <v>24</v>
      </c>
      <c r="K1329" s="3" t="s">
        <v>25</v>
      </c>
      <c r="L1329" s="4">
        <v>0</v>
      </c>
      <c r="M1329" s="3" t="s">
        <v>26</v>
      </c>
      <c r="N1329" s="3" t="s">
        <v>24</v>
      </c>
      <c r="O1329" s="4">
        <v>1</v>
      </c>
      <c r="P1329" s="4">
        <v>4</v>
      </c>
      <c r="Q1329" s="4">
        <v>1</v>
      </c>
    </row>
    <row r="1330" spans="1:17" x14ac:dyDescent="0.25">
      <c r="A1330" s="3" t="s">
        <v>18</v>
      </c>
      <c r="B1330" s="3">
        <v>13358779</v>
      </c>
      <c r="C1330" s="3" t="s">
        <v>1373</v>
      </c>
      <c r="D1330" s="3" t="s">
        <v>20</v>
      </c>
      <c r="E1330" s="3" t="s">
        <v>21</v>
      </c>
      <c r="F1330" s="3" t="s">
        <v>21</v>
      </c>
      <c r="G1330" s="3" t="s">
        <v>22</v>
      </c>
      <c r="H1330" s="3" t="s">
        <v>23</v>
      </c>
      <c r="I1330" s="3" t="s">
        <v>24</v>
      </c>
      <c r="J1330" s="3" t="s">
        <v>24</v>
      </c>
      <c r="K1330" s="3" t="s">
        <v>25</v>
      </c>
      <c r="L1330" s="4">
        <v>0</v>
      </c>
      <c r="M1330" s="3" t="s">
        <v>26</v>
      </c>
      <c r="N1330" s="3" t="s">
        <v>24</v>
      </c>
      <c r="O1330" s="4">
        <v>1</v>
      </c>
      <c r="P1330" s="4">
        <v>4</v>
      </c>
      <c r="Q1330" s="4">
        <v>1</v>
      </c>
    </row>
    <row r="1331" spans="1:17" x14ac:dyDescent="0.25">
      <c r="A1331" s="3" t="s">
        <v>18</v>
      </c>
      <c r="B1331" s="3">
        <v>13358783</v>
      </c>
      <c r="C1331" s="3" t="s">
        <v>1374</v>
      </c>
      <c r="D1331" s="3" t="s">
        <v>20</v>
      </c>
      <c r="E1331" s="3" t="s">
        <v>21</v>
      </c>
      <c r="F1331" s="3" t="s">
        <v>21</v>
      </c>
      <c r="G1331" s="3" t="s">
        <v>36</v>
      </c>
      <c r="H1331" s="3" t="s">
        <v>37</v>
      </c>
      <c r="I1331" s="3" t="s">
        <v>24</v>
      </c>
      <c r="J1331" s="3" t="s">
        <v>24</v>
      </c>
      <c r="K1331" s="3" t="s">
        <v>25</v>
      </c>
      <c r="L1331" s="4">
        <v>0</v>
      </c>
      <c r="M1331" s="3" t="s">
        <v>26</v>
      </c>
      <c r="N1331" s="3" t="s">
        <v>24</v>
      </c>
      <c r="O1331" s="4">
        <v>1</v>
      </c>
      <c r="P1331" s="4">
        <v>10</v>
      </c>
      <c r="Q1331" s="4">
        <v>1</v>
      </c>
    </row>
    <row r="1332" spans="1:17" x14ac:dyDescent="0.25">
      <c r="A1332" s="3" t="s">
        <v>18</v>
      </c>
      <c r="B1332" s="3">
        <v>13358785</v>
      </c>
      <c r="C1332" s="3" t="s">
        <v>1375</v>
      </c>
      <c r="D1332" s="3" t="s">
        <v>20</v>
      </c>
      <c r="E1332" s="3" t="s">
        <v>21</v>
      </c>
      <c r="F1332" s="3" t="s">
        <v>21</v>
      </c>
      <c r="G1332" s="3" t="s">
        <v>36</v>
      </c>
      <c r="H1332" s="3" t="s">
        <v>37</v>
      </c>
      <c r="I1332" s="3" t="s">
        <v>24</v>
      </c>
      <c r="J1332" s="3" t="s">
        <v>24</v>
      </c>
      <c r="K1332" s="3" t="s">
        <v>25</v>
      </c>
      <c r="L1332" s="4">
        <v>0</v>
      </c>
      <c r="M1332" s="3" t="s">
        <v>26</v>
      </c>
      <c r="N1332" s="3" t="s">
        <v>24</v>
      </c>
      <c r="O1332" s="4">
        <v>1</v>
      </c>
      <c r="P1332" s="4">
        <v>10</v>
      </c>
      <c r="Q1332" s="4">
        <v>1</v>
      </c>
    </row>
    <row r="1333" spans="1:17" x14ac:dyDescent="0.25">
      <c r="A1333" s="3" t="s">
        <v>18</v>
      </c>
      <c r="B1333" s="3">
        <v>13358787</v>
      </c>
      <c r="C1333" s="3" t="s">
        <v>1376</v>
      </c>
      <c r="D1333" s="3" t="s">
        <v>20</v>
      </c>
      <c r="E1333" s="3" t="s">
        <v>21</v>
      </c>
      <c r="F1333" s="3" t="s">
        <v>21</v>
      </c>
      <c r="G1333" s="3" t="s">
        <v>233</v>
      </c>
      <c r="H1333" s="3" t="s">
        <v>234</v>
      </c>
      <c r="I1333" s="3" t="s">
        <v>24</v>
      </c>
      <c r="J1333" s="3" t="s">
        <v>24</v>
      </c>
      <c r="K1333" s="3" t="s">
        <v>25</v>
      </c>
      <c r="L1333" s="4">
        <v>0</v>
      </c>
      <c r="M1333" s="3" t="s">
        <v>26</v>
      </c>
      <c r="N1333" s="3" t="s">
        <v>24</v>
      </c>
      <c r="O1333" s="4">
        <v>1</v>
      </c>
      <c r="P1333" s="4">
        <v>3</v>
      </c>
      <c r="Q1333" s="4">
        <v>1</v>
      </c>
    </row>
    <row r="1334" spans="1:17" x14ac:dyDescent="0.25">
      <c r="A1334" s="3" t="s">
        <v>18</v>
      </c>
      <c r="B1334" s="3">
        <v>13358818</v>
      </c>
      <c r="C1334" s="3" t="s">
        <v>1377</v>
      </c>
      <c r="D1334" s="3" t="s">
        <v>20</v>
      </c>
      <c r="E1334" s="3" t="s">
        <v>21</v>
      </c>
      <c r="F1334" s="3" t="s">
        <v>21</v>
      </c>
      <c r="G1334" s="3" t="s">
        <v>233</v>
      </c>
      <c r="H1334" s="3" t="s">
        <v>234</v>
      </c>
      <c r="I1334" s="3" t="s">
        <v>24</v>
      </c>
      <c r="J1334" s="3" t="s">
        <v>24</v>
      </c>
      <c r="K1334" s="3" t="s">
        <v>25</v>
      </c>
      <c r="L1334" s="4">
        <v>0</v>
      </c>
      <c r="M1334" s="3" t="s">
        <v>26</v>
      </c>
      <c r="N1334" s="3" t="s">
        <v>24</v>
      </c>
      <c r="O1334" s="4">
        <v>1</v>
      </c>
      <c r="P1334" s="4">
        <v>3</v>
      </c>
      <c r="Q1334" s="4">
        <v>1</v>
      </c>
    </row>
    <row r="1335" spans="1:17" x14ac:dyDescent="0.25">
      <c r="A1335" s="3" t="s">
        <v>18</v>
      </c>
      <c r="B1335" s="3">
        <v>13358820</v>
      </c>
      <c r="C1335" s="3" t="s">
        <v>1378</v>
      </c>
      <c r="D1335" s="3" t="s">
        <v>20</v>
      </c>
      <c r="E1335" s="3" t="s">
        <v>21</v>
      </c>
      <c r="F1335" s="3" t="s">
        <v>21</v>
      </c>
      <c r="G1335" s="3" t="s">
        <v>42</v>
      </c>
      <c r="H1335" s="3" t="s">
        <v>43</v>
      </c>
      <c r="I1335" s="3" t="s">
        <v>24</v>
      </c>
      <c r="J1335" s="3" t="s">
        <v>24</v>
      </c>
      <c r="K1335" s="3" t="s">
        <v>25</v>
      </c>
      <c r="L1335" s="4">
        <v>0</v>
      </c>
      <c r="M1335" s="3" t="s">
        <v>26</v>
      </c>
      <c r="N1335" s="3" t="s">
        <v>24</v>
      </c>
      <c r="O1335" s="4">
        <v>1</v>
      </c>
      <c r="P1335" s="4">
        <v>8</v>
      </c>
      <c r="Q1335" s="4">
        <v>1</v>
      </c>
    </row>
    <row r="1336" spans="1:17" x14ac:dyDescent="0.25">
      <c r="A1336" s="3" t="s">
        <v>18</v>
      </c>
      <c r="B1336" s="3">
        <v>13358821</v>
      </c>
      <c r="C1336" s="3" t="s">
        <v>1379</v>
      </c>
      <c r="D1336" s="3" t="s">
        <v>20</v>
      </c>
      <c r="E1336" s="3" t="s">
        <v>21</v>
      </c>
      <c r="F1336" s="3" t="s">
        <v>21</v>
      </c>
      <c r="G1336" s="3" t="s">
        <v>42</v>
      </c>
      <c r="H1336" s="3" t="s">
        <v>43</v>
      </c>
      <c r="I1336" s="3" t="s">
        <v>24</v>
      </c>
      <c r="J1336" s="3" t="s">
        <v>24</v>
      </c>
      <c r="K1336" s="3" t="s">
        <v>25</v>
      </c>
      <c r="L1336" s="4">
        <v>0</v>
      </c>
      <c r="M1336" s="3" t="s">
        <v>26</v>
      </c>
      <c r="N1336" s="3" t="s">
        <v>24</v>
      </c>
      <c r="O1336" s="4">
        <v>1</v>
      </c>
      <c r="P1336" s="4">
        <v>8</v>
      </c>
      <c r="Q1336" s="4">
        <v>1</v>
      </c>
    </row>
    <row r="1337" spans="1:17" x14ac:dyDescent="0.25">
      <c r="A1337" s="3" t="s">
        <v>18</v>
      </c>
      <c r="B1337" s="3">
        <v>13358870</v>
      </c>
      <c r="C1337" s="3" t="s">
        <v>1380</v>
      </c>
      <c r="D1337" s="3" t="s">
        <v>20</v>
      </c>
      <c r="E1337" s="3" t="s">
        <v>21</v>
      </c>
      <c r="F1337" s="3" t="s">
        <v>21</v>
      </c>
      <c r="G1337" s="3" t="s">
        <v>22</v>
      </c>
      <c r="H1337" s="3" t="s">
        <v>23</v>
      </c>
      <c r="I1337" s="3" t="s">
        <v>24</v>
      </c>
      <c r="J1337" s="3" t="s">
        <v>24</v>
      </c>
      <c r="K1337" s="3" t="s">
        <v>25</v>
      </c>
      <c r="L1337" s="4">
        <v>0</v>
      </c>
      <c r="M1337" s="3" t="s">
        <v>26</v>
      </c>
      <c r="N1337" s="3" t="s">
        <v>24</v>
      </c>
      <c r="O1337" s="4">
        <v>1</v>
      </c>
      <c r="P1337" s="4">
        <v>4</v>
      </c>
      <c r="Q1337" s="4">
        <v>1</v>
      </c>
    </row>
    <row r="1338" spans="1:17" x14ac:dyDescent="0.25">
      <c r="A1338" s="3" t="s">
        <v>18</v>
      </c>
      <c r="B1338" s="3">
        <v>13358877</v>
      </c>
      <c r="C1338" s="3" t="s">
        <v>1381</v>
      </c>
      <c r="D1338" s="3" t="s">
        <v>20</v>
      </c>
      <c r="E1338" s="3" t="s">
        <v>21</v>
      </c>
      <c r="F1338" s="3" t="s">
        <v>21</v>
      </c>
      <c r="G1338" s="3" t="s">
        <v>36</v>
      </c>
      <c r="H1338" s="3" t="s">
        <v>37</v>
      </c>
      <c r="I1338" s="3" t="s">
        <v>24</v>
      </c>
      <c r="J1338" s="3" t="s">
        <v>24</v>
      </c>
      <c r="K1338" s="3" t="s">
        <v>25</v>
      </c>
      <c r="L1338" s="4">
        <v>0</v>
      </c>
      <c r="M1338" s="3" t="s">
        <v>26</v>
      </c>
      <c r="N1338" s="3" t="s">
        <v>24</v>
      </c>
      <c r="O1338" s="4">
        <v>1</v>
      </c>
      <c r="P1338" s="4">
        <v>10</v>
      </c>
      <c r="Q1338" s="4">
        <v>1</v>
      </c>
    </row>
    <row r="1339" spans="1:17" x14ac:dyDescent="0.25">
      <c r="A1339" s="3" t="s">
        <v>18</v>
      </c>
      <c r="B1339" s="3">
        <v>13358888</v>
      </c>
      <c r="C1339" s="3" t="s">
        <v>1382</v>
      </c>
      <c r="D1339" s="3" t="s">
        <v>20</v>
      </c>
      <c r="E1339" s="3" t="s">
        <v>21</v>
      </c>
      <c r="F1339" s="3" t="s">
        <v>21</v>
      </c>
      <c r="G1339" s="3" t="s">
        <v>233</v>
      </c>
      <c r="H1339" s="3" t="s">
        <v>234</v>
      </c>
      <c r="I1339" s="3" t="s">
        <v>24</v>
      </c>
      <c r="J1339" s="3" t="s">
        <v>24</v>
      </c>
      <c r="K1339" s="3" t="s">
        <v>25</v>
      </c>
      <c r="L1339" s="4">
        <v>0</v>
      </c>
      <c r="M1339" s="3" t="s">
        <v>26</v>
      </c>
      <c r="N1339" s="3" t="s">
        <v>24</v>
      </c>
      <c r="O1339" s="4">
        <v>1</v>
      </c>
      <c r="P1339" s="4">
        <v>3</v>
      </c>
      <c r="Q1339" s="4">
        <v>1</v>
      </c>
    </row>
    <row r="1340" spans="1:17" x14ac:dyDescent="0.25">
      <c r="A1340" s="3" t="s">
        <v>18</v>
      </c>
      <c r="B1340" s="3">
        <v>13358891</v>
      </c>
      <c r="C1340" s="3" t="s">
        <v>1383</v>
      </c>
      <c r="D1340" s="3" t="s">
        <v>20</v>
      </c>
      <c r="E1340" s="3" t="s">
        <v>21</v>
      </c>
      <c r="F1340" s="3" t="s">
        <v>21</v>
      </c>
      <c r="G1340" s="3" t="s">
        <v>233</v>
      </c>
      <c r="H1340" s="3" t="s">
        <v>234</v>
      </c>
      <c r="I1340" s="3" t="s">
        <v>24</v>
      </c>
      <c r="J1340" s="3" t="s">
        <v>24</v>
      </c>
      <c r="K1340" s="3" t="s">
        <v>25</v>
      </c>
      <c r="L1340" s="4">
        <v>0</v>
      </c>
      <c r="M1340" s="3" t="s">
        <v>26</v>
      </c>
      <c r="N1340" s="3" t="s">
        <v>24</v>
      </c>
      <c r="O1340" s="4">
        <v>1</v>
      </c>
      <c r="P1340" s="4">
        <v>3</v>
      </c>
      <c r="Q1340" s="4">
        <v>1</v>
      </c>
    </row>
    <row r="1341" spans="1:17" x14ac:dyDescent="0.25">
      <c r="A1341" s="3" t="s">
        <v>18</v>
      </c>
      <c r="B1341" s="3">
        <v>13364296</v>
      </c>
      <c r="C1341" s="3" t="s">
        <v>1384</v>
      </c>
      <c r="D1341" s="3" t="s">
        <v>1360</v>
      </c>
      <c r="E1341" s="3" t="s">
        <v>21</v>
      </c>
      <c r="F1341" s="3" t="s">
        <v>21</v>
      </c>
      <c r="G1341" s="3" t="s">
        <v>233</v>
      </c>
      <c r="H1341" s="3" t="s">
        <v>234</v>
      </c>
      <c r="I1341" s="3" t="s">
        <v>24</v>
      </c>
      <c r="J1341" s="3" t="s">
        <v>24</v>
      </c>
      <c r="K1341" s="3" t="s">
        <v>25</v>
      </c>
      <c r="L1341" s="4">
        <v>0</v>
      </c>
      <c r="M1341" s="3" t="s">
        <v>26</v>
      </c>
      <c r="N1341" s="3" t="s">
        <v>24</v>
      </c>
      <c r="O1341" s="4">
        <v>1</v>
      </c>
      <c r="P1341" s="4">
        <v>2</v>
      </c>
      <c r="Q1341" s="4">
        <v>1</v>
      </c>
    </row>
    <row r="1342" spans="1:17" x14ac:dyDescent="0.25">
      <c r="A1342" s="3" t="s">
        <v>18</v>
      </c>
      <c r="B1342" s="3">
        <v>13364389</v>
      </c>
      <c r="C1342" s="3" t="s">
        <v>1385</v>
      </c>
      <c r="D1342" s="3" t="s">
        <v>1360</v>
      </c>
      <c r="E1342" s="3" t="s">
        <v>21</v>
      </c>
      <c r="F1342" s="3" t="s">
        <v>21</v>
      </c>
      <c r="G1342" s="3" t="s">
        <v>233</v>
      </c>
      <c r="H1342" s="3" t="s">
        <v>234</v>
      </c>
      <c r="I1342" s="3" t="s">
        <v>24</v>
      </c>
      <c r="J1342" s="3" t="s">
        <v>24</v>
      </c>
      <c r="K1342" s="3" t="s">
        <v>25</v>
      </c>
      <c r="L1342" s="4">
        <v>0</v>
      </c>
      <c r="M1342" s="3" t="s">
        <v>26</v>
      </c>
      <c r="N1342" s="3" t="s">
        <v>24</v>
      </c>
      <c r="O1342" s="4">
        <v>1</v>
      </c>
      <c r="P1342" s="4">
        <v>3</v>
      </c>
      <c r="Q1342" s="4">
        <v>1</v>
      </c>
    </row>
    <row r="1343" spans="1:17" x14ac:dyDescent="0.25">
      <c r="A1343" s="3" t="s">
        <v>18</v>
      </c>
      <c r="B1343" s="3">
        <v>13364392</v>
      </c>
      <c r="C1343" s="3" t="s">
        <v>1386</v>
      </c>
      <c r="D1343" s="3" t="s">
        <v>1360</v>
      </c>
      <c r="E1343" s="3" t="s">
        <v>21</v>
      </c>
      <c r="F1343" s="3" t="s">
        <v>21</v>
      </c>
      <c r="G1343" s="3" t="s">
        <v>233</v>
      </c>
      <c r="H1343" s="3" t="s">
        <v>234</v>
      </c>
      <c r="I1343" s="3" t="s">
        <v>24</v>
      </c>
      <c r="J1343" s="3" t="s">
        <v>24</v>
      </c>
      <c r="K1343" s="3" t="s">
        <v>25</v>
      </c>
      <c r="L1343" s="4">
        <v>0</v>
      </c>
      <c r="M1343" s="3" t="s">
        <v>26</v>
      </c>
      <c r="N1343" s="3" t="s">
        <v>24</v>
      </c>
      <c r="O1343" s="4">
        <v>1</v>
      </c>
      <c r="P1343" s="4">
        <v>2</v>
      </c>
      <c r="Q1343" s="4">
        <v>1</v>
      </c>
    </row>
    <row r="1344" spans="1:17" x14ac:dyDescent="0.25">
      <c r="A1344" s="3" t="s">
        <v>18</v>
      </c>
      <c r="B1344" s="3">
        <v>13376845</v>
      </c>
      <c r="C1344" s="3" t="s">
        <v>1387</v>
      </c>
      <c r="D1344" s="3" t="s">
        <v>20</v>
      </c>
      <c r="E1344" s="3" t="s">
        <v>21</v>
      </c>
      <c r="F1344" s="3" t="s">
        <v>21</v>
      </c>
      <c r="G1344" s="3" t="s">
        <v>36</v>
      </c>
      <c r="H1344" s="3" t="s">
        <v>37</v>
      </c>
      <c r="I1344" s="3" t="s">
        <v>24</v>
      </c>
      <c r="J1344" s="3" t="s">
        <v>24</v>
      </c>
      <c r="K1344" s="3" t="s">
        <v>25</v>
      </c>
      <c r="L1344" s="4">
        <v>0</v>
      </c>
      <c r="M1344" s="3" t="s">
        <v>26</v>
      </c>
      <c r="N1344" s="3" t="s">
        <v>24</v>
      </c>
      <c r="O1344" s="4">
        <v>1</v>
      </c>
      <c r="P1344" s="4">
        <v>10</v>
      </c>
      <c r="Q1344" s="4">
        <v>1</v>
      </c>
    </row>
    <row r="1345" spans="1:17" x14ac:dyDescent="0.25">
      <c r="A1345" s="3" t="s">
        <v>18</v>
      </c>
      <c r="B1345" s="3">
        <v>13387384</v>
      </c>
      <c r="C1345" s="3" t="s">
        <v>1388</v>
      </c>
      <c r="D1345" s="3" t="s">
        <v>20</v>
      </c>
      <c r="E1345" s="3" t="s">
        <v>21</v>
      </c>
      <c r="F1345" s="3" t="s">
        <v>21</v>
      </c>
      <c r="G1345" s="3" t="s">
        <v>410</v>
      </c>
      <c r="H1345" s="3" t="s">
        <v>411</v>
      </c>
      <c r="I1345" s="3" t="s">
        <v>24</v>
      </c>
      <c r="J1345" s="3" t="s">
        <v>24</v>
      </c>
      <c r="K1345" s="3" t="s">
        <v>25</v>
      </c>
      <c r="L1345" s="4">
        <v>0</v>
      </c>
      <c r="M1345" s="3" t="s">
        <v>26</v>
      </c>
      <c r="N1345" s="3" t="s">
        <v>24</v>
      </c>
      <c r="O1345" s="4">
        <v>1</v>
      </c>
      <c r="P1345" s="4">
        <v>10</v>
      </c>
      <c r="Q1345" s="4">
        <v>1</v>
      </c>
    </row>
    <row r="1346" spans="1:17" x14ac:dyDescent="0.25">
      <c r="A1346" s="3" t="s">
        <v>18</v>
      </c>
      <c r="B1346" s="3">
        <v>13390520</v>
      </c>
      <c r="C1346" s="3" t="s">
        <v>1389</v>
      </c>
      <c r="D1346" s="3" t="s">
        <v>1360</v>
      </c>
      <c r="E1346" s="3" t="s">
        <v>21</v>
      </c>
      <c r="F1346" s="3" t="s">
        <v>21</v>
      </c>
      <c r="G1346" s="3" t="s">
        <v>36</v>
      </c>
      <c r="H1346" s="3" t="s">
        <v>37</v>
      </c>
      <c r="I1346" s="3" t="s">
        <v>24</v>
      </c>
      <c r="J1346" s="3" t="s">
        <v>24</v>
      </c>
      <c r="K1346" s="3" t="s">
        <v>25</v>
      </c>
      <c r="L1346" s="4">
        <v>0</v>
      </c>
      <c r="M1346" s="3" t="s">
        <v>26</v>
      </c>
      <c r="N1346" s="3" t="s">
        <v>24</v>
      </c>
      <c r="O1346" s="4">
        <v>1</v>
      </c>
      <c r="P1346" s="4">
        <v>10</v>
      </c>
      <c r="Q1346" s="4">
        <v>1</v>
      </c>
    </row>
    <row r="1347" spans="1:17" x14ac:dyDescent="0.25">
      <c r="A1347" s="3" t="s">
        <v>18</v>
      </c>
      <c r="B1347" s="3">
        <v>13392068</v>
      </c>
      <c r="C1347" s="3" t="s">
        <v>1390</v>
      </c>
      <c r="D1347" s="3" t="s">
        <v>1360</v>
      </c>
      <c r="E1347" s="3" t="s">
        <v>21</v>
      </c>
      <c r="F1347" s="3" t="s">
        <v>21</v>
      </c>
      <c r="G1347" s="3" t="s">
        <v>233</v>
      </c>
      <c r="H1347" s="3" t="s">
        <v>234</v>
      </c>
      <c r="I1347" s="3" t="s">
        <v>24</v>
      </c>
      <c r="J1347" s="3" t="s">
        <v>24</v>
      </c>
      <c r="K1347" s="3" t="s">
        <v>25</v>
      </c>
      <c r="L1347" s="4">
        <v>0</v>
      </c>
      <c r="M1347" s="3" t="s">
        <v>26</v>
      </c>
      <c r="N1347" s="3" t="s">
        <v>24</v>
      </c>
      <c r="O1347" s="4">
        <v>1</v>
      </c>
      <c r="P1347" s="4">
        <v>2</v>
      </c>
      <c r="Q1347" s="4">
        <v>1</v>
      </c>
    </row>
    <row r="1348" spans="1:17" x14ac:dyDescent="0.25">
      <c r="A1348" s="3" t="s">
        <v>18</v>
      </c>
      <c r="B1348" s="3">
        <v>13392071</v>
      </c>
      <c r="C1348" s="3" t="s">
        <v>1391</v>
      </c>
      <c r="D1348" s="3" t="s">
        <v>1360</v>
      </c>
      <c r="E1348" s="3" t="s">
        <v>21</v>
      </c>
      <c r="F1348" s="3" t="s">
        <v>21</v>
      </c>
      <c r="G1348" s="3" t="s">
        <v>36</v>
      </c>
      <c r="H1348" s="3" t="s">
        <v>37</v>
      </c>
      <c r="I1348" s="3" t="s">
        <v>24</v>
      </c>
      <c r="J1348" s="3" t="s">
        <v>24</v>
      </c>
      <c r="K1348" s="3" t="s">
        <v>25</v>
      </c>
      <c r="L1348" s="4">
        <v>0</v>
      </c>
      <c r="M1348" s="3" t="s">
        <v>26</v>
      </c>
      <c r="N1348" s="3" t="s">
        <v>24</v>
      </c>
      <c r="O1348" s="4">
        <v>1</v>
      </c>
      <c r="P1348" s="4">
        <v>10</v>
      </c>
      <c r="Q1348" s="4">
        <v>1</v>
      </c>
    </row>
    <row r="1349" spans="1:17" x14ac:dyDescent="0.25">
      <c r="A1349" s="3" t="s">
        <v>18</v>
      </c>
      <c r="B1349" s="3">
        <v>13392141</v>
      </c>
      <c r="C1349" s="3" t="s">
        <v>1392</v>
      </c>
      <c r="D1349" s="3" t="s">
        <v>1360</v>
      </c>
      <c r="E1349" s="3" t="s">
        <v>21</v>
      </c>
      <c r="F1349" s="3" t="s">
        <v>21</v>
      </c>
      <c r="G1349" s="3" t="s">
        <v>233</v>
      </c>
      <c r="H1349" s="3" t="s">
        <v>234</v>
      </c>
      <c r="I1349" s="3" t="s">
        <v>24</v>
      </c>
      <c r="J1349" s="3" t="s">
        <v>24</v>
      </c>
      <c r="K1349" s="3" t="s">
        <v>25</v>
      </c>
      <c r="L1349" s="4">
        <v>0</v>
      </c>
      <c r="M1349" s="3" t="s">
        <v>26</v>
      </c>
      <c r="N1349" s="3" t="s">
        <v>24</v>
      </c>
      <c r="O1349" s="4">
        <v>1</v>
      </c>
      <c r="P1349" s="4">
        <v>2</v>
      </c>
      <c r="Q1349" s="4">
        <v>1</v>
      </c>
    </row>
    <row r="1350" spans="1:17" x14ac:dyDescent="0.25">
      <c r="A1350" s="3" t="s">
        <v>18</v>
      </c>
      <c r="B1350" s="3">
        <v>13392621</v>
      </c>
      <c r="C1350" s="3" t="s">
        <v>1393</v>
      </c>
      <c r="D1350" s="3" t="s">
        <v>1360</v>
      </c>
      <c r="E1350" s="3" t="s">
        <v>21</v>
      </c>
      <c r="F1350" s="3" t="s">
        <v>21</v>
      </c>
      <c r="G1350" s="3" t="s">
        <v>36</v>
      </c>
      <c r="H1350" s="3" t="s">
        <v>37</v>
      </c>
      <c r="I1350" s="3" t="s">
        <v>24</v>
      </c>
      <c r="J1350" s="3" t="s">
        <v>24</v>
      </c>
      <c r="K1350" s="3" t="s">
        <v>25</v>
      </c>
      <c r="L1350" s="4">
        <v>0</v>
      </c>
      <c r="M1350" s="3" t="s">
        <v>26</v>
      </c>
      <c r="N1350" s="3" t="s">
        <v>24</v>
      </c>
      <c r="O1350" s="4">
        <v>1</v>
      </c>
      <c r="P1350" s="4">
        <v>10</v>
      </c>
      <c r="Q1350" s="4">
        <v>1</v>
      </c>
    </row>
    <row r="1351" spans="1:17" x14ac:dyDescent="0.25">
      <c r="A1351" s="3" t="s">
        <v>18</v>
      </c>
      <c r="B1351" s="3">
        <v>13392622</v>
      </c>
      <c r="C1351" s="3" t="s">
        <v>1394</v>
      </c>
      <c r="D1351" s="3" t="s">
        <v>1360</v>
      </c>
      <c r="E1351" s="3" t="s">
        <v>21</v>
      </c>
      <c r="F1351" s="3" t="s">
        <v>21</v>
      </c>
      <c r="G1351" s="3" t="s">
        <v>36</v>
      </c>
      <c r="H1351" s="3" t="s">
        <v>37</v>
      </c>
      <c r="I1351" s="3" t="s">
        <v>24</v>
      </c>
      <c r="J1351" s="3" t="s">
        <v>24</v>
      </c>
      <c r="K1351" s="3" t="s">
        <v>25</v>
      </c>
      <c r="L1351" s="4">
        <v>0</v>
      </c>
      <c r="M1351" s="3" t="s">
        <v>26</v>
      </c>
      <c r="N1351" s="3" t="s">
        <v>24</v>
      </c>
      <c r="O1351" s="4">
        <v>1</v>
      </c>
      <c r="P1351" s="4">
        <v>10</v>
      </c>
      <c r="Q1351" s="4">
        <v>1</v>
      </c>
    </row>
    <row r="1352" spans="1:17" x14ac:dyDescent="0.25">
      <c r="A1352" s="3" t="s">
        <v>18</v>
      </c>
      <c r="B1352" s="3">
        <v>13392625</v>
      </c>
      <c r="C1352" s="3" t="s">
        <v>1395</v>
      </c>
      <c r="D1352" s="3" t="s">
        <v>1360</v>
      </c>
      <c r="E1352" s="3" t="s">
        <v>21</v>
      </c>
      <c r="F1352" s="3" t="s">
        <v>21</v>
      </c>
      <c r="G1352" s="3" t="s">
        <v>36</v>
      </c>
      <c r="H1352" s="3" t="s">
        <v>37</v>
      </c>
      <c r="I1352" s="3" t="s">
        <v>24</v>
      </c>
      <c r="J1352" s="3" t="s">
        <v>24</v>
      </c>
      <c r="K1352" s="3" t="s">
        <v>25</v>
      </c>
      <c r="L1352" s="4">
        <v>0</v>
      </c>
      <c r="M1352" s="3" t="s">
        <v>26</v>
      </c>
      <c r="N1352" s="3" t="s">
        <v>24</v>
      </c>
      <c r="O1352" s="4">
        <v>1</v>
      </c>
      <c r="P1352" s="4">
        <v>10</v>
      </c>
      <c r="Q1352" s="4">
        <v>1</v>
      </c>
    </row>
    <row r="1353" spans="1:17" x14ac:dyDescent="0.25">
      <c r="A1353" s="3" t="s">
        <v>18</v>
      </c>
      <c r="B1353" s="3">
        <v>13392627</v>
      </c>
      <c r="C1353" s="3" t="s">
        <v>1396</v>
      </c>
      <c r="D1353" s="3" t="s">
        <v>1360</v>
      </c>
      <c r="E1353" s="3" t="s">
        <v>21</v>
      </c>
      <c r="F1353" s="3" t="s">
        <v>21</v>
      </c>
      <c r="G1353" s="3" t="s">
        <v>36</v>
      </c>
      <c r="H1353" s="3" t="s">
        <v>37</v>
      </c>
      <c r="I1353" s="3" t="s">
        <v>24</v>
      </c>
      <c r="J1353" s="3" t="s">
        <v>24</v>
      </c>
      <c r="K1353" s="3" t="s">
        <v>25</v>
      </c>
      <c r="L1353" s="4">
        <v>0</v>
      </c>
      <c r="M1353" s="3" t="s">
        <v>26</v>
      </c>
      <c r="N1353" s="3" t="s">
        <v>24</v>
      </c>
      <c r="O1353" s="4">
        <v>1</v>
      </c>
      <c r="P1353" s="4">
        <v>10</v>
      </c>
      <c r="Q1353" s="4">
        <v>1</v>
      </c>
    </row>
    <row r="1354" spans="1:17" x14ac:dyDescent="0.25">
      <c r="A1354" s="3" t="s">
        <v>18</v>
      </c>
      <c r="B1354" s="3">
        <v>13392760</v>
      </c>
      <c r="C1354" s="3" t="s">
        <v>1397</v>
      </c>
      <c r="D1354" s="3" t="s">
        <v>1360</v>
      </c>
      <c r="E1354" s="3" t="s">
        <v>21</v>
      </c>
      <c r="F1354" s="3" t="s">
        <v>21</v>
      </c>
      <c r="G1354" s="3" t="s">
        <v>36</v>
      </c>
      <c r="H1354" s="3" t="s">
        <v>37</v>
      </c>
      <c r="I1354" s="3" t="s">
        <v>24</v>
      </c>
      <c r="J1354" s="3" t="s">
        <v>24</v>
      </c>
      <c r="K1354" s="3" t="s">
        <v>25</v>
      </c>
      <c r="L1354" s="4">
        <v>0</v>
      </c>
      <c r="M1354" s="3" t="s">
        <v>26</v>
      </c>
      <c r="N1354" s="3" t="s">
        <v>24</v>
      </c>
      <c r="O1354" s="4">
        <v>1</v>
      </c>
      <c r="P1354" s="4">
        <v>10</v>
      </c>
      <c r="Q1354" s="4">
        <v>1</v>
      </c>
    </row>
    <row r="1355" spans="1:17" x14ac:dyDescent="0.25">
      <c r="A1355" s="3" t="s">
        <v>18</v>
      </c>
      <c r="B1355" s="3">
        <v>13392763</v>
      </c>
      <c r="C1355" s="3" t="s">
        <v>1398</v>
      </c>
      <c r="D1355" s="3" t="s">
        <v>1360</v>
      </c>
      <c r="E1355" s="3" t="s">
        <v>21</v>
      </c>
      <c r="F1355" s="3" t="s">
        <v>21</v>
      </c>
      <c r="G1355" s="3" t="s">
        <v>36</v>
      </c>
      <c r="H1355" s="3" t="s">
        <v>37</v>
      </c>
      <c r="I1355" s="3" t="s">
        <v>24</v>
      </c>
      <c r="J1355" s="3" t="s">
        <v>24</v>
      </c>
      <c r="K1355" s="3" t="s">
        <v>25</v>
      </c>
      <c r="L1355" s="4">
        <v>0</v>
      </c>
      <c r="M1355" s="3" t="s">
        <v>26</v>
      </c>
      <c r="N1355" s="3" t="s">
        <v>24</v>
      </c>
      <c r="O1355" s="4">
        <v>1</v>
      </c>
      <c r="P1355" s="4">
        <v>10</v>
      </c>
      <c r="Q1355" s="4">
        <v>1</v>
      </c>
    </row>
    <row r="1356" spans="1:17" x14ac:dyDescent="0.25">
      <c r="A1356" s="3" t="s">
        <v>18</v>
      </c>
      <c r="B1356" s="3">
        <v>13392764</v>
      </c>
      <c r="C1356" s="3" t="s">
        <v>1399</v>
      </c>
      <c r="D1356" s="3" t="s">
        <v>1360</v>
      </c>
      <c r="E1356" s="3" t="s">
        <v>21</v>
      </c>
      <c r="F1356" s="3" t="s">
        <v>21</v>
      </c>
      <c r="G1356" s="3" t="s">
        <v>36</v>
      </c>
      <c r="H1356" s="3" t="s">
        <v>37</v>
      </c>
      <c r="I1356" s="3" t="s">
        <v>24</v>
      </c>
      <c r="J1356" s="3" t="s">
        <v>24</v>
      </c>
      <c r="K1356" s="3" t="s">
        <v>25</v>
      </c>
      <c r="L1356" s="4">
        <v>0</v>
      </c>
      <c r="M1356" s="3" t="s">
        <v>26</v>
      </c>
      <c r="N1356" s="3" t="s">
        <v>24</v>
      </c>
      <c r="O1356" s="4">
        <v>1</v>
      </c>
      <c r="P1356" s="4">
        <v>10</v>
      </c>
      <c r="Q1356" s="4">
        <v>1</v>
      </c>
    </row>
    <row r="1357" spans="1:17" x14ac:dyDescent="0.25">
      <c r="A1357" s="3" t="s">
        <v>18</v>
      </c>
      <c r="B1357" s="3">
        <v>13392765</v>
      </c>
      <c r="C1357" s="3" t="s">
        <v>1400</v>
      </c>
      <c r="D1357" s="3" t="s">
        <v>1360</v>
      </c>
      <c r="E1357" s="3" t="s">
        <v>21</v>
      </c>
      <c r="F1357" s="3" t="s">
        <v>21</v>
      </c>
      <c r="G1357" s="3" t="s">
        <v>36</v>
      </c>
      <c r="H1357" s="3" t="s">
        <v>37</v>
      </c>
      <c r="I1357" s="3" t="s">
        <v>24</v>
      </c>
      <c r="J1357" s="3" t="s">
        <v>24</v>
      </c>
      <c r="K1357" s="3" t="s">
        <v>25</v>
      </c>
      <c r="L1357" s="4">
        <v>0</v>
      </c>
      <c r="M1357" s="3" t="s">
        <v>26</v>
      </c>
      <c r="N1357" s="3" t="s">
        <v>24</v>
      </c>
      <c r="O1357" s="4">
        <v>1</v>
      </c>
      <c r="P1357" s="4">
        <v>10</v>
      </c>
      <c r="Q1357" s="4">
        <v>1</v>
      </c>
    </row>
    <row r="1358" spans="1:17" x14ac:dyDescent="0.25">
      <c r="A1358" s="3" t="s">
        <v>18</v>
      </c>
      <c r="B1358" s="3">
        <v>13392766</v>
      </c>
      <c r="C1358" s="3" t="s">
        <v>1401</v>
      </c>
      <c r="D1358" s="3" t="s">
        <v>1360</v>
      </c>
      <c r="E1358" s="3" t="s">
        <v>21</v>
      </c>
      <c r="F1358" s="3" t="s">
        <v>21</v>
      </c>
      <c r="G1358" s="3" t="s">
        <v>36</v>
      </c>
      <c r="H1358" s="3" t="s">
        <v>37</v>
      </c>
      <c r="I1358" s="3" t="s">
        <v>24</v>
      </c>
      <c r="J1358" s="3" t="s">
        <v>24</v>
      </c>
      <c r="K1358" s="3" t="s">
        <v>25</v>
      </c>
      <c r="L1358" s="4">
        <v>0</v>
      </c>
      <c r="M1358" s="3" t="s">
        <v>26</v>
      </c>
      <c r="N1358" s="3" t="s">
        <v>24</v>
      </c>
      <c r="O1358" s="4">
        <v>1</v>
      </c>
      <c r="P1358" s="4">
        <v>10</v>
      </c>
      <c r="Q1358" s="4">
        <v>1</v>
      </c>
    </row>
    <row r="1359" spans="1:17" x14ac:dyDescent="0.25">
      <c r="A1359" s="3" t="s">
        <v>18</v>
      </c>
      <c r="B1359" s="3">
        <v>13392848</v>
      </c>
      <c r="C1359" s="3" t="s">
        <v>1402</v>
      </c>
      <c r="D1359" s="3" t="s">
        <v>1360</v>
      </c>
      <c r="E1359" s="3" t="s">
        <v>21</v>
      </c>
      <c r="F1359" s="3" t="s">
        <v>21</v>
      </c>
      <c r="G1359" s="3" t="s">
        <v>233</v>
      </c>
      <c r="H1359" s="3" t="s">
        <v>234</v>
      </c>
      <c r="I1359" s="3" t="s">
        <v>24</v>
      </c>
      <c r="J1359" s="3" t="s">
        <v>24</v>
      </c>
      <c r="K1359" s="3" t="s">
        <v>25</v>
      </c>
      <c r="L1359" s="4">
        <v>0</v>
      </c>
      <c r="M1359" s="3" t="s">
        <v>26</v>
      </c>
      <c r="N1359" s="3" t="s">
        <v>24</v>
      </c>
      <c r="O1359" s="4">
        <v>1</v>
      </c>
      <c r="P1359" s="4">
        <v>2</v>
      </c>
      <c r="Q1359" s="4">
        <v>1</v>
      </c>
    </row>
    <row r="1360" spans="1:17" x14ac:dyDescent="0.25">
      <c r="A1360" s="3" t="s">
        <v>18</v>
      </c>
      <c r="B1360" s="3">
        <v>13393062</v>
      </c>
      <c r="C1360" s="3" t="s">
        <v>1403</v>
      </c>
      <c r="D1360" s="3" t="s">
        <v>1360</v>
      </c>
      <c r="E1360" s="3" t="s">
        <v>21</v>
      </c>
      <c r="F1360" s="3" t="s">
        <v>21</v>
      </c>
      <c r="G1360" s="3" t="s">
        <v>477</v>
      </c>
      <c r="H1360" s="3" t="s">
        <v>478</v>
      </c>
      <c r="I1360" s="3" t="s">
        <v>24</v>
      </c>
      <c r="J1360" s="3" t="s">
        <v>24</v>
      </c>
      <c r="K1360" s="3" t="s">
        <v>25</v>
      </c>
      <c r="L1360" s="4">
        <v>0</v>
      </c>
      <c r="M1360" s="3" t="s">
        <v>26</v>
      </c>
      <c r="N1360" s="3" t="s">
        <v>24</v>
      </c>
      <c r="O1360" s="4">
        <v>1</v>
      </c>
      <c r="P1360" s="4">
        <v>1</v>
      </c>
      <c r="Q1360" s="4">
        <v>1</v>
      </c>
    </row>
    <row r="1361" spans="1:17" x14ac:dyDescent="0.25">
      <c r="A1361" s="3" t="s">
        <v>18</v>
      </c>
      <c r="B1361" s="3">
        <v>13417289</v>
      </c>
      <c r="C1361" s="3" t="s">
        <v>1404</v>
      </c>
      <c r="D1361" s="3" t="s">
        <v>20</v>
      </c>
      <c r="E1361" s="3" t="s">
        <v>21</v>
      </c>
      <c r="F1361" s="3" t="s">
        <v>21</v>
      </c>
      <c r="G1361" s="3" t="s">
        <v>30</v>
      </c>
      <c r="H1361" s="3" t="s">
        <v>31</v>
      </c>
      <c r="I1361" s="3" t="s">
        <v>24</v>
      </c>
      <c r="J1361" s="3" t="s">
        <v>24</v>
      </c>
      <c r="K1361" s="3" t="s">
        <v>25</v>
      </c>
      <c r="L1361" s="4">
        <v>0</v>
      </c>
      <c r="M1361" s="3" t="s">
        <v>26</v>
      </c>
      <c r="N1361" s="3" t="s">
        <v>24</v>
      </c>
      <c r="O1361" s="4">
        <v>1</v>
      </c>
      <c r="P1361" s="4">
        <v>8</v>
      </c>
      <c r="Q1361" s="4">
        <v>1</v>
      </c>
    </row>
    <row r="1362" spans="1:17" x14ac:dyDescent="0.25">
      <c r="A1362" s="3" t="s">
        <v>18</v>
      </c>
      <c r="B1362" s="3">
        <v>13417290</v>
      </c>
      <c r="C1362" s="3" t="s">
        <v>1405</v>
      </c>
      <c r="D1362" s="3" t="s">
        <v>20</v>
      </c>
      <c r="E1362" s="3" t="s">
        <v>21</v>
      </c>
      <c r="F1362" s="3" t="s">
        <v>21</v>
      </c>
      <c r="G1362" s="3" t="s">
        <v>42</v>
      </c>
      <c r="H1362" s="3" t="s">
        <v>43</v>
      </c>
      <c r="I1362" s="3" t="s">
        <v>24</v>
      </c>
      <c r="J1362" s="3" t="s">
        <v>24</v>
      </c>
      <c r="K1362" s="3" t="s">
        <v>25</v>
      </c>
      <c r="L1362" s="4">
        <v>0</v>
      </c>
      <c r="M1362" s="3" t="s">
        <v>26</v>
      </c>
      <c r="N1362" s="3" t="s">
        <v>24</v>
      </c>
      <c r="O1362" s="4">
        <v>1</v>
      </c>
      <c r="P1362" s="4">
        <v>8</v>
      </c>
      <c r="Q1362" s="4">
        <v>1</v>
      </c>
    </row>
    <row r="1363" spans="1:17" x14ac:dyDescent="0.25">
      <c r="A1363" s="3" t="s">
        <v>18</v>
      </c>
      <c r="B1363" s="3">
        <v>13418344</v>
      </c>
      <c r="C1363" s="3" t="s">
        <v>1406</v>
      </c>
      <c r="D1363" s="3" t="s">
        <v>20</v>
      </c>
      <c r="E1363" s="3" t="s">
        <v>21</v>
      </c>
      <c r="F1363" s="3" t="s">
        <v>21</v>
      </c>
      <c r="G1363" s="3" t="s">
        <v>36</v>
      </c>
      <c r="H1363" s="3" t="s">
        <v>37</v>
      </c>
      <c r="I1363" s="3" t="s">
        <v>24</v>
      </c>
      <c r="J1363" s="3" t="s">
        <v>24</v>
      </c>
      <c r="K1363" s="3" t="s">
        <v>25</v>
      </c>
      <c r="L1363" s="4">
        <v>0</v>
      </c>
      <c r="M1363" s="3" t="s">
        <v>26</v>
      </c>
      <c r="N1363" s="3" t="s">
        <v>24</v>
      </c>
      <c r="O1363" s="4">
        <v>1</v>
      </c>
      <c r="P1363" s="4">
        <v>10</v>
      </c>
      <c r="Q1363" s="4">
        <v>1</v>
      </c>
    </row>
    <row r="1364" spans="1:17" x14ac:dyDescent="0.25">
      <c r="A1364" s="3" t="s">
        <v>18</v>
      </c>
      <c r="B1364" s="3">
        <v>13446552</v>
      </c>
      <c r="C1364" s="3" t="s">
        <v>1407</v>
      </c>
      <c r="D1364" s="3" t="s">
        <v>20</v>
      </c>
      <c r="E1364" s="3" t="s">
        <v>21</v>
      </c>
      <c r="F1364" s="3" t="s">
        <v>21</v>
      </c>
      <c r="G1364" s="3" t="s">
        <v>22</v>
      </c>
      <c r="H1364" s="3" t="s">
        <v>23</v>
      </c>
      <c r="I1364" s="3" t="s">
        <v>24</v>
      </c>
      <c r="J1364" s="3" t="s">
        <v>24</v>
      </c>
      <c r="K1364" s="3" t="s">
        <v>25</v>
      </c>
      <c r="L1364" s="4">
        <v>0</v>
      </c>
      <c r="M1364" s="3" t="s">
        <v>26</v>
      </c>
      <c r="N1364" s="3" t="s">
        <v>24</v>
      </c>
      <c r="O1364" s="4">
        <v>1</v>
      </c>
      <c r="P1364" s="4">
        <v>4</v>
      </c>
      <c r="Q1364" s="4">
        <v>1</v>
      </c>
    </row>
    <row r="1365" spans="1:17" x14ac:dyDescent="0.25">
      <c r="A1365" s="3" t="s">
        <v>18</v>
      </c>
      <c r="B1365" s="3">
        <v>13447956</v>
      </c>
      <c r="C1365" s="3" t="s">
        <v>1408</v>
      </c>
      <c r="D1365" s="3" t="s">
        <v>20</v>
      </c>
      <c r="E1365" s="3" t="s">
        <v>21</v>
      </c>
      <c r="F1365" s="3" t="s">
        <v>21</v>
      </c>
      <c r="G1365" s="3" t="s">
        <v>22</v>
      </c>
      <c r="H1365" s="3" t="s">
        <v>23</v>
      </c>
      <c r="I1365" s="3" t="s">
        <v>24</v>
      </c>
      <c r="J1365" s="3" t="s">
        <v>24</v>
      </c>
      <c r="K1365" s="3" t="s">
        <v>25</v>
      </c>
      <c r="L1365" s="4">
        <v>0</v>
      </c>
      <c r="M1365" s="3" t="s">
        <v>26</v>
      </c>
      <c r="N1365" s="3" t="s">
        <v>24</v>
      </c>
      <c r="O1365" s="4">
        <v>1</v>
      </c>
      <c r="P1365" s="4">
        <v>1</v>
      </c>
      <c r="Q1365" s="4">
        <v>1</v>
      </c>
    </row>
    <row r="1366" spans="1:17" x14ac:dyDescent="0.25">
      <c r="A1366" s="3" t="s">
        <v>18</v>
      </c>
      <c r="B1366" s="3">
        <v>13448069</v>
      </c>
      <c r="C1366" s="3" t="s">
        <v>1409</v>
      </c>
      <c r="D1366" s="3" t="s">
        <v>20</v>
      </c>
      <c r="E1366" s="3" t="s">
        <v>21</v>
      </c>
      <c r="F1366" s="3" t="s">
        <v>21</v>
      </c>
      <c r="G1366" s="3" t="s">
        <v>22</v>
      </c>
      <c r="H1366" s="3" t="s">
        <v>23</v>
      </c>
      <c r="I1366" s="3" t="s">
        <v>24</v>
      </c>
      <c r="J1366" s="3" t="s">
        <v>24</v>
      </c>
      <c r="K1366" s="3" t="s">
        <v>25</v>
      </c>
      <c r="L1366" s="4">
        <v>0</v>
      </c>
      <c r="M1366" s="3" t="s">
        <v>26</v>
      </c>
      <c r="N1366" s="3" t="s">
        <v>24</v>
      </c>
      <c r="O1366" s="4">
        <v>1</v>
      </c>
      <c r="P1366" s="4">
        <v>1</v>
      </c>
      <c r="Q1366" s="4">
        <v>1</v>
      </c>
    </row>
    <row r="1367" spans="1:17" x14ac:dyDescent="0.25">
      <c r="A1367" s="3" t="s">
        <v>18</v>
      </c>
      <c r="B1367" s="3">
        <v>13448072</v>
      </c>
      <c r="C1367" s="3" t="s">
        <v>1410</v>
      </c>
      <c r="D1367" s="3" t="s">
        <v>20</v>
      </c>
      <c r="E1367" s="3" t="s">
        <v>21</v>
      </c>
      <c r="F1367" s="3" t="s">
        <v>21</v>
      </c>
      <c r="G1367" s="3" t="s">
        <v>22</v>
      </c>
      <c r="H1367" s="3" t="s">
        <v>23</v>
      </c>
      <c r="I1367" s="3" t="s">
        <v>24</v>
      </c>
      <c r="J1367" s="3" t="s">
        <v>24</v>
      </c>
      <c r="K1367" s="3" t="s">
        <v>25</v>
      </c>
      <c r="L1367" s="4">
        <v>0</v>
      </c>
      <c r="M1367" s="3" t="s">
        <v>26</v>
      </c>
      <c r="N1367" s="3" t="s">
        <v>24</v>
      </c>
      <c r="O1367" s="4">
        <v>1</v>
      </c>
      <c r="P1367" s="4">
        <v>4</v>
      </c>
      <c r="Q1367" s="4">
        <v>1</v>
      </c>
    </row>
    <row r="1368" spans="1:17" x14ac:dyDescent="0.25">
      <c r="A1368" s="3" t="s">
        <v>18</v>
      </c>
      <c r="B1368" s="3">
        <v>13456366</v>
      </c>
      <c r="C1368" s="3" t="s">
        <v>1411</v>
      </c>
      <c r="D1368" s="3" t="s">
        <v>1360</v>
      </c>
      <c r="E1368" s="3" t="s">
        <v>21</v>
      </c>
      <c r="F1368" s="3" t="s">
        <v>21</v>
      </c>
      <c r="G1368" s="3" t="s">
        <v>487</v>
      </c>
      <c r="H1368" s="3" t="s">
        <v>488</v>
      </c>
      <c r="I1368" s="3" t="s">
        <v>24</v>
      </c>
      <c r="J1368" s="3" t="s">
        <v>24</v>
      </c>
      <c r="K1368" s="3" t="s">
        <v>25</v>
      </c>
      <c r="L1368" s="4">
        <v>0</v>
      </c>
      <c r="M1368" s="3" t="s">
        <v>26</v>
      </c>
      <c r="N1368" s="3" t="s">
        <v>24</v>
      </c>
      <c r="O1368" s="4">
        <v>1</v>
      </c>
      <c r="P1368" s="4">
        <v>2</v>
      </c>
      <c r="Q1368" s="4">
        <v>1</v>
      </c>
    </row>
    <row r="1369" spans="1:17" x14ac:dyDescent="0.25">
      <c r="A1369" s="3" t="s">
        <v>18</v>
      </c>
      <c r="B1369" s="3">
        <v>13473377</v>
      </c>
      <c r="C1369" s="3" t="s">
        <v>1412</v>
      </c>
      <c r="D1369" s="3" t="s">
        <v>20</v>
      </c>
      <c r="E1369" s="3" t="s">
        <v>21</v>
      </c>
      <c r="F1369" s="3" t="s">
        <v>21</v>
      </c>
      <c r="G1369" s="3" t="s">
        <v>30</v>
      </c>
      <c r="H1369" s="3" t="s">
        <v>31</v>
      </c>
      <c r="I1369" s="3" t="s">
        <v>24</v>
      </c>
      <c r="J1369" s="3" t="s">
        <v>24</v>
      </c>
      <c r="K1369" s="3" t="s">
        <v>25</v>
      </c>
      <c r="L1369" s="4">
        <v>0</v>
      </c>
      <c r="M1369" s="3" t="s">
        <v>26</v>
      </c>
      <c r="N1369" s="3" t="s">
        <v>24</v>
      </c>
      <c r="O1369" s="4">
        <v>1</v>
      </c>
      <c r="P1369" s="4">
        <v>8</v>
      </c>
      <c r="Q1369" s="4">
        <v>1</v>
      </c>
    </row>
    <row r="1370" spans="1:17" x14ac:dyDescent="0.25">
      <c r="A1370" s="3" t="s">
        <v>18</v>
      </c>
      <c r="B1370" s="3">
        <v>13473817</v>
      </c>
      <c r="C1370" s="3" t="s">
        <v>1413</v>
      </c>
      <c r="D1370" s="3" t="s">
        <v>20</v>
      </c>
      <c r="E1370" s="3" t="s">
        <v>21</v>
      </c>
      <c r="F1370" s="3" t="s">
        <v>21</v>
      </c>
      <c r="G1370" s="3" t="s">
        <v>233</v>
      </c>
      <c r="H1370" s="3" t="s">
        <v>234</v>
      </c>
      <c r="I1370" s="3" t="s">
        <v>24</v>
      </c>
      <c r="J1370" s="3" t="s">
        <v>24</v>
      </c>
      <c r="K1370" s="3" t="s">
        <v>25</v>
      </c>
      <c r="L1370" s="4">
        <v>0</v>
      </c>
      <c r="M1370" s="3" t="s">
        <v>26</v>
      </c>
      <c r="N1370" s="3" t="s">
        <v>24</v>
      </c>
      <c r="O1370" s="4">
        <v>1</v>
      </c>
      <c r="P1370" s="4">
        <v>99999999</v>
      </c>
      <c r="Q1370" s="4">
        <v>1</v>
      </c>
    </row>
    <row r="1371" spans="1:17" x14ac:dyDescent="0.25">
      <c r="A1371" s="3" t="s">
        <v>18</v>
      </c>
      <c r="B1371" s="3">
        <v>13474262</v>
      </c>
      <c r="C1371" s="3" t="s">
        <v>1414</v>
      </c>
      <c r="D1371" s="3" t="s">
        <v>20</v>
      </c>
      <c r="E1371" s="3" t="s">
        <v>21</v>
      </c>
      <c r="F1371" s="3" t="s">
        <v>21</v>
      </c>
      <c r="G1371" s="3" t="s">
        <v>233</v>
      </c>
      <c r="H1371" s="3" t="s">
        <v>234</v>
      </c>
      <c r="I1371" s="3" t="s">
        <v>24</v>
      </c>
      <c r="J1371" s="3" t="s">
        <v>24</v>
      </c>
      <c r="K1371" s="3" t="s">
        <v>25</v>
      </c>
      <c r="L1371" s="4">
        <v>0</v>
      </c>
      <c r="M1371" s="3" t="s">
        <v>26</v>
      </c>
      <c r="N1371" s="3" t="s">
        <v>24</v>
      </c>
      <c r="O1371" s="4">
        <v>1</v>
      </c>
      <c r="P1371" s="4">
        <v>2</v>
      </c>
      <c r="Q1371" s="4">
        <v>1</v>
      </c>
    </row>
    <row r="1372" spans="1:17" x14ac:dyDescent="0.25">
      <c r="A1372" s="3" t="s">
        <v>18</v>
      </c>
      <c r="B1372" s="3">
        <v>13474402</v>
      </c>
      <c r="C1372" s="3" t="s">
        <v>1415</v>
      </c>
      <c r="D1372" s="3" t="s">
        <v>20</v>
      </c>
      <c r="E1372" s="3" t="s">
        <v>21</v>
      </c>
      <c r="F1372" s="3" t="s">
        <v>21</v>
      </c>
      <c r="G1372" s="3" t="s">
        <v>22</v>
      </c>
      <c r="H1372" s="3" t="s">
        <v>23</v>
      </c>
      <c r="I1372" s="3" t="s">
        <v>24</v>
      </c>
      <c r="J1372" s="3" t="s">
        <v>24</v>
      </c>
      <c r="K1372" s="3" t="s">
        <v>25</v>
      </c>
      <c r="L1372" s="4">
        <v>0</v>
      </c>
      <c r="M1372" s="3" t="s">
        <v>26</v>
      </c>
      <c r="N1372" s="3" t="s">
        <v>24</v>
      </c>
      <c r="O1372" s="4">
        <v>1</v>
      </c>
      <c r="P1372" s="4">
        <v>4</v>
      </c>
      <c r="Q1372" s="4">
        <v>1</v>
      </c>
    </row>
    <row r="1373" spans="1:17" x14ac:dyDescent="0.25">
      <c r="A1373" s="3" t="s">
        <v>18</v>
      </c>
      <c r="B1373" s="3">
        <v>13475955</v>
      </c>
      <c r="C1373" s="3" t="s">
        <v>1416</v>
      </c>
      <c r="D1373" s="3" t="s">
        <v>1360</v>
      </c>
      <c r="E1373" s="3" t="s">
        <v>21</v>
      </c>
      <c r="F1373" s="3" t="s">
        <v>21</v>
      </c>
      <c r="G1373" s="3" t="s">
        <v>233</v>
      </c>
      <c r="H1373" s="3" t="s">
        <v>234</v>
      </c>
      <c r="I1373" s="3" t="s">
        <v>24</v>
      </c>
      <c r="J1373" s="3" t="s">
        <v>24</v>
      </c>
      <c r="K1373" s="3" t="s">
        <v>25</v>
      </c>
      <c r="L1373" s="4">
        <v>0</v>
      </c>
      <c r="M1373" s="3" t="s">
        <v>26</v>
      </c>
      <c r="N1373" s="3" t="s">
        <v>24</v>
      </c>
      <c r="O1373" s="4">
        <v>1</v>
      </c>
      <c r="P1373" s="4">
        <v>2</v>
      </c>
      <c r="Q1373" s="4">
        <v>1</v>
      </c>
    </row>
    <row r="1374" spans="1:17" x14ac:dyDescent="0.25">
      <c r="A1374" s="3" t="s">
        <v>18</v>
      </c>
      <c r="B1374" s="3">
        <v>13477066</v>
      </c>
      <c r="C1374" s="3" t="s">
        <v>1417</v>
      </c>
      <c r="D1374" s="3" t="s">
        <v>1360</v>
      </c>
      <c r="E1374" s="3" t="s">
        <v>21</v>
      </c>
      <c r="F1374" s="3" t="s">
        <v>21</v>
      </c>
      <c r="G1374" s="3" t="s">
        <v>233</v>
      </c>
      <c r="H1374" s="3" t="s">
        <v>234</v>
      </c>
      <c r="I1374" s="3" t="s">
        <v>24</v>
      </c>
      <c r="J1374" s="3" t="s">
        <v>24</v>
      </c>
      <c r="K1374" s="3" t="s">
        <v>25</v>
      </c>
      <c r="L1374" s="4">
        <v>0</v>
      </c>
      <c r="M1374" s="3" t="s">
        <v>26</v>
      </c>
      <c r="N1374" s="3" t="s">
        <v>24</v>
      </c>
      <c r="O1374" s="4">
        <v>1</v>
      </c>
      <c r="P1374" s="4">
        <v>2</v>
      </c>
      <c r="Q1374" s="4">
        <v>1</v>
      </c>
    </row>
    <row r="1375" spans="1:17" x14ac:dyDescent="0.25">
      <c r="A1375" s="3" t="s">
        <v>18</v>
      </c>
      <c r="B1375" s="3">
        <v>13478357</v>
      </c>
      <c r="C1375" s="3" t="s">
        <v>1418</v>
      </c>
      <c r="D1375" s="3" t="s">
        <v>20</v>
      </c>
      <c r="E1375" s="3" t="s">
        <v>21</v>
      </c>
      <c r="F1375" s="3" t="s">
        <v>21</v>
      </c>
      <c r="G1375" s="3" t="s">
        <v>410</v>
      </c>
      <c r="H1375" s="3" t="s">
        <v>411</v>
      </c>
      <c r="I1375" s="3" t="s">
        <v>24</v>
      </c>
      <c r="J1375" s="3" t="s">
        <v>24</v>
      </c>
      <c r="K1375" s="3" t="s">
        <v>25</v>
      </c>
      <c r="L1375" s="4">
        <v>0</v>
      </c>
      <c r="M1375" s="3" t="s">
        <v>26</v>
      </c>
      <c r="N1375" s="3" t="s">
        <v>24</v>
      </c>
      <c r="O1375" s="4">
        <v>2</v>
      </c>
      <c r="P1375" s="4">
        <v>4</v>
      </c>
      <c r="Q1375" s="4">
        <v>1</v>
      </c>
    </row>
    <row r="1376" spans="1:17" x14ac:dyDescent="0.25">
      <c r="A1376" s="3" t="s">
        <v>18</v>
      </c>
      <c r="B1376" s="3">
        <v>13478399</v>
      </c>
      <c r="C1376" s="3" t="s">
        <v>1419</v>
      </c>
      <c r="D1376" s="3" t="s">
        <v>20</v>
      </c>
      <c r="E1376" s="3" t="s">
        <v>21</v>
      </c>
      <c r="F1376" s="3" t="s">
        <v>21</v>
      </c>
      <c r="G1376" s="3" t="s">
        <v>410</v>
      </c>
      <c r="H1376" s="3" t="s">
        <v>411</v>
      </c>
      <c r="I1376" s="3" t="s">
        <v>24</v>
      </c>
      <c r="J1376" s="3" t="s">
        <v>24</v>
      </c>
      <c r="K1376" s="3" t="s">
        <v>25</v>
      </c>
      <c r="L1376" s="4">
        <v>0</v>
      </c>
      <c r="M1376" s="3" t="s">
        <v>26</v>
      </c>
      <c r="N1376" s="3" t="s">
        <v>24</v>
      </c>
      <c r="O1376" s="4">
        <v>2</v>
      </c>
      <c r="P1376" s="4">
        <v>4</v>
      </c>
      <c r="Q1376" s="4">
        <v>1</v>
      </c>
    </row>
    <row r="1377" spans="1:17" x14ac:dyDescent="0.25">
      <c r="A1377" s="3" t="s">
        <v>18</v>
      </c>
      <c r="B1377" s="3">
        <v>13478402</v>
      </c>
      <c r="C1377" s="3" t="s">
        <v>1420</v>
      </c>
      <c r="D1377" s="3" t="s">
        <v>20</v>
      </c>
      <c r="E1377" s="3" t="s">
        <v>21</v>
      </c>
      <c r="F1377" s="3" t="s">
        <v>21</v>
      </c>
      <c r="G1377" s="3" t="s">
        <v>410</v>
      </c>
      <c r="H1377" s="3" t="s">
        <v>411</v>
      </c>
      <c r="I1377" s="3" t="s">
        <v>24</v>
      </c>
      <c r="J1377" s="3" t="s">
        <v>24</v>
      </c>
      <c r="K1377" s="3" t="s">
        <v>25</v>
      </c>
      <c r="L1377" s="4">
        <v>0</v>
      </c>
      <c r="M1377" s="3" t="s">
        <v>26</v>
      </c>
      <c r="N1377" s="3" t="s">
        <v>24</v>
      </c>
      <c r="O1377" s="4">
        <v>2</v>
      </c>
      <c r="P1377" s="4">
        <v>4</v>
      </c>
      <c r="Q1377" s="4">
        <v>1</v>
      </c>
    </row>
    <row r="1378" spans="1:17" x14ac:dyDescent="0.25">
      <c r="A1378" s="3" t="s">
        <v>18</v>
      </c>
      <c r="B1378" s="3">
        <v>13478403</v>
      </c>
      <c r="C1378" s="3" t="s">
        <v>1421</v>
      </c>
      <c r="D1378" s="3" t="s">
        <v>20</v>
      </c>
      <c r="E1378" s="3" t="s">
        <v>21</v>
      </c>
      <c r="F1378" s="3" t="s">
        <v>21</v>
      </c>
      <c r="G1378" s="3" t="s">
        <v>410</v>
      </c>
      <c r="H1378" s="3" t="s">
        <v>411</v>
      </c>
      <c r="I1378" s="3" t="s">
        <v>24</v>
      </c>
      <c r="J1378" s="3" t="s">
        <v>24</v>
      </c>
      <c r="K1378" s="3" t="s">
        <v>25</v>
      </c>
      <c r="L1378" s="4">
        <v>0</v>
      </c>
      <c r="M1378" s="3" t="s">
        <v>26</v>
      </c>
      <c r="N1378" s="3" t="s">
        <v>24</v>
      </c>
      <c r="O1378" s="4">
        <v>2</v>
      </c>
      <c r="P1378" s="4">
        <v>4</v>
      </c>
      <c r="Q1378" s="4">
        <v>1</v>
      </c>
    </row>
    <row r="1379" spans="1:17" x14ac:dyDescent="0.25">
      <c r="A1379" s="3" t="s">
        <v>18</v>
      </c>
      <c r="B1379" s="3">
        <v>13478404</v>
      </c>
      <c r="C1379" s="3" t="s">
        <v>1422</v>
      </c>
      <c r="D1379" s="3" t="s">
        <v>20</v>
      </c>
      <c r="E1379" s="3" t="s">
        <v>21</v>
      </c>
      <c r="F1379" s="3" t="s">
        <v>21</v>
      </c>
      <c r="G1379" s="3" t="s">
        <v>410</v>
      </c>
      <c r="H1379" s="3" t="s">
        <v>411</v>
      </c>
      <c r="I1379" s="3" t="s">
        <v>24</v>
      </c>
      <c r="J1379" s="3" t="s">
        <v>24</v>
      </c>
      <c r="K1379" s="3" t="s">
        <v>25</v>
      </c>
      <c r="L1379" s="4">
        <v>0</v>
      </c>
      <c r="M1379" s="3" t="s">
        <v>26</v>
      </c>
      <c r="N1379" s="3" t="s">
        <v>24</v>
      </c>
      <c r="O1379" s="4">
        <v>2</v>
      </c>
      <c r="P1379" s="4">
        <v>4</v>
      </c>
      <c r="Q1379" s="4">
        <v>1</v>
      </c>
    </row>
    <row r="1380" spans="1:17" x14ac:dyDescent="0.25">
      <c r="A1380" s="3" t="s">
        <v>18</v>
      </c>
      <c r="B1380" s="3">
        <v>13478405</v>
      </c>
      <c r="C1380" s="3" t="s">
        <v>1423</v>
      </c>
      <c r="D1380" s="3" t="s">
        <v>20</v>
      </c>
      <c r="E1380" s="3" t="s">
        <v>21</v>
      </c>
      <c r="F1380" s="3" t="s">
        <v>21</v>
      </c>
      <c r="G1380" s="3" t="s">
        <v>410</v>
      </c>
      <c r="H1380" s="3" t="s">
        <v>411</v>
      </c>
      <c r="I1380" s="3" t="s">
        <v>24</v>
      </c>
      <c r="J1380" s="3" t="s">
        <v>24</v>
      </c>
      <c r="K1380" s="3" t="s">
        <v>25</v>
      </c>
      <c r="L1380" s="4">
        <v>0</v>
      </c>
      <c r="M1380" s="3" t="s">
        <v>26</v>
      </c>
      <c r="N1380" s="3" t="s">
        <v>24</v>
      </c>
      <c r="O1380" s="4">
        <v>2</v>
      </c>
      <c r="P1380" s="4">
        <v>4</v>
      </c>
      <c r="Q1380" s="4">
        <v>1</v>
      </c>
    </row>
    <row r="1381" spans="1:17" x14ac:dyDescent="0.25">
      <c r="A1381" s="3" t="s">
        <v>18</v>
      </c>
      <c r="B1381" s="3">
        <v>13478486</v>
      </c>
      <c r="C1381" s="3" t="s">
        <v>1424</v>
      </c>
      <c r="D1381" s="3" t="s">
        <v>20</v>
      </c>
      <c r="E1381" s="3" t="s">
        <v>21</v>
      </c>
      <c r="F1381" s="3" t="s">
        <v>21</v>
      </c>
      <c r="G1381" s="3" t="s">
        <v>410</v>
      </c>
      <c r="H1381" s="3" t="s">
        <v>411</v>
      </c>
      <c r="I1381" s="3" t="s">
        <v>24</v>
      </c>
      <c r="J1381" s="3" t="s">
        <v>24</v>
      </c>
      <c r="K1381" s="3" t="s">
        <v>25</v>
      </c>
      <c r="L1381" s="4">
        <v>0</v>
      </c>
      <c r="M1381" s="3" t="s">
        <v>26</v>
      </c>
      <c r="N1381" s="3" t="s">
        <v>24</v>
      </c>
      <c r="O1381" s="4">
        <v>2</v>
      </c>
      <c r="P1381" s="4">
        <v>4</v>
      </c>
      <c r="Q1381" s="4">
        <v>1</v>
      </c>
    </row>
    <row r="1382" spans="1:17" x14ac:dyDescent="0.25">
      <c r="A1382" s="3" t="s">
        <v>18</v>
      </c>
      <c r="B1382" s="3">
        <v>13478501</v>
      </c>
      <c r="C1382" s="3" t="s">
        <v>1425</v>
      </c>
      <c r="D1382" s="3" t="s">
        <v>20</v>
      </c>
      <c r="E1382" s="3" t="s">
        <v>21</v>
      </c>
      <c r="F1382" s="3" t="s">
        <v>21</v>
      </c>
      <c r="G1382" s="3" t="s">
        <v>410</v>
      </c>
      <c r="H1382" s="3" t="s">
        <v>411</v>
      </c>
      <c r="I1382" s="3" t="s">
        <v>24</v>
      </c>
      <c r="J1382" s="3" t="s">
        <v>24</v>
      </c>
      <c r="K1382" s="3" t="s">
        <v>25</v>
      </c>
      <c r="L1382" s="4">
        <v>0</v>
      </c>
      <c r="M1382" s="3" t="s">
        <v>26</v>
      </c>
      <c r="N1382" s="3" t="s">
        <v>24</v>
      </c>
      <c r="O1382" s="4">
        <v>2</v>
      </c>
      <c r="P1382" s="4">
        <v>4</v>
      </c>
      <c r="Q1382" s="4">
        <v>1</v>
      </c>
    </row>
    <row r="1383" spans="1:17" x14ac:dyDescent="0.25">
      <c r="A1383" s="3" t="s">
        <v>18</v>
      </c>
      <c r="B1383" s="3">
        <v>13478506</v>
      </c>
      <c r="C1383" s="3" t="s">
        <v>1426</v>
      </c>
      <c r="D1383" s="3" t="s">
        <v>20</v>
      </c>
      <c r="E1383" s="3" t="s">
        <v>21</v>
      </c>
      <c r="F1383" s="3" t="s">
        <v>21</v>
      </c>
      <c r="G1383" s="3" t="s">
        <v>410</v>
      </c>
      <c r="H1383" s="3" t="s">
        <v>411</v>
      </c>
      <c r="I1383" s="3" t="s">
        <v>24</v>
      </c>
      <c r="J1383" s="3" t="s">
        <v>24</v>
      </c>
      <c r="K1383" s="3" t="s">
        <v>25</v>
      </c>
      <c r="L1383" s="4">
        <v>0</v>
      </c>
      <c r="M1383" s="3" t="s">
        <v>26</v>
      </c>
      <c r="N1383" s="3" t="s">
        <v>24</v>
      </c>
      <c r="O1383" s="4">
        <v>2</v>
      </c>
      <c r="P1383" s="4">
        <v>4</v>
      </c>
      <c r="Q1383" s="4">
        <v>1</v>
      </c>
    </row>
    <row r="1384" spans="1:17" x14ac:dyDescent="0.25">
      <c r="A1384" s="3" t="s">
        <v>18</v>
      </c>
      <c r="B1384" s="3">
        <v>13478518</v>
      </c>
      <c r="C1384" s="3" t="s">
        <v>1427</v>
      </c>
      <c r="D1384" s="3" t="s">
        <v>20</v>
      </c>
      <c r="E1384" s="3" t="s">
        <v>21</v>
      </c>
      <c r="F1384" s="3" t="s">
        <v>21</v>
      </c>
      <c r="G1384" s="3" t="s">
        <v>410</v>
      </c>
      <c r="H1384" s="3" t="s">
        <v>411</v>
      </c>
      <c r="I1384" s="3" t="s">
        <v>24</v>
      </c>
      <c r="J1384" s="3" t="s">
        <v>24</v>
      </c>
      <c r="K1384" s="3" t="s">
        <v>25</v>
      </c>
      <c r="L1384" s="4">
        <v>0</v>
      </c>
      <c r="M1384" s="3" t="s">
        <v>26</v>
      </c>
      <c r="N1384" s="3" t="s">
        <v>24</v>
      </c>
      <c r="O1384" s="4">
        <v>2</v>
      </c>
      <c r="P1384" s="4">
        <v>4</v>
      </c>
      <c r="Q1384" s="4">
        <v>1</v>
      </c>
    </row>
    <row r="1385" spans="1:17" x14ac:dyDescent="0.25">
      <c r="A1385" s="3" t="s">
        <v>18</v>
      </c>
      <c r="B1385" s="3">
        <v>13478519</v>
      </c>
      <c r="C1385" s="3" t="s">
        <v>1428</v>
      </c>
      <c r="D1385" s="3" t="s">
        <v>20</v>
      </c>
      <c r="E1385" s="3" t="s">
        <v>21</v>
      </c>
      <c r="F1385" s="3" t="s">
        <v>21</v>
      </c>
      <c r="G1385" s="3" t="s">
        <v>410</v>
      </c>
      <c r="H1385" s="3" t="s">
        <v>411</v>
      </c>
      <c r="I1385" s="3" t="s">
        <v>24</v>
      </c>
      <c r="J1385" s="3" t="s">
        <v>24</v>
      </c>
      <c r="K1385" s="3" t="s">
        <v>25</v>
      </c>
      <c r="L1385" s="4">
        <v>0</v>
      </c>
      <c r="M1385" s="3" t="s">
        <v>26</v>
      </c>
      <c r="N1385" s="3" t="s">
        <v>24</v>
      </c>
      <c r="O1385" s="4">
        <v>2</v>
      </c>
      <c r="P1385" s="4">
        <v>4</v>
      </c>
      <c r="Q1385" s="4">
        <v>1</v>
      </c>
    </row>
    <row r="1386" spans="1:17" x14ac:dyDescent="0.25">
      <c r="A1386" s="3" t="s">
        <v>18</v>
      </c>
      <c r="B1386" s="3">
        <v>13478520</v>
      </c>
      <c r="C1386" s="3" t="s">
        <v>1429</v>
      </c>
      <c r="D1386" s="3" t="s">
        <v>20</v>
      </c>
      <c r="E1386" s="3" t="s">
        <v>21</v>
      </c>
      <c r="F1386" s="3" t="s">
        <v>21</v>
      </c>
      <c r="G1386" s="3" t="s">
        <v>410</v>
      </c>
      <c r="H1386" s="3" t="s">
        <v>411</v>
      </c>
      <c r="I1386" s="3" t="s">
        <v>24</v>
      </c>
      <c r="J1386" s="3" t="s">
        <v>24</v>
      </c>
      <c r="K1386" s="3" t="s">
        <v>25</v>
      </c>
      <c r="L1386" s="4">
        <v>0</v>
      </c>
      <c r="M1386" s="3" t="s">
        <v>26</v>
      </c>
      <c r="N1386" s="3" t="s">
        <v>24</v>
      </c>
      <c r="O1386" s="4">
        <v>2</v>
      </c>
      <c r="P1386" s="4">
        <v>4</v>
      </c>
      <c r="Q1386" s="4">
        <v>1</v>
      </c>
    </row>
    <row r="1387" spans="1:17" x14ac:dyDescent="0.25">
      <c r="A1387" s="3" t="s">
        <v>18</v>
      </c>
      <c r="B1387" s="3">
        <v>13478522</v>
      </c>
      <c r="C1387" s="3" t="s">
        <v>1430</v>
      </c>
      <c r="D1387" s="3" t="s">
        <v>20</v>
      </c>
      <c r="E1387" s="3" t="s">
        <v>21</v>
      </c>
      <c r="F1387" s="3" t="s">
        <v>21</v>
      </c>
      <c r="G1387" s="3" t="s">
        <v>410</v>
      </c>
      <c r="H1387" s="3" t="s">
        <v>411</v>
      </c>
      <c r="I1387" s="3" t="s">
        <v>24</v>
      </c>
      <c r="J1387" s="3" t="s">
        <v>24</v>
      </c>
      <c r="K1387" s="3" t="s">
        <v>25</v>
      </c>
      <c r="L1387" s="4">
        <v>0</v>
      </c>
      <c r="M1387" s="3" t="s">
        <v>26</v>
      </c>
      <c r="N1387" s="3" t="s">
        <v>24</v>
      </c>
      <c r="O1387" s="4">
        <v>2</v>
      </c>
      <c r="P1387" s="4">
        <v>4</v>
      </c>
      <c r="Q1387" s="4">
        <v>1</v>
      </c>
    </row>
    <row r="1388" spans="1:17" x14ac:dyDescent="0.25">
      <c r="A1388" s="3" t="s">
        <v>18</v>
      </c>
      <c r="B1388" s="3">
        <v>13478814</v>
      </c>
      <c r="C1388" s="3" t="s">
        <v>1431</v>
      </c>
      <c r="D1388" s="3" t="s">
        <v>20</v>
      </c>
      <c r="E1388" s="3" t="s">
        <v>21</v>
      </c>
      <c r="F1388" s="3" t="s">
        <v>21</v>
      </c>
      <c r="G1388" s="3" t="s">
        <v>410</v>
      </c>
      <c r="H1388" s="3" t="s">
        <v>411</v>
      </c>
      <c r="I1388" s="3" t="s">
        <v>24</v>
      </c>
      <c r="J1388" s="3" t="s">
        <v>24</v>
      </c>
      <c r="K1388" s="3" t="s">
        <v>25</v>
      </c>
      <c r="L1388" s="4">
        <v>0</v>
      </c>
      <c r="M1388" s="3" t="s">
        <v>26</v>
      </c>
      <c r="N1388" s="3" t="s">
        <v>24</v>
      </c>
      <c r="O1388" s="4">
        <v>2</v>
      </c>
      <c r="P1388" s="4">
        <v>4</v>
      </c>
      <c r="Q1388" s="4">
        <v>1</v>
      </c>
    </row>
    <row r="1389" spans="1:17" x14ac:dyDescent="0.25">
      <c r="A1389" s="3" t="s">
        <v>18</v>
      </c>
      <c r="B1389" s="3">
        <v>13478816</v>
      </c>
      <c r="C1389" s="3" t="s">
        <v>1432</v>
      </c>
      <c r="D1389" s="3" t="s">
        <v>20</v>
      </c>
      <c r="E1389" s="3" t="s">
        <v>21</v>
      </c>
      <c r="F1389" s="3" t="s">
        <v>21</v>
      </c>
      <c r="G1389" s="3" t="s">
        <v>410</v>
      </c>
      <c r="H1389" s="3" t="s">
        <v>411</v>
      </c>
      <c r="I1389" s="3" t="s">
        <v>24</v>
      </c>
      <c r="J1389" s="3" t="s">
        <v>24</v>
      </c>
      <c r="K1389" s="3" t="s">
        <v>25</v>
      </c>
      <c r="L1389" s="4">
        <v>0</v>
      </c>
      <c r="M1389" s="3" t="s">
        <v>26</v>
      </c>
      <c r="N1389" s="3" t="s">
        <v>24</v>
      </c>
      <c r="O1389" s="4">
        <v>2</v>
      </c>
      <c r="P1389" s="4">
        <v>4</v>
      </c>
      <c r="Q1389" s="4">
        <v>1</v>
      </c>
    </row>
    <row r="1390" spans="1:17" x14ac:dyDescent="0.25">
      <c r="A1390" s="3" t="s">
        <v>18</v>
      </c>
      <c r="B1390" s="3">
        <v>13478829</v>
      </c>
      <c r="C1390" s="3" t="s">
        <v>1433</v>
      </c>
      <c r="D1390" s="3" t="s">
        <v>20</v>
      </c>
      <c r="E1390" s="3" t="s">
        <v>21</v>
      </c>
      <c r="F1390" s="3" t="s">
        <v>21</v>
      </c>
      <c r="G1390" s="3" t="s">
        <v>410</v>
      </c>
      <c r="H1390" s="3" t="s">
        <v>411</v>
      </c>
      <c r="I1390" s="3" t="s">
        <v>24</v>
      </c>
      <c r="J1390" s="3" t="s">
        <v>24</v>
      </c>
      <c r="K1390" s="3" t="s">
        <v>25</v>
      </c>
      <c r="L1390" s="4">
        <v>0</v>
      </c>
      <c r="M1390" s="3" t="s">
        <v>26</v>
      </c>
      <c r="N1390" s="3" t="s">
        <v>24</v>
      </c>
      <c r="O1390" s="4">
        <v>2</v>
      </c>
      <c r="P1390" s="4">
        <v>4</v>
      </c>
      <c r="Q1390" s="4">
        <v>1</v>
      </c>
    </row>
    <row r="1391" spans="1:17" x14ac:dyDescent="0.25">
      <c r="A1391" s="3" t="s">
        <v>18</v>
      </c>
      <c r="B1391" s="3">
        <v>13478830</v>
      </c>
      <c r="C1391" s="3" t="s">
        <v>1434</v>
      </c>
      <c r="D1391" s="3" t="s">
        <v>20</v>
      </c>
      <c r="E1391" s="3" t="s">
        <v>21</v>
      </c>
      <c r="F1391" s="3" t="s">
        <v>21</v>
      </c>
      <c r="G1391" s="3" t="s">
        <v>410</v>
      </c>
      <c r="H1391" s="3" t="s">
        <v>411</v>
      </c>
      <c r="I1391" s="3" t="s">
        <v>24</v>
      </c>
      <c r="J1391" s="3" t="s">
        <v>24</v>
      </c>
      <c r="K1391" s="3" t="s">
        <v>25</v>
      </c>
      <c r="L1391" s="4">
        <v>0</v>
      </c>
      <c r="M1391" s="3" t="s">
        <v>26</v>
      </c>
      <c r="N1391" s="3" t="s">
        <v>24</v>
      </c>
      <c r="O1391" s="4">
        <v>2</v>
      </c>
      <c r="P1391" s="4">
        <v>4</v>
      </c>
      <c r="Q1391" s="4">
        <v>1</v>
      </c>
    </row>
    <row r="1392" spans="1:17" x14ac:dyDescent="0.25">
      <c r="A1392" s="3" t="s">
        <v>18</v>
      </c>
      <c r="B1392" s="3">
        <v>13478832</v>
      </c>
      <c r="C1392" s="3" t="s">
        <v>1435</v>
      </c>
      <c r="D1392" s="3" t="s">
        <v>20</v>
      </c>
      <c r="E1392" s="3" t="s">
        <v>21</v>
      </c>
      <c r="F1392" s="3" t="s">
        <v>21</v>
      </c>
      <c r="G1392" s="3" t="s">
        <v>410</v>
      </c>
      <c r="H1392" s="3" t="s">
        <v>411</v>
      </c>
      <c r="I1392" s="3" t="s">
        <v>24</v>
      </c>
      <c r="J1392" s="3" t="s">
        <v>24</v>
      </c>
      <c r="K1392" s="3" t="s">
        <v>25</v>
      </c>
      <c r="L1392" s="4">
        <v>0</v>
      </c>
      <c r="M1392" s="3" t="s">
        <v>26</v>
      </c>
      <c r="N1392" s="3" t="s">
        <v>24</v>
      </c>
      <c r="O1392" s="4">
        <v>2</v>
      </c>
      <c r="P1392" s="4">
        <v>4</v>
      </c>
      <c r="Q1392" s="4">
        <v>1</v>
      </c>
    </row>
    <row r="1393" spans="1:17" x14ac:dyDescent="0.25">
      <c r="A1393" s="3" t="s">
        <v>18</v>
      </c>
      <c r="B1393" s="3">
        <v>13478835</v>
      </c>
      <c r="C1393" s="3" t="s">
        <v>1436</v>
      </c>
      <c r="D1393" s="3" t="s">
        <v>20</v>
      </c>
      <c r="E1393" s="3" t="s">
        <v>21</v>
      </c>
      <c r="F1393" s="3" t="s">
        <v>21</v>
      </c>
      <c r="G1393" s="3" t="s">
        <v>410</v>
      </c>
      <c r="H1393" s="3" t="s">
        <v>411</v>
      </c>
      <c r="I1393" s="3" t="s">
        <v>24</v>
      </c>
      <c r="J1393" s="3" t="s">
        <v>24</v>
      </c>
      <c r="K1393" s="3" t="s">
        <v>25</v>
      </c>
      <c r="L1393" s="4">
        <v>0</v>
      </c>
      <c r="M1393" s="3" t="s">
        <v>26</v>
      </c>
      <c r="N1393" s="3" t="s">
        <v>24</v>
      </c>
      <c r="O1393" s="4">
        <v>2</v>
      </c>
      <c r="P1393" s="4">
        <v>4</v>
      </c>
      <c r="Q1393" s="4">
        <v>1</v>
      </c>
    </row>
    <row r="1394" spans="1:17" x14ac:dyDescent="0.25">
      <c r="A1394" s="3" t="s">
        <v>18</v>
      </c>
      <c r="B1394" s="3">
        <v>13478836</v>
      </c>
      <c r="C1394" s="3" t="s">
        <v>1437</v>
      </c>
      <c r="D1394" s="3" t="s">
        <v>20</v>
      </c>
      <c r="E1394" s="3" t="s">
        <v>21</v>
      </c>
      <c r="F1394" s="3" t="s">
        <v>21</v>
      </c>
      <c r="G1394" s="3" t="s">
        <v>410</v>
      </c>
      <c r="H1394" s="3" t="s">
        <v>411</v>
      </c>
      <c r="I1394" s="3" t="s">
        <v>24</v>
      </c>
      <c r="J1394" s="3" t="s">
        <v>24</v>
      </c>
      <c r="K1394" s="3" t="s">
        <v>25</v>
      </c>
      <c r="L1394" s="4">
        <v>0</v>
      </c>
      <c r="M1394" s="3" t="s">
        <v>26</v>
      </c>
      <c r="N1394" s="3" t="s">
        <v>24</v>
      </c>
      <c r="O1394" s="4">
        <v>2</v>
      </c>
      <c r="P1394" s="4">
        <v>4</v>
      </c>
      <c r="Q1394" s="4">
        <v>1</v>
      </c>
    </row>
    <row r="1395" spans="1:17" x14ac:dyDescent="0.25">
      <c r="A1395" s="3" t="s">
        <v>18</v>
      </c>
      <c r="B1395" s="3">
        <v>13478898</v>
      </c>
      <c r="C1395" s="3" t="s">
        <v>1438</v>
      </c>
      <c r="D1395" s="3" t="s">
        <v>20</v>
      </c>
      <c r="E1395" s="3" t="s">
        <v>21</v>
      </c>
      <c r="F1395" s="3" t="s">
        <v>21</v>
      </c>
      <c r="G1395" s="3" t="s">
        <v>410</v>
      </c>
      <c r="H1395" s="3" t="s">
        <v>411</v>
      </c>
      <c r="I1395" s="3" t="s">
        <v>24</v>
      </c>
      <c r="J1395" s="3" t="s">
        <v>24</v>
      </c>
      <c r="K1395" s="3" t="s">
        <v>25</v>
      </c>
      <c r="L1395" s="4">
        <v>0</v>
      </c>
      <c r="M1395" s="3" t="s">
        <v>26</v>
      </c>
      <c r="N1395" s="3" t="s">
        <v>24</v>
      </c>
      <c r="O1395" s="4">
        <v>2</v>
      </c>
      <c r="P1395" s="4">
        <v>4</v>
      </c>
      <c r="Q1395" s="4">
        <v>1</v>
      </c>
    </row>
    <row r="1396" spans="1:17" x14ac:dyDescent="0.25">
      <c r="A1396" s="3" t="s">
        <v>18</v>
      </c>
      <c r="B1396" s="3">
        <v>13478899</v>
      </c>
      <c r="C1396" s="3" t="s">
        <v>1439</v>
      </c>
      <c r="D1396" s="3" t="s">
        <v>20</v>
      </c>
      <c r="E1396" s="3" t="s">
        <v>21</v>
      </c>
      <c r="F1396" s="3" t="s">
        <v>21</v>
      </c>
      <c r="G1396" s="3" t="s">
        <v>410</v>
      </c>
      <c r="H1396" s="3" t="s">
        <v>411</v>
      </c>
      <c r="I1396" s="3" t="s">
        <v>24</v>
      </c>
      <c r="J1396" s="3" t="s">
        <v>24</v>
      </c>
      <c r="K1396" s="3" t="s">
        <v>25</v>
      </c>
      <c r="L1396" s="4">
        <v>0</v>
      </c>
      <c r="M1396" s="3" t="s">
        <v>26</v>
      </c>
      <c r="N1396" s="3" t="s">
        <v>24</v>
      </c>
      <c r="O1396" s="4">
        <v>2</v>
      </c>
      <c r="P1396" s="4">
        <v>4</v>
      </c>
      <c r="Q1396" s="4">
        <v>1</v>
      </c>
    </row>
    <row r="1397" spans="1:17" x14ac:dyDescent="0.25">
      <c r="A1397" s="3" t="s">
        <v>18</v>
      </c>
      <c r="B1397" s="3">
        <v>13478900</v>
      </c>
      <c r="C1397" s="3" t="s">
        <v>1440</v>
      </c>
      <c r="D1397" s="3" t="s">
        <v>20</v>
      </c>
      <c r="E1397" s="3" t="s">
        <v>21</v>
      </c>
      <c r="F1397" s="3" t="s">
        <v>21</v>
      </c>
      <c r="G1397" s="3" t="s">
        <v>410</v>
      </c>
      <c r="H1397" s="3" t="s">
        <v>411</v>
      </c>
      <c r="I1397" s="3" t="s">
        <v>24</v>
      </c>
      <c r="J1397" s="3" t="s">
        <v>24</v>
      </c>
      <c r="K1397" s="3" t="s">
        <v>25</v>
      </c>
      <c r="L1397" s="4">
        <v>0</v>
      </c>
      <c r="M1397" s="3" t="s">
        <v>26</v>
      </c>
      <c r="N1397" s="3" t="s">
        <v>24</v>
      </c>
      <c r="O1397" s="4">
        <v>2</v>
      </c>
      <c r="P1397" s="4">
        <v>4</v>
      </c>
      <c r="Q1397" s="4">
        <v>1</v>
      </c>
    </row>
    <row r="1398" spans="1:17" x14ac:dyDescent="0.25">
      <c r="A1398" s="3" t="s">
        <v>18</v>
      </c>
      <c r="B1398" s="3">
        <v>13478920</v>
      </c>
      <c r="C1398" s="3" t="s">
        <v>1441</v>
      </c>
      <c r="D1398" s="3" t="s">
        <v>20</v>
      </c>
      <c r="E1398" s="3" t="s">
        <v>21</v>
      </c>
      <c r="F1398" s="3" t="s">
        <v>21</v>
      </c>
      <c r="G1398" s="3" t="s">
        <v>410</v>
      </c>
      <c r="H1398" s="3" t="s">
        <v>411</v>
      </c>
      <c r="I1398" s="3" t="s">
        <v>24</v>
      </c>
      <c r="J1398" s="3" t="s">
        <v>24</v>
      </c>
      <c r="K1398" s="3" t="s">
        <v>25</v>
      </c>
      <c r="L1398" s="4">
        <v>0</v>
      </c>
      <c r="M1398" s="3" t="s">
        <v>26</v>
      </c>
      <c r="N1398" s="3" t="s">
        <v>24</v>
      </c>
      <c r="O1398" s="4">
        <v>2</v>
      </c>
      <c r="P1398" s="4">
        <v>4</v>
      </c>
      <c r="Q1398" s="4">
        <v>1</v>
      </c>
    </row>
    <row r="1399" spans="1:17" x14ac:dyDescent="0.25">
      <c r="A1399" s="3" t="s">
        <v>18</v>
      </c>
      <c r="B1399" s="3">
        <v>13498391</v>
      </c>
      <c r="C1399" s="3" t="s">
        <v>1442</v>
      </c>
      <c r="D1399" s="3" t="s">
        <v>1360</v>
      </c>
      <c r="E1399" s="3" t="s">
        <v>21</v>
      </c>
      <c r="F1399" s="3" t="s">
        <v>21</v>
      </c>
      <c r="G1399" s="3" t="s">
        <v>233</v>
      </c>
      <c r="H1399" s="3" t="s">
        <v>234</v>
      </c>
      <c r="I1399" s="3" t="s">
        <v>24</v>
      </c>
      <c r="J1399" s="3" t="s">
        <v>24</v>
      </c>
      <c r="K1399" s="3" t="s">
        <v>25</v>
      </c>
      <c r="L1399" s="4">
        <v>0</v>
      </c>
      <c r="M1399" s="3" t="s">
        <v>26</v>
      </c>
      <c r="N1399" s="3" t="s">
        <v>24</v>
      </c>
      <c r="O1399" s="4">
        <v>1</v>
      </c>
      <c r="P1399" s="4">
        <v>3</v>
      </c>
      <c r="Q1399" s="4">
        <v>1</v>
      </c>
    </row>
    <row r="1400" spans="1:17" x14ac:dyDescent="0.25">
      <c r="A1400" s="3" t="s">
        <v>18</v>
      </c>
      <c r="B1400" s="3">
        <v>13498395</v>
      </c>
      <c r="C1400" s="3" t="s">
        <v>1443</v>
      </c>
      <c r="D1400" s="3" t="s">
        <v>1360</v>
      </c>
      <c r="E1400" s="3" t="s">
        <v>21</v>
      </c>
      <c r="F1400" s="3" t="s">
        <v>21</v>
      </c>
      <c r="G1400" s="3" t="s">
        <v>36</v>
      </c>
      <c r="H1400" s="3" t="s">
        <v>37</v>
      </c>
      <c r="I1400" s="3" t="s">
        <v>24</v>
      </c>
      <c r="J1400" s="3" t="s">
        <v>24</v>
      </c>
      <c r="K1400" s="3" t="s">
        <v>25</v>
      </c>
      <c r="L1400" s="4">
        <v>0</v>
      </c>
      <c r="M1400" s="3" t="s">
        <v>26</v>
      </c>
      <c r="N1400" s="3" t="s">
        <v>24</v>
      </c>
      <c r="O1400" s="4">
        <v>1</v>
      </c>
      <c r="P1400" s="4">
        <v>10</v>
      </c>
      <c r="Q1400" s="4">
        <v>1</v>
      </c>
    </row>
    <row r="1401" spans="1:17" x14ac:dyDescent="0.25">
      <c r="A1401" s="3" t="s">
        <v>18</v>
      </c>
      <c r="B1401" s="3">
        <v>13504927</v>
      </c>
      <c r="C1401" s="3" t="s">
        <v>1444</v>
      </c>
      <c r="D1401" s="3" t="s">
        <v>20</v>
      </c>
      <c r="E1401" s="3" t="s">
        <v>21</v>
      </c>
      <c r="F1401" s="3" t="s">
        <v>21</v>
      </c>
      <c r="G1401" s="3" t="s">
        <v>30</v>
      </c>
      <c r="H1401" s="3" t="s">
        <v>31</v>
      </c>
      <c r="I1401" s="3" t="s">
        <v>24</v>
      </c>
      <c r="J1401" s="3" t="s">
        <v>24</v>
      </c>
      <c r="K1401" s="3" t="s">
        <v>25</v>
      </c>
      <c r="L1401" s="4">
        <v>0</v>
      </c>
      <c r="M1401" s="3" t="s">
        <v>26</v>
      </c>
      <c r="N1401" s="3" t="s">
        <v>24</v>
      </c>
      <c r="O1401" s="4">
        <v>1</v>
      </c>
      <c r="P1401" s="4">
        <v>8</v>
      </c>
      <c r="Q1401" s="4">
        <v>1</v>
      </c>
    </row>
    <row r="1402" spans="1:17" x14ac:dyDescent="0.25">
      <c r="A1402" s="3" t="s">
        <v>18</v>
      </c>
      <c r="B1402" s="3">
        <v>13504989</v>
      </c>
      <c r="C1402" s="3" t="s">
        <v>1445</v>
      </c>
      <c r="D1402" s="3" t="s">
        <v>20</v>
      </c>
      <c r="E1402" s="3" t="s">
        <v>21</v>
      </c>
      <c r="F1402" s="3" t="s">
        <v>21</v>
      </c>
      <c r="G1402" s="3" t="s">
        <v>30</v>
      </c>
      <c r="H1402" s="3" t="s">
        <v>31</v>
      </c>
      <c r="I1402" s="3" t="s">
        <v>24</v>
      </c>
      <c r="J1402" s="3" t="s">
        <v>24</v>
      </c>
      <c r="K1402" s="3" t="s">
        <v>25</v>
      </c>
      <c r="L1402" s="4">
        <v>0</v>
      </c>
      <c r="M1402" s="3" t="s">
        <v>26</v>
      </c>
      <c r="N1402" s="3" t="s">
        <v>24</v>
      </c>
      <c r="O1402" s="4">
        <v>1</v>
      </c>
      <c r="P1402" s="4">
        <v>4</v>
      </c>
      <c r="Q1402" s="4">
        <v>1</v>
      </c>
    </row>
    <row r="1403" spans="1:17" x14ac:dyDescent="0.25">
      <c r="A1403" s="3" t="s">
        <v>18</v>
      </c>
      <c r="B1403" s="3">
        <v>13504990</v>
      </c>
      <c r="C1403" s="3" t="s">
        <v>1446</v>
      </c>
      <c r="D1403" s="3" t="s">
        <v>20</v>
      </c>
      <c r="E1403" s="3" t="s">
        <v>21</v>
      </c>
      <c r="F1403" s="3" t="s">
        <v>21</v>
      </c>
      <c r="G1403" s="3" t="s">
        <v>30</v>
      </c>
      <c r="H1403" s="3" t="s">
        <v>31</v>
      </c>
      <c r="I1403" s="3" t="s">
        <v>24</v>
      </c>
      <c r="J1403" s="3" t="s">
        <v>24</v>
      </c>
      <c r="K1403" s="3" t="s">
        <v>25</v>
      </c>
      <c r="L1403" s="4">
        <v>0</v>
      </c>
      <c r="M1403" s="3" t="s">
        <v>26</v>
      </c>
      <c r="N1403" s="3" t="s">
        <v>24</v>
      </c>
      <c r="O1403" s="4">
        <v>1</v>
      </c>
      <c r="P1403" s="4">
        <v>8</v>
      </c>
      <c r="Q1403" s="4">
        <v>1</v>
      </c>
    </row>
    <row r="1404" spans="1:17" x14ac:dyDescent="0.25">
      <c r="A1404" s="3" t="s">
        <v>18</v>
      </c>
      <c r="B1404" s="3">
        <v>13504991</v>
      </c>
      <c r="C1404" s="3" t="s">
        <v>1447</v>
      </c>
      <c r="D1404" s="3" t="s">
        <v>20</v>
      </c>
      <c r="E1404" s="3" t="s">
        <v>21</v>
      </c>
      <c r="F1404" s="3" t="s">
        <v>21</v>
      </c>
      <c r="G1404" s="3" t="s">
        <v>30</v>
      </c>
      <c r="H1404" s="3" t="s">
        <v>31</v>
      </c>
      <c r="I1404" s="3" t="s">
        <v>24</v>
      </c>
      <c r="J1404" s="3" t="s">
        <v>24</v>
      </c>
      <c r="K1404" s="3" t="s">
        <v>25</v>
      </c>
      <c r="L1404" s="4">
        <v>0</v>
      </c>
      <c r="M1404" s="3" t="s">
        <v>26</v>
      </c>
      <c r="N1404" s="3" t="s">
        <v>24</v>
      </c>
      <c r="O1404" s="4">
        <v>1</v>
      </c>
      <c r="P1404" s="4">
        <v>4</v>
      </c>
      <c r="Q1404" s="4">
        <v>1</v>
      </c>
    </row>
    <row r="1405" spans="1:17" x14ac:dyDescent="0.25">
      <c r="A1405" s="3" t="s">
        <v>18</v>
      </c>
      <c r="B1405" s="3">
        <v>13504992</v>
      </c>
      <c r="C1405" s="3" t="s">
        <v>1448</v>
      </c>
      <c r="D1405" s="3" t="s">
        <v>20</v>
      </c>
      <c r="E1405" s="3" t="s">
        <v>21</v>
      </c>
      <c r="F1405" s="3" t="s">
        <v>21</v>
      </c>
      <c r="G1405" s="3" t="s">
        <v>42</v>
      </c>
      <c r="H1405" s="3" t="s">
        <v>43</v>
      </c>
      <c r="I1405" s="3" t="s">
        <v>24</v>
      </c>
      <c r="J1405" s="3" t="s">
        <v>24</v>
      </c>
      <c r="K1405" s="3" t="s">
        <v>25</v>
      </c>
      <c r="L1405" s="4">
        <v>0</v>
      </c>
      <c r="M1405" s="3" t="s">
        <v>26</v>
      </c>
      <c r="N1405" s="3" t="s">
        <v>24</v>
      </c>
      <c r="O1405" s="4">
        <v>1</v>
      </c>
      <c r="P1405" s="4">
        <v>8</v>
      </c>
      <c r="Q1405" s="4">
        <v>1</v>
      </c>
    </row>
    <row r="1406" spans="1:17" x14ac:dyDescent="0.25">
      <c r="A1406" s="3" t="s">
        <v>18</v>
      </c>
      <c r="B1406" s="3">
        <v>13504993</v>
      </c>
      <c r="C1406" s="3" t="s">
        <v>1449</v>
      </c>
      <c r="D1406" s="3" t="s">
        <v>20</v>
      </c>
      <c r="E1406" s="3" t="s">
        <v>21</v>
      </c>
      <c r="F1406" s="3" t="s">
        <v>21</v>
      </c>
      <c r="G1406" s="3" t="s">
        <v>42</v>
      </c>
      <c r="H1406" s="3" t="s">
        <v>43</v>
      </c>
      <c r="I1406" s="3" t="s">
        <v>24</v>
      </c>
      <c r="J1406" s="3" t="s">
        <v>24</v>
      </c>
      <c r="K1406" s="3" t="s">
        <v>25</v>
      </c>
      <c r="L1406" s="4">
        <v>0</v>
      </c>
      <c r="M1406" s="3" t="s">
        <v>26</v>
      </c>
      <c r="N1406" s="3" t="s">
        <v>24</v>
      </c>
      <c r="O1406" s="4">
        <v>1</v>
      </c>
      <c r="P1406" s="4">
        <v>8</v>
      </c>
      <c r="Q1406" s="4">
        <v>1</v>
      </c>
    </row>
    <row r="1407" spans="1:17" x14ac:dyDescent="0.25">
      <c r="A1407" s="3" t="s">
        <v>18</v>
      </c>
      <c r="B1407" s="3">
        <v>13504994</v>
      </c>
      <c r="C1407" s="3" t="s">
        <v>1450</v>
      </c>
      <c r="D1407" s="3" t="s">
        <v>20</v>
      </c>
      <c r="E1407" s="3" t="s">
        <v>21</v>
      </c>
      <c r="F1407" s="3" t="s">
        <v>21</v>
      </c>
      <c r="G1407" s="3" t="s">
        <v>42</v>
      </c>
      <c r="H1407" s="3" t="s">
        <v>43</v>
      </c>
      <c r="I1407" s="3" t="s">
        <v>24</v>
      </c>
      <c r="J1407" s="3" t="s">
        <v>24</v>
      </c>
      <c r="K1407" s="3" t="s">
        <v>25</v>
      </c>
      <c r="L1407" s="4">
        <v>0</v>
      </c>
      <c r="M1407" s="3" t="s">
        <v>26</v>
      </c>
      <c r="N1407" s="3" t="s">
        <v>24</v>
      </c>
      <c r="O1407" s="4">
        <v>1</v>
      </c>
      <c r="P1407" s="4">
        <v>8</v>
      </c>
      <c r="Q1407" s="4">
        <v>1</v>
      </c>
    </row>
    <row r="1408" spans="1:17" x14ac:dyDescent="0.25">
      <c r="A1408" s="3" t="s">
        <v>18</v>
      </c>
      <c r="B1408" s="3">
        <v>13505079</v>
      </c>
      <c r="C1408" s="3" t="s">
        <v>1451</v>
      </c>
      <c r="D1408" s="3" t="s">
        <v>20</v>
      </c>
      <c r="E1408" s="3" t="s">
        <v>21</v>
      </c>
      <c r="F1408" s="3" t="s">
        <v>21</v>
      </c>
      <c r="G1408" s="3" t="s">
        <v>22</v>
      </c>
      <c r="H1408" s="3" t="s">
        <v>23</v>
      </c>
      <c r="I1408" s="3" t="s">
        <v>24</v>
      </c>
      <c r="J1408" s="3" t="s">
        <v>24</v>
      </c>
      <c r="K1408" s="3" t="s">
        <v>25</v>
      </c>
      <c r="L1408" s="4">
        <v>0</v>
      </c>
      <c r="M1408" s="3" t="s">
        <v>26</v>
      </c>
      <c r="N1408" s="3" t="s">
        <v>24</v>
      </c>
      <c r="O1408" s="4">
        <v>1</v>
      </c>
      <c r="P1408" s="4">
        <v>12</v>
      </c>
      <c r="Q1408" s="4">
        <v>1</v>
      </c>
    </row>
    <row r="1409" spans="1:17" x14ac:dyDescent="0.25">
      <c r="A1409" s="3" t="s">
        <v>18</v>
      </c>
      <c r="B1409" s="3">
        <v>13505080</v>
      </c>
      <c r="C1409" s="3" t="s">
        <v>1452</v>
      </c>
      <c r="D1409" s="3" t="s">
        <v>20</v>
      </c>
      <c r="E1409" s="3" t="s">
        <v>21</v>
      </c>
      <c r="F1409" s="3" t="s">
        <v>21</v>
      </c>
      <c r="G1409" s="3" t="s">
        <v>22</v>
      </c>
      <c r="H1409" s="3" t="s">
        <v>23</v>
      </c>
      <c r="I1409" s="3" t="s">
        <v>24</v>
      </c>
      <c r="J1409" s="3" t="s">
        <v>24</v>
      </c>
      <c r="K1409" s="3" t="s">
        <v>25</v>
      </c>
      <c r="L1409" s="4">
        <v>0</v>
      </c>
      <c r="M1409" s="3" t="s">
        <v>26</v>
      </c>
      <c r="N1409" s="3" t="s">
        <v>24</v>
      </c>
      <c r="O1409" s="4">
        <v>1</v>
      </c>
      <c r="P1409" s="4">
        <v>4</v>
      </c>
      <c r="Q1409" s="4">
        <v>1</v>
      </c>
    </row>
    <row r="1410" spans="1:17" x14ac:dyDescent="0.25">
      <c r="A1410" s="3" t="s">
        <v>18</v>
      </c>
      <c r="B1410" s="3">
        <v>13505081</v>
      </c>
      <c r="C1410" s="3" t="s">
        <v>1453</v>
      </c>
      <c r="D1410" s="3" t="s">
        <v>20</v>
      </c>
      <c r="E1410" s="3" t="s">
        <v>21</v>
      </c>
      <c r="F1410" s="3" t="s">
        <v>21</v>
      </c>
      <c r="G1410" s="3" t="s">
        <v>22</v>
      </c>
      <c r="H1410" s="3" t="s">
        <v>23</v>
      </c>
      <c r="I1410" s="3" t="s">
        <v>24</v>
      </c>
      <c r="J1410" s="3" t="s">
        <v>24</v>
      </c>
      <c r="K1410" s="3" t="s">
        <v>25</v>
      </c>
      <c r="L1410" s="4">
        <v>0</v>
      </c>
      <c r="M1410" s="3" t="s">
        <v>26</v>
      </c>
      <c r="N1410" s="3" t="s">
        <v>24</v>
      </c>
      <c r="O1410" s="4">
        <v>1</v>
      </c>
      <c r="P1410" s="4">
        <v>99999999</v>
      </c>
      <c r="Q1410" s="4">
        <v>1</v>
      </c>
    </row>
    <row r="1411" spans="1:17" x14ac:dyDescent="0.25">
      <c r="A1411" s="3" t="s">
        <v>18</v>
      </c>
      <c r="B1411" s="3">
        <v>13505082</v>
      </c>
      <c r="C1411" s="3" t="s">
        <v>1454</v>
      </c>
      <c r="D1411" s="3" t="s">
        <v>20</v>
      </c>
      <c r="E1411" s="3" t="s">
        <v>21</v>
      </c>
      <c r="F1411" s="3" t="s">
        <v>21</v>
      </c>
      <c r="G1411" s="3" t="s">
        <v>36</v>
      </c>
      <c r="H1411" s="3" t="s">
        <v>37</v>
      </c>
      <c r="I1411" s="3" t="s">
        <v>24</v>
      </c>
      <c r="J1411" s="3" t="s">
        <v>24</v>
      </c>
      <c r="K1411" s="3" t="s">
        <v>25</v>
      </c>
      <c r="L1411" s="4">
        <v>0</v>
      </c>
      <c r="M1411" s="3" t="s">
        <v>26</v>
      </c>
      <c r="N1411" s="3" t="s">
        <v>24</v>
      </c>
      <c r="O1411" s="4">
        <v>1</v>
      </c>
      <c r="P1411" s="4">
        <v>10</v>
      </c>
      <c r="Q1411" s="4">
        <v>1</v>
      </c>
    </row>
    <row r="1412" spans="1:17" x14ac:dyDescent="0.25">
      <c r="A1412" s="3" t="s">
        <v>18</v>
      </c>
      <c r="B1412" s="3">
        <v>13505083</v>
      </c>
      <c r="C1412" s="3" t="s">
        <v>1455</v>
      </c>
      <c r="D1412" s="3" t="s">
        <v>20</v>
      </c>
      <c r="E1412" s="3" t="s">
        <v>21</v>
      </c>
      <c r="F1412" s="3" t="s">
        <v>21</v>
      </c>
      <c r="G1412" s="3" t="s">
        <v>36</v>
      </c>
      <c r="H1412" s="3" t="s">
        <v>37</v>
      </c>
      <c r="I1412" s="3" t="s">
        <v>24</v>
      </c>
      <c r="J1412" s="3" t="s">
        <v>24</v>
      </c>
      <c r="K1412" s="3" t="s">
        <v>25</v>
      </c>
      <c r="L1412" s="4">
        <v>0</v>
      </c>
      <c r="M1412" s="3" t="s">
        <v>26</v>
      </c>
      <c r="N1412" s="3" t="s">
        <v>24</v>
      </c>
      <c r="O1412" s="4">
        <v>1</v>
      </c>
      <c r="P1412" s="4">
        <v>10</v>
      </c>
      <c r="Q1412" s="4">
        <v>1</v>
      </c>
    </row>
    <row r="1413" spans="1:17" x14ac:dyDescent="0.25">
      <c r="A1413" s="3" t="s">
        <v>18</v>
      </c>
      <c r="B1413" s="3">
        <v>13505085</v>
      </c>
      <c r="C1413" s="3" t="s">
        <v>1456</v>
      </c>
      <c r="D1413" s="3" t="s">
        <v>20</v>
      </c>
      <c r="E1413" s="3" t="s">
        <v>21</v>
      </c>
      <c r="F1413" s="3" t="s">
        <v>21</v>
      </c>
      <c r="G1413" s="3" t="s">
        <v>233</v>
      </c>
      <c r="H1413" s="3" t="s">
        <v>234</v>
      </c>
      <c r="I1413" s="3" t="s">
        <v>24</v>
      </c>
      <c r="J1413" s="3" t="s">
        <v>24</v>
      </c>
      <c r="K1413" s="3" t="s">
        <v>25</v>
      </c>
      <c r="L1413" s="4">
        <v>0</v>
      </c>
      <c r="M1413" s="3" t="s">
        <v>26</v>
      </c>
      <c r="N1413" s="3" t="s">
        <v>24</v>
      </c>
      <c r="O1413" s="4">
        <v>1</v>
      </c>
      <c r="P1413" s="4">
        <v>2</v>
      </c>
      <c r="Q1413" s="4">
        <v>1</v>
      </c>
    </row>
    <row r="1414" spans="1:17" x14ac:dyDescent="0.25">
      <c r="A1414" s="3" t="s">
        <v>18</v>
      </c>
      <c r="B1414" s="3">
        <v>13505087</v>
      </c>
      <c r="C1414" s="3" t="s">
        <v>1457</v>
      </c>
      <c r="D1414" s="3" t="s">
        <v>20</v>
      </c>
      <c r="E1414" s="3" t="s">
        <v>21</v>
      </c>
      <c r="F1414" s="3" t="s">
        <v>21</v>
      </c>
      <c r="G1414" s="3" t="s">
        <v>233</v>
      </c>
      <c r="H1414" s="3" t="s">
        <v>234</v>
      </c>
      <c r="I1414" s="3" t="s">
        <v>24</v>
      </c>
      <c r="J1414" s="3" t="s">
        <v>24</v>
      </c>
      <c r="K1414" s="3" t="s">
        <v>25</v>
      </c>
      <c r="L1414" s="4">
        <v>0</v>
      </c>
      <c r="M1414" s="3" t="s">
        <v>26</v>
      </c>
      <c r="N1414" s="3" t="s">
        <v>24</v>
      </c>
      <c r="O1414" s="4">
        <v>1</v>
      </c>
      <c r="P1414" s="4">
        <v>2</v>
      </c>
      <c r="Q1414" s="4">
        <v>1</v>
      </c>
    </row>
    <row r="1415" spans="1:17" x14ac:dyDescent="0.25">
      <c r="A1415" s="3" t="s">
        <v>18</v>
      </c>
      <c r="B1415" s="3">
        <v>13505108</v>
      </c>
      <c r="C1415" s="3" t="s">
        <v>1458</v>
      </c>
      <c r="D1415" s="3" t="s">
        <v>20</v>
      </c>
      <c r="E1415" s="3" t="s">
        <v>21</v>
      </c>
      <c r="F1415" s="3" t="s">
        <v>21</v>
      </c>
      <c r="G1415" s="3" t="s">
        <v>233</v>
      </c>
      <c r="H1415" s="3" t="s">
        <v>234</v>
      </c>
      <c r="I1415" s="3" t="s">
        <v>24</v>
      </c>
      <c r="J1415" s="3" t="s">
        <v>24</v>
      </c>
      <c r="K1415" s="3" t="s">
        <v>25</v>
      </c>
      <c r="L1415" s="4">
        <v>0</v>
      </c>
      <c r="M1415" s="3" t="s">
        <v>26</v>
      </c>
      <c r="N1415" s="3" t="s">
        <v>24</v>
      </c>
      <c r="O1415" s="4">
        <v>1</v>
      </c>
      <c r="P1415" s="4">
        <v>2</v>
      </c>
      <c r="Q1415" s="4">
        <v>1</v>
      </c>
    </row>
    <row r="1416" spans="1:17" x14ac:dyDescent="0.25">
      <c r="A1416" s="3" t="s">
        <v>18</v>
      </c>
      <c r="B1416" s="3">
        <v>13505109</v>
      </c>
      <c r="C1416" s="3" t="s">
        <v>1459</v>
      </c>
      <c r="D1416" s="3" t="s">
        <v>20</v>
      </c>
      <c r="E1416" s="3" t="s">
        <v>21</v>
      </c>
      <c r="F1416" s="3" t="s">
        <v>21</v>
      </c>
      <c r="G1416" s="3" t="s">
        <v>30</v>
      </c>
      <c r="H1416" s="3" t="s">
        <v>31</v>
      </c>
      <c r="I1416" s="3" t="s">
        <v>24</v>
      </c>
      <c r="J1416" s="3" t="s">
        <v>24</v>
      </c>
      <c r="K1416" s="3" t="s">
        <v>25</v>
      </c>
      <c r="L1416" s="4">
        <v>0</v>
      </c>
      <c r="M1416" s="3" t="s">
        <v>26</v>
      </c>
      <c r="N1416" s="3" t="s">
        <v>24</v>
      </c>
      <c r="O1416" s="4">
        <v>1</v>
      </c>
      <c r="P1416" s="4">
        <v>9</v>
      </c>
      <c r="Q1416" s="4">
        <v>1</v>
      </c>
    </row>
    <row r="1417" spans="1:17" x14ac:dyDescent="0.25">
      <c r="A1417" s="3" t="s">
        <v>18</v>
      </c>
      <c r="B1417" s="3">
        <v>13505111</v>
      </c>
      <c r="C1417" s="3" t="s">
        <v>1460</v>
      </c>
      <c r="D1417" s="3" t="s">
        <v>20</v>
      </c>
      <c r="E1417" s="3" t="s">
        <v>21</v>
      </c>
      <c r="F1417" s="3" t="s">
        <v>21</v>
      </c>
      <c r="G1417" s="3" t="s">
        <v>30</v>
      </c>
      <c r="H1417" s="3" t="s">
        <v>31</v>
      </c>
      <c r="I1417" s="3" t="s">
        <v>24</v>
      </c>
      <c r="J1417" s="3" t="s">
        <v>24</v>
      </c>
      <c r="K1417" s="3" t="s">
        <v>25</v>
      </c>
      <c r="L1417" s="4">
        <v>0</v>
      </c>
      <c r="M1417" s="3" t="s">
        <v>26</v>
      </c>
      <c r="N1417" s="3" t="s">
        <v>24</v>
      </c>
      <c r="O1417" s="4">
        <v>1</v>
      </c>
      <c r="P1417" s="4">
        <v>9</v>
      </c>
      <c r="Q1417" s="4">
        <v>1</v>
      </c>
    </row>
    <row r="1418" spans="1:17" x14ac:dyDescent="0.25">
      <c r="A1418" s="3" t="s">
        <v>18</v>
      </c>
      <c r="B1418" s="3">
        <v>13505112</v>
      </c>
      <c r="C1418" s="3" t="s">
        <v>1461</v>
      </c>
      <c r="D1418" s="3" t="s">
        <v>20</v>
      </c>
      <c r="E1418" s="3" t="s">
        <v>21</v>
      </c>
      <c r="F1418" s="3" t="s">
        <v>21</v>
      </c>
      <c r="G1418" s="3" t="s">
        <v>30</v>
      </c>
      <c r="H1418" s="3" t="s">
        <v>31</v>
      </c>
      <c r="I1418" s="3" t="s">
        <v>24</v>
      </c>
      <c r="J1418" s="3" t="s">
        <v>24</v>
      </c>
      <c r="K1418" s="3" t="s">
        <v>25</v>
      </c>
      <c r="L1418" s="4">
        <v>0</v>
      </c>
      <c r="M1418" s="3" t="s">
        <v>26</v>
      </c>
      <c r="N1418" s="3" t="s">
        <v>24</v>
      </c>
      <c r="O1418" s="4">
        <v>1</v>
      </c>
      <c r="P1418" s="4">
        <v>8</v>
      </c>
      <c r="Q1418" s="4">
        <v>1</v>
      </c>
    </row>
    <row r="1419" spans="1:17" x14ac:dyDescent="0.25">
      <c r="A1419" s="3" t="s">
        <v>18</v>
      </c>
      <c r="B1419" s="3">
        <v>13505114</v>
      </c>
      <c r="C1419" s="3" t="s">
        <v>1462</v>
      </c>
      <c r="D1419" s="3" t="s">
        <v>20</v>
      </c>
      <c r="E1419" s="3" t="s">
        <v>21</v>
      </c>
      <c r="F1419" s="3" t="s">
        <v>21</v>
      </c>
      <c r="G1419" s="3" t="s">
        <v>30</v>
      </c>
      <c r="H1419" s="3" t="s">
        <v>31</v>
      </c>
      <c r="I1419" s="3" t="s">
        <v>24</v>
      </c>
      <c r="J1419" s="3" t="s">
        <v>24</v>
      </c>
      <c r="K1419" s="3" t="s">
        <v>25</v>
      </c>
      <c r="L1419" s="4">
        <v>0</v>
      </c>
      <c r="M1419" s="3" t="s">
        <v>26</v>
      </c>
      <c r="N1419" s="3" t="s">
        <v>24</v>
      </c>
      <c r="O1419" s="4">
        <v>1</v>
      </c>
      <c r="P1419" s="4">
        <v>8</v>
      </c>
      <c r="Q1419" s="4">
        <v>1</v>
      </c>
    </row>
    <row r="1420" spans="1:17" x14ac:dyDescent="0.25">
      <c r="A1420" s="3" t="s">
        <v>18</v>
      </c>
      <c r="B1420" s="3">
        <v>13505115</v>
      </c>
      <c r="C1420" s="3" t="s">
        <v>1463</v>
      </c>
      <c r="D1420" s="3" t="s">
        <v>20</v>
      </c>
      <c r="E1420" s="3" t="s">
        <v>21</v>
      </c>
      <c r="F1420" s="3" t="s">
        <v>21</v>
      </c>
      <c r="G1420" s="3" t="s">
        <v>30</v>
      </c>
      <c r="H1420" s="3" t="s">
        <v>31</v>
      </c>
      <c r="I1420" s="3" t="s">
        <v>24</v>
      </c>
      <c r="J1420" s="3" t="s">
        <v>24</v>
      </c>
      <c r="K1420" s="3" t="s">
        <v>25</v>
      </c>
      <c r="L1420" s="4">
        <v>0</v>
      </c>
      <c r="M1420" s="3" t="s">
        <v>26</v>
      </c>
      <c r="N1420" s="3" t="s">
        <v>24</v>
      </c>
      <c r="O1420" s="4">
        <v>1</v>
      </c>
      <c r="P1420" s="4">
        <v>8</v>
      </c>
      <c r="Q1420" s="4">
        <v>1</v>
      </c>
    </row>
    <row r="1421" spans="1:17" x14ac:dyDescent="0.25">
      <c r="A1421" s="3" t="s">
        <v>18</v>
      </c>
      <c r="B1421" s="3">
        <v>13505116</v>
      </c>
      <c r="C1421" s="3" t="s">
        <v>1464</v>
      </c>
      <c r="D1421" s="3" t="s">
        <v>20</v>
      </c>
      <c r="E1421" s="3" t="s">
        <v>21</v>
      </c>
      <c r="F1421" s="3" t="s">
        <v>21</v>
      </c>
      <c r="G1421" s="3" t="s">
        <v>42</v>
      </c>
      <c r="H1421" s="3" t="s">
        <v>43</v>
      </c>
      <c r="I1421" s="3" t="s">
        <v>24</v>
      </c>
      <c r="J1421" s="3" t="s">
        <v>24</v>
      </c>
      <c r="K1421" s="3" t="s">
        <v>25</v>
      </c>
      <c r="L1421" s="4">
        <v>0</v>
      </c>
      <c r="M1421" s="3" t="s">
        <v>26</v>
      </c>
      <c r="N1421" s="3" t="s">
        <v>24</v>
      </c>
      <c r="O1421" s="4">
        <v>1</v>
      </c>
      <c r="P1421" s="4">
        <v>8</v>
      </c>
      <c r="Q1421" s="4">
        <v>1</v>
      </c>
    </row>
    <row r="1422" spans="1:17" x14ac:dyDescent="0.25">
      <c r="A1422" s="3" t="s">
        <v>18</v>
      </c>
      <c r="B1422" s="3">
        <v>13505117</v>
      </c>
      <c r="C1422" s="3" t="s">
        <v>1465</v>
      </c>
      <c r="D1422" s="3" t="s">
        <v>20</v>
      </c>
      <c r="E1422" s="3" t="s">
        <v>21</v>
      </c>
      <c r="F1422" s="3" t="s">
        <v>21</v>
      </c>
      <c r="G1422" s="3" t="s">
        <v>42</v>
      </c>
      <c r="H1422" s="3" t="s">
        <v>43</v>
      </c>
      <c r="I1422" s="3" t="s">
        <v>24</v>
      </c>
      <c r="J1422" s="3" t="s">
        <v>24</v>
      </c>
      <c r="K1422" s="3" t="s">
        <v>25</v>
      </c>
      <c r="L1422" s="4">
        <v>0</v>
      </c>
      <c r="M1422" s="3" t="s">
        <v>26</v>
      </c>
      <c r="N1422" s="3" t="s">
        <v>24</v>
      </c>
      <c r="O1422" s="4">
        <v>1</v>
      </c>
      <c r="P1422" s="4">
        <v>8</v>
      </c>
      <c r="Q1422" s="4">
        <v>1</v>
      </c>
    </row>
    <row r="1423" spans="1:17" x14ac:dyDescent="0.25">
      <c r="A1423" s="3" t="s">
        <v>18</v>
      </c>
      <c r="B1423" s="3">
        <v>13505148</v>
      </c>
      <c r="C1423" s="3" t="s">
        <v>1466</v>
      </c>
      <c r="D1423" s="3" t="s">
        <v>20</v>
      </c>
      <c r="E1423" s="3" t="s">
        <v>21</v>
      </c>
      <c r="F1423" s="3" t="s">
        <v>21</v>
      </c>
      <c r="G1423" s="3" t="s">
        <v>42</v>
      </c>
      <c r="H1423" s="3" t="s">
        <v>43</v>
      </c>
      <c r="I1423" s="3" t="s">
        <v>24</v>
      </c>
      <c r="J1423" s="3" t="s">
        <v>24</v>
      </c>
      <c r="K1423" s="3" t="s">
        <v>25</v>
      </c>
      <c r="L1423" s="4">
        <v>0</v>
      </c>
      <c r="M1423" s="3" t="s">
        <v>26</v>
      </c>
      <c r="N1423" s="3" t="s">
        <v>24</v>
      </c>
      <c r="O1423" s="4">
        <v>1</v>
      </c>
      <c r="P1423" s="4">
        <v>8</v>
      </c>
      <c r="Q1423" s="4">
        <v>1</v>
      </c>
    </row>
    <row r="1424" spans="1:17" x14ac:dyDescent="0.25">
      <c r="A1424" s="3" t="s">
        <v>18</v>
      </c>
      <c r="B1424" s="3">
        <v>13505150</v>
      </c>
      <c r="C1424" s="3" t="s">
        <v>1467</v>
      </c>
      <c r="D1424" s="3" t="s">
        <v>20</v>
      </c>
      <c r="E1424" s="3" t="s">
        <v>21</v>
      </c>
      <c r="F1424" s="3" t="s">
        <v>21</v>
      </c>
      <c r="G1424" s="3" t="s">
        <v>22</v>
      </c>
      <c r="H1424" s="3" t="s">
        <v>23</v>
      </c>
      <c r="I1424" s="3" t="s">
        <v>24</v>
      </c>
      <c r="J1424" s="3" t="s">
        <v>24</v>
      </c>
      <c r="K1424" s="3" t="s">
        <v>25</v>
      </c>
      <c r="L1424" s="4">
        <v>0</v>
      </c>
      <c r="M1424" s="3" t="s">
        <v>26</v>
      </c>
      <c r="N1424" s="3" t="s">
        <v>24</v>
      </c>
      <c r="O1424" s="4">
        <v>1</v>
      </c>
      <c r="P1424" s="4">
        <v>4</v>
      </c>
      <c r="Q1424" s="4">
        <v>1</v>
      </c>
    </row>
    <row r="1425" spans="1:17" x14ac:dyDescent="0.25">
      <c r="A1425" s="3" t="s">
        <v>18</v>
      </c>
      <c r="B1425" s="3">
        <v>13505151</v>
      </c>
      <c r="C1425" s="3" t="s">
        <v>1468</v>
      </c>
      <c r="D1425" s="3" t="s">
        <v>20</v>
      </c>
      <c r="E1425" s="3" t="s">
        <v>21</v>
      </c>
      <c r="F1425" s="3" t="s">
        <v>21</v>
      </c>
      <c r="G1425" s="3" t="s">
        <v>22</v>
      </c>
      <c r="H1425" s="3" t="s">
        <v>23</v>
      </c>
      <c r="I1425" s="3" t="s">
        <v>24</v>
      </c>
      <c r="J1425" s="3" t="s">
        <v>24</v>
      </c>
      <c r="K1425" s="3" t="s">
        <v>25</v>
      </c>
      <c r="L1425" s="4">
        <v>0</v>
      </c>
      <c r="M1425" s="3" t="s">
        <v>26</v>
      </c>
      <c r="N1425" s="3" t="s">
        <v>24</v>
      </c>
      <c r="O1425" s="4">
        <v>1</v>
      </c>
      <c r="P1425" s="4">
        <v>4</v>
      </c>
      <c r="Q1425" s="4">
        <v>1</v>
      </c>
    </row>
    <row r="1426" spans="1:17" x14ac:dyDescent="0.25">
      <c r="A1426" s="3" t="s">
        <v>18</v>
      </c>
      <c r="B1426" s="3">
        <v>13505152</v>
      </c>
      <c r="C1426" s="3" t="s">
        <v>1469</v>
      </c>
      <c r="D1426" s="3" t="s">
        <v>20</v>
      </c>
      <c r="E1426" s="3" t="s">
        <v>21</v>
      </c>
      <c r="F1426" s="3" t="s">
        <v>21</v>
      </c>
      <c r="G1426" s="3" t="s">
        <v>22</v>
      </c>
      <c r="H1426" s="3" t="s">
        <v>23</v>
      </c>
      <c r="I1426" s="3" t="s">
        <v>24</v>
      </c>
      <c r="J1426" s="3" t="s">
        <v>24</v>
      </c>
      <c r="K1426" s="3" t="s">
        <v>25</v>
      </c>
      <c r="L1426" s="4">
        <v>0</v>
      </c>
      <c r="M1426" s="3" t="s">
        <v>26</v>
      </c>
      <c r="N1426" s="3" t="s">
        <v>24</v>
      </c>
      <c r="O1426" s="4">
        <v>1</v>
      </c>
      <c r="P1426" s="4">
        <v>1</v>
      </c>
      <c r="Q1426" s="4">
        <v>1</v>
      </c>
    </row>
    <row r="1427" spans="1:17" x14ac:dyDescent="0.25">
      <c r="A1427" s="3" t="s">
        <v>18</v>
      </c>
      <c r="B1427" s="3">
        <v>13505186</v>
      </c>
      <c r="C1427" s="3" t="s">
        <v>1470</v>
      </c>
      <c r="D1427" s="3" t="s">
        <v>20</v>
      </c>
      <c r="E1427" s="3" t="s">
        <v>21</v>
      </c>
      <c r="F1427" s="3" t="s">
        <v>21</v>
      </c>
      <c r="G1427" s="3" t="s">
        <v>36</v>
      </c>
      <c r="H1427" s="3" t="s">
        <v>37</v>
      </c>
      <c r="I1427" s="3" t="s">
        <v>24</v>
      </c>
      <c r="J1427" s="3" t="s">
        <v>24</v>
      </c>
      <c r="K1427" s="3" t="s">
        <v>25</v>
      </c>
      <c r="L1427" s="4">
        <v>0</v>
      </c>
      <c r="M1427" s="3" t="s">
        <v>26</v>
      </c>
      <c r="N1427" s="3" t="s">
        <v>24</v>
      </c>
      <c r="O1427" s="4">
        <v>1</v>
      </c>
      <c r="P1427" s="4">
        <v>10</v>
      </c>
      <c r="Q1427" s="4">
        <v>1</v>
      </c>
    </row>
    <row r="1428" spans="1:17" x14ac:dyDescent="0.25">
      <c r="A1428" s="3" t="s">
        <v>18</v>
      </c>
      <c r="B1428" s="3">
        <v>13505408</v>
      </c>
      <c r="C1428" s="3" t="s">
        <v>1471</v>
      </c>
      <c r="D1428" s="3" t="s">
        <v>20</v>
      </c>
      <c r="E1428" s="3" t="s">
        <v>21</v>
      </c>
      <c r="F1428" s="3" t="s">
        <v>21</v>
      </c>
      <c r="G1428" s="3" t="s">
        <v>36</v>
      </c>
      <c r="H1428" s="3" t="s">
        <v>37</v>
      </c>
      <c r="I1428" s="3" t="s">
        <v>24</v>
      </c>
      <c r="J1428" s="3" t="s">
        <v>24</v>
      </c>
      <c r="K1428" s="3" t="s">
        <v>25</v>
      </c>
      <c r="L1428" s="4">
        <v>0</v>
      </c>
      <c r="M1428" s="3" t="s">
        <v>26</v>
      </c>
      <c r="N1428" s="3" t="s">
        <v>24</v>
      </c>
      <c r="O1428" s="4">
        <v>1</v>
      </c>
      <c r="P1428" s="4">
        <v>10</v>
      </c>
      <c r="Q1428" s="4">
        <v>1</v>
      </c>
    </row>
    <row r="1429" spans="1:17" x14ac:dyDescent="0.25">
      <c r="A1429" s="3" t="s">
        <v>18</v>
      </c>
      <c r="B1429" s="3">
        <v>13505411</v>
      </c>
      <c r="C1429" s="3" t="s">
        <v>1472</v>
      </c>
      <c r="D1429" s="3" t="s">
        <v>20</v>
      </c>
      <c r="E1429" s="3" t="s">
        <v>21</v>
      </c>
      <c r="F1429" s="3" t="s">
        <v>21</v>
      </c>
      <c r="G1429" s="3" t="s">
        <v>233</v>
      </c>
      <c r="H1429" s="3" t="s">
        <v>234</v>
      </c>
      <c r="I1429" s="3" t="s">
        <v>24</v>
      </c>
      <c r="J1429" s="3" t="s">
        <v>24</v>
      </c>
      <c r="K1429" s="3" t="s">
        <v>25</v>
      </c>
      <c r="L1429" s="4">
        <v>0</v>
      </c>
      <c r="M1429" s="3" t="s">
        <v>26</v>
      </c>
      <c r="N1429" s="3" t="s">
        <v>24</v>
      </c>
      <c r="O1429" s="4">
        <v>1</v>
      </c>
      <c r="P1429" s="4">
        <v>2</v>
      </c>
      <c r="Q1429" s="4">
        <v>1</v>
      </c>
    </row>
    <row r="1430" spans="1:17" x14ac:dyDescent="0.25">
      <c r="A1430" s="3" t="s">
        <v>18</v>
      </c>
      <c r="B1430" s="3">
        <v>13505413</v>
      </c>
      <c r="C1430" s="3" t="s">
        <v>1473</v>
      </c>
      <c r="D1430" s="3" t="s">
        <v>20</v>
      </c>
      <c r="E1430" s="3" t="s">
        <v>21</v>
      </c>
      <c r="F1430" s="3" t="s">
        <v>21</v>
      </c>
      <c r="G1430" s="3" t="s">
        <v>233</v>
      </c>
      <c r="H1430" s="3" t="s">
        <v>234</v>
      </c>
      <c r="I1430" s="3" t="s">
        <v>24</v>
      </c>
      <c r="J1430" s="3" t="s">
        <v>24</v>
      </c>
      <c r="K1430" s="3" t="s">
        <v>25</v>
      </c>
      <c r="L1430" s="4">
        <v>0</v>
      </c>
      <c r="M1430" s="3" t="s">
        <v>26</v>
      </c>
      <c r="N1430" s="3" t="s">
        <v>24</v>
      </c>
      <c r="O1430" s="4">
        <v>1</v>
      </c>
      <c r="P1430" s="4">
        <v>2</v>
      </c>
      <c r="Q1430" s="4">
        <v>1</v>
      </c>
    </row>
    <row r="1431" spans="1:17" x14ac:dyDescent="0.25">
      <c r="A1431" s="3" t="s">
        <v>18</v>
      </c>
      <c r="B1431" s="3">
        <v>13505416</v>
      </c>
      <c r="C1431" s="3" t="s">
        <v>1474</v>
      </c>
      <c r="D1431" s="3" t="s">
        <v>20</v>
      </c>
      <c r="E1431" s="3" t="s">
        <v>21</v>
      </c>
      <c r="F1431" s="3" t="s">
        <v>21</v>
      </c>
      <c r="G1431" s="3" t="s">
        <v>233</v>
      </c>
      <c r="H1431" s="3" t="s">
        <v>234</v>
      </c>
      <c r="I1431" s="3" t="s">
        <v>24</v>
      </c>
      <c r="J1431" s="3" t="s">
        <v>24</v>
      </c>
      <c r="K1431" s="3" t="s">
        <v>25</v>
      </c>
      <c r="L1431" s="4">
        <v>0</v>
      </c>
      <c r="M1431" s="3" t="s">
        <v>26</v>
      </c>
      <c r="N1431" s="3" t="s">
        <v>24</v>
      </c>
      <c r="O1431" s="4">
        <v>1</v>
      </c>
      <c r="P1431" s="4">
        <v>2</v>
      </c>
      <c r="Q1431" s="4">
        <v>1</v>
      </c>
    </row>
    <row r="1432" spans="1:17" x14ac:dyDescent="0.25">
      <c r="A1432" s="3" t="s">
        <v>18</v>
      </c>
      <c r="B1432" s="3">
        <v>13505417</v>
      </c>
      <c r="C1432" s="3" t="s">
        <v>1475</v>
      </c>
      <c r="D1432" s="3" t="s">
        <v>20</v>
      </c>
      <c r="E1432" s="3" t="s">
        <v>21</v>
      </c>
      <c r="F1432" s="3" t="s">
        <v>21</v>
      </c>
      <c r="G1432" s="3" t="s">
        <v>233</v>
      </c>
      <c r="H1432" s="3" t="s">
        <v>234</v>
      </c>
      <c r="I1432" s="3" t="s">
        <v>24</v>
      </c>
      <c r="J1432" s="3" t="s">
        <v>24</v>
      </c>
      <c r="K1432" s="3" t="s">
        <v>25</v>
      </c>
      <c r="L1432" s="4">
        <v>0</v>
      </c>
      <c r="M1432" s="3" t="s">
        <v>26</v>
      </c>
      <c r="N1432" s="3" t="s">
        <v>24</v>
      </c>
      <c r="O1432" s="4">
        <v>1</v>
      </c>
      <c r="P1432" s="4">
        <v>2</v>
      </c>
      <c r="Q1432" s="4">
        <v>1</v>
      </c>
    </row>
    <row r="1433" spans="1:17" x14ac:dyDescent="0.25">
      <c r="A1433" s="3" t="s">
        <v>18</v>
      </c>
      <c r="B1433" s="3">
        <v>13509386</v>
      </c>
      <c r="C1433" s="3" t="s">
        <v>1476</v>
      </c>
      <c r="D1433" s="3" t="s">
        <v>1360</v>
      </c>
      <c r="E1433" s="3" t="s">
        <v>21</v>
      </c>
      <c r="F1433" s="3" t="s">
        <v>21</v>
      </c>
      <c r="G1433" s="3" t="s">
        <v>233</v>
      </c>
      <c r="H1433" s="3" t="s">
        <v>234</v>
      </c>
      <c r="I1433" s="3" t="s">
        <v>24</v>
      </c>
      <c r="J1433" s="3" t="s">
        <v>24</v>
      </c>
      <c r="K1433" s="3" t="s">
        <v>25</v>
      </c>
      <c r="L1433" s="4">
        <v>0</v>
      </c>
      <c r="M1433" s="3" t="s">
        <v>26</v>
      </c>
      <c r="N1433" s="3" t="s">
        <v>24</v>
      </c>
      <c r="O1433" s="4">
        <v>1</v>
      </c>
      <c r="P1433" s="4">
        <v>2</v>
      </c>
      <c r="Q1433" s="4">
        <v>1</v>
      </c>
    </row>
    <row r="1434" spans="1:17" x14ac:dyDescent="0.25">
      <c r="A1434" s="3" t="s">
        <v>18</v>
      </c>
      <c r="B1434" s="3">
        <v>13509387</v>
      </c>
      <c r="C1434" s="3" t="s">
        <v>1477</v>
      </c>
      <c r="D1434" s="3" t="s">
        <v>1360</v>
      </c>
      <c r="E1434" s="3" t="s">
        <v>21</v>
      </c>
      <c r="F1434" s="3" t="s">
        <v>21</v>
      </c>
      <c r="G1434" s="3" t="s">
        <v>477</v>
      </c>
      <c r="H1434" s="3" t="s">
        <v>478</v>
      </c>
      <c r="I1434" s="3" t="s">
        <v>24</v>
      </c>
      <c r="J1434" s="3" t="s">
        <v>24</v>
      </c>
      <c r="K1434" s="3" t="s">
        <v>25</v>
      </c>
      <c r="L1434" s="4">
        <v>0</v>
      </c>
      <c r="M1434" s="3" t="s">
        <v>26</v>
      </c>
      <c r="N1434" s="3" t="s">
        <v>24</v>
      </c>
      <c r="O1434" s="4">
        <v>1</v>
      </c>
      <c r="P1434" s="4">
        <v>1</v>
      </c>
      <c r="Q1434" s="4">
        <v>1</v>
      </c>
    </row>
    <row r="1435" spans="1:17" x14ac:dyDescent="0.25">
      <c r="A1435" s="3" t="s">
        <v>18</v>
      </c>
      <c r="B1435" s="3">
        <v>13509423</v>
      </c>
      <c r="C1435" s="3" t="s">
        <v>1478</v>
      </c>
      <c r="D1435" s="3" t="s">
        <v>1360</v>
      </c>
      <c r="E1435" s="3" t="s">
        <v>21</v>
      </c>
      <c r="F1435" s="3" t="s">
        <v>21</v>
      </c>
      <c r="G1435" s="3" t="s">
        <v>36</v>
      </c>
      <c r="H1435" s="3" t="s">
        <v>37</v>
      </c>
      <c r="I1435" s="3" t="s">
        <v>24</v>
      </c>
      <c r="J1435" s="3" t="s">
        <v>24</v>
      </c>
      <c r="K1435" s="3" t="s">
        <v>25</v>
      </c>
      <c r="L1435" s="4">
        <v>0</v>
      </c>
      <c r="M1435" s="3" t="s">
        <v>26</v>
      </c>
      <c r="N1435" s="3" t="s">
        <v>24</v>
      </c>
      <c r="O1435" s="4">
        <v>1</v>
      </c>
      <c r="P1435" s="4">
        <v>10</v>
      </c>
      <c r="Q1435" s="4">
        <v>1</v>
      </c>
    </row>
    <row r="1436" spans="1:17" x14ac:dyDescent="0.25">
      <c r="A1436" s="3" t="s">
        <v>18</v>
      </c>
      <c r="B1436" s="3">
        <v>13509572</v>
      </c>
      <c r="C1436" s="3" t="s">
        <v>1479</v>
      </c>
      <c r="D1436" s="3" t="s">
        <v>20</v>
      </c>
      <c r="E1436" s="3" t="s">
        <v>21</v>
      </c>
      <c r="F1436" s="3" t="s">
        <v>21</v>
      </c>
      <c r="G1436" s="3" t="s">
        <v>36</v>
      </c>
      <c r="H1436" s="3" t="s">
        <v>37</v>
      </c>
      <c r="I1436" s="3" t="s">
        <v>24</v>
      </c>
      <c r="J1436" s="3" t="s">
        <v>24</v>
      </c>
      <c r="K1436" s="3" t="s">
        <v>25</v>
      </c>
      <c r="L1436" s="4">
        <v>0</v>
      </c>
      <c r="M1436" s="3" t="s">
        <v>26</v>
      </c>
      <c r="N1436" s="3" t="s">
        <v>24</v>
      </c>
      <c r="O1436" s="4">
        <v>1</v>
      </c>
      <c r="P1436" s="4">
        <v>10</v>
      </c>
      <c r="Q1436" s="4">
        <v>1</v>
      </c>
    </row>
    <row r="1437" spans="1:17" x14ac:dyDescent="0.25">
      <c r="A1437" s="3" t="s">
        <v>18</v>
      </c>
      <c r="B1437" s="3">
        <v>13509573</v>
      </c>
      <c r="C1437" s="3" t="s">
        <v>1480</v>
      </c>
      <c r="D1437" s="3" t="s">
        <v>1360</v>
      </c>
      <c r="E1437" s="3" t="s">
        <v>21</v>
      </c>
      <c r="F1437" s="3" t="s">
        <v>21</v>
      </c>
      <c r="G1437" s="3" t="s">
        <v>36</v>
      </c>
      <c r="H1437" s="3" t="s">
        <v>37</v>
      </c>
      <c r="I1437" s="3" t="s">
        <v>24</v>
      </c>
      <c r="J1437" s="3" t="s">
        <v>24</v>
      </c>
      <c r="K1437" s="3" t="s">
        <v>25</v>
      </c>
      <c r="L1437" s="4">
        <v>0</v>
      </c>
      <c r="M1437" s="3" t="s">
        <v>26</v>
      </c>
      <c r="N1437" s="3" t="s">
        <v>24</v>
      </c>
      <c r="O1437" s="4">
        <v>1</v>
      </c>
      <c r="P1437" s="4">
        <v>10</v>
      </c>
      <c r="Q1437" s="4">
        <v>1</v>
      </c>
    </row>
    <row r="1438" spans="1:17" x14ac:dyDescent="0.25">
      <c r="A1438" s="3" t="s">
        <v>18</v>
      </c>
      <c r="B1438" s="3">
        <v>13509574</v>
      </c>
      <c r="C1438" s="3" t="s">
        <v>1481</v>
      </c>
      <c r="D1438" s="3" t="s">
        <v>20</v>
      </c>
      <c r="E1438" s="3" t="s">
        <v>21</v>
      </c>
      <c r="F1438" s="3" t="s">
        <v>21</v>
      </c>
      <c r="G1438" s="3" t="s">
        <v>233</v>
      </c>
      <c r="H1438" s="3" t="s">
        <v>234</v>
      </c>
      <c r="I1438" s="3" t="s">
        <v>24</v>
      </c>
      <c r="J1438" s="3" t="s">
        <v>24</v>
      </c>
      <c r="K1438" s="3" t="s">
        <v>25</v>
      </c>
      <c r="L1438" s="4">
        <v>0</v>
      </c>
      <c r="M1438" s="3" t="s">
        <v>26</v>
      </c>
      <c r="N1438" s="3" t="s">
        <v>24</v>
      </c>
      <c r="O1438" s="4">
        <v>1</v>
      </c>
      <c r="P1438" s="4">
        <v>2</v>
      </c>
      <c r="Q1438" s="4">
        <v>1</v>
      </c>
    </row>
    <row r="1439" spans="1:17" x14ac:dyDescent="0.25">
      <c r="A1439" s="3" t="s">
        <v>18</v>
      </c>
      <c r="B1439" s="3">
        <v>13509696</v>
      </c>
      <c r="C1439" s="3" t="s">
        <v>1482</v>
      </c>
      <c r="D1439" s="3" t="s">
        <v>20</v>
      </c>
      <c r="E1439" s="3" t="s">
        <v>21</v>
      </c>
      <c r="F1439" s="3" t="s">
        <v>21</v>
      </c>
      <c r="G1439" s="3" t="s">
        <v>233</v>
      </c>
      <c r="H1439" s="3" t="s">
        <v>234</v>
      </c>
      <c r="I1439" s="3" t="s">
        <v>24</v>
      </c>
      <c r="J1439" s="3" t="s">
        <v>24</v>
      </c>
      <c r="K1439" s="3" t="s">
        <v>25</v>
      </c>
      <c r="L1439" s="4">
        <v>0</v>
      </c>
      <c r="M1439" s="3" t="s">
        <v>26</v>
      </c>
      <c r="N1439" s="3" t="s">
        <v>24</v>
      </c>
      <c r="O1439" s="4">
        <v>1</v>
      </c>
      <c r="P1439" s="4">
        <v>99999999</v>
      </c>
      <c r="Q1439" s="4">
        <v>1</v>
      </c>
    </row>
    <row r="1440" spans="1:17" x14ac:dyDescent="0.25">
      <c r="A1440" s="3" t="s">
        <v>18</v>
      </c>
      <c r="B1440" s="3">
        <v>13509878</v>
      </c>
      <c r="C1440" s="3" t="s">
        <v>1483</v>
      </c>
      <c r="D1440" s="3" t="s">
        <v>1360</v>
      </c>
      <c r="E1440" s="3" t="s">
        <v>21</v>
      </c>
      <c r="F1440" s="3" t="s">
        <v>21</v>
      </c>
      <c r="G1440" s="3" t="s">
        <v>233</v>
      </c>
      <c r="H1440" s="3" t="s">
        <v>234</v>
      </c>
      <c r="I1440" s="3" t="s">
        <v>24</v>
      </c>
      <c r="J1440" s="3" t="s">
        <v>24</v>
      </c>
      <c r="K1440" s="3" t="s">
        <v>25</v>
      </c>
      <c r="L1440" s="4">
        <v>0</v>
      </c>
      <c r="M1440" s="3" t="s">
        <v>26</v>
      </c>
      <c r="N1440" s="3" t="s">
        <v>24</v>
      </c>
      <c r="O1440" s="4">
        <v>1</v>
      </c>
      <c r="P1440" s="4">
        <v>2</v>
      </c>
      <c r="Q1440" s="4">
        <v>1</v>
      </c>
    </row>
    <row r="1441" spans="1:17" x14ac:dyDescent="0.25">
      <c r="A1441" s="3" t="s">
        <v>18</v>
      </c>
      <c r="B1441" s="3">
        <v>13509883</v>
      </c>
      <c r="C1441" s="3" t="s">
        <v>1484</v>
      </c>
      <c r="D1441" s="3" t="s">
        <v>1360</v>
      </c>
      <c r="E1441" s="3" t="s">
        <v>21</v>
      </c>
      <c r="F1441" s="3" t="s">
        <v>21</v>
      </c>
      <c r="G1441" s="3" t="s">
        <v>233</v>
      </c>
      <c r="H1441" s="3" t="s">
        <v>234</v>
      </c>
      <c r="I1441" s="3" t="s">
        <v>24</v>
      </c>
      <c r="J1441" s="3" t="s">
        <v>24</v>
      </c>
      <c r="K1441" s="3" t="s">
        <v>25</v>
      </c>
      <c r="L1441" s="4">
        <v>0</v>
      </c>
      <c r="M1441" s="3" t="s">
        <v>26</v>
      </c>
      <c r="N1441" s="3" t="s">
        <v>24</v>
      </c>
      <c r="O1441" s="4">
        <v>1</v>
      </c>
      <c r="P1441" s="4">
        <v>2</v>
      </c>
      <c r="Q1441" s="4">
        <v>1</v>
      </c>
    </row>
    <row r="1442" spans="1:17" x14ac:dyDescent="0.25">
      <c r="A1442" s="3" t="s">
        <v>18</v>
      </c>
      <c r="B1442" s="3">
        <v>13511023</v>
      </c>
      <c r="C1442" s="3" t="s">
        <v>1485</v>
      </c>
      <c r="D1442" s="3" t="s">
        <v>1360</v>
      </c>
      <c r="E1442" s="3" t="s">
        <v>21</v>
      </c>
      <c r="F1442" s="3" t="s">
        <v>21</v>
      </c>
      <c r="G1442" s="3" t="s">
        <v>36</v>
      </c>
      <c r="H1442" s="3" t="s">
        <v>37</v>
      </c>
      <c r="I1442" s="3" t="s">
        <v>24</v>
      </c>
      <c r="J1442" s="3" t="s">
        <v>24</v>
      </c>
      <c r="K1442" s="3" t="s">
        <v>25</v>
      </c>
      <c r="L1442" s="4">
        <v>0</v>
      </c>
      <c r="M1442" s="3" t="s">
        <v>26</v>
      </c>
      <c r="N1442" s="3" t="s">
        <v>24</v>
      </c>
      <c r="O1442" s="4">
        <v>1</v>
      </c>
      <c r="P1442" s="4">
        <v>10</v>
      </c>
      <c r="Q1442" s="4">
        <v>1</v>
      </c>
    </row>
    <row r="1443" spans="1:17" x14ac:dyDescent="0.25">
      <c r="A1443" s="3" t="s">
        <v>18</v>
      </c>
      <c r="B1443" s="3">
        <v>13511209</v>
      </c>
      <c r="C1443" s="3" t="s">
        <v>1486</v>
      </c>
      <c r="D1443" s="3" t="s">
        <v>20</v>
      </c>
      <c r="E1443" s="3" t="s">
        <v>21</v>
      </c>
      <c r="F1443" s="3" t="s">
        <v>21</v>
      </c>
      <c r="G1443" s="3" t="s">
        <v>36</v>
      </c>
      <c r="H1443" s="3" t="s">
        <v>37</v>
      </c>
      <c r="I1443" s="3" t="s">
        <v>24</v>
      </c>
      <c r="J1443" s="3" t="s">
        <v>24</v>
      </c>
      <c r="K1443" s="3" t="s">
        <v>25</v>
      </c>
      <c r="L1443" s="4">
        <v>0</v>
      </c>
      <c r="M1443" s="3" t="s">
        <v>26</v>
      </c>
      <c r="N1443" s="3" t="s">
        <v>24</v>
      </c>
      <c r="O1443" s="4">
        <v>1</v>
      </c>
      <c r="P1443" s="4">
        <v>4</v>
      </c>
      <c r="Q1443" s="4">
        <v>1</v>
      </c>
    </row>
    <row r="1444" spans="1:17" x14ac:dyDescent="0.25">
      <c r="A1444" s="3" t="s">
        <v>18</v>
      </c>
      <c r="B1444" s="3">
        <v>13511211</v>
      </c>
      <c r="C1444" s="3" t="s">
        <v>1487</v>
      </c>
      <c r="D1444" s="3" t="s">
        <v>20</v>
      </c>
      <c r="E1444" s="3" t="s">
        <v>21</v>
      </c>
      <c r="F1444" s="3" t="s">
        <v>21</v>
      </c>
      <c r="G1444" s="3" t="s">
        <v>42</v>
      </c>
      <c r="H1444" s="3" t="s">
        <v>43</v>
      </c>
      <c r="I1444" s="3" t="s">
        <v>24</v>
      </c>
      <c r="J1444" s="3" t="s">
        <v>24</v>
      </c>
      <c r="K1444" s="3" t="s">
        <v>25</v>
      </c>
      <c r="L1444" s="4">
        <v>0</v>
      </c>
      <c r="M1444" s="3" t="s">
        <v>26</v>
      </c>
      <c r="N1444" s="3" t="s">
        <v>24</v>
      </c>
      <c r="O1444" s="4">
        <v>1</v>
      </c>
      <c r="P1444" s="4">
        <v>8</v>
      </c>
      <c r="Q1444" s="4">
        <v>1</v>
      </c>
    </row>
    <row r="1445" spans="1:17" x14ac:dyDescent="0.25">
      <c r="A1445" s="3" t="s">
        <v>18</v>
      </c>
      <c r="B1445" s="3">
        <v>13518104</v>
      </c>
      <c r="C1445" s="3" t="s">
        <v>1488</v>
      </c>
      <c r="D1445" s="3" t="s">
        <v>1360</v>
      </c>
      <c r="E1445" s="3" t="s">
        <v>21</v>
      </c>
      <c r="F1445" s="3" t="s">
        <v>21</v>
      </c>
      <c r="G1445" s="3" t="s">
        <v>487</v>
      </c>
      <c r="H1445" s="3" t="s">
        <v>488</v>
      </c>
      <c r="I1445" s="3" t="s">
        <v>24</v>
      </c>
      <c r="J1445" s="3" t="s">
        <v>24</v>
      </c>
      <c r="K1445" s="3" t="s">
        <v>25</v>
      </c>
      <c r="L1445" s="4">
        <v>0</v>
      </c>
      <c r="M1445" s="3" t="s">
        <v>26</v>
      </c>
      <c r="N1445" s="3" t="s">
        <v>24</v>
      </c>
      <c r="O1445" s="4">
        <v>1</v>
      </c>
      <c r="P1445" s="4">
        <v>2</v>
      </c>
      <c r="Q1445" s="4">
        <v>1</v>
      </c>
    </row>
    <row r="1446" spans="1:17" x14ac:dyDescent="0.25">
      <c r="A1446" s="3" t="s">
        <v>18</v>
      </c>
      <c r="B1446" s="3">
        <v>13525900</v>
      </c>
      <c r="C1446" s="3" t="s">
        <v>1489</v>
      </c>
      <c r="D1446" s="3" t="s">
        <v>1360</v>
      </c>
      <c r="E1446" s="3" t="s">
        <v>21</v>
      </c>
      <c r="F1446" s="3" t="s">
        <v>21</v>
      </c>
      <c r="G1446" s="3" t="s">
        <v>487</v>
      </c>
      <c r="H1446" s="3" t="s">
        <v>488</v>
      </c>
      <c r="I1446" s="3" t="s">
        <v>24</v>
      </c>
      <c r="J1446" s="3" t="s">
        <v>24</v>
      </c>
      <c r="K1446" s="3" t="s">
        <v>25</v>
      </c>
      <c r="L1446" s="4">
        <v>0</v>
      </c>
      <c r="M1446" s="3" t="s">
        <v>26</v>
      </c>
      <c r="N1446" s="3" t="s">
        <v>24</v>
      </c>
      <c r="O1446" s="4">
        <v>1</v>
      </c>
      <c r="P1446" s="4">
        <v>1</v>
      </c>
      <c r="Q1446" s="4">
        <v>1</v>
      </c>
    </row>
    <row r="1447" spans="1:17" x14ac:dyDescent="0.25">
      <c r="A1447" s="3" t="s">
        <v>18</v>
      </c>
      <c r="B1447" s="3">
        <v>13525902</v>
      </c>
      <c r="C1447" s="3" t="s">
        <v>1490</v>
      </c>
      <c r="D1447" s="3" t="s">
        <v>1360</v>
      </c>
      <c r="E1447" s="3" t="s">
        <v>21</v>
      </c>
      <c r="F1447" s="3" t="s">
        <v>21</v>
      </c>
      <c r="G1447" s="3" t="s">
        <v>233</v>
      </c>
      <c r="H1447" s="3" t="s">
        <v>234</v>
      </c>
      <c r="I1447" s="3" t="s">
        <v>24</v>
      </c>
      <c r="J1447" s="3" t="s">
        <v>24</v>
      </c>
      <c r="K1447" s="3" t="s">
        <v>25</v>
      </c>
      <c r="L1447" s="4">
        <v>0</v>
      </c>
      <c r="M1447" s="3" t="s">
        <v>26</v>
      </c>
      <c r="N1447" s="3" t="s">
        <v>24</v>
      </c>
      <c r="O1447" s="4">
        <v>1</v>
      </c>
      <c r="P1447" s="4">
        <v>2</v>
      </c>
      <c r="Q1447" s="4">
        <v>1</v>
      </c>
    </row>
    <row r="1448" spans="1:17" x14ac:dyDescent="0.25">
      <c r="A1448" s="3" t="s">
        <v>18</v>
      </c>
      <c r="B1448" s="3">
        <v>13528216</v>
      </c>
      <c r="C1448" s="3" t="s">
        <v>1491</v>
      </c>
      <c r="D1448" s="3" t="s">
        <v>20</v>
      </c>
      <c r="E1448" s="3" t="s">
        <v>21</v>
      </c>
      <c r="F1448" s="3" t="s">
        <v>21</v>
      </c>
      <c r="G1448" s="3" t="s">
        <v>36</v>
      </c>
      <c r="H1448" s="3" t="s">
        <v>37</v>
      </c>
      <c r="I1448" s="3" t="s">
        <v>24</v>
      </c>
      <c r="J1448" s="3" t="s">
        <v>24</v>
      </c>
      <c r="K1448" s="3" t="s">
        <v>25</v>
      </c>
      <c r="L1448" s="4">
        <v>0</v>
      </c>
      <c r="M1448" s="3" t="s">
        <v>26</v>
      </c>
      <c r="N1448" s="3" t="s">
        <v>24</v>
      </c>
      <c r="O1448" s="4">
        <v>1</v>
      </c>
      <c r="P1448" s="4">
        <v>4</v>
      </c>
      <c r="Q1448" s="4">
        <v>1</v>
      </c>
    </row>
    <row r="1449" spans="1:17" x14ac:dyDescent="0.25">
      <c r="A1449" s="3" t="s">
        <v>18</v>
      </c>
      <c r="B1449" s="3">
        <v>13534980</v>
      </c>
      <c r="C1449" s="3" t="s">
        <v>1492</v>
      </c>
      <c r="D1449" s="3" t="s">
        <v>20</v>
      </c>
      <c r="E1449" s="3" t="s">
        <v>21</v>
      </c>
      <c r="F1449" s="3" t="s">
        <v>21</v>
      </c>
      <c r="G1449" s="3" t="s">
        <v>36</v>
      </c>
      <c r="H1449" s="3" t="s">
        <v>37</v>
      </c>
      <c r="I1449" s="3" t="s">
        <v>24</v>
      </c>
      <c r="J1449" s="3" t="s">
        <v>24</v>
      </c>
      <c r="K1449" s="3" t="s">
        <v>25</v>
      </c>
      <c r="L1449" s="4">
        <v>0</v>
      </c>
      <c r="M1449" s="3" t="s">
        <v>26</v>
      </c>
      <c r="N1449" s="3" t="s">
        <v>24</v>
      </c>
      <c r="O1449" s="4">
        <v>1</v>
      </c>
      <c r="P1449" s="4">
        <v>4</v>
      </c>
      <c r="Q1449" s="4">
        <v>1</v>
      </c>
    </row>
    <row r="1450" spans="1:17" x14ac:dyDescent="0.25">
      <c r="A1450" s="3" t="s">
        <v>18</v>
      </c>
      <c r="B1450" s="3">
        <v>13534981</v>
      </c>
      <c r="C1450" s="3" t="s">
        <v>1493</v>
      </c>
      <c r="D1450" s="3" t="s">
        <v>20</v>
      </c>
      <c r="E1450" s="3" t="s">
        <v>21</v>
      </c>
      <c r="F1450" s="3" t="s">
        <v>21</v>
      </c>
      <c r="G1450" s="3" t="s">
        <v>36</v>
      </c>
      <c r="H1450" s="3" t="s">
        <v>37</v>
      </c>
      <c r="I1450" s="3" t="s">
        <v>24</v>
      </c>
      <c r="J1450" s="3" t="s">
        <v>24</v>
      </c>
      <c r="K1450" s="3" t="s">
        <v>25</v>
      </c>
      <c r="L1450" s="4">
        <v>0</v>
      </c>
      <c r="M1450" s="3" t="s">
        <v>26</v>
      </c>
      <c r="N1450" s="3" t="s">
        <v>24</v>
      </c>
      <c r="O1450" s="4">
        <v>1</v>
      </c>
      <c r="P1450" s="4">
        <v>4</v>
      </c>
      <c r="Q1450" s="4">
        <v>1</v>
      </c>
    </row>
    <row r="1451" spans="1:17" x14ac:dyDescent="0.25">
      <c r="A1451" s="3" t="s">
        <v>18</v>
      </c>
      <c r="B1451" s="3">
        <v>13534982</v>
      </c>
      <c r="C1451" s="3" t="s">
        <v>1494</v>
      </c>
      <c r="D1451" s="3" t="s">
        <v>20</v>
      </c>
      <c r="E1451" s="3" t="s">
        <v>21</v>
      </c>
      <c r="F1451" s="3" t="s">
        <v>21</v>
      </c>
      <c r="G1451" s="3" t="s">
        <v>36</v>
      </c>
      <c r="H1451" s="3" t="s">
        <v>37</v>
      </c>
      <c r="I1451" s="3" t="s">
        <v>24</v>
      </c>
      <c r="J1451" s="3" t="s">
        <v>24</v>
      </c>
      <c r="K1451" s="3" t="s">
        <v>25</v>
      </c>
      <c r="L1451" s="4">
        <v>0</v>
      </c>
      <c r="M1451" s="3" t="s">
        <v>26</v>
      </c>
      <c r="N1451" s="3" t="s">
        <v>24</v>
      </c>
      <c r="O1451" s="4">
        <v>1</v>
      </c>
      <c r="P1451" s="4">
        <v>4</v>
      </c>
      <c r="Q1451" s="4">
        <v>1</v>
      </c>
    </row>
    <row r="1452" spans="1:17" x14ac:dyDescent="0.25">
      <c r="A1452" s="3" t="s">
        <v>18</v>
      </c>
      <c r="B1452" s="3">
        <v>13534983</v>
      </c>
      <c r="C1452" s="3" t="s">
        <v>1495</v>
      </c>
      <c r="D1452" s="3" t="s">
        <v>20</v>
      </c>
      <c r="E1452" s="3" t="s">
        <v>21</v>
      </c>
      <c r="F1452" s="3" t="s">
        <v>21</v>
      </c>
      <c r="G1452" s="3" t="s">
        <v>36</v>
      </c>
      <c r="H1452" s="3" t="s">
        <v>37</v>
      </c>
      <c r="I1452" s="3" t="s">
        <v>24</v>
      </c>
      <c r="J1452" s="3" t="s">
        <v>24</v>
      </c>
      <c r="K1452" s="3" t="s">
        <v>25</v>
      </c>
      <c r="L1452" s="4">
        <v>0</v>
      </c>
      <c r="M1452" s="3" t="s">
        <v>26</v>
      </c>
      <c r="N1452" s="3" t="s">
        <v>24</v>
      </c>
      <c r="O1452" s="4">
        <v>1</v>
      </c>
      <c r="P1452" s="4">
        <v>4</v>
      </c>
      <c r="Q1452" s="4">
        <v>1</v>
      </c>
    </row>
    <row r="1453" spans="1:17" x14ac:dyDescent="0.25">
      <c r="A1453" s="3" t="s">
        <v>18</v>
      </c>
      <c r="B1453" s="3">
        <v>13534985</v>
      </c>
      <c r="C1453" s="3" t="s">
        <v>1496</v>
      </c>
      <c r="D1453" s="3" t="s">
        <v>20</v>
      </c>
      <c r="E1453" s="3" t="s">
        <v>21</v>
      </c>
      <c r="F1453" s="3" t="s">
        <v>21</v>
      </c>
      <c r="G1453" s="3" t="s">
        <v>36</v>
      </c>
      <c r="H1453" s="3" t="s">
        <v>37</v>
      </c>
      <c r="I1453" s="3" t="s">
        <v>24</v>
      </c>
      <c r="J1453" s="3" t="s">
        <v>24</v>
      </c>
      <c r="K1453" s="3" t="s">
        <v>25</v>
      </c>
      <c r="L1453" s="4">
        <v>0</v>
      </c>
      <c r="M1453" s="3" t="s">
        <v>26</v>
      </c>
      <c r="N1453" s="3" t="s">
        <v>24</v>
      </c>
      <c r="O1453" s="4">
        <v>1</v>
      </c>
      <c r="P1453" s="4">
        <v>4</v>
      </c>
      <c r="Q1453" s="4">
        <v>1</v>
      </c>
    </row>
    <row r="1454" spans="1:17" x14ac:dyDescent="0.25">
      <c r="A1454" s="3" t="s">
        <v>18</v>
      </c>
      <c r="B1454" s="3">
        <v>13534986</v>
      </c>
      <c r="C1454" s="3" t="s">
        <v>1497</v>
      </c>
      <c r="D1454" s="3" t="s">
        <v>20</v>
      </c>
      <c r="E1454" s="3" t="s">
        <v>21</v>
      </c>
      <c r="F1454" s="3" t="s">
        <v>21</v>
      </c>
      <c r="G1454" s="3" t="s">
        <v>36</v>
      </c>
      <c r="H1454" s="3" t="s">
        <v>37</v>
      </c>
      <c r="I1454" s="3" t="s">
        <v>24</v>
      </c>
      <c r="J1454" s="3" t="s">
        <v>24</v>
      </c>
      <c r="K1454" s="3" t="s">
        <v>25</v>
      </c>
      <c r="L1454" s="4">
        <v>0</v>
      </c>
      <c r="M1454" s="3" t="s">
        <v>26</v>
      </c>
      <c r="N1454" s="3" t="s">
        <v>24</v>
      </c>
      <c r="O1454" s="4">
        <v>1</v>
      </c>
      <c r="P1454" s="4">
        <v>4</v>
      </c>
      <c r="Q1454" s="4">
        <v>1</v>
      </c>
    </row>
    <row r="1455" spans="1:17" x14ac:dyDescent="0.25">
      <c r="A1455" s="3" t="s">
        <v>18</v>
      </c>
      <c r="B1455" s="3">
        <v>13534998</v>
      </c>
      <c r="C1455" s="3" t="s">
        <v>1498</v>
      </c>
      <c r="D1455" s="3" t="s">
        <v>20</v>
      </c>
      <c r="E1455" s="3" t="s">
        <v>21</v>
      </c>
      <c r="F1455" s="3" t="s">
        <v>21</v>
      </c>
      <c r="G1455" s="3" t="s">
        <v>36</v>
      </c>
      <c r="H1455" s="3" t="s">
        <v>37</v>
      </c>
      <c r="I1455" s="3" t="s">
        <v>24</v>
      </c>
      <c r="J1455" s="3" t="s">
        <v>24</v>
      </c>
      <c r="K1455" s="3" t="s">
        <v>25</v>
      </c>
      <c r="L1455" s="4">
        <v>0</v>
      </c>
      <c r="M1455" s="3" t="s">
        <v>26</v>
      </c>
      <c r="N1455" s="3" t="s">
        <v>24</v>
      </c>
      <c r="O1455" s="4">
        <v>1</v>
      </c>
      <c r="P1455" s="4">
        <v>4</v>
      </c>
      <c r="Q1455" s="4">
        <v>1</v>
      </c>
    </row>
    <row r="1456" spans="1:17" x14ac:dyDescent="0.25">
      <c r="A1456" s="3" t="s">
        <v>18</v>
      </c>
      <c r="B1456" s="3">
        <v>13535000</v>
      </c>
      <c r="C1456" s="3" t="s">
        <v>1499</v>
      </c>
      <c r="D1456" s="3" t="s">
        <v>20</v>
      </c>
      <c r="E1456" s="3" t="s">
        <v>21</v>
      </c>
      <c r="F1456" s="3" t="s">
        <v>21</v>
      </c>
      <c r="G1456" s="3" t="s">
        <v>36</v>
      </c>
      <c r="H1456" s="3" t="s">
        <v>37</v>
      </c>
      <c r="I1456" s="3" t="s">
        <v>24</v>
      </c>
      <c r="J1456" s="3" t="s">
        <v>24</v>
      </c>
      <c r="K1456" s="3" t="s">
        <v>25</v>
      </c>
      <c r="L1456" s="4">
        <v>0</v>
      </c>
      <c r="M1456" s="3" t="s">
        <v>26</v>
      </c>
      <c r="N1456" s="3" t="s">
        <v>24</v>
      </c>
      <c r="O1456" s="4">
        <v>1</v>
      </c>
      <c r="P1456" s="4">
        <v>4</v>
      </c>
      <c r="Q1456" s="4">
        <v>1</v>
      </c>
    </row>
    <row r="1457" spans="1:17" x14ac:dyDescent="0.25">
      <c r="A1457" s="3" t="s">
        <v>18</v>
      </c>
      <c r="B1457" s="3">
        <v>13535001</v>
      </c>
      <c r="C1457" s="3" t="s">
        <v>1500</v>
      </c>
      <c r="D1457" s="3" t="s">
        <v>20</v>
      </c>
      <c r="E1457" s="3" t="s">
        <v>21</v>
      </c>
      <c r="F1457" s="3" t="s">
        <v>21</v>
      </c>
      <c r="G1457" s="3" t="s">
        <v>36</v>
      </c>
      <c r="H1457" s="3" t="s">
        <v>37</v>
      </c>
      <c r="I1457" s="3" t="s">
        <v>24</v>
      </c>
      <c r="J1457" s="3" t="s">
        <v>24</v>
      </c>
      <c r="K1457" s="3" t="s">
        <v>25</v>
      </c>
      <c r="L1457" s="4">
        <v>0</v>
      </c>
      <c r="M1457" s="3" t="s">
        <v>26</v>
      </c>
      <c r="N1457" s="3" t="s">
        <v>24</v>
      </c>
      <c r="O1457" s="4">
        <v>1</v>
      </c>
      <c r="P1457" s="4">
        <v>4</v>
      </c>
      <c r="Q1457" s="4">
        <v>1</v>
      </c>
    </row>
    <row r="1458" spans="1:17" x14ac:dyDescent="0.25">
      <c r="A1458" s="3" t="s">
        <v>18</v>
      </c>
      <c r="B1458" s="3">
        <v>13535003</v>
      </c>
      <c r="C1458" s="3" t="s">
        <v>1501</v>
      </c>
      <c r="D1458" s="3" t="s">
        <v>20</v>
      </c>
      <c r="E1458" s="3" t="s">
        <v>21</v>
      </c>
      <c r="F1458" s="3" t="s">
        <v>21</v>
      </c>
      <c r="G1458" s="3" t="s">
        <v>36</v>
      </c>
      <c r="H1458" s="3" t="s">
        <v>37</v>
      </c>
      <c r="I1458" s="3" t="s">
        <v>24</v>
      </c>
      <c r="J1458" s="3" t="s">
        <v>24</v>
      </c>
      <c r="K1458" s="3" t="s">
        <v>25</v>
      </c>
      <c r="L1458" s="4">
        <v>0</v>
      </c>
      <c r="M1458" s="3" t="s">
        <v>26</v>
      </c>
      <c r="N1458" s="3" t="s">
        <v>24</v>
      </c>
      <c r="O1458" s="4">
        <v>1</v>
      </c>
      <c r="P1458" s="4">
        <v>4</v>
      </c>
      <c r="Q1458" s="4">
        <v>1</v>
      </c>
    </row>
    <row r="1459" spans="1:17" x14ac:dyDescent="0.25">
      <c r="A1459" s="3" t="s">
        <v>18</v>
      </c>
      <c r="B1459" s="3">
        <v>13535005</v>
      </c>
      <c r="C1459" s="3" t="s">
        <v>1502</v>
      </c>
      <c r="D1459" s="3" t="s">
        <v>20</v>
      </c>
      <c r="E1459" s="3" t="s">
        <v>21</v>
      </c>
      <c r="F1459" s="3" t="s">
        <v>21</v>
      </c>
      <c r="G1459" s="3" t="s">
        <v>36</v>
      </c>
      <c r="H1459" s="3" t="s">
        <v>37</v>
      </c>
      <c r="I1459" s="3" t="s">
        <v>24</v>
      </c>
      <c r="J1459" s="3" t="s">
        <v>24</v>
      </c>
      <c r="K1459" s="3" t="s">
        <v>25</v>
      </c>
      <c r="L1459" s="4">
        <v>0</v>
      </c>
      <c r="M1459" s="3" t="s">
        <v>26</v>
      </c>
      <c r="N1459" s="3" t="s">
        <v>24</v>
      </c>
      <c r="O1459" s="4">
        <v>1</v>
      </c>
      <c r="P1459" s="4">
        <v>4</v>
      </c>
      <c r="Q1459" s="4">
        <v>1</v>
      </c>
    </row>
    <row r="1460" spans="1:17" x14ac:dyDescent="0.25">
      <c r="A1460" s="3" t="s">
        <v>18</v>
      </c>
      <c r="B1460" s="3">
        <v>13535007</v>
      </c>
      <c r="C1460" s="3" t="s">
        <v>1503</v>
      </c>
      <c r="D1460" s="3" t="s">
        <v>20</v>
      </c>
      <c r="E1460" s="3" t="s">
        <v>21</v>
      </c>
      <c r="F1460" s="3" t="s">
        <v>21</v>
      </c>
      <c r="G1460" s="3" t="s">
        <v>36</v>
      </c>
      <c r="H1460" s="3" t="s">
        <v>37</v>
      </c>
      <c r="I1460" s="3" t="s">
        <v>24</v>
      </c>
      <c r="J1460" s="3" t="s">
        <v>24</v>
      </c>
      <c r="K1460" s="3" t="s">
        <v>25</v>
      </c>
      <c r="L1460" s="4">
        <v>0</v>
      </c>
      <c r="M1460" s="3" t="s">
        <v>26</v>
      </c>
      <c r="N1460" s="3" t="s">
        <v>24</v>
      </c>
      <c r="O1460" s="4">
        <v>1</v>
      </c>
      <c r="P1460" s="4">
        <v>4</v>
      </c>
      <c r="Q1460" s="4">
        <v>1</v>
      </c>
    </row>
    <row r="1461" spans="1:17" x14ac:dyDescent="0.25">
      <c r="A1461" s="3" t="s">
        <v>18</v>
      </c>
      <c r="B1461" s="3">
        <v>13535019</v>
      </c>
      <c r="C1461" s="3" t="s">
        <v>1504</v>
      </c>
      <c r="D1461" s="3" t="s">
        <v>20</v>
      </c>
      <c r="E1461" s="3" t="s">
        <v>21</v>
      </c>
      <c r="F1461" s="3" t="s">
        <v>21</v>
      </c>
      <c r="G1461" s="3" t="s">
        <v>36</v>
      </c>
      <c r="H1461" s="3" t="s">
        <v>37</v>
      </c>
      <c r="I1461" s="3" t="s">
        <v>24</v>
      </c>
      <c r="J1461" s="3" t="s">
        <v>24</v>
      </c>
      <c r="K1461" s="3" t="s">
        <v>25</v>
      </c>
      <c r="L1461" s="4">
        <v>0</v>
      </c>
      <c r="M1461" s="3" t="s">
        <v>26</v>
      </c>
      <c r="N1461" s="3" t="s">
        <v>24</v>
      </c>
      <c r="O1461" s="4">
        <v>1</v>
      </c>
      <c r="P1461" s="4">
        <v>4</v>
      </c>
      <c r="Q1461" s="4">
        <v>1</v>
      </c>
    </row>
    <row r="1462" spans="1:17" x14ac:dyDescent="0.25">
      <c r="A1462" s="3" t="s">
        <v>18</v>
      </c>
      <c r="B1462" s="3">
        <v>13535022</v>
      </c>
      <c r="C1462" s="3" t="s">
        <v>1505</v>
      </c>
      <c r="D1462" s="3" t="s">
        <v>20</v>
      </c>
      <c r="E1462" s="3" t="s">
        <v>21</v>
      </c>
      <c r="F1462" s="3" t="s">
        <v>21</v>
      </c>
      <c r="G1462" s="3" t="s">
        <v>36</v>
      </c>
      <c r="H1462" s="3" t="s">
        <v>37</v>
      </c>
      <c r="I1462" s="3" t="s">
        <v>24</v>
      </c>
      <c r="J1462" s="3" t="s">
        <v>24</v>
      </c>
      <c r="K1462" s="3" t="s">
        <v>25</v>
      </c>
      <c r="L1462" s="4">
        <v>0</v>
      </c>
      <c r="M1462" s="3" t="s">
        <v>26</v>
      </c>
      <c r="N1462" s="3" t="s">
        <v>24</v>
      </c>
      <c r="O1462" s="4">
        <v>1</v>
      </c>
      <c r="P1462" s="4">
        <v>4</v>
      </c>
      <c r="Q1462" s="4">
        <v>1</v>
      </c>
    </row>
    <row r="1463" spans="1:17" x14ac:dyDescent="0.25">
      <c r="A1463" s="3" t="s">
        <v>18</v>
      </c>
      <c r="B1463" s="3">
        <v>13535024</v>
      </c>
      <c r="C1463" s="3" t="s">
        <v>1506</v>
      </c>
      <c r="D1463" s="3" t="s">
        <v>20</v>
      </c>
      <c r="E1463" s="3" t="s">
        <v>21</v>
      </c>
      <c r="F1463" s="3" t="s">
        <v>21</v>
      </c>
      <c r="G1463" s="3" t="s">
        <v>36</v>
      </c>
      <c r="H1463" s="3" t="s">
        <v>37</v>
      </c>
      <c r="I1463" s="3" t="s">
        <v>24</v>
      </c>
      <c r="J1463" s="3" t="s">
        <v>24</v>
      </c>
      <c r="K1463" s="3" t="s">
        <v>25</v>
      </c>
      <c r="L1463" s="4">
        <v>0</v>
      </c>
      <c r="M1463" s="3" t="s">
        <v>26</v>
      </c>
      <c r="N1463" s="3" t="s">
        <v>24</v>
      </c>
      <c r="O1463" s="4">
        <v>1</v>
      </c>
      <c r="P1463" s="4">
        <v>4</v>
      </c>
      <c r="Q1463" s="4">
        <v>1</v>
      </c>
    </row>
    <row r="1464" spans="1:17" x14ac:dyDescent="0.25">
      <c r="A1464" s="3" t="s">
        <v>18</v>
      </c>
      <c r="B1464" s="3">
        <v>13535055</v>
      </c>
      <c r="C1464" s="3" t="s">
        <v>1507</v>
      </c>
      <c r="D1464" s="3" t="s">
        <v>20</v>
      </c>
      <c r="E1464" s="3" t="s">
        <v>21</v>
      </c>
      <c r="F1464" s="3" t="s">
        <v>21</v>
      </c>
      <c r="G1464" s="3" t="s">
        <v>36</v>
      </c>
      <c r="H1464" s="3" t="s">
        <v>37</v>
      </c>
      <c r="I1464" s="3" t="s">
        <v>24</v>
      </c>
      <c r="J1464" s="3" t="s">
        <v>24</v>
      </c>
      <c r="K1464" s="3" t="s">
        <v>25</v>
      </c>
      <c r="L1464" s="4">
        <v>0</v>
      </c>
      <c r="M1464" s="3" t="s">
        <v>26</v>
      </c>
      <c r="N1464" s="3" t="s">
        <v>24</v>
      </c>
      <c r="O1464" s="4">
        <v>1</v>
      </c>
      <c r="P1464" s="4">
        <v>4</v>
      </c>
      <c r="Q1464" s="4">
        <v>1</v>
      </c>
    </row>
    <row r="1465" spans="1:17" x14ac:dyDescent="0.25">
      <c r="A1465" s="3" t="s">
        <v>18</v>
      </c>
      <c r="B1465" s="3">
        <v>13535057</v>
      </c>
      <c r="C1465" s="3" t="s">
        <v>1508</v>
      </c>
      <c r="D1465" s="3" t="s">
        <v>20</v>
      </c>
      <c r="E1465" s="3" t="s">
        <v>21</v>
      </c>
      <c r="F1465" s="3" t="s">
        <v>21</v>
      </c>
      <c r="G1465" s="3" t="s">
        <v>36</v>
      </c>
      <c r="H1465" s="3" t="s">
        <v>37</v>
      </c>
      <c r="I1465" s="3" t="s">
        <v>24</v>
      </c>
      <c r="J1465" s="3" t="s">
        <v>24</v>
      </c>
      <c r="K1465" s="3" t="s">
        <v>25</v>
      </c>
      <c r="L1465" s="4">
        <v>0</v>
      </c>
      <c r="M1465" s="3" t="s">
        <v>26</v>
      </c>
      <c r="N1465" s="3" t="s">
        <v>24</v>
      </c>
      <c r="O1465" s="4">
        <v>1</v>
      </c>
      <c r="P1465" s="4">
        <v>4</v>
      </c>
      <c r="Q1465" s="4">
        <v>1</v>
      </c>
    </row>
    <row r="1466" spans="1:17" x14ac:dyDescent="0.25">
      <c r="A1466" s="3" t="s">
        <v>18</v>
      </c>
      <c r="B1466" s="3">
        <v>13535139</v>
      </c>
      <c r="C1466" s="3" t="s">
        <v>1509</v>
      </c>
      <c r="D1466" s="3" t="s">
        <v>20</v>
      </c>
      <c r="E1466" s="3" t="s">
        <v>21</v>
      </c>
      <c r="F1466" s="3" t="s">
        <v>21</v>
      </c>
      <c r="G1466" s="3" t="s">
        <v>36</v>
      </c>
      <c r="H1466" s="3" t="s">
        <v>37</v>
      </c>
      <c r="I1466" s="3" t="s">
        <v>24</v>
      </c>
      <c r="J1466" s="3" t="s">
        <v>24</v>
      </c>
      <c r="K1466" s="3" t="s">
        <v>25</v>
      </c>
      <c r="L1466" s="4">
        <v>0</v>
      </c>
      <c r="M1466" s="3" t="s">
        <v>26</v>
      </c>
      <c r="N1466" s="3" t="s">
        <v>24</v>
      </c>
      <c r="O1466" s="4">
        <v>1</v>
      </c>
      <c r="P1466" s="4">
        <v>4</v>
      </c>
      <c r="Q1466" s="4">
        <v>1</v>
      </c>
    </row>
    <row r="1467" spans="1:17" x14ac:dyDescent="0.25">
      <c r="A1467" s="3" t="s">
        <v>18</v>
      </c>
      <c r="B1467" s="3">
        <v>13535142</v>
      </c>
      <c r="C1467" s="3" t="s">
        <v>1510</v>
      </c>
      <c r="D1467" s="3" t="s">
        <v>20</v>
      </c>
      <c r="E1467" s="3" t="s">
        <v>21</v>
      </c>
      <c r="F1467" s="3" t="s">
        <v>21</v>
      </c>
      <c r="G1467" s="3" t="s">
        <v>36</v>
      </c>
      <c r="H1467" s="3" t="s">
        <v>37</v>
      </c>
      <c r="I1467" s="3" t="s">
        <v>24</v>
      </c>
      <c r="J1467" s="3" t="s">
        <v>24</v>
      </c>
      <c r="K1467" s="3" t="s">
        <v>25</v>
      </c>
      <c r="L1467" s="4">
        <v>0</v>
      </c>
      <c r="M1467" s="3" t="s">
        <v>26</v>
      </c>
      <c r="N1467" s="3" t="s">
        <v>24</v>
      </c>
      <c r="O1467" s="4">
        <v>1</v>
      </c>
      <c r="P1467" s="4">
        <v>4</v>
      </c>
      <c r="Q1467" s="4">
        <v>1</v>
      </c>
    </row>
    <row r="1468" spans="1:17" x14ac:dyDescent="0.25">
      <c r="A1468" s="3" t="s">
        <v>18</v>
      </c>
      <c r="B1468" s="3">
        <v>13536210</v>
      </c>
      <c r="C1468" s="3" t="s">
        <v>1511</v>
      </c>
      <c r="D1468" s="3" t="s">
        <v>20</v>
      </c>
      <c r="E1468" s="3" t="s">
        <v>21</v>
      </c>
      <c r="F1468" s="3" t="s">
        <v>21</v>
      </c>
      <c r="G1468" s="3" t="s">
        <v>36</v>
      </c>
      <c r="H1468" s="3" t="s">
        <v>37</v>
      </c>
      <c r="I1468" s="3" t="s">
        <v>24</v>
      </c>
      <c r="J1468" s="3" t="s">
        <v>24</v>
      </c>
      <c r="K1468" s="3" t="s">
        <v>25</v>
      </c>
      <c r="L1468" s="4">
        <v>0</v>
      </c>
      <c r="M1468" s="3" t="s">
        <v>26</v>
      </c>
      <c r="N1468" s="3" t="s">
        <v>24</v>
      </c>
      <c r="O1468" s="4">
        <v>1</v>
      </c>
      <c r="P1468" s="4">
        <v>4</v>
      </c>
      <c r="Q1468" s="4">
        <v>1</v>
      </c>
    </row>
    <row r="1469" spans="1:17" x14ac:dyDescent="0.25">
      <c r="A1469" s="3" t="s">
        <v>18</v>
      </c>
      <c r="B1469" s="3">
        <v>13536636</v>
      </c>
      <c r="C1469" s="3" t="s">
        <v>1512</v>
      </c>
      <c r="D1469" s="3" t="s">
        <v>20</v>
      </c>
      <c r="E1469" s="3" t="s">
        <v>21</v>
      </c>
      <c r="F1469" s="3" t="s">
        <v>21</v>
      </c>
      <c r="G1469" s="3" t="s">
        <v>36</v>
      </c>
      <c r="H1469" s="3" t="s">
        <v>37</v>
      </c>
      <c r="I1469" s="3" t="s">
        <v>24</v>
      </c>
      <c r="J1469" s="3" t="s">
        <v>24</v>
      </c>
      <c r="K1469" s="3" t="s">
        <v>25</v>
      </c>
      <c r="L1469" s="4">
        <v>0</v>
      </c>
      <c r="M1469" s="3" t="s">
        <v>26</v>
      </c>
      <c r="N1469" s="3" t="s">
        <v>24</v>
      </c>
      <c r="O1469" s="4">
        <v>1</v>
      </c>
      <c r="P1469" s="4">
        <v>4</v>
      </c>
      <c r="Q1469" s="4">
        <v>1</v>
      </c>
    </row>
    <row r="1470" spans="1:17" x14ac:dyDescent="0.25">
      <c r="A1470" s="3" t="s">
        <v>18</v>
      </c>
      <c r="B1470" s="3">
        <v>13536637</v>
      </c>
      <c r="C1470" s="3" t="s">
        <v>1513</v>
      </c>
      <c r="D1470" s="3" t="s">
        <v>20</v>
      </c>
      <c r="E1470" s="3" t="s">
        <v>21</v>
      </c>
      <c r="F1470" s="3" t="s">
        <v>21</v>
      </c>
      <c r="G1470" s="3" t="s">
        <v>36</v>
      </c>
      <c r="H1470" s="3" t="s">
        <v>37</v>
      </c>
      <c r="I1470" s="3" t="s">
        <v>24</v>
      </c>
      <c r="J1470" s="3" t="s">
        <v>24</v>
      </c>
      <c r="K1470" s="3" t="s">
        <v>25</v>
      </c>
      <c r="L1470" s="4">
        <v>0</v>
      </c>
      <c r="M1470" s="3" t="s">
        <v>26</v>
      </c>
      <c r="N1470" s="3" t="s">
        <v>24</v>
      </c>
      <c r="O1470" s="4">
        <v>1</v>
      </c>
      <c r="P1470" s="4">
        <v>4</v>
      </c>
      <c r="Q1470" s="4">
        <v>1</v>
      </c>
    </row>
    <row r="1471" spans="1:17" x14ac:dyDescent="0.25">
      <c r="A1471" s="3" t="s">
        <v>18</v>
      </c>
      <c r="B1471" s="3">
        <v>13536868</v>
      </c>
      <c r="C1471" s="3" t="s">
        <v>1514</v>
      </c>
      <c r="D1471" s="3" t="s">
        <v>20</v>
      </c>
      <c r="E1471" s="3" t="s">
        <v>21</v>
      </c>
      <c r="F1471" s="3" t="s">
        <v>21</v>
      </c>
      <c r="G1471" s="3" t="s">
        <v>36</v>
      </c>
      <c r="H1471" s="3" t="s">
        <v>37</v>
      </c>
      <c r="I1471" s="3" t="s">
        <v>24</v>
      </c>
      <c r="J1471" s="3" t="s">
        <v>24</v>
      </c>
      <c r="K1471" s="3" t="s">
        <v>25</v>
      </c>
      <c r="L1471" s="4">
        <v>0</v>
      </c>
      <c r="M1471" s="3" t="s">
        <v>26</v>
      </c>
      <c r="N1471" s="3" t="s">
        <v>24</v>
      </c>
      <c r="O1471" s="4">
        <v>1</v>
      </c>
      <c r="P1471" s="4">
        <v>4</v>
      </c>
      <c r="Q1471" s="4">
        <v>1</v>
      </c>
    </row>
    <row r="1472" spans="1:17" x14ac:dyDescent="0.25">
      <c r="A1472" s="3" t="s">
        <v>18</v>
      </c>
      <c r="B1472" s="3">
        <v>13536870</v>
      </c>
      <c r="C1472" s="3" t="s">
        <v>1515</v>
      </c>
      <c r="D1472" s="3" t="s">
        <v>20</v>
      </c>
      <c r="E1472" s="3" t="s">
        <v>21</v>
      </c>
      <c r="F1472" s="3" t="s">
        <v>21</v>
      </c>
      <c r="G1472" s="3" t="s">
        <v>36</v>
      </c>
      <c r="H1472" s="3" t="s">
        <v>37</v>
      </c>
      <c r="I1472" s="3" t="s">
        <v>24</v>
      </c>
      <c r="J1472" s="3" t="s">
        <v>24</v>
      </c>
      <c r="K1472" s="3" t="s">
        <v>25</v>
      </c>
      <c r="L1472" s="4">
        <v>0</v>
      </c>
      <c r="M1472" s="3" t="s">
        <v>26</v>
      </c>
      <c r="N1472" s="3" t="s">
        <v>24</v>
      </c>
      <c r="O1472" s="4">
        <v>1</v>
      </c>
      <c r="P1472" s="4">
        <v>4</v>
      </c>
      <c r="Q1472" s="4">
        <v>1</v>
      </c>
    </row>
    <row r="1473" spans="1:17" x14ac:dyDescent="0.25">
      <c r="A1473" s="3" t="s">
        <v>18</v>
      </c>
      <c r="B1473" s="3">
        <v>13536871</v>
      </c>
      <c r="C1473" s="3" t="s">
        <v>1516</v>
      </c>
      <c r="D1473" s="3" t="s">
        <v>20</v>
      </c>
      <c r="E1473" s="3" t="s">
        <v>21</v>
      </c>
      <c r="F1473" s="3" t="s">
        <v>21</v>
      </c>
      <c r="G1473" s="3" t="s">
        <v>36</v>
      </c>
      <c r="H1473" s="3" t="s">
        <v>37</v>
      </c>
      <c r="I1473" s="3" t="s">
        <v>24</v>
      </c>
      <c r="J1473" s="3" t="s">
        <v>24</v>
      </c>
      <c r="K1473" s="3" t="s">
        <v>25</v>
      </c>
      <c r="L1473" s="4">
        <v>0</v>
      </c>
      <c r="M1473" s="3" t="s">
        <v>26</v>
      </c>
      <c r="N1473" s="3" t="s">
        <v>24</v>
      </c>
      <c r="O1473" s="4">
        <v>1</v>
      </c>
      <c r="P1473" s="4">
        <v>4</v>
      </c>
      <c r="Q1473" s="4">
        <v>1</v>
      </c>
    </row>
    <row r="1474" spans="1:17" x14ac:dyDescent="0.25">
      <c r="A1474" s="3" t="s">
        <v>18</v>
      </c>
      <c r="B1474" s="3">
        <v>13536872</v>
      </c>
      <c r="C1474" s="3" t="s">
        <v>1517</v>
      </c>
      <c r="D1474" s="3" t="s">
        <v>20</v>
      </c>
      <c r="E1474" s="3" t="s">
        <v>21</v>
      </c>
      <c r="F1474" s="3" t="s">
        <v>21</v>
      </c>
      <c r="G1474" s="3" t="s">
        <v>36</v>
      </c>
      <c r="H1474" s="3" t="s">
        <v>37</v>
      </c>
      <c r="I1474" s="3" t="s">
        <v>24</v>
      </c>
      <c r="J1474" s="3" t="s">
        <v>24</v>
      </c>
      <c r="K1474" s="3" t="s">
        <v>25</v>
      </c>
      <c r="L1474" s="4">
        <v>0</v>
      </c>
      <c r="M1474" s="3" t="s">
        <v>26</v>
      </c>
      <c r="N1474" s="3" t="s">
        <v>24</v>
      </c>
      <c r="O1474" s="4">
        <v>1</v>
      </c>
      <c r="P1474" s="4">
        <v>4</v>
      </c>
      <c r="Q1474" s="4">
        <v>1</v>
      </c>
    </row>
    <row r="1475" spans="1:17" x14ac:dyDescent="0.25">
      <c r="A1475" s="3" t="s">
        <v>18</v>
      </c>
      <c r="B1475" s="3">
        <v>13536873</v>
      </c>
      <c r="C1475" s="3" t="s">
        <v>1518</v>
      </c>
      <c r="D1475" s="3" t="s">
        <v>20</v>
      </c>
      <c r="E1475" s="3" t="s">
        <v>21</v>
      </c>
      <c r="F1475" s="3" t="s">
        <v>21</v>
      </c>
      <c r="G1475" s="3" t="s">
        <v>36</v>
      </c>
      <c r="H1475" s="3" t="s">
        <v>37</v>
      </c>
      <c r="I1475" s="3" t="s">
        <v>24</v>
      </c>
      <c r="J1475" s="3" t="s">
        <v>24</v>
      </c>
      <c r="K1475" s="3" t="s">
        <v>25</v>
      </c>
      <c r="L1475" s="4">
        <v>0</v>
      </c>
      <c r="M1475" s="3" t="s">
        <v>26</v>
      </c>
      <c r="N1475" s="3" t="s">
        <v>24</v>
      </c>
      <c r="O1475" s="4">
        <v>1</v>
      </c>
      <c r="P1475" s="4">
        <v>4</v>
      </c>
      <c r="Q1475" s="4">
        <v>1</v>
      </c>
    </row>
    <row r="1476" spans="1:17" x14ac:dyDescent="0.25">
      <c r="A1476" s="3" t="s">
        <v>18</v>
      </c>
      <c r="B1476" s="3">
        <v>13536874</v>
      </c>
      <c r="C1476" s="3" t="s">
        <v>1519</v>
      </c>
      <c r="D1476" s="3" t="s">
        <v>20</v>
      </c>
      <c r="E1476" s="3" t="s">
        <v>21</v>
      </c>
      <c r="F1476" s="3" t="s">
        <v>21</v>
      </c>
      <c r="G1476" s="3" t="s">
        <v>36</v>
      </c>
      <c r="H1476" s="3" t="s">
        <v>37</v>
      </c>
      <c r="I1476" s="3" t="s">
        <v>24</v>
      </c>
      <c r="J1476" s="3" t="s">
        <v>24</v>
      </c>
      <c r="K1476" s="3" t="s">
        <v>25</v>
      </c>
      <c r="L1476" s="4">
        <v>0</v>
      </c>
      <c r="M1476" s="3" t="s">
        <v>26</v>
      </c>
      <c r="N1476" s="3" t="s">
        <v>24</v>
      </c>
      <c r="O1476" s="4">
        <v>1</v>
      </c>
      <c r="P1476" s="4">
        <v>4</v>
      </c>
      <c r="Q1476" s="4">
        <v>1</v>
      </c>
    </row>
    <row r="1477" spans="1:17" x14ac:dyDescent="0.25">
      <c r="A1477" s="3" t="s">
        <v>18</v>
      </c>
      <c r="B1477" s="3">
        <v>13536876</v>
      </c>
      <c r="C1477" s="3" t="s">
        <v>1520</v>
      </c>
      <c r="D1477" s="3" t="s">
        <v>20</v>
      </c>
      <c r="E1477" s="3" t="s">
        <v>21</v>
      </c>
      <c r="F1477" s="3" t="s">
        <v>21</v>
      </c>
      <c r="G1477" s="3" t="s">
        <v>36</v>
      </c>
      <c r="H1477" s="3" t="s">
        <v>37</v>
      </c>
      <c r="I1477" s="3" t="s">
        <v>24</v>
      </c>
      <c r="J1477" s="3" t="s">
        <v>24</v>
      </c>
      <c r="K1477" s="3" t="s">
        <v>25</v>
      </c>
      <c r="L1477" s="4">
        <v>0</v>
      </c>
      <c r="M1477" s="3" t="s">
        <v>26</v>
      </c>
      <c r="N1477" s="3" t="s">
        <v>24</v>
      </c>
      <c r="O1477" s="4">
        <v>1</v>
      </c>
      <c r="P1477" s="4">
        <v>4</v>
      </c>
      <c r="Q1477" s="4">
        <v>1</v>
      </c>
    </row>
    <row r="1478" spans="1:17" x14ac:dyDescent="0.25">
      <c r="A1478" s="3" t="s">
        <v>18</v>
      </c>
      <c r="B1478" s="3">
        <v>13536877</v>
      </c>
      <c r="C1478" s="3" t="s">
        <v>1521</v>
      </c>
      <c r="D1478" s="3" t="s">
        <v>20</v>
      </c>
      <c r="E1478" s="3" t="s">
        <v>21</v>
      </c>
      <c r="F1478" s="3" t="s">
        <v>21</v>
      </c>
      <c r="G1478" s="3" t="s">
        <v>36</v>
      </c>
      <c r="H1478" s="3" t="s">
        <v>37</v>
      </c>
      <c r="I1478" s="3" t="s">
        <v>24</v>
      </c>
      <c r="J1478" s="3" t="s">
        <v>24</v>
      </c>
      <c r="K1478" s="3" t="s">
        <v>25</v>
      </c>
      <c r="L1478" s="4">
        <v>0</v>
      </c>
      <c r="M1478" s="3" t="s">
        <v>26</v>
      </c>
      <c r="N1478" s="3" t="s">
        <v>24</v>
      </c>
      <c r="O1478" s="4">
        <v>1</v>
      </c>
      <c r="P1478" s="4">
        <v>4</v>
      </c>
      <c r="Q1478" s="4">
        <v>1</v>
      </c>
    </row>
    <row r="1479" spans="1:17" x14ac:dyDescent="0.25">
      <c r="A1479" s="3" t="s">
        <v>18</v>
      </c>
      <c r="B1479" s="3">
        <v>13536908</v>
      </c>
      <c r="C1479" s="3" t="s">
        <v>1522</v>
      </c>
      <c r="D1479" s="3" t="s">
        <v>20</v>
      </c>
      <c r="E1479" s="3" t="s">
        <v>21</v>
      </c>
      <c r="F1479" s="3" t="s">
        <v>21</v>
      </c>
      <c r="G1479" s="3" t="s">
        <v>36</v>
      </c>
      <c r="H1479" s="3" t="s">
        <v>37</v>
      </c>
      <c r="I1479" s="3" t="s">
        <v>24</v>
      </c>
      <c r="J1479" s="3" t="s">
        <v>24</v>
      </c>
      <c r="K1479" s="3" t="s">
        <v>25</v>
      </c>
      <c r="L1479" s="4">
        <v>0</v>
      </c>
      <c r="M1479" s="3" t="s">
        <v>26</v>
      </c>
      <c r="N1479" s="3" t="s">
        <v>24</v>
      </c>
      <c r="O1479" s="4">
        <v>1</v>
      </c>
      <c r="P1479" s="4">
        <v>4</v>
      </c>
      <c r="Q1479" s="4">
        <v>1</v>
      </c>
    </row>
    <row r="1480" spans="1:17" x14ac:dyDescent="0.25">
      <c r="A1480" s="3" t="s">
        <v>18</v>
      </c>
      <c r="B1480" s="3">
        <v>13536909</v>
      </c>
      <c r="C1480" s="3" t="s">
        <v>1523</v>
      </c>
      <c r="D1480" s="3" t="s">
        <v>20</v>
      </c>
      <c r="E1480" s="3" t="s">
        <v>21</v>
      </c>
      <c r="F1480" s="3" t="s">
        <v>21</v>
      </c>
      <c r="G1480" s="3" t="s">
        <v>36</v>
      </c>
      <c r="H1480" s="3" t="s">
        <v>37</v>
      </c>
      <c r="I1480" s="3" t="s">
        <v>24</v>
      </c>
      <c r="J1480" s="3" t="s">
        <v>24</v>
      </c>
      <c r="K1480" s="3" t="s">
        <v>25</v>
      </c>
      <c r="L1480" s="4">
        <v>0</v>
      </c>
      <c r="M1480" s="3" t="s">
        <v>26</v>
      </c>
      <c r="N1480" s="3" t="s">
        <v>24</v>
      </c>
      <c r="O1480" s="4">
        <v>1</v>
      </c>
      <c r="P1480" s="4">
        <v>4</v>
      </c>
      <c r="Q1480" s="4">
        <v>1</v>
      </c>
    </row>
    <row r="1481" spans="1:17" x14ac:dyDescent="0.25">
      <c r="A1481" s="3" t="s">
        <v>18</v>
      </c>
      <c r="B1481" s="3">
        <v>13536910</v>
      </c>
      <c r="C1481" s="3" t="s">
        <v>1524</v>
      </c>
      <c r="D1481" s="3" t="s">
        <v>20</v>
      </c>
      <c r="E1481" s="3" t="s">
        <v>21</v>
      </c>
      <c r="F1481" s="3" t="s">
        <v>21</v>
      </c>
      <c r="G1481" s="3" t="s">
        <v>36</v>
      </c>
      <c r="H1481" s="3" t="s">
        <v>37</v>
      </c>
      <c r="I1481" s="3" t="s">
        <v>24</v>
      </c>
      <c r="J1481" s="3" t="s">
        <v>24</v>
      </c>
      <c r="K1481" s="3" t="s">
        <v>25</v>
      </c>
      <c r="L1481" s="4">
        <v>0</v>
      </c>
      <c r="M1481" s="3" t="s">
        <v>26</v>
      </c>
      <c r="N1481" s="3" t="s">
        <v>24</v>
      </c>
      <c r="O1481" s="4">
        <v>1</v>
      </c>
      <c r="P1481" s="4">
        <v>4</v>
      </c>
      <c r="Q1481" s="4">
        <v>1</v>
      </c>
    </row>
    <row r="1482" spans="1:17" x14ac:dyDescent="0.25">
      <c r="A1482" s="3" t="s">
        <v>18</v>
      </c>
      <c r="B1482" s="3">
        <v>13536912</v>
      </c>
      <c r="C1482" s="3" t="s">
        <v>1525</v>
      </c>
      <c r="D1482" s="3" t="s">
        <v>20</v>
      </c>
      <c r="E1482" s="3" t="s">
        <v>21</v>
      </c>
      <c r="F1482" s="3" t="s">
        <v>21</v>
      </c>
      <c r="G1482" s="3" t="s">
        <v>36</v>
      </c>
      <c r="H1482" s="3" t="s">
        <v>37</v>
      </c>
      <c r="I1482" s="3" t="s">
        <v>24</v>
      </c>
      <c r="J1482" s="3" t="s">
        <v>24</v>
      </c>
      <c r="K1482" s="3" t="s">
        <v>25</v>
      </c>
      <c r="L1482" s="4">
        <v>0</v>
      </c>
      <c r="M1482" s="3" t="s">
        <v>26</v>
      </c>
      <c r="N1482" s="3" t="s">
        <v>24</v>
      </c>
      <c r="O1482" s="4">
        <v>1</v>
      </c>
      <c r="P1482" s="4">
        <v>4</v>
      </c>
      <c r="Q1482" s="4">
        <v>1</v>
      </c>
    </row>
    <row r="1483" spans="1:17" x14ac:dyDescent="0.25">
      <c r="A1483" s="3" t="s">
        <v>18</v>
      </c>
      <c r="B1483" s="3">
        <v>13536914</v>
      </c>
      <c r="C1483" s="3" t="s">
        <v>1526</v>
      </c>
      <c r="D1483" s="3" t="s">
        <v>20</v>
      </c>
      <c r="E1483" s="3" t="s">
        <v>21</v>
      </c>
      <c r="F1483" s="3" t="s">
        <v>21</v>
      </c>
      <c r="G1483" s="3" t="s">
        <v>36</v>
      </c>
      <c r="H1483" s="3" t="s">
        <v>37</v>
      </c>
      <c r="I1483" s="3" t="s">
        <v>24</v>
      </c>
      <c r="J1483" s="3" t="s">
        <v>24</v>
      </c>
      <c r="K1483" s="3" t="s">
        <v>25</v>
      </c>
      <c r="L1483" s="4">
        <v>0</v>
      </c>
      <c r="M1483" s="3" t="s">
        <v>26</v>
      </c>
      <c r="N1483" s="3" t="s">
        <v>24</v>
      </c>
      <c r="O1483" s="4">
        <v>1</v>
      </c>
      <c r="P1483" s="4">
        <v>4</v>
      </c>
      <c r="Q1483" s="4">
        <v>1</v>
      </c>
    </row>
    <row r="1484" spans="1:17" x14ac:dyDescent="0.25">
      <c r="A1484" s="3" t="s">
        <v>18</v>
      </c>
      <c r="B1484" s="3">
        <v>13536915</v>
      </c>
      <c r="C1484" s="3" t="s">
        <v>1527</v>
      </c>
      <c r="D1484" s="3" t="s">
        <v>20</v>
      </c>
      <c r="E1484" s="3" t="s">
        <v>21</v>
      </c>
      <c r="F1484" s="3" t="s">
        <v>21</v>
      </c>
      <c r="G1484" s="3" t="s">
        <v>36</v>
      </c>
      <c r="H1484" s="3" t="s">
        <v>37</v>
      </c>
      <c r="I1484" s="3" t="s">
        <v>24</v>
      </c>
      <c r="J1484" s="3" t="s">
        <v>24</v>
      </c>
      <c r="K1484" s="3" t="s">
        <v>25</v>
      </c>
      <c r="L1484" s="4">
        <v>0</v>
      </c>
      <c r="M1484" s="3" t="s">
        <v>26</v>
      </c>
      <c r="N1484" s="3" t="s">
        <v>24</v>
      </c>
      <c r="O1484" s="4">
        <v>1</v>
      </c>
      <c r="P1484" s="4">
        <v>4</v>
      </c>
      <c r="Q1484" s="4">
        <v>1</v>
      </c>
    </row>
    <row r="1485" spans="1:17" x14ac:dyDescent="0.25">
      <c r="A1485" s="3" t="s">
        <v>18</v>
      </c>
      <c r="B1485" s="3">
        <v>13536916</v>
      </c>
      <c r="C1485" s="3" t="s">
        <v>1528</v>
      </c>
      <c r="D1485" s="3" t="s">
        <v>20</v>
      </c>
      <c r="E1485" s="3" t="s">
        <v>21</v>
      </c>
      <c r="F1485" s="3" t="s">
        <v>21</v>
      </c>
      <c r="G1485" s="3" t="s">
        <v>36</v>
      </c>
      <c r="H1485" s="3" t="s">
        <v>37</v>
      </c>
      <c r="I1485" s="3" t="s">
        <v>24</v>
      </c>
      <c r="J1485" s="3" t="s">
        <v>24</v>
      </c>
      <c r="K1485" s="3" t="s">
        <v>25</v>
      </c>
      <c r="L1485" s="4">
        <v>0</v>
      </c>
      <c r="M1485" s="3" t="s">
        <v>26</v>
      </c>
      <c r="N1485" s="3" t="s">
        <v>24</v>
      </c>
      <c r="O1485" s="4">
        <v>1</v>
      </c>
      <c r="P1485" s="4">
        <v>4</v>
      </c>
      <c r="Q1485" s="4">
        <v>1</v>
      </c>
    </row>
    <row r="1486" spans="1:17" x14ac:dyDescent="0.25">
      <c r="A1486" s="3" t="s">
        <v>18</v>
      </c>
      <c r="B1486" s="3">
        <v>13536939</v>
      </c>
      <c r="C1486" s="3" t="s">
        <v>1529</v>
      </c>
      <c r="D1486" s="3" t="s">
        <v>20</v>
      </c>
      <c r="E1486" s="3" t="s">
        <v>21</v>
      </c>
      <c r="F1486" s="3" t="s">
        <v>21</v>
      </c>
      <c r="G1486" s="3" t="s">
        <v>36</v>
      </c>
      <c r="H1486" s="3" t="s">
        <v>37</v>
      </c>
      <c r="I1486" s="3" t="s">
        <v>24</v>
      </c>
      <c r="J1486" s="3" t="s">
        <v>24</v>
      </c>
      <c r="K1486" s="3" t="s">
        <v>25</v>
      </c>
      <c r="L1486" s="4">
        <v>0</v>
      </c>
      <c r="M1486" s="3" t="s">
        <v>26</v>
      </c>
      <c r="N1486" s="3" t="s">
        <v>24</v>
      </c>
      <c r="O1486" s="4">
        <v>1</v>
      </c>
      <c r="P1486" s="4">
        <v>4</v>
      </c>
      <c r="Q1486" s="4">
        <v>1</v>
      </c>
    </row>
    <row r="1487" spans="1:17" x14ac:dyDescent="0.25">
      <c r="A1487" s="3" t="s">
        <v>18</v>
      </c>
      <c r="B1487" s="3">
        <v>13536940</v>
      </c>
      <c r="C1487" s="3" t="s">
        <v>1530</v>
      </c>
      <c r="D1487" s="3" t="s">
        <v>20</v>
      </c>
      <c r="E1487" s="3" t="s">
        <v>21</v>
      </c>
      <c r="F1487" s="3" t="s">
        <v>21</v>
      </c>
      <c r="G1487" s="3" t="s">
        <v>36</v>
      </c>
      <c r="H1487" s="3" t="s">
        <v>37</v>
      </c>
      <c r="I1487" s="3" t="s">
        <v>24</v>
      </c>
      <c r="J1487" s="3" t="s">
        <v>24</v>
      </c>
      <c r="K1487" s="3" t="s">
        <v>25</v>
      </c>
      <c r="L1487" s="4">
        <v>0</v>
      </c>
      <c r="M1487" s="3" t="s">
        <v>26</v>
      </c>
      <c r="N1487" s="3" t="s">
        <v>24</v>
      </c>
      <c r="O1487" s="4">
        <v>1</v>
      </c>
      <c r="P1487" s="4">
        <v>4</v>
      </c>
      <c r="Q1487" s="4">
        <v>1</v>
      </c>
    </row>
    <row r="1488" spans="1:17" x14ac:dyDescent="0.25">
      <c r="A1488" s="3" t="s">
        <v>18</v>
      </c>
      <c r="B1488" s="3">
        <v>13536941</v>
      </c>
      <c r="C1488" s="3" t="s">
        <v>1531</v>
      </c>
      <c r="D1488" s="3" t="s">
        <v>20</v>
      </c>
      <c r="E1488" s="3" t="s">
        <v>21</v>
      </c>
      <c r="F1488" s="3" t="s">
        <v>21</v>
      </c>
      <c r="G1488" s="3" t="s">
        <v>36</v>
      </c>
      <c r="H1488" s="3" t="s">
        <v>37</v>
      </c>
      <c r="I1488" s="3" t="s">
        <v>24</v>
      </c>
      <c r="J1488" s="3" t="s">
        <v>24</v>
      </c>
      <c r="K1488" s="3" t="s">
        <v>25</v>
      </c>
      <c r="L1488" s="4">
        <v>0</v>
      </c>
      <c r="M1488" s="3" t="s">
        <v>26</v>
      </c>
      <c r="N1488" s="3" t="s">
        <v>24</v>
      </c>
      <c r="O1488" s="4">
        <v>1</v>
      </c>
      <c r="P1488" s="4">
        <v>4</v>
      </c>
      <c r="Q1488" s="4">
        <v>1</v>
      </c>
    </row>
    <row r="1489" spans="1:17" x14ac:dyDescent="0.25">
      <c r="A1489" s="3" t="s">
        <v>18</v>
      </c>
      <c r="B1489" s="3">
        <v>13536942</v>
      </c>
      <c r="C1489" s="3" t="s">
        <v>1532</v>
      </c>
      <c r="D1489" s="3" t="s">
        <v>20</v>
      </c>
      <c r="E1489" s="3" t="s">
        <v>21</v>
      </c>
      <c r="F1489" s="3" t="s">
        <v>21</v>
      </c>
      <c r="G1489" s="3" t="s">
        <v>36</v>
      </c>
      <c r="H1489" s="3" t="s">
        <v>37</v>
      </c>
      <c r="I1489" s="3" t="s">
        <v>24</v>
      </c>
      <c r="J1489" s="3" t="s">
        <v>24</v>
      </c>
      <c r="K1489" s="3" t="s">
        <v>25</v>
      </c>
      <c r="L1489" s="4">
        <v>0</v>
      </c>
      <c r="M1489" s="3" t="s">
        <v>26</v>
      </c>
      <c r="N1489" s="3" t="s">
        <v>24</v>
      </c>
      <c r="O1489" s="4">
        <v>1</v>
      </c>
      <c r="P1489" s="4">
        <v>4</v>
      </c>
      <c r="Q1489" s="4">
        <v>1</v>
      </c>
    </row>
    <row r="1490" spans="1:17" x14ac:dyDescent="0.25">
      <c r="A1490" s="3" t="s">
        <v>18</v>
      </c>
      <c r="B1490" s="3">
        <v>13536943</v>
      </c>
      <c r="C1490" s="3" t="s">
        <v>1533</v>
      </c>
      <c r="D1490" s="3" t="s">
        <v>20</v>
      </c>
      <c r="E1490" s="3" t="s">
        <v>21</v>
      </c>
      <c r="F1490" s="3" t="s">
        <v>21</v>
      </c>
      <c r="G1490" s="3" t="s">
        <v>36</v>
      </c>
      <c r="H1490" s="3" t="s">
        <v>37</v>
      </c>
      <c r="I1490" s="3" t="s">
        <v>24</v>
      </c>
      <c r="J1490" s="3" t="s">
        <v>24</v>
      </c>
      <c r="K1490" s="3" t="s">
        <v>25</v>
      </c>
      <c r="L1490" s="4">
        <v>0</v>
      </c>
      <c r="M1490" s="3" t="s">
        <v>26</v>
      </c>
      <c r="N1490" s="3" t="s">
        <v>24</v>
      </c>
      <c r="O1490" s="4">
        <v>1</v>
      </c>
      <c r="P1490" s="4">
        <v>4</v>
      </c>
      <c r="Q1490" s="4">
        <v>1</v>
      </c>
    </row>
    <row r="1491" spans="1:17" x14ac:dyDescent="0.25">
      <c r="A1491" s="3" t="s">
        <v>18</v>
      </c>
      <c r="B1491" s="3">
        <v>13536944</v>
      </c>
      <c r="C1491" s="3" t="s">
        <v>1534</v>
      </c>
      <c r="D1491" s="3" t="s">
        <v>20</v>
      </c>
      <c r="E1491" s="3" t="s">
        <v>21</v>
      </c>
      <c r="F1491" s="3" t="s">
        <v>21</v>
      </c>
      <c r="G1491" s="3" t="s">
        <v>36</v>
      </c>
      <c r="H1491" s="3" t="s">
        <v>37</v>
      </c>
      <c r="I1491" s="3" t="s">
        <v>24</v>
      </c>
      <c r="J1491" s="3" t="s">
        <v>24</v>
      </c>
      <c r="K1491" s="3" t="s">
        <v>25</v>
      </c>
      <c r="L1491" s="4">
        <v>0</v>
      </c>
      <c r="M1491" s="3" t="s">
        <v>26</v>
      </c>
      <c r="N1491" s="3" t="s">
        <v>24</v>
      </c>
      <c r="O1491" s="4">
        <v>1</v>
      </c>
      <c r="P1491" s="4">
        <v>4</v>
      </c>
      <c r="Q1491" s="4">
        <v>1</v>
      </c>
    </row>
    <row r="1492" spans="1:17" x14ac:dyDescent="0.25">
      <c r="A1492" s="3" t="s">
        <v>18</v>
      </c>
      <c r="B1492" s="3">
        <v>13536947</v>
      </c>
      <c r="C1492" s="3" t="s">
        <v>1535</v>
      </c>
      <c r="D1492" s="3" t="s">
        <v>20</v>
      </c>
      <c r="E1492" s="3" t="s">
        <v>21</v>
      </c>
      <c r="F1492" s="3" t="s">
        <v>21</v>
      </c>
      <c r="G1492" s="3" t="s">
        <v>36</v>
      </c>
      <c r="H1492" s="3" t="s">
        <v>37</v>
      </c>
      <c r="I1492" s="3" t="s">
        <v>24</v>
      </c>
      <c r="J1492" s="3" t="s">
        <v>24</v>
      </c>
      <c r="K1492" s="3" t="s">
        <v>25</v>
      </c>
      <c r="L1492" s="4">
        <v>0</v>
      </c>
      <c r="M1492" s="3" t="s">
        <v>26</v>
      </c>
      <c r="N1492" s="3" t="s">
        <v>24</v>
      </c>
      <c r="O1492" s="4">
        <v>1</v>
      </c>
      <c r="P1492" s="4">
        <v>4</v>
      </c>
      <c r="Q1492" s="4">
        <v>1</v>
      </c>
    </row>
    <row r="1493" spans="1:17" x14ac:dyDescent="0.25">
      <c r="A1493" s="3" t="s">
        <v>18</v>
      </c>
      <c r="B1493" s="3">
        <v>13536968</v>
      </c>
      <c r="C1493" s="3" t="s">
        <v>1536</v>
      </c>
      <c r="D1493" s="3" t="s">
        <v>20</v>
      </c>
      <c r="E1493" s="3" t="s">
        <v>21</v>
      </c>
      <c r="F1493" s="3" t="s">
        <v>21</v>
      </c>
      <c r="G1493" s="3" t="s">
        <v>36</v>
      </c>
      <c r="H1493" s="3" t="s">
        <v>37</v>
      </c>
      <c r="I1493" s="3" t="s">
        <v>24</v>
      </c>
      <c r="J1493" s="3" t="s">
        <v>24</v>
      </c>
      <c r="K1493" s="3" t="s">
        <v>25</v>
      </c>
      <c r="L1493" s="4">
        <v>0</v>
      </c>
      <c r="M1493" s="3" t="s">
        <v>26</v>
      </c>
      <c r="N1493" s="3" t="s">
        <v>24</v>
      </c>
      <c r="O1493" s="4">
        <v>1</v>
      </c>
      <c r="P1493" s="4">
        <v>4</v>
      </c>
      <c r="Q1493" s="4">
        <v>1</v>
      </c>
    </row>
    <row r="1494" spans="1:17" x14ac:dyDescent="0.25">
      <c r="A1494" s="3" t="s">
        <v>18</v>
      </c>
      <c r="B1494" s="3">
        <v>13536969</v>
      </c>
      <c r="C1494" s="3" t="s">
        <v>1537</v>
      </c>
      <c r="D1494" s="3" t="s">
        <v>20</v>
      </c>
      <c r="E1494" s="3" t="s">
        <v>21</v>
      </c>
      <c r="F1494" s="3" t="s">
        <v>21</v>
      </c>
      <c r="G1494" s="3" t="s">
        <v>36</v>
      </c>
      <c r="H1494" s="3" t="s">
        <v>37</v>
      </c>
      <c r="I1494" s="3" t="s">
        <v>24</v>
      </c>
      <c r="J1494" s="3" t="s">
        <v>24</v>
      </c>
      <c r="K1494" s="3" t="s">
        <v>25</v>
      </c>
      <c r="L1494" s="4">
        <v>0</v>
      </c>
      <c r="M1494" s="3" t="s">
        <v>26</v>
      </c>
      <c r="N1494" s="3" t="s">
        <v>24</v>
      </c>
      <c r="O1494" s="4">
        <v>1</v>
      </c>
      <c r="P1494" s="4">
        <v>4</v>
      </c>
      <c r="Q1494" s="4">
        <v>1</v>
      </c>
    </row>
    <row r="1495" spans="1:17" x14ac:dyDescent="0.25">
      <c r="A1495" s="3" t="s">
        <v>18</v>
      </c>
      <c r="B1495" s="3">
        <v>13536970</v>
      </c>
      <c r="C1495" s="3" t="s">
        <v>1538</v>
      </c>
      <c r="D1495" s="3" t="s">
        <v>20</v>
      </c>
      <c r="E1495" s="3" t="s">
        <v>21</v>
      </c>
      <c r="F1495" s="3" t="s">
        <v>21</v>
      </c>
      <c r="G1495" s="3" t="s">
        <v>36</v>
      </c>
      <c r="H1495" s="3" t="s">
        <v>37</v>
      </c>
      <c r="I1495" s="3" t="s">
        <v>24</v>
      </c>
      <c r="J1495" s="3" t="s">
        <v>24</v>
      </c>
      <c r="K1495" s="3" t="s">
        <v>25</v>
      </c>
      <c r="L1495" s="4">
        <v>0</v>
      </c>
      <c r="M1495" s="3" t="s">
        <v>26</v>
      </c>
      <c r="N1495" s="3" t="s">
        <v>24</v>
      </c>
      <c r="O1495" s="4">
        <v>1</v>
      </c>
      <c r="P1495" s="4">
        <v>4</v>
      </c>
      <c r="Q1495" s="4">
        <v>1</v>
      </c>
    </row>
    <row r="1496" spans="1:17" x14ac:dyDescent="0.25">
      <c r="A1496" s="3" t="s">
        <v>18</v>
      </c>
      <c r="B1496" s="3">
        <v>13537270</v>
      </c>
      <c r="C1496" s="3" t="s">
        <v>1539</v>
      </c>
      <c r="D1496" s="3" t="s">
        <v>20</v>
      </c>
      <c r="E1496" s="3" t="s">
        <v>21</v>
      </c>
      <c r="F1496" s="3" t="s">
        <v>21</v>
      </c>
      <c r="G1496" s="3" t="s">
        <v>36</v>
      </c>
      <c r="H1496" s="3" t="s">
        <v>37</v>
      </c>
      <c r="I1496" s="3" t="s">
        <v>24</v>
      </c>
      <c r="J1496" s="3" t="s">
        <v>24</v>
      </c>
      <c r="K1496" s="3" t="s">
        <v>25</v>
      </c>
      <c r="L1496" s="4">
        <v>0</v>
      </c>
      <c r="M1496" s="3" t="s">
        <v>26</v>
      </c>
      <c r="N1496" s="3" t="s">
        <v>24</v>
      </c>
      <c r="O1496" s="4">
        <v>1</v>
      </c>
      <c r="P1496" s="4">
        <v>4</v>
      </c>
      <c r="Q1496" s="4">
        <v>1</v>
      </c>
    </row>
    <row r="1497" spans="1:17" x14ac:dyDescent="0.25">
      <c r="A1497" s="3" t="s">
        <v>18</v>
      </c>
      <c r="B1497" s="3">
        <v>13537271</v>
      </c>
      <c r="C1497" s="3" t="s">
        <v>1540</v>
      </c>
      <c r="D1497" s="3" t="s">
        <v>20</v>
      </c>
      <c r="E1497" s="3" t="s">
        <v>21</v>
      </c>
      <c r="F1497" s="3" t="s">
        <v>21</v>
      </c>
      <c r="G1497" s="3" t="s">
        <v>36</v>
      </c>
      <c r="H1497" s="3" t="s">
        <v>37</v>
      </c>
      <c r="I1497" s="3" t="s">
        <v>24</v>
      </c>
      <c r="J1497" s="3" t="s">
        <v>24</v>
      </c>
      <c r="K1497" s="3" t="s">
        <v>25</v>
      </c>
      <c r="L1497" s="4">
        <v>0</v>
      </c>
      <c r="M1497" s="3" t="s">
        <v>26</v>
      </c>
      <c r="N1497" s="3" t="s">
        <v>24</v>
      </c>
      <c r="O1497" s="4">
        <v>1</v>
      </c>
      <c r="P1497" s="4">
        <v>4</v>
      </c>
      <c r="Q1497" s="4">
        <v>1</v>
      </c>
    </row>
    <row r="1498" spans="1:17" x14ac:dyDescent="0.25">
      <c r="A1498" s="3" t="s">
        <v>18</v>
      </c>
      <c r="B1498" s="3">
        <v>13537272</v>
      </c>
      <c r="C1498" s="3" t="s">
        <v>1541</v>
      </c>
      <c r="D1498" s="3" t="s">
        <v>20</v>
      </c>
      <c r="E1498" s="3" t="s">
        <v>21</v>
      </c>
      <c r="F1498" s="3" t="s">
        <v>21</v>
      </c>
      <c r="G1498" s="3" t="s">
        <v>36</v>
      </c>
      <c r="H1498" s="3" t="s">
        <v>37</v>
      </c>
      <c r="I1498" s="3" t="s">
        <v>24</v>
      </c>
      <c r="J1498" s="3" t="s">
        <v>24</v>
      </c>
      <c r="K1498" s="3" t="s">
        <v>25</v>
      </c>
      <c r="L1498" s="4">
        <v>0</v>
      </c>
      <c r="M1498" s="3" t="s">
        <v>26</v>
      </c>
      <c r="N1498" s="3" t="s">
        <v>24</v>
      </c>
      <c r="O1498" s="4">
        <v>1</v>
      </c>
      <c r="P1498" s="4">
        <v>4</v>
      </c>
      <c r="Q1498" s="4">
        <v>1</v>
      </c>
    </row>
    <row r="1499" spans="1:17" x14ac:dyDescent="0.25">
      <c r="A1499" s="3" t="s">
        <v>18</v>
      </c>
      <c r="B1499" s="3">
        <v>13537273</v>
      </c>
      <c r="C1499" s="3" t="s">
        <v>1542</v>
      </c>
      <c r="D1499" s="3" t="s">
        <v>20</v>
      </c>
      <c r="E1499" s="3" t="s">
        <v>21</v>
      </c>
      <c r="F1499" s="3" t="s">
        <v>21</v>
      </c>
      <c r="G1499" s="3" t="s">
        <v>36</v>
      </c>
      <c r="H1499" s="3" t="s">
        <v>37</v>
      </c>
      <c r="I1499" s="3" t="s">
        <v>24</v>
      </c>
      <c r="J1499" s="3" t="s">
        <v>24</v>
      </c>
      <c r="K1499" s="3" t="s">
        <v>25</v>
      </c>
      <c r="L1499" s="4">
        <v>0</v>
      </c>
      <c r="M1499" s="3" t="s">
        <v>26</v>
      </c>
      <c r="N1499" s="3" t="s">
        <v>24</v>
      </c>
      <c r="O1499" s="4">
        <v>1</v>
      </c>
      <c r="P1499" s="4">
        <v>4</v>
      </c>
      <c r="Q1499" s="4">
        <v>1</v>
      </c>
    </row>
    <row r="1500" spans="1:17" x14ac:dyDescent="0.25">
      <c r="A1500" s="3" t="s">
        <v>18</v>
      </c>
      <c r="B1500" s="3">
        <v>13537274</v>
      </c>
      <c r="C1500" s="3" t="s">
        <v>1543</v>
      </c>
      <c r="D1500" s="3" t="s">
        <v>20</v>
      </c>
      <c r="E1500" s="3" t="s">
        <v>21</v>
      </c>
      <c r="F1500" s="3" t="s">
        <v>21</v>
      </c>
      <c r="G1500" s="3" t="s">
        <v>36</v>
      </c>
      <c r="H1500" s="3" t="s">
        <v>37</v>
      </c>
      <c r="I1500" s="3" t="s">
        <v>24</v>
      </c>
      <c r="J1500" s="3" t="s">
        <v>24</v>
      </c>
      <c r="K1500" s="3" t="s">
        <v>25</v>
      </c>
      <c r="L1500" s="4">
        <v>0</v>
      </c>
      <c r="M1500" s="3" t="s">
        <v>26</v>
      </c>
      <c r="N1500" s="3" t="s">
        <v>24</v>
      </c>
      <c r="O1500" s="4">
        <v>1</v>
      </c>
      <c r="P1500" s="4">
        <v>4</v>
      </c>
      <c r="Q1500" s="4">
        <v>1</v>
      </c>
    </row>
    <row r="1501" spans="1:17" x14ac:dyDescent="0.25">
      <c r="A1501" s="3" t="s">
        <v>18</v>
      </c>
      <c r="B1501" s="3">
        <v>13537276</v>
      </c>
      <c r="C1501" s="3" t="s">
        <v>1544</v>
      </c>
      <c r="D1501" s="3" t="s">
        <v>20</v>
      </c>
      <c r="E1501" s="3" t="s">
        <v>21</v>
      </c>
      <c r="F1501" s="3" t="s">
        <v>21</v>
      </c>
      <c r="G1501" s="3" t="s">
        <v>36</v>
      </c>
      <c r="H1501" s="3" t="s">
        <v>37</v>
      </c>
      <c r="I1501" s="3" t="s">
        <v>24</v>
      </c>
      <c r="J1501" s="3" t="s">
        <v>24</v>
      </c>
      <c r="K1501" s="3" t="s">
        <v>25</v>
      </c>
      <c r="L1501" s="4">
        <v>0</v>
      </c>
      <c r="M1501" s="3" t="s">
        <v>26</v>
      </c>
      <c r="N1501" s="3" t="s">
        <v>24</v>
      </c>
      <c r="O1501" s="4">
        <v>1</v>
      </c>
      <c r="P1501" s="4">
        <v>4</v>
      </c>
      <c r="Q1501" s="4">
        <v>1</v>
      </c>
    </row>
    <row r="1502" spans="1:17" x14ac:dyDescent="0.25">
      <c r="A1502" s="3" t="s">
        <v>18</v>
      </c>
      <c r="B1502" s="3">
        <v>13537277</v>
      </c>
      <c r="C1502" s="3" t="s">
        <v>1545</v>
      </c>
      <c r="D1502" s="3" t="s">
        <v>20</v>
      </c>
      <c r="E1502" s="3" t="s">
        <v>21</v>
      </c>
      <c r="F1502" s="3" t="s">
        <v>21</v>
      </c>
      <c r="G1502" s="3" t="s">
        <v>36</v>
      </c>
      <c r="H1502" s="3" t="s">
        <v>37</v>
      </c>
      <c r="I1502" s="3" t="s">
        <v>24</v>
      </c>
      <c r="J1502" s="3" t="s">
        <v>24</v>
      </c>
      <c r="K1502" s="3" t="s">
        <v>25</v>
      </c>
      <c r="L1502" s="4">
        <v>0</v>
      </c>
      <c r="M1502" s="3" t="s">
        <v>26</v>
      </c>
      <c r="N1502" s="3" t="s">
        <v>24</v>
      </c>
      <c r="O1502" s="4">
        <v>1</v>
      </c>
      <c r="P1502" s="4">
        <v>4</v>
      </c>
      <c r="Q1502" s="4">
        <v>1</v>
      </c>
    </row>
    <row r="1503" spans="1:17" x14ac:dyDescent="0.25">
      <c r="A1503" s="3" t="s">
        <v>18</v>
      </c>
      <c r="B1503" s="3">
        <v>13537308</v>
      </c>
      <c r="C1503" s="3" t="s">
        <v>1546</v>
      </c>
      <c r="D1503" s="3" t="s">
        <v>20</v>
      </c>
      <c r="E1503" s="3" t="s">
        <v>21</v>
      </c>
      <c r="F1503" s="3" t="s">
        <v>21</v>
      </c>
      <c r="G1503" s="3" t="s">
        <v>36</v>
      </c>
      <c r="H1503" s="3" t="s">
        <v>37</v>
      </c>
      <c r="I1503" s="3" t="s">
        <v>24</v>
      </c>
      <c r="J1503" s="3" t="s">
        <v>24</v>
      </c>
      <c r="K1503" s="3" t="s">
        <v>25</v>
      </c>
      <c r="L1503" s="4">
        <v>0</v>
      </c>
      <c r="M1503" s="3" t="s">
        <v>26</v>
      </c>
      <c r="N1503" s="3" t="s">
        <v>24</v>
      </c>
      <c r="O1503" s="4">
        <v>1</v>
      </c>
      <c r="P1503" s="4">
        <v>4</v>
      </c>
      <c r="Q1503" s="4">
        <v>1</v>
      </c>
    </row>
    <row r="1504" spans="1:17" x14ac:dyDescent="0.25">
      <c r="A1504" s="3" t="s">
        <v>18</v>
      </c>
      <c r="B1504" s="3">
        <v>13537309</v>
      </c>
      <c r="C1504" s="3" t="s">
        <v>1547</v>
      </c>
      <c r="D1504" s="3" t="s">
        <v>20</v>
      </c>
      <c r="E1504" s="3" t="s">
        <v>21</v>
      </c>
      <c r="F1504" s="3" t="s">
        <v>21</v>
      </c>
      <c r="G1504" s="3" t="s">
        <v>36</v>
      </c>
      <c r="H1504" s="3" t="s">
        <v>37</v>
      </c>
      <c r="I1504" s="3" t="s">
        <v>24</v>
      </c>
      <c r="J1504" s="3" t="s">
        <v>24</v>
      </c>
      <c r="K1504" s="3" t="s">
        <v>25</v>
      </c>
      <c r="L1504" s="4">
        <v>0</v>
      </c>
      <c r="M1504" s="3" t="s">
        <v>26</v>
      </c>
      <c r="N1504" s="3" t="s">
        <v>24</v>
      </c>
      <c r="O1504" s="4">
        <v>1</v>
      </c>
      <c r="P1504" s="4">
        <v>4</v>
      </c>
      <c r="Q1504" s="4">
        <v>1</v>
      </c>
    </row>
    <row r="1505" spans="1:17" x14ac:dyDescent="0.25">
      <c r="A1505" s="3" t="s">
        <v>18</v>
      </c>
      <c r="B1505" s="3">
        <v>13537310</v>
      </c>
      <c r="C1505" s="3" t="s">
        <v>1548</v>
      </c>
      <c r="D1505" s="3" t="s">
        <v>20</v>
      </c>
      <c r="E1505" s="3" t="s">
        <v>21</v>
      </c>
      <c r="F1505" s="3" t="s">
        <v>21</v>
      </c>
      <c r="G1505" s="3" t="s">
        <v>36</v>
      </c>
      <c r="H1505" s="3" t="s">
        <v>37</v>
      </c>
      <c r="I1505" s="3" t="s">
        <v>24</v>
      </c>
      <c r="J1505" s="3" t="s">
        <v>24</v>
      </c>
      <c r="K1505" s="3" t="s">
        <v>25</v>
      </c>
      <c r="L1505" s="4">
        <v>0</v>
      </c>
      <c r="M1505" s="3" t="s">
        <v>26</v>
      </c>
      <c r="N1505" s="3" t="s">
        <v>24</v>
      </c>
      <c r="O1505" s="4">
        <v>1</v>
      </c>
      <c r="P1505" s="4">
        <v>4</v>
      </c>
      <c r="Q1505" s="4">
        <v>1</v>
      </c>
    </row>
    <row r="1506" spans="1:17" x14ac:dyDescent="0.25">
      <c r="A1506" s="3" t="s">
        <v>18</v>
      </c>
      <c r="B1506" s="3">
        <v>13537311</v>
      </c>
      <c r="C1506" s="3" t="s">
        <v>1549</v>
      </c>
      <c r="D1506" s="3" t="s">
        <v>20</v>
      </c>
      <c r="E1506" s="3" t="s">
        <v>21</v>
      </c>
      <c r="F1506" s="3" t="s">
        <v>21</v>
      </c>
      <c r="G1506" s="3" t="s">
        <v>36</v>
      </c>
      <c r="H1506" s="3" t="s">
        <v>37</v>
      </c>
      <c r="I1506" s="3" t="s">
        <v>24</v>
      </c>
      <c r="J1506" s="3" t="s">
        <v>24</v>
      </c>
      <c r="K1506" s="3" t="s">
        <v>25</v>
      </c>
      <c r="L1506" s="4">
        <v>0</v>
      </c>
      <c r="M1506" s="3" t="s">
        <v>26</v>
      </c>
      <c r="N1506" s="3" t="s">
        <v>24</v>
      </c>
      <c r="O1506" s="4">
        <v>1</v>
      </c>
      <c r="P1506" s="4">
        <v>4</v>
      </c>
      <c r="Q1506" s="4">
        <v>1</v>
      </c>
    </row>
    <row r="1507" spans="1:17" x14ac:dyDescent="0.25">
      <c r="A1507" s="3" t="s">
        <v>18</v>
      </c>
      <c r="B1507" s="3">
        <v>13537312</v>
      </c>
      <c r="C1507" s="3" t="s">
        <v>1550</v>
      </c>
      <c r="D1507" s="3" t="s">
        <v>20</v>
      </c>
      <c r="E1507" s="3" t="s">
        <v>21</v>
      </c>
      <c r="F1507" s="3" t="s">
        <v>21</v>
      </c>
      <c r="G1507" s="3" t="s">
        <v>36</v>
      </c>
      <c r="H1507" s="3" t="s">
        <v>37</v>
      </c>
      <c r="I1507" s="3" t="s">
        <v>24</v>
      </c>
      <c r="J1507" s="3" t="s">
        <v>24</v>
      </c>
      <c r="K1507" s="3" t="s">
        <v>25</v>
      </c>
      <c r="L1507" s="4">
        <v>0</v>
      </c>
      <c r="M1507" s="3" t="s">
        <v>26</v>
      </c>
      <c r="N1507" s="3" t="s">
        <v>24</v>
      </c>
      <c r="O1507" s="4">
        <v>1</v>
      </c>
      <c r="P1507" s="4">
        <v>4</v>
      </c>
      <c r="Q1507" s="4">
        <v>1</v>
      </c>
    </row>
    <row r="1508" spans="1:17" x14ac:dyDescent="0.25">
      <c r="A1508" s="3" t="s">
        <v>18</v>
      </c>
      <c r="B1508" s="3">
        <v>13537313</v>
      </c>
      <c r="C1508" s="3" t="s">
        <v>1551</v>
      </c>
      <c r="D1508" s="3" t="s">
        <v>20</v>
      </c>
      <c r="E1508" s="3" t="s">
        <v>21</v>
      </c>
      <c r="F1508" s="3" t="s">
        <v>21</v>
      </c>
      <c r="G1508" s="3" t="s">
        <v>36</v>
      </c>
      <c r="H1508" s="3" t="s">
        <v>37</v>
      </c>
      <c r="I1508" s="3" t="s">
        <v>24</v>
      </c>
      <c r="J1508" s="3" t="s">
        <v>24</v>
      </c>
      <c r="K1508" s="3" t="s">
        <v>25</v>
      </c>
      <c r="L1508" s="4">
        <v>0</v>
      </c>
      <c r="M1508" s="3" t="s">
        <v>26</v>
      </c>
      <c r="N1508" s="3" t="s">
        <v>24</v>
      </c>
      <c r="O1508" s="4">
        <v>1</v>
      </c>
      <c r="P1508" s="4">
        <v>4</v>
      </c>
      <c r="Q1508" s="4">
        <v>1</v>
      </c>
    </row>
    <row r="1509" spans="1:17" x14ac:dyDescent="0.25">
      <c r="A1509" s="3" t="s">
        <v>18</v>
      </c>
      <c r="B1509" s="3">
        <v>13537315</v>
      </c>
      <c r="C1509" s="3" t="s">
        <v>1552</v>
      </c>
      <c r="D1509" s="3" t="s">
        <v>20</v>
      </c>
      <c r="E1509" s="3" t="s">
        <v>21</v>
      </c>
      <c r="F1509" s="3" t="s">
        <v>21</v>
      </c>
      <c r="G1509" s="3" t="s">
        <v>36</v>
      </c>
      <c r="H1509" s="3" t="s">
        <v>37</v>
      </c>
      <c r="I1509" s="3" t="s">
        <v>24</v>
      </c>
      <c r="J1509" s="3" t="s">
        <v>24</v>
      </c>
      <c r="K1509" s="3" t="s">
        <v>25</v>
      </c>
      <c r="L1509" s="4">
        <v>0</v>
      </c>
      <c r="M1509" s="3" t="s">
        <v>26</v>
      </c>
      <c r="N1509" s="3" t="s">
        <v>24</v>
      </c>
      <c r="O1509" s="4">
        <v>1</v>
      </c>
      <c r="P1509" s="4">
        <v>4</v>
      </c>
      <c r="Q1509" s="4">
        <v>1</v>
      </c>
    </row>
    <row r="1510" spans="1:17" x14ac:dyDescent="0.25">
      <c r="A1510" s="3" t="s">
        <v>18</v>
      </c>
      <c r="B1510" s="3">
        <v>13537316</v>
      </c>
      <c r="C1510" s="3" t="s">
        <v>1553</v>
      </c>
      <c r="D1510" s="3" t="s">
        <v>20</v>
      </c>
      <c r="E1510" s="3" t="s">
        <v>21</v>
      </c>
      <c r="F1510" s="3" t="s">
        <v>21</v>
      </c>
      <c r="G1510" s="3" t="s">
        <v>36</v>
      </c>
      <c r="H1510" s="3" t="s">
        <v>37</v>
      </c>
      <c r="I1510" s="3" t="s">
        <v>24</v>
      </c>
      <c r="J1510" s="3" t="s">
        <v>24</v>
      </c>
      <c r="K1510" s="3" t="s">
        <v>25</v>
      </c>
      <c r="L1510" s="4">
        <v>0</v>
      </c>
      <c r="M1510" s="3" t="s">
        <v>26</v>
      </c>
      <c r="N1510" s="3" t="s">
        <v>24</v>
      </c>
      <c r="O1510" s="4">
        <v>1</v>
      </c>
      <c r="P1510" s="4">
        <v>4</v>
      </c>
      <c r="Q1510" s="4">
        <v>1</v>
      </c>
    </row>
    <row r="1511" spans="1:17" x14ac:dyDescent="0.25">
      <c r="A1511" s="3" t="s">
        <v>18</v>
      </c>
      <c r="B1511" s="3">
        <v>13537318</v>
      </c>
      <c r="C1511" s="3" t="s">
        <v>1554</v>
      </c>
      <c r="D1511" s="3" t="s">
        <v>20</v>
      </c>
      <c r="E1511" s="3" t="s">
        <v>21</v>
      </c>
      <c r="F1511" s="3" t="s">
        <v>21</v>
      </c>
      <c r="G1511" s="3" t="s">
        <v>36</v>
      </c>
      <c r="H1511" s="3" t="s">
        <v>37</v>
      </c>
      <c r="I1511" s="3" t="s">
        <v>24</v>
      </c>
      <c r="J1511" s="3" t="s">
        <v>24</v>
      </c>
      <c r="K1511" s="3" t="s">
        <v>25</v>
      </c>
      <c r="L1511" s="4">
        <v>0</v>
      </c>
      <c r="M1511" s="3" t="s">
        <v>26</v>
      </c>
      <c r="N1511" s="3" t="s">
        <v>24</v>
      </c>
      <c r="O1511" s="4">
        <v>1</v>
      </c>
      <c r="P1511" s="4">
        <v>4</v>
      </c>
      <c r="Q1511" s="4">
        <v>1</v>
      </c>
    </row>
    <row r="1512" spans="1:17" x14ac:dyDescent="0.25">
      <c r="A1512" s="3" t="s">
        <v>18</v>
      </c>
      <c r="B1512" s="3">
        <v>13537320</v>
      </c>
      <c r="C1512" s="3" t="s">
        <v>1555</v>
      </c>
      <c r="D1512" s="3" t="s">
        <v>20</v>
      </c>
      <c r="E1512" s="3" t="s">
        <v>21</v>
      </c>
      <c r="F1512" s="3" t="s">
        <v>21</v>
      </c>
      <c r="G1512" s="3" t="s">
        <v>36</v>
      </c>
      <c r="H1512" s="3" t="s">
        <v>37</v>
      </c>
      <c r="I1512" s="3" t="s">
        <v>24</v>
      </c>
      <c r="J1512" s="3" t="s">
        <v>24</v>
      </c>
      <c r="K1512" s="3" t="s">
        <v>25</v>
      </c>
      <c r="L1512" s="4">
        <v>0</v>
      </c>
      <c r="M1512" s="3" t="s">
        <v>26</v>
      </c>
      <c r="N1512" s="3" t="s">
        <v>24</v>
      </c>
      <c r="O1512" s="4">
        <v>1</v>
      </c>
      <c r="P1512" s="4">
        <v>4</v>
      </c>
      <c r="Q1512" s="4">
        <v>1</v>
      </c>
    </row>
    <row r="1513" spans="1:17" x14ac:dyDescent="0.25">
      <c r="A1513" s="3" t="s">
        <v>18</v>
      </c>
      <c r="B1513" s="3">
        <v>13537323</v>
      </c>
      <c r="C1513" s="3" t="s">
        <v>1556</v>
      </c>
      <c r="D1513" s="3" t="s">
        <v>20</v>
      </c>
      <c r="E1513" s="3" t="s">
        <v>21</v>
      </c>
      <c r="F1513" s="3" t="s">
        <v>21</v>
      </c>
      <c r="G1513" s="3" t="s">
        <v>36</v>
      </c>
      <c r="H1513" s="3" t="s">
        <v>37</v>
      </c>
      <c r="I1513" s="3" t="s">
        <v>24</v>
      </c>
      <c r="J1513" s="3" t="s">
        <v>24</v>
      </c>
      <c r="K1513" s="3" t="s">
        <v>25</v>
      </c>
      <c r="L1513" s="4">
        <v>0</v>
      </c>
      <c r="M1513" s="3" t="s">
        <v>26</v>
      </c>
      <c r="N1513" s="3" t="s">
        <v>24</v>
      </c>
      <c r="O1513" s="4">
        <v>1</v>
      </c>
      <c r="P1513" s="4">
        <v>4</v>
      </c>
      <c r="Q1513" s="4">
        <v>1</v>
      </c>
    </row>
    <row r="1514" spans="1:17" x14ac:dyDescent="0.25">
      <c r="A1514" s="3" t="s">
        <v>18</v>
      </c>
      <c r="B1514" s="3">
        <v>13537324</v>
      </c>
      <c r="C1514" s="3" t="s">
        <v>1557</v>
      </c>
      <c r="D1514" s="3" t="s">
        <v>20</v>
      </c>
      <c r="E1514" s="3" t="s">
        <v>21</v>
      </c>
      <c r="F1514" s="3" t="s">
        <v>21</v>
      </c>
      <c r="G1514" s="3" t="s">
        <v>36</v>
      </c>
      <c r="H1514" s="3" t="s">
        <v>37</v>
      </c>
      <c r="I1514" s="3" t="s">
        <v>24</v>
      </c>
      <c r="J1514" s="3" t="s">
        <v>24</v>
      </c>
      <c r="K1514" s="3" t="s">
        <v>25</v>
      </c>
      <c r="L1514" s="4">
        <v>0</v>
      </c>
      <c r="M1514" s="3" t="s">
        <v>26</v>
      </c>
      <c r="N1514" s="3" t="s">
        <v>24</v>
      </c>
      <c r="O1514" s="4">
        <v>1</v>
      </c>
      <c r="P1514" s="4">
        <v>4</v>
      </c>
      <c r="Q1514" s="4">
        <v>1</v>
      </c>
    </row>
    <row r="1515" spans="1:17" x14ac:dyDescent="0.25">
      <c r="A1515" s="3" t="s">
        <v>18</v>
      </c>
      <c r="B1515" s="3">
        <v>13537325</v>
      </c>
      <c r="C1515" s="3" t="s">
        <v>1558</v>
      </c>
      <c r="D1515" s="3" t="s">
        <v>20</v>
      </c>
      <c r="E1515" s="3" t="s">
        <v>21</v>
      </c>
      <c r="F1515" s="3" t="s">
        <v>21</v>
      </c>
      <c r="G1515" s="3" t="s">
        <v>36</v>
      </c>
      <c r="H1515" s="3" t="s">
        <v>37</v>
      </c>
      <c r="I1515" s="3" t="s">
        <v>24</v>
      </c>
      <c r="J1515" s="3" t="s">
        <v>24</v>
      </c>
      <c r="K1515" s="3" t="s">
        <v>25</v>
      </c>
      <c r="L1515" s="4">
        <v>0</v>
      </c>
      <c r="M1515" s="3" t="s">
        <v>26</v>
      </c>
      <c r="N1515" s="3" t="s">
        <v>24</v>
      </c>
      <c r="O1515" s="4">
        <v>1</v>
      </c>
      <c r="P1515" s="4">
        <v>4</v>
      </c>
      <c r="Q1515" s="4">
        <v>1</v>
      </c>
    </row>
    <row r="1516" spans="1:17" x14ac:dyDescent="0.25">
      <c r="A1516" s="3" t="s">
        <v>18</v>
      </c>
      <c r="B1516" s="3">
        <v>13537327</v>
      </c>
      <c r="C1516" s="3" t="s">
        <v>1559</v>
      </c>
      <c r="D1516" s="3" t="s">
        <v>20</v>
      </c>
      <c r="E1516" s="3" t="s">
        <v>21</v>
      </c>
      <c r="F1516" s="3" t="s">
        <v>21</v>
      </c>
      <c r="G1516" s="3" t="s">
        <v>36</v>
      </c>
      <c r="H1516" s="3" t="s">
        <v>37</v>
      </c>
      <c r="I1516" s="3" t="s">
        <v>24</v>
      </c>
      <c r="J1516" s="3" t="s">
        <v>24</v>
      </c>
      <c r="K1516" s="3" t="s">
        <v>25</v>
      </c>
      <c r="L1516" s="4">
        <v>0</v>
      </c>
      <c r="M1516" s="3" t="s">
        <v>26</v>
      </c>
      <c r="N1516" s="3" t="s">
        <v>24</v>
      </c>
      <c r="O1516" s="4">
        <v>1</v>
      </c>
      <c r="P1516" s="4">
        <v>4</v>
      </c>
      <c r="Q1516" s="4">
        <v>1</v>
      </c>
    </row>
    <row r="1517" spans="1:17" x14ac:dyDescent="0.25">
      <c r="A1517" s="3" t="s">
        <v>18</v>
      </c>
      <c r="B1517" s="3">
        <v>13537338</v>
      </c>
      <c r="C1517" s="3" t="s">
        <v>1560</v>
      </c>
      <c r="D1517" s="3" t="s">
        <v>20</v>
      </c>
      <c r="E1517" s="3" t="s">
        <v>21</v>
      </c>
      <c r="F1517" s="3" t="s">
        <v>21</v>
      </c>
      <c r="G1517" s="3" t="s">
        <v>36</v>
      </c>
      <c r="H1517" s="3" t="s">
        <v>37</v>
      </c>
      <c r="I1517" s="3" t="s">
        <v>24</v>
      </c>
      <c r="J1517" s="3" t="s">
        <v>24</v>
      </c>
      <c r="K1517" s="3" t="s">
        <v>25</v>
      </c>
      <c r="L1517" s="4">
        <v>0</v>
      </c>
      <c r="M1517" s="3" t="s">
        <v>26</v>
      </c>
      <c r="N1517" s="3" t="s">
        <v>24</v>
      </c>
      <c r="O1517" s="4">
        <v>1</v>
      </c>
      <c r="P1517" s="4">
        <v>4</v>
      </c>
      <c r="Q1517" s="4">
        <v>1</v>
      </c>
    </row>
    <row r="1518" spans="1:17" x14ac:dyDescent="0.25">
      <c r="A1518" s="3" t="s">
        <v>18</v>
      </c>
      <c r="B1518" s="3">
        <v>13537339</v>
      </c>
      <c r="C1518" s="3" t="s">
        <v>1561</v>
      </c>
      <c r="D1518" s="3" t="s">
        <v>20</v>
      </c>
      <c r="E1518" s="3" t="s">
        <v>21</v>
      </c>
      <c r="F1518" s="3" t="s">
        <v>21</v>
      </c>
      <c r="G1518" s="3" t="s">
        <v>36</v>
      </c>
      <c r="H1518" s="3" t="s">
        <v>37</v>
      </c>
      <c r="I1518" s="3" t="s">
        <v>24</v>
      </c>
      <c r="J1518" s="3" t="s">
        <v>24</v>
      </c>
      <c r="K1518" s="3" t="s">
        <v>25</v>
      </c>
      <c r="L1518" s="4">
        <v>0</v>
      </c>
      <c r="M1518" s="3" t="s">
        <v>26</v>
      </c>
      <c r="N1518" s="3" t="s">
        <v>24</v>
      </c>
      <c r="O1518" s="4">
        <v>1</v>
      </c>
      <c r="P1518" s="4">
        <v>4</v>
      </c>
      <c r="Q1518" s="4">
        <v>1</v>
      </c>
    </row>
    <row r="1519" spans="1:17" x14ac:dyDescent="0.25">
      <c r="A1519" s="3" t="s">
        <v>18</v>
      </c>
      <c r="B1519" s="3">
        <v>13537340</v>
      </c>
      <c r="C1519" s="3" t="s">
        <v>1562</v>
      </c>
      <c r="D1519" s="3" t="s">
        <v>20</v>
      </c>
      <c r="E1519" s="3" t="s">
        <v>21</v>
      </c>
      <c r="F1519" s="3" t="s">
        <v>21</v>
      </c>
      <c r="G1519" s="3" t="s">
        <v>36</v>
      </c>
      <c r="H1519" s="3" t="s">
        <v>37</v>
      </c>
      <c r="I1519" s="3" t="s">
        <v>24</v>
      </c>
      <c r="J1519" s="3" t="s">
        <v>24</v>
      </c>
      <c r="K1519" s="3" t="s">
        <v>25</v>
      </c>
      <c r="L1519" s="4">
        <v>0</v>
      </c>
      <c r="M1519" s="3" t="s">
        <v>26</v>
      </c>
      <c r="N1519" s="3" t="s">
        <v>24</v>
      </c>
      <c r="O1519" s="4">
        <v>1</v>
      </c>
      <c r="P1519" s="4">
        <v>4</v>
      </c>
      <c r="Q1519" s="4">
        <v>1</v>
      </c>
    </row>
    <row r="1520" spans="1:17" x14ac:dyDescent="0.25">
      <c r="A1520" s="3" t="s">
        <v>18</v>
      </c>
      <c r="B1520" s="3">
        <v>13537385</v>
      </c>
      <c r="C1520" s="3" t="s">
        <v>1563</v>
      </c>
      <c r="D1520" s="3" t="s">
        <v>20</v>
      </c>
      <c r="E1520" s="3" t="s">
        <v>21</v>
      </c>
      <c r="F1520" s="3" t="s">
        <v>21</v>
      </c>
      <c r="G1520" s="3" t="s">
        <v>36</v>
      </c>
      <c r="H1520" s="3" t="s">
        <v>37</v>
      </c>
      <c r="I1520" s="3" t="s">
        <v>24</v>
      </c>
      <c r="J1520" s="3" t="s">
        <v>24</v>
      </c>
      <c r="K1520" s="3" t="s">
        <v>25</v>
      </c>
      <c r="L1520" s="4">
        <v>0</v>
      </c>
      <c r="M1520" s="3" t="s">
        <v>26</v>
      </c>
      <c r="N1520" s="3" t="s">
        <v>24</v>
      </c>
      <c r="O1520" s="4">
        <v>1</v>
      </c>
      <c r="P1520" s="4">
        <v>3</v>
      </c>
      <c r="Q1520" s="4">
        <v>1</v>
      </c>
    </row>
    <row r="1521" spans="1:17" x14ac:dyDescent="0.25">
      <c r="A1521" s="3" t="s">
        <v>18</v>
      </c>
      <c r="B1521" s="3">
        <v>13537386</v>
      </c>
      <c r="C1521" s="3" t="s">
        <v>1564</v>
      </c>
      <c r="D1521" s="3" t="s">
        <v>20</v>
      </c>
      <c r="E1521" s="3" t="s">
        <v>21</v>
      </c>
      <c r="F1521" s="3" t="s">
        <v>21</v>
      </c>
      <c r="G1521" s="3" t="s">
        <v>36</v>
      </c>
      <c r="H1521" s="3" t="s">
        <v>37</v>
      </c>
      <c r="I1521" s="3" t="s">
        <v>24</v>
      </c>
      <c r="J1521" s="3" t="s">
        <v>24</v>
      </c>
      <c r="K1521" s="3" t="s">
        <v>25</v>
      </c>
      <c r="L1521" s="4">
        <v>0</v>
      </c>
      <c r="M1521" s="3" t="s">
        <v>26</v>
      </c>
      <c r="N1521" s="3" t="s">
        <v>24</v>
      </c>
      <c r="O1521" s="4">
        <v>1</v>
      </c>
      <c r="P1521" s="4">
        <v>3</v>
      </c>
      <c r="Q1521" s="4">
        <v>1</v>
      </c>
    </row>
    <row r="1522" spans="1:17" x14ac:dyDescent="0.25">
      <c r="A1522" s="3" t="s">
        <v>18</v>
      </c>
      <c r="B1522" s="3">
        <v>13537387</v>
      </c>
      <c r="C1522" s="3" t="s">
        <v>1565</v>
      </c>
      <c r="D1522" s="3" t="s">
        <v>20</v>
      </c>
      <c r="E1522" s="3" t="s">
        <v>21</v>
      </c>
      <c r="F1522" s="3" t="s">
        <v>21</v>
      </c>
      <c r="G1522" s="3" t="s">
        <v>36</v>
      </c>
      <c r="H1522" s="3" t="s">
        <v>37</v>
      </c>
      <c r="I1522" s="3" t="s">
        <v>24</v>
      </c>
      <c r="J1522" s="3" t="s">
        <v>24</v>
      </c>
      <c r="K1522" s="3" t="s">
        <v>25</v>
      </c>
      <c r="L1522" s="4">
        <v>0</v>
      </c>
      <c r="M1522" s="3" t="s">
        <v>26</v>
      </c>
      <c r="N1522" s="3" t="s">
        <v>24</v>
      </c>
      <c r="O1522" s="4">
        <v>1</v>
      </c>
      <c r="P1522" s="4">
        <v>3</v>
      </c>
      <c r="Q1522" s="4">
        <v>1</v>
      </c>
    </row>
    <row r="1523" spans="1:17" x14ac:dyDescent="0.25">
      <c r="A1523" s="3" t="s">
        <v>18</v>
      </c>
      <c r="B1523" s="3">
        <v>13537449</v>
      </c>
      <c r="C1523" s="3" t="s">
        <v>1566</v>
      </c>
      <c r="D1523" s="3" t="s">
        <v>20</v>
      </c>
      <c r="E1523" s="3" t="s">
        <v>21</v>
      </c>
      <c r="F1523" s="3" t="s">
        <v>21</v>
      </c>
      <c r="G1523" s="3" t="s">
        <v>36</v>
      </c>
      <c r="H1523" s="3" t="s">
        <v>37</v>
      </c>
      <c r="I1523" s="3" t="s">
        <v>24</v>
      </c>
      <c r="J1523" s="3" t="s">
        <v>24</v>
      </c>
      <c r="K1523" s="3" t="s">
        <v>25</v>
      </c>
      <c r="L1523" s="4">
        <v>0</v>
      </c>
      <c r="M1523" s="3" t="s">
        <v>26</v>
      </c>
      <c r="N1523" s="3" t="s">
        <v>24</v>
      </c>
      <c r="O1523" s="4">
        <v>1</v>
      </c>
      <c r="P1523" s="4">
        <v>3</v>
      </c>
      <c r="Q1523" s="4">
        <v>1</v>
      </c>
    </row>
    <row r="1524" spans="1:17" x14ac:dyDescent="0.25">
      <c r="A1524" s="3" t="s">
        <v>18</v>
      </c>
      <c r="B1524" s="3">
        <v>13537450</v>
      </c>
      <c r="C1524" s="3" t="s">
        <v>1567</v>
      </c>
      <c r="D1524" s="3" t="s">
        <v>20</v>
      </c>
      <c r="E1524" s="3" t="s">
        <v>21</v>
      </c>
      <c r="F1524" s="3" t="s">
        <v>21</v>
      </c>
      <c r="G1524" s="3" t="s">
        <v>36</v>
      </c>
      <c r="H1524" s="3" t="s">
        <v>37</v>
      </c>
      <c r="I1524" s="3" t="s">
        <v>24</v>
      </c>
      <c r="J1524" s="3" t="s">
        <v>24</v>
      </c>
      <c r="K1524" s="3" t="s">
        <v>25</v>
      </c>
      <c r="L1524" s="4">
        <v>0</v>
      </c>
      <c r="M1524" s="3" t="s">
        <v>26</v>
      </c>
      <c r="N1524" s="3" t="s">
        <v>24</v>
      </c>
      <c r="O1524" s="4">
        <v>1</v>
      </c>
      <c r="P1524" s="4">
        <v>3</v>
      </c>
      <c r="Q1524" s="4">
        <v>1</v>
      </c>
    </row>
    <row r="1525" spans="1:17" x14ac:dyDescent="0.25">
      <c r="A1525" s="3" t="s">
        <v>18</v>
      </c>
      <c r="B1525" s="3">
        <v>13537451</v>
      </c>
      <c r="C1525" s="3" t="s">
        <v>1568</v>
      </c>
      <c r="D1525" s="3" t="s">
        <v>20</v>
      </c>
      <c r="E1525" s="3" t="s">
        <v>21</v>
      </c>
      <c r="F1525" s="3" t="s">
        <v>21</v>
      </c>
      <c r="G1525" s="3" t="s">
        <v>36</v>
      </c>
      <c r="H1525" s="3" t="s">
        <v>37</v>
      </c>
      <c r="I1525" s="3" t="s">
        <v>24</v>
      </c>
      <c r="J1525" s="3" t="s">
        <v>24</v>
      </c>
      <c r="K1525" s="3" t="s">
        <v>25</v>
      </c>
      <c r="L1525" s="4">
        <v>0</v>
      </c>
      <c r="M1525" s="3" t="s">
        <v>26</v>
      </c>
      <c r="N1525" s="3" t="s">
        <v>24</v>
      </c>
      <c r="O1525" s="4">
        <v>1</v>
      </c>
      <c r="P1525" s="4">
        <v>3</v>
      </c>
      <c r="Q1525" s="4">
        <v>1</v>
      </c>
    </row>
    <row r="1526" spans="1:17" x14ac:dyDescent="0.25">
      <c r="A1526" s="3" t="s">
        <v>18</v>
      </c>
      <c r="B1526" s="3">
        <v>13537453</v>
      </c>
      <c r="C1526" s="3" t="s">
        <v>1569</v>
      </c>
      <c r="D1526" s="3" t="s">
        <v>20</v>
      </c>
      <c r="E1526" s="3" t="s">
        <v>21</v>
      </c>
      <c r="F1526" s="3" t="s">
        <v>21</v>
      </c>
      <c r="G1526" s="3" t="s">
        <v>36</v>
      </c>
      <c r="H1526" s="3" t="s">
        <v>37</v>
      </c>
      <c r="I1526" s="3" t="s">
        <v>24</v>
      </c>
      <c r="J1526" s="3" t="s">
        <v>24</v>
      </c>
      <c r="K1526" s="3" t="s">
        <v>25</v>
      </c>
      <c r="L1526" s="4">
        <v>0</v>
      </c>
      <c r="M1526" s="3" t="s">
        <v>26</v>
      </c>
      <c r="N1526" s="3" t="s">
        <v>24</v>
      </c>
      <c r="O1526" s="4">
        <v>1</v>
      </c>
      <c r="P1526" s="4">
        <v>3</v>
      </c>
      <c r="Q1526" s="4">
        <v>1</v>
      </c>
    </row>
    <row r="1527" spans="1:17" x14ac:dyDescent="0.25">
      <c r="A1527" s="3" t="s">
        <v>18</v>
      </c>
      <c r="B1527" s="3">
        <v>13537454</v>
      </c>
      <c r="C1527" s="3" t="s">
        <v>1570</v>
      </c>
      <c r="D1527" s="3" t="s">
        <v>20</v>
      </c>
      <c r="E1527" s="3" t="s">
        <v>21</v>
      </c>
      <c r="F1527" s="3" t="s">
        <v>21</v>
      </c>
      <c r="G1527" s="3" t="s">
        <v>36</v>
      </c>
      <c r="H1527" s="3" t="s">
        <v>37</v>
      </c>
      <c r="I1527" s="3" t="s">
        <v>24</v>
      </c>
      <c r="J1527" s="3" t="s">
        <v>24</v>
      </c>
      <c r="K1527" s="3" t="s">
        <v>25</v>
      </c>
      <c r="L1527" s="4">
        <v>0</v>
      </c>
      <c r="M1527" s="3" t="s">
        <v>26</v>
      </c>
      <c r="N1527" s="3" t="s">
        <v>24</v>
      </c>
      <c r="O1527" s="4">
        <v>1</v>
      </c>
      <c r="P1527" s="4">
        <v>3</v>
      </c>
      <c r="Q1527" s="4">
        <v>1</v>
      </c>
    </row>
    <row r="1528" spans="1:17" x14ac:dyDescent="0.25">
      <c r="A1528" s="3" t="s">
        <v>18</v>
      </c>
      <c r="B1528" s="3">
        <v>13537455</v>
      </c>
      <c r="C1528" s="3" t="s">
        <v>1571</v>
      </c>
      <c r="D1528" s="3" t="s">
        <v>20</v>
      </c>
      <c r="E1528" s="3" t="s">
        <v>21</v>
      </c>
      <c r="F1528" s="3" t="s">
        <v>21</v>
      </c>
      <c r="G1528" s="3" t="s">
        <v>36</v>
      </c>
      <c r="H1528" s="3" t="s">
        <v>37</v>
      </c>
      <c r="I1528" s="3" t="s">
        <v>24</v>
      </c>
      <c r="J1528" s="3" t="s">
        <v>24</v>
      </c>
      <c r="K1528" s="3" t="s">
        <v>25</v>
      </c>
      <c r="L1528" s="4">
        <v>0</v>
      </c>
      <c r="M1528" s="3" t="s">
        <v>26</v>
      </c>
      <c r="N1528" s="3" t="s">
        <v>24</v>
      </c>
      <c r="O1528" s="4">
        <v>1</v>
      </c>
      <c r="P1528" s="4">
        <v>3</v>
      </c>
      <c r="Q1528" s="4">
        <v>1</v>
      </c>
    </row>
    <row r="1529" spans="1:17" x14ac:dyDescent="0.25">
      <c r="A1529" s="3" t="s">
        <v>18</v>
      </c>
      <c r="B1529" s="3">
        <v>13537456</v>
      </c>
      <c r="C1529" s="3" t="s">
        <v>1572</v>
      </c>
      <c r="D1529" s="3" t="s">
        <v>20</v>
      </c>
      <c r="E1529" s="3" t="s">
        <v>21</v>
      </c>
      <c r="F1529" s="3" t="s">
        <v>21</v>
      </c>
      <c r="G1529" s="3" t="s">
        <v>36</v>
      </c>
      <c r="H1529" s="3" t="s">
        <v>37</v>
      </c>
      <c r="I1529" s="3" t="s">
        <v>24</v>
      </c>
      <c r="J1529" s="3" t="s">
        <v>24</v>
      </c>
      <c r="K1529" s="3" t="s">
        <v>25</v>
      </c>
      <c r="L1529" s="4">
        <v>0</v>
      </c>
      <c r="M1529" s="3" t="s">
        <v>26</v>
      </c>
      <c r="N1529" s="3" t="s">
        <v>24</v>
      </c>
      <c r="O1529" s="4">
        <v>1</v>
      </c>
      <c r="P1529" s="4">
        <v>3</v>
      </c>
      <c r="Q1529" s="4">
        <v>1</v>
      </c>
    </row>
    <row r="1530" spans="1:17" x14ac:dyDescent="0.25">
      <c r="A1530" s="3" t="s">
        <v>18</v>
      </c>
      <c r="B1530" s="3">
        <v>13537457</v>
      </c>
      <c r="C1530" s="3" t="s">
        <v>1573</v>
      </c>
      <c r="D1530" s="3" t="s">
        <v>20</v>
      </c>
      <c r="E1530" s="3" t="s">
        <v>21</v>
      </c>
      <c r="F1530" s="3" t="s">
        <v>21</v>
      </c>
      <c r="G1530" s="3" t="s">
        <v>36</v>
      </c>
      <c r="H1530" s="3" t="s">
        <v>37</v>
      </c>
      <c r="I1530" s="3" t="s">
        <v>24</v>
      </c>
      <c r="J1530" s="3" t="s">
        <v>24</v>
      </c>
      <c r="K1530" s="3" t="s">
        <v>25</v>
      </c>
      <c r="L1530" s="4">
        <v>0</v>
      </c>
      <c r="M1530" s="3" t="s">
        <v>26</v>
      </c>
      <c r="N1530" s="3" t="s">
        <v>24</v>
      </c>
      <c r="O1530" s="4">
        <v>1</v>
      </c>
      <c r="P1530" s="4">
        <v>3</v>
      </c>
      <c r="Q1530" s="4">
        <v>1</v>
      </c>
    </row>
    <row r="1531" spans="1:17" x14ac:dyDescent="0.25">
      <c r="A1531" s="3" t="s">
        <v>18</v>
      </c>
      <c r="B1531" s="3">
        <v>13537478</v>
      </c>
      <c r="C1531" s="3" t="s">
        <v>1574</v>
      </c>
      <c r="D1531" s="3" t="s">
        <v>20</v>
      </c>
      <c r="E1531" s="3" t="s">
        <v>21</v>
      </c>
      <c r="F1531" s="3" t="s">
        <v>21</v>
      </c>
      <c r="G1531" s="3" t="s">
        <v>36</v>
      </c>
      <c r="H1531" s="3" t="s">
        <v>37</v>
      </c>
      <c r="I1531" s="3" t="s">
        <v>24</v>
      </c>
      <c r="J1531" s="3" t="s">
        <v>24</v>
      </c>
      <c r="K1531" s="3" t="s">
        <v>25</v>
      </c>
      <c r="L1531" s="4">
        <v>0</v>
      </c>
      <c r="M1531" s="3" t="s">
        <v>26</v>
      </c>
      <c r="N1531" s="3" t="s">
        <v>24</v>
      </c>
      <c r="O1531" s="4">
        <v>1</v>
      </c>
      <c r="P1531" s="4">
        <v>3</v>
      </c>
      <c r="Q1531" s="4">
        <v>1</v>
      </c>
    </row>
    <row r="1532" spans="1:17" x14ac:dyDescent="0.25">
      <c r="A1532" s="3" t="s">
        <v>18</v>
      </c>
      <c r="B1532" s="3">
        <v>13537800</v>
      </c>
      <c r="C1532" s="3" t="s">
        <v>1575</v>
      </c>
      <c r="D1532" s="3" t="s">
        <v>20</v>
      </c>
      <c r="E1532" s="3" t="s">
        <v>21</v>
      </c>
      <c r="F1532" s="3" t="s">
        <v>21</v>
      </c>
      <c r="G1532" s="3" t="s">
        <v>36</v>
      </c>
      <c r="H1532" s="3" t="s">
        <v>37</v>
      </c>
      <c r="I1532" s="3" t="s">
        <v>24</v>
      </c>
      <c r="J1532" s="3" t="s">
        <v>24</v>
      </c>
      <c r="K1532" s="3" t="s">
        <v>25</v>
      </c>
      <c r="L1532" s="4">
        <v>0</v>
      </c>
      <c r="M1532" s="3" t="s">
        <v>26</v>
      </c>
      <c r="N1532" s="3" t="s">
        <v>24</v>
      </c>
      <c r="O1532" s="4">
        <v>1</v>
      </c>
      <c r="P1532" s="4">
        <v>3</v>
      </c>
      <c r="Q1532" s="4">
        <v>1</v>
      </c>
    </row>
    <row r="1533" spans="1:17" x14ac:dyDescent="0.25">
      <c r="A1533" s="3" t="s">
        <v>18</v>
      </c>
      <c r="B1533" s="3">
        <v>13537804</v>
      </c>
      <c r="C1533" s="3" t="s">
        <v>1576</v>
      </c>
      <c r="D1533" s="3" t="s">
        <v>20</v>
      </c>
      <c r="E1533" s="3" t="s">
        <v>21</v>
      </c>
      <c r="F1533" s="3" t="s">
        <v>21</v>
      </c>
      <c r="G1533" s="3" t="s">
        <v>36</v>
      </c>
      <c r="H1533" s="3" t="s">
        <v>37</v>
      </c>
      <c r="I1533" s="3" t="s">
        <v>24</v>
      </c>
      <c r="J1533" s="3" t="s">
        <v>24</v>
      </c>
      <c r="K1533" s="3" t="s">
        <v>25</v>
      </c>
      <c r="L1533" s="4">
        <v>0</v>
      </c>
      <c r="M1533" s="3" t="s">
        <v>26</v>
      </c>
      <c r="N1533" s="3" t="s">
        <v>24</v>
      </c>
      <c r="O1533" s="4">
        <v>1</v>
      </c>
      <c r="P1533" s="4">
        <v>3</v>
      </c>
      <c r="Q1533" s="4">
        <v>1</v>
      </c>
    </row>
    <row r="1534" spans="1:17" x14ac:dyDescent="0.25">
      <c r="A1534" s="3" t="s">
        <v>18</v>
      </c>
      <c r="B1534" s="3">
        <v>13537806</v>
      </c>
      <c r="C1534" s="3" t="s">
        <v>1577</v>
      </c>
      <c r="D1534" s="3" t="s">
        <v>20</v>
      </c>
      <c r="E1534" s="3" t="s">
        <v>21</v>
      </c>
      <c r="F1534" s="3" t="s">
        <v>21</v>
      </c>
      <c r="G1534" s="3" t="s">
        <v>36</v>
      </c>
      <c r="H1534" s="3" t="s">
        <v>37</v>
      </c>
      <c r="I1534" s="3" t="s">
        <v>24</v>
      </c>
      <c r="J1534" s="3" t="s">
        <v>24</v>
      </c>
      <c r="K1534" s="3" t="s">
        <v>25</v>
      </c>
      <c r="L1534" s="4">
        <v>0</v>
      </c>
      <c r="M1534" s="3" t="s">
        <v>26</v>
      </c>
      <c r="N1534" s="3" t="s">
        <v>24</v>
      </c>
      <c r="O1534" s="4">
        <v>1</v>
      </c>
      <c r="P1534" s="4">
        <v>3</v>
      </c>
      <c r="Q1534" s="4">
        <v>1</v>
      </c>
    </row>
    <row r="1535" spans="1:17" x14ac:dyDescent="0.25">
      <c r="A1535" s="3" t="s">
        <v>18</v>
      </c>
      <c r="B1535" s="3">
        <v>13537838</v>
      </c>
      <c r="C1535" s="3" t="s">
        <v>1578</v>
      </c>
      <c r="D1535" s="3" t="s">
        <v>20</v>
      </c>
      <c r="E1535" s="3" t="s">
        <v>21</v>
      </c>
      <c r="F1535" s="3" t="s">
        <v>21</v>
      </c>
      <c r="G1535" s="3" t="s">
        <v>36</v>
      </c>
      <c r="H1535" s="3" t="s">
        <v>37</v>
      </c>
      <c r="I1535" s="3" t="s">
        <v>24</v>
      </c>
      <c r="J1535" s="3" t="s">
        <v>24</v>
      </c>
      <c r="K1535" s="3" t="s">
        <v>25</v>
      </c>
      <c r="L1535" s="4">
        <v>0</v>
      </c>
      <c r="M1535" s="3" t="s">
        <v>26</v>
      </c>
      <c r="N1535" s="3" t="s">
        <v>24</v>
      </c>
      <c r="O1535" s="4">
        <v>1</v>
      </c>
      <c r="P1535" s="4">
        <v>3</v>
      </c>
      <c r="Q1535" s="4">
        <v>1</v>
      </c>
    </row>
    <row r="1536" spans="1:17" x14ac:dyDescent="0.25">
      <c r="A1536" s="3" t="s">
        <v>18</v>
      </c>
      <c r="B1536" s="3">
        <v>13537841</v>
      </c>
      <c r="C1536" s="3" t="s">
        <v>1579</v>
      </c>
      <c r="D1536" s="3" t="s">
        <v>20</v>
      </c>
      <c r="E1536" s="3" t="s">
        <v>21</v>
      </c>
      <c r="F1536" s="3" t="s">
        <v>21</v>
      </c>
      <c r="G1536" s="3" t="s">
        <v>36</v>
      </c>
      <c r="H1536" s="3" t="s">
        <v>37</v>
      </c>
      <c r="I1536" s="3" t="s">
        <v>24</v>
      </c>
      <c r="J1536" s="3" t="s">
        <v>24</v>
      </c>
      <c r="K1536" s="3" t="s">
        <v>25</v>
      </c>
      <c r="L1536" s="4">
        <v>0</v>
      </c>
      <c r="M1536" s="3" t="s">
        <v>26</v>
      </c>
      <c r="N1536" s="3" t="s">
        <v>24</v>
      </c>
      <c r="O1536" s="4">
        <v>1</v>
      </c>
      <c r="P1536" s="4">
        <v>3</v>
      </c>
      <c r="Q1536" s="4">
        <v>1</v>
      </c>
    </row>
    <row r="1537" spans="1:17" x14ac:dyDescent="0.25">
      <c r="A1537" s="3" t="s">
        <v>18</v>
      </c>
      <c r="B1537" s="3">
        <v>13537843</v>
      </c>
      <c r="C1537" s="3" t="s">
        <v>1580</v>
      </c>
      <c r="D1537" s="3" t="s">
        <v>20</v>
      </c>
      <c r="E1537" s="3" t="s">
        <v>21</v>
      </c>
      <c r="F1537" s="3" t="s">
        <v>21</v>
      </c>
      <c r="G1537" s="3" t="s">
        <v>36</v>
      </c>
      <c r="H1537" s="3" t="s">
        <v>37</v>
      </c>
      <c r="I1537" s="3" t="s">
        <v>24</v>
      </c>
      <c r="J1537" s="3" t="s">
        <v>24</v>
      </c>
      <c r="K1537" s="3" t="s">
        <v>25</v>
      </c>
      <c r="L1537" s="4">
        <v>0</v>
      </c>
      <c r="M1537" s="3" t="s">
        <v>26</v>
      </c>
      <c r="N1537" s="3" t="s">
        <v>24</v>
      </c>
      <c r="O1537" s="4">
        <v>1</v>
      </c>
      <c r="P1537" s="4">
        <v>3</v>
      </c>
      <c r="Q1537" s="4">
        <v>1</v>
      </c>
    </row>
    <row r="1538" spans="1:17" x14ac:dyDescent="0.25">
      <c r="A1538" s="3" t="s">
        <v>18</v>
      </c>
      <c r="B1538" s="3">
        <v>13537845</v>
      </c>
      <c r="C1538" s="3" t="s">
        <v>1581</v>
      </c>
      <c r="D1538" s="3" t="s">
        <v>20</v>
      </c>
      <c r="E1538" s="3" t="s">
        <v>21</v>
      </c>
      <c r="F1538" s="3" t="s">
        <v>21</v>
      </c>
      <c r="G1538" s="3" t="s">
        <v>36</v>
      </c>
      <c r="H1538" s="3" t="s">
        <v>37</v>
      </c>
      <c r="I1538" s="3" t="s">
        <v>24</v>
      </c>
      <c r="J1538" s="3" t="s">
        <v>24</v>
      </c>
      <c r="K1538" s="3" t="s">
        <v>25</v>
      </c>
      <c r="L1538" s="4">
        <v>0</v>
      </c>
      <c r="M1538" s="3" t="s">
        <v>26</v>
      </c>
      <c r="N1538" s="3" t="s">
        <v>24</v>
      </c>
      <c r="O1538" s="4">
        <v>1</v>
      </c>
      <c r="P1538" s="4">
        <v>3</v>
      </c>
      <c r="Q1538" s="4">
        <v>1</v>
      </c>
    </row>
    <row r="1539" spans="1:17" x14ac:dyDescent="0.25">
      <c r="A1539" s="3" t="s">
        <v>18</v>
      </c>
      <c r="B1539" s="3">
        <v>13537847</v>
      </c>
      <c r="C1539" s="3" t="s">
        <v>1582</v>
      </c>
      <c r="D1539" s="3" t="s">
        <v>20</v>
      </c>
      <c r="E1539" s="3" t="s">
        <v>21</v>
      </c>
      <c r="F1539" s="3" t="s">
        <v>21</v>
      </c>
      <c r="G1539" s="3" t="s">
        <v>36</v>
      </c>
      <c r="H1539" s="3" t="s">
        <v>37</v>
      </c>
      <c r="I1539" s="3" t="s">
        <v>24</v>
      </c>
      <c r="J1539" s="3" t="s">
        <v>24</v>
      </c>
      <c r="K1539" s="3" t="s">
        <v>25</v>
      </c>
      <c r="L1539" s="4">
        <v>0</v>
      </c>
      <c r="M1539" s="3" t="s">
        <v>26</v>
      </c>
      <c r="N1539" s="3" t="s">
        <v>24</v>
      </c>
      <c r="O1539" s="4">
        <v>1</v>
      </c>
      <c r="P1539" s="4">
        <v>3</v>
      </c>
      <c r="Q1539" s="4">
        <v>1</v>
      </c>
    </row>
    <row r="1540" spans="1:17" x14ac:dyDescent="0.25">
      <c r="A1540" s="3" t="s">
        <v>18</v>
      </c>
      <c r="B1540" s="3">
        <v>13537860</v>
      </c>
      <c r="C1540" s="3" t="s">
        <v>1583</v>
      </c>
      <c r="D1540" s="3" t="s">
        <v>20</v>
      </c>
      <c r="E1540" s="3" t="s">
        <v>21</v>
      </c>
      <c r="F1540" s="3" t="s">
        <v>21</v>
      </c>
      <c r="G1540" s="3" t="s">
        <v>36</v>
      </c>
      <c r="H1540" s="3" t="s">
        <v>37</v>
      </c>
      <c r="I1540" s="3" t="s">
        <v>24</v>
      </c>
      <c r="J1540" s="3" t="s">
        <v>24</v>
      </c>
      <c r="K1540" s="3" t="s">
        <v>25</v>
      </c>
      <c r="L1540" s="4">
        <v>0</v>
      </c>
      <c r="M1540" s="3" t="s">
        <v>26</v>
      </c>
      <c r="N1540" s="3" t="s">
        <v>24</v>
      </c>
      <c r="O1540" s="4">
        <v>1</v>
      </c>
      <c r="P1540" s="4">
        <v>3</v>
      </c>
      <c r="Q1540" s="4">
        <v>1</v>
      </c>
    </row>
    <row r="1541" spans="1:17" x14ac:dyDescent="0.25">
      <c r="A1541" s="3" t="s">
        <v>18</v>
      </c>
      <c r="B1541" s="3">
        <v>13537863</v>
      </c>
      <c r="C1541" s="3" t="s">
        <v>1584</v>
      </c>
      <c r="D1541" s="3" t="s">
        <v>20</v>
      </c>
      <c r="E1541" s="3" t="s">
        <v>21</v>
      </c>
      <c r="F1541" s="3" t="s">
        <v>21</v>
      </c>
      <c r="G1541" s="3" t="s">
        <v>36</v>
      </c>
      <c r="H1541" s="3" t="s">
        <v>37</v>
      </c>
      <c r="I1541" s="3" t="s">
        <v>24</v>
      </c>
      <c r="J1541" s="3" t="s">
        <v>24</v>
      </c>
      <c r="K1541" s="3" t="s">
        <v>25</v>
      </c>
      <c r="L1541" s="4">
        <v>0</v>
      </c>
      <c r="M1541" s="3" t="s">
        <v>26</v>
      </c>
      <c r="N1541" s="3" t="s">
        <v>24</v>
      </c>
      <c r="O1541" s="4">
        <v>1</v>
      </c>
      <c r="P1541" s="4">
        <v>3</v>
      </c>
      <c r="Q1541" s="4">
        <v>1</v>
      </c>
    </row>
    <row r="1542" spans="1:17" x14ac:dyDescent="0.25">
      <c r="A1542" s="3" t="s">
        <v>18</v>
      </c>
      <c r="B1542" s="3">
        <v>13537864</v>
      </c>
      <c r="C1542" s="3" t="s">
        <v>1585</v>
      </c>
      <c r="D1542" s="3" t="s">
        <v>20</v>
      </c>
      <c r="E1542" s="3" t="s">
        <v>21</v>
      </c>
      <c r="F1542" s="3" t="s">
        <v>21</v>
      </c>
      <c r="G1542" s="3" t="s">
        <v>36</v>
      </c>
      <c r="H1542" s="3" t="s">
        <v>37</v>
      </c>
      <c r="I1542" s="3" t="s">
        <v>24</v>
      </c>
      <c r="J1542" s="3" t="s">
        <v>24</v>
      </c>
      <c r="K1542" s="3" t="s">
        <v>25</v>
      </c>
      <c r="L1542" s="4">
        <v>0</v>
      </c>
      <c r="M1542" s="3" t="s">
        <v>26</v>
      </c>
      <c r="N1542" s="3" t="s">
        <v>24</v>
      </c>
      <c r="O1542" s="4">
        <v>1</v>
      </c>
      <c r="P1542" s="4">
        <v>3</v>
      </c>
      <c r="Q1542" s="4">
        <v>1</v>
      </c>
    </row>
    <row r="1543" spans="1:17" x14ac:dyDescent="0.25">
      <c r="A1543" s="3" t="s">
        <v>18</v>
      </c>
      <c r="B1543" s="3">
        <v>13537865</v>
      </c>
      <c r="C1543" s="3" t="s">
        <v>1586</v>
      </c>
      <c r="D1543" s="3" t="s">
        <v>20</v>
      </c>
      <c r="E1543" s="3" t="s">
        <v>21</v>
      </c>
      <c r="F1543" s="3" t="s">
        <v>21</v>
      </c>
      <c r="G1543" s="3" t="s">
        <v>36</v>
      </c>
      <c r="H1543" s="3" t="s">
        <v>37</v>
      </c>
      <c r="I1543" s="3" t="s">
        <v>24</v>
      </c>
      <c r="J1543" s="3" t="s">
        <v>24</v>
      </c>
      <c r="K1543" s="3" t="s">
        <v>25</v>
      </c>
      <c r="L1543" s="4">
        <v>0</v>
      </c>
      <c r="M1543" s="3" t="s">
        <v>26</v>
      </c>
      <c r="N1543" s="3" t="s">
        <v>24</v>
      </c>
      <c r="O1543" s="4">
        <v>1</v>
      </c>
      <c r="P1543" s="4">
        <v>3</v>
      </c>
      <c r="Q1543" s="4">
        <v>1</v>
      </c>
    </row>
    <row r="1544" spans="1:17" x14ac:dyDescent="0.25">
      <c r="A1544" s="3" t="s">
        <v>18</v>
      </c>
      <c r="B1544" s="3">
        <v>13537866</v>
      </c>
      <c r="C1544" s="3" t="s">
        <v>1587</v>
      </c>
      <c r="D1544" s="3" t="s">
        <v>20</v>
      </c>
      <c r="E1544" s="3" t="s">
        <v>21</v>
      </c>
      <c r="F1544" s="3" t="s">
        <v>21</v>
      </c>
      <c r="G1544" s="3" t="s">
        <v>36</v>
      </c>
      <c r="H1544" s="3" t="s">
        <v>37</v>
      </c>
      <c r="I1544" s="3" t="s">
        <v>24</v>
      </c>
      <c r="J1544" s="3" t="s">
        <v>24</v>
      </c>
      <c r="K1544" s="3" t="s">
        <v>25</v>
      </c>
      <c r="L1544" s="4">
        <v>0</v>
      </c>
      <c r="M1544" s="3" t="s">
        <v>26</v>
      </c>
      <c r="N1544" s="3" t="s">
        <v>24</v>
      </c>
      <c r="O1544" s="4">
        <v>1</v>
      </c>
      <c r="P1544" s="4">
        <v>2</v>
      </c>
      <c r="Q1544" s="4">
        <v>1</v>
      </c>
    </row>
    <row r="1545" spans="1:17" x14ac:dyDescent="0.25">
      <c r="A1545" s="3" t="s">
        <v>18</v>
      </c>
      <c r="B1545" s="3">
        <v>13537867</v>
      </c>
      <c r="C1545" s="3" t="s">
        <v>1588</v>
      </c>
      <c r="D1545" s="3" t="s">
        <v>20</v>
      </c>
      <c r="E1545" s="3" t="s">
        <v>21</v>
      </c>
      <c r="F1545" s="3" t="s">
        <v>21</v>
      </c>
      <c r="G1545" s="3" t="s">
        <v>36</v>
      </c>
      <c r="H1545" s="3" t="s">
        <v>37</v>
      </c>
      <c r="I1545" s="3" t="s">
        <v>24</v>
      </c>
      <c r="J1545" s="3" t="s">
        <v>24</v>
      </c>
      <c r="K1545" s="3" t="s">
        <v>25</v>
      </c>
      <c r="L1545" s="4">
        <v>0</v>
      </c>
      <c r="M1545" s="3" t="s">
        <v>26</v>
      </c>
      <c r="N1545" s="3" t="s">
        <v>24</v>
      </c>
      <c r="O1545" s="4">
        <v>1</v>
      </c>
      <c r="P1545" s="4">
        <v>2</v>
      </c>
      <c r="Q1545" s="4">
        <v>1</v>
      </c>
    </row>
    <row r="1546" spans="1:17" x14ac:dyDescent="0.25">
      <c r="A1546" s="3" t="s">
        <v>18</v>
      </c>
      <c r="B1546" s="3">
        <v>13537918</v>
      </c>
      <c r="C1546" s="3" t="s">
        <v>1589</v>
      </c>
      <c r="D1546" s="3" t="s">
        <v>20</v>
      </c>
      <c r="E1546" s="3" t="s">
        <v>21</v>
      </c>
      <c r="F1546" s="3" t="s">
        <v>21</v>
      </c>
      <c r="G1546" s="3" t="s">
        <v>36</v>
      </c>
      <c r="H1546" s="3" t="s">
        <v>37</v>
      </c>
      <c r="I1546" s="3" t="s">
        <v>24</v>
      </c>
      <c r="J1546" s="3" t="s">
        <v>24</v>
      </c>
      <c r="K1546" s="3" t="s">
        <v>25</v>
      </c>
      <c r="L1546" s="4">
        <v>0</v>
      </c>
      <c r="M1546" s="3" t="s">
        <v>26</v>
      </c>
      <c r="N1546" s="3" t="s">
        <v>24</v>
      </c>
      <c r="O1546" s="4">
        <v>1</v>
      </c>
      <c r="P1546" s="4">
        <v>2</v>
      </c>
      <c r="Q1546" s="4">
        <v>1</v>
      </c>
    </row>
    <row r="1547" spans="1:17" x14ac:dyDescent="0.25">
      <c r="A1547" s="3" t="s">
        <v>18</v>
      </c>
      <c r="B1547" s="3">
        <v>13537919</v>
      </c>
      <c r="C1547" s="3" t="s">
        <v>1590</v>
      </c>
      <c r="D1547" s="3" t="s">
        <v>20</v>
      </c>
      <c r="E1547" s="3" t="s">
        <v>21</v>
      </c>
      <c r="F1547" s="3" t="s">
        <v>21</v>
      </c>
      <c r="G1547" s="3" t="s">
        <v>36</v>
      </c>
      <c r="H1547" s="3" t="s">
        <v>37</v>
      </c>
      <c r="I1547" s="3" t="s">
        <v>24</v>
      </c>
      <c r="J1547" s="3" t="s">
        <v>24</v>
      </c>
      <c r="K1547" s="3" t="s">
        <v>25</v>
      </c>
      <c r="L1547" s="4">
        <v>0</v>
      </c>
      <c r="M1547" s="3" t="s">
        <v>26</v>
      </c>
      <c r="N1547" s="3" t="s">
        <v>24</v>
      </c>
      <c r="O1547" s="4">
        <v>1</v>
      </c>
      <c r="P1547" s="4">
        <v>2</v>
      </c>
      <c r="Q1547" s="4">
        <v>1</v>
      </c>
    </row>
    <row r="1548" spans="1:17" x14ac:dyDescent="0.25">
      <c r="A1548" s="3" t="s">
        <v>18</v>
      </c>
      <c r="B1548" s="3">
        <v>13537939</v>
      </c>
      <c r="C1548" s="3" t="s">
        <v>1591</v>
      </c>
      <c r="D1548" s="3" t="s">
        <v>20</v>
      </c>
      <c r="E1548" s="3" t="s">
        <v>21</v>
      </c>
      <c r="F1548" s="3" t="s">
        <v>21</v>
      </c>
      <c r="G1548" s="3" t="s">
        <v>36</v>
      </c>
      <c r="H1548" s="3" t="s">
        <v>37</v>
      </c>
      <c r="I1548" s="3" t="s">
        <v>24</v>
      </c>
      <c r="J1548" s="3" t="s">
        <v>24</v>
      </c>
      <c r="K1548" s="3" t="s">
        <v>25</v>
      </c>
      <c r="L1548" s="4">
        <v>0</v>
      </c>
      <c r="M1548" s="3" t="s">
        <v>26</v>
      </c>
      <c r="N1548" s="3" t="s">
        <v>24</v>
      </c>
      <c r="O1548" s="4">
        <v>1</v>
      </c>
      <c r="P1548" s="4">
        <v>2</v>
      </c>
      <c r="Q1548" s="4">
        <v>1</v>
      </c>
    </row>
    <row r="1549" spans="1:17" x14ac:dyDescent="0.25">
      <c r="A1549" s="3" t="s">
        <v>18</v>
      </c>
      <c r="B1549" s="3">
        <v>13537940</v>
      </c>
      <c r="C1549" s="3" t="s">
        <v>1592</v>
      </c>
      <c r="D1549" s="3" t="s">
        <v>20</v>
      </c>
      <c r="E1549" s="3" t="s">
        <v>21</v>
      </c>
      <c r="F1549" s="3" t="s">
        <v>21</v>
      </c>
      <c r="G1549" s="3" t="s">
        <v>36</v>
      </c>
      <c r="H1549" s="3" t="s">
        <v>37</v>
      </c>
      <c r="I1549" s="3" t="s">
        <v>24</v>
      </c>
      <c r="J1549" s="3" t="s">
        <v>24</v>
      </c>
      <c r="K1549" s="3" t="s">
        <v>25</v>
      </c>
      <c r="L1549" s="4">
        <v>0</v>
      </c>
      <c r="M1549" s="3" t="s">
        <v>26</v>
      </c>
      <c r="N1549" s="3" t="s">
        <v>24</v>
      </c>
      <c r="O1549" s="4">
        <v>1</v>
      </c>
      <c r="P1549" s="4">
        <v>2</v>
      </c>
      <c r="Q1549" s="4">
        <v>1</v>
      </c>
    </row>
    <row r="1550" spans="1:17" x14ac:dyDescent="0.25">
      <c r="A1550" s="3" t="s">
        <v>18</v>
      </c>
      <c r="B1550" s="3">
        <v>13537943</v>
      </c>
      <c r="C1550" s="3" t="s">
        <v>1593</v>
      </c>
      <c r="D1550" s="3" t="s">
        <v>20</v>
      </c>
      <c r="E1550" s="3" t="s">
        <v>21</v>
      </c>
      <c r="F1550" s="3" t="s">
        <v>21</v>
      </c>
      <c r="G1550" s="3" t="s">
        <v>36</v>
      </c>
      <c r="H1550" s="3" t="s">
        <v>37</v>
      </c>
      <c r="I1550" s="3" t="s">
        <v>24</v>
      </c>
      <c r="J1550" s="3" t="s">
        <v>24</v>
      </c>
      <c r="K1550" s="3" t="s">
        <v>25</v>
      </c>
      <c r="L1550" s="4">
        <v>0</v>
      </c>
      <c r="M1550" s="3" t="s">
        <v>26</v>
      </c>
      <c r="N1550" s="3" t="s">
        <v>24</v>
      </c>
      <c r="O1550" s="4">
        <v>1</v>
      </c>
      <c r="P1550" s="4">
        <v>2</v>
      </c>
      <c r="Q1550" s="4">
        <v>1</v>
      </c>
    </row>
    <row r="1551" spans="1:17" x14ac:dyDescent="0.25">
      <c r="A1551" s="3" t="s">
        <v>18</v>
      </c>
      <c r="B1551" s="3">
        <v>13537944</v>
      </c>
      <c r="C1551" s="3" t="s">
        <v>1594</v>
      </c>
      <c r="D1551" s="3" t="s">
        <v>20</v>
      </c>
      <c r="E1551" s="3" t="s">
        <v>21</v>
      </c>
      <c r="F1551" s="3" t="s">
        <v>21</v>
      </c>
      <c r="G1551" s="3" t="s">
        <v>36</v>
      </c>
      <c r="H1551" s="3" t="s">
        <v>37</v>
      </c>
      <c r="I1551" s="3" t="s">
        <v>24</v>
      </c>
      <c r="J1551" s="3" t="s">
        <v>24</v>
      </c>
      <c r="K1551" s="3" t="s">
        <v>25</v>
      </c>
      <c r="L1551" s="4">
        <v>0</v>
      </c>
      <c r="M1551" s="3" t="s">
        <v>26</v>
      </c>
      <c r="N1551" s="3" t="s">
        <v>24</v>
      </c>
      <c r="O1551" s="4">
        <v>1</v>
      </c>
      <c r="P1551" s="4">
        <v>2</v>
      </c>
      <c r="Q1551" s="4">
        <v>1</v>
      </c>
    </row>
    <row r="1552" spans="1:17" x14ac:dyDescent="0.25">
      <c r="A1552" s="3" t="s">
        <v>18</v>
      </c>
      <c r="B1552" s="3">
        <v>13537945</v>
      </c>
      <c r="C1552" s="3" t="s">
        <v>1595</v>
      </c>
      <c r="D1552" s="3" t="s">
        <v>20</v>
      </c>
      <c r="E1552" s="3" t="s">
        <v>21</v>
      </c>
      <c r="F1552" s="3" t="s">
        <v>21</v>
      </c>
      <c r="G1552" s="3" t="s">
        <v>36</v>
      </c>
      <c r="H1552" s="3" t="s">
        <v>37</v>
      </c>
      <c r="I1552" s="3" t="s">
        <v>24</v>
      </c>
      <c r="J1552" s="3" t="s">
        <v>24</v>
      </c>
      <c r="K1552" s="3" t="s">
        <v>25</v>
      </c>
      <c r="L1552" s="4">
        <v>0</v>
      </c>
      <c r="M1552" s="3" t="s">
        <v>26</v>
      </c>
      <c r="N1552" s="3" t="s">
        <v>24</v>
      </c>
      <c r="O1552" s="4">
        <v>1</v>
      </c>
      <c r="P1552" s="4">
        <v>2</v>
      </c>
      <c r="Q1552" s="4">
        <v>1</v>
      </c>
    </row>
    <row r="1553" spans="1:17" x14ac:dyDescent="0.25">
      <c r="A1553" s="3" t="s">
        <v>18</v>
      </c>
      <c r="B1553" s="3">
        <v>13537946</v>
      </c>
      <c r="C1553" s="3" t="s">
        <v>1596</v>
      </c>
      <c r="D1553" s="3" t="s">
        <v>20</v>
      </c>
      <c r="E1553" s="3" t="s">
        <v>21</v>
      </c>
      <c r="F1553" s="3" t="s">
        <v>21</v>
      </c>
      <c r="G1553" s="3" t="s">
        <v>36</v>
      </c>
      <c r="H1553" s="3" t="s">
        <v>37</v>
      </c>
      <c r="I1553" s="3" t="s">
        <v>24</v>
      </c>
      <c r="J1553" s="3" t="s">
        <v>24</v>
      </c>
      <c r="K1553" s="3" t="s">
        <v>25</v>
      </c>
      <c r="L1553" s="4">
        <v>0</v>
      </c>
      <c r="M1553" s="3" t="s">
        <v>26</v>
      </c>
      <c r="N1553" s="3" t="s">
        <v>24</v>
      </c>
      <c r="O1553" s="4">
        <v>1</v>
      </c>
      <c r="P1553" s="4">
        <v>2</v>
      </c>
      <c r="Q1553" s="4">
        <v>1</v>
      </c>
    </row>
    <row r="1554" spans="1:17" x14ac:dyDescent="0.25">
      <c r="A1554" s="3" t="s">
        <v>18</v>
      </c>
      <c r="B1554" s="3">
        <v>13537968</v>
      </c>
      <c r="C1554" s="3" t="s">
        <v>1597</v>
      </c>
      <c r="D1554" s="3" t="s">
        <v>20</v>
      </c>
      <c r="E1554" s="3" t="s">
        <v>21</v>
      </c>
      <c r="F1554" s="3" t="s">
        <v>21</v>
      </c>
      <c r="G1554" s="3" t="s">
        <v>36</v>
      </c>
      <c r="H1554" s="3" t="s">
        <v>37</v>
      </c>
      <c r="I1554" s="3" t="s">
        <v>24</v>
      </c>
      <c r="J1554" s="3" t="s">
        <v>24</v>
      </c>
      <c r="K1554" s="3" t="s">
        <v>25</v>
      </c>
      <c r="L1554" s="4">
        <v>0</v>
      </c>
      <c r="M1554" s="3" t="s">
        <v>26</v>
      </c>
      <c r="N1554" s="3" t="s">
        <v>24</v>
      </c>
      <c r="O1554" s="4">
        <v>1</v>
      </c>
      <c r="P1554" s="4">
        <v>2</v>
      </c>
      <c r="Q1554" s="4">
        <v>1</v>
      </c>
    </row>
    <row r="1555" spans="1:17" x14ac:dyDescent="0.25">
      <c r="A1555" s="3" t="s">
        <v>18</v>
      </c>
      <c r="B1555" s="3">
        <v>13537969</v>
      </c>
      <c r="C1555" s="3" t="s">
        <v>1598</v>
      </c>
      <c r="D1555" s="3" t="s">
        <v>20</v>
      </c>
      <c r="E1555" s="3" t="s">
        <v>21</v>
      </c>
      <c r="F1555" s="3" t="s">
        <v>21</v>
      </c>
      <c r="G1555" s="3" t="s">
        <v>36</v>
      </c>
      <c r="H1555" s="3" t="s">
        <v>37</v>
      </c>
      <c r="I1555" s="3" t="s">
        <v>24</v>
      </c>
      <c r="J1555" s="3" t="s">
        <v>24</v>
      </c>
      <c r="K1555" s="3" t="s">
        <v>25</v>
      </c>
      <c r="L1555" s="4">
        <v>0</v>
      </c>
      <c r="M1555" s="3" t="s">
        <v>26</v>
      </c>
      <c r="N1555" s="3" t="s">
        <v>24</v>
      </c>
      <c r="O1555" s="4">
        <v>1</v>
      </c>
      <c r="P1555" s="4">
        <v>2</v>
      </c>
      <c r="Q1555" s="4">
        <v>1</v>
      </c>
    </row>
    <row r="1556" spans="1:17" x14ac:dyDescent="0.25">
      <c r="A1556" s="3" t="s">
        <v>18</v>
      </c>
      <c r="B1556" s="3">
        <v>13537974</v>
      </c>
      <c r="C1556" s="3" t="s">
        <v>1599</v>
      </c>
      <c r="D1556" s="3" t="s">
        <v>20</v>
      </c>
      <c r="E1556" s="3" t="s">
        <v>21</v>
      </c>
      <c r="F1556" s="3" t="s">
        <v>21</v>
      </c>
      <c r="G1556" s="3" t="s">
        <v>36</v>
      </c>
      <c r="H1556" s="3" t="s">
        <v>37</v>
      </c>
      <c r="I1556" s="3" t="s">
        <v>24</v>
      </c>
      <c r="J1556" s="3" t="s">
        <v>24</v>
      </c>
      <c r="K1556" s="3" t="s">
        <v>25</v>
      </c>
      <c r="L1556" s="4">
        <v>0</v>
      </c>
      <c r="M1556" s="3" t="s">
        <v>26</v>
      </c>
      <c r="N1556" s="3" t="s">
        <v>24</v>
      </c>
      <c r="O1556" s="4">
        <v>1</v>
      </c>
      <c r="P1556" s="4">
        <v>2</v>
      </c>
      <c r="Q1556" s="4">
        <v>1</v>
      </c>
    </row>
    <row r="1557" spans="1:17" x14ac:dyDescent="0.25">
      <c r="A1557" s="3" t="s">
        <v>18</v>
      </c>
      <c r="B1557" s="3">
        <v>13538028</v>
      </c>
      <c r="C1557" s="3" t="s">
        <v>1600</v>
      </c>
      <c r="D1557" s="3" t="s">
        <v>20</v>
      </c>
      <c r="E1557" s="3" t="s">
        <v>21</v>
      </c>
      <c r="F1557" s="3" t="s">
        <v>21</v>
      </c>
      <c r="G1557" s="3" t="s">
        <v>36</v>
      </c>
      <c r="H1557" s="3" t="s">
        <v>37</v>
      </c>
      <c r="I1557" s="3" t="s">
        <v>24</v>
      </c>
      <c r="J1557" s="3" t="s">
        <v>24</v>
      </c>
      <c r="K1557" s="3" t="s">
        <v>25</v>
      </c>
      <c r="L1557" s="4">
        <v>0</v>
      </c>
      <c r="M1557" s="3" t="s">
        <v>26</v>
      </c>
      <c r="N1557" s="3" t="s">
        <v>24</v>
      </c>
      <c r="O1557" s="4">
        <v>1</v>
      </c>
      <c r="P1557" s="4">
        <v>2</v>
      </c>
      <c r="Q1557" s="4">
        <v>1</v>
      </c>
    </row>
    <row r="1558" spans="1:17" x14ac:dyDescent="0.25">
      <c r="A1558" s="3" t="s">
        <v>18</v>
      </c>
      <c r="B1558" s="3">
        <v>13538030</v>
      </c>
      <c r="C1558" s="3" t="s">
        <v>1601</v>
      </c>
      <c r="D1558" s="3" t="s">
        <v>20</v>
      </c>
      <c r="E1558" s="3" t="s">
        <v>21</v>
      </c>
      <c r="F1558" s="3" t="s">
        <v>21</v>
      </c>
      <c r="G1558" s="3" t="s">
        <v>36</v>
      </c>
      <c r="H1558" s="3" t="s">
        <v>37</v>
      </c>
      <c r="I1558" s="3" t="s">
        <v>24</v>
      </c>
      <c r="J1558" s="3" t="s">
        <v>24</v>
      </c>
      <c r="K1558" s="3" t="s">
        <v>25</v>
      </c>
      <c r="L1558" s="4">
        <v>0</v>
      </c>
      <c r="M1558" s="3" t="s">
        <v>26</v>
      </c>
      <c r="N1558" s="3" t="s">
        <v>24</v>
      </c>
      <c r="O1558" s="4">
        <v>1</v>
      </c>
      <c r="P1558" s="4">
        <v>2</v>
      </c>
      <c r="Q1558" s="4">
        <v>1</v>
      </c>
    </row>
    <row r="1559" spans="1:17" x14ac:dyDescent="0.25">
      <c r="A1559" s="3" t="s">
        <v>18</v>
      </c>
      <c r="B1559" s="3">
        <v>13538031</v>
      </c>
      <c r="C1559" s="3" t="s">
        <v>1602</v>
      </c>
      <c r="D1559" s="3" t="s">
        <v>20</v>
      </c>
      <c r="E1559" s="3" t="s">
        <v>21</v>
      </c>
      <c r="F1559" s="3" t="s">
        <v>21</v>
      </c>
      <c r="G1559" s="3" t="s">
        <v>36</v>
      </c>
      <c r="H1559" s="3" t="s">
        <v>37</v>
      </c>
      <c r="I1559" s="3" t="s">
        <v>24</v>
      </c>
      <c r="J1559" s="3" t="s">
        <v>24</v>
      </c>
      <c r="K1559" s="3" t="s">
        <v>25</v>
      </c>
      <c r="L1559" s="4">
        <v>0</v>
      </c>
      <c r="M1559" s="3" t="s">
        <v>26</v>
      </c>
      <c r="N1559" s="3" t="s">
        <v>24</v>
      </c>
      <c r="O1559" s="4">
        <v>1</v>
      </c>
      <c r="P1559" s="4">
        <v>2</v>
      </c>
      <c r="Q1559" s="4">
        <v>1</v>
      </c>
    </row>
    <row r="1560" spans="1:17" x14ac:dyDescent="0.25">
      <c r="A1560" s="3" t="s">
        <v>18</v>
      </c>
      <c r="B1560" s="3">
        <v>13538100</v>
      </c>
      <c r="C1560" s="3" t="s">
        <v>1603</v>
      </c>
      <c r="D1560" s="3" t="s">
        <v>20</v>
      </c>
      <c r="E1560" s="3" t="s">
        <v>21</v>
      </c>
      <c r="F1560" s="3" t="s">
        <v>21</v>
      </c>
      <c r="G1560" s="3" t="s">
        <v>362</v>
      </c>
      <c r="H1560" s="3" t="s">
        <v>363</v>
      </c>
      <c r="I1560" s="3" t="s">
        <v>24</v>
      </c>
      <c r="J1560" s="3" t="s">
        <v>24</v>
      </c>
      <c r="K1560" s="3" t="s">
        <v>25</v>
      </c>
      <c r="L1560" s="4">
        <v>0</v>
      </c>
      <c r="M1560" s="3" t="s">
        <v>26</v>
      </c>
      <c r="N1560" s="3" t="s">
        <v>24</v>
      </c>
      <c r="O1560" s="4">
        <v>1</v>
      </c>
      <c r="P1560" s="4">
        <v>1</v>
      </c>
      <c r="Q1560" s="4">
        <v>1</v>
      </c>
    </row>
    <row r="1561" spans="1:17" x14ac:dyDescent="0.25">
      <c r="A1561" s="3" t="s">
        <v>18</v>
      </c>
      <c r="B1561" s="3">
        <v>13539707</v>
      </c>
      <c r="C1561" s="3" t="s">
        <v>1604</v>
      </c>
      <c r="D1561" s="3" t="s">
        <v>1360</v>
      </c>
      <c r="E1561" s="3" t="s">
        <v>21</v>
      </c>
      <c r="F1561" s="3" t="s">
        <v>21</v>
      </c>
      <c r="G1561" s="3" t="s">
        <v>36</v>
      </c>
      <c r="H1561" s="3" t="s">
        <v>37</v>
      </c>
      <c r="I1561" s="3" t="s">
        <v>24</v>
      </c>
      <c r="J1561" s="3" t="s">
        <v>24</v>
      </c>
      <c r="K1561" s="3" t="s">
        <v>25</v>
      </c>
      <c r="L1561" s="4">
        <v>0</v>
      </c>
      <c r="M1561" s="3" t="s">
        <v>26</v>
      </c>
      <c r="N1561" s="3" t="s">
        <v>24</v>
      </c>
      <c r="O1561" s="4">
        <v>1</v>
      </c>
      <c r="P1561" s="4">
        <v>10</v>
      </c>
      <c r="Q1561" s="4">
        <v>1</v>
      </c>
    </row>
    <row r="1562" spans="1:17" x14ac:dyDescent="0.25">
      <c r="A1562" s="3" t="s">
        <v>18</v>
      </c>
      <c r="B1562" s="3">
        <v>13539762</v>
      </c>
      <c r="C1562" s="3" t="s">
        <v>1605</v>
      </c>
      <c r="D1562" s="3" t="s">
        <v>1360</v>
      </c>
      <c r="E1562" s="3" t="s">
        <v>21</v>
      </c>
      <c r="F1562" s="3" t="s">
        <v>21</v>
      </c>
      <c r="G1562" s="3" t="s">
        <v>36</v>
      </c>
      <c r="H1562" s="3" t="s">
        <v>37</v>
      </c>
      <c r="I1562" s="3" t="s">
        <v>24</v>
      </c>
      <c r="J1562" s="3" t="s">
        <v>24</v>
      </c>
      <c r="K1562" s="3" t="s">
        <v>25</v>
      </c>
      <c r="L1562" s="4">
        <v>0</v>
      </c>
      <c r="M1562" s="3" t="s">
        <v>26</v>
      </c>
      <c r="N1562" s="3" t="s">
        <v>24</v>
      </c>
      <c r="O1562" s="4">
        <v>1</v>
      </c>
      <c r="P1562" s="4">
        <v>10</v>
      </c>
      <c r="Q1562" s="4">
        <v>1</v>
      </c>
    </row>
    <row r="1563" spans="1:17" x14ac:dyDescent="0.25">
      <c r="A1563" s="3" t="s">
        <v>18</v>
      </c>
      <c r="B1563" s="3">
        <v>13539793</v>
      </c>
      <c r="C1563" s="3" t="s">
        <v>1606</v>
      </c>
      <c r="D1563" s="3" t="s">
        <v>20</v>
      </c>
      <c r="E1563" s="3" t="s">
        <v>21</v>
      </c>
      <c r="F1563" s="3" t="s">
        <v>21</v>
      </c>
      <c r="G1563" s="3" t="s">
        <v>36</v>
      </c>
      <c r="H1563" s="3" t="s">
        <v>37</v>
      </c>
      <c r="I1563" s="3" t="s">
        <v>24</v>
      </c>
      <c r="J1563" s="3" t="s">
        <v>24</v>
      </c>
      <c r="K1563" s="3" t="s">
        <v>25</v>
      </c>
      <c r="L1563" s="4">
        <v>0</v>
      </c>
      <c r="M1563" s="3" t="s">
        <v>26</v>
      </c>
      <c r="N1563" s="3" t="s">
        <v>24</v>
      </c>
      <c r="O1563" s="4">
        <v>1</v>
      </c>
      <c r="P1563" s="4">
        <v>10</v>
      </c>
      <c r="Q1563" s="4">
        <v>1</v>
      </c>
    </row>
    <row r="1564" spans="1:17" x14ac:dyDescent="0.25">
      <c r="A1564" s="3" t="s">
        <v>18</v>
      </c>
      <c r="B1564" s="3">
        <v>13539797</v>
      </c>
      <c r="C1564" s="3" t="s">
        <v>1607</v>
      </c>
      <c r="D1564" s="3" t="s">
        <v>20</v>
      </c>
      <c r="E1564" s="3" t="s">
        <v>21</v>
      </c>
      <c r="F1564" s="3" t="s">
        <v>21</v>
      </c>
      <c r="G1564" s="3" t="s">
        <v>233</v>
      </c>
      <c r="H1564" s="3" t="s">
        <v>234</v>
      </c>
      <c r="I1564" s="3" t="s">
        <v>24</v>
      </c>
      <c r="J1564" s="3" t="s">
        <v>24</v>
      </c>
      <c r="K1564" s="3" t="s">
        <v>25</v>
      </c>
      <c r="L1564" s="4">
        <v>0</v>
      </c>
      <c r="M1564" s="3" t="s">
        <v>26</v>
      </c>
      <c r="N1564" s="3" t="s">
        <v>24</v>
      </c>
      <c r="O1564" s="4">
        <v>1</v>
      </c>
      <c r="P1564" s="4">
        <v>2</v>
      </c>
      <c r="Q1564" s="4">
        <v>1</v>
      </c>
    </row>
    <row r="1565" spans="1:17" x14ac:dyDescent="0.25">
      <c r="A1565" s="3" t="s">
        <v>18</v>
      </c>
      <c r="B1565" s="3">
        <v>13539860</v>
      </c>
      <c r="C1565" s="3" t="s">
        <v>1608</v>
      </c>
      <c r="D1565" s="3" t="s">
        <v>20</v>
      </c>
      <c r="E1565" s="3" t="s">
        <v>21</v>
      </c>
      <c r="F1565" s="3" t="s">
        <v>21</v>
      </c>
      <c r="G1565" s="3" t="s">
        <v>233</v>
      </c>
      <c r="H1565" s="3" t="s">
        <v>234</v>
      </c>
      <c r="I1565" s="3" t="s">
        <v>24</v>
      </c>
      <c r="J1565" s="3" t="s">
        <v>24</v>
      </c>
      <c r="K1565" s="3" t="s">
        <v>25</v>
      </c>
      <c r="L1565" s="4">
        <v>0</v>
      </c>
      <c r="M1565" s="3" t="s">
        <v>26</v>
      </c>
      <c r="N1565" s="3" t="s">
        <v>24</v>
      </c>
      <c r="O1565" s="4">
        <v>1</v>
      </c>
      <c r="P1565" s="4">
        <v>2</v>
      </c>
      <c r="Q1565" s="4">
        <v>1</v>
      </c>
    </row>
    <row r="1566" spans="1:17" x14ac:dyDescent="0.25">
      <c r="A1566" s="3" t="s">
        <v>18</v>
      </c>
      <c r="B1566" s="3">
        <v>13540820</v>
      </c>
      <c r="C1566" s="3" t="s">
        <v>1609</v>
      </c>
      <c r="D1566" s="3" t="s">
        <v>20</v>
      </c>
      <c r="E1566" s="3" t="s">
        <v>21</v>
      </c>
      <c r="F1566" s="3" t="s">
        <v>21</v>
      </c>
      <c r="G1566" s="3" t="s">
        <v>362</v>
      </c>
      <c r="H1566" s="3" t="s">
        <v>363</v>
      </c>
      <c r="I1566" s="3" t="s">
        <v>24</v>
      </c>
      <c r="J1566" s="3" t="s">
        <v>24</v>
      </c>
      <c r="K1566" s="3" t="s">
        <v>25</v>
      </c>
      <c r="L1566" s="4">
        <v>0</v>
      </c>
      <c r="M1566" s="3" t="s">
        <v>26</v>
      </c>
      <c r="N1566" s="3" t="s">
        <v>24</v>
      </c>
      <c r="O1566" s="4">
        <v>1</v>
      </c>
      <c r="P1566" s="4">
        <v>1</v>
      </c>
      <c r="Q1566" s="4">
        <v>1</v>
      </c>
    </row>
    <row r="1567" spans="1:17" x14ac:dyDescent="0.25">
      <c r="A1567" s="3" t="s">
        <v>18</v>
      </c>
      <c r="B1567" s="3">
        <v>13540822</v>
      </c>
      <c r="C1567" s="3" t="s">
        <v>1610</v>
      </c>
      <c r="D1567" s="3" t="s">
        <v>20</v>
      </c>
      <c r="E1567" s="3" t="s">
        <v>21</v>
      </c>
      <c r="F1567" s="3" t="s">
        <v>21</v>
      </c>
      <c r="G1567" s="3" t="s">
        <v>362</v>
      </c>
      <c r="H1567" s="3" t="s">
        <v>363</v>
      </c>
      <c r="I1567" s="3" t="s">
        <v>24</v>
      </c>
      <c r="J1567" s="3" t="s">
        <v>24</v>
      </c>
      <c r="K1567" s="3" t="s">
        <v>25</v>
      </c>
      <c r="L1567" s="4">
        <v>0</v>
      </c>
      <c r="M1567" s="3" t="s">
        <v>26</v>
      </c>
      <c r="N1567" s="3" t="s">
        <v>24</v>
      </c>
      <c r="O1567" s="4">
        <v>1</v>
      </c>
      <c r="P1567" s="4">
        <v>1</v>
      </c>
      <c r="Q1567" s="4">
        <v>1</v>
      </c>
    </row>
    <row r="1568" spans="1:17" x14ac:dyDescent="0.25">
      <c r="A1568" s="3" t="s">
        <v>18</v>
      </c>
      <c r="B1568" s="3">
        <v>13540823</v>
      </c>
      <c r="C1568" s="3" t="s">
        <v>1611</v>
      </c>
      <c r="D1568" s="3" t="s">
        <v>20</v>
      </c>
      <c r="E1568" s="3" t="s">
        <v>21</v>
      </c>
      <c r="F1568" s="3" t="s">
        <v>21</v>
      </c>
      <c r="G1568" s="3" t="s">
        <v>410</v>
      </c>
      <c r="H1568" s="3" t="s">
        <v>411</v>
      </c>
      <c r="I1568" s="3" t="s">
        <v>24</v>
      </c>
      <c r="J1568" s="3" t="s">
        <v>24</v>
      </c>
      <c r="K1568" s="3" t="s">
        <v>25</v>
      </c>
      <c r="L1568" s="4">
        <v>0</v>
      </c>
      <c r="M1568" s="3" t="s">
        <v>26</v>
      </c>
      <c r="N1568" s="3" t="s">
        <v>24</v>
      </c>
      <c r="O1568" s="4">
        <v>1</v>
      </c>
      <c r="P1568" s="4">
        <v>8</v>
      </c>
      <c r="Q1568" s="4">
        <v>1</v>
      </c>
    </row>
    <row r="1569" spans="1:17" x14ac:dyDescent="0.25">
      <c r="A1569" s="3" t="s">
        <v>18</v>
      </c>
      <c r="B1569" s="3">
        <v>13540824</v>
      </c>
      <c r="C1569" s="3" t="s">
        <v>1612</v>
      </c>
      <c r="D1569" s="3" t="s">
        <v>20</v>
      </c>
      <c r="E1569" s="3" t="s">
        <v>21</v>
      </c>
      <c r="F1569" s="3" t="s">
        <v>21</v>
      </c>
      <c r="G1569" s="3" t="s">
        <v>410</v>
      </c>
      <c r="H1569" s="3" t="s">
        <v>411</v>
      </c>
      <c r="I1569" s="3" t="s">
        <v>24</v>
      </c>
      <c r="J1569" s="3" t="s">
        <v>24</v>
      </c>
      <c r="K1569" s="3" t="s">
        <v>25</v>
      </c>
      <c r="L1569" s="4">
        <v>0</v>
      </c>
      <c r="M1569" s="3" t="s">
        <v>26</v>
      </c>
      <c r="N1569" s="3" t="s">
        <v>24</v>
      </c>
      <c r="O1569" s="4">
        <v>1</v>
      </c>
      <c r="P1569" s="4">
        <v>1</v>
      </c>
      <c r="Q1569" s="4">
        <v>1</v>
      </c>
    </row>
    <row r="1570" spans="1:17" x14ac:dyDescent="0.25">
      <c r="A1570" s="3" t="s">
        <v>18</v>
      </c>
      <c r="B1570" s="3">
        <v>13540825</v>
      </c>
      <c r="C1570" s="3" t="s">
        <v>1613</v>
      </c>
      <c r="D1570" s="3" t="s">
        <v>20</v>
      </c>
      <c r="E1570" s="3" t="s">
        <v>21</v>
      </c>
      <c r="F1570" s="3" t="s">
        <v>21</v>
      </c>
      <c r="G1570" s="3" t="s">
        <v>410</v>
      </c>
      <c r="H1570" s="3" t="s">
        <v>411</v>
      </c>
      <c r="I1570" s="3" t="s">
        <v>24</v>
      </c>
      <c r="J1570" s="3" t="s">
        <v>24</v>
      </c>
      <c r="K1570" s="3" t="s">
        <v>25</v>
      </c>
      <c r="L1570" s="4">
        <v>0</v>
      </c>
      <c r="M1570" s="3" t="s">
        <v>26</v>
      </c>
      <c r="N1570" s="3" t="s">
        <v>24</v>
      </c>
      <c r="O1570" s="4">
        <v>1</v>
      </c>
      <c r="P1570" s="4">
        <v>10</v>
      </c>
      <c r="Q1570" s="4">
        <v>1</v>
      </c>
    </row>
    <row r="1571" spans="1:17" x14ac:dyDescent="0.25">
      <c r="A1571" s="3" t="s">
        <v>18</v>
      </c>
      <c r="B1571" s="3">
        <v>13540826</v>
      </c>
      <c r="C1571" s="3" t="s">
        <v>1614</v>
      </c>
      <c r="D1571" s="3" t="s">
        <v>20</v>
      </c>
      <c r="E1571" s="3" t="s">
        <v>21</v>
      </c>
      <c r="F1571" s="3" t="s">
        <v>21</v>
      </c>
      <c r="G1571" s="3" t="s">
        <v>410</v>
      </c>
      <c r="H1571" s="3" t="s">
        <v>411</v>
      </c>
      <c r="I1571" s="3" t="s">
        <v>24</v>
      </c>
      <c r="J1571" s="3" t="s">
        <v>24</v>
      </c>
      <c r="K1571" s="3" t="s">
        <v>25</v>
      </c>
      <c r="L1571" s="4">
        <v>0</v>
      </c>
      <c r="M1571" s="3" t="s">
        <v>26</v>
      </c>
      <c r="N1571" s="3" t="s">
        <v>24</v>
      </c>
      <c r="O1571" s="4">
        <v>1</v>
      </c>
      <c r="P1571" s="4">
        <v>2</v>
      </c>
      <c r="Q1571" s="4">
        <v>1</v>
      </c>
    </row>
    <row r="1572" spans="1:17" x14ac:dyDescent="0.25">
      <c r="A1572" s="3" t="s">
        <v>18</v>
      </c>
      <c r="B1572" s="3">
        <v>13540827</v>
      </c>
      <c r="C1572" s="3" t="s">
        <v>1615</v>
      </c>
      <c r="D1572" s="3" t="s">
        <v>20</v>
      </c>
      <c r="E1572" s="3" t="s">
        <v>21</v>
      </c>
      <c r="F1572" s="3" t="s">
        <v>21</v>
      </c>
      <c r="G1572" s="3" t="s">
        <v>410</v>
      </c>
      <c r="H1572" s="3" t="s">
        <v>411</v>
      </c>
      <c r="I1572" s="3" t="s">
        <v>24</v>
      </c>
      <c r="J1572" s="3" t="s">
        <v>24</v>
      </c>
      <c r="K1572" s="3" t="s">
        <v>25</v>
      </c>
      <c r="L1572" s="4">
        <v>0</v>
      </c>
      <c r="M1572" s="3" t="s">
        <v>26</v>
      </c>
      <c r="N1572" s="3" t="s">
        <v>24</v>
      </c>
      <c r="O1572" s="4">
        <v>1</v>
      </c>
      <c r="P1572" s="4">
        <v>8</v>
      </c>
      <c r="Q1572" s="4">
        <v>1</v>
      </c>
    </row>
    <row r="1573" spans="1:17" x14ac:dyDescent="0.25">
      <c r="A1573" s="3" t="s">
        <v>18</v>
      </c>
      <c r="B1573" s="3">
        <v>13541028</v>
      </c>
      <c r="C1573" s="3" t="s">
        <v>1616</v>
      </c>
      <c r="D1573" s="3" t="s">
        <v>20</v>
      </c>
      <c r="E1573" s="3" t="s">
        <v>21</v>
      </c>
      <c r="F1573" s="3" t="s">
        <v>21</v>
      </c>
      <c r="G1573" s="3" t="s">
        <v>410</v>
      </c>
      <c r="H1573" s="3" t="s">
        <v>411</v>
      </c>
      <c r="I1573" s="3" t="s">
        <v>24</v>
      </c>
      <c r="J1573" s="3" t="s">
        <v>24</v>
      </c>
      <c r="K1573" s="3" t="s">
        <v>25</v>
      </c>
      <c r="L1573" s="4">
        <v>0</v>
      </c>
      <c r="M1573" s="3" t="s">
        <v>26</v>
      </c>
      <c r="N1573" s="3" t="s">
        <v>24</v>
      </c>
      <c r="O1573" s="4">
        <v>1</v>
      </c>
      <c r="P1573" s="4">
        <v>1</v>
      </c>
      <c r="Q1573" s="4">
        <v>1</v>
      </c>
    </row>
    <row r="1574" spans="1:17" x14ac:dyDescent="0.25">
      <c r="A1574" s="3" t="s">
        <v>18</v>
      </c>
      <c r="B1574" s="3">
        <v>13541029</v>
      </c>
      <c r="C1574" s="3" t="s">
        <v>1617</v>
      </c>
      <c r="D1574" s="3" t="s">
        <v>20</v>
      </c>
      <c r="E1574" s="3" t="s">
        <v>21</v>
      </c>
      <c r="F1574" s="3" t="s">
        <v>21</v>
      </c>
      <c r="G1574" s="3" t="s">
        <v>410</v>
      </c>
      <c r="H1574" s="3" t="s">
        <v>411</v>
      </c>
      <c r="I1574" s="3" t="s">
        <v>24</v>
      </c>
      <c r="J1574" s="3" t="s">
        <v>24</v>
      </c>
      <c r="K1574" s="3" t="s">
        <v>25</v>
      </c>
      <c r="L1574" s="4">
        <v>0</v>
      </c>
      <c r="M1574" s="3" t="s">
        <v>26</v>
      </c>
      <c r="N1574" s="3" t="s">
        <v>24</v>
      </c>
      <c r="O1574" s="4">
        <v>1</v>
      </c>
      <c r="P1574" s="4">
        <v>10</v>
      </c>
      <c r="Q1574" s="4">
        <v>1</v>
      </c>
    </row>
    <row r="1575" spans="1:17" x14ac:dyDescent="0.25">
      <c r="A1575" s="3" t="s">
        <v>18</v>
      </c>
      <c r="B1575" s="3">
        <v>13541032</v>
      </c>
      <c r="C1575" s="3" t="s">
        <v>1618</v>
      </c>
      <c r="D1575" s="3" t="s">
        <v>20</v>
      </c>
      <c r="E1575" s="3" t="s">
        <v>21</v>
      </c>
      <c r="F1575" s="3" t="s">
        <v>21</v>
      </c>
      <c r="G1575" s="3" t="s">
        <v>410</v>
      </c>
      <c r="H1575" s="3" t="s">
        <v>411</v>
      </c>
      <c r="I1575" s="3" t="s">
        <v>24</v>
      </c>
      <c r="J1575" s="3" t="s">
        <v>24</v>
      </c>
      <c r="K1575" s="3" t="s">
        <v>25</v>
      </c>
      <c r="L1575" s="4">
        <v>0</v>
      </c>
      <c r="M1575" s="3" t="s">
        <v>26</v>
      </c>
      <c r="N1575" s="3" t="s">
        <v>24</v>
      </c>
      <c r="O1575" s="4">
        <v>1</v>
      </c>
      <c r="P1575" s="4">
        <v>2</v>
      </c>
      <c r="Q1575" s="4">
        <v>1</v>
      </c>
    </row>
    <row r="1576" spans="1:17" x14ac:dyDescent="0.25">
      <c r="A1576" s="3" t="s">
        <v>18</v>
      </c>
      <c r="B1576" s="3">
        <v>13541495</v>
      </c>
      <c r="C1576" s="3" t="s">
        <v>1619</v>
      </c>
      <c r="D1576" s="3" t="s">
        <v>20</v>
      </c>
      <c r="E1576" s="3" t="s">
        <v>21</v>
      </c>
      <c r="F1576" s="3" t="s">
        <v>21</v>
      </c>
      <c r="G1576" s="3" t="s">
        <v>362</v>
      </c>
      <c r="H1576" s="3" t="s">
        <v>363</v>
      </c>
      <c r="I1576" s="3" t="s">
        <v>24</v>
      </c>
      <c r="J1576" s="3" t="s">
        <v>24</v>
      </c>
      <c r="K1576" s="3" t="s">
        <v>25</v>
      </c>
      <c r="L1576" s="4">
        <v>0</v>
      </c>
      <c r="M1576" s="3" t="s">
        <v>26</v>
      </c>
      <c r="N1576" s="3" t="s">
        <v>24</v>
      </c>
      <c r="O1576" s="4">
        <v>1</v>
      </c>
      <c r="P1576" s="4">
        <v>1</v>
      </c>
      <c r="Q1576" s="4">
        <v>1</v>
      </c>
    </row>
    <row r="1577" spans="1:17" x14ac:dyDescent="0.25">
      <c r="A1577" s="3" t="s">
        <v>18</v>
      </c>
      <c r="B1577" s="3">
        <v>13541497</v>
      </c>
      <c r="C1577" s="3" t="s">
        <v>1620</v>
      </c>
      <c r="D1577" s="3" t="s">
        <v>20</v>
      </c>
      <c r="E1577" s="3" t="s">
        <v>21</v>
      </c>
      <c r="F1577" s="3" t="s">
        <v>21</v>
      </c>
      <c r="G1577" s="3" t="s">
        <v>362</v>
      </c>
      <c r="H1577" s="3" t="s">
        <v>363</v>
      </c>
      <c r="I1577" s="3" t="s">
        <v>24</v>
      </c>
      <c r="J1577" s="3" t="s">
        <v>24</v>
      </c>
      <c r="K1577" s="3" t="s">
        <v>25</v>
      </c>
      <c r="L1577" s="4">
        <v>0</v>
      </c>
      <c r="M1577" s="3" t="s">
        <v>26</v>
      </c>
      <c r="N1577" s="3" t="s">
        <v>24</v>
      </c>
      <c r="O1577" s="4">
        <v>1</v>
      </c>
      <c r="P1577" s="4">
        <v>1</v>
      </c>
      <c r="Q1577" s="4">
        <v>1</v>
      </c>
    </row>
    <row r="1578" spans="1:17" x14ac:dyDescent="0.25">
      <c r="A1578" s="3" t="s">
        <v>18</v>
      </c>
      <c r="B1578" s="3">
        <v>13541539</v>
      </c>
      <c r="C1578" s="3" t="s">
        <v>1621</v>
      </c>
      <c r="D1578" s="3" t="s">
        <v>20</v>
      </c>
      <c r="E1578" s="3" t="s">
        <v>21</v>
      </c>
      <c r="F1578" s="3" t="s">
        <v>21</v>
      </c>
      <c r="G1578" s="3" t="s">
        <v>362</v>
      </c>
      <c r="H1578" s="3" t="s">
        <v>363</v>
      </c>
      <c r="I1578" s="3" t="s">
        <v>24</v>
      </c>
      <c r="J1578" s="3" t="s">
        <v>24</v>
      </c>
      <c r="K1578" s="3" t="s">
        <v>25</v>
      </c>
      <c r="L1578" s="4">
        <v>0</v>
      </c>
      <c r="M1578" s="3" t="s">
        <v>26</v>
      </c>
      <c r="N1578" s="3" t="s">
        <v>24</v>
      </c>
      <c r="O1578" s="4">
        <v>1</v>
      </c>
      <c r="P1578" s="4">
        <v>1</v>
      </c>
      <c r="Q1578" s="4">
        <v>1</v>
      </c>
    </row>
    <row r="1579" spans="1:17" x14ac:dyDescent="0.25">
      <c r="A1579" s="3" t="s">
        <v>18</v>
      </c>
      <c r="B1579" s="3">
        <v>13541540</v>
      </c>
      <c r="C1579" s="3" t="s">
        <v>1622</v>
      </c>
      <c r="D1579" s="3" t="s">
        <v>20</v>
      </c>
      <c r="E1579" s="3" t="s">
        <v>21</v>
      </c>
      <c r="F1579" s="3" t="s">
        <v>21</v>
      </c>
      <c r="G1579" s="3" t="s">
        <v>362</v>
      </c>
      <c r="H1579" s="3" t="s">
        <v>363</v>
      </c>
      <c r="I1579" s="3" t="s">
        <v>24</v>
      </c>
      <c r="J1579" s="3" t="s">
        <v>24</v>
      </c>
      <c r="K1579" s="3" t="s">
        <v>25</v>
      </c>
      <c r="L1579" s="4">
        <v>0</v>
      </c>
      <c r="M1579" s="3" t="s">
        <v>26</v>
      </c>
      <c r="N1579" s="3" t="s">
        <v>24</v>
      </c>
      <c r="O1579" s="4">
        <v>1</v>
      </c>
      <c r="P1579" s="4">
        <v>1</v>
      </c>
      <c r="Q1579" s="4">
        <v>1</v>
      </c>
    </row>
    <row r="1580" spans="1:17" x14ac:dyDescent="0.25">
      <c r="A1580" s="3" t="s">
        <v>18</v>
      </c>
      <c r="B1580" s="3">
        <v>13541542</v>
      </c>
      <c r="C1580" s="3" t="s">
        <v>1623</v>
      </c>
      <c r="D1580" s="3" t="s">
        <v>20</v>
      </c>
      <c r="E1580" s="3" t="s">
        <v>21</v>
      </c>
      <c r="F1580" s="3" t="s">
        <v>21</v>
      </c>
      <c r="G1580" s="3" t="s">
        <v>362</v>
      </c>
      <c r="H1580" s="3" t="s">
        <v>363</v>
      </c>
      <c r="I1580" s="3" t="s">
        <v>24</v>
      </c>
      <c r="J1580" s="3" t="s">
        <v>24</v>
      </c>
      <c r="K1580" s="3" t="s">
        <v>25</v>
      </c>
      <c r="L1580" s="4">
        <v>0</v>
      </c>
      <c r="M1580" s="3" t="s">
        <v>26</v>
      </c>
      <c r="N1580" s="3" t="s">
        <v>24</v>
      </c>
      <c r="O1580" s="4">
        <v>1</v>
      </c>
      <c r="P1580" s="4">
        <v>1</v>
      </c>
      <c r="Q1580" s="4">
        <v>1</v>
      </c>
    </row>
    <row r="1581" spans="1:17" x14ac:dyDescent="0.25">
      <c r="A1581" s="3" t="s">
        <v>18</v>
      </c>
      <c r="B1581" s="3">
        <v>13541543</v>
      </c>
      <c r="C1581" s="3" t="s">
        <v>1624</v>
      </c>
      <c r="D1581" s="3" t="s">
        <v>20</v>
      </c>
      <c r="E1581" s="3" t="s">
        <v>21</v>
      </c>
      <c r="F1581" s="3" t="s">
        <v>21</v>
      </c>
      <c r="G1581" s="3" t="s">
        <v>362</v>
      </c>
      <c r="H1581" s="3" t="s">
        <v>363</v>
      </c>
      <c r="I1581" s="3" t="s">
        <v>24</v>
      </c>
      <c r="J1581" s="3" t="s">
        <v>24</v>
      </c>
      <c r="K1581" s="3" t="s">
        <v>25</v>
      </c>
      <c r="L1581" s="4">
        <v>0</v>
      </c>
      <c r="M1581" s="3" t="s">
        <v>26</v>
      </c>
      <c r="N1581" s="3" t="s">
        <v>24</v>
      </c>
      <c r="O1581" s="4">
        <v>1</v>
      </c>
      <c r="P1581" s="4">
        <v>1</v>
      </c>
      <c r="Q1581" s="4">
        <v>1</v>
      </c>
    </row>
    <row r="1582" spans="1:17" x14ac:dyDescent="0.25">
      <c r="A1582" s="3" t="s">
        <v>18</v>
      </c>
      <c r="B1582" s="3">
        <v>13541546</v>
      </c>
      <c r="C1582" s="3" t="s">
        <v>1625</v>
      </c>
      <c r="D1582" s="3" t="s">
        <v>20</v>
      </c>
      <c r="E1582" s="3" t="s">
        <v>21</v>
      </c>
      <c r="F1582" s="3" t="s">
        <v>21</v>
      </c>
      <c r="G1582" s="3" t="s">
        <v>362</v>
      </c>
      <c r="H1582" s="3" t="s">
        <v>363</v>
      </c>
      <c r="I1582" s="3" t="s">
        <v>24</v>
      </c>
      <c r="J1582" s="3" t="s">
        <v>24</v>
      </c>
      <c r="K1582" s="3" t="s">
        <v>25</v>
      </c>
      <c r="L1582" s="4">
        <v>0</v>
      </c>
      <c r="M1582" s="3" t="s">
        <v>26</v>
      </c>
      <c r="N1582" s="3" t="s">
        <v>24</v>
      </c>
      <c r="O1582" s="4">
        <v>1</v>
      </c>
      <c r="P1582" s="4">
        <v>1</v>
      </c>
      <c r="Q1582" s="4">
        <v>1</v>
      </c>
    </row>
    <row r="1583" spans="1:17" x14ac:dyDescent="0.25">
      <c r="A1583" s="3" t="s">
        <v>18</v>
      </c>
      <c r="B1583" s="3">
        <v>13541547</v>
      </c>
      <c r="C1583" s="3" t="s">
        <v>1626</v>
      </c>
      <c r="D1583" s="3" t="s">
        <v>20</v>
      </c>
      <c r="E1583" s="3" t="s">
        <v>21</v>
      </c>
      <c r="F1583" s="3" t="s">
        <v>21</v>
      </c>
      <c r="G1583" s="3" t="s">
        <v>362</v>
      </c>
      <c r="H1583" s="3" t="s">
        <v>363</v>
      </c>
      <c r="I1583" s="3" t="s">
        <v>24</v>
      </c>
      <c r="J1583" s="3" t="s">
        <v>24</v>
      </c>
      <c r="K1583" s="3" t="s">
        <v>25</v>
      </c>
      <c r="L1583" s="4">
        <v>0</v>
      </c>
      <c r="M1583" s="3" t="s">
        <v>26</v>
      </c>
      <c r="N1583" s="3" t="s">
        <v>24</v>
      </c>
      <c r="O1583" s="4">
        <v>1</v>
      </c>
      <c r="P1583" s="4">
        <v>1</v>
      </c>
      <c r="Q1583" s="4">
        <v>1</v>
      </c>
    </row>
    <row r="1584" spans="1:17" x14ac:dyDescent="0.25">
      <c r="A1584" s="3" t="s">
        <v>18</v>
      </c>
      <c r="B1584" s="3">
        <v>13541551</v>
      </c>
      <c r="C1584" s="3" t="s">
        <v>1627</v>
      </c>
      <c r="D1584" s="3" t="s">
        <v>20</v>
      </c>
      <c r="E1584" s="3" t="s">
        <v>21</v>
      </c>
      <c r="F1584" s="3" t="s">
        <v>21</v>
      </c>
      <c r="G1584" s="3" t="s">
        <v>362</v>
      </c>
      <c r="H1584" s="3" t="s">
        <v>363</v>
      </c>
      <c r="I1584" s="3" t="s">
        <v>24</v>
      </c>
      <c r="J1584" s="3" t="s">
        <v>24</v>
      </c>
      <c r="K1584" s="3" t="s">
        <v>25</v>
      </c>
      <c r="L1584" s="4">
        <v>0</v>
      </c>
      <c r="M1584" s="3" t="s">
        <v>26</v>
      </c>
      <c r="N1584" s="3" t="s">
        <v>24</v>
      </c>
      <c r="O1584" s="4">
        <v>1</v>
      </c>
      <c r="P1584" s="4">
        <v>1</v>
      </c>
      <c r="Q1584" s="4">
        <v>1</v>
      </c>
    </row>
    <row r="1585" spans="1:17" x14ac:dyDescent="0.25">
      <c r="A1585" s="3" t="s">
        <v>18</v>
      </c>
      <c r="B1585" s="3">
        <v>13541552</v>
      </c>
      <c r="C1585" s="3" t="s">
        <v>1628</v>
      </c>
      <c r="D1585" s="3" t="s">
        <v>20</v>
      </c>
      <c r="E1585" s="3" t="s">
        <v>21</v>
      </c>
      <c r="F1585" s="3" t="s">
        <v>21</v>
      </c>
      <c r="G1585" s="3" t="s">
        <v>362</v>
      </c>
      <c r="H1585" s="3" t="s">
        <v>363</v>
      </c>
      <c r="I1585" s="3" t="s">
        <v>24</v>
      </c>
      <c r="J1585" s="3" t="s">
        <v>24</v>
      </c>
      <c r="K1585" s="3" t="s">
        <v>25</v>
      </c>
      <c r="L1585" s="4">
        <v>0</v>
      </c>
      <c r="M1585" s="3" t="s">
        <v>26</v>
      </c>
      <c r="N1585" s="3" t="s">
        <v>24</v>
      </c>
      <c r="O1585" s="4">
        <v>1</v>
      </c>
      <c r="P1585" s="4">
        <v>1</v>
      </c>
      <c r="Q1585" s="4">
        <v>1</v>
      </c>
    </row>
    <row r="1586" spans="1:17" x14ac:dyDescent="0.25">
      <c r="A1586" s="3" t="s">
        <v>18</v>
      </c>
      <c r="B1586" s="3">
        <v>13541556</v>
      </c>
      <c r="C1586" s="3" t="s">
        <v>1629</v>
      </c>
      <c r="D1586" s="3" t="s">
        <v>20</v>
      </c>
      <c r="E1586" s="3" t="s">
        <v>21</v>
      </c>
      <c r="F1586" s="3" t="s">
        <v>21</v>
      </c>
      <c r="G1586" s="3" t="s">
        <v>362</v>
      </c>
      <c r="H1586" s="3" t="s">
        <v>363</v>
      </c>
      <c r="I1586" s="3" t="s">
        <v>24</v>
      </c>
      <c r="J1586" s="3" t="s">
        <v>24</v>
      </c>
      <c r="K1586" s="3" t="s">
        <v>25</v>
      </c>
      <c r="L1586" s="4">
        <v>0</v>
      </c>
      <c r="M1586" s="3" t="s">
        <v>26</v>
      </c>
      <c r="N1586" s="3" t="s">
        <v>24</v>
      </c>
      <c r="O1586" s="4">
        <v>1</v>
      </c>
      <c r="P1586" s="4">
        <v>1</v>
      </c>
      <c r="Q1586" s="4">
        <v>1</v>
      </c>
    </row>
    <row r="1587" spans="1:17" x14ac:dyDescent="0.25">
      <c r="A1587" s="3" t="s">
        <v>18</v>
      </c>
      <c r="B1587" s="3">
        <v>13541579</v>
      </c>
      <c r="C1587" s="3" t="s">
        <v>1630</v>
      </c>
      <c r="D1587" s="3" t="s">
        <v>20</v>
      </c>
      <c r="E1587" s="3" t="s">
        <v>21</v>
      </c>
      <c r="F1587" s="3" t="s">
        <v>21</v>
      </c>
      <c r="G1587" s="3" t="s">
        <v>362</v>
      </c>
      <c r="H1587" s="3" t="s">
        <v>363</v>
      </c>
      <c r="I1587" s="3" t="s">
        <v>24</v>
      </c>
      <c r="J1587" s="3" t="s">
        <v>24</v>
      </c>
      <c r="K1587" s="3" t="s">
        <v>25</v>
      </c>
      <c r="L1587" s="4">
        <v>0</v>
      </c>
      <c r="M1587" s="3" t="s">
        <v>26</v>
      </c>
      <c r="N1587" s="3" t="s">
        <v>24</v>
      </c>
      <c r="O1587" s="4">
        <v>1</v>
      </c>
      <c r="P1587" s="4">
        <v>1</v>
      </c>
      <c r="Q1587" s="4">
        <v>1</v>
      </c>
    </row>
    <row r="1588" spans="1:17" x14ac:dyDescent="0.25">
      <c r="A1588" s="3" t="s">
        <v>18</v>
      </c>
      <c r="B1588" s="3">
        <v>13541582</v>
      </c>
      <c r="C1588" s="3" t="s">
        <v>1631</v>
      </c>
      <c r="D1588" s="3" t="s">
        <v>20</v>
      </c>
      <c r="E1588" s="3" t="s">
        <v>21</v>
      </c>
      <c r="F1588" s="3" t="s">
        <v>21</v>
      </c>
      <c r="G1588" s="3" t="s">
        <v>362</v>
      </c>
      <c r="H1588" s="3" t="s">
        <v>363</v>
      </c>
      <c r="I1588" s="3" t="s">
        <v>24</v>
      </c>
      <c r="J1588" s="3" t="s">
        <v>24</v>
      </c>
      <c r="K1588" s="3" t="s">
        <v>25</v>
      </c>
      <c r="L1588" s="4">
        <v>0</v>
      </c>
      <c r="M1588" s="3" t="s">
        <v>26</v>
      </c>
      <c r="N1588" s="3" t="s">
        <v>24</v>
      </c>
      <c r="O1588" s="4">
        <v>1</v>
      </c>
      <c r="P1588" s="4">
        <v>1</v>
      </c>
      <c r="Q1588" s="4">
        <v>1</v>
      </c>
    </row>
    <row r="1589" spans="1:17" x14ac:dyDescent="0.25">
      <c r="A1589" s="3" t="s">
        <v>18</v>
      </c>
      <c r="B1589" s="3">
        <v>13542573</v>
      </c>
      <c r="C1589" s="3" t="s">
        <v>1632</v>
      </c>
      <c r="D1589" s="3" t="s">
        <v>1360</v>
      </c>
      <c r="E1589" s="3" t="s">
        <v>21</v>
      </c>
      <c r="F1589" s="3" t="s">
        <v>21</v>
      </c>
      <c r="G1589" s="3" t="s">
        <v>36</v>
      </c>
      <c r="H1589" s="3" t="s">
        <v>37</v>
      </c>
      <c r="I1589" s="3" t="s">
        <v>24</v>
      </c>
      <c r="J1589" s="3" t="s">
        <v>24</v>
      </c>
      <c r="K1589" s="3" t="s">
        <v>25</v>
      </c>
      <c r="L1589" s="4">
        <v>0</v>
      </c>
      <c r="M1589" s="3" t="s">
        <v>26</v>
      </c>
      <c r="N1589" s="3" t="s">
        <v>24</v>
      </c>
      <c r="O1589" s="4">
        <v>1</v>
      </c>
      <c r="P1589" s="4">
        <v>10</v>
      </c>
      <c r="Q1589" s="4">
        <v>1</v>
      </c>
    </row>
    <row r="1590" spans="1:17" x14ac:dyDescent="0.25">
      <c r="A1590" s="3" t="s">
        <v>18</v>
      </c>
      <c r="B1590" s="3">
        <v>13542601</v>
      </c>
      <c r="C1590" s="3" t="s">
        <v>1633</v>
      </c>
      <c r="D1590" s="3" t="s">
        <v>1360</v>
      </c>
      <c r="E1590" s="3" t="s">
        <v>21</v>
      </c>
      <c r="F1590" s="3" t="s">
        <v>21</v>
      </c>
      <c r="G1590" s="3" t="s">
        <v>233</v>
      </c>
      <c r="H1590" s="3" t="s">
        <v>234</v>
      </c>
      <c r="I1590" s="3" t="s">
        <v>24</v>
      </c>
      <c r="J1590" s="3" t="s">
        <v>24</v>
      </c>
      <c r="K1590" s="3" t="s">
        <v>25</v>
      </c>
      <c r="L1590" s="4">
        <v>0</v>
      </c>
      <c r="M1590" s="3" t="s">
        <v>26</v>
      </c>
      <c r="N1590" s="3" t="s">
        <v>24</v>
      </c>
      <c r="O1590" s="4">
        <v>1</v>
      </c>
      <c r="P1590" s="4">
        <v>2</v>
      </c>
      <c r="Q1590" s="4">
        <v>1</v>
      </c>
    </row>
    <row r="1591" spans="1:17" x14ac:dyDescent="0.25">
      <c r="A1591" s="3" t="s">
        <v>18</v>
      </c>
      <c r="B1591" s="3">
        <v>13542804</v>
      </c>
      <c r="C1591" s="3" t="s">
        <v>1634</v>
      </c>
      <c r="D1591" s="3" t="s">
        <v>1360</v>
      </c>
      <c r="E1591" s="3" t="s">
        <v>21</v>
      </c>
      <c r="F1591" s="3" t="s">
        <v>21</v>
      </c>
      <c r="G1591" s="3" t="s">
        <v>233</v>
      </c>
      <c r="H1591" s="3" t="s">
        <v>234</v>
      </c>
      <c r="I1591" s="3" t="s">
        <v>24</v>
      </c>
      <c r="J1591" s="3" t="s">
        <v>24</v>
      </c>
      <c r="K1591" s="3" t="s">
        <v>25</v>
      </c>
      <c r="L1591" s="4">
        <v>0</v>
      </c>
      <c r="M1591" s="3" t="s">
        <v>26</v>
      </c>
      <c r="N1591" s="3" t="s">
        <v>24</v>
      </c>
      <c r="O1591" s="4">
        <v>1</v>
      </c>
      <c r="P1591" s="4">
        <v>2</v>
      </c>
      <c r="Q1591" s="4">
        <v>1</v>
      </c>
    </row>
    <row r="1592" spans="1:17" x14ac:dyDescent="0.25">
      <c r="A1592" s="3" t="s">
        <v>18</v>
      </c>
      <c r="B1592" s="3">
        <v>13542807</v>
      </c>
      <c r="C1592" s="3" t="s">
        <v>1635</v>
      </c>
      <c r="D1592" s="3" t="s">
        <v>20</v>
      </c>
      <c r="E1592" s="3" t="s">
        <v>21</v>
      </c>
      <c r="F1592" s="3" t="s">
        <v>21</v>
      </c>
      <c r="G1592" s="3" t="s">
        <v>30</v>
      </c>
      <c r="H1592" s="3" t="s">
        <v>31</v>
      </c>
      <c r="I1592" s="3" t="s">
        <v>24</v>
      </c>
      <c r="J1592" s="3" t="s">
        <v>24</v>
      </c>
      <c r="K1592" s="3" t="s">
        <v>25</v>
      </c>
      <c r="L1592" s="4">
        <v>0</v>
      </c>
      <c r="M1592" s="3" t="s">
        <v>26</v>
      </c>
      <c r="N1592" s="3" t="s">
        <v>24</v>
      </c>
      <c r="O1592" s="4">
        <v>1</v>
      </c>
      <c r="P1592" s="4">
        <v>8</v>
      </c>
      <c r="Q1592" s="4">
        <v>1</v>
      </c>
    </row>
    <row r="1593" spans="1:17" x14ac:dyDescent="0.25">
      <c r="A1593" s="3" t="s">
        <v>18</v>
      </c>
      <c r="B1593" s="3">
        <v>13544435</v>
      </c>
      <c r="C1593" s="3" t="s">
        <v>1636</v>
      </c>
      <c r="D1593" s="3" t="s">
        <v>20</v>
      </c>
      <c r="E1593" s="3" t="s">
        <v>21</v>
      </c>
      <c r="F1593" s="3" t="s">
        <v>21</v>
      </c>
      <c r="G1593" s="3" t="s">
        <v>362</v>
      </c>
      <c r="H1593" s="3" t="s">
        <v>363</v>
      </c>
      <c r="I1593" s="3" t="s">
        <v>24</v>
      </c>
      <c r="J1593" s="3" t="s">
        <v>24</v>
      </c>
      <c r="K1593" s="3" t="s">
        <v>25</v>
      </c>
      <c r="L1593" s="4">
        <v>0</v>
      </c>
      <c r="M1593" s="3" t="s">
        <v>26</v>
      </c>
      <c r="N1593" s="3" t="s">
        <v>24</v>
      </c>
      <c r="O1593" s="4">
        <v>1</v>
      </c>
      <c r="P1593" s="4">
        <v>1</v>
      </c>
      <c r="Q1593" s="4">
        <v>1</v>
      </c>
    </row>
    <row r="1594" spans="1:17" x14ac:dyDescent="0.25">
      <c r="A1594" s="3" t="s">
        <v>18</v>
      </c>
      <c r="B1594" s="3">
        <v>13545093</v>
      </c>
      <c r="C1594" s="3" t="s">
        <v>1637</v>
      </c>
      <c r="D1594" s="3" t="s">
        <v>20</v>
      </c>
      <c r="E1594" s="3" t="s">
        <v>21</v>
      </c>
      <c r="F1594" s="3" t="s">
        <v>21</v>
      </c>
      <c r="G1594" s="3" t="s">
        <v>362</v>
      </c>
      <c r="H1594" s="3" t="s">
        <v>363</v>
      </c>
      <c r="I1594" s="3" t="s">
        <v>24</v>
      </c>
      <c r="J1594" s="3" t="s">
        <v>24</v>
      </c>
      <c r="K1594" s="3" t="s">
        <v>25</v>
      </c>
      <c r="L1594" s="4">
        <v>0</v>
      </c>
      <c r="M1594" s="3" t="s">
        <v>26</v>
      </c>
      <c r="N1594" s="3" t="s">
        <v>24</v>
      </c>
      <c r="O1594" s="4">
        <v>1</v>
      </c>
      <c r="P1594" s="4">
        <v>1</v>
      </c>
      <c r="Q1594" s="4">
        <v>1</v>
      </c>
    </row>
    <row r="1595" spans="1:17" x14ac:dyDescent="0.25">
      <c r="A1595" s="3" t="s">
        <v>18</v>
      </c>
      <c r="B1595" s="3">
        <v>13545096</v>
      </c>
      <c r="C1595" s="3" t="s">
        <v>1638</v>
      </c>
      <c r="D1595" s="3" t="s">
        <v>20</v>
      </c>
      <c r="E1595" s="3" t="s">
        <v>21</v>
      </c>
      <c r="F1595" s="3" t="s">
        <v>21</v>
      </c>
      <c r="G1595" s="3" t="s">
        <v>362</v>
      </c>
      <c r="H1595" s="3" t="s">
        <v>363</v>
      </c>
      <c r="I1595" s="3" t="s">
        <v>24</v>
      </c>
      <c r="J1595" s="3" t="s">
        <v>24</v>
      </c>
      <c r="K1595" s="3" t="s">
        <v>25</v>
      </c>
      <c r="L1595" s="4">
        <v>0</v>
      </c>
      <c r="M1595" s="3" t="s">
        <v>26</v>
      </c>
      <c r="N1595" s="3" t="s">
        <v>24</v>
      </c>
      <c r="O1595" s="4">
        <v>1</v>
      </c>
      <c r="P1595" s="4">
        <v>1</v>
      </c>
      <c r="Q1595" s="4">
        <v>1</v>
      </c>
    </row>
    <row r="1596" spans="1:17" x14ac:dyDescent="0.25">
      <c r="A1596" s="3" t="s">
        <v>18</v>
      </c>
      <c r="B1596" s="3">
        <v>13545097</v>
      </c>
      <c r="C1596" s="3" t="s">
        <v>1639</v>
      </c>
      <c r="D1596" s="3" t="s">
        <v>20</v>
      </c>
      <c r="E1596" s="3" t="s">
        <v>21</v>
      </c>
      <c r="F1596" s="3" t="s">
        <v>21</v>
      </c>
      <c r="G1596" s="3" t="s">
        <v>362</v>
      </c>
      <c r="H1596" s="3" t="s">
        <v>363</v>
      </c>
      <c r="I1596" s="3" t="s">
        <v>24</v>
      </c>
      <c r="J1596" s="3" t="s">
        <v>24</v>
      </c>
      <c r="K1596" s="3" t="s">
        <v>25</v>
      </c>
      <c r="L1596" s="4">
        <v>0</v>
      </c>
      <c r="M1596" s="3" t="s">
        <v>26</v>
      </c>
      <c r="N1596" s="3" t="s">
        <v>24</v>
      </c>
      <c r="O1596" s="4">
        <v>1</v>
      </c>
      <c r="P1596" s="4">
        <v>1</v>
      </c>
      <c r="Q1596" s="4">
        <v>1</v>
      </c>
    </row>
    <row r="1597" spans="1:17" x14ac:dyDescent="0.25">
      <c r="A1597" s="3" t="s">
        <v>18</v>
      </c>
      <c r="B1597" s="3">
        <v>13545188</v>
      </c>
      <c r="C1597" s="3" t="s">
        <v>1640</v>
      </c>
      <c r="D1597" s="3" t="s">
        <v>20</v>
      </c>
      <c r="E1597" s="3" t="s">
        <v>21</v>
      </c>
      <c r="F1597" s="3" t="s">
        <v>21</v>
      </c>
      <c r="G1597" s="3" t="s">
        <v>362</v>
      </c>
      <c r="H1597" s="3" t="s">
        <v>363</v>
      </c>
      <c r="I1597" s="3" t="s">
        <v>24</v>
      </c>
      <c r="J1597" s="3" t="s">
        <v>24</v>
      </c>
      <c r="K1597" s="3" t="s">
        <v>25</v>
      </c>
      <c r="L1597" s="4">
        <v>0</v>
      </c>
      <c r="M1597" s="3" t="s">
        <v>26</v>
      </c>
      <c r="N1597" s="3" t="s">
        <v>24</v>
      </c>
      <c r="O1597" s="4">
        <v>1</v>
      </c>
      <c r="P1597" s="4">
        <v>1</v>
      </c>
      <c r="Q1597" s="4">
        <v>1</v>
      </c>
    </row>
    <row r="1598" spans="1:17" x14ac:dyDescent="0.25">
      <c r="A1598" s="3" t="s">
        <v>18</v>
      </c>
      <c r="B1598" s="3">
        <v>13545191</v>
      </c>
      <c r="C1598" s="3" t="s">
        <v>1641</v>
      </c>
      <c r="D1598" s="3" t="s">
        <v>20</v>
      </c>
      <c r="E1598" s="3" t="s">
        <v>21</v>
      </c>
      <c r="F1598" s="3" t="s">
        <v>21</v>
      </c>
      <c r="G1598" s="3" t="s">
        <v>362</v>
      </c>
      <c r="H1598" s="3" t="s">
        <v>363</v>
      </c>
      <c r="I1598" s="3" t="s">
        <v>24</v>
      </c>
      <c r="J1598" s="3" t="s">
        <v>24</v>
      </c>
      <c r="K1598" s="3" t="s">
        <v>25</v>
      </c>
      <c r="L1598" s="4">
        <v>0</v>
      </c>
      <c r="M1598" s="3" t="s">
        <v>26</v>
      </c>
      <c r="N1598" s="3" t="s">
        <v>24</v>
      </c>
      <c r="O1598" s="4">
        <v>1</v>
      </c>
      <c r="P1598" s="4">
        <v>1</v>
      </c>
      <c r="Q1598" s="4">
        <v>1</v>
      </c>
    </row>
    <row r="1599" spans="1:17" x14ac:dyDescent="0.25">
      <c r="A1599" s="3" t="s">
        <v>18</v>
      </c>
      <c r="B1599" s="3">
        <v>13545192</v>
      </c>
      <c r="C1599" s="3" t="s">
        <v>1642</v>
      </c>
      <c r="D1599" s="3" t="s">
        <v>20</v>
      </c>
      <c r="E1599" s="3" t="s">
        <v>21</v>
      </c>
      <c r="F1599" s="3" t="s">
        <v>21</v>
      </c>
      <c r="G1599" s="3" t="s">
        <v>362</v>
      </c>
      <c r="H1599" s="3" t="s">
        <v>363</v>
      </c>
      <c r="I1599" s="3" t="s">
        <v>24</v>
      </c>
      <c r="J1599" s="3" t="s">
        <v>24</v>
      </c>
      <c r="K1599" s="3" t="s">
        <v>25</v>
      </c>
      <c r="L1599" s="4">
        <v>0</v>
      </c>
      <c r="M1599" s="3" t="s">
        <v>26</v>
      </c>
      <c r="N1599" s="3" t="s">
        <v>24</v>
      </c>
      <c r="O1599" s="4">
        <v>1</v>
      </c>
      <c r="P1599" s="4">
        <v>1</v>
      </c>
      <c r="Q1599" s="4">
        <v>1</v>
      </c>
    </row>
    <row r="1600" spans="1:17" x14ac:dyDescent="0.25">
      <c r="A1600" s="3" t="s">
        <v>18</v>
      </c>
      <c r="B1600" s="3">
        <v>13545193</v>
      </c>
      <c r="C1600" s="3" t="s">
        <v>1643</v>
      </c>
      <c r="D1600" s="3" t="s">
        <v>20</v>
      </c>
      <c r="E1600" s="3" t="s">
        <v>21</v>
      </c>
      <c r="F1600" s="3" t="s">
        <v>21</v>
      </c>
      <c r="G1600" s="3" t="s">
        <v>362</v>
      </c>
      <c r="H1600" s="3" t="s">
        <v>363</v>
      </c>
      <c r="I1600" s="3" t="s">
        <v>24</v>
      </c>
      <c r="J1600" s="3" t="s">
        <v>24</v>
      </c>
      <c r="K1600" s="3" t="s">
        <v>25</v>
      </c>
      <c r="L1600" s="4">
        <v>0</v>
      </c>
      <c r="M1600" s="3" t="s">
        <v>26</v>
      </c>
      <c r="N1600" s="3" t="s">
        <v>24</v>
      </c>
      <c r="O1600" s="4">
        <v>1</v>
      </c>
      <c r="P1600" s="4">
        <v>1</v>
      </c>
      <c r="Q1600" s="4">
        <v>1</v>
      </c>
    </row>
    <row r="1601" spans="1:17" x14ac:dyDescent="0.25">
      <c r="A1601" s="3" t="s">
        <v>18</v>
      </c>
      <c r="B1601" s="3">
        <v>13545194</v>
      </c>
      <c r="C1601" s="3" t="s">
        <v>1644</v>
      </c>
      <c r="D1601" s="3" t="s">
        <v>20</v>
      </c>
      <c r="E1601" s="3" t="s">
        <v>21</v>
      </c>
      <c r="F1601" s="3" t="s">
        <v>21</v>
      </c>
      <c r="G1601" s="3" t="s">
        <v>362</v>
      </c>
      <c r="H1601" s="3" t="s">
        <v>363</v>
      </c>
      <c r="I1601" s="3" t="s">
        <v>24</v>
      </c>
      <c r="J1601" s="3" t="s">
        <v>24</v>
      </c>
      <c r="K1601" s="3" t="s">
        <v>25</v>
      </c>
      <c r="L1601" s="4">
        <v>0</v>
      </c>
      <c r="M1601" s="3" t="s">
        <v>26</v>
      </c>
      <c r="N1601" s="3" t="s">
        <v>24</v>
      </c>
      <c r="O1601" s="4">
        <v>1</v>
      </c>
      <c r="P1601" s="4">
        <v>1</v>
      </c>
      <c r="Q1601" s="4">
        <v>1</v>
      </c>
    </row>
    <row r="1602" spans="1:17" x14ac:dyDescent="0.25">
      <c r="A1602" s="3" t="s">
        <v>18</v>
      </c>
      <c r="B1602" s="3">
        <v>13545195</v>
      </c>
      <c r="C1602" s="3" t="s">
        <v>1645</v>
      </c>
      <c r="D1602" s="3" t="s">
        <v>20</v>
      </c>
      <c r="E1602" s="3" t="s">
        <v>21</v>
      </c>
      <c r="F1602" s="3" t="s">
        <v>21</v>
      </c>
      <c r="G1602" s="3" t="s">
        <v>362</v>
      </c>
      <c r="H1602" s="3" t="s">
        <v>363</v>
      </c>
      <c r="I1602" s="3" t="s">
        <v>24</v>
      </c>
      <c r="J1602" s="3" t="s">
        <v>24</v>
      </c>
      <c r="K1602" s="3" t="s">
        <v>25</v>
      </c>
      <c r="L1602" s="4">
        <v>0</v>
      </c>
      <c r="M1602" s="3" t="s">
        <v>26</v>
      </c>
      <c r="N1602" s="3" t="s">
        <v>24</v>
      </c>
      <c r="O1602" s="4">
        <v>1</v>
      </c>
      <c r="P1602" s="4">
        <v>1</v>
      </c>
      <c r="Q1602" s="4">
        <v>1</v>
      </c>
    </row>
    <row r="1603" spans="1:17" x14ac:dyDescent="0.25">
      <c r="A1603" s="3" t="s">
        <v>18</v>
      </c>
      <c r="B1603" s="3">
        <v>13545196</v>
      </c>
      <c r="C1603" s="3" t="s">
        <v>1646</v>
      </c>
      <c r="D1603" s="3" t="s">
        <v>20</v>
      </c>
      <c r="E1603" s="3" t="s">
        <v>21</v>
      </c>
      <c r="F1603" s="3" t="s">
        <v>21</v>
      </c>
      <c r="G1603" s="3" t="s">
        <v>362</v>
      </c>
      <c r="H1603" s="3" t="s">
        <v>363</v>
      </c>
      <c r="I1603" s="3" t="s">
        <v>24</v>
      </c>
      <c r="J1603" s="3" t="s">
        <v>24</v>
      </c>
      <c r="K1603" s="3" t="s">
        <v>25</v>
      </c>
      <c r="L1603" s="4">
        <v>0</v>
      </c>
      <c r="M1603" s="3" t="s">
        <v>26</v>
      </c>
      <c r="N1603" s="3" t="s">
        <v>24</v>
      </c>
      <c r="O1603" s="4">
        <v>1</v>
      </c>
      <c r="P1603" s="4">
        <v>1</v>
      </c>
      <c r="Q1603" s="4">
        <v>1</v>
      </c>
    </row>
    <row r="1604" spans="1:17" x14ac:dyDescent="0.25">
      <c r="A1604" s="3" t="s">
        <v>18</v>
      </c>
      <c r="B1604" s="3">
        <v>13545197</v>
      </c>
      <c r="C1604" s="3" t="s">
        <v>1647</v>
      </c>
      <c r="D1604" s="3" t="s">
        <v>20</v>
      </c>
      <c r="E1604" s="3" t="s">
        <v>21</v>
      </c>
      <c r="F1604" s="3" t="s">
        <v>21</v>
      </c>
      <c r="G1604" s="3" t="s">
        <v>362</v>
      </c>
      <c r="H1604" s="3" t="s">
        <v>363</v>
      </c>
      <c r="I1604" s="3" t="s">
        <v>24</v>
      </c>
      <c r="J1604" s="3" t="s">
        <v>24</v>
      </c>
      <c r="K1604" s="3" t="s">
        <v>25</v>
      </c>
      <c r="L1604" s="4">
        <v>0</v>
      </c>
      <c r="M1604" s="3" t="s">
        <v>26</v>
      </c>
      <c r="N1604" s="3" t="s">
        <v>24</v>
      </c>
      <c r="O1604" s="4">
        <v>1</v>
      </c>
      <c r="P1604" s="4">
        <v>1</v>
      </c>
      <c r="Q1604" s="4">
        <v>1</v>
      </c>
    </row>
    <row r="1605" spans="1:17" x14ac:dyDescent="0.25">
      <c r="A1605" s="3" t="s">
        <v>18</v>
      </c>
      <c r="B1605" s="3">
        <v>13552727</v>
      </c>
      <c r="C1605" s="3" t="s">
        <v>1648</v>
      </c>
      <c r="D1605" s="3" t="s">
        <v>20</v>
      </c>
      <c r="E1605" s="3" t="s">
        <v>21</v>
      </c>
      <c r="F1605" s="3" t="s">
        <v>21</v>
      </c>
      <c r="G1605" s="3" t="s">
        <v>233</v>
      </c>
      <c r="H1605" s="3" t="s">
        <v>234</v>
      </c>
      <c r="I1605" s="3" t="s">
        <v>24</v>
      </c>
      <c r="J1605" s="3" t="s">
        <v>24</v>
      </c>
      <c r="K1605" s="3" t="s">
        <v>25</v>
      </c>
      <c r="L1605" s="4">
        <v>0</v>
      </c>
      <c r="M1605" s="3" t="s">
        <v>26</v>
      </c>
      <c r="N1605" s="3" t="s">
        <v>24</v>
      </c>
      <c r="O1605" s="4">
        <v>1</v>
      </c>
      <c r="P1605" s="4">
        <v>2</v>
      </c>
      <c r="Q1605" s="4">
        <v>1</v>
      </c>
    </row>
    <row r="1606" spans="1:17" x14ac:dyDescent="0.25">
      <c r="A1606" s="3" t="s">
        <v>18</v>
      </c>
      <c r="B1606" s="3">
        <v>13557392</v>
      </c>
      <c r="C1606" s="3" t="s">
        <v>1649</v>
      </c>
      <c r="D1606" s="3" t="s">
        <v>1360</v>
      </c>
      <c r="E1606" s="3" t="s">
        <v>21</v>
      </c>
      <c r="F1606" s="3" t="s">
        <v>21</v>
      </c>
      <c r="G1606" s="3" t="s">
        <v>233</v>
      </c>
      <c r="H1606" s="3" t="s">
        <v>234</v>
      </c>
      <c r="I1606" s="3" t="s">
        <v>24</v>
      </c>
      <c r="J1606" s="3" t="s">
        <v>24</v>
      </c>
      <c r="K1606" s="3" t="s">
        <v>25</v>
      </c>
      <c r="L1606" s="4">
        <v>0</v>
      </c>
      <c r="M1606" s="3" t="s">
        <v>26</v>
      </c>
      <c r="N1606" s="3" t="s">
        <v>24</v>
      </c>
      <c r="O1606" s="4">
        <v>1</v>
      </c>
      <c r="P1606" s="4">
        <v>2</v>
      </c>
      <c r="Q1606" s="4">
        <v>1</v>
      </c>
    </row>
    <row r="1607" spans="1:17" x14ac:dyDescent="0.25">
      <c r="A1607" s="3" t="s">
        <v>18</v>
      </c>
      <c r="B1607" s="3">
        <v>13558081</v>
      </c>
      <c r="C1607" s="3" t="s">
        <v>1650</v>
      </c>
      <c r="D1607" s="3" t="s">
        <v>1360</v>
      </c>
      <c r="E1607" s="3" t="s">
        <v>21</v>
      </c>
      <c r="F1607" s="3" t="s">
        <v>21</v>
      </c>
      <c r="G1607" s="3" t="s">
        <v>36</v>
      </c>
      <c r="H1607" s="3" t="s">
        <v>37</v>
      </c>
      <c r="I1607" s="3" t="s">
        <v>24</v>
      </c>
      <c r="J1607" s="3" t="s">
        <v>24</v>
      </c>
      <c r="K1607" s="3" t="s">
        <v>25</v>
      </c>
      <c r="L1607" s="4">
        <v>0</v>
      </c>
      <c r="M1607" s="3" t="s">
        <v>26</v>
      </c>
      <c r="N1607" s="3" t="s">
        <v>24</v>
      </c>
      <c r="O1607" s="4">
        <v>1</v>
      </c>
      <c r="P1607" s="4">
        <v>10</v>
      </c>
      <c r="Q1607" s="4">
        <v>1</v>
      </c>
    </row>
    <row r="1608" spans="1:17" x14ac:dyDescent="0.25">
      <c r="A1608" s="3" t="s">
        <v>18</v>
      </c>
      <c r="B1608" s="3">
        <v>13560178</v>
      </c>
      <c r="C1608" s="3" t="s">
        <v>1651</v>
      </c>
      <c r="D1608" s="3" t="s">
        <v>1360</v>
      </c>
      <c r="E1608" s="3" t="s">
        <v>21</v>
      </c>
      <c r="F1608" s="3" t="s">
        <v>21</v>
      </c>
      <c r="G1608" s="3" t="s">
        <v>233</v>
      </c>
      <c r="H1608" s="3" t="s">
        <v>234</v>
      </c>
      <c r="I1608" s="3" t="s">
        <v>24</v>
      </c>
      <c r="J1608" s="3" t="s">
        <v>24</v>
      </c>
      <c r="K1608" s="3" t="s">
        <v>25</v>
      </c>
      <c r="L1608" s="4">
        <v>0</v>
      </c>
      <c r="M1608" s="3" t="s">
        <v>26</v>
      </c>
      <c r="N1608" s="3" t="s">
        <v>24</v>
      </c>
      <c r="O1608" s="4">
        <v>1</v>
      </c>
      <c r="P1608" s="4">
        <v>2</v>
      </c>
      <c r="Q1608" s="4">
        <v>1</v>
      </c>
    </row>
    <row r="1609" spans="1:17" x14ac:dyDescent="0.25">
      <c r="A1609" s="3" t="s">
        <v>18</v>
      </c>
      <c r="B1609" s="3">
        <v>13572914</v>
      </c>
      <c r="C1609" s="3" t="s">
        <v>1652</v>
      </c>
      <c r="D1609" s="3" t="s">
        <v>20</v>
      </c>
      <c r="E1609" s="3" t="s">
        <v>21</v>
      </c>
      <c r="F1609" s="3" t="s">
        <v>21</v>
      </c>
      <c r="G1609" s="3" t="s">
        <v>22</v>
      </c>
      <c r="H1609" s="3" t="s">
        <v>23</v>
      </c>
      <c r="I1609" s="3" t="s">
        <v>24</v>
      </c>
      <c r="J1609" s="3" t="s">
        <v>24</v>
      </c>
      <c r="K1609" s="3" t="s">
        <v>25</v>
      </c>
      <c r="L1609" s="4">
        <v>0</v>
      </c>
      <c r="M1609" s="3" t="s">
        <v>26</v>
      </c>
      <c r="N1609" s="3" t="s">
        <v>24</v>
      </c>
      <c r="O1609" s="4">
        <v>1</v>
      </c>
      <c r="P1609" s="4">
        <v>4</v>
      </c>
      <c r="Q1609" s="4">
        <v>1</v>
      </c>
    </row>
    <row r="1610" spans="1:17" x14ac:dyDescent="0.25">
      <c r="A1610" s="3" t="s">
        <v>18</v>
      </c>
      <c r="B1610" s="3">
        <v>13580103</v>
      </c>
      <c r="C1610" s="3" t="s">
        <v>1653</v>
      </c>
      <c r="D1610" s="3" t="s">
        <v>20</v>
      </c>
      <c r="E1610" s="3" t="s">
        <v>21</v>
      </c>
      <c r="F1610" s="3" t="s">
        <v>21</v>
      </c>
      <c r="G1610" s="3" t="s">
        <v>477</v>
      </c>
      <c r="H1610" s="3" t="s">
        <v>478</v>
      </c>
      <c r="I1610" s="3" t="s">
        <v>24</v>
      </c>
      <c r="J1610" s="3" t="s">
        <v>24</v>
      </c>
      <c r="K1610" s="3" t="s">
        <v>25</v>
      </c>
      <c r="L1610" s="4">
        <v>0</v>
      </c>
      <c r="M1610" s="3" t="s">
        <v>26</v>
      </c>
      <c r="N1610" s="3" t="s">
        <v>24</v>
      </c>
      <c r="O1610" s="4">
        <v>1</v>
      </c>
      <c r="P1610" s="4">
        <v>1</v>
      </c>
      <c r="Q1610" s="4">
        <v>1</v>
      </c>
    </row>
    <row r="1611" spans="1:17" x14ac:dyDescent="0.25">
      <c r="A1611" s="3" t="s">
        <v>18</v>
      </c>
      <c r="B1611" s="3">
        <v>13580239</v>
      </c>
      <c r="C1611" s="3" t="s">
        <v>1654</v>
      </c>
      <c r="D1611" s="3" t="s">
        <v>1360</v>
      </c>
      <c r="E1611" s="3" t="s">
        <v>21</v>
      </c>
      <c r="F1611" s="3" t="s">
        <v>21</v>
      </c>
      <c r="G1611" s="3" t="s">
        <v>477</v>
      </c>
      <c r="H1611" s="3" t="s">
        <v>478</v>
      </c>
      <c r="I1611" s="3" t="s">
        <v>24</v>
      </c>
      <c r="J1611" s="3" t="s">
        <v>24</v>
      </c>
      <c r="K1611" s="3" t="s">
        <v>25</v>
      </c>
      <c r="L1611" s="4">
        <v>0</v>
      </c>
      <c r="M1611" s="3" t="s">
        <v>26</v>
      </c>
      <c r="N1611" s="3" t="s">
        <v>24</v>
      </c>
      <c r="O1611" s="4">
        <v>1</v>
      </c>
      <c r="P1611" s="4">
        <v>1</v>
      </c>
      <c r="Q1611" s="4">
        <v>1</v>
      </c>
    </row>
    <row r="1612" spans="1:17" x14ac:dyDescent="0.25">
      <c r="A1612" s="3" t="s">
        <v>18</v>
      </c>
      <c r="B1612" s="3">
        <v>13582331</v>
      </c>
      <c r="C1612" s="3" t="s">
        <v>1655</v>
      </c>
      <c r="D1612" s="3" t="s">
        <v>20</v>
      </c>
      <c r="E1612" s="3" t="s">
        <v>21</v>
      </c>
      <c r="F1612" s="3" t="s">
        <v>21</v>
      </c>
      <c r="G1612" s="3" t="s">
        <v>233</v>
      </c>
      <c r="H1612" s="3" t="s">
        <v>234</v>
      </c>
      <c r="I1612" s="3" t="s">
        <v>24</v>
      </c>
      <c r="J1612" s="3" t="s">
        <v>24</v>
      </c>
      <c r="K1612" s="3" t="s">
        <v>25</v>
      </c>
      <c r="L1612" s="4">
        <v>0</v>
      </c>
      <c r="M1612" s="3" t="s">
        <v>26</v>
      </c>
      <c r="N1612" s="3" t="s">
        <v>24</v>
      </c>
      <c r="O1612" s="4">
        <v>1</v>
      </c>
      <c r="P1612" s="4">
        <v>2</v>
      </c>
      <c r="Q1612" s="4">
        <v>1</v>
      </c>
    </row>
    <row r="1613" spans="1:17" x14ac:dyDescent="0.25">
      <c r="A1613" s="3" t="s">
        <v>18</v>
      </c>
      <c r="B1613" s="3">
        <v>13584067</v>
      </c>
      <c r="C1613" s="3" t="s">
        <v>1656</v>
      </c>
      <c r="D1613" s="3" t="s">
        <v>1360</v>
      </c>
      <c r="E1613" s="3" t="s">
        <v>21</v>
      </c>
      <c r="F1613" s="3" t="s">
        <v>21</v>
      </c>
      <c r="G1613" s="3" t="s">
        <v>233</v>
      </c>
      <c r="H1613" s="3" t="s">
        <v>234</v>
      </c>
      <c r="I1613" s="3" t="s">
        <v>24</v>
      </c>
      <c r="J1613" s="3" t="s">
        <v>24</v>
      </c>
      <c r="K1613" s="3" t="s">
        <v>25</v>
      </c>
      <c r="L1613" s="4">
        <v>0</v>
      </c>
      <c r="M1613" s="3" t="s">
        <v>26</v>
      </c>
      <c r="N1613" s="3" t="s">
        <v>24</v>
      </c>
      <c r="O1613" s="4">
        <v>1</v>
      </c>
      <c r="P1613" s="4">
        <v>2</v>
      </c>
      <c r="Q1613" s="4">
        <v>1</v>
      </c>
    </row>
    <row r="1614" spans="1:17" x14ac:dyDescent="0.25">
      <c r="A1614" s="3" t="s">
        <v>18</v>
      </c>
      <c r="B1614" s="3">
        <v>13594127</v>
      </c>
      <c r="C1614" s="3" t="s">
        <v>1657</v>
      </c>
      <c r="D1614" s="3" t="s">
        <v>1360</v>
      </c>
      <c r="E1614" s="3" t="s">
        <v>21</v>
      </c>
      <c r="F1614" s="3" t="s">
        <v>21</v>
      </c>
      <c r="G1614" s="3" t="s">
        <v>36</v>
      </c>
      <c r="H1614" s="3" t="s">
        <v>37</v>
      </c>
      <c r="I1614" s="3" t="s">
        <v>24</v>
      </c>
      <c r="J1614" s="3" t="s">
        <v>24</v>
      </c>
      <c r="K1614" s="3" t="s">
        <v>25</v>
      </c>
      <c r="L1614" s="4">
        <v>0</v>
      </c>
      <c r="M1614" s="3" t="s">
        <v>26</v>
      </c>
      <c r="N1614" s="3" t="s">
        <v>24</v>
      </c>
      <c r="O1614" s="4">
        <v>1</v>
      </c>
      <c r="P1614" s="4">
        <v>10</v>
      </c>
      <c r="Q1614" s="4">
        <v>1</v>
      </c>
    </row>
    <row r="1615" spans="1:17" x14ac:dyDescent="0.25">
      <c r="A1615" s="3" t="s">
        <v>18</v>
      </c>
      <c r="B1615" s="3">
        <v>13594261</v>
      </c>
      <c r="C1615" s="3" t="s">
        <v>1658</v>
      </c>
      <c r="D1615" s="3" t="s">
        <v>20</v>
      </c>
      <c r="E1615" s="3" t="s">
        <v>21</v>
      </c>
      <c r="F1615" s="3" t="s">
        <v>21</v>
      </c>
      <c r="G1615" s="3" t="s">
        <v>233</v>
      </c>
      <c r="H1615" s="3" t="s">
        <v>234</v>
      </c>
      <c r="I1615" s="3" t="s">
        <v>24</v>
      </c>
      <c r="J1615" s="3" t="s">
        <v>24</v>
      </c>
      <c r="K1615" s="3" t="s">
        <v>25</v>
      </c>
      <c r="L1615" s="4">
        <v>0</v>
      </c>
      <c r="M1615" s="3" t="s">
        <v>26</v>
      </c>
      <c r="N1615" s="3" t="s">
        <v>24</v>
      </c>
      <c r="O1615" s="4">
        <v>1</v>
      </c>
      <c r="P1615" s="4">
        <v>2</v>
      </c>
      <c r="Q1615" s="4">
        <v>1</v>
      </c>
    </row>
    <row r="1616" spans="1:17" x14ac:dyDescent="0.25">
      <c r="A1616" s="3" t="s">
        <v>18</v>
      </c>
      <c r="B1616" s="3">
        <v>13597113</v>
      </c>
      <c r="C1616" s="3" t="s">
        <v>1659</v>
      </c>
      <c r="D1616" s="3" t="s">
        <v>1360</v>
      </c>
      <c r="E1616" s="3" t="s">
        <v>21</v>
      </c>
      <c r="F1616" s="3" t="s">
        <v>21</v>
      </c>
      <c r="G1616" s="3" t="s">
        <v>233</v>
      </c>
      <c r="H1616" s="3" t="s">
        <v>234</v>
      </c>
      <c r="I1616" s="3" t="s">
        <v>24</v>
      </c>
      <c r="J1616" s="3" t="s">
        <v>24</v>
      </c>
      <c r="K1616" s="3" t="s">
        <v>25</v>
      </c>
      <c r="L1616" s="4">
        <v>0</v>
      </c>
      <c r="M1616" s="3" t="s">
        <v>26</v>
      </c>
      <c r="N1616" s="3" t="s">
        <v>24</v>
      </c>
      <c r="O1616" s="4">
        <v>1</v>
      </c>
      <c r="P1616" s="4">
        <v>2</v>
      </c>
      <c r="Q1616" s="4">
        <v>1</v>
      </c>
    </row>
    <row r="1617" spans="1:17" x14ac:dyDescent="0.25">
      <c r="A1617" s="3" t="s">
        <v>18</v>
      </c>
      <c r="B1617" s="3">
        <v>13598563</v>
      </c>
      <c r="C1617" s="3" t="s">
        <v>1660</v>
      </c>
      <c r="D1617" s="3" t="s">
        <v>20</v>
      </c>
      <c r="E1617" s="3" t="s">
        <v>21</v>
      </c>
      <c r="F1617" s="3" t="s">
        <v>21</v>
      </c>
      <c r="G1617" s="3" t="s">
        <v>410</v>
      </c>
      <c r="H1617" s="3" t="s">
        <v>411</v>
      </c>
      <c r="I1617" s="3" t="s">
        <v>24</v>
      </c>
      <c r="J1617" s="3" t="s">
        <v>24</v>
      </c>
      <c r="K1617" s="3" t="s">
        <v>25</v>
      </c>
      <c r="L1617" s="4">
        <v>0</v>
      </c>
      <c r="M1617" s="3" t="s">
        <v>26</v>
      </c>
      <c r="N1617" s="3" t="s">
        <v>24</v>
      </c>
      <c r="O1617" s="4">
        <v>1</v>
      </c>
      <c r="P1617" s="4">
        <v>2</v>
      </c>
      <c r="Q1617" s="4">
        <v>1</v>
      </c>
    </row>
    <row r="1618" spans="1:17" x14ac:dyDescent="0.25">
      <c r="A1618" s="3" t="s">
        <v>18</v>
      </c>
      <c r="B1618" s="3">
        <v>13600170</v>
      </c>
      <c r="C1618" s="3" t="s">
        <v>1661</v>
      </c>
      <c r="D1618" s="3" t="s">
        <v>20</v>
      </c>
      <c r="E1618" s="3" t="s">
        <v>21</v>
      </c>
      <c r="F1618" s="3" t="s">
        <v>21</v>
      </c>
      <c r="G1618" s="3" t="s">
        <v>42</v>
      </c>
      <c r="H1618" s="3" t="s">
        <v>43</v>
      </c>
      <c r="I1618" s="3" t="s">
        <v>24</v>
      </c>
      <c r="J1618" s="3" t="s">
        <v>24</v>
      </c>
      <c r="K1618" s="3" t="s">
        <v>25</v>
      </c>
      <c r="L1618" s="4">
        <v>0</v>
      </c>
      <c r="M1618" s="3" t="s">
        <v>26</v>
      </c>
      <c r="N1618" s="3" t="s">
        <v>24</v>
      </c>
      <c r="O1618" s="4">
        <v>1</v>
      </c>
      <c r="P1618" s="4">
        <v>8</v>
      </c>
      <c r="Q1618" s="4">
        <v>1</v>
      </c>
    </row>
    <row r="1619" spans="1:17" x14ac:dyDescent="0.25">
      <c r="A1619" s="3" t="s">
        <v>18</v>
      </c>
      <c r="B1619" s="3">
        <v>13608349</v>
      </c>
      <c r="C1619" s="3" t="s">
        <v>1662</v>
      </c>
      <c r="D1619" s="3" t="s">
        <v>1360</v>
      </c>
      <c r="E1619" s="3" t="s">
        <v>21</v>
      </c>
      <c r="F1619" s="3" t="s">
        <v>21</v>
      </c>
      <c r="G1619" s="3" t="s">
        <v>233</v>
      </c>
      <c r="H1619" s="3" t="s">
        <v>234</v>
      </c>
      <c r="I1619" s="3" t="s">
        <v>24</v>
      </c>
      <c r="J1619" s="3" t="s">
        <v>24</v>
      </c>
      <c r="K1619" s="3" t="s">
        <v>25</v>
      </c>
      <c r="L1619" s="4">
        <v>0</v>
      </c>
      <c r="M1619" s="3" t="s">
        <v>26</v>
      </c>
      <c r="N1619" s="3" t="s">
        <v>24</v>
      </c>
      <c r="O1619" s="4">
        <v>1</v>
      </c>
      <c r="P1619" s="4">
        <v>2</v>
      </c>
      <c r="Q1619" s="4">
        <v>1</v>
      </c>
    </row>
    <row r="1620" spans="1:17" x14ac:dyDescent="0.25">
      <c r="A1620" s="3" t="s">
        <v>18</v>
      </c>
      <c r="B1620" s="3">
        <v>13611569</v>
      </c>
      <c r="C1620" s="3" t="s">
        <v>1663</v>
      </c>
      <c r="D1620" s="3" t="s">
        <v>1360</v>
      </c>
      <c r="E1620" s="3" t="s">
        <v>21</v>
      </c>
      <c r="F1620" s="3" t="s">
        <v>21</v>
      </c>
      <c r="G1620" s="3" t="s">
        <v>233</v>
      </c>
      <c r="H1620" s="3" t="s">
        <v>234</v>
      </c>
      <c r="I1620" s="3" t="s">
        <v>24</v>
      </c>
      <c r="J1620" s="3" t="s">
        <v>24</v>
      </c>
      <c r="K1620" s="3" t="s">
        <v>25</v>
      </c>
      <c r="L1620" s="4">
        <v>0</v>
      </c>
      <c r="M1620" s="3" t="s">
        <v>26</v>
      </c>
      <c r="N1620" s="3" t="s">
        <v>24</v>
      </c>
      <c r="O1620" s="4">
        <v>1</v>
      </c>
      <c r="P1620" s="4">
        <v>2</v>
      </c>
      <c r="Q1620" s="4">
        <v>1</v>
      </c>
    </row>
    <row r="1621" spans="1:17" x14ac:dyDescent="0.25">
      <c r="A1621" s="3" t="s">
        <v>18</v>
      </c>
      <c r="B1621" s="3">
        <v>13611609</v>
      </c>
      <c r="C1621" s="3" t="s">
        <v>1664</v>
      </c>
      <c r="D1621" s="3" t="s">
        <v>1360</v>
      </c>
      <c r="E1621" s="3" t="s">
        <v>21</v>
      </c>
      <c r="F1621" s="3" t="s">
        <v>21</v>
      </c>
      <c r="G1621" s="3" t="s">
        <v>233</v>
      </c>
      <c r="H1621" s="3" t="s">
        <v>234</v>
      </c>
      <c r="I1621" s="3" t="s">
        <v>24</v>
      </c>
      <c r="J1621" s="3" t="s">
        <v>24</v>
      </c>
      <c r="K1621" s="3" t="s">
        <v>25</v>
      </c>
      <c r="L1621" s="4">
        <v>0</v>
      </c>
      <c r="M1621" s="3" t="s">
        <v>26</v>
      </c>
      <c r="N1621" s="3" t="s">
        <v>24</v>
      </c>
      <c r="O1621" s="4">
        <v>1</v>
      </c>
      <c r="P1621" s="4">
        <v>3</v>
      </c>
      <c r="Q1621" s="4">
        <v>1</v>
      </c>
    </row>
    <row r="1622" spans="1:17" x14ac:dyDescent="0.25">
      <c r="A1622" s="3" t="s">
        <v>18</v>
      </c>
      <c r="B1622" s="3">
        <v>13611613</v>
      </c>
      <c r="C1622" s="3" t="s">
        <v>1665</v>
      </c>
      <c r="D1622" s="3" t="s">
        <v>1360</v>
      </c>
      <c r="E1622" s="3" t="s">
        <v>21</v>
      </c>
      <c r="F1622" s="3" t="s">
        <v>21</v>
      </c>
      <c r="G1622" s="3" t="s">
        <v>233</v>
      </c>
      <c r="H1622" s="3" t="s">
        <v>234</v>
      </c>
      <c r="I1622" s="3" t="s">
        <v>24</v>
      </c>
      <c r="J1622" s="3" t="s">
        <v>24</v>
      </c>
      <c r="K1622" s="3" t="s">
        <v>25</v>
      </c>
      <c r="L1622" s="4">
        <v>0</v>
      </c>
      <c r="M1622" s="3" t="s">
        <v>26</v>
      </c>
      <c r="N1622" s="3" t="s">
        <v>24</v>
      </c>
      <c r="O1622" s="4">
        <v>1</v>
      </c>
      <c r="P1622" s="4">
        <v>2</v>
      </c>
      <c r="Q1622" s="4">
        <v>1</v>
      </c>
    </row>
    <row r="1623" spans="1:17" x14ac:dyDescent="0.25">
      <c r="A1623" s="3" t="s">
        <v>18</v>
      </c>
      <c r="B1623" s="3">
        <v>13611656</v>
      </c>
      <c r="C1623" s="3" t="s">
        <v>1666</v>
      </c>
      <c r="D1623" s="3" t="s">
        <v>1360</v>
      </c>
      <c r="E1623" s="3" t="s">
        <v>21</v>
      </c>
      <c r="F1623" s="3" t="s">
        <v>21</v>
      </c>
      <c r="G1623" s="3" t="s">
        <v>233</v>
      </c>
      <c r="H1623" s="3" t="s">
        <v>234</v>
      </c>
      <c r="I1623" s="3" t="s">
        <v>24</v>
      </c>
      <c r="J1623" s="3" t="s">
        <v>24</v>
      </c>
      <c r="K1623" s="3" t="s">
        <v>25</v>
      </c>
      <c r="L1623" s="4">
        <v>0</v>
      </c>
      <c r="M1623" s="3" t="s">
        <v>26</v>
      </c>
      <c r="N1623" s="3" t="s">
        <v>24</v>
      </c>
      <c r="O1623" s="4">
        <v>1</v>
      </c>
      <c r="P1623" s="4">
        <v>3</v>
      </c>
      <c r="Q1623" s="4">
        <v>1</v>
      </c>
    </row>
    <row r="1624" spans="1:17" x14ac:dyDescent="0.25">
      <c r="A1624" s="3" t="s">
        <v>18</v>
      </c>
      <c r="B1624" s="3">
        <v>13611776</v>
      </c>
      <c r="C1624" s="3" t="s">
        <v>1667</v>
      </c>
      <c r="D1624" s="3" t="s">
        <v>1360</v>
      </c>
      <c r="E1624" s="3" t="s">
        <v>21</v>
      </c>
      <c r="F1624" s="3" t="s">
        <v>21</v>
      </c>
      <c r="G1624" s="3" t="s">
        <v>233</v>
      </c>
      <c r="H1624" s="3" t="s">
        <v>234</v>
      </c>
      <c r="I1624" s="3" t="s">
        <v>24</v>
      </c>
      <c r="J1624" s="3" t="s">
        <v>24</v>
      </c>
      <c r="K1624" s="3" t="s">
        <v>25</v>
      </c>
      <c r="L1624" s="4">
        <v>0</v>
      </c>
      <c r="M1624" s="3" t="s">
        <v>26</v>
      </c>
      <c r="N1624" s="3" t="s">
        <v>24</v>
      </c>
      <c r="O1624" s="4">
        <v>1</v>
      </c>
      <c r="P1624" s="4">
        <v>2</v>
      </c>
      <c r="Q1624" s="4">
        <v>1</v>
      </c>
    </row>
    <row r="1625" spans="1:17" x14ac:dyDescent="0.25">
      <c r="A1625" s="3" t="s">
        <v>18</v>
      </c>
      <c r="B1625" s="3">
        <v>13611869</v>
      </c>
      <c r="C1625" s="3" t="s">
        <v>1668</v>
      </c>
      <c r="D1625" s="3" t="s">
        <v>1360</v>
      </c>
      <c r="E1625" s="3" t="s">
        <v>21</v>
      </c>
      <c r="F1625" s="3" t="s">
        <v>21</v>
      </c>
      <c r="G1625" s="3" t="s">
        <v>233</v>
      </c>
      <c r="H1625" s="3" t="s">
        <v>234</v>
      </c>
      <c r="I1625" s="3" t="s">
        <v>24</v>
      </c>
      <c r="J1625" s="3" t="s">
        <v>24</v>
      </c>
      <c r="K1625" s="3" t="s">
        <v>25</v>
      </c>
      <c r="L1625" s="4">
        <v>0</v>
      </c>
      <c r="M1625" s="3" t="s">
        <v>26</v>
      </c>
      <c r="N1625" s="3" t="s">
        <v>24</v>
      </c>
      <c r="O1625" s="4">
        <v>1</v>
      </c>
      <c r="P1625" s="4">
        <v>2</v>
      </c>
      <c r="Q1625" s="4">
        <v>1</v>
      </c>
    </row>
    <row r="1626" spans="1:17" x14ac:dyDescent="0.25">
      <c r="A1626" s="3" t="s">
        <v>18</v>
      </c>
      <c r="B1626" s="3">
        <v>13614318</v>
      </c>
      <c r="C1626" s="3" t="s">
        <v>1669</v>
      </c>
      <c r="D1626" s="3" t="s">
        <v>1360</v>
      </c>
      <c r="E1626" s="3" t="s">
        <v>21</v>
      </c>
      <c r="F1626" s="3" t="s">
        <v>21</v>
      </c>
      <c r="G1626" s="3" t="s">
        <v>233</v>
      </c>
      <c r="H1626" s="3" t="s">
        <v>234</v>
      </c>
      <c r="I1626" s="3" t="s">
        <v>24</v>
      </c>
      <c r="J1626" s="3" t="s">
        <v>24</v>
      </c>
      <c r="K1626" s="3" t="s">
        <v>25</v>
      </c>
      <c r="L1626" s="4">
        <v>0</v>
      </c>
      <c r="M1626" s="3" t="s">
        <v>26</v>
      </c>
      <c r="N1626" s="3" t="s">
        <v>24</v>
      </c>
      <c r="O1626" s="4">
        <v>1</v>
      </c>
      <c r="P1626" s="4">
        <v>2</v>
      </c>
      <c r="Q1626" s="4">
        <v>1</v>
      </c>
    </row>
    <row r="1627" spans="1:17" x14ac:dyDescent="0.25">
      <c r="A1627" s="3" t="s">
        <v>18</v>
      </c>
      <c r="B1627" s="3">
        <v>13614322</v>
      </c>
      <c r="C1627" s="3" t="s">
        <v>1670</v>
      </c>
      <c r="D1627" s="3" t="s">
        <v>1360</v>
      </c>
      <c r="E1627" s="3" t="s">
        <v>21</v>
      </c>
      <c r="F1627" s="3" t="s">
        <v>21</v>
      </c>
      <c r="G1627" s="3" t="s">
        <v>36</v>
      </c>
      <c r="H1627" s="3" t="s">
        <v>37</v>
      </c>
      <c r="I1627" s="3" t="s">
        <v>24</v>
      </c>
      <c r="J1627" s="3" t="s">
        <v>24</v>
      </c>
      <c r="K1627" s="3" t="s">
        <v>25</v>
      </c>
      <c r="L1627" s="4">
        <v>0</v>
      </c>
      <c r="M1627" s="3" t="s">
        <v>26</v>
      </c>
      <c r="N1627" s="3" t="s">
        <v>24</v>
      </c>
      <c r="O1627" s="4">
        <v>1</v>
      </c>
      <c r="P1627" s="4">
        <v>10</v>
      </c>
      <c r="Q1627" s="4">
        <v>1</v>
      </c>
    </row>
    <row r="1628" spans="1:17" x14ac:dyDescent="0.25">
      <c r="A1628" s="3" t="s">
        <v>18</v>
      </c>
      <c r="B1628" s="3">
        <v>13614428</v>
      </c>
      <c r="C1628" s="3" t="s">
        <v>1671</v>
      </c>
      <c r="D1628" s="3" t="s">
        <v>1360</v>
      </c>
      <c r="E1628" s="3" t="s">
        <v>21</v>
      </c>
      <c r="F1628" s="3" t="s">
        <v>21</v>
      </c>
      <c r="G1628" s="3" t="s">
        <v>36</v>
      </c>
      <c r="H1628" s="3" t="s">
        <v>37</v>
      </c>
      <c r="I1628" s="3" t="s">
        <v>24</v>
      </c>
      <c r="J1628" s="3" t="s">
        <v>24</v>
      </c>
      <c r="K1628" s="3" t="s">
        <v>25</v>
      </c>
      <c r="L1628" s="4">
        <v>0</v>
      </c>
      <c r="M1628" s="3" t="s">
        <v>26</v>
      </c>
      <c r="N1628" s="3" t="s">
        <v>24</v>
      </c>
      <c r="O1628" s="4">
        <v>1</v>
      </c>
      <c r="P1628" s="4">
        <v>10</v>
      </c>
      <c r="Q1628" s="4">
        <v>1</v>
      </c>
    </row>
    <row r="1629" spans="1:17" x14ac:dyDescent="0.25">
      <c r="A1629" s="3" t="s">
        <v>18</v>
      </c>
      <c r="B1629" s="3">
        <v>13615063</v>
      </c>
      <c r="C1629" s="3" t="s">
        <v>1672</v>
      </c>
      <c r="D1629" s="3" t="s">
        <v>1360</v>
      </c>
      <c r="E1629" s="3" t="s">
        <v>21</v>
      </c>
      <c r="F1629" s="3" t="s">
        <v>21</v>
      </c>
      <c r="G1629" s="3" t="s">
        <v>36</v>
      </c>
      <c r="H1629" s="3" t="s">
        <v>37</v>
      </c>
      <c r="I1629" s="3" t="s">
        <v>24</v>
      </c>
      <c r="J1629" s="3" t="s">
        <v>24</v>
      </c>
      <c r="K1629" s="3" t="s">
        <v>25</v>
      </c>
      <c r="L1629" s="4">
        <v>0</v>
      </c>
      <c r="M1629" s="3" t="s">
        <v>26</v>
      </c>
      <c r="N1629" s="3" t="s">
        <v>24</v>
      </c>
      <c r="O1629" s="4">
        <v>1</v>
      </c>
      <c r="P1629" s="4">
        <v>10</v>
      </c>
      <c r="Q1629" s="4">
        <v>1</v>
      </c>
    </row>
    <row r="1630" spans="1:17" x14ac:dyDescent="0.25">
      <c r="A1630" s="3" t="s">
        <v>18</v>
      </c>
      <c r="B1630" s="3">
        <v>13615066</v>
      </c>
      <c r="C1630" s="3" t="s">
        <v>1673</v>
      </c>
      <c r="D1630" s="3" t="s">
        <v>1360</v>
      </c>
      <c r="E1630" s="3" t="s">
        <v>21</v>
      </c>
      <c r="F1630" s="3" t="s">
        <v>21</v>
      </c>
      <c r="G1630" s="3" t="s">
        <v>233</v>
      </c>
      <c r="H1630" s="3" t="s">
        <v>234</v>
      </c>
      <c r="I1630" s="3" t="s">
        <v>24</v>
      </c>
      <c r="J1630" s="3" t="s">
        <v>24</v>
      </c>
      <c r="K1630" s="3" t="s">
        <v>25</v>
      </c>
      <c r="L1630" s="4">
        <v>0</v>
      </c>
      <c r="M1630" s="3" t="s">
        <v>26</v>
      </c>
      <c r="N1630" s="3" t="s">
        <v>24</v>
      </c>
      <c r="O1630" s="4">
        <v>1</v>
      </c>
      <c r="P1630" s="4">
        <v>2</v>
      </c>
      <c r="Q1630" s="4">
        <v>1</v>
      </c>
    </row>
    <row r="1631" spans="1:17" x14ac:dyDescent="0.25">
      <c r="A1631" s="3" t="s">
        <v>18</v>
      </c>
      <c r="B1631" s="3">
        <v>13615153</v>
      </c>
      <c r="C1631" s="3" t="s">
        <v>1674</v>
      </c>
      <c r="D1631" s="3" t="s">
        <v>1360</v>
      </c>
      <c r="E1631" s="3" t="s">
        <v>21</v>
      </c>
      <c r="F1631" s="3" t="s">
        <v>21</v>
      </c>
      <c r="G1631" s="3" t="s">
        <v>233</v>
      </c>
      <c r="H1631" s="3" t="s">
        <v>234</v>
      </c>
      <c r="I1631" s="3" t="s">
        <v>24</v>
      </c>
      <c r="J1631" s="3" t="s">
        <v>24</v>
      </c>
      <c r="K1631" s="3" t="s">
        <v>25</v>
      </c>
      <c r="L1631" s="4">
        <v>0</v>
      </c>
      <c r="M1631" s="3" t="s">
        <v>26</v>
      </c>
      <c r="N1631" s="3" t="s">
        <v>24</v>
      </c>
      <c r="O1631" s="4">
        <v>1</v>
      </c>
      <c r="P1631" s="4">
        <v>2</v>
      </c>
      <c r="Q1631" s="4">
        <v>1</v>
      </c>
    </row>
    <row r="1632" spans="1:17" x14ac:dyDescent="0.25">
      <c r="A1632" s="3" t="s">
        <v>18</v>
      </c>
      <c r="B1632" s="3">
        <v>13615292</v>
      </c>
      <c r="C1632" s="3" t="s">
        <v>1675</v>
      </c>
      <c r="D1632" s="3" t="s">
        <v>1360</v>
      </c>
      <c r="E1632" s="3" t="s">
        <v>21</v>
      </c>
      <c r="F1632" s="3" t="s">
        <v>21</v>
      </c>
      <c r="G1632" s="3" t="s">
        <v>36</v>
      </c>
      <c r="H1632" s="3" t="s">
        <v>37</v>
      </c>
      <c r="I1632" s="3" t="s">
        <v>24</v>
      </c>
      <c r="J1632" s="3" t="s">
        <v>24</v>
      </c>
      <c r="K1632" s="3" t="s">
        <v>25</v>
      </c>
      <c r="L1632" s="4">
        <v>0</v>
      </c>
      <c r="M1632" s="3" t="s">
        <v>26</v>
      </c>
      <c r="N1632" s="3" t="s">
        <v>24</v>
      </c>
      <c r="O1632" s="4">
        <v>1</v>
      </c>
      <c r="P1632" s="4">
        <v>10</v>
      </c>
      <c r="Q1632" s="4">
        <v>1</v>
      </c>
    </row>
    <row r="1633" spans="1:17" x14ac:dyDescent="0.25">
      <c r="A1633" s="3" t="s">
        <v>18</v>
      </c>
      <c r="B1633" s="3">
        <v>13615311</v>
      </c>
      <c r="C1633" s="3" t="s">
        <v>1676</v>
      </c>
      <c r="D1633" s="3" t="s">
        <v>1360</v>
      </c>
      <c r="E1633" s="3" t="s">
        <v>21</v>
      </c>
      <c r="F1633" s="3" t="s">
        <v>21</v>
      </c>
      <c r="G1633" s="3" t="s">
        <v>233</v>
      </c>
      <c r="H1633" s="3" t="s">
        <v>234</v>
      </c>
      <c r="I1633" s="3" t="s">
        <v>24</v>
      </c>
      <c r="J1633" s="3" t="s">
        <v>24</v>
      </c>
      <c r="K1633" s="3" t="s">
        <v>25</v>
      </c>
      <c r="L1633" s="4">
        <v>0</v>
      </c>
      <c r="M1633" s="3" t="s">
        <v>26</v>
      </c>
      <c r="N1633" s="3" t="s">
        <v>24</v>
      </c>
      <c r="O1633" s="4">
        <v>1</v>
      </c>
      <c r="P1633" s="4">
        <v>2</v>
      </c>
      <c r="Q1633" s="4">
        <v>1</v>
      </c>
    </row>
    <row r="1634" spans="1:17" x14ac:dyDescent="0.25">
      <c r="A1634" s="3" t="s">
        <v>18</v>
      </c>
      <c r="B1634" s="3">
        <v>13615833</v>
      </c>
      <c r="C1634" s="3" t="s">
        <v>1677</v>
      </c>
      <c r="D1634" s="3" t="s">
        <v>1360</v>
      </c>
      <c r="E1634" s="3" t="s">
        <v>21</v>
      </c>
      <c r="F1634" s="3" t="s">
        <v>21</v>
      </c>
      <c r="G1634" s="3" t="s">
        <v>36</v>
      </c>
      <c r="H1634" s="3" t="s">
        <v>37</v>
      </c>
      <c r="I1634" s="3" t="s">
        <v>24</v>
      </c>
      <c r="J1634" s="3" t="s">
        <v>24</v>
      </c>
      <c r="K1634" s="3" t="s">
        <v>25</v>
      </c>
      <c r="L1634" s="4">
        <v>0</v>
      </c>
      <c r="M1634" s="3" t="s">
        <v>26</v>
      </c>
      <c r="N1634" s="3" t="s">
        <v>24</v>
      </c>
      <c r="O1634" s="4">
        <v>1</v>
      </c>
      <c r="P1634" s="4">
        <v>10</v>
      </c>
      <c r="Q1634" s="4">
        <v>1</v>
      </c>
    </row>
    <row r="1635" spans="1:17" x14ac:dyDescent="0.25">
      <c r="A1635" s="3" t="s">
        <v>18</v>
      </c>
      <c r="B1635" s="3">
        <v>13615875</v>
      </c>
      <c r="C1635" s="3" t="s">
        <v>1678</v>
      </c>
      <c r="D1635" s="3" t="s">
        <v>1360</v>
      </c>
      <c r="E1635" s="3" t="s">
        <v>21</v>
      </c>
      <c r="F1635" s="3" t="s">
        <v>21</v>
      </c>
      <c r="G1635" s="3" t="s">
        <v>233</v>
      </c>
      <c r="H1635" s="3" t="s">
        <v>234</v>
      </c>
      <c r="I1635" s="3" t="s">
        <v>24</v>
      </c>
      <c r="J1635" s="3" t="s">
        <v>24</v>
      </c>
      <c r="K1635" s="3" t="s">
        <v>25</v>
      </c>
      <c r="L1635" s="4">
        <v>0</v>
      </c>
      <c r="M1635" s="3" t="s">
        <v>26</v>
      </c>
      <c r="N1635" s="3" t="s">
        <v>24</v>
      </c>
      <c r="O1635" s="4">
        <v>1</v>
      </c>
      <c r="P1635" s="4">
        <v>2</v>
      </c>
      <c r="Q1635" s="4">
        <v>1</v>
      </c>
    </row>
    <row r="1636" spans="1:17" x14ac:dyDescent="0.25">
      <c r="A1636" s="3" t="s">
        <v>18</v>
      </c>
      <c r="B1636" s="3">
        <v>13615877</v>
      </c>
      <c r="C1636" s="3" t="s">
        <v>1679</v>
      </c>
      <c r="D1636" s="3" t="s">
        <v>1360</v>
      </c>
      <c r="E1636" s="3" t="s">
        <v>21</v>
      </c>
      <c r="F1636" s="3" t="s">
        <v>21</v>
      </c>
      <c r="G1636" s="3" t="s">
        <v>233</v>
      </c>
      <c r="H1636" s="3" t="s">
        <v>234</v>
      </c>
      <c r="I1636" s="3" t="s">
        <v>24</v>
      </c>
      <c r="J1636" s="3" t="s">
        <v>24</v>
      </c>
      <c r="K1636" s="3" t="s">
        <v>25</v>
      </c>
      <c r="L1636" s="4">
        <v>0</v>
      </c>
      <c r="M1636" s="3" t="s">
        <v>26</v>
      </c>
      <c r="N1636" s="3" t="s">
        <v>24</v>
      </c>
      <c r="O1636" s="4">
        <v>1</v>
      </c>
      <c r="P1636" s="4">
        <v>2</v>
      </c>
      <c r="Q1636" s="4">
        <v>1</v>
      </c>
    </row>
    <row r="1637" spans="1:17" x14ac:dyDescent="0.25">
      <c r="A1637" s="3" t="s">
        <v>18</v>
      </c>
      <c r="B1637" s="3">
        <v>13615960</v>
      </c>
      <c r="C1637" s="3" t="s">
        <v>1680</v>
      </c>
      <c r="D1637" s="3" t="s">
        <v>1360</v>
      </c>
      <c r="E1637" s="3" t="s">
        <v>21</v>
      </c>
      <c r="F1637" s="3" t="s">
        <v>21</v>
      </c>
      <c r="G1637" s="3" t="s">
        <v>233</v>
      </c>
      <c r="H1637" s="3" t="s">
        <v>234</v>
      </c>
      <c r="I1637" s="3" t="s">
        <v>24</v>
      </c>
      <c r="J1637" s="3" t="s">
        <v>24</v>
      </c>
      <c r="K1637" s="3" t="s">
        <v>25</v>
      </c>
      <c r="L1637" s="4">
        <v>0</v>
      </c>
      <c r="M1637" s="3" t="s">
        <v>26</v>
      </c>
      <c r="N1637" s="3" t="s">
        <v>24</v>
      </c>
      <c r="O1637" s="4">
        <v>1</v>
      </c>
      <c r="P1637" s="4">
        <v>2</v>
      </c>
      <c r="Q1637" s="4">
        <v>1</v>
      </c>
    </row>
    <row r="1638" spans="1:17" x14ac:dyDescent="0.25">
      <c r="A1638" s="3" t="s">
        <v>18</v>
      </c>
      <c r="B1638" s="3">
        <v>13615961</v>
      </c>
      <c r="C1638" s="3" t="s">
        <v>1681</v>
      </c>
      <c r="D1638" s="3" t="s">
        <v>1360</v>
      </c>
      <c r="E1638" s="3" t="s">
        <v>21</v>
      </c>
      <c r="F1638" s="3" t="s">
        <v>21</v>
      </c>
      <c r="G1638" s="3" t="s">
        <v>233</v>
      </c>
      <c r="H1638" s="3" t="s">
        <v>234</v>
      </c>
      <c r="I1638" s="3" t="s">
        <v>24</v>
      </c>
      <c r="J1638" s="3" t="s">
        <v>24</v>
      </c>
      <c r="K1638" s="3" t="s">
        <v>25</v>
      </c>
      <c r="L1638" s="4">
        <v>0</v>
      </c>
      <c r="M1638" s="3" t="s">
        <v>26</v>
      </c>
      <c r="N1638" s="3" t="s">
        <v>24</v>
      </c>
      <c r="O1638" s="4">
        <v>1</v>
      </c>
      <c r="P1638" s="4">
        <v>2</v>
      </c>
      <c r="Q1638" s="4">
        <v>1</v>
      </c>
    </row>
    <row r="1639" spans="1:17" x14ac:dyDescent="0.25">
      <c r="A1639" s="3" t="s">
        <v>18</v>
      </c>
      <c r="B1639" s="3">
        <v>13615963</v>
      </c>
      <c r="C1639" s="3" t="s">
        <v>1682</v>
      </c>
      <c r="D1639" s="3" t="s">
        <v>1360</v>
      </c>
      <c r="E1639" s="3" t="s">
        <v>21</v>
      </c>
      <c r="F1639" s="3" t="s">
        <v>21</v>
      </c>
      <c r="G1639" s="3" t="s">
        <v>233</v>
      </c>
      <c r="H1639" s="3" t="s">
        <v>234</v>
      </c>
      <c r="I1639" s="3" t="s">
        <v>24</v>
      </c>
      <c r="J1639" s="3" t="s">
        <v>24</v>
      </c>
      <c r="K1639" s="3" t="s">
        <v>25</v>
      </c>
      <c r="L1639" s="4">
        <v>0</v>
      </c>
      <c r="M1639" s="3" t="s">
        <v>26</v>
      </c>
      <c r="N1639" s="3" t="s">
        <v>24</v>
      </c>
      <c r="O1639" s="4">
        <v>1</v>
      </c>
      <c r="P1639" s="4">
        <v>2</v>
      </c>
      <c r="Q1639" s="4">
        <v>1</v>
      </c>
    </row>
    <row r="1640" spans="1:17" x14ac:dyDescent="0.25">
      <c r="A1640" s="3" t="s">
        <v>18</v>
      </c>
      <c r="B1640" s="3">
        <v>13616008</v>
      </c>
      <c r="C1640" s="3" t="s">
        <v>1683</v>
      </c>
      <c r="D1640" s="3" t="s">
        <v>1360</v>
      </c>
      <c r="E1640" s="3" t="s">
        <v>21</v>
      </c>
      <c r="F1640" s="3" t="s">
        <v>21</v>
      </c>
      <c r="G1640" s="3" t="s">
        <v>233</v>
      </c>
      <c r="H1640" s="3" t="s">
        <v>234</v>
      </c>
      <c r="I1640" s="3" t="s">
        <v>24</v>
      </c>
      <c r="J1640" s="3" t="s">
        <v>24</v>
      </c>
      <c r="K1640" s="3" t="s">
        <v>25</v>
      </c>
      <c r="L1640" s="4">
        <v>0</v>
      </c>
      <c r="M1640" s="3" t="s">
        <v>26</v>
      </c>
      <c r="N1640" s="3" t="s">
        <v>24</v>
      </c>
      <c r="O1640" s="4">
        <v>1</v>
      </c>
      <c r="P1640" s="4">
        <v>2</v>
      </c>
      <c r="Q1640" s="4">
        <v>1</v>
      </c>
    </row>
    <row r="1641" spans="1:17" x14ac:dyDescent="0.25">
      <c r="A1641" s="3" t="s">
        <v>18</v>
      </c>
      <c r="B1641" s="3">
        <v>13616010</v>
      </c>
      <c r="C1641" s="3" t="s">
        <v>1684</v>
      </c>
      <c r="D1641" s="3" t="s">
        <v>1360</v>
      </c>
      <c r="E1641" s="3" t="s">
        <v>21</v>
      </c>
      <c r="F1641" s="3" t="s">
        <v>21</v>
      </c>
      <c r="G1641" s="3" t="s">
        <v>233</v>
      </c>
      <c r="H1641" s="3" t="s">
        <v>234</v>
      </c>
      <c r="I1641" s="3" t="s">
        <v>24</v>
      </c>
      <c r="J1641" s="3" t="s">
        <v>24</v>
      </c>
      <c r="K1641" s="3" t="s">
        <v>25</v>
      </c>
      <c r="L1641" s="4">
        <v>0</v>
      </c>
      <c r="M1641" s="3" t="s">
        <v>26</v>
      </c>
      <c r="N1641" s="3" t="s">
        <v>24</v>
      </c>
      <c r="O1641" s="4">
        <v>1</v>
      </c>
      <c r="P1641" s="4">
        <v>2</v>
      </c>
      <c r="Q1641" s="4">
        <v>1</v>
      </c>
    </row>
    <row r="1642" spans="1:17" x14ac:dyDescent="0.25">
      <c r="A1642" s="3" t="s">
        <v>18</v>
      </c>
      <c r="B1642" s="3">
        <v>13616015</v>
      </c>
      <c r="C1642" s="3" t="s">
        <v>1685</v>
      </c>
      <c r="D1642" s="3" t="s">
        <v>1360</v>
      </c>
      <c r="E1642" s="3" t="s">
        <v>21</v>
      </c>
      <c r="F1642" s="3" t="s">
        <v>21</v>
      </c>
      <c r="G1642" s="3" t="s">
        <v>233</v>
      </c>
      <c r="H1642" s="3" t="s">
        <v>234</v>
      </c>
      <c r="I1642" s="3" t="s">
        <v>24</v>
      </c>
      <c r="J1642" s="3" t="s">
        <v>24</v>
      </c>
      <c r="K1642" s="3" t="s">
        <v>25</v>
      </c>
      <c r="L1642" s="4">
        <v>0</v>
      </c>
      <c r="M1642" s="3" t="s">
        <v>26</v>
      </c>
      <c r="N1642" s="3" t="s">
        <v>24</v>
      </c>
      <c r="O1642" s="4">
        <v>1</v>
      </c>
      <c r="P1642" s="4">
        <v>2</v>
      </c>
      <c r="Q1642" s="4">
        <v>1</v>
      </c>
    </row>
    <row r="1643" spans="1:17" x14ac:dyDescent="0.25">
      <c r="A1643" s="3" t="s">
        <v>18</v>
      </c>
      <c r="B1643" s="3">
        <v>13616017</v>
      </c>
      <c r="C1643" s="3" t="s">
        <v>1686</v>
      </c>
      <c r="D1643" s="3" t="s">
        <v>1360</v>
      </c>
      <c r="E1643" s="3" t="s">
        <v>21</v>
      </c>
      <c r="F1643" s="3" t="s">
        <v>21</v>
      </c>
      <c r="G1643" s="3" t="s">
        <v>233</v>
      </c>
      <c r="H1643" s="3" t="s">
        <v>234</v>
      </c>
      <c r="I1643" s="3" t="s">
        <v>24</v>
      </c>
      <c r="J1643" s="3" t="s">
        <v>24</v>
      </c>
      <c r="K1643" s="3" t="s">
        <v>25</v>
      </c>
      <c r="L1643" s="4">
        <v>0</v>
      </c>
      <c r="M1643" s="3" t="s">
        <v>26</v>
      </c>
      <c r="N1643" s="3" t="s">
        <v>24</v>
      </c>
      <c r="O1643" s="4">
        <v>1</v>
      </c>
      <c r="P1643" s="4">
        <v>2</v>
      </c>
      <c r="Q1643" s="4">
        <v>1</v>
      </c>
    </row>
    <row r="1644" spans="1:17" x14ac:dyDescent="0.25">
      <c r="A1644" s="3" t="s">
        <v>18</v>
      </c>
      <c r="B1644" s="3">
        <v>13616112</v>
      </c>
      <c r="C1644" s="3" t="s">
        <v>1687</v>
      </c>
      <c r="D1644" s="3" t="s">
        <v>1360</v>
      </c>
      <c r="E1644" s="3" t="s">
        <v>21</v>
      </c>
      <c r="F1644" s="3" t="s">
        <v>21</v>
      </c>
      <c r="G1644" s="3" t="s">
        <v>233</v>
      </c>
      <c r="H1644" s="3" t="s">
        <v>234</v>
      </c>
      <c r="I1644" s="3" t="s">
        <v>24</v>
      </c>
      <c r="J1644" s="3" t="s">
        <v>24</v>
      </c>
      <c r="K1644" s="3" t="s">
        <v>25</v>
      </c>
      <c r="L1644" s="4">
        <v>0</v>
      </c>
      <c r="M1644" s="3" t="s">
        <v>26</v>
      </c>
      <c r="N1644" s="3" t="s">
        <v>24</v>
      </c>
      <c r="O1644" s="4">
        <v>1</v>
      </c>
      <c r="P1644" s="4">
        <v>2</v>
      </c>
      <c r="Q1644" s="4">
        <v>1</v>
      </c>
    </row>
    <row r="1645" spans="1:17" x14ac:dyDescent="0.25">
      <c r="A1645" s="3" t="s">
        <v>18</v>
      </c>
      <c r="B1645" s="3">
        <v>13616198</v>
      </c>
      <c r="C1645" s="3" t="s">
        <v>1688</v>
      </c>
      <c r="D1645" s="3" t="s">
        <v>1360</v>
      </c>
      <c r="E1645" s="3" t="s">
        <v>21</v>
      </c>
      <c r="F1645" s="3" t="s">
        <v>21</v>
      </c>
      <c r="G1645" s="3" t="s">
        <v>233</v>
      </c>
      <c r="H1645" s="3" t="s">
        <v>234</v>
      </c>
      <c r="I1645" s="3" t="s">
        <v>24</v>
      </c>
      <c r="J1645" s="3" t="s">
        <v>24</v>
      </c>
      <c r="K1645" s="3" t="s">
        <v>25</v>
      </c>
      <c r="L1645" s="4">
        <v>0</v>
      </c>
      <c r="M1645" s="3" t="s">
        <v>26</v>
      </c>
      <c r="N1645" s="3" t="s">
        <v>24</v>
      </c>
      <c r="O1645" s="4">
        <v>1</v>
      </c>
      <c r="P1645" s="4">
        <v>2</v>
      </c>
      <c r="Q1645" s="4">
        <v>1</v>
      </c>
    </row>
    <row r="1646" spans="1:17" x14ac:dyDescent="0.25">
      <c r="A1646" s="3" t="s">
        <v>18</v>
      </c>
      <c r="B1646" s="3">
        <v>13616382</v>
      </c>
      <c r="C1646" s="3" t="s">
        <v>1689</v>
      </c>
      <c r="D1646" s="3" t="s">
        <v>1360</v>
      </c>
      <c r="E1646" s="3" t="s">
        <v>21</v>
      </c>
      <c r="F1646" s="3" t="s">
        <v>21</v>
      </c>
      <c r="G1646" s="3" t="s">
        <v>233</v>
      </c>
      <c r="H1646" s="3" t="s">
        <v>234</v>
      </c>
      <c r="I1646" s="3" t="s">
        <v>24</v>
      </c>
      <c r="J1646" s="3" t="s">
        <v>24</v>
      </c>
      <c r="K1646" s="3" t="s">
        <v>25</v>
      </c>
      <c r="L1646" s="4">
        <v>0</v>
      </c>
      <c r="M1646" s="3" t="s">
        <v>26</v>
      </c>
      <c r="N1646" s="3" t="s">
        <v>24</v>
      </c>
      <c r="O1646" s="4">
        <v>1</v>
      </c>
      <c r="P1646" s="4">
        <v>2</v>
      </c>
      <c r="Q1646" s="4">
        <v>1</v>
      </c>
    </row>
    <row r="1647" spans="1:17" x14ac:dyDescent="0.25">
      <c r="A1647" s="3" t="s">
        <v>18</v>
      </c>
      <c r="B1647" s="3">
        <v>13616431</v>
      </c>
      <c r="C1647" s="3" t="s">
        <v>1690</v>
      </c>
      <c r="D1647" s="3" t="s">
        <v>1360</v>
      </c>
      <c r="E1647" s="3" t="s">
        <v>21</v>
      </c>
      <c r="F1647" s="3" t="s">
        <v>21</v>
      </c>
      <c r="G1647" s="3" t="s">
        <v>233</v>
      </c>
      <c r="H1647" s="3" t="s">
        <v>234</v>
      </c>
      <c r="I1647" s="3" t="s">
        <v>24</v>
      </c>
      <c r="J1647" s="3" t="s">
        <v>24</v>
      </c>
      <c r="K1647" s="3" t="s">
        <v>25</v>
      </c>
      <c r="L1647" s="4">
        <v>0</v>
      </c>
      <c r="M1647" s="3" t="s">
        <v>26</v>
      </c>
      <c r="N1647" s="3" t="s">
        <v>24</v>
      </c>
      <c r="O1647" s="4">
        <v>1</v>
      </c>
      <c r="P1647" s="4">
        <v>2</v>
      </c>
      <c r="Q1647" s="4">
        <v>1</v>
      </c>
    </row>
    <row r="1648" spans="1:17" x14ac:dyDescent="0.25">
      <c r="A1648" s="3" t="s">
        <v>18</v>
      </c>
      <c r="B1648" s="3">
        <v>13617559</v>
      </c>
      <c r="C1648" s="3" t="s">
        <v>1691</v>
      </c>
      <c r="D1648" s="3" t="s">
        <v>1360</v>
      </c>
      <c r="E1648" s="3" t="s">
        <v>21</v>
      </c>
      <c r="F1648" s="3" t="s">
        <v>21</v>
      </c>
      <c r="G1648" s="3" t="s">
        <v>233</v>
      </c>
      <c r="H1648" s="3" t="s">
        <v>234</v>
      </c>
      <c r="I1648" s="3" t="s">
        <v>24</v>
      </c>
      <c r="J1648" s="3" t="s">
        <v>24</v>
      </c>
      <c r="K1648" s="3" t="s">
        <v>25</v>
      </c>
      <c r="L1648" s="4">
        <v>0</v>
      </c>
      <c r="M1648" s="3" t="s">
        <v>26</v>
      </c>
      <c r="N1648" s="3" t="s">
        <v>24</v>
      </c>
      <c r="O1648" s="4">
        <v>1</v>
      </c>
      <c r="P1648" s="4">
        <v>2</v>
      </c>
      <c r="Q1648" s="4">
        <v>1</v>
      </c>
    </row>
    <row r="1649" spans="1:17" x14ac:dyDescent="0.25">
      <c r="A1649" s="3" t="s">
        <v>18</v>
      </c>
      <c r="B1649" s="3">
        <v>13617562</v>
      </c>
      <c r="C1649" s="3" t="s">
        <v>1692</v>
      </c>
      <c r="D1649" s="3" t="s">
        <v>1360</v>
      </c>
      <c r="E1649" s="3" t="s">
        <v>21</v>
      </c>
      <c r="F1649" s="3" t="s">
        <v>21</v>
      </c>
      <c r="G1649" s="3" t="s">
        <v>233</v>
      </c>
      <c r="H1649" s="3" t="s">
        <v>234</v>
      </c>
      <c r="I1649" s="3" t="s">
        <v>24</v>
      </c>
      <c r="J1649" s="3" t="s">
        <v>24</v>
      </c>
      <c r="K1649" s="3" t="s">
        <v>25</v>
      </c>
      <c r="L1649" s="4">
        <v>0</v>
      </c>
      <c r="M1649" s="3" t="s">
        <v>26</v>
      </c>
      <c r="N1649" s="3" t="s">
        <v>24</v>
      </c>
      <c r="O1649" s="4">
        <v>1</v>
      </c>
      <c r="P1649" s="4">
        <v>2</v>
      </c>
      <c r="Q1649" s="4">
        <v>1</v>
      </c>
    </row>
    <row r="1650" spans="1:17" x14ac:dyDescent="0.25">
      <c r="A1650" s="3" t="s">
        <v>18</v>
      </c>
      <c r="B1650" s="3">
        <v>13617595</v>
      </c>
      <c r="C1650" s="3" t="s">
        <v>1693</v>
      </c>
      <c r="D1650" s="3" t="s">
        <v>1360</v>
      </c>
      <c r="E1650" s="3" t="s">
        <v>21</v>
      </c>
      <c r="F1650" s="3" t="s">
        <v>21</v>
      </c>
      <c r="G1650" s="3" t="s">
        <v>36</v>
      </c>
      <c r="H1650" s="3" t="s">
        <v>37</v>
      </c>
      <c r="I1650" s="3" t="s">
        <v>24</v>
      </c>
      <c r="J1650" s="3" t="s">
        <v>24</v>
      </c>
      <c r="K1650" s="3" t="s">
        <v>25</v>
      </c>
      <c r="L1650" s="4">
        <v>0</v>
      </c>
      <c r="M1650" s="3" t="s">
        <v>26</v>
      </c>
      <c r="N1650" s="3" t="s">
        <v>24</v>
      </c>
      <c r="O1650" s="4">
        <v>1</v>
      </c>
      <c r="P1650" s="4">
        <v>10</v>
      </c>
      <c r="Q1650" s="4">
        <v>1</v>
      </c>
    </row>
    <row r="1651" spans="1:17" x14ac:dyDescent="0.25">
      <c r="A1651" s="3" t="s">
        <v>18</v>
      </c>
      <c r="B1651" s="3">
        <v>13618722</v>
      </c>
      <c r="C1651" s="3" t="s">
        <v>1694</v>
      </c>
      <c r="D1651" s="3" t="s">
        <v>20</v>
      </c>
      <c r="E1651" s="3" t="s">
        <v>21</v>
      </c>
      <c r="F1651" s="3" t="s">
        <v>21</v>
      </c>
      <c r="G1651" s="3" t="s">
        <v>477</v>
      </c>
      <c r="H1651" s="3" t="s">
        <v>478</v>
      </c>
      <c r="I1651" s="3" t="s">
        <v>24</v>
      </c>
      <c r="J1651" s="3" t="s">
        <v>24</v>
      </c>
      <c r="K1651" s="3" t="s">
        <v>25</v>
      </c>
      <c r="L1651" s="4">
        <v>0</v>
      </c>
      <c r="M1651" s="3" t="s">
        <v>26</v>
      </c>
      <c r="N1651" s="3" t="s">
        <v>24</v>
      </c>
      <c r="O1651" s="4">
        <v>1</v>
      </c>
      <c r="P1651" s="4">
        <v>1</v>
      </c>
      <c r="Q1651" s="4">
        <v>1</v>
      </c>
    </row>
    <row r="1652" spans="1:17" x14ac:dyDescent="0.25">
      <c r="A1652" s="3" t="s">
        <v>18</v>
      </c>
      <c r="B1652" s="3">
        <v>13619706</v>
      </c>
      <c r="C1652" s="3" t="s">
        <v>1695</v>
      </c>
      <c r="D1652" s="3" t="s">
        <v>1360</v>
      </c>
      <c r="E1652" s="3" t="s">
        <v>21</v>
      </c>
      <c r="F1652" s="3" t="s">
        <v>21</v>
      </c>
      <c r="G1652" s="3" t="s">
        <v>477</v>
      </c>
      <c r="H1652" s="3" t="s">
        <v>478</v>
      </c>
      <c r="I1652" s="3" t="s">
        <v>24</v>
      </c>
      <c r="J1652" s="3" t="s">
        <v>24</v>
      </c>
      <c r="K1652" s="3" t="s">
        <v>25</v>
      </c>
      <c r="L1652" s="4">
        <v>0</v>
      </c>
      <c r="M1652" s="3" t="s">
        <v>26</v>
      </c>
      <c r="N1652" s="3" t="s">
        <v>24</v>
      </c>
      <c r="O1652" s="4">
        <v>1</v>
      </c>
      <c r="P1652" s="4">
        <v>1</v>
      </c>
      <c r="Q1652" s="4">
        <v>1</v>
      </c>
    </row>
    <row r="1653" spans="1:17" x14ac:dyDescent="0.25">
      <c r="A1653" s="3" t="s">
        <v>18</v>
      </c>
      <c r="B1653" s="3">
        <v>13621735</v>
      </c>
      <c r="C1653" s="3" t="s">
        <v>1696</v>
      </c>
      <c r="D1653" s="3" t="s">
        <v>1360</v>
      </c>
      <c r="E1653" s="3" t="s">
        <v>21</v>
      </c>
      <c r="F1653" s="3" t="s">
        <v>21</v>
      </c>
      <c r="G1653" s="3" t="s">
        <v>233</v>
      </c>
      <c r="H1653" s="3" t="s">
        <v>234</v>
      </c>
      <c r="I1653" s="3" t="s">
        <v>24</v>
      </c>
      <c r="J1653" s="3" t="s">
        <v>24</v>
      </c>
      <c r="K1653" s="3" t="s">
        <v>25</v>
      </c>
      <c r="L1653" s="4">
        <v>0</v>
      </c>
      <c r="M1653" s="3" t="s">
        <v>26</v>
      </c>
      <c r="N1653" s="3" t="s">
        <v>24</v>
      </c>
      <c r="O1653" s="4">
        <v>1</v>
      </c>
      <c r="P1653" s="4">
        <v>2</v>
      </c>
      <c r="Q1653" s="4">
        <v>1</v>
      </c>
    </row>
    <row r="1654" spans="1:17" x14ac:dyDescent="0.25">
      <c r="A1654" s="3" t="s">
        <v>18</v>
      </c>
      <c r="B1654" s="3">
        <v>13622290</v>
      </c>
      <c r="C1654" s="3" t="s">
        <v>1697</v>
      </c>
      <c r="D1654" s="3" t="s">
        <v>1360</v>
      </c>
      <c r="E1654" s="3" t="s">
        <v>21</v>
      </c>
      <c r="F1654" s="3" t="s">
        <v>21</v>
      </c>
      <c r="G1654" s="3" t="s">
        <v>233</v>
      </c>
      <c r="H1654" s="3" t="s">
        <v>234</v>
      </c>
      <c r="I1654" s="3" t="s">
        <v>24</v>
      </c>
      <c r="J1654" s="3" t="s">
        <v>24</v>
      </c>
      <c r="K1654" s="3" t="s">
        <v>25</v>
      </c>
      <c r="L1654" s="4">
        <v>0</v>
      </c>
      <c r="M1654" s="3" t="s">
        <v>26</v>
      </c>
      <c r="N1654" s="3" t="s">
        <v>24</v>
      </c>
      <c r="O1654" s="4">
        <v>1</v>
      </c>
      <c r="P1654" s="4">
        <v>3</v>
      </c>
      <c r="Q1654" s="4">
        <v>1</v>
      </c>
    </row>
    <row r="1655" spans="1:17" x14ac:dyDescent="0.25">
      <c r="A1655" s="3" t="s">
        <v>18</v>
      </c>
      <c r="B1655" s="3">
        <v>13622293</v>
      </c>
      <c r="C1655" s="3" t="s">
        <v>1698</v>
      </c>
      <c r="D1655" s="3" t="s">
        <v>1360</v>
      </c>
      <c r="E1655" s="3" t="s">
        <v>21</v>
      </c>
      <c r="F1655" s="3" t="s">
        <v>21</v>
      </c>
      <c r="G1655" s="3" t="s">
        <v>233</v>
      </c>
      <c r="H1655" s="3" t="s">
        <v>234</v>
      </c>
      <c r="I1655" s="3" t="s">
        <v>24</v>
      </c>
      <c r="J1655" s="3" t="s">
        <v>24</v>
      </c>
      <c r="K1655" s="3" t="s">
        <v>25</v>
      </c>
      <c r="L1655" s="4">
        <v>0</v>
      </c>
      <c r="M1655" s="3" t="s">
        <v>26</v>
      </c>
      <c r="N1655" s="3" t="s">
        <v>24</v>
      </c>
      <c r="O1655" s="4">
        <v>1</v>
      </c>
      <c r="P1655" s="4">
        <v>2</v>
      </c>
      <c r="Q1655" s="4">
        <v>1</v>
      </c>
    </row>
    <row r="1656" spans="1:17" x14ac:dyDescent="0.25">
      <c r="A1656" s="3" t="s">
        <v>18</v>
      </c>
      <c r="B1656" s="3">
        <v>13622396</v>
      </c>
      <c r="C1656" s="3" t="s">
        <v>1699</v>
      </c>
      <c r="D1656" s="3" t="s">
        <v>1360</v>
      </c>
      <c r="E1656" s="3" t="s">
        <v>21</v>
      </c>
      <c r="F1656" s="3" t="s">
        <v>21</v>
      </c>
      <c r="G1656" s="3" t="s">
        <v>233</v>
      </c>
      <c r="H1656" s="3" t="s">
        <v>234</v>
      </c>
      <c r="I1656" s="3" t="s">
        <v>24</v>
      </c>
      <c r="J1656" s="3" t="s">
        <v>24</v>
      </c>
      <c r="K1656" s="3" t="s">
        <v>25</v>
      </c>
      <c r="L1656" s="4">
        <v>0</v>
      </c>
      <c r="M1656" s="3" t="s">
        <v>26</v>
      </c>
      <c r="N1656" s="3" t="s">
        <v>24</v>
      </c>
      <c r="O1656" s="4">
        <v>1</v>
      </c>
      <c r="P1656" s="4">
        <v>2</v>
      </c>
      <c r="Q1656" s="4">
        <v>1</v>
      </c>
    </row>
    <row r="1657" spans="1:17" x14ac:dyDescent="0.25">
      <c r="A1657" s="3" t="s">
        <v>18</v>
      </c>
      <c r="B1657" s="3">
        <v>13622397</v>
      </c>
      <c r="C1657" s="3" t="s">
        <v>1700</v>
      </c>
      <c r="D1657" s="3" t="s">
        <v>1360</v>
      </c>
      <c r="E1657" s="3" t="s">
        <v>21</v>
      </c>
      <c r="F1657" s="3" t="s">
        <v>21</v>
      </c>
      <c r="G1657" s="3" t="s">
        <v>233</v>
      </c>
      <c r="H1657" s="3" t="s">
        <v>234</v>
      </c>
      <c r="I1657" s="3" t="s">
        <v>24</v>
      </c>
      <c r="J1657" s="3" t="s">
        <v>24</v>
      </c>
      <c r="K1657" s="3" t="s">
        <v>25</v>
      </c>
      <c r="L1657" s="4">
        <v>0</v>
      </c>
      <c r="M1657" s="3" t="s">
        <v>26</v>
      </c>
      <c r="N1657" s="3" t="s">
        <v>24</v>
      </c>
      <c r="O1657" s="4">
        <v>1</v>
      </c>
      <c r="P1657" s="4">
        <v>2</v>
      </c>
      <c r="Q1657" s="4">
        <v>1</v>
      </c>
    </row>
    <row r="1658" spans="1:17" x14ac:dyDescent="0.25">
      <c r="A1658" s="3" t="s">
        <v>18</v>
      </c>
      <c r="B1658" s="3">
        <v>13622450</v>
      </c>
      <c r="C1658" s="3" t="s">
        <v>1701</v>
      </c>
      <c r="D1658" s="3" t="s">
        <v>1360</v>
      </c>
      <c r="E1658" s="3" t="s">
        <v>21</v>
      </c>
      <c r="F1658" s="3" t="s">
        <v>21</v>
      </c>
      <c r="G1658" s="3" t="s">
        <v>233</v>
      </c>
      <c r="H1658" s="3" t="s">
        <v>234</v>
      </c>
      <c r="I1658" s="3" t="s">
        <v>24</v>
      </c>
      <c r="J1658" s="3" t="s">
        <v>24</v>
      </c>
      <c r="K1658" s="3" t="s">
        <v>25</v>
      </c>
      <c r="L1658" s="4">
        <v>0</v>
      </c>
      <c r="M1658" s="3" t="s">
        <v>26</v>
      </c>
      <c r="N1658" s="3" t="s">
        <v>24</v>
      </c>
      <c r="O1658" s="4">
        <v>1</v>
      </c>
      <c r="P1658" s="4">
        <v>2</v>
      </c>
      <c r="Q1658" s="4">
        <v>1</v>
      </c>
    </row>
    <row r="1659" spans="1:17" x14ac:dyDescent="0.25">
      <c r="A1659" s="3" t="s">
        <v>18</v>
      </c>
      <c r="B1659" s="3">
        <v>13622451</v>
      </c>
      <c r="C1659" s="3" t="s">
        <v>1702</v>
      </c>
      <c r="D1659" s="3" t="s">
        <v>1360</v>
      </c>
      <c r="E1659" s="3" t="s">
        <v>21</v>
      </c>
      <c r="F1659" s="3" t="s">
        <v>21</v>
      </c>
      <c r="G1659" s="3" t="s">
        <v>233</v>
      </c>
      <c r="H1659" s="3" t="s">
        <v>234</v>
      </c>
      <c r="I1659" s="3" t="s">
        <v>24</v>
      </c>
      <c r="J1659" s="3" t="s">
        <v>24</v>
      </c>
      <c r="K1659" s="3" t="s">
        <v>25</v>
      </c>
      <c r="L1659" s="4">
        <v>0</v>
      </c>
      <c r="M1659" s="3" t="s">
        <v>26</v>
      </c>
      <c r="N1659" s="3" t="s">
        <v>24</v>
      </c>
      <c r="O1659" s="4">
        <v>1</v>
      </c>
      <c r="P1659" s="4">
        <v>2</v>
      </c>
      <c r="Q1659" s="4">
        <v>1</v>
      </c>
    </row>
    <row r="1660" spans="1:17" x14ac:dyDescent="0.25">
      <c r="A1660" s="3" t="s">
        <v>18</v>
      </c>
      <c r="B1660" s="3">
        <v>13623411</v>
      </c>
      <c r="C1660" s="3" t="s">
        <v>1703</v>
      </c>
      <c r="D1660" s="3" t="s">
        <v>1360</v>
      </c>
      <c r="E1660" s="3" t="s">
        <v>21</v>
      </c>
      <c r="F1660" s="3" t="s">
        <v>21</v>
      </c>
      <c r="G1660" s="3" t="s">
        <v>233</v>
      </c>
      <c r="H1660" s="3" t="s">
        <v>234</v>
      </c>
      <c r="I1660" s="3" t="s">
        <v>24</v>
      </c>
      <c r="J1660" s="3" t="s">
        <v>24</v>
      </c>
      <c r="K1660" s="3" t="s">
        <v>25</v>
      </c>
      <c r="L1660" s="4">
        <v>0</v>
      </c>
      <c r="M1660" s="3" t="s">
        <v>26</v>
      </c>
      <c r="N1660" s="3" t="s">
        <v>24</v>
      </c>
      <c r="O1660" s="4">
        <v>1</v>
      </c>
      <c r="P1660" s="4">
        <v>2</v>
      </c>
      <c r="Q1660" s="4">
        <v>1</v>
      </c>
    </row>
    <row r="1661" spans="1:17" x14ac:dyDescent="0.25">
      <c r="A1661" s="3" t="s">
        <v>18</v>
      </c>
      <c r="B1661" s="3">
        <v>13623416</v>
      </c>
      <c r="C1661" s="3" t="s">
        <v>1704</v>
      </c>
      <c r="D1661" s="3" t="s">
        <v>1360</v>
      </c>
      <c r="E1661" s="3" t="s">
        <v>21</v>
      </c>
      <c r="F1661" s="3" t="s">
        <v>21</v>
      </c>
      <c r="G1661" s="3" t="s">
        <v>233</v>
      </c>
      <c r="H1661" s="3" t="s">
        <v>234</v>
      </c>
      <c r="I1661" s="3" t="s">
        <v>24</v>
      </c>
      <c r="J1661" s="3" t="s">
        <v>24</v>
      </c>
      <c r="K1661" s="3" t="s">
        <v>25</v>
      </c>
      <c r="L1661" s="4">
        <v>0</v>
      </c>
      <c r="M1661" s="3" t="s">
        <v>26</v>
      </c>
      <c r="N1661" s="3" t="s">
        <v>24</v>
      </c>
      <c r="O1661" s="4">
        <v>1</v>
      </c>
      <c r="P1661" s="4">
        <v>2</v>
      </c>
      <c r="Q1661" s="4">
        <v>1</v>
      </c>
    </row>
    <row r="1662" spans="1:17" x14ac:dyDescent="0.25">
      <c r="A1662" s="3" t="s">
        <v>18</v>
      </c>
      <c r="B1662" s="3">
        <v>13623439</v>
      </c>
      <c r="C1662" s="3" t="s">
        <v>1705</v>
      </c>
      <c r="D1662" s="3" t="s">
        <v>1360</v>
      </c>
      <c r="E1662" s="3" t="s">
        <v>21</v>
      </c>
      <c r="F1662" s="3" t="s">
        <v>21</v>
      </c>
      <c r="G1662" s="3" t="s">
        <v>233</v>
      </c>
      <c r="H1662" s="3" t="s">
        <v>234</v>
      </c>
      <c r="I1662" s="3" t="s">
        <v>24</v>
      </c>
      <c r="J1662" s="3" t="s">
        <v>24</v>
      </c>
      <c r="K1662" s="3" t="s">
        <v>25</v>
      </c>
      <c r="L1662" s="4">
        <v>0</v>
      </c>
      <c r="M1662" s="3" t="s">
        <v>26</v>
      </c>
      <c r="N1662" s="3" t="s">
        <v>24</v>
      </c>
      <c r="O1662" s="4">
        <v>1</v>
      </c>
      <c r="P1662" s="4">
        <v>2</v>
      </c>
      <c r="Q1662" s="4">
        <v>1</v>
      </c>
    </row>
    <row r="1663" spans="1:17" x14ac:dyDescent="0.25">
      <c r="A1663" s="3" t="s">
        <v>18</v>
      </c>
      <c r="B1663" s="3">
        <v>13624091</v>
      </c>
      <c r="C1663" s="3" t="s">
        <v>1706</v>
      </c>
      <c r="D1663" s="3" t="s">
        <v>1360</v>
      </c>
      <c r="E1663" s="3" t="s">
        <v>21</v>
      </c>
      <c r="F1663" s="3" t="s">
        <v>21</v>
      </c>
      <c r="G1663" s="3" t="s">
        <v>233</v>
      </c>
      <c r="H1663" s="3" t="s">
        <v>234</v>
      </c>
      <c r="I1663" s="3" t="s">
        <v>24</v>
      </c>
      <c r="J1663" s="3" t="s">
        <v>24</v>
      </c>
      <c r="K1663" s="3" t="s">
        <v>25</v>
      </c>
      <c r="L1663" s="4">
        <v>0</v>
      </c>
      <c r="M1663" s="3" t="s">
        <v>26</v>
      </c>
      <c r="N1663" s="3" t="s">
        <v>24</v>
      </c>
      <c r="O1663" s="4">
        <v>1</v>
      </c>
      <c r="P1663" s="4">
        <v>2</v>
      </c>
      <c r="Q1663" s="4">
        <v>1</v>
      </c>
    </row>
    <row r="1664" spans="1:17" x14ac:dyDescent="0.25">
      <c r="A1664" s="3" t="s">
        <v>18</v>
      </c>
      <c r="B1664" s="3">
        <v>13624097</v>
      </c>
      <c r="C1664" s="3" t="s">
        <v>1707</v>
      </c>
      <c r="D1664" s="3" t="s">
        <v>1360</v>
      </c>
      <c r="E1664" s="3" t="s">
        <v>21</v>
      </c>
      <c r="F1664" s="3" t="s">
        <v>21</v>
      </c>
      <c r="G1664" s="3" t="s">
        <v>233</v>
      </c>
      <c r="H1664" s="3" t="s">
        <v>234</v>
      </c>
      <c r="I1664" s="3" t="s">
        <v>24</v>
      </c>
      <c r="J1664" s="3" t="s">
        <v>24</v>
      </c>
      <c r="K1664" s="3" t="s">
        <v>25</v>
      </c>
      <c r="L1664" s="4">
        <v>0</v>
      </c>
      <c r="M1664" s="3" t="s">
        <v>26</v>
      </c>
      <c r="N1664" s="3" t="s">
        <v>24</v>
      </c>
      <c r="O1664" s="4">
        <v>1</v>
      </c>
      <c r="P1664" s="4">
        <v>2</v>
      </c>
      <c r="Q1664" s="4">
        <v>1</v>
      </c>
    </row>
    <row r="1665" spans="1:17" x14ac:dyDescent="0.25">
      <c r="A1665" s="3" t="s">
        <v>18</v>
      </c>
      <c r="B1665" s="3">
        <v>13624138</v>
      </c>
      <c r="C1665" s="3" t="s">
        <v>1708</v>
      </c>
      <c r="D1665" s="3" t="s">
        <v>1360</v>
      </c>
      <c r="E1665" s="3" t="s">
        <v>21</v>
      </c>
      <c r="F1665" s="3" t="s">
        <v>21</v>
      </c>
      <c r="G1665" s="3" t="s">
        <v>233</v>
      </c>
      <c r="H1665" s="3" t="s">
        <v>234</v>
      </c>
      <c r="I1665" s="3" t="s">
        <v>24</v>
      </c>
      <c r="J1665" s="3" t="s">
        <v>24</v>
      </c>
      <c r="K1665" s="3" t="s">
        <v>25</v>
      </c>
      <c r="L1665" s="4">
        <v>0</v>
      </c>
      <c r="M1665" s="3" t="s">
        <v>26</v>
      </c>
      <c r="N1665" s="3" t="s">
        <v>24</v>
      </c>
      <c r="O1665" s="4">
        <v>1</v>
      </c>
      <c r="P1665" s="4">
        <v>2</v>
      </c>
      <c r="Q1665" s="4">
        <v>1</v>
      </c>
    </row>
    <row r="1666" spans="1:17" x14ac:dyDescent="0.25">
      <c r="A1666" s="3" t="s">
        <v>18</v>
      </c>
      <c r="B1666" s="3">
        <v>13624141</v>
      </c>
      <c r="C1666" s="3" t="s">
        <v>1709</v>
      </c>
      <c r="D1666" s="3" t="s">
        <v>1360</v>
      </c>
      <c r="E1666" s="3" t="s">
        <v>21</v>
      </c>
      <c r="F1666" s="3" t="s">
        <v>21</v>
      </c>
      <c r="G1666" s="3" t="s">
        <v>233</v>
      </c>
      <c r="H1666" s="3" t="s">
        <v>234</v>
      </c>
      <c r="I1666" s="3" t="s">
        <v>24</v>
      </c>
      <c r="J1666" s="3" t="s">
        <v>24</v>
      </c>
      <c r="K1666" s="3" t="s">
        <v>25</v>
      </c>
      <c r="L1666" s="4">
        <v>0</v>
      </c>
      <c r="M1666" s="3" t="s">
        <v>26</v>
      </c>
      <c r="N1666" s="3" t="s">
        <v>24</v>
      </c>
      <c r="O1666" s="4">
        <v>1</v>
      </c>
      <c r="P1666" s="4">
        <v>2</v>
      </c>
      <c r="Q1666" s="4">
        <v>1</v>
      </c>
    </row>
    <row r="1667" spans="1:17" x14ac:dyDescent="0.25">
      <c r="A1667" s="3" t="s">
        <v>18</v>
      </c>
      <c r="B1667" s="3">
        <v>13624463</v>
      </c>
      <c r="C1667" s="3" t="s">
        <v>1710</v>
      </c>
      <c r="D1667" s="3" t="s">
        <v>1360</v>
      </c>
      <c r="E1667" s="3" t="s">
        <v>21</v>
      </c>
      <c r="F1667" s="3" t="s">
        <v>21</v>
      </c>
      <c r="G1667" s="3" t="s">
        <v>233</v>
      </c>
      <c r="H1667" s="3" t="s">
        <v>234</v>
      </c>
      <c r="I1667" s="3" t="s">
        <v>24</v>
      </c>
      <c r="J1667" s="3" t="s">
        <v>24</v>
      </c>
      <c r="K1667" s="3" t="s">
        <v>25</v>
      </c>
      <c r="L1667" s="4">
        <v>0</v>
      </c>
      <c r="M1667" s="3" t="s">
        <v>26</v>
      </c>
      <c r="N1667" s="3" t="s">
        <v>24</v>
      </c>
      <c r="O1667" s="4">
        <v>1</v>
      </c>
      <c r="P1667" s="4">
        <v>3</v>
      </c>
      <c r="Q1667" s="4">
        <v>1</v>
      </c>
    </row>
    <row r="1668" spans="1:17" x14ac:dyDescent="0.25">
      <c r="A1668" s="3" t="s">
        <v>18</v>
      </c>
      <c r="B1668" s="3">
        <v>13625482</v>
      </c>
      <c r="C1668" s="3" t="s">
        <v>1711</v>
      </c>
      <c r="D1668" s="3" t="s">
        <v>1360</v>
      </c>
      <c r="E1668" s="3" t="s">
        <v>21</v>
      </c>
      <c r="F1668" s="3" t="s">
        <v>21</v>
      </c>
      <c r="G1668" s="3" t="s">
        <v>233</v>
      </c>
      <c r="H1668" s="3" t="s">
        <v>234</v>
      </c>
      <c r="I1668" s="3" t="s">
        <v>24</v>
      </c>
      <c r="J1668" s="3" t="s">
        <v>24</v>
      </c>
      <c r="K1668" s="3" t="s">
        <v>25</v>
      </c>
      <c r="L1668" s="4">
        <v>0</v>
      </c>
      <c r="M1668" s="3" t="s">
        <v>26</v>
      </c>
      <c r="N1668" s="3" t="s">
        <v>24</v>
      </c>
      <c r="O1668" s="4">
        <v>1</v>
      </c>
      <c r="P1668" s="4">
        <v>2</v>
      </c>
      <c r="Q1668" s="4">
        <v>1</v>
      </c>
    </row>
    <row r="1669" spans="1:17" x14ac:dyDescent="0.25">
      <c r="A1669" s="3" t="s">
        <v>18</v>
      </c>
      <c r="B1669" s="3">
        <v>13625572</v>
      </c>
      <c r="C1669" s="3" t="s">
        <v>1712</v>
      </c>
      <c r="D1669" s="3" t="s">
        <v>1360</v>
      </c>
      <c r="E1669" s="3" t="s">
        <v>21</v>
      </c>
      <c r="F1669" s="3" t="s">
        <v>21</v>
      </c>
      <c r="G1669" s="3" t="s">
        <v>233</v>
      </c>
      <c r="H1669" s="3" t="s">
        <v>234</v>
      </c>
      <c r="I1669" s="3" t="s">
        <v>24</v>
      </c>
      <c r="J1669" s="3" t="s">
        <v>24</v>
      </c>
      <c r="K1669" s="3" t="s">
        <v>25</v>
      </c>
      <c r="L1669" s="4">
        <v>0</v>
      </c>
      <c r="M1669" s="3" t="s">
        <v>26</v>
      </c>
      <c r="N1669" s="3" t="s">
        <v>24</v>
      </c>
      <c r="O1669" s="4">
        <v>1</v>
      </c>
      <c r="P1669" s="4">
        <v>2</v>
      </c>
      <c r="Q1669" s="4">
        <v>1</v>
      </c>
    </row>
    <row r="1670" spans="1:17" x14ac:dyDescent="0.25">
      <c r="A1670" s="3" t="s">
        <v>18</v>
      </c>
      <c r="B1670" s="3">
        <v>13625573</v>
      </c>
      <c r="C1670" s="3" t="s">
        <v>1713</v>
      </c>
      <c r="D1670" s="3" t="s">
        <v>1360</v>
      </c>
      <c r="E1670" s="3" t="s">
        <v>21</v>
      </c>
      <c r="F1670" s="3" t="s">
        <v>21</v>
      </c>
      <c r="G1670" s="3" t="s">
        <v>233</v>
      </c>
      <c r="H1670" s="3" t="s">
        <v>234</v>
      </c>
      <c r="I1670" s="3" t="s">
        <v>24</v>
      </c>
      <c r="J1670" s="3" t="s">
        <v>24</v>
      </c>
      <c r="K1670" s="3" t="s">
        <v>25</v>
      </c>
      <c r="L1670" s="4">
        <v>0</v>
      </c>
      <c r="M1670" s="3" t="s">
        <v>26</v>
      </c>
      <c r="N1670" s="3" t="s">
        <v>24</v>
      </c>
      <c r="O1670" s="4">
        <v>1</v>
      </c>
      <c r="P1670" s="4">
        <v>2</v>
      </c>
      <c r="Q1670" s="4">
        <v>1</v>
      </c>
    </row>
    <row r="1671" spans="1:17" x14ac:dyDescent="0.25">
      <c r="A1671" s="3" t="s">
        <v>18</v>
      </c>
      <c r="B1671" s="3">
        <v>13625574</v>
      </c>
      <c r="C1671" s="3" t="s">
        <v>1714</v>
      </c>
      <c r="D1671" s="3" t="s">
        <v>1360</v>
      </c>
      <c r="E1671" s="3" t="s">
        <v>21</v>
      </c>
      <c r="F1671" s="3" t="s">
        <v>21</v>
      </c>
      <c r="G1671" s="3" t="s">
        <v>233</v>
      </c>
      <c r="H1671" s="3" t="s">
        <v>234</v>
      </c>
      <c r="I1671" s="3" t="s">
        <v>24</v>
      </c>
      <c r="J1671" s="3" t="s">
        <v>24</v>
      </c>
      <c r="K1671" s="3" t="s">
        <v>25</v>
      </c>
      <c r="L1671" s="4">
        <v>0</v>
      </c>
      <c r="M1671" s="3" t="s">
        <v>26</v>
      </c>
      <c r="N1671" s="3" t="s">
        <v>24</v>
      </c>
      <c r="O1671" s="4">
        <v>1</v>
      </c>
      <c r="P1671" s="4">
        <v>2</v>
      </c>
      <c r="Q1671" s="4">
        <v>1</v>
      </c>
    </row>
    <row r="1672" spans="1:17" x14ac:dyDescent="0.25">
      <c r="A1672" s="3" t="s">
        <v>18</v>
      </c>
      <c r="B1672" s="3">
        <v>13629224</v>
      </c>
      <c r="C1672" s="3" t="s">
        <v>1715</v>
      </c>
      <c r="D1672" s="3" t="s">
        <v>20</v>
      </c>
      <c r="E1672" s="3" t="s">
        <v>21</v>
      </c>
      <c r="F1672" s="3" t="s">
        <v>21</v>
      </c>
      <c r="G1672" s="3" t="s">
        <v>42</v>
      </c>
      <c r="H1672" s="3" t="s">
        <v>43</v>
      </c>
      <c r="I1672" s="3" t="s">
        <v>24</v>
      </c>
      <c r="J1672" s="3" t="s">
        <v>24</v>
      </c>
      <c r="K1672" s="3" t="s">
        <v>25</v>
      </c>
      <c r="L1672" s="4">
        <v>0</v>
      </c>
      <c r="M1672" s="3" t="s">
        <v>26</v>
      </c>
      <c r="N1672" s="3" t="s">
        <v>24</v>
      </c>
      <c r="O1672" s="4">
        <v>1</v>
      </c>
      <c r="P1672" s="4">
        <v>8</v>
      </c>
      <c r="Q1672" s="4">
        <v>1</v>
      </c>
    </row>
    <row r="1673" spans="1:17" x14ac:dyDescent="0.25">
      <c r="A1673" s="3" t="s">
        <v>18</v>
      </c>
      <c r="B1673" s="3">
        <v>13637845</v>
      </c>
      <c r="C1673" s="3" t="s">
        <v>1716</v>
      </c>
      <c r="D1673" s="3" t="s">
        <v>20</v>
      </c>
      <c r="E1673" s="3" t="s">
        <v>21</v>
      </c>
      <c r="F1673" s="3" t="s">
        <v>21</v>
      </c>
      <c r="G1673" s="3" t="s">
        <v>233</v>
      </c>
      <c r="H1673" s="3" t="s">
        <v>234</v>
      </c>
      <c r="I1673" s="3" t="s">
        <v>24</v>
      </c>
      <c r="J1673" s="3" t="s">
        <v>24</v>
      </c>
      <c r="K1673" s="3" t="s">
        <v>25</v>
      </c>
      <c r="L1673" s="4">
        <v>0</v>
      </c>
      <c r="M1673" s="3" t="s">
        <v>26</v>
      </c>
      <c r="N1673" s="3" t="s">
        <v>24</v>
      </c>
      <c r="O1673" s="4">
        <v>1</v>
      </c>
      <c r="P1673" s="4">
        <v>2</v>
      </c>
      <c r="Q1673" s="4">
        <v>1</v>
      </c>
    </row>
    <row r="1674" spans="1:17" x14ac:dyDescent="0.25">
      <c r="A1674" s="3" t="s">
        <v>18</v>
      </c>
      <c r="B1674" s="3">
        <v>13638680</v>
      </c>
      <c r="C1674" s="3" t="s">
        <v>1717</v>
      </c>
      <c r="D1674" s="3" t="s">
        <v>20</v>
      </c>
      <c r="E1674" s="3" t="s">
        <v>21</v>
      </c>
      <c r="F1674" s="3" t="s">
        <v>21</v>
      </c>
      <c r="G1674" s="3" t="s">
        <v>36</v>
      </c>
      <c r="H1674" s="3" t="s">
        <v>37</v>
      </c>
      <c r="I1674" s="3" t="s">
        <v>24</v>
      </c>
      <c r="J1674" s="3" t="s">
        <v>24</v>
      </c>
      <c r="K1674" s="3" t="s">
        <v>25</v>
      </c>
      <c r="L1674" s="4">
        <v>0</v>
      </c>
      <c r="M1674" s="3" t="s">
        <v>26</v>
      </c>
      <c r="N1674" s="3" t="s">
        <v>24</v>
      </c>
      <c r="O1674" s="4">
        <v>1</v>
      </c>
      <c r="P1674" s="4">
        <v>10</v>
      </c>
      <c r="Q1674" s="4">
        <v>1</v>
      </c>
    </row>
    <row r="1675" spans="1:17" x14ac:dyDescent="0.25">
      <c r="A1675" s="3" t="s">
        <v>18</v>
      </c>
      <c r="B1675" s="3">
        <v>13651195</v>
      </c>
      <c r="C1675" s="3" t="s">
        <v>1718</v>
      </c>
      <c r="D1675" s="3" t="s">
        <v>20</v>
      </c>
      <c r="E1675" s="3" t="s">
        <v>21</v>
      </c>
      <c r="F1675" s="3" t="s">
        <v>21</v>
      </c>
      <c r="G1675" s="3" t="s">
        <v>30</v>
      </c>
      <c r="H1675" s="3" t="s">
        <v>31</v>
      </c>
      <c r="I1675" s="3" t="s">
        <v>24</v>
      </c>
      <c r="J1675" s="3" t="s">
        <v>24</v>
      </c>
      <c r="K1675" s="3" t="s">
        <v>25</v>
      </c>
      <c r="L1675" s="4">
        <v>0</v>
      </c>
      <c r="M1675" s="3" t="s">
        <v>26</v>
      </c>
      <c r="N1675" s="3" t="s">
        <v>24</v>
      </c>
      <c r="O1675" s="4">
        <v>1</v>
      </c>
      <c r="P1675" s="4">
        <v>8</v>
      </c>
      <c r="Q1675" s="4">
        <v>1</v>
      </c>
    </row>
    <row r="1676" spans="1:17" x14ac:dyDescent="0.25">
      <c r="A1676" s="3" t="s">
        <v>18</v>
      </c>
      <c r="B1676" s="3">
        <v>13652945</v>
      </c>
      <c r="C1676" s="3" t="s">
        <v>1719</v>
      </c>
      <c r="D1676" s="3" t="s">
        <v>1360</v>
      </c>
      <c r="E1676" s="3" t="s">
        <v>21</v>
      </c>
      <c r="F1676" s="3" t="s">
        <v>21</v>
      </c>
      <c r="G1676" s="3" t="s">
        <v>233</v>
      </c>
      <c r="H1676" s="3" t="s">
        <v>234</v>
      </c>
      <c r="I1676" s="3" t="s">
        <v>24</v>
      </c>
      <c r="J1676" s="3" t="s">
        <v>24</v>
      </c>
      <c r="K1676" s="3" t="s">
        <v>25</v>
      </c>
      <c r="L1676" s="4">
        <v>0</v>
      </c>
      <c r="M1676" s="3" t="s">
        <v>26</v>
      </c>
      <c r="N1676" s="3" t="s">
        <v>24</v>
      </c>
      <c r="O1676" s="4">
        <v>1</v>
      </c>
      <c r="P1676" s="4">
        <v>2</v>
      </c>
      <c r="Q1676" s="4">
        <v>1</v>
      </c>
    </row>
    <row r="1677" spans="1:17" x14ac:dyDescent="0.25">
      <c r="A1677" s="3" t="s">
        <v>18</v>
      </c>
      <c r="B1677" s="3">
        <v>13654944</v>
      </c>
      <c r="C1677" s="3" t="s">
        <v>1720</v>
      </c>
      <c r="D1677" s="3" t="s">
        <v>1360</v>
      </c>
      <c r="E1677" s="3" t="s">
        <v>21</v>
      </c>
      <c r="F1677" s="3" t="s">
        <v>21</v>
      </c>
      <c r="G1677" s="3" t="s">
        <v>487</v>
      </c>
      <c r="H1677" s="3" t="s">
        <v>488</v>
      </c>
      <c r="I1677" s="3" t="s">
        <v>24</v>
      </c>
      <c r="J1677" s="3" t="s">
        <v>24</v>
      </c>
      <c r="K1677" s="3" t="s">
        <v>25</v>
      </c>
      <c r="L1677" s="4">
        <v>0</v>
      </c>
      <c r="M1677" s="3" t="s">
        <v>26</v>
      </c>
      <c r="N1677" s="3" t="s">
        <v>24</v>
      </c>
      <c r="O1677" s="4">
        <v>1</v>
      </c>
      <c r="P1677" s="4">
        <v>2</v>
      </c>
      <c r="Q1677" s="4">
        <v>1</v>
      </c>
    </row>
    <row r="1678" spans="1:17" x14ac:dyDescent="0.25">
      <c r="A1678" s="3" t="s">
        <v>18</v>
      </c>
      <c r="B1678" s="3">
        <v>13659065</v>
      </c>
      <c r="C1678" s="3" t="s">
        <v>1721</v>
      </c>
      <c r="D1678" s="3" t="s">
        <v>1360</v>
      </c>
      <c r="E1678" s="3" t="s">
        <v>21</v>
      </c>
      <c r="F1678" s="3" t="s">
        <v>21</v>
      </c>
      <c r="G1678" s="3" t="s">
        <v>477</v>
      </c>
      <c r="H1678" s="3" t="s">
        <v>478</v>
      </c>
      <c r="I1678" s="3" t="s">
        <v>24</v>
      </c>
      <c r="J1678" s="3" t="s">
        <v>24</v>
      </c>
      <c r="K1678" s="3" t="s">
        <v>25</v>
      </c>
      <c r="L1678" s="4">
        <v>0</v>
      </c>
      <c r="M1678" s="3" t="s">
        <v>26</v>
      </c>
      <c r="N1678" s="3" t="s">
        <v>24</v>
      </c>
      <c r="O1678" s="4">
        <v>1</v>
      </c>
      <c r="P1678" s="4">
        <v>1</v>
      </c>
      <c r="Q1678" s="4">
        <v>1</v>
      </c>
    </row>
    <row r="1679" spans="1:17" x14ac:dyDescent="0.25">
      <c r="A1679" s="3" t="s">
        <v>18</v>
      </c>
      <c r="B1679" s="3">
        <v>13659099</v>
      </c>
      <c r="C1679" s="3" t="s">
        <v>1722</v>
      </c>
      <c r="D1679" s="3" t="s">
        <v>1360</v>
      </c>
      <c r="E1679" s="3" t="s">
        <v>21</v>
      </c>
      <c r="F1679" s="3" t="s">
        <v>21</v>
      </c>
      <c r="G1679" s="3" t="s">
        <v>36</v>
      </c>
      <c r="H1679" s="3" t="s">
        <v>37</v>
      </c>
      <c r="I1679" s="3" t="s">
        <v>24</v>
      </c>
      <c r="J1679" s="3" t="s">
        <v>24</v>
      </c>
      <c r="K1679" s="3" t="s">
        <v>25</v>
      </c>
      <c r="L1679" s="4">
        <v>0</v>
      </c>
      <c r="M1679" s="3" t="s">
        <v>26</v>
      </c>
      <c r="N1679" s="3" t="s">
        <v>24</v>
      </c>
      <c r="O1679" s="4">
        <v>1</v>
      </c>
      <c r="P1679" s="4">
        <v>10</v>
      </c>
      <c r="Q1679" s="4">
        <v>1</v>
      </c>
    </row>
    <row r="1680" spans="1:17" x14ac:dyDescent="0.25">
      <c r="A1680" s="3" t="s">
        <v>18</v>
      </c>
      <c r="B1680" s="3">
        <v>13660103</v>
      </c>
      <c r="C1680" s="3" t="s">
        <v>1723</v>
      </c>
      <c r="D1680" s="3" t="s">
        <v>20</v>
      </c>
      <c r="E1680" s="3" t="s">
        <v>21</v>
      </c>
      <c r="F1680" s="3" t="s">
        <v>21</v>
      </c>
      <c r="G1680" s="3" t="s">
        <v>42</v>
      </c>
      <c r="H1680" s="3" t="s">
        <v>43</v>
      </c>
      <c r="I1680" s="3" t="s">
        <v>24</v>
      </c>
      <c r="J1680" s="3" t="s">
        <v>24</v>
      </c>
      <c r="K1680" s="3" t="s">
        <v>25</v>
      </c>
      <c r="L1680" s="4">
        <v>0</v>
      </c>
      <c r="M1680" s="3" t="s">
        <v>26</v>
      </c>
      <c r="N1680" s="3" t="s">
        <v>24</v>
      </c>
      <c r="O1680" s="4">
        <v>1</v>
      </c>
      <c r="P1680" s="4">
        <v>8</v>
      </c>
      <c r="Q1680" s="4">
        <v>1</v>
      </c>
    </row>
    <row r="1681" spans="1:17" x14ac:dyDescent="0.25">
      <c r="A1681" s="3" t="s">
        <v>18</v>
      </c>
      <c r="B1681" s="3">
        <v>13660105</v>
      </c>
      <c r="C1681" s="3" t="s">
        <v>1724</v>
      </c>
      <c r="D1681" s="3" t="s">
        <v>20</v>
      </c>
      <c r="E1681" s="3" t="s">
        <v>21</v>
      </c>
      <c r="F1681" s="3" t="s">
        <v>21</v>
      </c>
      <c r="G1681" s="3" t="s">
        <v>42</v>
      </c>
      <c r="H1681" s="3" t="s">
        <v>43</v>
      </c>
      <c r="I1681" s="3" t="s">
        <v>24</v>
      </c>
      <c r="J1681" s="3" t="s">
        <v>24</v>
      </c>
      <c r="K1681" s="3" t="s">
        <v>25</v>
      </c>
      <c r="L1681" s="4">
        <v>0</v>
      </c>
      <c r="M1681" s="3" t="s">
        <v>26</v>
      </c>
      <c r="N1681" s="3" t="s">
        <v>24</v>
      </c>
      <c r="O1681" s="4">
        <v>1</v>
      </c>
      <c r="P1681" s="4">
        <v>8</v>
      </c>
      <c r="Q1681" s="4">
        <v>1</v>
      </c>
    </row>
    <row r="1682" spans="1:17" x14ac:dyDescent="0.25">
      <c r="A1682" s="3" t="s">
        <v>18</v>
      </c>
      <c r="B1682" s="3">
        <v>13673009</v>
      </c>
      <c r="C1682" s="3" t="s">
        <v>1725</v>
      </c>
      <c r="D1682" s="3" t="s">
        <v>20</v>
      </c>
      <c r="E1682" s="3" t="s">
        <v>21</v>
      </c>
      <c r="F1682" s="3" t="s">
        <v>21</v>
      </c>
      <c r="G1682" s="3" t="s">
        <v>42</v>
      </c>
      <c r="H1682" s="3" t="s">
        <v>43</v>
      </c>
      <c r="I1682" s="3" t="s">
        <v>24</v>
      </c>
      <c r="J1682" s="3" t="s">
        <v>24</v>
      </c>
      <c r="K1682" s="3" t="s">
        <v>25</v>
      </c>
      <c r="L1682" s="4">
        <v>0</v>
      </c>
      <c r="M1682" s="3" t="s">
        <v>26</v>
      </c>
      <c r="N1682" s="3" t="s">
        <v>24</v>
      </c>
      <c r="O1682" s="4">
        <v>1</v>
      </c>
      <c r="P1682" s="4">
        <v>8</v>
      </c>
      <c r="Q1682" s="4">
        <v>1</v>
      </c>
    </row>
    <row r="1683" spans="1:17" x14ac:dyDescent="0.25">
      <c r="A1683" s="3" t="s">
        <v>18</v>
      </c>
      <c r="B1683" s="3">
        <v>13678297</v>
      </c>
      <c r="C1683" s="3" t="s">
        <v>1726</v>
      </c>
      <c r="D1683" s="3" t="s">
        <v>20</v>
      </c>
      <c r="E1683" s="3" t="s">
        <v>21</v>
      </c>
      <c r="F1683" s="3" t="s">
        <v>21</v>
      </c>
      <c r="G1683" s="3" t="s">
        <v>487</v>
      </c>
      <c r="H1683" s="3" t="s">
        <v>488</v>
      </c>
      <c r="I1683" s="3" t="s">
        <v>24</v>
      </c>
      <c r="J1683" s="3" t="s">
        <v>24</v>
      </c>
      <c r="K1683" s="3" t="s">
        <v>25</v>
      </c>
      <c r="L1683" s="4">
        <v>0</v>
      </c>
      <c r="M1683" s="3" t="s">
        <v>26</v>
      </c>
      <c r="N1683" s="3" t="s">
        <v>24</v>
      </c>
      <c r="O1683" s="4">
        <v>1</v>
      </c>
      <c r="P1683" s="4">
        <v>1</v>
      </c>
      <c r="Q1683" s="4">
        <v>1</v>
      </c>
    </row>
    <row r="1684" spans="1:17" x14ac:dyDescent="0.25">
      <c r="A1684" s="3" t="s">
        <v>18</v>
      </c>
      <c r="B1684" s="3">
        <v>13678607</v>
      </c>
      <c r="C1684" s="3" t="s">
        <v>1727</v>
      </c>
      <c r="D1684" s="3" t="s">
        <v>1360</v>
      </c>
      <c r="E1684" s="3" t="s">
        <v>21</v>
      </c>
      <c r="F1684" s="3" t="s">
        <v>21</v>
      </c>
      <c r="G1684" s="3" t="s">
        <v>487</v>
      </c>
      <c r="H1684" s="3" t="s">
        <v>488</v>
      </c>
      <c r="I1684" s="3" t="s">
        <v>24</v>
      </c>
      <c r="J1684" s="3" t="s">
        <v>24</v>
      </c>
      <c r="K1684" s="3" t="s">
        <v>25</v>
      </c>
      <c r="L1684" s="4">
        <v>0</v>
      </c>
      <c r="M1684" s="3" t="s">
        <v>26</v>
      </c>
      <c r="N1684" s="3" t="s">
        <v>24</v>
      </c>
      <c r="O1684" s="4">
        <v>1</v>
      </c>
      <c r="P1684" s="4">
        <v>1</v>
      </c>
      <c r="Q1684" s="4">
        <v>1</v>
      </c>
    </row>
    <row r="1685" spans="1:17" x14ac:dyDescent="0.25">
      <c r="A1685" s="3" t="s">
        <v>18</v>
      </c>
      <c r="B1685" s="3">
        <v>13681911</v>
      </c>
      <c r="C1685" s="3" t="s">
        <v>1728</v>
      </c>
      <c r="D1685" s="3" t="s">
        <v>1360</v>
      </c>
      <c r="E1685" s="3" t="s">
        <v>21</v>
      </c>
      <c r="F1685" s="3" t="s">
        <v>21</v>
      </c>
      <c r="G1685" s="3" t="s">
        <v>36</v>
      </c>
      <c r="H1685" s="3" t="s">
        <v>37</v>
      </c>
      <c r="I1685" s="3" t="s">
        <v>24</v>
      </c>
      <c r="J1685" s="3" t="s">
        <v>24</v>
      </c>
      <c r="K1685" s="3" t="s">
        <v>25</v>
      </c>
      <c r="L1685" s="4">
        <v>0</v>
      </c>
      <c r="M1685" s="3" t="s">
        <v>26</v>
      </c>
      <c r="N1685" s="3" t="s">
        <v>24</v>
      </c>
      <c r="O1685" s="4">
        <v>1</v>
      </c>
      <c r="P1685" s="4">
        <v>10</v>
      </c>
      <c r="Q1685" s="4">
        <v>1</v>
      </c>
    </row>
    <row r="1686" spans="1:17" x14ac:dyDescent="0.25">
      <c r="A1686" s="3" t="s">
        <v>18</v>
      </c>
      <c r="B1686" s="3">
        <v>13694599</v>
      </c>
      <c r="C1686" s="3" t="s">
        <v>1729</v>
      </c>
      <c r="D1686" s="3" t="s">
        <v>1360</v>
      </c>
      <c r="E1686" s="3" t="s">
        <v>21</v>
      </c>
      <c r="F1686" s="3" t="s">
        <v>21</v>
      </c>
      <c r="G1686" s="3" t="s">
        <v>36</v>
      </c>
      <c r="H1686" s="3" t="s">
        <v>37</v>
      </c>
      <c r="I1686" s="3" t="s">
        <v>24</v>
      </c>
      <c r="J1686" s="3" t="s">
        <v>24</v>
      </c>
      <c r="K1686" s="3" t="s">
        <v>25</v>
      </c>
      <c r="L1686" s="4">
        <v>0</v>
      </c>
      <c r="M1686" s="3" t="s">
        <v>26</v>
      </c>
      <c r="N1686" s="3" t="s">
        <v>24</v>
      </c>
      <c r="O1686" s="4">
        <v>1</v>
      </c>
      <c r="P1686" s="4">
        <v>10</v>
      </c>
      <c r="Q1686" s="4">
        <v>1</v>
      </c>
    </row>
    <row r="1687" spans="1:17" x14ac:dyDescent="0.25">
      <c r="A1687" s="3" t="s">
        <v>18</v>
      </c>
      <c r="B1687" s="3">
        <v>13707183</v>
      </c>
      <c r="C1687" s="3" t="s">
        <v>1730</v>
      </c>
      <c r="D1687" s="3" t="s">
        <v>20</v>
      </c>
      <c r="E1687" s="3" t="s">
        <v>21</v>
      </c>
      <c r="F1687" s="3" t="s">
        <v>21</v>
      </c>
      <c r="G1687" s="3" t="s">
        <v>42</v>
      </c>
      <c r="H1687" s="3" t="s">
        <v>43</v>
      </c>
      <c r="I1687" s="3" t="s">
        <v>24</v>
      </c>
      <c r="J1687" s="3" t="s">
        <v>24</v>
      </c>
      <c r="K1687" s="3" t="s">
        <v>25</v>
      </c>
      <c r="L1687" s="4">
        <v>0</v>
      </c>
      <c r="M1687" s="3" t="s">
        <v>26</v>
      </c>
      <c r="N1687" s="3" t="s">
        <v>24</v>
      </c>
      <c r="O1687" s="4">
        <v>1</v>
      </c>
      <c r="P1687" s="4">
        <v>8</v>
      </c>
      <c r="Q1687" s="4">
        <v>1</v>
      </c>
    </row>
    <row r="1688" spans="1:17" x14ac:dyDescent="0.25">
      <c r="A1688" s="3" t="s">
        <v>18</v>
      </c>
      <c r="B1688" s="3">
        <v>13707184</v>
      </c>
      <c r="C1688" s="3" t="s">
        <v>1731</v>
      </c>
      <c r="D1688" s="3" t="s">
        <v>20</v>
      </c>
      <c r="E1688" s="3" t="s">
        <v>21</v>
      </c>
      <c r="F1688" s="3" t="s">
        <v>21</v>
      </c>
      <c r="G1688" s="3" t="s">
        <v>22</v>
      </c>
      <c r="H1688" s="3" t="s">
        <v>23</v>
      </c>
      <c r="I1688" s="3" t="s">
        <v>24</v>
      </c>
      <c r="J1688" s="3" t="s">
        <v>24</v>
      </c>
      <c r="K1688" s="3" t="s">
        <v>25</v>
      </c>
      <c r="L1688" s="4">
        <v>0</v>
      </c>
      <c r="M1688" s="3" t="s">
        <v>26</v>
      </c>
      <c r="N1688" s="3" t="s">
        <v>24</v>
      </c>
      <c r="O1688" s="4">
        <v>1</v>
      </c>
      <c r="P1688" s="4">
        <v>4</v>
      </c>
      <c r="Q1688" s="4">
        <v>1</v>
      </c>
    </row>
    <row r="1689" spans="1:17" x14ac:dyDescent="0.25">
      <c r="A1689" s="3" t="s">
        <v>18</v>
      </c>
      <c r="B1689" s="3">
        <v>13708835</v>
      </c>
      <c r="C1689" s="3" t="s">
        <v>1732</v>
      </c>
      <c r="D1689" s="3" t="s">
        <v>20</v>
      </c>
      <c r="E1689" s="3" t="s">
        <v>21</v>
      </c>
      <c r="F1689" s="3" t="s">
        <v>21</v>
      </c>
      <c r="G1689" s="3" t="s">
        <v>487</v>
      </c>
      <c r="H1689" s="3" t="s">
        <v>488</v>
      </c>
      <c r="I1689" s="3" t="s">
        <v>24</v>
      </c>
      <c r="J1689" s="3" t="s">
        <v>24</v>
      </c>
      <c r="K1689" s="3" t="s">
        <v>25</v>
      </c>
      <c r="L1689" s="4">
        <v>0</v>
      </c>
      <c r="M1689" s="3" t="s">
        <v>26</v>
      </c>
      <c r="N1689" s="3" t="s">
        <v>24</v>
      </c>
      <c r="O1689" s="4">
        <v>1</v>
      </c>
      <c r="P1689" s="4">
        <v>1</v>
      </c>
      <c r="Q1689" s="4">
        <v>1</v>
      </c>
    </row>
    <row r="1690" spans="1:17" x14ac:dyDescent="0.25">
      <c r="A1690" s="3" t="s">
        <v>18</v>
      </c>
      <c r="B1690" s="3">
        <v>13708988</v>
      </c>
      <c r="C1690" s="3" t="s">
        <v>1733</v>
      </c>
      <c r="D1690" s="3" t="s">
        <v>1360</v>
      </c>
      <c r="E1690" s="3" t="s">
        <v>21</v>
      </c>
      <c r="F1690" s="3" t="s">
        <v>21</v>
      </c>
      <c r="G1690" s="3" t="s">
        <v>487</v>
      </c>
      <c r="H1690" s="3" t="s">
        <v>488</v>
      </c>
      <c r="I1690" s="3" t="s">
        <v>24</v>
      </c>
      <c r="J1690" s="3" t="s">
        <v>24</v>
      </c>
      <c r="K1690" s="3" t="s">
        <v>25</v>
      </c>
      <c r="L1690" s="4">
        <v>0</v>
      </c>
      <c r="M1690" s="3" t="s">
        <v>26</v>
      </c>
      <c r="N1690" s="3" t="s">
        <v>24</v>
      </c>
      <c r="O1690" s="4">
        <v>1</v>
      </c>
      <c r="P1690" s="4">
        <v>1</v>
      </c>
      <c r="Q1690" s="4">
        <v>1</v>
      </c>
    </row>
    <row r="1691" spans="1:17" x14ac:dyDescent="0.25">
      <c r="A1691" s="3" t="s">
        <v>18</v>
      </c>
      <c r="B1691" s="3">
        <v>13724212</v>
      </c>
      <c r="C1691" s="3" t="s">
        <v>1734</v>
      </c>
      <c r="D1691" s="3" t="s">
        <v>1360</v>
      </c>
      <c r="E1691" s="3" t="s">
        <v>21</v>
      </c>
      <c r="F1691" s="3" t="s">
        <v>21</v>
      </c>
      <c r="G1691" s="3" t="s">
        <v>233</v>
      </c>
      <c r="H1691" s="3" t="s">
        <v>234</v>
      </c>
      <c r="I1691" s="3" t="s">
        <v>24</v>
      </c>
      <c r="J1691" s="3" t="s">
        <v>24</v>
      </c>
      <c r="K1691" s="3" t="s">
        <v>25</v>
      </c>
      <c r="L1691" s="4">
        <v>0</v>
      </c>
      <c r="M1691" s="3" t="s">
        <v>26</v>
      </c>
      <c r="N1691" s="3" t="s">
        <v>24</v>
      </c>
      <c r="O1691" s="4">
        <v>1</v>
      </c>
      <c r="P1691" s="4">
        <v>2</v>
      </c>
      <c r="Q1691" s="4">
        <v>1</v>
      </c>
    </row>
    <row r="1692" spans="1:17" x14ac:dyDescent="0.25">
      <c r="A1692" s="3" t="s">
        <v>18</v>
      </c>
      <c r="B1692" s="3">
        <v>13724448</v>
      </c>
      <c r="C1692" s="3" t="s">
        <v>1735</v>
      </c>
      <c r="D1692" s="3" t="s">
        <v>1360</v>
      </c>
      <c r="E1692" s="3" t="s">
        <v>21</v>
      </c>
      <c r="F1692" s="3" t="s">
        <v>21</v>
      </c>
      <c r="G1692" s="3" t="s">
        <v>233</v>
      </c>
      <c r="H1692" s="3" t="s">
        <v>234</v>
      </c>
      <c r="I1692" s="3" t="s">
        <v>24</v>
      </c>
      <c r="J1692" s="3" t="s">
        <v>24</v>
      </c>
      <c r="K1692" s="3" t="s">
        <v>25</v>
      </c>
      <c r="L1692" s="4">
        <v>0</v>
      </c>
      <c r="M1692" s="3" t="s">
        <v>26</v>
      </c>
      <c r="N1692" s="3" t="s">
        <v>24</v>
      </c>
      <c r="O1692" s="4">
        <v>1</v>
      </c>
      <c r="P1692" s="4">
        <v>2</v>
      </c>
      <c r="Q1692" s="4">
        <v>1</v>
      </c>
    </row>
    <row r="1693" spans="1:17" x14ac:dyDescent="0.25">
      <c r="A1693" s="3" t="s">
        <v>18</v>
      </c>
      <c r="B1693" s="3">
        <v>13732335</v>
      </c>
      <c r="C1693" s="3" t="s">
        <v>1736</v>
      </c>
      <c r="D1693" s="3" t="s">
        <v>20</v>
      </c>
      <c r="E1693" s="3" t="s">
        <v>21</v>
      </c>
      <c r="F1693" s="3" t="s">
        <v>21</v>
      </c>
      <c r="G1693" s="3" t="s">
        <v>233</v>
      </c>
      <c r="H1693" s="3" t="s">
        <v>234</v>
      </c>
      <c r="I1693" s="3" t="s">
        <v>24</v>
      </c>
      <c r="J1693" s="3" t="s">
        <v>24</v>
      </c>
      <c r="K1693" s="3" t="s">
        <v>25</v>
      </c>
      <c r="L1693" s="4">
        <v>0</v>
      </c>
      <c r="M1693" s="3" t="s">
        <v>26</v>
      </c>
      <c r="N1693" s="3" t="s">
        <v>24</v>
      </c>
      <c r="O1693" s="4">
        <v>1</v>
      </c>
      <c r="P1693" s="4">
        <v>2</v>
      </c>
      <c r="Q1693" s="4">
        <v>1</v>
      </c>
    </row>
    <row r="1694" spans="1:17" x14ac:dyDescent="0.25">
      <c r="A1694" s="3" t="s">
        <v>18</v>
      </c>
      <c r="B1694" s="3">
        <v>13732462</v>
      </c>
      <c r="C1694" s="3" t="s">
        <v>1737</v>
      </c>
      <c r="D1694" s="3" t="s">
        <v>20</v>
      </c>
      <c r="E1694" s="3" t="s">
        <v>21</v>
      </c>
      <c r="F1694" s="3" t="s">
        <v>21</v>
      </c>
      <c r="G1694" s="3" t="s">
        <v>36</v>
      </c>
      <c r="H1694" s="3" t="s">
        <v>37</v>
      </c>
      <c r="I1694" s="3" t="s">
        <v>24</v>
      </c>
      <c r="J1694" s="3" t="s">
        <v>24</v>
      </c>
      <c r="K1694" s="3" t="s">
        <v>25</v>
      </c>
      <c r="L1694" s="4">
        <v>0</v>
      </c>
      <c r="M1694" s="3" t="s">
        <v>26</v>
      </c>
      <c r="N1694" s="3" t="s">
        <v>24</v>
      </c>
      <c r="O1694" s="4">
        <v>1</v>
      </c>
      <c r="P1694" s="4">
        <v>10</v>
      </c>
      <c r="Q1694" s="4">
        <v>1</v>
      </c>
    </row>
    <row r="1695" spans="1:17" x14ac:dyDescent="0.25">
      <c r="A1695" s="3" t="s">
        <v>18</v>
      </c>
      <c r="B1695" s="3">
        <v>13734705</v>
      </c>
      <c r="C1695" s="3" t="s">
        <v>1738</v>
      </c>
      <c r="D1695" s="3" t="s">
        <v>1360</v>
      </c>
      <c r="E1695" s="3" t="s">
        <v>21</v>
      </c>
      <c r="F1695" s="3" t="s">
        <v>21</v>
      </c>
      <c r="G1695" s="3" t="s">
        <v>36</v>
      </c>
      <c r="H1695" s="3" t="s">
        <v>37</v>
      </c>
      <c r="I1695" s="3" t="s">
        <v>24</v>
      </c>
      <c r="J1695" s="3" t="s">
        <v>24</v>
      </c>
      <c r="K1695" s="3" t="s">
        <v>25</v>
      </c>
      <c r="L1695" s="4">
        <v>0</v>
      </c>
      <c r="M1695" s="3" t="s">
        <v>26</v>
      </c>
      <c r="N1695" s="3" t="s">
        <v>24</v>
      </c>
      <c r="O1695" s="4">
        <v>1</v>
      </c>
      <c r="P1695" s="4">
        <v>10</v>
      </c>
      <c r="Q1695" s="4">
        <v>1</v>
      </c>
    </row>
    <row r="1696" spans="1:17" x14ac:dyDescent="0.25">
      <c r="A1696" s="3" t="s">
        <v>18</v>
      </c>
      <c r="B1696" s="3">
        <v>13747392</v>
      </c>
      <c r="C1696" s="3" t="s">
        <v>1739</v>
      </c>
      <c r="D1696" s="3" t="s">
        <v>20</v>
      </c>
      <c r="E1696" s="3" t="s">
        <v>21</v>
      </c>
      <c r="F1696" s="3" t="s">
        <v>21</v>
      </c>
      <c r="G1696" s="3" t="s">
        <v>42</v>
      </c>
      <c r="H1696" s="3" t="s">
        <v>43</v>
      </c>
      <c r="I1696" s="3" t="s">
        <v>24</v>
      </c>
      <c r="J1696" s="3" t="s">
        <v>24</v>
      </c>
      <c r="K1696" s="3" t="s">
        <v>25</v>
      </c>
      <c r="L1696" s="4">
        <v>0</v>
      </c>
      <c r="M1696" s="3" t="s">
        <v>26</v>
      </c>
      <c r="N1696" s="3" t="s">
        <v>24</v>
      </c>
      <c r="O1696" s="4">
        <v>1</v>
      </c>
      <c r="P1696" s="4">
        <v>8</v>
      </c>
      <c r="Q1696" s="4">
        <v>1</v>
      </c>
    </row>
    <row r="1697" spans="1:17" x14ac:dyDescent="0.25">
      <c r="A1697" s="3" t="s">
        <v>18</v>
      </c>
      <c r="B1697" s="3">
        <v>13747397</v>
      </c>
      <c r="C1697" s="3" t="s">
        <v>1740</v>
      </c>
      <c r="D1697" s="3" t="s">
        <v>20</v>
      </c>
      <c r="E1697" s="3" t="s">
        <v>21</v>
      </c>
      <c r="F1697" s="3" t="s">
        <v>21</v>
      </c>
      <c r="G1697" s="3" t="s">
        <v>42</v>
      </c>
      <c r="H1697" s="3" t="s">
        <v>43</v>
      </c>
      <c r="I1697" s="3" t="s">
        <v>24</v>
      </c>
      <c r="J1697" s="3" t="s">
        <v>24</v>
      </c>
      <c r="K1697" s="3" t="s">
        <v>25</v>
      </c>
      <c r="L1697" s="4">
        <v>0</v>
      </c>
      <c r="M1697" s="3" t="s">
        <v>26</v>
      </c>
      <c r="N1697" s="3" t="s">
        <v>24</v>
      </c>
      <c r="O1697" s="4">
        <v>1</v>
      </c>
      <c r="P1697" s="4">
        <v>8</v>
      </c>
      <c r="Q1697" s="4">
        <v>1</v>
      </c>
    </row>
    <row r="1698" spans="1:17" x14ac:dyDescent="0.25">
      <c r="A1698" s="3" t="s">
        <v>18</v>
      </c>
      <c r="B1698" s="3">
        <v>13747508</v>
      </c>
      <c r="C1698" s="3" t="s">
        <v>1741</v>
      </c>
      <c r="D1698" s="3" t="s">
        <v>20</v>
      </c>
      <c r="E1698" s="3" t="s">
        <v>21</v>
      </c>
      <c r="F1698" s="3" t="s">
        <v>21</v>
      </c>
      <c r="G1698" s="3" t="s">
        <v>36</v>
      </c>
      <c r="H1698" s="3" t="s">
        <v>37</v>
      </c>
      <c r="I1698" s="3" t="s">
        <v>24</v>
      </c>
      <c r="J1698" s="3" t="s">
        <v>24</v>
      </c>
      <c r="K1698" s="3" t="s">
        <v>25</v>
      </c>
      <c r="L1698" s="4">
        <v>0</v>
      </c>
      <c r="M1698" s="3" t="s">
        <v>26</v>
      </c>
      <c r="N1698" s="3" t="s">
        <v>24</v>
      </c>
      <c r="O1698" s="4">
        <v>1</v>
      </c>
      <c r="P1698" s="4">
        <v>10</v>
      </c>
      <c r="Q1698" s="4">
        <v>1</v>
      </c>
    </row>
    <row r="1699" spans="1:17" x14ac:dyDescent="0.25">
      <c r="A1699" s="3" t="s">
        <v>18</v>
      </c>
      <c r="B1699" s="3">
        <v>13751062</v>
      </c>
      <c r="C1699" s="3" t="s">
        <v>1742</v>
      </c>
      <c r="D1699" s="3" t="s">
        <v>1360</v>
      </c>
      <c r="E1699" s="3" t="s">
        <v>21</v>
      </c>
      <c r="F1699" s="3" t="s">
        <v>21</v>
      </c>
      <c r="G1699" s="3" t="s">
        <v>233</v>
      </c>
      <c r="H1699" s="3" t="s">
        <v>234</v>
      </c>
      <c r="I1699" s="3" t="s">
        <v>24</v>
      </c>
      <c r="J1699" s="3" t="s">
        <v>24</v>
      </c>
      <c r="K1699" s="3" t="s">
        <v>25</v>
      </c>
      <c r="L1699" s="4">
        <v>0</v>
      </c>
      <c r="M1699" s="3" t="s">
        <v>26</v>
      </c>
      <c r="N1699" s="3" t="s">
        <v>24</v>
      </c>
      <c r="O1699" s="4">
        <v>1</v>
      </c>
      <c r="P1699" s="4">
        <v>2</v>
      </c>
      <c r="Q1699" s="4">
        <v>1</v>
      </c>
    </row>
    <row r="1700" spans="1:17" x14ac:dyDescent="0.25">
      <c r="A1700" s="3" t="s">
        <v>18</v>
      </c>
      <c r="B1700" s="3">
        <v>13764906</v>
      </c>
      <c r="C1700" s="3" t="s">
        <v>1743</v>
      </c>
      <c r="D1700" s="3" t="s">
        <v>20</v>
      </c>
      <c r="E1700" s="3" t="s">
        <v>21</v>
      </c>
      <c r="F1700" s="3" t="s">
        <v>21</v>
      </c>
      <c r="G1700" s="3" t="s">
        <v>22</v>
      </c>
      <c r="H1700" s="3" t="s">
        <v>23</v>
      </c>
      <c r="I1700" s="3" t="s">
        <v>24</v>
      </c>
      <c r="J1700" s="3" t="s">
        <v>24</v>
      </c>
      <c r="K1700" s="3" t="s">
        <v>25</v>
      </c>
      <c r="L1700" s="4">
        <v>0</v>
      </c>
      <c r="M1700" s="3" t="s">
        <v>26</v>
      </c>
      <c r="N1700" s="3" t="s">
        <v>24</v>
      </c>
      <c r="O1700" s="4">
        <v>1</v>
      </c>
      <c r="P1700" s="4">
        <v>4</v>
      </c>
      <c r="Q1700" s="4">
        <v>1</v>
      </c>
    </row>
    <row r="1701" spans="1:17" x14ac:dyDescent="0.25">
      <c r="A1701" s="3" t="s">
        <v>18</v>
      </c>
      <c r="B1701" s="3">
        <v>13764907</v>
      </c>
      <c r="C1701" s="3" t="s">
        <v>1744</v>
      </c>
      <c r="D1701" s="3" t="s">
        <v>20</v>
      </c>
      <c r="E1701" s="3" t="s">
        <v>21</v>
      </c>
      <c r="F1701" s="3" t="s">
        <v>21</v>
      </c>
      <c r="G1701" s="3" t="s">
        <v>36</v>
      </c>
      <c r="H1701" s="3" t="s">
        <v>37</v>
      </c>
      <c r="I1701" s="3" t="s">
        <v>24</v>
      </c>
      <c r="J1701" s="3" t="s">
        <v>24</v>
      </c>
      <c r="K1701" s="3" t="s">
        <v>25</v>
      </c>
      <c r="L1701" s="4">
        <v>0</v>
      </c>
      <c r="M1701" s="3" t="s">
        <v>26</v>
      </c>
      <c r="N1701" s="3" t="s">
        <v>24</v>
      </c>
      <c r="O1701" s="4">
        <v>1</v>
      </c>
      <c r="P1701" s="4">
        <v>10</v>
      </c>
      <c r="Q1701" s="4">
        <v>1</v>
      </c>
    </row>
    <row r="1702" spans="1:17" x14ac:dyDescent="0.25">
      <c r="A1702" s="3" t="s">
        <v>18</v>
      </c>
      <c r="B1702" s="3">
        <v>13765018</v>
      </c>
      <c r="C1702" s="3" t="s">
        <v>1745</v>
      </c>
      <c r="D1702" s="3" t="s">
        <v>20</v>
      </c>
      <c r="E1702" s="3" t="s">
        <v>21</v>
      </c>
      <c r="F1702" s="3" t="s">
        <v>21</v>
      </c>
      <c r="G1702" s="3" t="s">
        <v>36</v>
      </c>
      <c r="H1702" s="3" t="s">
        <v>37</v>
      </c>
      <c r="I1702" s="3" t="s">
        <v>24</v>
      </c>
      <c r="J1702" s="3" t="s">
        <v>24</v>
      </c>
      <c r="K1702" s="3" t="s">
        <v>25</v>
      </c>
      <c r="L1702" s="4">
        <v>0</v>
      </c>
      <c r="M1702" s="3" t="s">
        <v>26</v>
      </c>
      <c r="N1702" s="3" t="s">
        <v>24</v>
      </c>
      <c r="O1702" s="4">
        <v>1</v>
      </c>
      <c r="P1702" s="4">
        <v>10</v>
      </c>
      <c r="Q1702" s="4">
        <v>1</v>
      </c>
    </row>
    <row r="1703" spans="1:17" x14ac:dyDescent="0.25">
      <c r="A1703" s="3" t="s">
        <v>18</v>
      </c>
      <c r="B1703" s="3">
        <v>13765020</v>
      </c>
      <c r="C1703" s="3" t="s">
        <v>1746</v>
      </c>
      <c r="D1703" s="3" t="s">
        <v>20</v>
      </c>
      <c r="E1703" s="3" t="s">
        <v>21</v>
      </c>
      <c r="F1703" s="3" t="s">
        <v>21</v>
      </c>
      <c r="G1703" s="3" t="s">
        <v>233</v>
      </c>
      <c r="H1703" s="3" t="s">
        <v>234</v>
      </c>
      <c r="I1703" s="3" t="s">
        <v>24</v>
      </c>
      <c r="J1703" s="3" t="s">
        <v>24</v>
      </c>
      <c r="K1703" s="3" t="s">
        <v>25</v>
      </c>
      <c r="L1703" s="4">
        <v>0</v>
      </c>
      <c r="M1703" s="3" t="s">
        <v>26</v>
      </c>
      <c r="N1703" s="3" t="s">
        <v>24</v>
      </c>
      <c r="O1703" s="4">
        <v>1</v>
      </c>
      <c r="P1703" s="4">
        <v>2</v>
      </c>
      <c r="Q1703" s="4">
        <v>1</v>
      </c>
    </row>
    <row r="1704" spans="1:17" x14ac:dyDescent="0.25">
      <c r="A1704" s="3" t="s">
        <v>18</v>
      </c>
      <c r="B1704" s="3">
        <v>13765021</v>
      </c>
      <c r="C1704" s="3" t="s">
        <v>1747</v>
      </c>
      <c r="D1704" s="3" t="s">
        <v>20</v>
      </c>
      <c r="E1704" s="3" t="s">
        <v>21</v>
      </c>
      <c r="F1704" s="3" t="s">
        <v>21</v>
      </c>
      <c r="G1704" s="3" t="s">
        <v>233</v>
      </c>
      <c r="H1704" s="3" t="s">
        <v>234</v>
      </c>
      <c r="I1704" s="3" t="s">
        <v>24</v>
      </c>
      <c r="J1704" s="3" t="s">
        <v>24</v>
      </c>
      <c r="K1704" s="3" t="s">
        <v>25</v>
      </c>
      <c r="L1704" s="4">
        <v>0</v>
      </c>
      <c r="M1704" s="3" t="s">
        <v>26</v>
      </c>
      <c r="N1704" s="3" t="s">
        <v>24</v>
      </c>
      <c r="O1704" s="4">
        <v>1</v>
      </c>
      <c r="P1704" s="4">
        <v>2</v>
      </c>
      <c r="Q1704" s="4">
        <v>1</v>
      </c>
    </row>
    <row r="1705" spans="1:17" x14ac:dyDescent="0.25">
      <c r="A1705" s="3" t="s">
        <v>18</v>
      </c>
      <c r="B1705" s="3">
        <v>13765023</v>
      </c>
      <c r="C1705" s="3" t="s">
        <v>1748</v>
      </c>
      <c r="D1705" s="3" t="s">
        <v>20</v>
      </c>
      <c r="E1705" s="3" t="s">
        <v>21</v>
      </c>
      <c r="F1705" s="3" t="s">
        <v>21</v>
      </c>
      <c r="G1705" s="3" t="s">
        <v>42</v>
      </c>
      <c r="H1705" s="3" t="s">
        <v>43</v>
      </c>
      <c r="I1705" s="3" t="s">
        <v>24</v>
      </c>
      <c r="J1705" s="3" t="s">
        <v>24</v>
      </c>
      <c r="K1705" s="3" t="s">
        <v>25</v>
      </c>
      <c r="L1705" s="4">
        <v>0</v>
      </c>
      <c r="M1705" s="3" t="s">
        <v>26</v>
      </c>
      <c r="N1705" s="3" t="s">
        <v>24</v>
      </c>
      <c r="O1705" s="4">
        <v>1</v>
      </c>
      <c r="P1705" s="4">
        <v>8</v>
      </c>
      <c r="Q1705" s="4">
        <v>1</v>
      </c>
    </row>
    <row r="1706" spans="1:17" x14ac:dyDescent="0.25">
      <c r="A1706" s="3" t="s">
        <v>18</v>
      </c>
      <c r="B1706" s="3">
        <v>13765024</v>
      </c>
      <c r="C1706" s="3" t="s">
        <v>1749</v>
      </c>
      <c r="D1706" s="3" t="s">
        <v>20</v>
      </c>
      <c r="E1706" s="3" t="s">
        <v>21</v>
      </c>
      <c r="F1706" s="3" t="s">
        <v>21</v>
      </c>
      <c r="G1706" s="3" t="s">
        <v>22</v>
      </c>
      <c r="H1706" s="3" t="s">
        <v>23</v>
      </c>
      <c r="I1706" s="3" t="s">
        <v>24</v>
      </c>
      <c r="J1706" s="3" t="s">
        <v>24</v>
      </c>
      <c r="K1706" s="3" t="s">
        <v>25</v>
      </c>
      <c r="L1706" s="4">
        <v>0</v>
      </c>
      <c r="M1706" s="3" t="s">
        <v>26</v>
      </c>
      <c r="N1706" s="3" t="s">
        <v>24</v>
      </c>
      <c r="O1706" s="4">
        <v>1</v>
      </c>
      <c r="P1706" s="4">
        <v>4</v>
      </c>
      <c r="Q1706" s="4">
        <v>1</v>
      </c>
    </row>
    <row r="1707" spans="1:17" x14ac:dyDescent="0.25">
      <c r="A1707" s="3" t="s">
        <v>18</v>
      </c>
      <c r="B1707" s="3">
        <v>13765025</v>
      </c>
      <c r="C1707" s="3" t="s">
        <v>1750</v>
      </c>
      <c r="D1707" s="3" t="s">
        <v>20</v>
      </c>
      <c r="E1707" s="3" t="s">
        <v>21</v>
      </c>
      <c r="F1707" s="3" t="s">
        <v>21</v>
      </c>
      <c r="G1707" s="3" t="s">
        <v>22</v>
      </c>
      <c r="H1707" s="3" t="s">
        <v>23</v>
      </c>
      <c r="I1707" s="3" t="s">
        <v>24</v>
      </c>
      <c r="J1707" s="3" t="s">
        <v>24</v>
      </c>
      <c r="K1707" s="3" t="s">
        <v>25</v>
      </c>
      <c r="L1707" s="4">
        <v>0</v>
      </c>
      <c r="M1707" s="3" t="s">
        <v>26</v>
      </c>
      <c r="N1707" s="3" t="s">
        <v>24</v>
      </c>
      <c r="O1707" s="4">
        <v>1</v>
      </c>
      <c r="P1707" s="4">
        <v>4</v>
      </c>
      <c r="Q1707" s="4">
        <v>1</v>
      </c>
    </row>
    <row r="1708" spans="1:17" x14ac:dyDescent="0.25">
      <c r="A1708" s="3" t="s">
        <v>18</v>
      </c>
      <c r="B1708" s="3">
        <v>13765026</v>
      </c>
      <c r="C1708" s="3" t="s">
        <v>1751</v>
      </c>
      <c r="D1708" s="3" t="s">
        <v>20</v>
      </c>
      <c r="E1708" s="3" t="s">
        <v>21</v>
      </c>
      <c r="F1708" s="3" t="s">
        <v>21</v>
      </c>
      <c r="G1708" s="3" t="s">
        <v>36</v>
      </c>
      <c r="H1708" s="3" t="s">
        <v>37</v>
      </c>
      <c r="I1708" s="3" t="s">
        <v>24</v>
      </c>
      <c r="J1708" s="3" t="s">
        <v>24</v>
      </c>
      <c r="K1708" s="3" t="s">
        <v>25</v>
      </c>
      <c r="L1708" s="4">
        <v>0</v>
      </c>
      <c r="M1708" s="3" t="s">
        <v>26</v>
      </c>
      <c r="N1708" s="3" t="s">
        <v>24</v>
      </c>
      <c r="O1708" s="4">
        <v>1</v>
      </c>
      <c r="P1708" s="4">
        <v>10</v>
      </c>
      <c r="Q1708" s="4">
        <v>1</v>
      </c>
    </row>
    <row r="1709" spans="1:17" x14ac:dyDescent="0.25">
      <c r="A1709" s="3" t="s">
        <v>18</v>
      </c>
      <c r="B1709" s="3">
        <v>13765027</v>
      </c>
      <c r="C1709" s="3" t="s">
        <v>1752</v>
      </c>
      <c r="D1709" s="3" t="s">
        <v>20</v>
      </c>
      <c r="E1709" s="3" t="s">
        <v>21</v>
      </c>
      <c r="F1709" s="3" t="s">
        <v>21</v>
      </c>
      <c r="G1709" s="3" t="s">
        <v>36</v>
      </c>
      <c r="H1709" s="3" t="s">
        <v>37</v>
      </c>
      <c r="I1709" s="3" t="s">
        <v>24</v>
      </c>
      <c r="J1709" s="3" t="s">
        <v>24</v>
      </c>
      <c r="K1709" s="3" t="s">
        <v>25</v>
      </c>
      <c r="L1709" s="4">
        <v>0</v>
      </c>
      <c r="M1709" s="3" t="s">
        <v>26</v>
      </c>
      <c r="N1709" s="3" t="s">
        <v>24</v>
      </c>
      <c r="O1709" s="4">
        <v>1</v>
      </c>
      <c r="P1709" s="4">
        <v>10</v>
      </c>
      <c r="Q1709" s="4">
        <v>1</v>
      </c>
    </row>
    <row r="1710" spans="1:17" x14ac:dyDescent="0.25">
      <c r="A1710" s="3" t="s">
        <v>18</v>
      </c>
      <c r="B1710" s="3">
        <v>13765088</v>
      </c>
      <c r="C1710" s="3" t="s">
        <v>1753</v>
      </c>
      <c r="D1710" s="3" t="s">
        <v>20</v>
      </c>
      <c r="E1710" s="3" t="s">
        <v>21</v>
      </c>
      <c r="F1710" s="3" t="s">
        <v>21</v>
      </c>
      <c r="G1710" s="3" t="s">
        <v>233</v>
      </c>
      <c r="H1710" s="3" t="s">
        <v>234</v>
      </c>
      <c r="I1710" s="3" t="s">
        <v>24</v>
      </c>
      <c r="J1710" s="3" t="s">
        <v>24</v>
      </c>
      <c r="K1710" s="3" t="s">
        <v>25</v>
      </c>
      <c r="L1710" s="4">
        <v>0</v>
      </c>
      <c r="M1710" s="3" t="s">
        <v>26</v>
      </c>
      <c r="N1710" s="3" t="s">
        <v>24</v>
      </c>
      <c r="O1710" s="4">
        <v>1</v>
      </c>
      <c r="P1710" s="4">
        <v>2</v>
      </c>
      <c r="Q1710" s="4">
        <v>1</v>
      </c>
    </row>
    <row r="1711" spans="1:17" x14ac:dyDescent="0.25">
      <c r="A1711" s="3" t="s">
        <v>18</v>
      </c>
      <c r="B1711" s="3">
        <v>13765090</v>
      </c>
      <c r="C1711" s="3" t="s">
        <v>1754</v>
      </c>
      <c r="D1711" s="3" t="s">
        <v>20</v>
      </c>
      <c r="E1711" s="3" t="s">
        <v>21</v>
      </c>
      <c r="F1711" s="3" t="s">
        <v>21</v>
      </c>
      <c r="G1711" s="3" t="s">
        <v>233</v>
      </c>
      <c r="H1711" s="3" t="s">
        <v>234</v>
      </c>
      <c r="I1711" s="3" t="s">
        <v>24</v>
      </c>
      <c r="J1711" s="3" t="s">
        <v>24</v>
      </c>
      <c r="K1711" s="3" t="s">
        <v>25</v>
      </c>
      <c r="L1711" s="4">
        <v>0</v>
      </c>
      <c r="M1711" s="3" t="s">
        <v>26</v>
      </c>
      <c r="N1711" s="3" t="s">
        <v>24</v>
      </c>
      <c r="O1711" s="4">
        <v>1</v>
      </c>
      <c r="P1711" s="4">
        <v>2</v>
      </c>
      <c r="Q1711" s="4">
        <v>1</v>
      </c>
    </row>
    <row r="1712" spans="1:17" x14ac:dyDescent="0.25">
      <c r="A1712" s="3" t="s">
        <v>18</v>
      </c>
      <c r="B1712" s="3">
        <v>13765092</v>
      </c>
      <c r="C1712" s="3" t="s">
        <v>1755</v>
      </c>
      <c r="D1712" s="3" t="s">
        <v>20</v>
      </c>
      <c r="E1712" s="3" t="s">
        <v>21</v>
      </c>
      <c r="F1712" s="3" t="s">
        <v>21</v>
      </c>
      <c r="G1712" s="3" t="s">
        <v>233</v>
      </c>
      <c r="H1712" s="3" t="s">
        <v>234</v>
      </c>
      <c r="I1712" s="3" t="s">
        <v>24</v>
      </c>
      <c r="J1712" s="3" t="s">
        <v>24</v>
      </c>
      <c r="K1712" s="3" t="s">
        <v>25</v>
      </c>
      <c r="L1712" s="4">
        <v>0</v>
      </c>
      <c r="M1712" s="3" t="s">
        <v>26</v>
      </c>
      <c r="N1712" s="3" t="s">
        <v>24</v>
      </c>
      <c r="O1712" s="4">
        <v>1</v>
      </c>
      <c r="P1712" s="4">
        <v>2</v>
      </c>
      <c r="Q1712" s="4">
        <v>1</v>
      </c>
    </row>
    <row r="1713" spans="1:17" x14ac:dyDescent="0.25">
      <c r="A1713" s="3" t="s">
        <v>18</v>
      </c>
      <c r="B1713" s="3">
        <v>13765093</v>
      </c>
      <c r="C1713" s="3" t="s">
        <v>1756</v>
      </c>
      <c r="D1713" s="3" t="s">
        <v>20</v>
      </c>
      <c r="E1713" s="3" t="s">
        <v>21</v>
      </c>
      <c r="F1713" s="3" t="s">
        <v>21</v>
      </c>
      <c r="G1713" s="3" t="s">
        <v>233</v>
      </c>
      <c r="H1713" s="3" t="s">
        <v>234</v>
      </c>
      <c r="I1713" s="3" t="s">
        <v>24</v>
      </c>
      <c r="J1713" s="3" t="s">
        <v>24</v>
      </c>
      <c r="K1713" s="3" t="s">
        <v>25</v>
      </c>
      <c r="L1713" s="4">
        <v>0</v>
      </c>
      <c r="M1713" s="3" t="s">
        <v>26</v>
      </c>
      <c r="N1713" s="3" t="s">
        <v>24</v>
      </c>
      <c r="O1713" s="4">
        <v>1</v>
      </c>
      <c r="P1713" s="4">
        <v>2</v>
      </c>
      <c r="Q1713" s="4">
        <v>1</v>
      </c>
    </row>
    <row r="1714" spans="1:17" x14ac:dyDescent="0.25">
      <c r="A1714" s="3" t="s">
        <v>18</v>
      </c>
      <c r="B1714" s="3">
        <v>13773736</v>
      </c>
      <c r="C1714" s="3" t="s">
        <v>1757</v>
      </c>
      <c r="D1714" s="3" t="s">
        <v>20</v>
      </c>
      <c r="E1714" s="3" t="s">
        <v>21</v>
      </c>
      <c r="F1714" s="3" t="s">
        <v>21</v>
      </c>
      <c r="G1714" s="3" t="s">
        <v>233</v>
      </c>
      <c r="H1714" s="3" t="s">
        <v>234</v>
      </c>
      <c r="I1714" s="3" t="s">
        <v>24</v>
      </c>
      <c r="J1714" s="3" t="s">
        <v>24</v>
      </c>
      <c r="K1714" s="3" t="s">
        <v>25</v>
      </c>
      <c r="L1714" s="4">
        <v>0</v>
      </c>
      <c r="M1714" s="3" t="s">
        <v>26</v>
      </c>
      <c r="N1714" s="3" t="s">
        <v>24</v>
      </c>
      <c r="O1714" s="4">
        <v>1</v>
      </c>
      <c r="P1714" s="4">
        <v>2</v>
      </c>
      <c r="Q1714" s="4">
        <v>1</v>
      </c>
    </row>
    <row r="1715" spans="1:17" x14ac:dyDescent="0.25">
      <c r="A1715" s="3" t="s">
        <v>18</v>
      </c>
      <c r="B1715" s="3">
        <v>13774876</v>
      </c>
      <c r="C1715" s="3" t="s">
        <v>1758</v>
      </c>
      <c r="D1715" s="3" t="s">
        <v>1360</v>
      </c>
      <c r="E1715" s="3" t="s">
        <v>21</v>
      </c>
      <c r="F1715" s="3" t="s">
        <v>21</v>
      </c>
      <c r="G1715" s="3" t="s">
        <v>233</v>
      </c>
      <c r="H1715" s="3" t="s">
        <v>234</v>
      </c>
      <c r="I1715" s="3" t="s">
        <v>24</v>
      </c>
      <c r="J1715" s="3" t="s">
        <v>24</v>
      </c>
      <c r="K1715" s="3" t="s">
        <v>25</v>
      </c>
      <c r="L1715" s="4">
        <v>0</v>
      </c>
      <c r="M1715" s="3" t="s">
        <v>26</v>
      </c>
      <c r="N1715" s="3" t="s">
        <v>24</v>
      </c>
      <c r="O1715" s="4">
        <v>1</v>
      </c>
      <c r="P1715" s="4">
        <v>3</v>
      </c>
      <c r="Q1715" s="4">
        <v>1</v>
      </c>
    </row>
    <row r="1716" spans="1:17" x14ac:dyDescent="0.25">
      <c r="A1716" s="3" t="s">
        <v>18</v>
      </c>
      <c r="B1716" s="3">
        <v>13784723</v>
      </c>
      <c r="C1716" s="3" t="s">
        <v>1759</v>
      </c>
      <c r="D1716" s="3" t="s">
        <v>20</v>
      </c>
      <c r="E1716" s="3" t="s">
        <v>21</v>
      </c>
      <c r="F1716" s="3" t="s">
        <v>21</v>
      </c>
      <c r="G1716" s="3" t="s">
        <v>30</v>
      </c>
      <c r="H1716" s="3" t="s">
        <v>31</v>
      </c>
      <c r="I1716" s="3" t="s">
        <v>24</v>
      </c>
      <c r="J1716" s="3" t="s">
        <v>24</v>
      </c>
      <c r="K1716" s="3" t="s">
        <v>25</v>
      </c>
      <c r="L1716" s="4">
        <v>0</v>
      </c>
      <c r="M1716" s="3" t="s">
        <v>26</v>
      </c>
      <c r="N1716" s="3" t="s">
        <v>24</v>
      </c>
      <c r="O1716" s="4">
        <v>1</v>
      </c>
      <c r="P1716" s="4">
        <v>9</v>
      </c>
      <c r="Q1716" s="4">
        <v>1</v>
      </c>
    </row>
    <row r="1717" spans="1:17" x14ac:dyDescent="0.25">
      <c r="A1717" s="3" t="s">
        <v>18</v>
      </c>
      <c r="B1717" s="3">
        <v>13784724</v>
      </c>
      <c r="C1717" s="3" t="s">
        <v>1760</v>
      </c>
      <c r="D1717" s="3" t="s">
        <v>20</v>
      </c>
      <c r="E1717" s="3" t="s">
        <v>21</v>
      </c>
      <c r="F1717" s="3" t="s">
        <v>21</v>
      </c>
      <c r="G1717" s="3" t="s">
        <v>22</v>
      </c>
      <c r="H1717" s="3" t="s">
        <v>23</v>
      </c>
      <c r="I1717" s="3" t="s">
        <v>24</v>
      </c>
      <c r="J1717" s="3" t="s">
        <v>24</v>
      </c>
      <c r="K1717" s="3" t="s">
        <v>25</v>
      </c>
      <c r="L1717" s="4">
        <v>0</v>
      </c>
      <c r="M1717" s="3" t="s">
        <v>26</v>
      </c>
      <c r="N1717" s="3" t="s">
        <v>24</v>
      </c>
      <c r="O1717" s="4">
        <v>1</v>
      </c>
      <c r="P1717" s="4">
        <v>4</v>
      </c>
      <c r="Q1717" s="4">
        <v>1</v>
      </c>
    </row>
    <row r="1718" spans="1:17" x14ac:dyDescent="0.25">
      <c r="A1718" s="3" t="s">
        <v>18</v>
      </c>
      <c r="B1718" s="3">
        <v>13791089</v>
      </c>
      <c r="C1718" s="3" t="s">
        <v>1761</v>
      </c>
      <c r="D1718" s="3" t="s">
        <v>20</v>
      </c>
      <c r="E1718" s="3" t="s">
        <v>21</v>
      </c>
      <c r="F1718" s="3" t="s">
        <v>21</v>
      </c>
      <c r="G1718" s="3" t="s">
        <v>36</v>
      </c>
      <c r="H1718" s="3" t="s">
        <v>37</v>
      </c>
      <c r="I1718" s="3" t="s">
        <v>24</v>
      </c>
      <c r="J1718" s="3" t="s">
        <v>24</v>
      </c>
      <c r="K1718" s="3" t="s">
        <v>25</v>
      </c>
      <c r="L1718" s="4">
        <v>0</v>
      </c>
      <c r="M1718" s="3" t="s">
        <v>26</v>
      </c>
      <c r="N1718" s="3" t="s">
        <v>24</v>
      </c>
      <c r="O1718" s="4">
        <v>1</v>
      </c>
      <c r="P1718" s="4">
        <v>10</v>
      </c>
      <c r="Q1718" s="4">
        <v>1</v>
      </c>
    </row>
    <row r="1719" spans="1:17" x14ac:dyDescent="0.25">
      <c r="A1719" s="3" t="s">
        <v>18</v>
      </c>
      <c r="B1719" s="3">
        <v>13792593</v>
      </c>
      <c r="C1719" s="3" t="s">
        <v>1762</v>
      </c>
      <c r="D1719" s="3" t="s">
        <v>20</v>
      </c>
      <c r="E1719" s="3" t="s">
        <v>21</v>
      </c>
      <c r="F1719" s="3" t="s">
        <v>21</v>
      </c>
      <c r="G1719" s="3" t="s">
        <v>477</v>
      </c>
      <c r="H1719" s="3" t="s">
        <v>478</v>
      </c>
      <c r="I1719" s="3" t="s">
        <v>24</v>
      </c>
      <c r="J1719" s="3" t="s">
        <v>24</v>
      </c>
      <c r="K1719" s="3" t="s">
        <v>25</v>
      </c>
      <c r="L1719" s="4">
        <v>0</v>
      </c>
      <c r="M1719" s="3" t="s">
        <v>26</v>
      </c>
      <c r="N1719" s="3" t="s">
        <v>24</v>
      </c>
      <c r="O1719" s="4">
        <v>1</v>
      </c>
      <c r="P1719" s="4">
        <v>1</v>
      </c>
      <c r="Q1719" s="4">
        <v>1</v>
      </c>
    </row>
    <row r="1720" spans="1:17" x14ac:dyDescent="0.25">
      <c r="A1720" s="3" t="s">
        <v>18</v>
      </c>
      <c r="B1720" s="3">
        <v>13797557</v>
      </c>
      <c r="C1720" s="3" t="s">
        <v>1763</v>
      </c>
      <c r="D1720" s="3" t="s">
        <v>1360</v>
      </c>
      <c r="E1720" s="3" t="s">
        <v>21</v>
      </c>
      <c r="F1720" s="3" t="s">
        <v>21</v>
      </c>
      <c r="G1720" s="3" t="s">
        <v>477</v>
      </c>
      <c r="H1720" s="3" t="s">
        <v>478</v>
      </c>
      <c r="I1720" s="3" t="s">
        <v>24</v>
      </c>
      <c r="J1720" s="3" t="s">
        <v>24</v>
      </c>
      <c r="K1720" s="3" t="s">
        <v>25</v>
      </c>
      <c r="L1720" s="4">
        <v>0</v>
      </c>
      <c r="M1720" s="3" t="s">
        <v>26</v>
      </c>
      <c r="N1720" s="3" t="s">
        <v>24</v>
      </c>
      <c r="O1720" s="4">
        <v>1</v>
      </c>
      <c r="P1720" s="4">
        <v>1</v>
      </c>
      <c r="Q1720" s="4">
        <v>1</v>
      </c>
    </row>
    <row r="1721" spans="1:17" x14ac:dyDescent="0.25">
      <c r="A1721" s="3" t="s">
        <v>18</v>
      </c>
      <c r="B1721" s="3">
        <v>13797690</v>
      </c>
      <c r="C1721" s="3" t="s">
        <v>1764</v>
      </c>
      <c r="D1721" s="3" t="s">
        <v>1360</v>
      </c>
      <c r="E1721" s="3" t="s">
        <v>21</v>
      </c>
      <c r="F1721" s="3" t="s">
        <v>21</v>
      </c>
      <c r="G1721" s="3" t="s">
        <v>233</v>
      </c>
      <c r="H1721" s="3" t="s">
        <v>234</v>
      </c>
      <c r="I1721" s="3" t="s">
        <v>24</v>
      </c>
      <c r="J1721" s="3" t="s">
        <v>24</v>
      </c>
      <c r="K1721" s="3" t="s">
        <v>25</v>
      </c>
      <c r="L1721" s="4">
        <v>0</v>
      </c>
      <c r="M1721" s="3" t="s">
        <v>26</v>
      </c>
      <c r="N1721" s="3" t="s">
        <v>24</v>
      </c>
      <c r="O1721" s="4">
        <v>1</v>
      </c>
      <c r="P1721" s="4">
        <v>2</v>
      </c>
      <c r="Q1721" s="4">
        <v>1</v>
      </c>
    </row>
    <row r="1722" spans="1:17" x14ac:dyDescent="0.25">
      <c r="A1722" s="3" t="s">
        <v>18</v>
      </c>
      <c r="B1722" s="3">
        <v>13799132</v>
      </c>
      <c r="C1722" s="3" t="s">
        <v>1765</v>
      </c>
      <c r="D1722" s="3" t="s">
        <v>20</v>
      </c>
      <c r="E1722" s="3" t="s">
        <v>21</v>
      </c>
      <c r="F1722" s="3" t="s">
        <v>21</v>
      </c>
      <c r="G1722" s="3" t="s">
        <v>233</v>
      </c>
      <c r="H1722" s="3" t="s">
        <v>234</v>
      </c>
      <c r="I1722" s="3" t="s">
        <v>24</v>
      </c>
      <c r="J1722" s="3" t="s">
        <v>24</v>
      </c>
      <c r="K1722" s="3" t="s">
        <v>25</v>
      </c>
      <c r="L1722" s="4">
        <v>0</v>
      </c>
      <c r="M1722" s="3" t="s">
        <v>26</v>
      </c>
      <c r="N1722" s="3" t="s">
        <v>24</v>
      </c>
      <c r="O1722" s="4">
        <v>1</v>
      </c>
      <c r="P1722" s="4">
        <v>2</v>
      </c>
      <c r="Q1722" s="4">
        <v>1</v>
      </c>
    </row>
    <row r="1723" spans="1:17" x14ac:dyDescent="0.25">
      <c r="A1723" s="3" t="s">
        <v>18</v>
      </c>
      <c r="B1723" s="3">
        <v>13802677</v>
      </c>
      <c r="C1723" s="3" t="s">
        <v>1766</v>
      </c>
      <c r="D1723" s="3" t="s">
        <v>1360</v>
      </c>
      <c r="E1723" s="3" t="s">
        <v>21</v>
      </c>
      <c r="F1723" s="3" t="s">
        <v>21</v>
      </c>
      <c r="G1723" s="3" t="s">
        <v>233</v>
      </c>
      <c r="H1723" s="3" t="s">
        <v>234</v>
      </c>
      <c r="I1723" s="3" t="s">
        <v>24</v>
      </c>
      <c r="J1723" s="3" t="s">
        <v>24</v>
      </c>
      <c r="K1723" s="3" t="s">
        <v>25</v>
      </c>
      <c r="L1723" s="4">
        <v>0</v>
      </c>
      <c r="M1723" s="3" t="s">
        <v>26</v>
      </c>
      <c r="N1723" s="3" t="s">
        <v>24</v>
      </c>
      <c r="O1723" s="4">
        <v>1</v>
      </c>
      <c r="P1723" s="4">
        <v>3</v>
      </c>
      <c r="Q1723" s="4">
        <v>1</v>
      </c>
    </row>
    <row r="1724" spans="1:17" x14ac:dyDescent="0.25">
      <c r="A1724" s="3" t="s">
        <v>18</v>
      </c>
      <c r="B1724" s="3">
        <v>13810877</v>
      </c>
      <c r="C1724" s="3" t="s">
        <v>1767</v>
      </c>
      <c r="D1724" s="3" t="s">
        <v>20</v>
      </c>
      <c r="E1724" s="3" t="s">
        <v>21</v>
      </c>
      <c r="F1724" s="3" t="s">
        <v>21</v>
      </c>
      <c r="G1724" s="3" t="s">
        <v>410</v>
      </c>
      <c r="H1724" s="3" t="s">
        <v>411</v>
      </c>
      <c r="I1724" s="3" t="s">
        <v>24</v>
      </c>
      <c r="J1724" s="3" t="s">
        <v>24</v>
      </c>
      <c r="K1724" s="3" t="s">
        <v>25</v>
      </c>
      <c r="L1724" s="4">
        <v>0</v>
      </c>
      <c r="M1724" s="3" t="s">
        <v>26</v>
      </c>
      <c r="N1724" s="3" t="s">
        <v>24</v>
      </c>
      <c r="O1724" s="4">
        <v>1</v>
      </c>
      <c r="P1724" s="4">
        <v>2</v>
      </c>
      <c r="Q1724" s="4">
        <v>1</v>
      </c>
    </row>
    <row r="1725" spans="1:17" x14ac:dyDescent="0.25">
      <c r="A1725" s="3" t="s">
        <v>18</v>
      </c>
      <c r="B1725" s="3">
        <v>13812465</v>
      </c>
      <c r="C1725" s="3" t="s">
        <v>1768</v>
      </c>
      <c r="D1725" s="3" t="s">
        <v>1360</v>
      </c>
      <c r="E1725" s="3" t="s">
        <v>21</v>
      </c>
      <c r="F1725" s="3" t="s">
        <v>21</v>
      </c>
      <c r="G1725" s="3" t="s">
        <v>233</v>
      </c>
      <c r="H1725" s="3" t="s">
        <v>234</v>
      </c>
      <c r="I1725" s="3" t="s">
        <v>24</v>
      </c>
      <c r="J1725" s="3" t="s">
        <v>24</v>
      </c>
      <c r="K1725" s="3" t="s">
        <v>25</v>
      </c>
      <c r="L1725" s="4">
        <v>0</v>
      </c>
      <c r="M1725" s="3" t="s">
        <v>26</v>
      </c>
      <c r="N1725" s="3" t="s">
        <v>24</v>
      </c>
      <c r="O1725" s="4">
        <v>1</v>
      </c>
      <c r="P1725" s="4">
        <v>3</v>
      </c>
      <c r="Q1725" s="4">
        <v>1</v>
      </c>
    </row>
    <row r="1726" spans="1:17" x14ac:dyDescent="0.25">
      <c r="A1726" s="3" t="s">
        <v>18</v>
      </c>
      <c r="B1726" s="3">
        <v>13823929</v>
      </c>
      <c r="C1726" s="3" t="s">
        <v>1769</v>
      </c>
      <c r="D1726" s="3" t="s">
        <v>20</v>
      </c>
      <c r="E1726" s="3" t="s">
        <v>21</v>
      </c>
      <c r="F1726" s="3" t="s">
        <v>21</v>
      </c>
      <c r="G1726" s="3" t="s">
        <v>233</v>
      </c>
      <c r="H1726" s="3" t="s">
        <v>234</v>
      </c>
      <c r="I1726" s="3" t="s">
        <v>24</v>
      </c>
      <c r="J1726" s="3" t="s">
        <v>24</v>
      </c>
      <c r="K1726" s="3" t="s">
        <v>25</v>
      </c>
      <c r="L1726" s="4">
        <v>0</v>
      </c>
      <c r="M1726" s="3" t="s">
        <v>26</v>
      </c>
      <c r="N1726" s="3" t="s">
        <v>24</v>
      </c>
      <c r="O1726" s="4">
        <v>1</v>
      </c>
      <c r="P1726" s="4">
        <v>2</v>
      </c>
      <c r="Q1726" s="4">
        <v>1</v>
      </c>
    </row>
    <row r="1727" spans="1:17" x14ac:dyDescent="0.25">
      <c r="A1727" s="3" t="s">
        <v>18</v>
      </c>
      <c r="B1727" s="3">
        <v>13824060</v>
      </c>
      <c r="C1727" s="3" t="s">
        <v>1770</v>
      </c>
      <c r="D1727" s="3" t="s">
        <v>20</v>
      </c>
      <c r="E1727" s="3" t="s">
        <v>21</v>
      </c>
      <c r="F1727" s="3" t="s">
        <v>21</v>
      </c>
      <c r="G1727" s="3" t="s">
        <v>233</v>
      </c>
      <c r="H1727" s="3" t="s">
        <v>234</v>
      </c>
      <c r="I1727" s="3" t="s">
        <v>24</v>
      </c>
      <c r="J1727" s="3" t="s">
        <v>24</v>
      </c>
      <c r="K1727" s="3" t="s">
        <v>25</v>
      </c>
      <c r="L1727" s="4">
        <v>0</v>
      </c>
      <c r="M1727" s="3" t="s">
        <v>26</v>
      </c>
      <c r="N1727" s="3" t="s">
        <v>24</v>
      </c>
      <c r="O1727" s="4">
        <v>1</v>
      </c>
      <c r="P1727" s="4">
        <v>2</v>
      </c>
      <c r="Q1727" s="4">
        <v>1</v>
      </c>
    </row>
    <row r="1728" spans="1:17" x14ac:dyDescent="0.25">
      <c r="A1728" s="3" t="s">
        <v>18</v>
      </c>
      <c r="B1728" s="3">
        <v>13824155</v>
      </c>
      <c r="C1728" s="3" t="s">
        <v>1771</v>
      </c>
      <c r="D1728" s="3" t="s">
        <v>20</v>
      </c>
      <c r="E1728" s="3" t="s">
        <v>21</v>
      </c>
      <c r="F1728" s="3" t="s">
        <v>21</v>
      </c>
      <c r="G1728" s="3" t="s">
        <v>30</v>
      </c>
      <c r="H1728" s="3" t="s">
        <v>31</v>
      </c>
      <c r="I1728" s="3" t="s">
        <v>24</v>
      </c>
      <c r="J1728" s="3" t="s">
        <v>24</v>
      </c>
      <c r="K1728" s="3" t="s">
        <v>25</v>
      </c>
      <c r="L1728" s="4">
        <v>0</v>
      </c>
      <c r="M1728" s="3" t="s">
        <v>26</v>
      </c>
      <c r="N1728" s="3" t="s">
        <v>24</v>
      </c>
      <c r="O1728" s="4">
        <v>1</v>
      </c>
      <c r="P1728" s="4">
        <v>8</v>
      </c>
      <c r="Q1728" s="4">
        <v>1</v>
      </c>
    </row>
    <row r="1729" spans="1:17" x14ac:dyDescent="0.25">
      <c r="A1729" s="3" t="s">
        <v>18</v>
      </c>
      <c r="B1729" s="3">
        <v>13824156</v>
      </c>
      <c r="C1729" s="3" t="s">
        <v>1772</v>
      </c>
      <c r="D1729" s="3" t="s">
        <v>20</v>
      </c>
      <c r="E1729" s="3" t="s">
        <v>21</v>
      </c>
      <c r="F1729" s="3" t="s">
        <v>21</v>
      </c>
      <c r="G1729" s="3" t="s">
        <v>36</v>
      </c>
      <c r="H1729" s="3" t="s">
        <v>37</v>
      </c>
      <c r="I1729" s="3" t="s">
        <v>24</v>
      </c>
      <c r="J1729" s="3" t="s">
        <v>24</v>
      </c>
      <c r="K1729" s="3" t="s">
        <v>25</v>
      </c>
      <c r="L1729" s="4">
        <v>0</v>
      </c>
      <c r="M1729" s="3" t="s">
        <v>26</v>
      </c>
      <c r="N1729" s="3" t="s">
        <v>24</v>
      </c>
      <c r="O1729" s="4">
        <v>1</v>
      </c>
      <c r="P1729" s="4">
        <v>10</v>
      </c>
      <c r="Q1729" s="4">
        <v>1</v>
      </c>
    </row>
    <row r="1730" spans="1:17" x14ac:dyDescent="0.25">
      <c r="A1730" s="3" t="s">
        <v>18</v>
      </c>
      <c r="B1730" s="3">
        <v>13826097</v>
      </c>
      <c r="C1730" s="3" t="s">
        <v>1773</v>
      </c>
      <c r="D1730" s="3" t="s">
        <v>20</v>
      </c>
      <c r="E1730" s="3" t="s">
        <v>21</v>
      </c>
      <c r="F1730" s="3" t="s">
        <v>21</v>
      </c>
      <c r="G1730" s="3" t="s">
        <v>42</v>
      </c>
      <c r="H1730" s="3" t="s">
        <v>43</v>
      </c>
      <c r="I1730" s="3" t="s">
        <v>24</v>
      </c>
      <c r="J1730" s="3" t="s">
        <v>24</v>
      </c>
      <c r="K1730" s="3" t="s">
        <v>25</v>
      </c>
      <c r="L1730" s="4">
        <v>0</v>
      </c>
      <c r="M1730" s="3" t="s">
        <v>26</v>
      </c>
      <c r="N1730" s="3" t="s">
        <v>24</v>
      </c>
      <c r="O1730" s="4">
        <v>1</v>
      </c>
      <c r="P1730" s="4">
        <v>8</v>
      </c>
      <c r="Q1730" s="4">
        <v>1</v>
      </c>
    </row>
    <row r="1731" spans="1:17" x14ac:dyDescent="0.25">
      <c r="A1731" s="3" t="s">
        <v>18</v>
      </c>
      <c r="B1731" s="3">
        <v>13839240</v>
      </c>
      <c r="C1731" s="3" t="s">
        <v>1774</v>
      </c>
      <c r="D1731" s="3" t="s">
        <v>20</v>
      </c>
      <c r="E1731" s="3" t="s">
        <v>21</v>
      </c>
      <c r="F1731" s="3" t="s">
        <v>21</v>
      </c>
      <c r="G1731" s="3" t="s">
        <v>42</v>
      </c>
      <c r="H1731" s="3" t="s">
        <v>43</v>
      </c>
      <c r="I1731" s="3" t="s">
        <v>24</v>
      </c>
      <c r="J1731" s="3" t="s">
        <v>24</v>
      </c>
      <c r="K1731" s="3" t="s">
        <v>25</v>
      </c>
      <c r="L1731" s="4">
        <v>0</v>
      </c>
      <c r="M1731" s="3" t="s">
        <v>26</v>
      </c>
      <c r="N1731" s="3" t="s">
        <v>24</v>
      </c>
      <c r="O1731" s="4">
        <v>1</v>
      </c>
      <c r="P1731" s="4">
        <v>8</v>
      </c>
      <c r="Q1731" s="4">
        <v>1</v>
      </c>
    </row>
    <row r="1732" spans="1:17" x14ac:dyDescent="0.25">
      <c r="A1732" s="3" t="s">
        <v>18</v>
      </c>
      <c r="B1732" s="3">
        <v>13839510</v>
      </c>
      <c r="C1732" s="3" t="s">
        <v>1775</v>
      </c>
      <c r="D1732" s="3" t="s">
        <v>1360</v>
      </c>
      <c r="E1732" s="3" t="s">
        <v>21</v>
      </c>
      <c r="F1732" s="3" t="s">
        <v>21</v>
      </c>
      <c r="G1732" s="3" t="s">
        <v>233</v>
      </c>
      <c r="H1732" s="3" t="s">
        <v>234</v>
      </c>
      <c r="I1732" s="3" t="s">
        <v>24</v>
      </c>
      <c r="J1732" s="3" t="s">
        <v>24</v>
      </c>
      <c r="K1732" s="3" t="s">
        <v>25</v>
      </c>
      <c r="L1732" s="4">
        <v>0</v>
      </c>
      <c r="M1732" s="3" t="s">
        <v>26</v>
      </c>
      <c r="N1732" s="3" t="s">
        <v>24</v>
      </c>
      <c r="O1732" s="4">
        <v>1</v>
      </c>
      <c r="P1732" s="4">
        <v>2</v>
      </c>
      <c r="Q1732" s="4">
        <v>1</v>
      </c>
    </row>
    <row r="1733" spans="1:17" x14ac:dyDescent="0.25">
      <c r="A1733" s="3" t="s">
        <v>18</v>
      </c>
      <c r="B1733" s="3">
        <v>13849999</v>
      </c>
      <c r="C1733" s="3" t="s">
        <v>1776</v>
      </c>
      <c r="D1733" s="3" t="s">
        <v>1360</v>
      </c>
      <c r="E1733" s="3" t="s">
        <v>21</v>
      </c>
      <c r="F1733" s="3" t="s">
        <v>21</v>
      </c>
      <c r="G1733" s="3" t="s">
        <v>233</v>
      </c>
      <c r="H1733" s="3" t="s">
        <v>234</v>
      </c>
      <c r="I1733" s="3" t="s">
        <v>24</v>
      </c>
      <c r="J1733" s="3" t="s">
        <v>24</v>
      </c>
      <c r="K1733" s="3" t="s">
        <v>25</v>
      </c>
      <c r="L1733" s="4">
        <v>0</v>
      </c>
      <c r="M1733" s="3" t="s">
        <v>26</v>
      </c>
      <c r="N1733" s="3" t="s">
        <v>24</v>
      </c>
      <c r="O1733" s="4">
        <v>1</v>
      </c>
      <c r="P1733" s="4">
        <v>2</v>
      </c>
      <c r="Q1733" s="4">
        <v>1</v>
      </c>
    </row>
    <row r="1734" spans="1:17" x14ac:dyDescent="0.25">
      <c r="A1734" s="3" t="s">
        <v>18</v>
      </c>
      <c r="B1734" s="3">
        <v>13850746</v>
      </c>
      <c r="C1734" s="3" t="s">
        <v>1777</v>
      </c>
      <c r="D1734" s="3" t="s">
        <v>1360</v>
      </c>
      <c r="E1734" s="3" t="s">
        <v>21</v>
      </c>
      <c r="F1734" s="3" t="s">
        <v>21</v>
      </c>
      <c r="G1734" s="3" t="s">
        <v>233</v>
      </c>
      <c r="H1734" s="3" t="s">
        <v>234</v>
      </c>
      <c r="I1734" s="3" t="s">
        <v>24</v>
      </c>
      <c r="J1734" s="3" t="s">
        <v>24</v>
      </c>
      <c r="K1734" s="3" t="s">
        <v>25</v>
      </c>
      <c r="L1734" s="4">
        <v>0</v>
      </c>
      <c r="M1734" s="3" t="s">
        <v>26</v>
      </c>
      <c r="N1734" s="3" t="s">
        <v>24</v>
      </c>
      <c r="O1734" s="4">
        <v>1</v>
      </c>
      <c r="P1734" s="4">
        <v>2</v>
      </c>
      <c r="Q1734" s="4">
        <v>1</v>
      </c>
    </row>
    <row r="1735" spans="1:17" x14ac:dyDescent="0.25">
      <c r="A1735" s="3" t="s">
        <v>18</v>
      </c>
      <c r="B1735" s="3">
        <v>13857712</v>
      </c>
      <c r="C1735" s="3" t="s">
        <v>1778</v>
      </c>
      <c r="D1735" s="3" t="s">
        <v>20</v>
      </c>
      <c r="E1735" s="3" t="s">
        <v>21</v>
      </c>
      <c r="F1735" s="3" t="s">
        <v>21</v>
      </c>
      <c r="G1735" s="3" t="s">
        <v>233</v>
      </c>
      <c r="H1735" s="3" t="s">
        <v>234</v>
      </c>
      <c r="I1735" s="3" t="s">
        <v>24</v>
      </c>
      <c r="J1735" s="3" t="s">
        <v>24</v>
      </c>
      <c r="K1735" s="3" t="s">
        <v>25</v>
      </c>
      <c r="L1735" s="4">
        <v>0</v>
      </c>
      <c r="M1735" s="3" t="s">
        <v>26</v>
      </c>
      <c r="N1735" s="3" t="s">
        <v>24</v>
      </c>
      <c r="O1735" s="4">
        <v>1</v>
      </c>
      <c r="P1735" s="4">
        <v>2</v>
      </c>
      <c r="Q1735" s="4">
        <v>1</v>
      </c>
    </row>
    <row r="1736" spans="1:17" x14ac:dyDescent="0.25">
      <c r="A1736" s="3" t="s">
        <v>18</v>
      </c>
      <c r="B1736" s="3">
        <v>13858698</v>
      </c>
      <c r="C1736" s="3" t="s">
        <v>1779</v>
      </c>
      <c r="D1736" s="3" t="s">
        <v>20</v>
      </c>
      <c r="E1736" s="3" t="s">
        <v>21</v>
      </c>
      <c r="F1736" s="3" t="s">
        <v>21</v>
      </c>
      <c r="G1736" s="3" t="s">
        <v>22</v>
      </c>
      <c r="H1736" s="3" t="s">
        <v>23</v>
      </c>
      <c r="I1736" s="3" t="s">
        <v>24</v>
      </c>
      <c r="J1736" s="3" t="s">
        <v>24</v>
      </c>
      <c r="K1736" s="3" t="s">
        <v>25</v>
      </c>
      <c r="L1736" s="4">
        <v>0</v>
      </c>
      <c r="M1736" s="3" t="s">
        <v>26</v>
      </c>
      <c r="N1736" s="3" t="s">
        <v>24</v>
      </c>
      <c r="O1736" s="4">
        <v>1</v>
      </c>
      <c r="P1736" s="4">
        <v>4</v>
      </c>
      <c r="Q1736" s="4">
        <v>1</v>
      </c>
    </row>
    <row r="1737" spans="1:17" x14ac:dyDescent="0.25">
      <c r="A1737" s="3" t="s">
        <v>18</v>
      </c>
      <c r="B1737" s="3">
        <v>13858700</v>
      </c>
      <c r="C1737" s="3" t="s">
        <v>1780</v>
      </c>
      <c r="D1737" s="3" t="s">
        <v>20</v>
      </c>
      <c r="E1737" s="3" t="s">
        <v>21</v>
      </c>
      <c r="F1737" s="3" t="s">
        <v>21</v>
      </c>
      <c r="G1737" s="3" t="s">
        <v>36</v>
      </c>
      <c r="H1737" s="3" t="s">
        <v>37</v>
      </c>
      <c r="I1737" s="3" t="s">
        <v>24</v>
      </c>
      <c r="J1737" s="3" t="s">
        <v>24</v>
      </c>
      <c r="K1737" s="3" t="s">
        <v>25</v>
      </c>
      <c r="L1737" s="4">
        <v>0</v>
      </c>
      <c r="M1737" s="3" t="s">
        <v>26</v>
      </c>
      <c r="N1737" s="3" t="s">
        <v>24</v>
      </c>
      <c r="O1737" s="4">
        <v>1</v>
      </c>
      <c r="P1737" s="4">
        <v>10</v>
      </c>
      <c r="Q1737" s="4">
        <v>1</v>
      </c>
    </row>
    <row r="1738" spans="1:17" x14ac:dyDescent="0.25">
      <c r="A1738" s="3" t="s">
        <v>18</v>
      </c>
      <c r="B1738" s="3">
        <v>13871693</v>
      </c>
      <c r="C1738" s="3" t="s">
        <v>1781</v>
      </c>
      <c r="D1738" s="3" t="s">
        <v>20</v>
      </c>
      <c r="E1738" s="3" t="s">
        <v>21</v>
      </c>
      <c r="F1738" s="3" t="s">
        <v>21</v>
      </c>
      <c r="G1738" s="3" t="s">
        <v>36</v>
      </c>
      <c r="H1738" s="3" t="s">
        <v>37</v>
      </c>
      <c r="I1738" s="3" t="s">
        <v>24</v>
      </c>
      <c r="J1738" s="3" t="s">
        <v>24</v>
      </c>
      <c r="K1738" s="3" t="s">
        <v>25</v>
      </c>
      <c r="L1738" s="4">
        <v>0</v>
      </c>
      <c r="M1738" s="3" t="s">
        <v>26</v>
      </c>
      <c r="N1738" s="3" t="s">
        <v>24</v>
      </c>
      <c r="O1738" s="4">
        <v>1</v>
      </c>
      <c r="P1738" s="4">
        <v>3</v>
      </c>
      <c r="Q1738" s="4">
        <v>1</v>
      </c>
    </row>
    <row r="1739" spans="1:17" x14ac:dyDescent="0.25">
      <c r="A1739" s="3" t="s">
        <v>18</v>
      </c>
      <c r="B1739" s="3">
        <v>13871860</v>
      </c>
      <c r="C1739" s="3" t="s">
        <v>1782</v>
      </c>
      <c r="D1739" s="3" t="s">
        <v>20</v>
      </c>
      <c r="E1739" s="3" t="s">
        <v>21</v>
      </c>
      <c r="F1739" s="3" t="s">
        <v>21</v>
      </c>
      <c r="G1739" s="3" t="s">
        <v>362</v>
      </c>
      <c r="H1739" s="3" t="s">
        <v>363</v>
      </c>
      <c r="I1739" s="3" t="s">
        <v>24</v>
      </c>
      <c r="J1739" s="3" t="s">
        <v>24</v>
      </c>
      <c r="K1739" s="3" t="s">
        <v>25</v>
      </c>
      <c r="L1739" s="4">
        <v>0</v>
      </c>
      <c r="M1739" s="3" t="s">
        <v>26</v>
      </c>
      <c r="N1739" s="3" t="s">
        <v>24</v>
      </c>
      <c r="O1739" s="4">
        <v>1</v>
      </c>
      <c r="P1739" s="4">
        <v>1</v>
      </c>
      <c r="Q1739" s="4">
        <v>1</v>
      </c>
    </row>
    <row r="1740" spans="1:17" x14ac:dyDescent="0.25">
      <c r="A1740" s="3" t="s">
        <v>18</v>
      </c>
      <c r="B1740" s="3">
        <v>13871862</v>
      </c>
      <c r="C1740" s="3" t="s">
        <v>1783</v>
      </c>
      <c r="D1740" s="3" t="s">
        <v>20</v>
      </c>
      <c r="E1740" s="3" t="s">
        <v>21</v>
      </c>
      <c r="F1740" s="3" t="s">
        <v>21</v>
      </c>
      <c r="G1740" s="3" t="s">
        <v>36</v>
      </c>
      <c r="H1740" s="3" t="s">
        <v>37</v>
      </c>
      <c r="I1740" s="3" t="s">
        <v>24</v>
      </c>
      <c r="J1740" s="3" t="s">
        <v>24</v>
      </c>
      <c r="K1740" s="3" t="s">
        <v>25</v>
      </c>
      <c r="L1740" s="4">
        <v>0</v>
      </c>
      <c r="M1740" s="3" t="s">
        <v>26</v>
      </c>
      <c r="N1740" s="3" t="s">
        <v>24</v>
      </c>
      <c r="O1740" s="4">
        <v>1</v>
      </c>
      <c r="P1740" s="4">
        <v>4</v>
      </c>
      <c r="Q1740" s="4">
        <v>1</v>
      </c>
    </row>
    <row r="1741" spans="1:17" x14ac:dyDescent="0.25">
      <c r="A1741" s="3" t="s">
        <v>18</v>
      </c>
      <c r="B1741" s="3">
        <v>13871864</v>
      </c>
      <c r="C1741" s="3" t="s">
        <v>1784</v>
      </c>
      <c r="D1741" s="3" t="s">
        <v>20</v>
      </c>
      <c r="E1741" s="3" t="s">
        <v>21</v>
      </c>
      <c r="F1741" s="3" t="s">
        <v>21</v>
      </c>
      <c r="G1741" s="3" t="s">
        <v>36</v>
      </c>
      <c r="H1741" s="3" t="s">
        <v>37</v>
      </c>
      <c r="I1741" s="3" t="s">
        <v>24</v>
      </c>
      <c r="J1741" s="3" t="s">
        <v>24</v>
      </c>
      <c r="K1741" s="3" t="s">
        <v>25</v>
      </c>
      <c r="L1741" s="4">
        <v>0</v>
      </c>
      <c r="M1741" s="3" t="s">
        <v>26</v>
      </c>
      <c r="N1741" s="3" t="s">
        <v>24</v>
      </c>
      <c r="O1741" s="4">
        <v>1</v>
      </c>
      <c r="P1741" s="4">
        <v>3</v>
      </c>
      <c r="Q1741" s="4">
        <v>1</v>
      </c>
    </row>
    <row r="1742" spans="1:17" x14ac:dyDescent="0.25">
      <c r="A1742" s="3" t="s">
        <v>18</v>
      </c>
      <c r="B1742" s="3">
        <v>13877261</v>
      </c>
      <c r="C1742" s="3" t="s">
        <v>1785</v>
      </c>
      <c r="D1742" s="3" t="s">
        <v>20</v>
      </c>
      <c r="E1742" s="3" t="s">
        <v>21</v>
      </c>
      <c r="F1742" s="3" t="s">
        <v>21</v>
      </c>
      <c r="G1742" s="3" t="s">
        <v>487</v>
      </c>
      <c r="H1742" s="3" t="s">
        <v>488</v>
      </c>
      <c r="I1742" s="3" t="s">
        <v>24</v>
      </c>
      <c r="J1742" s="3" t="s">
        <v>24</v>
      </c>
      <c r="K1742" s="3" t="s">
        <v>25</v>
      </c>
      <c r="L1742" s="4">
        <v>0</v>
      </c>
      <c r="M1742" s="3" t="s">
        <v>26</v>
      </c>
      <c r="N1742" s="3" t="s">
        <v>24</v>
      </c>
      <c r="O1742" s="4">
        <v>1</v>
      </c>
      <c r="P1742" s="4">
        <v>2</v>
      </c>
      <c r="Q1742" s="4">
        <v>1</v>
      </c>
    </row>
    <row r="1743" spans="1:17" x14ac:dyDescent="0.25">
      <c r="A1743" s="3" t="s">
        <v>18</v>
      </c>
      <c r="B1743" s="3">
        <v>13881631</v>
      </c>
      <c r="C1743" s="3" t="s">
        <v>1786</v>
      </c>
      <c r="D1743" s="3" t="s">
        <v>1360</v>
      </c>
      <c r="E1743" s="3" t="s">
        <v>21</v>
      </c>
      <c r="F1743" s="3" t="s">
        <v>21</v>
      </c>
      <c r="G1743" s="3" t="s">
        <v>233</v>
      </c>
      <c r="H1743" s="3" t="s">
        <v>234</v>
      </c>
      <c r="I1743" s="3" t="s">
        <v>24</v>
      </c>
      <c r="J1743" s="3" t="s">
        <v>24</v>
      </c>
      <c r="K1743" s="3" t="s">
        <v>25</v>
      </c>
      <c r="L1743" s="4">
        <v>0</v>
      </c>
      <c r="M1743" s="3" t="s">
        <v>26</v>
      </c>
      <c r="N1743" s="3" t="s">
        <v>24</v>
      </c>
      <c r="O1743" s="4">
        <v>1</v>
      </c>
      <c r="P1743" s="4">
        <v>2</v>
      </c>
      <c r="Q1743" s="4">
        <v>1</v>
      </c>
    </row>
    <row r="1744" spans="1:17" x14ac:dyDescent="0.25">
      <c r="A1744" s="3" t="s">
        <v>18</v>
      </c>
      <c r="B1744" s="3">
        <v>13882065</v>
      </c>
      <c r="C1744" s="3" t="s">
        <v>1787</v>
      </c>
      <c r="D1744" s="3" t="s">
        <v>1360</v>
      </c>
      <c r="E1744" s="3" t="s">
        <v>21</v>
      </c>
      <c r="F1744" s="3" t="s">
        <v>21</v>
      </c>
      <c r="G1744" s="3" t="s">
        <v>36</v>
      </c>
      <c r="H1744" s="3" t="s">
        <v>37</v>
      </c>
      <c r="I1744" s="3" t="s">
        <v>24</v>
      </c>
      <c r="J1744" s="3" t="s">
        <v>24</v>
      </c>
      <c r="K1744" s="3" t="s">
        <v>25</v>
      </c>
      <c r="L1744" s="4">
        <v>0</v>
      </c>
      <c r="M1744" s="3" t="s">
        <v>26</v>
      </c>
      <c r="N1744" s="3" t="s">
        <v>24</v>
      </c>
      <c r="O1744" s="4">
        <v>1</v>
      </c>
      <c r="P1744" s="4">
        <v>10</v>
      </c>
      <c r="Q1744" s="4">
        <v>1</v>
      </c>
    </row>
    <row r="1745" spans="1:17" x14ac:dyDescent="0.25">
      <c r="A1745" s="3" t="s">
        <v>18</v>
      </c>
      <c r="B1745" s="3">
        <v>13885339</v>
      </c>
      <c r="C1745" s="3" t="s">
        <v>1788</v>
      </c>
      <c r="D1745" s="3" t="s">
        <v>1360</v>
      </c>
      <c r="E1745" s="3" t="s">
        <v>21</v>
      </c>
      <c r="F1745" s="3" t="s">
        <v>21</v>
      </c>
      <c r="G1745" s="3" t="s">
        <v>487</v>
      </c>
      <c r="H1745" s="3" t="s">
        <v>488</v>
      </c>
      <c r="I1745" s="3" t="s">
        <v>24</v>
      </c>
      <c r="J1745" s="3" t="s">
        <v>24</v>
      </c>
      <c r="K1745" s="3" t="s">
        <v>25</v>
      </c>
      <c r="L1745" s="4">
        <v>0</v>
      </c>
      <c r="M1745" s="3" t="s">
        <v>26</v>
      </c>
      <c r="N1745" s="3" t="s">
        <v>24</v>
      </c>
      <c r="O1745" s="4">
        <v>1</v>
      </c>
      <c r="P1745" s="4">
        <v>2</v>
      </c>
      <c r="Q1745" s="4">
        <v>1</v>
      </c>
    </row>
    <row r="1746" spans="1:17" x14ac:dyDescent="0.25">
      <c r="A1746" s="3" t="s">
        <v>18</v>
      </c>
      <c r="B1746" s="3">
        <v>13885659</v>
      </c>
      <c r="C1746" s="3" t="s">
        <v>1789</v>
      </c>
      <c r="D1746" s="3" t="s">
        <v>20</v>
      </c>
      <c r="E1746" s="3" t="s">
        <v>21</v>
      </c>
      <c r="F1746" s="3" t="s">
        <v>21</v>
      </c>
      <c r="G1746" s="3" t="s">
        <v>233</v>
      </c>
      <c r="H1746" s="3" t="s">
        <v>234</v>
      </c>
      <c r="I1746" s="3" t="s">
        <v>24</v>
      </c>
      <c r="J1746" s="3" t="s">
        <v>24</v>
      </c>
      <c r="K1746" s="3" t="s">
        <v>25</v>
      </c>
      <c r="L1746" s="4">
        <v>0</v>
      </c>
      <c r="M1746" s="3" t="s">
        <v>26</v>
      </c>
      <c r="N1746" s="3" t="s">
        <v>24</v>
      </c>
      <c r="O1746" s="4">
        <v>1</v>
      </c>
      <c r="P1746" s="4">
        <v>2</v>
      </c>
      <c r="Q1746" s="4">
        <v>1</v>
      </c>
    </row>
    <row r="1747" spans="1:17" x14ac:dyDescent="0.25">
      <c r="A1747" s="3" t="s">
        <v>18</v>
      </c>
      <c r="B1747" s="3">
        <v>13887580</v>
      </c>
      <c r="C1747" s="3" t="s">
        <v>1790</v>
      </c>
      <c r="D1747" s="3" t="s">
        <v>20</v>
      </c>
      <c r="E1747" s="3" t="s">
        <v>21</v>
      </c>
      <c r="F1747" s="3" t="s">
        <v>21</v>
      </c>
      <c r="G1747" s="3" t="s">
        <v>30</v>
      </c>
      <c r="H1747" s="3" t="s">
        <v>31</v>
      </c>
      <c r="I1747" s="3" t="s">
        <v>24</v>
      </c>
      <c r="J1747" s="3" t="s">
        <v>24</v>
      </c>
      <c r="K1747" s="3" t="s">
        <v>25</v>
      </c>
      <c r="L1747" s="4">
        <v>0</v>
      </c>
      <c r="M1747" s="3" t="s">
        <v>26</v>
      </c>
      <c r="N1747" s="3" t="s">
        <v>24</v>
      </c>
      <c r="O1747" s="4">
        <v>1</v>
      </c>
      <c r="P1747" s="4">
        <v>9</v>
      </c>
      <c r="Q1747" s="4">
        <v>1</v>
      </c>
    </row>
    <row r="1748" spans="1:17" x14ac:dyDescent="0.25">
      <c r="A1748" s="3" t="s">
        <v>18</v>
      </c>
      <c r="B1748" s="3">
        <v>13887581</v>
      </c>
      <c r="C1748" s="3" t="s">
        <v>1791</v>
      </c>
      <c r="D1748" s="3" t="s">
        <v>20</v>
      </c>
      <c r="E1748" s="3" t="s">
        <v>21</v>
      </c>
      <c r="F1748" s="3" t="s">
        <v>21</v>
      </c>
      <c r="G1748" s="3" t="s">
        <v>30</v>
      </c>
      <c r="H1748" s="3" t="s">
        <v>31</v>
      </c>
      <c r="I1748" s="3" t="s">
        <v>24</v>
      </c>
      <c r="J1748" s="3" t="s">
        <v>24</v>
      </c>
      <c r="K1748" s="3" t="s">
        <v>25</v>
      </c>
      <c r="L1748" s="4">
        <v>0</v>
      </c>
      <c r="M1748" s="3" t="s">
        <v>26</v>
      </c>
      <c r="N1748" s="3" t="s">
        <v>24</v>
      </c>
      <c r="O1748" s="4">
        <v>1</v>
      </c>
      <c r="P1748" s="4">
        <v>4</v>
      </c>
      <c r="Q1748" s="4">
        <v>1</v>
      </c>
    </row>
    <row r="1749" spans="1:17" x14ac:dyDescent="0.25">
      <c r="A1749" s="3" t="s">
        <v>18</v>
      </c>
      <c r="B1749" s="3">
        <v>13887582</v>
      </c>
      <c r="C1749" s="3" t="s">
        <v>1792</v>
      </c>
      <c r="D1749" s="3" t="s">
        <v>20</v>
      </c>
      <c r="E1749" s="3" t="s">
        <v>21</v>
      </c>
      <c r="F1749" s="3" t="s">
        <v>21</v>
      </c>
      <c r="G1749" s="3" t="s">
        <v>30</v>
      </c>
      <c r="H1749" s="3" t="s">
        <v>31</v>
      </c>
      <c r="I1749" s="3" t="s">
        <v>24</v>
      </c>
      <c r="J1749" s="3" t="s">
        <v>24</v>
      </c>
      <c r="K1749" s="3" t="s">
        <v>25</v>
      </c>
      <c r="L1749" s="4">
        <v>0</v>
      </c>
      <c r="M1749" s="3" t="s">
        <v>26</v>
      </c>
      <c r="N1749" s="3" t="s">
        <v>24</v>
      </c>
      <c r="O1749" s="4">
        <v>1</v>
      </c>
      <c r="P1749" s="4">
        <v>4</v>
      </c>
      <c r="Q1749" s="4">
        <v>1</v>
      </c>
    </row>
    <row r="1750" spans="1:17" x14ac:dyDescent="0.25">
      <c r="A1750" s="3" t="s">
        <v>18</v>
      </c>
      <c r="B1750" s="3">
        <v>13887583</v>
      </c>
      <c r="C1750" s="3" t="s">
        <v>1793</v>
      </c>
      <c r="D1750" s="3" t="s">
        <v>20</v>
      </c>
      <c r="E1750" s="3" t="s">
        <v>21</v>
      </c>
      <c r="F1750" s="3" t="s">
        <v>21</v>
      </c>
      <c r="G1750" s="3" t="s">
        <v>30</v>
      </c>
      <c r="H1750" s="3" t="s">
        <v>31</v>
      </c>
      <c r="I1750" s="3" t="s">
        <v>24</v>
      </c>
      <c r="J1750" s="3" t="s">
        <v>24</v>
      </c>
      <c r="K1750" s="3" t="s">
        <v>25</v>
      </c>
      <c r="L1750" s="4">
        <v>0</v>
      </c>
      <c r="M1750" s="3" t="s">
        <v>26</v>
      </c>
      <c r="N1750" s="3" t="s">
        <v>24</v>
      </c>
      <c r="O1750" s="4">
        <v>1</v>
      </c>
      <c r="P1750" s="4">
        <v>1</v>
      </c>
      <c r="Q1750" s="4">
        <v>1</v>
      </c>
    </row>
    <row r="1751" spans="1:17" x14ac:dyDescent="0.25">
      <c r="A1751" s="3" t="s">
        <v>18</v>
      </c>
      <c r="B1751" s="3">
        <v>13887584</v>
      </c>
      <c r="C1751" s="3" t="s">
        <v>1794</v>
      </c>
      <c r="D1751" s="3" t="s">
        <v>20</v>
      </c>
      <c r="E1751" s="3" t="s">
        <v>21</v>
      </c>
      <c r="F1751" s="3" t="s">
        <v>21</v>
      </c>
      <c r="G1751" s="3" t="s">
        <v>42</v>
      </c>
      <c r="H1751" s="3" t="s">
        <v>43</v>
      </c>
      <c r="I1751" s="3" t="s">
        <v>24</v>
      </c>
      <c r="J1751" s="3" t="s">
        <v>24</v>
      </c>
      <c r="K1751" s="3" t="s">
        <v>25</v>
      </c>
      <c r="L1751" s="4">
        <v>0</v>
      </c>
      <c r="M1751" s="3" t="s">
        <v>26</v>
      </c>
      <c r="N1751" s="3" t="s">
        <v>24</v>
      </c>
      <c r="O1751" s="4">
        <v>1</v>
      </c>
      <c r="P1751" s="4">
        <v>8</v>
      </c>
      <c r="Q1751" s="4">
        <v>1</v>
      </c>
    </row>
    <row r="1752" spans="1:17" x14ac:dyDescent="0.25">
      <c r="A1752" s="3" t="s">
        <v>18</v>
      </c>
      <c r="B1752" s="3">
        <v>13887585</v>
      </c>
      <c r="C1752" s="3" t="s">
        <v>1795</v>
      </c>
      <c r="D1752" s="3" t="s">
        <v>20</v>
      </c>
      <c r="E1752" s="3" t="s">
        <v>21</v>
      </c>
      <c r="F1752" s="3" t="s">
        <v>21</v>
      </c>
      <c r="G1752" s="3" t="s">
        <v>42</v>
      </c>
      <c r="H1752" s="3" t="s">
        <v>43</v>
      </c>
      <c r="I1752" s="3" t="s">
        <v>24</v>
      </c>
      <c r="J1752" s="3" t="s">
        <v>24</v>
      </c>
      <c r="K1752" s="3" t="s">
        <v>25</v>
      </c>
      <c r="L1752" s="4">
        <v>0</v>
      </c>
      <c r="M1752" s="3" t="s">
        <v>26</v>
      </c>
      <c r="N1752" s="3" t="s">
        <v>24</v>
      </c>
      <c r="O1752" s="4">
        <v>1</v>
      </c>
      <c r="P1752" s="4">
        <v>8</v>
      </c>
      <c r="Q1752" s="4">
        <v>1</v>
      </c>
    </row>
    <row r="1753" spans="1:17" x14ac:dyDescent="0.25">
      <c r="A1753" s="3" t="s">
        <v>18</v>
      </c>
      <c r="B1753" s="3">
        <v>13887586</v>
      </c>
      <c r="C1753" s="3" t="s">
        <v>1796</v>
      </c>
      <c r="D1753" s="3" t="s">
        <v>20</v>
      </c>
      <c r="E1753" s="3" t="s">
        <v>21</v>
      </c>
      <c r="F1753" s="3" t="s">
        <v>21</v>
      </c>
      <c r="G1753" s="3" t="s">
        <v>42</v>
      </c>
      <c r="H1753" s="3" t="s">
        <v>43</v>
      </c>
      <c r="I1753" s="3" t="s">
        <v>24</v>
      </c>
      <c r="J1753" s="3" t="s">
        <v>24</v>
      </c>
      <c r="K1753" s="3" t="s">
        <v>25</v>
      </c>
      <c r="L1753" s="4">
        <v>0</v>
      </c>
      <c r="M1753" s="3" t="s">
        <v>26</v>
      </c>
      <c r="N1753" s="3" t="s">
        <v>24</v>
      </c>
      <c r="O1753" s="4">
        <v>1</v>
      </c>
      <c r="P1753" s="4">
        <v>8</v>
      </c>
      <c r="Q1753" s="4">
        <v>1</v>
      </c>
    </row>
    <row r="1754" spans="1:17" x14ac:dyDescent="0.25">
      <c r="A1754" s="3" t="s">
        <v>18</v>
      </c>
      <c r="B1754" s="3">
        <v>13887587</v>
      </c>
      <c r="C1754" s="3" t="s">
        <v>1797</v>
      </c>
      <c r="D1754" s="3" t="s">
        <v>20</v>
      </c>
      <c r="E1754" s="3" t="s">
        <v>21</v>
      </c>
      <c r="F1754" s="3" t="s">
        <v>21</v>
      </c>
      <c r="G1754" s="3" t="s">
        <v>22</v>
      </c>
      <c r="H1754" s="3" t="s">
        <v>23</v>
      </c>
      <c r="I1754" s="3" t="s">
        <v>24</v>
      </c>
      <c r="J1754" s="3" t="s">
        <v>24</v>
      </c>
      <c r="K1754" s="3" t="s">
        <v>25</v>
      </c>
      <c r="L1754" s="4">
        <v>0</v>
      </c>
      <c r="M1754" s="3" t="s">
        <v>26</v>
      </c>
      <c r="N1754" s="3" t="s">
        <v>24</v>
      </c>
      <c r="O1754" s="4">
        <v>1</v>
      </c>
      <c r="P1754" s="4">
        <v>4</v>
      </c>
      <c r="Q1754" s="4">
        <v>1</v>
      </c>
    </row>
    <row r="1755" spans="1:17" x14ac:dyDescent="0.25">
      <c r="A1755" s="3" t="s">
        <v>18</v>
      </c>
      <c r="B1755" s="3">
        <v>13887658</v>
      </c>
      <c r="C1755" s="3" t="s">
        <v>1798</v>
      </c>
      <c r="D1755" s="3" t="s">
        <v>20</v>
      </c>
      <c r="E1755" s="3" t="s">
        <v>21</v>
      </c>
      <c r="F1755" s="3" t="s">
        <v>21</v>
      </c>
      <c r="G1755" s="3" t="s">
        <v>22</v>
      </c>
      <c r="H1755" s="3" t="s">
        <v>23</v>
      </c>
      <c r="I1755" s="3" t="s">
        <v>24</v>
      </c>
      <c r="J1755" s="3" t="s">
        <v>24</v>
      </c>
      <c r="K1755" s="3" t="s">
        <v>25</v>
      </c>
      <c r="L1755" s="4">
        <v>0</v>
      </c>
      <c r="M1755" s="3" t="s">
        <v>26</v>
      </c>
      <c r="N1755" s="3" t="s">
        <v>24</v>
      </c>
      <c r="O1755" s="4">
        <v>1</v>
      </c>
      <c r="P1755" s="4">
        <v>4</v>
      </c>
      <c r="Q1755" s="4">
        <v>1</v>
      </c>
    </row>
    <row r="1756" spans="1:17" x14ac:dyDescent="0.25">
      <c r="A1756" s="3" t="s">
        <v>18</v>
      </c>
      <c r="B1756" s="3">
        <v>13887659</v>
      </c>
      <c r="C1756" s="3" t="s">
        <v>1799</v>
      </c>
      <c r="D1756" s="3" t="s">
        <v>20</v>
      </c>
      <c r="E1756" s="3" t="s">
        <v>21</v>
      </c>
      <c r="F1756" s="3" t="s">
        <v>21</v>
      </c>
      <c r="G1756" s="3" t="s">
        <v>22</v>
      </c>
      <c r="H1756" s="3" t="s">
        <v>23</v>
      </c>
      <c r="I1756" s="3" t="s">
        <v>24</v>
      </c>
      <c r="J1756" s="3" t="s">
        <v>24</v>
      </c>
      <c r="K1756" s="3" t="s">
        <v>25</v>
      </c>
      <c r="L1756" s="4">
        <v>0</v>
      </c>
      <c r="M1756" s="3" t="s">
        <v>26</v>
      </c>
      <c r="N1756" s="3" t="s">
        <v>24</v>
      </c>
      <c r="O1756" s="4">
        <v>1</v>
      </c>
      <c r="P1756" s="4">
        <v>4</v>
      </c>
      <c r="Q1756" s="4">
        <v>1</v>
      </c>
    </row>
    <row r="1757" spans="1:17" x14ac:dyDescent="0.25">
      <c r="A1757" s="3" t="s">
        <v>18</v>
      </c>
      <c r="B1757" s="3">
        <v>13887662</v>
      </c>
      <c r="C1757" s="3" t="s">
        <v>1800</v>
      </c>
      <c r="D1757" s="3" t="s">
        <v>20</v>
      </c>
      <c r="E1757" s="3" t="s">
        <v>21</v>
      </c>
      <c r="F1757" s="3" t="s">
        <v>21</v>
      </c>
      <c r="G1757" s="3" t="s">
        <v>36</v>
      </c>
      <c r="H1757" s="3" t="s">
        <v>37</v>
      </c>
      <c r="I1757" s="3" t="s">
        <v>24</v>
      </c>
      <c r="J1757" s="3" t="s">
        <v>24</v>
      </c>
      <c r="K1757" s="3" t="s">
        <v>25</v>
      </c>
      <c r="L1757" s="4">
        <v>0</v>
      </c>
      <c r="M1757" s="3" t="s">
        <v>26</v>
      </c>
      <c r="N1757" s="3" t="s">
        <v>24</v>
      </c>
      <c r="O1757" s="4">
        <v>1</v>
      </c>
      <c r="P1757" s="4">
        <v>10</v>
      </c>
      <c r="Q1757" s="4">
        <v>1</v>
      </c>
    </row>
    <row r="1758" spans="1:17" x14ac:dyDescent="0.25">
      <c r="A1758" s="3" t="s">
        <v>18</v>
      </c>
      <c r="B1758" s="3">
        <v>13887663</v>
      </c>
      <c r="C1758" s="3" t="s">
        <v>1801</v>
      </c>
      <c r="D1758" s="3" t="s">
        <v>20</v>
      </c>
      <c r="E1758" s="3" t="s">
        <v>21</v>
      </c>
      <c r="F1758" s="3" t="s">
        <v>21</v>
      </c>
      <c r="G1758" s="3" t="s">
        <v>36</v>
      </c>
      <c r="H1758" s="3" t="s">
        <v>37</v>
      </c>
      <c r="I1758" s="3" t="s">
        <v>24</v>
      </c>
      <c r="J1758" s="3" t="s">
        <v>24</v>
      </c>
      <c r="K1758" s="3" t="s">
        <v>25</v>
      </c>
      <c r="L1758" s="4">
        <v>0</v>
      </c>
      <c r="M1758" s="3" t="s">
        <v>26</v>
      </c>
      <c r="N1758" s="3" t="s">
        <v>24</v>
      </c>
      <c r="O1758" s="4">
        <v>1</v>
      </c>
      <c r="P1758" s="4">
        <v>10</v>
      </c>
      <c r="Q1758" s="4">
        <v>1</v>
      </c>
    </row>
    <row r="1759" spans="1:17" x14ac:dyDescent="0.25">
      <c r="A1759" s="3" t="s">
        <v>18</v>
      </c>
      <c r="B1759" s="3">
        <v>13887664</v>
      </c>
      <c r="C1759" s="3" t="s">
        <v>1802</v>
      </c>
      <c r="D1759" s="3" t="s">
        <v>20</v>
      </c>
      <c r="E1759" s="3" t="s">
        <v>21</v>
      </c>
      <c r="F1759" s="3" t="s">
        <v>21</v>
      </c>
      <c r="G1759" s="3" t="s">
        <v>233</v>
      </c>
      <c r="H1759" s="3" t="s">
        <v>234</v>
      </c>
      <c r="I1759" s="3" t="s">
        <v>24</v>
      </c>
      <c r="J1759" s="3" t="s">
        <v>24</v>
      </c>
      <c r="K1759" s="3" t="s">
        <v>25</v>
      </c>
      <c r="L1759" s="4">
        <v>0</v>
      </c>
      <c r="M1759" s="3" t="s">
        <v>26</v>
      </c>
      <c r="N1759" s="3" t="s">
        <v>24</v>
      </c>
      <c r="O1759" s="4">
        <v>1</v>
      </c>
      <c r="P1759" s="4">
        <v>3</v>
      </c>
      <c r="Q1759" s="4">
        <v>1</v>
      </c>
    </row>
    <row r="1760" spans="1:17" x14ac:dyDescent="0.25">
      <c r="A1760" s="3" t="s">
        <v>18</v>
      </c>
      <c r="B1760" s="3">
        <v>13887666</v>
      </c>
      <c r="C1760" s="3" t="s">
        <v>1803</v>
      </c>
      <c r="D1760" s="3" t="s">
        <v>20</v>
      </c>
      <c r="E1760" s="3" t="s">
        <v>21</v>
      </c>
      <c r="F1760" s="3" t="s">
        <v>21</v>
      </c>
      <c r="G1760" s="3" t="s">
        <v>233</v>
      </c>
      <c r="H1760" s="3" t="s">
        <v>234</v>
      </c>
      <c r="I1760" s="3" t="s">
        <v>24</v>
      </c>
      <c r="J1760" s="3" t="s">
        <v>24</v>
      </c>
      <c r="K1760" s="3" t="s">
        <v>25</v>
      </c>
      <c r="L1760" s="4">
        <v>0</v>
      </c>
      <c r="M1760" s="3" t="s">
        <v>26</v>
      </c>
      <c r="N1760" s="3" t="s">
        <v>24</v>
      </c>
      <c r="O1760" s="4">
        <v>1</v>
      </c>
      <c r="P1760" s="4">
        <v>2</v>
      </c>
      <c r="Q1760" s="4">
        <v>1</v>
      </c>
    </row>
    <row r="1761" spans="1:17" x14ac:dyDescent="0.25">
      <c r="A1761" s="3" t="s">
        <v>18</v>
      </c>
      <c r="B1761" s="3">
        <v>13887719</v>
      </c>
      <c r="C1761" s="3" t="s">
        <v>1804</v>
      </c>
      <c r="D1761" s="3" t="s">
        <v>20</v>
      </c>
      <c r="E1761" s="3" t="s">
        <v>21</v>
      </c>
      <c r="F1761" s="3" t="s">
        <v>21</v>
      </c>
      <c r="G1761" s="3" t="s">
        <v>233</v>
      </c>
      <c r="H1761" s="3" t="s">
        <v>234</v>
      </c>
      <c r="I1761" s="3" t="s">
        <v>24</v>
      </c>
      <c r="J1761" s="3" t="s">
        <v>24</v>
      </c>
      <c r="K1761" s="3" t="s">
        <v>25</v>
      </c>
      <c r="L1761" s="4">
        <v>0</v>
      </c>
      <c r="M1761" s="3" t="s">
        <v>26</v>
      </c>
      <c r="N1761" s="3" t="s">
        <v>24</v>
      </c>
      <c r="O1761" s="4">
        <v>1</v>
      </c>
      <c r="P1761" s="4">
        <v>3</v>
      </c>
      <c r="Q1761" s="4">
        <v>1</v>
      </c>
    </row>
    <row r="1762" spans="1:17" x14ac:dyDescent="0.25">
      <c r="A1762" s="3" t="s">
        <v>18</v>
      </c>
      <c r="B1762" s="3">
        <v>13887722</v>
      </c>
      <c r="C1762" s="3" t="s">
        <v>1805</v>
      </c>
      <c r="D1762" s="3" t="s">
        <v>20</v>
      </c>
      <c r="E1762" s="3" t="s">
        <v>21</v>
      </c>
      <c r="F1762" s="3" t="s">
        <v>21</v>
      </c>
      <c r="G1762" s="3" t="s">
        <v>233</v>
      </c>
      <c r="H1762" s="3" t="s">
        <v>234</v>
      </c>
      <c r="I1762" s="3" t="s">
        <v>24</v>
      </c>
      <c r="J1762" s="3" t="s">
        <v>24</v>
      </c>
      <c r="K1762" s="3" t="s">
        <v>25</v>
      </c>
      <c r="L1762" s="4">
        <v>0</v>
      </c>
      <c r="M1762" s="3" t="s">
        <v>26</v>
      </c>
      <c r="N1762" s="3" t="s">
        <v>24</v>
      </c>
      <c r="O1762" s="4">
        <v>1</v>
      </c>
      <c r="P1762" s="4">
        <v>3</v>
      </c>
      <c r="Q1762" s="4">
        <v>1</v>
      </c>
    </row>
    <row r="1763" spans="1:17" x14ac:dyDescent="0.25">
      <c r="A1763" s="3" t="s">
        <v>18</v>
      </c>
      <c r="B1763" s="3">
        <v>13888843</v>
      </c>
      <c r="C1763" s="3" t="s">
        <v>1806</v>
      </c>
      <c r="D1763" s="3" t="s">
        <v>20</v>
      </c>
      <c r="E1763" s="3" t="s">
        <v>21</v>
      </c>
      <c r="F1763" s="3" t="s">
        <v>21</v>
      </c>
      <c r="G1763" s="3" t="s">
        <v>36</v>
      </c>
      <c r="H1763" s="3" t="s">
        <v>37</v>
      </c>
      <c r="I1763" s="3" t="s">
        <v>24</v>
      </c>
      <c r="J1763" s="3" t="s">
        <v>24</v>
      </c>
      <c r="K1763" s="3" t="s">
        <v>25</v>
      </c>
      <c r="L1763" s="4">
        <v>0</v>
      </c>
      <c r="M1763" s="3" t="s">
        <v>26</v>
      </c>
      <c r="N1763" s="3" t="s">
        <v>24</v>
      </c>
      <c r="O1763" s="4">
        <v>1</v>
      </c>
      <c r="P1763" s="4">
        <v>4</v>
      </c>
      <c r="Q1763" s="4">
        <v>1</v>
      </c>
    </row>
    <row r="1764" spans="1:17" x14ac:dyDescent="0.25">
      <c r="A1764" s="3" t="s">
        <v>18</v>
      </c>
      <c r="B1764" s="3">
        <v>13889298</v>
      </c>
      <c r="C1764" s="3" t="s">
        <v>1807</v>
      </c>
      <c r="D1764" s="3" t="s">
        <v>1360</v>
      </c>
      <c r="E1764" s="3" t="s">
        <v>21</v>
      </c>
      <c r="F1764" s="3" t="s">
        <v>21</v>
      </c>
      <c r="G1764" s="3" t="s">
        <v>36</v>
      </c>
      <c r="H1764" s="3" t="s">
        <v>37</v>
      </c>
      <c r="I1764" s="3" t="s">
        <v>24</v>
      </c>
      <c r="J1764" s="3" t="s">
        <v>24</v>
      </c>
      <c r="K1764" s="3" t="s">
        <v>25</v>
      </c>
      <c r="L1764" s="4">
        <v>0</v>
      </c>
      <c r="M1764" s="3" t="s">
        <v>26</v>
      </c>
      <c r="N1764" s="3" t="s">
        <v>24</v>
      </c>
      <c r="O1764" s="4">
        <v>1</v>
      </c>
      <c r="P1764" s="4">
        <v>10</v>
      </c>
      <c r="Q1764" s="4">
        <v>1</v>
      </c>
    </row>
    <row r="1765" spans="1:17" x14ac:dyDescent="0.25">
      <c r="A1765" s="3" t="s">
        <v>18</v>
      </c>
      <c r="B1765" s="3">
        <v>13893189</v>
      </c>
      <c r="C1765" s="3" t="s">
        <v>1808</v>
      </c>
      <c r="D1765" s="3" t="s">
        <v>20</v>
      </c>
      <c r="E1765" s="3" t="s">
        <v>21</v>
      </c>
      <c r="F1765" s="3" t="s">
        <v>21</v>
      </c>
      <c r="G1765" s="3" t="s">
        <v>233</v>
      </c>
      <c r="H1765" s="3" t="s">
        <v>234</v>
      </c>
      <c r="I1765" s="3" t="s">
        <v>24</v>
      </c>
      <c r="J1765" s="3" t="s">
        <v>24</v>
      </c>
      <c r="K1765" s="3" t="s">
        <v>25</v>
      </c>
      <c r="L1765" s="4">
        <v>0</v>
      </c>
      <c r="M1765" s="3" t="s">
        <v>26</v>
      </c>
      <c r="N1765" s="3" t="s">
        <v>24</v>
      </c>
      <c r="O1765" s="4">
        <v>1</v>
      </c>
      <c r="P1765" s="4">
        <v>3</v>
      </c>
      <c r="Q1765" s="4">
        <v>1</v>
      </c>
    </row>
    <row r="1766" spans="1:17" x14ac:dyDescent="0.25">
      <c r="A1766" s="3" t="s">
        <v>18</v>
      </c>
      <c r="B1766" s="3">
        <v>13893191</v>
      </c>
      <c r="C1766" s="3" t="s">
        <v>1809</v>
      </c>
      <c r="D1766" s="3" t="s">
        <v>20</v>
      </c>
      <c r="E1766" s="3" t="s">
        <v>21</v>
      </c>
      <c r="F1766" s="3" t="s">
        <v>21</v>
      </c>
      <c r="G1766" s="3" t="s">
        <v>233</v>
      </c>
      <c r="H1766" s="3" t="s">
        <v>234</v>
      </c>
      <c r="I1766" s="3" t="s">
        <v>24</v>
      </c>
      <c r="J1766" s="3" t="s">
        <v>24</v>
      </c>
      <c r="K1766" s="3" t="s">
        <v>25</v>
      </c>
      <c r="L1766" s="4">
        <v>0</v>
      </c>
      <c r="M1766" s="3" t="s">
        <v>26</v>
      </c>
      <c r="N1766" s="3" t="s">
        <v>24</v>
      </c>
      <c r="O1766" s="4">
        <v>1</v>
      </c>
      <c r="P1766" s="4">
        <v>3</v>
      </c>
      <c r="Q1766" s="4">
        <v>1</v>
      </c>
    </row>
    <row r="1767" spans="1:17" x14ac:dyDescent="0.25">
      <c r="A1767" s="3" t="s">
        <v>18</v>
      </c>
      <c r="B1767" s="3">
        <v>13893192</v>
      </c>
      <c r="C1767" s="3" t="s">
        <v>1810</v>
      </c>
      <c r="D1767" s="3" t="s">
        <v>20</v>
      </c>
      <c r="E1767" s="3" t="s">
        <v>21</v>
      </c>
      <c r="F1767" s="3" t="s">
        <v>21</v>
      </c>
      <c r="G1767" s="3" t="s">
        <v>233</v>
      </c>
      <c r="H1767" s="3" t="s">
        <v>234</v>
      </c>
      <c r="I1767" s="3" t="s">
        <v>24</v>
      </c>
      <c r="J1767" s="3" t="s">
        <v>24</v>
      </c>
      <c r="K1767" s="3" t="s">
        <v>25</v>
      </c>
      <c r="L1767" s="4">
        <v>0</v>
      </c>
      <c r="M1767" s="3" t="s">
        <v>26</v>
      </c>
      <c r="N1767" s="3" t="s">
        <v>24</v>
      </c>
      <c r="O1767" s="4">
        <v>1</v>
      </c>
      <c r="P1767" s="4">
        <v>3</v>
      </c>
      <c r="Q1767" s="4">
        <v>1</v>
      </c>
    </row>
    <row r="1768" spans="1:17" x14ac:dyDescent="0.25">
      <c r="A1768" s="3" t="s">
        <v>18</v>
      </c>
      <c r="B1768" s="3">
        <v>13893194</v>
      </c>
      <c r="C1768" s="3" t="s">
        <v>1811</v>
      </c>
      <c r="D1768" s="3" t="s">
        <v>20</v>
      </c>
      <c r="E1768" s="3" t="s">
        <v>21</v>
      </c>
      <c r="F1768" s="3" t="s">
        <v>21</v>
      </c>
      <c r="G1768" s="3" t="s">
        <v>233</v>
      </c>
      <c r="H1768" s="3" t="s">
        <v>234</v>
      </c>
      <c r="I1768" s="3" t="s">
        <v>24</v>
      </c>
      <c r="J1768" s="3" t="s">
        <v>24</v>
      </c>
      <c r="K1768" s="3" t="s">
        <v>25</v>
      </c>
      <c r="L1768" s="4">
        <v>0</v>
      </c>
      <c r="M1768" s="3" t="s">
        <v>26</v>
      </c>
      <c r="N1768" s="3" t="s">
        <v>24</v>
      </c>
      <c r="O1768" s="4">
        <v>1</v>
      </c>
      <c r="P1768" s="4">
        <v>3</v>
      </c>
      <c r="Q1768" s="4">
        <v>1</v>
      </c>
    </row>
    <row r="1769" spans="1:17" x14ac:dyDescent="0.25">
      <c r="A1769" s="3" t="s">
        <v>18</v>
      </c>
      <c r="B1769" s="3">
        <v>13907181</v>
      </c>
      <c r="C1769" s="3" t="s">
        <v>1812</v>
      </c>
      <c r="D1769" s="3" t="s">
        <v>20</v>
      </c>
      <c r="E1769" s="3" t="s">
        <v>21</v>
      </c>
      <c r="F1769" s="3" t="s">
        <v>21</v>
      </c>
      <c r="G1769" s="3" t="s">
        <v>30</v>
      </c>
      <c r="H1769" s="3" t="s">
        <v>31</v>
      </c>
      <c r="I1769" s="3" t="s">
        <v>24</v>
      </c>
      <c r="J1769" s="3" t="s">
        <v>24</v>
      </c>
      <c r="K1769" s="3" t="s">
        <v>25</v>
      </c>
      <c r="L1769" s="4">
        <v>0</v>
      </c>
      <c r="M1769" s="3" t="s">
        <v>26</v>
      </c>
      <c r="N1769" s="3" t="s">
        <v>24</v>
      </c>
      <c r="O1769" s="4">
        <v>1</v>
      </c>
      <c r="P1769" s="4">
        <v>8</v>
      </c>
      <c r="Q1769" s="4">
        <v>1</v>
      </c>
    </row>
    <row r="1770" spans="1:17" x14ac:dyDescent="0.25">
      <c r="A1770" s="3" t="s">
        <v>18</v>
      </c>
      <c r="B1770" s="3">
        <v>13907184</v>
      </c>
      <c r="C1770" s="3" t="s">
        <v>1813</v>
      </c>
      <c r="D1770" s="3" t="s">
        <v>20</v>
      </c>
      <c r="E1770" s="3" t="s">
        <v>21</v>
      </c>
      <c r="F1770" s="3" t="s">
        <v>21</v>
      </c>
      <c r="G1770" s="3" t="s">
        <v>30</v>
      </c>
      <c r="H1770" s="3" t="s">
        <v>31</v>
      </c>
      <c r="I1770" s="3" t="s">
        <v>24</v>
      </c>
      <c r="J1770" s="3" t="s">
        <v>24</v>
      </c>
      <c r="K1770" s="3" t="s">
        <v>25</v>
      </c>
      <c r="L1770" s="4">
        <v>0</v>
      </c>
      <c r="M1770" s="3" t="s">
        <v>26</v>
      </c>
      <c r="N1770" s="3" t="s">
        <v>24</v>
      </c>
      <c r="O1770" s="4">
        <v>1</v>
      </c>
      <c r="P1770" s="4">
        <v>4</v>
      </c>
      <c r="Q1770" s="4">
        <v>1</v>
      </c>
    </row>
    <row r="1771" spans="1:17" x14ac:dyDescent="0.25">
      <c r="A1771" s="3" t="s">
        <v>18</v>
      </c>
      <c r="B1771" s="3">
        <v>13907187</v>
      </c>
      <c r="C1771" s="3" t="s">
        <v>1814</v>
      </c>
      <c r="D1771" s="3" t="s">
        <v>20</v>
      </c>
      <c r="E1771" s="3" t="s">
        <v>21</v>
      </c>
      <c r="F1771" s="3" t="s">
        <v>21</v>
      </c>
      <c r="G1771" s="3" t="s">
        <v>30</v>
      </c>
      <c r="H1771" s="3" t="s">
        <v>31</v>
      </c>
      <c r="I1771" s="3" t="s">
        <v>24</v>
      </c>
      <c r="J1771" s="3" t="s">
        <v>24</v>
      </c>
      <c r="K1771" s="3" t="s">
        <v>25</v>
      </c>
      <c r="L1771" s="4">
        <v>0</v>
      </c>
      <c r="M1771" s="3" t="s">
        <v>26</v>
      </c>
      <c r="N1771" s="3" t="s">
        <v>24</v>
      </c>
      <c r="O1771" s="4">
        <v>1</v>
      </c>
      <c r="P1771" s="4">
        <v>4</v>
      </c>
      <c r="Q1771" s="4">
        <v>1</v>
      </c>
    </row>
    <row r="1772" spans="1:17" x14ac:dyDescent="0.25">
      <c r="A1772" s="3" t="s">
        <v>18</v>
      </c>
      <c r="B1772" s="3">
        <v>13907273</v>
      </c>
      <c r="C1772" s="3" t="s">
        <v>1815</v>
      </c>
      <c r="D1772" s="3" t="s">
        <v>20</v>
      </c>
      <c r="E1772" s="3" t="s">
        <v>21</v>
      </c>
      <c r="F1772" s="3" t="s">
        <v>21</v>
      </c>
      <c r="G1772" s="3" t="s">
        <v>42</v>
      </c>
      <c r="H1772" s="3" t="s">
        <v>43</v>
      </c>
      <c r="I1772" s="3" t="s">
        <v>24</v>
      </c>
      <c r="J1772" s="3" t="s">
        <v>24</v>
      </c>
      <c r="K1772" s="3" t="s">
        <v>25</v>
      </c>
      <c r="L1772" s="4">
        <v>0</v>
      </c>
      <c r="M1772" s="3" t="s">
        <v>26</v>
      </c>
      <c r="N1772" s="3" t="s">
        <v>24</v>
      </c>
      <c r="O1772" s="4">
        <v>1</v>
      </c>
      <c r="P1772" s="4">
        <v>8</v>
      </c>
      <c r="Q1772" s="4">
        <v>1</v>
      </c>
    </row>
    <row r="1773" spans="1:17" x14ac:dyDescent="0.25">
      <c r="A1773" s="3" t="s">
        <v>18</v>
      </c>
      <c r="B1773" s="3">
        <v>13907276</v>
      </c>
      <c r="C1773" s="3" t="s">
        <v>1816</v>
      </c>
      <c r="D1773" s="3" t="s">
        <v>20</v>
      </c>
      <c r="E1773" s="3" t="s">
        <v>21</v>
      </c>
      <c r="F1773" s="3" t="s">
        <v>21</v>
      </c>
      <c r="G1773" s="3" t="s">
        <v>22</v>
      </c>
      <c r="H1773" s="3" t="s">
        <v>23</v>
      </c>
      <c r="I1773" s="3" t="s">
        <v>24</v>
      </c>
      <c r="J1773" s="3" t="s">
        <v>24</v>
      </c>
      <c r="K1773" s="3" t="s">
        <v>25</v>
      </c>
      <c r="L1773" s="4">
        <v>0</v>
      </c>
      <c r="M1773" s="3" t="s">
        <v>26</v>
      </c>
      <c r="N1773" s="3" t="s">
        <v>24</v>
      </c>
      <c r="O1773" s="4">
        <v>1</v>
      </c>
      <c r="P1773" s="4">
        <v>4</v>
      </c>
      <c r="Q1773" s="4">
        <v>1</v>
      </c>
    </row>
    <row r="1774" spans="1:17" x14ac:dyDescent="0.25">
      <c r="A1774" s="3" t="s">
        <v>18</v>
      </c>
      <c r="B1774" s="3">
        <v>13907308</v>
      </c>
      <c r="C1774" s="3" t="s">
        <v>1817</v>
      </c>
      <c r="D1774" s="3" t="s">
        <v>20</v>
      </c>
      <c r="E1774" s="3" t="s">
        <v>21</v>
      </c>
      <c r="F1774" s="3" t="s">
        <v>21</v>
      </c>
      <c r="G1774" s="3" t="s">
        <v>22</v>
      </c>
      <c r="H1774" s="3" t="s">
        <v>23</v>
      </c>
      <c r="I1774" s="3" t="s">
        <v>24</v>
      </c>
      <c r="J1774" s="3" t="s">
        <v>24</v>
      </c>
      <c r="K1774" s="3" t="s">
        <v>25</v>
      </c>
      <c r="L1774" s="4">
        <v>0</v>
      </c>
      <c r="M1774" s="3" t="s">
        <v>26</v>
      </c>
      <c r="N1774" s="3" t="s">
        <v>24</v>
      </c>
      <c r="O1774" s="4">
        <v>1</v>
      </c>
      <c r="P1774" s="4">
        <v>4</v>
      </c>
      <c r="Q1774" s="4">
        <v>1</v>
      </c>
    </row>
    <row r="1775" spans="1:17" x14ac:dyDescent="0.25">
      <c r="A1775" s="3" t="s">
        <v>18</v>
      </c>
      <c r="B1775" s="3">
        <v>13907311</v>
      </c>
      <c r="C1775" s="3" t="s">
        <v>1818</v>
      </c>
      <c r="D1775" s="3" t="s">
        <v>20</v>
      </c>
      <c r="E1775" s="3" t="s">
        <v>21</v>
      </c>
      <c r="F1775" s="3" t="s">
        <v>21</v>
      </c>
      <c r="G1775" s="3" t="s">
        <v>22</v>
      </c>
      <c r="H1775" s="3" t="s">
        <v>23</v>
      </c>
      <c r="I1775" s="3" t="s">
        <v>24</v>
      </c>
      <c r="J1775" s="3" t="s">
        <v>24</v>
      </c>
      <c r="K1775" s="3" t="s">
        <v>25</v>
      </c>
      <c r="L1775" s="4">
        <v>0</v>
      </c>
      <c r="M1775" s="3" t="s">
        <v>26</v>
      </c>
      <c r="N1775" s="3" t="s">
        <v>24</v>
      </c>
      <c r="O1775" s="4">
        <v>1</v>
      </c>
      <c r="P1775" s="4">
        <v>4</v>
      </c>
      <c r="Q1775" s="4">
        <v>1</v>
      </c>
    </row>
    <row r="1776" spans="1:17" x14ac:dyDescent="0.25">
      <c r="A1776" s="3" t="s">
        <v>18</v>
      </c>
      <c r="B1776" s="3">
        <v>13913350</v>
      </c>
      <c r="C1776" s="3" t="s">
        <v>1819</v>
      </c>
      <c r="D1776" s="3" t="s">
        <v>20</v>
      </c>
      <c r="E1776" s="3" t="s">
        <v>21</v>
      </c>
      <c r="F1776" s="3" t="s">
        <v>21</v>
      </c>
      <c r="G1776" s="3" t="s">
        <v>36</v>
      </c>
      <c r="H1776" s="3" t="s">
        <v>37</v>
      </c>
      <c r="I1776" s="3" t="s">
        <v>24</v>
      </c>
      <c r="J1776" s="3" t="s">
        <v>24</v>
      </c>
      <c r="K1776" s="3" t="s">
        <v>25</v>
      </c>
      <c r="L1776" s="4">
        <v>0</v>
      </c>
      <c r="M1776" s="3" t="s">
        <v>26</v>
      </c>
      <c r="N1776" s="3" t="s">
        <v>24</v>
      </c>
      <c r="O1776" s="4">
        <v>1</v>
      </c>
      <c r="P1776" s="4">
        <v>4</v>
      </c>
      <c r="Q1776" s="4">
        <v>1</v>
      </c>
    </row>
    <row r="1777" spans="1:17" x14ac:dyDescent="0.25">
      <c r="A1777" s="3" t="s">
        <v>18</v>
      </c>
      <c r="B1777" s="3">
        <v>13913532</v>
      </c>
      <c r="C1777" s="3" t="s">
        <v>1820</v>
      </c>
      <c r="D1777" s="3" t="s">
        <v>20</v>
      </c>
      <c r="E1777" s="3" t="s">
        <v>21</v>
      </c>
      <c r="F1777" s="3" t="s">
        <v>21</v>
      </c>
      <c r="G1777" s="3" t="s">
        <v>36</v>
      </c>
      <c r="H1777" s="3" t="s">
        <v>37</v>
      </c>
      <c r="I1777" s="3" t="s">
        <v>24</v>
      </c>
      <c r="J1777" s="3" t="s">
        <v>24</v>
      </c>
      <c r="K1777" s="3" t="s">
        <v>25</v>
      </c>
      <c r="L1777" s="4">
        <v>0</v>
      </c>
      <c r="M1777" s="3" t="s">
        <v>26</v>
      </c>
      <c r="N1777" s="3" t="s">
        <v>24</v>
      </c>
      <c r="O1777" s="4">
        <v>1</v>
      </c>
      <c r="P1777" s="4">
        <v>2</v>
      </c>
      <c r="Q1777" s="4">
        <v>1</v>
      </c>
    </row>
    <row r="1778" spans="1:17" x14ac:dyDescent="0.25">
      <c r="A1778" s="3" t="s">
        <v>18</v>
      </c>
      <c r="B1778" s="3">
        <v>13913535</v>
      </c>
      <c r="C1778" s="3" t="s">
        <v>1821</v>
      </c>
      <c r="D1778" s="3" t="s">
        <v>20</v>
      </c>
      <c r="E1778" s="3" t="s">
        <v>21</v>
      </c>
      <c r="F1778" s="3" t="s">
        <v>21</v>
      </c>
      <c r="G1778" s="3" t="s">
        <v>362</v>
      </c>
      <c r="H1778" s="3" t="s">
        <v>363</v>
      </c>
      <c r="I1778" s="3" t="s">
        <v>24</v>
      </c>
      <c r="J1778" s="3" t="s">
        <v>24</v>
      </c>
      <c r="K1778" s="3" t="s">
        <v>25</v>
      </c>
      <c r="L1778" s="4">
        <v>0</v>
      </c>
      <c r="M1778" s="3" t="s">
        <v>26</v>
      </c>
      <c r="N1778" s="3" t="s">
        <v>24</v>
      </c>
      <c r="O1778" s="4">
        <v>1</v>
      </c>
      <c r="P1778" s="4">
        <v>1</v>
      </c>
      <c r="Q1778" s="4">
        <v>1</v>
      </c>
    </row>
    <row r="1779" spans="1:17" x14ac:dyDescent="0.25">
      <c r="A1779" s="3" t="s">
        <v>18</v>
      </c>
      <c r="B1779" s="3">
        <v>13913588</v>
      </c>
      <c r="C1779" s="3" t="s">
        <v>1822</v>
      </c>
      <c r="D1779" s="3" t="s">
        <v>20</v>
      </c>
      <c r="E1779" s="3" t="s">
        <v>21</v>
      </c>
      <c r="F1779" s="3" t="s">
        <v>21</v>
      </c>
      <c r="G1779" s="3" t="s">
        <v>362</v>
      </c>
      <c r="H1779" s="3" t="s">
        <v>363</v>
      </c>
      <c r="I1779" s="3" t="s">
        <v>24</v>
      </c>
      <c r="J1779" s="3" t="s">
        <v>24</v>
      </c>
      <c r="K1779" s="3" t="s">
        <v>25</v>
      </c>
      <c r="L1779" s="4">
        <v>0</v>
      </c>
      <c r="M1779" s="3" t="s">
        <v>26</v>
      </c>
      <c r="N1779" s="3" t="s">
        <v>24</v>
      </c>
      <c r="O1779" s="4">
        <v>1</v>
      </c>
      <c r="P1779" s="4">
        <v>1</v>
      </c>
      <c r="Q1779" s="4">
        <v>1</v>
      </c>
    </row>
    <row r="1780" spans="1:17" x14ac:dyDescent="0.25">
      <c r="A1780" s="3" t="s">
        <v>18</v>
      </c>
      <c r="B1780" s="3">
        <v>13913660</v>
      </c>
      <c r="C1780" s="3" t="s">
        <v>1823</v>
      </c>
      <c r="D1780" s="3" t="s">
        <v>20</v>
      </c>
      <c r="E1780" s="3" t="s">
        <v>21</v>
      </c>
      <c r="F1780" s="3" t="s">
        <v>21</v>
      </c>
      <c r="G1780" s="3" t="s">
        <v>36</v>
      </c>
      <c r="H1780" s="3" t="s">
        <v>37</v>
      </c>
      <c r="I1780" s="3" t="s">
        <v>24</v>
      </c>
      <c r="J1780" s="3" t="s">
        <v>24</v>
      </c>
      <c r="K1780" s="3" t="s">
        <v>25</v>
      </c>
      <c r="L1780" s="4">
        <v>0</v>
      </c>
      <c r="M1780" s="3" t="s">
        <v>26</v>
      </c>
      <c r="N1780" s="3" t="s">
        <v>24</v>
      </c>
      <c r="O1780" s="4">
        <v>1</v>
      </c>
      <c r="P1780" s="4">
        <v>6</v>
      </c>
      <c r="Q1780" s="4">
        <v>1</v>
      </c>
    </row>
    <row r="1781" spans="1:17" x14ac:dyDescent="0.25">
      <c r="A1781" s="3" t="s">
        <v>18</v>
      </c>
      <c r="B1781" s="3">
        <v>13913662</v>
      </c>
      <c r="C1781" s="3" t="s">
        <v>1824</v>
      </c>
      <c r="D1781" s="3" t="s">
        <v>20</v>
      </c>
      <c r="E1781" s="3" t="s">
        <v>21</v>
      </c>
      <c r="F1781" s="3" t="s">
        <v>21</v>
      </c>
      <c r="G1781" s="3" t="s">
        <v>36</v>
      </c>
      <c r="H1781" s="3" t="s">
        <v>37</v>
      </c>
      <c r="I1781" s="3" t="s">
        <v>24</v>
      </c>
      <c r="J1781" s="3" t="s">
        <v>24</v>
      </c>
      <c r="K1781" s="3" t="s">
        <v>25</v>
      </c>
      <c r="L1781" s="4">
        <v>0</v>
      </c>
      <c r="M1781" s="3" t="s">
        <v>26</v>
      </c>
      <c r="N1781" s="3" t="s">
        <v>24</v>
      </c>
      <c r="O1781" s="4">
        <v>1</v>
      </c>
      <c r="P1781" s="4">
        <v>9</v>
      </c>
      <c r="Q1781" s="4">
        <v>1</v>
      </c>
    </row>
    <row r="1782" spans="1:17" x14ac:dyDescent="0.25">
      <c r="A1782" s="3" t="s">
        <v>18</v>
      </c>
      <c r="B1782" s="3">
        <v>13913663</v>
      </c>
      <c r="C1782" s="3" t="s">
        <v>1825</v>
      </c>
      <c r="D1782" s="3" t="s">
        <v>20</v>
      </c>
      <c r="E1782" s="3" t="s">
        <v>21</v>
      </c>
      <c r="F1782" s="3" t="s">
        <v>21</v>
      </c>
      <c r="G1782" s="3" t="s">
        <v>36</v>
      </c>
      <c r="H1782" s="3" t="s">
        <v>37</v>
      </c>
      <c r="I1782" s="3" t="s">
        <v>24</v>
      </c>
      <c r="J1782" s="3" t="s">
        <v>24</v>
      </c>
      <c r="K1782" s="3" t="s">
        <v>25</v>
      </c>
      <c r="L1782" s="4">
        <v>0</v>
      </c>
      <c r="M1782" s="3" t="s">
        <v>26</v>
      </c>
      <c r="N1782" s="3" t="s">
        <v>24</v>
      </c>
      <c r="O1782" s="4">
        <v>1</v>
      </c>
      <c r="P1782" s="4">
        <v>4</v>
      </c>
      <c r="Q1782" s="4">
        <v>1</v>
      </c>
    </row>
    <row r="1783" spans="1:17" x14ac:dyDescent="0.25">
      <c r="A1783" s="3" t="s">
        <v>18</v>
      </c>
      <c r="B1783" s="3">
        <v>13913665</v>
      </c>
      <c r="C1783" s="3" t="s">
        <v>1826</v>
      </c>
      <c r="D1783" s="3" t="s">
        <v>20</v>
      </c>
      <c r="E1783" s="3" t="s">
        <v>21</v>
      </c>
      <c r="F1783" s="3" t="s">
        <v>21</v>
      </c>
      <c r="G1783" s="3" t="s">
        <v>36</v>
      </c>
      <c r="H1783" s="3" t="s">
        <v>37</v>
      </c>
      <c r="I1783" s="3" t="s">
        <v>24</v>
      </c>
      <c r="J1783" s="3" t="s">
        <v>24</v>
      </c>
      <c r="K1783" s="3" t="s">
        <v>25</v>
      </c>
      <c r="L1783" s="4">
        <v>0</v>
      </c>
      <c r="M1783" s="3" t="s">
        <v>26</v>
      </c>
      <c r="N1783" s="3" t="s">
        <v>24</v>
      </c>
      <c r="O1783" s="4">
        <v>1</v>
      </c>
      <c r="P1783" s="4">
        <v>1</v>
      </c>
      <c r="Q1783" s="4">
        <v>1</v>
      </c>
    </row>
    <row r="1784" spans="1:17" x14ac:dyDescent="0.25">
      <c r="A1784" s="3" t="s">
        <v>18</v>
      </c>
      <c r="B1784" s="3">
        <v>13913667</v>
      </c>
      <c r="C1784" s="3" t="s">
        <v>1827</v>
      </c>
      <c r="D1784" s="3" t="s">
        <v>20</v>
      </c>
      <c r="E1784" s="3" t="s">
        <v>21</v>
      </c>
      <c r="F1784" s="3" t="s">
        <v>21</v>
      </c>
      <c r="G1784" s="3" t="s">
        <v>36</v>
      </c>
      <c r="H1784" s="3" t="s">
        <v>37</v>
      </c>
      <c r="I1784" s="3" t="s">
        <v>24</v>
      </c>
      <c r="J1784" s="3" t="s">
        <v>24</v>
      </c>
      <c r="K1784" s="3" t="s">
        <v>25</v>
      </c>
      <c r="L1784" s="4">
        <v>0</v>
      </c>
      <c r="M1784" s="3" t="s">
        <v>26</v>
      </c>
      <c r="N1784" s="3" t="s">
        <v>24</v>
      </c>
      <c r="O1784" s="4">
        <v>1</v>
      </c>
      <c r="P1784" s="4">
        <v>4</v>
      </c>
      <c r="Q1784" s="4">
        <v>1</v>
      </c>
    </row>
    <row r="1785" spans="1:17" x14ac:dyDescent="0.25">
      <c r="A1785" s="3" t="s">
        <v>18</v>
      </c>
      <c r="B1785" s="3">
        <v>13913740</v>
      </c>
      <c r="C1785" s="3" t="s">
        <v>1828</v>
      </c>
      <c r="D1785" s="3" t="s">
        <v>20</v>
      </c>
      <c r="E1785" s="3" t="s">
        <v>21</v>
      </c>
      <c r="F1785" s="3" t="s">
        <v>21</v>
      </c>
      <c r="G1785" s="3" t="s">
        <v>36</v>
      </c>
      <c r="H1785" s="3" t="s">
        <v>37</v>
      </c>
      <c r="I1785" s="3" t="s">
        <v>24</v>
      </c>
      <c r="J1785" s="3" t="s">
        <v>24</v>
      </c>
      <c r="K1785" s="3" t="s">
        <v>25</v>
      </c>
      <c r="L1785" s="4">
        <v>0</v>
      </c>
      <c r="M1785" s="3" t="s">
        <v>26</v>
      </c>
      <c r="N1785" s="3" t="s">
        <v>24</v>
      </c>
      <c r="O1785" s="4">
        <v>1</v>
      </c>
      <c r="P1785" s="4">
        <v>2</v>
      </c>
      <c r="Q1785" s="4">
        <v>1</v>
      </c>
    </row>
    <row r="1786" spans="1:17" x14ac:dyDescent="0.25">
      <c r="A1786" s="3" t="s">
        <v>18</v>
      </c>
      <c r="B1786" s="3">
        <v>13913741</v>
      </c>
      <c r="C1786" s="3" t="s">
        <v>1829</v>
      </c>
      <c r="D1786" s="3" t="s">
        <v>20</v>
      </c>
      <c r="E1786" s="3" t="s">
        <v>21</v>
      </c>
      <c r="F1786" s="3" t="s">
        <v>21</v>
      </c>
      <c r="G1786" s="3" t="s">
        <v>36</v>
      </c>
      <c r="H1786" s="3" t="s">
        <v>37</v>
      </c>
      <c r="I1786" s="3" t="s">
        <v>24</v>
      </c>
      <c r="J1786" s="3" t="s">
        <v>24</v>
      </c>
      <c r="K1786" s="3" t="s">
        <v>25</v>
      </c>
      <c r="L1786" s="4">
        <v>0</v>
      </c>
      <c r="M1786" s="3" t="s">
        <v>26</v>
      </c>
      <c r="N1786" s="3" t="s">
        <v>24</v>
      </c>
      <c r="O1786" s="4">
        <v>1</v>
      </c>
      <c r="P1786" s="4">
        <v>2</v>
      </c>
      <c r="Q1786" s="4">
        <v>1</v>
      </c>
    </row>
    <row r="1787" spans="1:17" x14ac:dyDescent="0.25">
      <c r="A1787" s="3" t="s">
        <v>18</v>
      </c>
      <c r="B1787" s="3">
        <v>13913742</v>
      </c>
      <c r="C1787" s="3" t="s">
        <v>1830</v>
      </c>
      <c r="D1787" s="3" t="s">
        <v>20</v>
      </c>
      <c r="E1787" s="3" t="s">
        <v>21</v>
      </c>
      <c r="F1787" s="3" t="s">
        <v>21</v>
      </c>
      <c r="G1787" s="3" t="s">
        <v>362</v>
      </c>
      <c r="H1787" s="3" t="s">
        <v>363</v>
      </c>
      <c r="I1787" s="3" t="s">
        <v>24</v>
      </c>
      <c r="J1787" s="3" t="s">
        <v>24</v>
      </c>
      <c r="K1787" s="3" t="s">
        <v>25</v>
      </c>
      <c r="L1787" s="4">
        <v>0</v>
      </c>
      <c r="M1787" s="3" t="s">
        <v>26</v>
      </c>
      <c r="N1787" s="3" t="s">
        <v>24</v>
      </c>
      <c r="O1787" s="4">
        <v>1</v>
      </c>
      <c r="P1787" s="4">
        <v>1</v>
      </c>
      <c r="Q1787" s="4">
        <v>1</v>
      </c>
    </row>
    <row r="1788" spans="1:17" x14ac:dyDescent="0.25">
      <c r="A1788" s="3" t="s">
        <v>18</v>
      </c>
      <c r="B1788" s="3">
        <v>13917721</v>
      </c>
      <c r="C1788" s="3" t="s">
        <v>1831</v>
      </c>
      <c r="D1788" s="3" t="s">
        <v>20</v>
      </c>
      <c r="E1788" s="3" t="s">
        <v>21</v>
      </c>
      <c r="F1788" s="3" t="s">
        <v>21</v>
      </c>
      <c r="G1788" s="3" t="s">
        <v>410</v>
      </c>
      <c r="H1788" s="3" t="s">
        <v>411</v>
      </c>
      <c r="I1788" s="3" t="s">
        <v>24</v>
      </c>
      <c r="J1788" s="3" t="s">
        <v>24</v>
      </c>
      <c r="K1788" s="3" t="s">
        <v>25</v>
      </c>
      <c r="L1788" s="4">
        <v>0</v>
      </c>
      <c r="M1788" s="3" t="s">
        <v>26</v>
      </c>
      <c r="N1788" s="3" t="s">
        <v>24</v>
      </c>
      <c r="O1788" s="4">
        <v>1</v>
      </c>
      <c r="P1788" s="4">
        <v>4</v>
      </c>
      <c r="Q1788" s="4">
        <v>1</v>
      </c>
    </row>
    <row r="1789" spans="1:17" x14ac:dyDescent="0.25">
      <c r="A1789" s="3" t="s">
        <v>18</v>
      </c>
      <c r="B1789" s="3">
        <v>13918743</v>
      </c>
      <c r="C1789" s="3" t="s">
        <v>1832</v>
      </c>
      <c r="D1789" s="3" t="s">
        <v>20</v>
      </c>
      <c r="E1789" s="3" t="s">
        <v>21</v>
      </c>
      <c r="F1789" s="3" t="s">
        <v>21</v>
      </c>
      <c r="G1789" s="3" t="s">
        <v>410</v>
      </c>
      <c r="H1789" s="3" t="s">
        <v>411</v>
      </c>
      <c r="I1789" s="3" t="s">
        <v>24</v>
      </c>
      <c r="J1789" s="3" t="s">
        <v>24</v>
      </c>
      <c r="K1789" s="3" t="s">
        <v>25</v>
      </c>
      <c r="L1789" s="4">
        <v>0</v>
      </c>
      <c r="M1789" s="3" t="s">
        <v>26</v>
      </c>
      <c r="N1789" s="3" t="s">
        <v>24</v>
      </c>
      <c r="O1789" s="4">
        <v>1</v>
      </c>
      <c r="P1789" s="4">
        <v>4</v>
      </c>
      <c r="Q1789" s="4">
        <v>1</v>
      </c>
    </row>
    <row r="1790" spans="1:17" x14ac:dyDescent="0.25">
      <c r="A1790" s="3" t="s">
        <v>18</v>
      </c>
      <c r="B1790" s="3">
        <v>13918745</v>
      </c>
      <c r="C1790" s="3" t="s">
        <v>1833</v>
      </c>
      <c r="D1790" s="3" t="s">
        <v>20</v>
      </c>
      <c r="E1790" s="3" t="s">
        <v>21</v>
      </c>
      <c r="F1790" s="3" t="s">
        <v>21</v>
      </c>
      <c r="G1790" s="3" t="s">
        <v>410</v>
      </c>
      <c r="H1790" s="3" t="s">
        <v>411</v>
      </c>
      <c r="I1790" s="3" t="s">
        <v>24</v>
      </c>
      <c r="J1790" s="3" t="s">
        <v>24</v>
      </c>
      <c r="K1790" s="3" t="s">
        <v>25</v>
      </c>
      <c r="L1790" s="4">
        <v>0</v>
      </c>
      <c r="M1790" s="3" t="s">
        <v>26</v>
      </c>
      <c r="N1790" s="3" t="s">
        <v>24</v>
      </c>
      <c r="O1790" s="4">
        <v>1</v>
      </c>
      <c r="P1790" s="4">
        <v>4</v>
      </c>
      <c r="Q1790" s="4">
        <v>1</v>
      </c>
    </row>
    <row r="1791" spans="1:17" x14ac:dyDescent="0.25">
      <c r="A1791" s="3" t="s">
        <v>18</v>
      </c>
      <c r="B1791" s="3">
        <v>13920013</v>
      </c>
      <c r="C1791" s="3" t="s">
        <v>1834</v>
      </c>
      <c r="D1791" s="3" t="s">
        <v>20</v>
      </c>
      <c r="E1791" s="3" t="s">
        <v>21</v>
      </c>
      <c r="F1791" s="3" t="s">
        <v>21</v>
      </c>
      <c r="G1791" s="3" t="s">
        <v>410</v>
      </c>
      <c r="H1791" s="3" t="s">
        <v>411</v>
      </c>
      <c r="I1791" s="3" t="s">
        <v>24</v>
      </c>
      <c r="J1791" s="3" t="s">
        <v>24</v>
      </c>
      <c r="K1791" s="3" t="s">
        <v>25</v>
      </c>
      <c r="L1791" s="4">
        <v>0</v>
      </c>
      <c r="M1791" s="3" t="s">
        <v>26</v>
      </c>
      <c r="N1791" s="3" t="s">
        <v>24</v>
      </c>
      <c r="O1791" s="4">
        <v>1</v>
      </c>
      <c r="P1791" s="4">
        <v>4</v>
      </c>
      <c r="Q1791" s="4">
        <v>1</v>
      </c>
    </row>
    <row r="1792" spans="1:17" x14ac:dyDescent="0.25">
      <c r="A1792" s="3" t="s">
        <v>18</v>
      </c>
      <c r="B1792" s="3">
        <v>13920014</v>
      </c>
      <c r="C1792" s="3" t="s">
        <v>1835</v>
      </c>
      <c r="D1792" s="3" t="s">
        <v>20</v>
      </c>
      <c r="E1792" s="3" t="s">
        <v>21</v>
      </c>
      <c r="F1792" s="3" t="s">
        <v>21</v>
      </c>
      <c r="G1792" s="3" t="s">
        <v>410</v>
      </c>
      <c r="H1792" s="3" t="s">
        <v>411</v>
      </c>
      <c r="I1792" s="3" t="s">
        <v>24</v>
      </c>
      <c r="J1792" s="3" t="s">
        <v>24</v>
      </c>
      <c r="K1792" s="3" t="s">
        <v>25</v>
      </c>
      <c r="L1792" s="4">
        <v>0</v>
      </c>
      <c r="M1792" s="3" t="s">
        <v>26</v>
      </c>
      <c r="N1792" s="3" t="s">
        <v>24</v>
      </c>
      <c r="O1792" s="4">
        <v>1</v>
      </c>
      <c r="P1792" s="4">
        <v>4</v>
      </c>
      <c r="Q1792" s="4">
        <v>1</v>
      </c>
    </row>
    <row r="1793" spans="1:17" x14ac:dyDescent="0.25">
      <c r="A1793" s="3" t="s">
        <v>18</v>
      </c>
      <c r="B1793" s="3">
        <v>13920017</v>
      </c>
      <c r="C1793" s="3" t="s">
        <v>1836</v>
      </c>
      <c r="D1793" s="3" t="s">
        <v>20</v>
      </c>
      <c r="E1793" s="3" t="s">
        <v>21</v>
      </c>
      <c r="F1793" s="3" t="s">
        <v>21</v>
      </c>
      <c r="G1793" s="3" t="s">
        <v>410</v>
      </c>
      <c r="H1793" s="3" t="s">
        <v>411</v>
      </c>
      <c r="I1793" s="3" t="s">
        <v>24</v>
      </c>
      <c r="J1793" s="3" t="s">
        <v>24</v>
      </c>
      <c r="K1793" s="3" t="s">
        <v>25</v>
      </c>
      <c r="L1793" s="4">
        <v>0</v>
      </c>
      <c r="M1793" s="3" t="s">
        <v>26</v>
      </c>
      <c r="N1793" s="3" t="s">
        <v>24</v>
      </c>
      <c r="O1793" s="4">
        <v>1</v>
      </c>
      <c r="P1793" s="4">
        <v>4</v>
      </c>
      <c r="Q1793" s="4">
        <v>1</v>
      </c>
    </row>
    <row r="1794" spans="1:17" x14ac:dyDescent="0.25">
      <c r="A1794" s="3" t="s">
        <v>18</v>
      </c>
      <c r="B1794" s="3">
        <v>13920060</v>
      </c>
      <c r="C1794" s="3" t="s">
        <v>1837</v>
      </c>
      <c r="D1794" s="3" t="s">
        <v>20</v>
      </c>
      <c r="E1794" s="3" t="s">
        <v>21</v>
      </c>
      <c r="F1794" s="3" t="s">
        <v>21</v>
      </c>
      <c r="G1794" s="3" t="s">
        <v>410</v>
      </c>
      <c r="H1794" s="3" t="s">
        <v>411</v>
      </c>
      <c r="I1794" s="3" t="s">
        <v>24</v>
      </c>
      <c r="J1794" s="3" t="s">
        <v>24</v>
      </c>
      <c r="K1794" s="3" t="s">
        <v>25</v>
      </c>
      <c r="L1794" s="4">
        <v>0</v>
      </c>
      <c r="M1794" s="3" t="s">
        <v>26</v>
      </c>
      <c r="N1794" s="3" t="s">
        <v>24</v>
      </c>
      <c r="O1794" s="4">
        <v>1</v>
      </c>
      <c r="P1794" s="4">
        <v>4</v>
      </c>
      <c r="Q1794" s="4">
        <v>1</v>
      </c>
    </row>
    <row r="1795" spans="1:17" x14ac:dyDescent="0.25">
      <c r="A1795" s="3" t="s">
        <v>18</v>
      </c>
      <c r="B1795" s="3">
        <v>13920061</v>
      </c>
      <c r="C1795" s="3" t="s">
        <v>1838</v>
      </c>
      <c r="D1795" s="3" t="s">
        <v>20</v>
      </c>
      <c r="E1795" s="3" t="s">
        <v>21</v>
      </c>
      <c r="F1795" s="3" t="s">
        <v>21</v>
      </c>
      <c r="G1795" s="3" t="s">
        <v>410</v>
      </c>
      <c r="H1795" s="3" t="s">
        <v>411</v>
      </c>
      <c r="I1795" s="3" t="s">
        <v>24</v>
      </c>
      <c r="J1795" s="3" t="s">
        <v>24</v>
      </c>
      <c r="K1795" s="3" t="s">
        <v>25</v>
      </c>
      <c r="L1795" s="4">
        <v>0</v>
      </c>
      <c r="M1795" s="3" t="s">
        <v>26</v>
      </c>
      <c r="N1795" s="3" t="s">
        <v>24</v>
      </c>
      <c r="O1795" s="4">
        <v>1</v>
      </c>
      <c r="P1795" s="4">
        <v>4</v>
      </c>
      <c r="Q1795" s="4">
        <v>1</v>
      </c>
    </row>
    <row r="1796" spans="1:17" x14ac:dyDescent="0.25">
      <c r="A1796" s="3" t="s">
        <v>18</v>
      </c>
      <c r="B1796" s="3">
        <v>13920062</v>
      </c>
      <c r="C1796" s="3" t="s">
        <v>1839</v>
      </c>
      <c r="D1796" s="3" t="s">
        <v>20</v>
      </c>
      <c r="E1796" s="3" t="s">
        <v>21</v>
      </c>
      <c r="F1796" s="3" t="s">
        <v>21</v>
      </c>
      <c r="G1796" s="3" t="s">
        <v>410</v>
      </c>
      <c r="H1796" s="3" t="s">
        <v>411</v>
      </c>
      <c r="I1796" s="3" t="s">
        <v>24</v>
      </c>
      <c r="J1796" s="3" t="s">
        <v>24</v>
      </c>
      <c r="K1796" s="3" t="s">
        <v>25</v>
      </c>
      <c r="L1796" s="4">
        <v>0</v>
      </c>
      <c r="M1796" s="3" t="s">
        <v>26</v>
      </c>
      <c r="N1796" s="3" t="s">
        <v>24</v>
      </c>
      <c r="O1796" s="4">
        <v>1</v>
      </c>
      <c r="P1796" s="4">
        <v>4</v>
      </c>
      <c r="Q1796" s="4">
        <v>1</v>
      </c>
    </row>
    <row r="1797" spans="1:17" x14ac:dyDescent="0.25">
      <c r="A1797" s="3" t="s">
        <v>18</v>
      </c>
      <c r="B1797" s="3">
        <v>13920517</v>
      </c>
      <c r="C1797" s="3" t="s">
        <v>1840</v>
      </c>
      <c r="D1797" s="3" t="s">
        <v>20</v>
      </c>
      <c r="E1797" s="3" t="s">
        <v>21</v>
      </c>
      <c r="F1797" s="3" t="s">
        <v>21</v>
      </c>
      <c r="G1797" s="3" t="s">
        <v>410</v>
      </c>
      <c r="H1797" s="3" t="s">
        <v>411</v>
      </c>
      <c r="I1797" s="3" t="s">
        <v>24</v>
      </c>
      <c r="J1797" s="3" t="s">
        <v>24</v>
      </c>
      <c r="K1797" s="3" t="s">
        <v>25</v>
      </c>
      <c r="L1797" s="4">
        <v>0</v>
      </c>
      <c r="M1797" s="3" t="s">
        <v>26</v>
      </c>
      <c r="N1797" s="3" t="s">
        <v>24</v>
      </c>
      <c r="O1797" s="4">
        <v>1</v>
      </c>
      <c r="P1797" s="4">
        <v>4</v>
      </c>
      <c r="Q1797" s="4">
        <v>1</v>
      </c>
    </row>
    <row r="1798" spans="1:17" x14ac:dyDescent="0.25">
      <c r="A1798" s="3" t="s">
        <v>18</v>
      </c>
      <c r="B1798" s="3">
        <v>13920621</v>
      </c>
      <c r="C1798" s="3" t="s">
        <v>1841</v>
      </c>
      <c r="D1798" s="3" t="s">
        <v>20</v>
      </c>
      <c r="E1798" s="3" t="s">
        <v>21</v>
      </c>
      <c r="F1798" s="3" t="s">
        <v>21</v>
      </c>
      <c r="G1798" s="3" t="s">
        <v>410</v>
      </c>
      <c r="H1798" s="3" t="s">
        <v>411</v>
      </c>
      <c r="I1798" s="3" t="s">
        <v>24</v>
      </c>
      <c r="J1798" s="3" t="s">
        <v>24</v>
      </c>
      <c r="K1798" s="3" t="s">
        <v>25</v>
      </c>
      <c r="L1798" s="4">
        <v>0</v>
      </c>
      <c r="M1798" s="3" t="s">
        <v>26</v>
      </c>
      <c r="N1798" s="3" t="s">
        <v>24</v>
      </c>
      <c r="O1798" s="4">
        <v>1</v>
      </c>
      <c r="P1798" s="4">
        <v>4</v>
      </c>
      <c r="Q1798" s="4">
        <v>1</v>
      </c>
    </row>
    <row r="1799" spans="1:17" x14ac:dyDescent="0.25">
      <c r="A1799" s="3" t="s">
        <v>18</v>
      </c>
      <c r="B1799" s="3">
        <v>13920623</v>
      </c>
      <c r="C1799" s="3" t="s">
        <v>1842</v>
      </c>
      <c r="D1799" s="3" t="s">
        <v>20</v>
      </c>
      <c r="E1799" s="3" t="s">
        <v>21</v>
      </c>
      <c r="F1799" s="3" t="s">
        <v>21</v>
      </c>
      <c r="G1799" s="3" t="s">
        <v>410</v>
      </c>
      <c r="H1799" s="3" t="s">
        <v>411</v>
      </c>
      <c r="I1799" s="3" t="s">
        <v>24</v>
      </c>
      <c r="J1799" s="3" t="s">
        <v>24</v>
      </c>
      <c r="K1799" s="3" t="s">
        <v>25</v>
      </c>
      <c r="L1799" s="4">
        <v>0</v>
      </c>
      <c r="M1799" s="3" t="s">
        <v>26</v>
      </c>
      <c r="N1799" s="3" t="s">
        <v>24</v>
      </c>
      <c r="O1799" s="4">
        <v>1</v>
      </c>
      <c r="P1799" s="4">
        <v>4</v>
      </c>
      <c r="Q1799" s="4">
        <v>1</v>
      </c>
    </row>
    <row r="1800" spans="1:17" x14ac:dyDescent="0.25">
      <c r="A1800" s="3" t="s">
        <v>18</v>
      </c>
      <c r="B1800" s="3">
        <v>13920625</v>
      </c>
      <c r="C1800" s="3" t="s">
        <v>1843</v>
      </c>
      <c r="D1800" s="3" t="s">
        <v>20</v>
      </c>
      <c r="E1800" s="3" t="s">
        <v>21</v>
      </c>
      <c r="F1800" s="3" t="s">
        <v>21</v>
      </c>
      <c r="G1800" s="3" t="s">
        <v>410</v>
      </c>
      <c r="H1800" s="3" t="s">
        <v>411</v>
      </c>
      <c r="I1800" s="3" t="s">
        <v>24</v>
      </c>
      <c r="J1800" s="3" t="s">
        <v>24</v>
      </c>
      <c r="K1800" s="3" t="s">
        <v>25</v>
      </c>
      <c r="L1800" s="4">
        <v>0</v>
      </c>
      <c r="M1800" s="3" t="s">
        <v>26</v>
      </c>
      <c r="N1800" s="3" t="s">
        <v>24</v>
      </c>
      <c r="O1800" s="4">
        <v>1</v>
      </c>
      <c r="P1800" s="4">
        <v>4</v>
      </c>
      <c r="Q1800" s="4">
        <v>1</v>
      </c>
    </row>
    <row r="1801" spans="1:17" x14ac:dyDescent="0.25">
      <c r="A1801" s="3" t="s">
        <v>18</v>
      </c>
      <c r="B1801" s="3">
        <v>13920626</v>
      </c>
      <c r="C1801" s="3" t="s">
        <v>1844</v>
      </c>
      <c r="D1801" s="3" t="s">
        <v>20</v>
      </c>
      <c r="E1801" s="3" t="s">
        <v>21</v>
      </c>
      <c r="F1801" s="3" t="s">
        <v>21</v>
      </c>
      <c r="G1801" s="3" t="s">
        <v>410</v>
      </c>
      <c r="H1801" s="3" t="s">
        <v>411</v>
      </c>
      <c r="I1801" s="3" t="s">
        <v>24</v>
      </c>
      <c r="J1801" s="3" t="s">
        <v>24</v>
      </c>
      <c r="K1801" s="3" t="s">
        <v>25</v>
      </c>
      <c r="L1801" s="4">
        <v>0</v>
      </c>
      <c r="M1801" s="3" t="s">
        <v>26</v>
      </c>
      <c r="N1801" s="3" t="s">
        <v>24</v>
      </c>
      <c r="O1801" s="4">
        <v>1</v>
      </c>
      <c r="P1801" s="4">
        <v>4</v>
      </c>
      <c r="Q1801" s="4">
        <v>1</v>
      </c>
    </row>
    <row r="1802" spans="1:17" x14ac:dyDescent="0.25">
      <c r="A1802" s="3" t="s">
        <v>18</v>
      </c>
      <c r="B1802" s="3">
        <v>13920627</v>
      </c>
      <c r="C1802" s="3" t="s">
        <v>1845</v>
      </c>
      <c r="D1802" s="3" t="s">
        <v>20</v>
      </c>
      <c r="E1802" s="3" t="s">
        <v>21</v>
      </c>
      <c r="F1802" s="3" t="s">
        <v>21</v>
      </c>
      <c r="G1802" s="3" t="s">
        <v>410</v>
      </c>
      <c r="H1802" s="3" t="s">
        <v>411</v>
      </c>
      <c r="I1802" s="3" t="s">
        <v>24</v>
      </c>
      <c r="J1802" s="3" t="s">
        <v>24</v>
      </c>
      <c r="K1802" s="3" t="s">
        <v>25</v>
      </c>
      <c r="L1802" s="4">
        <v>0</v>
      </c>
      <c r="M1802" s="3" t="s">
        <v>26</v>
      </c>
      <c r="N1802" s="3" t="s">
        <v>24</v>
      </c>
      <c r="O1802" s="4">
        <v>1</v>
      </c>
      <c r="P1802" s="4">
        <v>3</v>
      </c>
      <c r="Q1802" s="4">
        <v>1</v>
      </c>
    </row>
    <row r="1803" spans="1:17" x14ac:dyDescent="0.25">
      <c r="A1803" s="3" t="s">
        <v>18</v>
      </c>
      <c r="B1803" s="3">
        <v>13920660</v>
      </c>
      <c r="C1803" s="3" t="s">
        <v>1846</v>
      </c>
      <c r="D1803" s="3" t="s">
        <v>20</v>
      </c>
      <c r="E1803" s="3" t="s">
        <v>21</v>
      </c>
      <c r="F1803" s="3" t="s">
        <v>21</v>
      </c>
      <c r="G1803" s="3" t="s">
        <v>410</v>
      </c>
      <c r="H1803" s="3" t="s">
        <v>411</v>
      </c>
      <c r="I1803" s="3" t="s">
        <v>24</v>
      </c>
      <c r="J1803" s="3" t="s">
        <v>24</v>
      </c>
      <c r="K1803" s="3" t="s">
        <v>25</v>
      </c>
      <c r="L1803" s="4">
        <v>0</v>
      </c>
      <c r="M1803" s="3" t="s">
        <v>26</v>
      </c>
      <c r="N1803" s="3" t="s">
        <v>24</v>
      </c>
      <c r="O1803" s="4">
        <v>1</v>
      </c>
      <c r="P1803" s="4">
        <v>3</v>
      </c>
      <c r="Q1803" s="4">
        <v>1</v>
      </c>
    </row>
    <row r="1804" spans="1:17" x14ac:dyDescent="0.25">
      <c r="A1804" s="3" t="s">
        <v>18</v>
      </c>
      <c r="B1804" s="3">
        <v>13920664</v>
      </c>
      <c r="C1804" s="3" t="s">
        <v>1847</v>
      </c>
      <c r="D1804" s="3" t="s">
        <v>20</v>
      </c>
      <c r="E1804" s="3" t="s">
        <v>21</v>
      </c>
      <c r="F1804" s="3" t="s">
        <v>21</v>
      </c>
      <c r="G1804" s="3" t="s">
        <v>410</v>
      </c>
      <c r="H1804" s="3" t="s">
        <v>411</v>
      </c>
      <c r="I1804" s="3" t="s">
        <v>24</v>
      </c>
      <c r="J1804" s="3" t="s">
        <v>24</v>
      </c>
      <c r="K1804" s="3" t="s">
        <v>25</v>
      </c>
      <c r="L1804" s="4">
        <v>0</v>
      </c>
      <c r="M1804" s="3" t="s">
        <v>26</v>
      </c>
      <c r="N1804" s="3" t="s">
        <v>24</v>
      </c>
      <c r="O1804" s="4">
        <v>1</v>
      </c>
      <c r="P1804" s="4">
        <v>3</v>
      </c>
      <c r="Q1804" s="4">
        <v>1</v>
      </c>
    </row>
    <row r="1805" spans="1:17" x14ac:dyDescent="0.25">
      <c r="A1805" s="3" t="s">
        <v>18</v>
      </c>
      <c r="B1805" s="3">
        <v>13920665</v>
      </c>
      <c r="C1805" s="3" t="s">
        <v>1848</v>
      </c>
      <c r="D1805" s="3" t="s">
        <v>20</v>
      </c>
      <c r="E1805" s="3" t="s">
        <v>21</v>
      </c>
      <c r="F1805" s="3" t="s">
        <v>21</v>
      </c>
      <c r="G1805" s="3" t="s">
        <v>410</v>
      </c>
      <c r="H1805" s="3" t="s">
        <v>411</v>
      </c>
      <c r="I1805" s="3" t="s">
        <v>24</v>
      </c>
      <c r="J1805" s="3" t="s">
        <v>24</v>
      </c>
      <c r="K1805" s="3" t="s">
        <v>25</v>
      </c>
      <c r="L1805" s="4">
        <v>0</v>
      </c>
      <c r="M1805" s="3" t="s">
        <v>26</v>
      </c>
      <c r="N1805" s="3" t="s">
        <v>24</v>
      </c>
      <c r="O1805" s="4">
        <v>1</v>
      </c>
      <c r="P1805" s="4">
        <v>2</v>
      </c>
      <c r="Q1805" s="4">
        <v>1</v>
      </c>
    </row>
    <row r="1806" spans="1:17" x14ac:dyDescent="0.25">
      <c r="A1806" s="3" t="s">
        <v>18</v>
      </c>
      <c r="B1806" s="3">
        <v>13920666</v>
      </c>
      <c r="C1806" s="3" t="s">
        <v>1849</v>
      </c>
      <c r="D1806" s="3" t="s">
        <v>20</v>
      </c>
      <c r="E1806" s="3" t="s">
        <v>21</v>
      </c>
      <c r="F1806" s="3" t="s">
        <v>21</v>
      </c>
      <c r="G1806" s="3" t="s">
        <v>410</v>
      </c>
      <c r="H1806" s="3" t="s">
        <v>411</v>
      </c>
      <c r="I1806" s="3" t="s">
        <v>24</v>
      </c>
      <c r="J1806" s="3" t="s">
        <v>24</v>
      </c>
      <c r="K1806" s="3" t="s">
        <v>25</v>
      </c>
      <c r="L1806" s="4">
        <v>0</v>
      </c>
      <c r="M1806" s="3" t="s">
        <v>26</v>
      </c>
      <c r="N1806" s="3" t="s">
        <v>24</v>
      </c>
      <c r="O1806" s="4">
        <v>1</v>
      </c>
      <c r="P1806" s="4">
        <v>2</v>
      </c>
      <c r="Q1806" s="4">
        <v>1</v>
      </c>
    </row>
    <row r="1807" spans="1:17" x14ac:dyDescent="0.25">
      <c r="A1807" s="3" t="s">
        <v>18</v>
      </c>
      <c r="B1807" s="3">
        <v>13920718</v>
      </c>
      <c r="C1807" s="3" t="s">
        <v>1850</v>
      </c>
      <c r="D1807" s="3" t="s">
        <v>20</v>
      </c>
      <c r="E1807" s="3" t="s">
        <v>21</v>
      </c>
      <c r="F1807" s="3" t="s">
        <v>21</v>
      </c>
      <c r="G1807" s="3" t="s">
        <v>410</v>
      </c>
      <c r="H1807" s="3" t="s">
        <v>411</v>
      </c>
      <c r="I1807" s="3" t="s">
        <v>24</v>
      </c>
      <c r="J1807" s="3" t="s">
        <v>24</v>
      </c>
      <c r="K1807" s="3" t="s">
        <v>25</v>
      </c>
      <c r="L1807" s="4">
        <v>0</v>
      </c>
      <c r="M1807" s="3" t="s">
        <v>26</v>
      </c>
      <c r="N1807" s="3" t="s">
        <v>24</v>
      </c>
      <c r="O1807" s="4">
        <v>1</v>
      </c>
      <c r="P1807" s="4">
        <v>1</v>
      </c>
      <c r="Q1807" s="4">
        <v>1</v>
      </c>
    </row>
    <row r="1808" spans="1:17" x14ac:dyDescent="0.25">
      <c r="A1808" s="3" t="s">
        <v>18</v>
      </c>
      <c r="B1808" s="3">
        <v>13920719</v>
      </c>
      <c r="C1808" s="3" t="s">
        <v>1851</v>
      </c>
      <c r="D1808" s="3" t="s">
        <v>20</v>
      </c>
      <c r="E1808" s="3" t="s">
        <v>21</v>
      </c>
      <c r="F1808" s="3" t="s">
        <v>21</v>
      </c>
      <c r="G1808" s="3" t="s">
        <v>410</v>
      </c>
      <c r="H1808" s="3" t="s">
        <v>411</v>
      </c>
      <c r="I1808" s="3" t="s">
        <v>24</v>
      </c>
      <c r="J1808" s="3" t="s">
        <v>24</v>
      </c>
      <c r="K1808" s="3" t="s">
        <v>25</v>
      </c>
      <c r="L1808" s="4">
        <v>0</v>
      </c>
      <c r="M1808" s="3" t="s">
        <v>26</v>
      </c>
      <c r="N1808" s="3" t="s">
        <v>24</v>
      </c>
      <c r="O1808" s="4">
        <v>1</v>
      </c>
      <c r="P1808" s="4">
        <v>1</v>
      </c>
      <c r="Q1808" s="4">
        <v>1</v>
      </c>
    </row>
    <row r="1809" spans="1:17" x14ac:dyDescent="0.25">
      <c r="A1809" s="3" t="s">
        <v>18</v>
      </c>
      <c r="B1809" s="3">
        <v>13920720</v>
      </c>
      <c r="C1809" s="3" t="s">
        <v>1852</v>
      </c>
      <c r="D1809" s="3" t="s">
        <v>20</v>
      </c>
      <c r="E1809" s="3" t="s">
        <v>21</v>
      </c>
      <c r="F1809" s="3" t="s">
        <v>21</v>
      </c>
      <c r="G1809" s="3" t="s">
        <v>410</v>
      </c>
      <c r="H1809" s="3" t="s">
        <v>411</v>
      </c>
      <c r="I1809" s="3" t="s">
        <v>24</v>
      </c>
      <c r="J1809" s="3" t="s">
        <v>24</v>
      </c>
      <c r="K1809" s="3" t="s">
        <v>25</v>
      </c>
      <c r="L1809" s="4">
        <v>0</v>
      </c>
      <c r="M1809" s="3" t="s">
        <v>26</v>
      </c>
      <c r="N1809" s="3" t="s">
        <v>24</v>
      </c>
      <c r="O1809" s="4">
        <v>1</v>
      </c>
      <c r="P1809" s="4">
        <v>1</v>
      </c>
      <c r="Q1809" s="4">
        <v>1</v>
      </c>
    </row>
    <row r="1810" spans="1:17" x14ac:dyDescent="0.25">
      <c r="A1810" s="3" t="s">
        <v>18</v>
      </c>
      <c r="B1810" s="3">
        <v>13920722</v>
      </c>
      <c r="C1810" s="3" t="s">
        <v>1853</v>
      </c>
      <c r="D1810" s="3" t="s">
        <v>20</v>
      </c>
      <c r="E1810" s="3" t="s">
        <v>21</v>
      </c>
      <c r="F1810" s="3" t="s">
        <v>21</v>
      </c>
      <c r="G1810" s="3" t="s">
        <v>410</v>
      </c>
      <c r="H1810" s="3" t="s">
        <v>411</v>
      </c>
      <c r="I1810" s="3" t="s">
        <v>24</v>
      </c>
      <c r="J1810" s="3" t="s">
        <v>24</v>
      </c>
      <c r="K1810" s="3" t="s">
        <v>25</v>
      </c>
      <c r="L1810" s="4">
        <v>0</v>
      </c>
      <c r="M1810" s="3" t="s">
        <v>26</v>
      </c>
      <c r="N1810" s="3" t="s">
        <v>24</v>
      </c>
      <c r="O1810" s="4">
        <v>1</v>
      </c>
      <c r="P1810" s="4">
        <v>1</v>
      </c>
      <c r="Q1810" s="4">
        <v>1</v>
      </c>
    </row>
    <row r="1811" spans="1:17" x14ac:dyDescent="0.25">
      <c r="A1811" s="3" t="s">
        <v>18</v>
      </c>
      <c r="B1811" s="3">
        <v>13920723</v>
      </c>
      <c r="C1811" s="3" t="s">
        <v>1854</v>
      </c>
      <c r="D1811" s="3" t="s">
        <v>20</v>
      </c>
      <c r="E1811" s="3" t="s">
        <v>21</v>
      </c>
      <c r="F1811" s="3" t="s">
        <v>21</v>
      </c>
      <c r="G1811" s="3" t="s">
        <v>410</v>
      </c>
      <c r="H1811" s="3" t="s">
        <v>411</v>
      </c>
      <c r="I1811" s="3" t="s">
        <v>24</v>
      </c>
      <c r="J1811" s="3" t="s">
        <v>24</v>
      </c>
      <c r="K1811" s="3" t="s">
        <v>25</v>
      </c>
      <c r="L1811" s="4">
        <v>0</v>
      </c>
      <c r="M1811" s="3" t="s">
        <v>26</v>
      </c>
      <c r="N1811" s="3" t="s">
        <v>24</v>
      </c>
      <c r="O1811" s="4">
        <v>1</v>
      </c>
      <c r="P1811" s="4">
        <v>4</v>
      </c>
      <c r="Q1811" s="4">
        <v>1</v>
      </c>
    </row>
    <row r="1812" spans="1:17" x14ac:dyDescent="0.25">
      <c r="A1812" s="3" t="s">
        <v>18</v>
      </c>
      <c r="B1812" s="3">
        <v>13920725</v>
      </c>
      <c r="C1812" s="3" t="s">
        <v>1855</v>
      </c>
      <c r="D1812" s="3" t="s">
        <v>20</v>
      </c>
      <c r="E1812" s="3" t="s">
        <v>21</v>
      </c>
      <c r="F1812" s="3" t="s">
        <v>21</v>
      </c>
      <c r="G1812" s="3" t="s">
        <v>410</v>
      </c>
      <c r="H1812" s="3" t="s">
        <v>411</v>
      </c>
      <c r="I1812" s="3" t="s">
        <v>24</v>
      </c>
      <c r="J1812" s="3" t="s">
        <v>24</v>
      </c>
      <c r="K1812" s="3" t="s">
        <v>25</v>
      </c>
      <c r="L1812" s="4">
        <v>0</v>
      </c>
      <c r="M1812" s="3" t="s">
        <v>26</v>
      </c>
      <c r="N1812" s="3" t="s">
        <v>24</v>
      </c>
      <c r="O1812" s="4">
        <v>1</v>
      </c>
      <c r="P1812" s="4">
        <v>4</v>
      </c>
      <c r="Q1812" s="4">
        <v>1</v>
      </c>
    </row>
    <row r="1813" spans="1:17" x14ac:dyDescent="0.25">
      <c r="A1813" s="3" t="s">
        <v>18</v>
      </c>
      <c r="B1813" s="3">
        <v>13920727</v>
      </c>
      <c r="C1813" s="3" t="s">
        <v>1856</v>
      </c>
      <c r="D1813" s="3" t="s">
        <v>20</v>
      </c>
      <c r="E1813" s="3" t="s">
        <v>21</v>
      </c>
      <c r="F1813" s="3" t="s">
        <v>21</v>
      </c>
      <c r="G1813" s="3" t="s">
        <v>410</v>
      </c>
      <c r="H1813" s="3" t="s">
        <v>411</v>
      </c>
      <c r="I1813" s="3" t="s">
        <v>24</v>
      </c>
      <c r="J1813" s="3" t="s">
        <v>24</v>
      </c>
      <c r="K1813" s="3" t="s">
        <v>25</v>
      </c>
      <c r="L1813" s="4">
        <v>0</v>
      </c>
      <c r="M1813" s="3" t="s">
        <v>26</v>
      </c>
      <c r="N1813" s="3" t="s">
        <v>24</v>
      </c>
      <c r="O1813" s="4">
        <v>1</v>
      </c>
      <c r="P1813" s="4">
        <v>4</v>
      </c>
      <c r="Q1813" s="4">
        <v>1</v>
      </c>
    </row>
    <row r="1814" spans="1:17" x14ac:dyDescent="0.25">
      <c r="A1814" s="3" t="s">
        <v>18</v>
      </c>
      <c r="B1814" s="3">
        <v>13920739</v>
      </c>
      <c r="C1814" s="3" t="s">
        <v>1857</v>
      </c>
      <c r="D1814" s="3" t="s">
        <v>20</v>
      </c>
      <c r="E1814" s="3" t="s">
        <v>21</v>
      </c>
      <c r="F1814" s="3" t="s">
        <v>21</v>
      </c>
      <c r="G1814" s="3" t="s">
        <v>410</v>
      </c>
      <c r="H1814" s="3" t="s">
        <v>411</v>
      </c>
      <c r="I1814" s="3" t="s">
        <v>24</v>
      </c>
      <c r="J1814" s="3" t="s">
        <v>24</v>
      </c>
      <c r="K1814" s="3" t="s">
        <v>25</v>
      </c>
      <c r="L1814" s="4">
        <v>0</v>
      </c>
      <c r="M1814" s="3" t="s">
        <v>26</v>
      </c>
      <c r="N1814" s="3" t="s">
        <v>24</v>
      </c>
      <c r="O1814" s="4">
        <v>1</v>
      </c>
      <c r="P1814" s="4">
        <v>4</v>
      </c>
      <c r="Q1814" s="4">
        <v>1</v>
      </c>
    </row>
    <row r="1815" spans="1:17" x14ac:dyDescent="0.25">
      <c r="A1815" s="3" t="s">
        <v>18</v>
      </c>
      <c r="B1815" s="3">
        <v>13920740</v>
      </c>
      <c r="C1815" s="3" t="s">
        <v>1858</v>
      </c>
      <c r="D1815" s="3" t="s">
        <v>20</v>
      </c>
      <c r="E1815" s="3" t="s">
        <v>21</v>
      </c>
      <c r="F1815" s="3" t="s">
        <v>21</v>
      </c>
      <c r="G1815" s="3" t="s">
        <v>410</v>
      </c>
      <c r="H1815" s="3" t="s">
        <v>411</v>
      </c>
      <c r="I1815" s="3" t="s">
        <v>24</v>
      </c>
      <c r="J1815" s="3" t="s">
        <v>24</v>
      </c>
      <c r="K1815" s="3" t="s">
        <v>25</v>
      </c>
      <c r="L1815" s="4">
        <v>0</v>
      </c>
      <c r="M1815" s="3" t="s">
        <v>26</v>
      </c>
      <c r="N1815" s="3" t="s">
        <v>24</v>
      </c>
      <c r="O1815" s="4">
        <v>1</v>
      </c>
      <c r="P1815" s="4">
        <v>4</v>
      </c>
      <c r="Q1815" s="4">
        <v>1</v>
      </c>
    </row>
    <row r="1816" spans="1:17" x14ac:dyDescent="0.25">
      <c r="A1816" s="3" t="s">
        <v>18</v>
      </c>
      <c r="B1816" s="3">
        <v>13920744</v>
      </c>
      <c r="C1816" s="3" t="s">
        <v>1859</v>
      </c>
      <c r="D1816" s="3" t="s">
        <v>20</v>
      </c>
      <c r="E1816" s="3" t="s">
        <v>21</v>
      </c>
      <c r="F1816" s="3" t="s">
        <v>21</v>
      </c>
      <c r="G1816" s="3" t="s">
        <v>410</v>
      </c>
      <c r="H1816" s="3" t="s">
        <v>411</v>
      </c>
      <c r="I1816" s="3" t="s">
        <v>24</v>
      </c>
      <c r="J1816" s="3" t="s">
        <v>24</v>
      </c>
      <c r="K1816" s="3" t="s">
        <v>25</v>
      </c>
      <c r="L1816" s="4">
        <v>0</v>
      </c>
      <c r="M1816" s="3" t="s">
        <v>26</v>
      </c>
      <c r="N1816" s="3" t="s">
        <v>24</v>
      </c>
      <c r="O1816" s="4">
        <v>1</v>
      </c>
      <c r="P1816" s="4">
        <v>4</v>
      </c>
      <c r="Q1816" s="4">
        <v>1</v>
      </c>
    </row>
    <row r="1817" spans="1:17" x14ac:dyDescent="0.25">
      <c r="A1817" s="3" t="s">
        <v>18</v>
      </c>
      <c r="B1817" s="3">
        <v>13920747</v>
      </c>
      <c r="C1817" s="3" t="s">
        <v>1860</v>
      </c>
      <c r="D1817" s="3" t="s">
        <v>20</v>
      </c>
      <c r="E1817" s="3" t="s">
        <v>21</v>
      </c>
      <c r="F1817" s="3" t="s">
        <v>21</v>
      </c>
      <c r="G1817" s="3" t="s">
        <v>410</v>
      </c>
      <c r="H1817" s="3" t="s">
        <v>411</v>
      </c>
      <c r="I1817" s="3" t="s">
        <v>24</v>
      </c>
      <c r="J1817" s="3" t="s">
        <v>24</v>
      </c>
      <c r="K1817" s="3" t="s">
        <v>25</v>
      </c>
      <c r="L1817" s="4">
        <v>0</v>
      </c>
      <c r="M1817" s="3" t="s">
        <v>26</v>
      </c>
      <c r="N1817" s="3" t="s">
        <v>24</v>
      </c>
      <c r="O1817" s="4">
        <v>1</v>
      </c>
      <c r="P1817" s="4">
        <v>4</v>
      </c>
      <c r="Q1817" s="4">
        <v>1</v>
      </c>
    </row>
    <row r="1818" spans="1:17" x14ac:dyDescent="0.25">
      <c r="A1818" s="3" t="s">
        <v>18</v>
      </c>
      <c r="B1818" s="3">
        <v>13920809</v>
      </c>
      <c r="C1818" s="3" t="s">
        <v>1861</v>
      </c>
      <c r="D1818" s="3" t="s">
        <v>20</v>
      </c>
      <c r="E1818" s="3" t="s">
        <v>21</v>
      </c>
      <c r="F1818" s="3" t="s">
        <v>21</v>
      </c>
      <c r="G1818" s="3" t="s">
        <v>410</v>
      </c>
      <c r="H1818" s="3" t="s">
        <v>411</v>
      </c>
      <c r="I1818" s="3" t="s">
        <v>24</v>
      </c>
      <c r="J1818" s="3" t="s">
        <v>24</v>
      </c>
      <c r="K1818" s="3" t="s">
        <v>25</v>
      </c>
      <c r="L1818" s="4">
        <v>0</v>
      </c>
      <c r="M1818" s="3" t="s">
        <v>26</v>
      </c>
      <c r="N1818" s="3" t="s">
        <v>24</v>
      </c>
      <c r="O1818" s="4">
        <v>1</v>
      </c>
      <c r="P1818" s="4">
        <v>4</v>
      </c>
      <c r="Q1818" s="4">
        <v>1</v>
      </c>
    </row>
    <row r="1819" spans="1:17" x14ac:dyDescent="0.25">
      <c r="A1819" s="3" t="s">
        <v>18</v>
      </c>
      <c r="B1819" s="3">
        <v>13920810</v>
      </c>
      <c r="C1819" s="3" t="s">
        <v>1862</v>
      </c>
      <c r="D1819" s="3" t="s">
        <v>20</v>
      </c>
      <c r="E1819" s="3" t="s">
        <v>21</v>
      </c>
      <c r="F1819" s="3" t="s">
        <v>21</v>
      </c>
      <c r="G1819" s="3" t="s">
        <v>410</v>
      </c>
      <c r="H1819" s="3" t="s">
        <v>411</v>
      </c>
      <c r="I1819" s="3" t="s">
        <v>24</v>
      </c>
      <c r="J1819" s="3" t="s">
        <v>24</v>
      </c>
      <c r="K1819" s="3" t="s">
        <v>25</v>
      </c>
      <c r="L1819" s="4">
        <v>0</v>
      </c>
      <c r="M1819" s="3" t="s">
        <v>26</v>
      </c>
      <c r="N1819" s="3" t="s">
        <v>24</v>
      </c>
      <c r="O1819" s="4">
        <v>1</v>
      </c>
      <c r="P1819" s="4">
        <v>3</v>
      </c>
      <c r="Q1819" s="4">
        <v>1</v>
      </c>
    </row>
    <row r="1820" spans="1:17" x14ac:dyDescent="0.25">
      <c r="A1820" s="3" t="s">
        <v>18</v>
      </c>
      <c r="B1820" s="3">
        <v>13920881</v>
      </c>
      <c r="C1820" s="3" t="s">
        <v>1863</v>
      </c>
      <c r="D1820" s="3" t="s">
        <v>20</v>
      </c>
      <c r="E1820" s="3" t="s">
        <v>21</v>
      </c>
      <c r="F1820" s="3" t="s">
        <v>21</v>
      </c>
      <c r="G1820" s="3" t="s">
        <v>410</v>
      </c>
      <c r="H1820" s="3" t="s">
        <v>411</v>
      </c>
      <c r="I1820" s="3" t="s">
        <v>24</v>
      </c>
      <c r="J1820" s="3" t="s">
        <v>24</v>
      </c>
      <c r="K1820" s="3" t="s">
        <v>25</v>
      </c>
      <c r="L1820" s="4">
        <v>0</v>
      </c>
      <c r="M1820" s="3" t="s">
        <v>26</v>
      </c>
      <c r="N1820" s="3" t="s">
        <v>24</v>
      </c>
      <c r="O1820" s="4">
        <v>1</v>
      </c>
      <c r="P1820" s="4">
        <v>3</v>
      </c>
      <c r="Q1820" s="4">
        <v>1</v>
      </c>
    </row>
    <row r="1821" spans="1:17" x14ac:dyDescent="0.25">
      <c r="A1821" s="3" t="s">
        <v>18</v>
      </c>
      <c r="B1821" s="3">
        <v>13920883</v>
      </c>
      <c r="C1821" s="3" t="s">
        <v>1864</v>
      </c>
      <c r="D1821" s="3" t="s">
        <v>20</v>
      </c>
      <c r="E1821" s="3" t="s">
        <v>21</v>
      </c>
      <c r="F1821" s="3" t="s">
        <v>21</v>
      </c>
      <c r="G1821" s="3" t="s">
        <v>410</v>
      </c>
      <c r="H1821" s="3" t="s">
        <v>411</v>
      </c>
      <c r="I1821" s="3" t="s">
        <v>24</v>
      </c>
      <c r="J1821" s="3" t="s">
        <v>24</v>
      </c>
      <c r="K1821" s="3" t="s">
        <v>25</v>
      </c>
      <c r="L1821" s="4">
        <v>0</v>
      </c>
      <c r="M1821" s="3" t="s">
        <v>26</v>
      </c>
      <c r="N1821" s="3" t="s">
        <v>24</v>
      </c>
      <c r="O1821" s="4">
        <v>1</v>
      </c>
      <c r="P1821" s="4">
        <v>3</v>
      </c>
      <c r="Q1821" s="4">
        <v>1</v>
      </c>
    </row>
    <row r="1822" spans="1:17" x14ac:dyDescent="0.25">
      <c r="A1822" s="3" t="s">
        <v>18</v>
      </c>
      <c r="B1822" s="3">
        <v>13920887</v>
      </c>
      <c r="C1822" s="3" t="s">
        <v>1865</v>
      </c>
      <c r="D1822" s="3" t="s">
        <v>20</v>
      </c>
      <c r="E1822" s="3" t="s">
        <v>21</v>
      </c>
      <c r="F1822" s="3" t="s">
        <v>21</v>
      </c>
      <c r="G1822" s="3" t="s">
        <v>410</v>
      </c>
      <c r="H1822" s="3" t="s">
        <v>411</v>
      </c>
      <c r="I1822" s="3" t="s">
        <v>24</v>
      </c>
      <c r="J1822" s="3" t="s">
        <v>24</v>
      </c>
      <c r="K1822" s="3" t="s">
        <v>25</v>
      </c>
      <c r="L1822" s="4">
        <v>0</v>
      </c>
      <c r="M1822" s="3" t="s">
        <v>26</v>
      </c>
      <c r="N1822" s="3" t="s">
        <v>24</v>
      </c>
      <c r="O1822" s="4">
        <v>1</v>
      </c>
      <c r="P1822" s="4">
        <v>2</v>
      </c>
      <c r="Q1822" s="4">
        <v>1</v>
      </c>
    </row>
    <row r="1823" spans="1:17" x14ac:dyDescent="0.25">
      <c r="A1823" s="3" t="s">
        <v>18</v>
      </c>
      <c r="B1823" s="3">
        <v>13920999</v>
      </c>
      <c r="C1823" s="3" t="s">
        <v>1866</v>
      </c>
      <c r="D1823" s="3" t="s">
        <v>20</v>
      </c>
      <c r="E1823" s="3" t="s">
        <v>21</v>
      </c>
      <c r="F1823" s="3" t="s">
        <v>21</v>
      </c>
      <c r="G1823" s="3" t="s">
        <v>410</v>
      </c>
      <c r="H1823" s="3" t="s">
        <v>411</v>
      </c>
      <c r="I1823" s="3" t="s">
        <v>24</v>
      </c>
      <c r="J1823" s="3" t="s">
        <v>24</v>
      </c>
      <c r="K1823" s="3" t="s">
        <v>25</v>
      </c>
      <c r="L1823" s="4">
        <v>0</v>
      </c>
      <c r="M1823" s="3" t="s">
        <v>26</v>
      </c>
      <c r="N1823" s="3" t="s">
        <v>24</v>
      </c>
      <c r="O1823" s="4">
        <v>1</v>
      </c>
      <c r="P1823" s="4">
        <v>2</v>
      </c>
      <c r="Q1823" s="4">
        <v>1</v>
      </c>
    </row>
    <row r="1824" spans="1:17" x14ac:dyDescent="0.25">
      <c r="A1824" s="3" t="s">
        <v>18</v>
      </c>
      <c r="B1824" s="3">
        <v>13921000</v>
      </c>
      <c r="C1824" s="3" t="s">
        <v>1867</v>
      </c>
      <c r="D1824" s="3" t="s">
        <v>20</v>
      </c>
      <c r="E1824" s="3" t="s">
        <v>21</v>
      </c>
      <c r="F1824" s="3" t="s">
        <v>21</v>
      </c>
      <c r="G1824" s="3" t="s">
        <v>410</v>
      </c>
      <c r="H1824" s="3" t="s">
        <v>411</v>
      </c>
      <c r="I1824" s="3" t="s">
        <v>24</v>
      </c>
      <c r="J1824" s="3" t="s">
        <v>24</v>
      </c>
      <c r="K1824" s="3" t="s">
        <v>25</v>
      </c>
      <c r="L1824" s="4">
        <v>0</v>
      </c>
      <c r="M1824" s="3" t="s">
        <v>26</v>
      </c>
      <c r="N1824" s="3" t="s">
        <v>24</v>
      </c>
      <c r="O1824" s="4">
        <v>1</v>
      </c>
      <c r="P1824" s="4">
        <v>1</v>
      </c>
      <c r="Q1824" s="4">
        <v>1</v>
      </c>
    </row>
    <row r="1825" spans="1:17" x14ac:dyDescent="0.25">
      <c r="A1825" s="3" t="s">
        <v>18</v>
      </c>
      <c r="B1825" s="3">
        <v>13921001</v>
      </c>
      <c r="C1825" s="3" t="s">
        <v>1868</v>
      </c>
      <c r="D1825" s="3" t="s">
        <v>20</v>
      </c>
      <c r="E1825" s="3" t="s">
        <v>21</v>
      </c>
      <c r="F1825" s="3" t="s">
        <v>21</v>
      </c>
      <c r="G1825" s="3" t="s">
        <v>410</v>
      </c>
      <c r="H1825" s="3" t="s">
        <v>411</v>
      </c>
      <c r="I1825" s="3" t="s">
        <v>24</v>
      </c>
      <c r="J1825" s="3" t="s">
        <v>24</v>
      </c>
      <c r="K1825" s="3" t="s">
        <v>25</v>
      </c>
      <c r="L1825" s="4">
        <v>0</v>
      </c>
      <c r="M1825" s="3" t="s">
        <v>26</v>
      </c>
      <c r="N1825" s="3" t="s">
        <v>24</v>
      </c>
      <c r="O1825" s="4">
        <v>1</v>
      </c>
      <c r="P1825" s="4">
        <v>1</v>
      </c>
      <c r="Q1825" s="4">
        <v>1</v>
      </c>
    </row>
    <row r="1826" spans="1:17" x14ac:dyDescent="0.25">
      <c r="A1826" s="3" t="s">
        <v>18</v>
      </c>
      <c r="B1826" s="3">
        <v>13921002</v>
      </c>
      <c r="C1826" s="3" t="s">
        <v>1869</v>
      </c>
      <c r="D1826" s="3" t="s">
        <v>20</v>
      </c>
      <c r="E1826" s="3" t="s">
        <v>21</v>
      </c>
      <c r="F1826" s="3" t="s">
        <v>21</v>
      </c>
      <c r="G1826" s="3" t="s">
        <v>410</v>
      </c>
      <c r="H1826" s="3" t="s">
        <v>411</v>
      </c>
      <c r="I1826" s="3" t="s">
        <v>24</v>
      </c>
      <c r="J1826" s="3" t="s">
        <v>24</v>
      </c>
      <c r="K1826" s="3" t="s">
        <v>25</v>
      </c>
      <c r="L1826" s="4">
        <v>0</v>
      </c>
      <c r="M1826" s="3" t="s">
        <v>26</v>
      </c>
      <c r="N1826" s="3" t="s">
        <v>24</v>
      </c>
      <c r="O1826" s="4">
        <v>1</v>
      </c>
      <c r="P1826" s="4">
        <v>1</v>
      </c>
      <c r="Q1826" s="4">
        <v>1</v>
      </c>
    </row>
    <row r="1827" spans="1:17" x14ac:dyDescent="0.25">
      <c r="A1827" s="3" t="s">
        <v>18</v>
      </c>
      <c r="B1827" s="3">
        <v>13921003</v>
      </c>
      <c r="C1827" s="3" t="s">
        <v>1870</v>
      </c>
      <c r="D1827" s="3" t="s">
        <v>20</v>
      </c>
      <c r="E1827" s="3" t="s">
        <v>21</v>
      </c>
      <c r="F1827" s="3" t="s">
        <v>21</v>
      </c>
      <c r="G1827" s="3" t="s">
        <v>410</v>
      </c>
      <c r="H1827" s="3" t="s">
        <v>411</v>
      </c>
      <c r="I1827" s="3" t="s">
        <v>24</v>
      </c>
      <c r="J1827" s="3" t="s">
        <v>24</v>
      </c>
      <c r="K1827" s="3" t="s">
        <v>25</v>
      </c>
      <c r="L1827" s="4">
        <v>0</v>
      </c>
      <c r="M1827" s="3" t="s">
        <v>26</v>
      </c>
      <c r="N1827" s="3" t="s">
        <v>24</v>
      </c>
      <c r="O1827" s="4">
        <v>1</v>
      </c>
      <c r="P1827" s="4">
        <v>1</v>
      </c>
      <c r="Q1827" s="4">
        <v>1</v>
      </c>
    </row>
    <row r="1828" spans="1:17" x14ac:dyDescent="0.25">
      <c r="A1828" s="3" t="s">
        <v>18</v>
      </c>
      <c r="B1828" s="3">
        <v>13921540</v>
      </c>
      <c r="C1828" s="3" t="s">
        <v>1871</v>
      </c>
      <c r="D1828" s="3" t="s">
        <v>1360</v>
      </c>
      <c r="E1828" s="3" t="s">
        <v>21</v>
      </c>
      <c r="F1828" s="3" t="s">
        <v>21</v>
      </c>
      <c r="G1828" s="3" t="s">
        <v>233</v>
      </c>
      <c r="H1828" s="3" t="s">
        <v>234</v>
      </c>
      <c r="I1828" s="3" t="s">
        <v>24</v>
      </c>
      <c r="J1828" s="3" t="s">
        <v>24</v>
      </c>
      <c r="K1828" s="3" t="s">
        <v>25</v>
      </c>
      <c r="L1828" s="4">
        <v>0</v>
      </c>
      <c r="M1828" s="3" t="s">
        <v>26</v>
      </c>
      <c r="N1828" s="3" t="s">
        <v>24</v>
      </c>
      <c r="O1828" s="4">
        <v>1</v>
      </c>
      <c r="P1828" s="4">
        <v>2</v>
      </c>
      <c r="Q1828" s="4">
        <v>1</v>
      </c>
    </row>
    <row r="1829" spans="1:17" x14ac:dyDescent="0.25">
      <c r="A1829" s="3" t="s">
        <v>18</v>
      </c>
      <c r="B1829" s="3">
        <v>13922752</v>
      </c>
      <c r="C1829" s="3" t="s">
        <v>1872</v>
      </c>
      <c r="D1829" s="3" t="s">
        <v>20</v>
      </c>
      <c r="E1829" s="3" t="s">
        <v>21</v>
      </c>
      <c r="F1829" s="3" t="s">
        <v>21</v>
      </c>
      <c r="G1829" s="3" t="s">
        <v>36</v>
      </c>
      <c r="H1829" s="3" t="s">
        <v>37</v>
      </c>
      <c r="I1829" s="3" t="s">
        <v>24</v>
      </c>
      <c r="J1829" s="3" t="s">
        <v>24</v>
      </c>
      <c r="K1829" s="3" t="s">
        <v>25</v>
      </c>
      <c r="L1829" s="4">
        <v>0</v>
      </c>
      <c r="M1829" s="3" t="s">
        <v>26</v>
      </c>
      <c r="N1829" s="3" t="s">
        <v>24</v>
      </c>
      <c r="O1829" s="4">
        <v>1</v>
      </c>
      <c r="P1829" s="4">
        <v>4</v>
      </c>
      <c r="Q1829" s="4">
        <v>1</v>
      </c>
    </row>
    <row r="1830" spans="1:17" x14ac:dyDescent="0.25">
      <c r="A1830" s="3" t="s">
        <v>18</v>
      </c>
      <c r="B1830" s="3">
        <v>13922937</v>
      </c>
      <c r="C1830" s="3" t="s">
        <v>1873</v>
      </c>
      <c r="D1830" s="3" t="s">
        <v>20</v>
      </c>
      <c r="E1830" s="3" t="s">
        <v>21</v>
      </c>
      <c r="F1830" s="3" t="s">
        <v>21</v>
      </c>
      <c r="G1830" s="3" t="s">
        <v>36</v>
      </c>
      <c r="H1830" s="3" t="s">
        <v>37</v>
      </c>
      <c r="I1830" s="3" t="s">
        <v>24</v>
      </c>
      <c r="J1830" s="3" t="s">
        <v>24</v>
      </c>
      <c r="K1830" s="3" t="s">
        <v>25</v>
      </c>
      <c r="L1830" s="4">
        <v>0</v>
      </c>
      <c r="M1830" s="3" t="s">
        <v>26</v>
      </c>
      <c r="N1830" s="3" t="s">
        <v>24</v>
      </c>
      <c r="O1830" s="4">
        <v>1</v>
      </c>
      <c r="P1830" s="4">
        <v>10</v>
      </c>
      <c r="Q1830" s="4">
        <v>1</v>
      </c>
    </row>
    <row r="1831" spans="1:17" x14ac:dyDescent="0.25">
      <c r="A1831" s="3" t="s">
        <v>18</v>
      </c>
      <c r="B1831" s="3">
        <v>13922998</v>
      </c>
      <c r="C1831" s="3" t="s">
        <v>1874</v>
      </c>
      <c r="D1831" s="3" t="s">
        <v>20</v>
      </c>
      <c r="E1831" s="3" t="s">
        <v>21</v>
      </c>
      <c r="F1831" s="3" t="s">
        <v>21</v>
      </c>
      <c r="G1831" s="3" t="s">
        <v>233</v>
      </c>
      <c r="H1831" s="3" t="s">
        <v>234</v>
      </c>
      <c r="I1831" s="3" t="s">
        <v>24</v>
      </c>
      <c r="J1831" s="3" t="s">
        <v>24</v>
      </c>
      <c r="K1831" s="3" t="s">
        <v>25</v>
      </c>
      <c r="L1831" s="4">
        <v>0</v>
      </c>
      <c r="M1831" s="3" t="s">
        <v>26</v>
      </c>
      <c r="N1831" s="3" t="s">
        <v>24</v>
      </c>
      <c r="O1831" s="4">
        <v>1</v>
      </c>
      <c r="P1831" s="4">
        <v>2</v>
      </c>
      <c r="Q1831" s="4">
        <v>1</v>
      </c>
    </row>
    <row r="1832" spans="1:17" x14ac:dyDescent="0.25">
      <c r="A1832" s="3" t="s">
        <v>18</v>
      </c>
      <c r="B1832" s="3">
        <v>13924470</v>
      </c>
      <c r="C1832" s="3" t="s">
        <v>1875</v>
      </c>
      <c r="D1832" s="3" t="s">
        <v>20</v>
      </c>
      <c r="E1832" s="3" t="s">
        <v>21</v>
      </c>
      <c r="F1832" s="3" t="s">
        <v>21</v>
      </c>
      <c r="G1832" s="3" t="s">
        <v>410</v>
      </c>
      <c r="H1832" s="3" t="s">
        <v>411</v>
      </c>
      <c r="I1832" s="3" t="s">
        <v>24</v>
      </c>
      <c r="J1832" s="3" t="s">
        <v>24</v>
      </c>
      <c r="K1832" s="3" t="s">
        <v>25</v>
      </c>
      <c r="L1832" s="4">
        <v>0</v>
      </c>
      <c r="M1832" s="3" t="s">
        <v>26</v>
      </c>
      <c r="N1832" s="3" t="s">
        <v>24</v>
      </c>
      <c r="O1832" s="4">
        <v>1</v>
      </c>
      <c r="P1832" s="4">
        <v>4</v>
      </c>
      <c r="Q1832" s="4">
        <v>1</v>
      </c>
    </row>
    <row r="1833" spans="1:17" x14ac:dyDescent="0.25">
      <c r="A1833" s="3" t="s">
        <v>18</v>
      </c>
      <c r="B1833" s="3">
        <v>13924471</v>
      </c>
      <c r="C1833" s="3" t="s">
        <v>1876</v>
      </c>
      <c r="D1833" s="3" t="s">
        <v>20</v>
      </c>
      <c r="E1833" s="3" t="s">
        <v>21</v>
      </c>
      <c r="F1833" s="3" t="s">
        <v>21</v>
      </c>
      <c r="G1833" s="3" t="s">
        <v>410</v>
      </c>
      <c r="H1833" s="3" t="s">
        <v>411</v>
      </c>
      <c r="I1833" s="3" t="s">
        <v>24</v>
      </c>
      <c r="J1833" s="3" t="s">
        <v>24</v>
      </c>
      <c r="K1833" s="3" t="s">
        <v>25</v>
      </c>
      <c r="L1833" s="4">
        <v>0</v>
      </c>
      <c r="M1833" s="3" t="s">
        <v>26</v>
      </c>
      <c r="N1833" s="3" t="s">
        <v>24</v>
      </c>
      <c r="O1833" s="4">
        <v>1</v>
      </c>
      <c r="P1833" s="4">
        <v>4</v>
      </c>
      <c r="Q1833" s="4">
        <v>1</v>
      </c>
    </row>
    <row r="1834" spans="1:17" x14ac:dyDescent="0.25">
      <c r="A1834" s="3" t="s">
        <v>18</v>
      </c>
      <c r="B1834" s="3">
        <v>13924472</v>
      </c>
      <c r="C1834" s="3" t="s">
        <v>1877</v>
      </c>
      <c r="D1834" s="3" t="s">
        <v>20</v>
      </c>
      <c r="E1834" s="3" t="s">
        <v>21</v>
      </c>
      <c r="F1834" s="3" t="s">
        <v>21</v>
      </c>
      <c r="G1834" s="3" t="s">
        <v>410</v>
      </c>
      <c r="H1834" s="3" t="s">
        <v>411</v>
      </c>
      <c r="I1834" s="3" t="s">
        <v>24</v>
      </c>
      <c r="J1834" s="3" t="s">
        <v>24</v>
      </c>
      <c r="K1834" s="3" t="s">
        <v>25</v>
      </c>
      <c r="L1834" s="4">
        <v>0</v>
      </c>
      <c r="M1834" s="3" t="s">
        <v>26</v>
      </c>
      <c r="N1834" s="3" t="s">
        <v>24</v>
      </c>
      <c r="O1834" s="4">
        <v>1</v>
      </c>
      <c r="P1834" s="4">
        <v>4</v>
      </c>
      <c r="Q1834" s="4">
        <v>1</v>
      </c>
    </row>
    <row r="1835" spans="1:17" x14ac:dyDescent="0.25">
      <c r="A1835" s="3" t="s">
        <v>18</v>
      </c>
      <c r="B1835" s="3">
        <v>13924474</v>
      </c>
      <c r="C1835" s="3" t="s">
        <v>1878</v>
      </c>
      <c r="D1835" s="3" t="s">
        <v>20</v>
      </c>
      <c r="E1835" s="3" t="s">
        <v>21</v>
      </c>
      <c r="F1835" s="3" t="s">
        <v>21</v>
      </c>
      <c r="G1835" s="3" t="s">
        <v>410</v>
      </c>
      <c r="H1835" s="3" t="s">
        <v>411</v>
      </c>
      <c r="I1835" s="3" t="s">
        <v>24</v>
      </c>
      <c r="J1835" s="3" t="s">
        <v>24</v>
      </c>
      <c r="K1835" s="3" t="s">
        <v>25</v>
      </c>
      <c r="L1835" s="4">
        <v>0</v>
      </c>
      <c r="M1835" s="3" t="s">
        <v>26</v>
      </c>
      <c r="N1835" s="3" t="s">
        <v>24</v>
      </c>
      <c r="O1835" s="4">
        <v>1</v>
      </c>
      <c r="P1835" s="4">
        <v>4</v>
      </c>
      <c r="Q1835" s="4">
        <v>1</v>
      </c>
    </row>
    <row r="1836" spans="1:17" x14ac:dyDescent="0.25">
      <c r="A1836" s="3" t="s">
        <v>18</v>
      </c>
      <c r="B1836" s="3">
        <v>13924475</v>
      </c>
      <c r="C1836" s="3" t="s">
        <v>1879</v>
      </c>
      <c r="D1836" s="3" t="s">
        <v>20</v>
      </c>
      <c r="E1836" s="3" t="s">
        <v>21</v>
      </c>
      <c r="F1836" s="3" t="s">
        <v>21</v>
      </c>
      <c r="G1836" s="3" t="s">
        <v>410</v>
      </c>
      <c r="H1836" s="3" t="s">
        <v>411</v>
      </c>
      <c r="I1836" s="3" t="s">
        <v>24</v>
      </c>
      <c r="J1836" s="3" t="s">
        <v>24</v>
      </c>
      <c r="K1836" s="3" t="s">
        <v>25</v>
      </c>
      <c r="L1836" s="4">
        <v>0</v>
      </c>
      <c r="M1836" s="3" t="s">
        <v>26</v>
      </c>
      <c r="N1836" s="3" t="s">
        <v>24</v>
      </c>
      <c r="O1836" s="4">
        <v>1</v>
      </c>
      <c r="P1836" s="4">
        <v>4</v>
      </c>
      <c r="Q1836" s="4">
        <v>1</v>
      </c>
    </row>
    <row r="1837" spans="1:17" x14ac:dyDescent="0.25">
      <c r="A1837" s="3" t="s">
        <v>18</v>
      </c>
      <c r="B1837" s="3">
        <v>13924477</v>
      </c>
      <c r="C1837" s="3" t="s">
        <v>1880</v>
      </c>
      <c r="D1837" s="3" t="s">
        <v>20</v>
      </c>
      <c r="E1837" s="3" t="s">
        <v>21</v>
      </c>
      <c r="F1837" s="3" t="s">
        <v>21</v>
      </c>
      <c r="G1837" s="3" t="s">
        <v>410</v>
      </c>
      <c r="H1837" s="3" t="s">
        <v>411</v>
      </c>
      <c r="I1837" s="3" t="s">
        <v>24</v>
      </c>
      <c r="J1837" s="3" t="s">
        <v>24</v>
      </c>
      <c r="K1837" s="3" t="s">
        <v>25</v>
      </c>
      <c r="L1837" s="4">
        <v>0</v>
      </c>
      <c r="M1837" s="3" t="s">
        <v>26</v>
      </c>
      <c r="N1837" s="3" t="s">
        <v>24</v>
      </c>
      <c r="O1837" s="4">
        <v>1</v>
      </c>
      <c r="P1837" s="4">
        <v>4</v>
      </c>
      <c r="Q1837" s="4">
        <v>1</v>
      </c>
    </row>
    <row r="1838" spans="1:17" x14ac:dyDescent="0.25">
      <c r="A1838" s="3" t="s">
        <v>18</v>
      </c>
      <c r="B1838" s="3">
        <v>13924581</v>
      </c>
      <c r="C1838" s="3" t="s">
        <v>1881</v>
      </c>
      <c r="D1838" s="3" t="s">
        <v>20</v>
      </c>
      <c r="E1838" s="3" t="s">
        <v>21</v>
      </c>
      <c r="F1838" s="3" t="s">
        <v>21</v>
      </c>
      <c r="G1838" s="3" t="s">
        <v>410</v>
      </c>
      <c r="H1838" s="3" t="s">
        <v>411</v>
      </c>
      <c r="I1838" s="3" t="s">
        <v>24</v>
      </c>
      <c r="J1838" s="3" t="s">
        <v>24</v>
      </c>
      <c r="K1838" s="3" t="s">
        <v>25</v>
      </c>
      <c r="L1838" s="4">
        <v>0</v>
      </c>
      <c r="M1838" s="3" t="s">
        <v>26</v>
      </c>
      <c r="N1838" s="3" t="s">
        <v>24</v>
      </c>
      <c r="O1838" s="4">
        <v>1</v>
      </c>
      <c r="P1838" s="4">
        <v>4</v>
      </c>
      <c r="Q1838" s="4">
        <v>1</v>
      </c>
    </row>
    <row r="1839" spans="1:17" x14ac:dyDescent="0.25">
      <c r="A1839" s="3" t="s">
        <v>18</v>
      </c>
      <c r="B1839" s="3">
        <v>13924610</v>
      </c>
      <c r="C1839" s="3" t="s">
        <v>1882</v>
      </c>
      <c r="D1839" s="3" t="s">
        <v>20</v>
      </c>
      <c r="E1839" s="3" t="s">
        <v>21</v>
      </c>
      <c r="F1839" s="3" t="s">
        <v>21</v>
      </c>
      <c r="G1839" s="3" t="s">
        <v>410</v>
      </c>
      <c r="H1839" s="3" t="s">
        <v>411</v>
      </c>
      <c r="I1839" s="3" t="s">
        <v>24</v>
      </c>
      <c r="J1839" s="3" t="s">
        <v>24</v>
      </c>
      <c r="K1839" s="3" t="s">
        <v>25</v>
      </c>
      <c r="L1839" s="4">
        <v>0</v>
      </c>
      <c r="M1839" s="3" t="s">
        <v>26</v>
      </c>
      <c r="N1839" s="3" t="s">
        <v>24</v>
      </c>
      <c r="O1839" s="4">
        <v>1</v>
      </c>
      <c r="P1839" s="4">
        <v>3</v>
      </c>
      <c r="Q1839" s="4">
        <v>1</v>
      </c>
    </row>
    <row r="1840" spans="1:17" x14ac:dyDescent="0.25">
      <c r="A1840" s="3" t="s">
        <v>18</v>
      </c>
      <c r="B1840" s="3">
        <v>13924615</v>
      </c>
      <c r="C1840" s="3" t="s">
        <v>1883</v>
      </c>
      <c r="D1840" s="3" t="s">
        <v>20</v>
      </c>
      <c r="E1840" s="3" t="s">
        <v>21</v>
      </c>
      <c r="F1840" s="3" t="s">
        <v>21</v>
      </c>
      <c r="G1840" s="3" t="s">
        <v>410</v>
      </c>
      <c r="H1840" s="3" t="s">
        <v>411</v>
      </c>
      <c r="I1840" s="3" t="s">
        <v>24</v>
      </c>
      <c r="J1840" s="3" t="s">
        <v>24</v>
      </c>
      <c r="K1840" s="3" t="s">
        <v>25</v>
      </c>
      <c r="L1840" s="4">
        <v>0</v>
      </c>
      <c r="M1840" s="3" t="s">
        <v>26</v>
      </c>
      <c r="N1840" s="3" t="s">
        <v>24</v>
      </c>
      <c r="O1840" s="4">
        <v>1</v>
      </c>
      <c r="P1840" s="4">
        <v>2</v>
      </c>
      <c r="Q1840" s="4">
        <v>1</v>
      </c>
    </row>
    <row r="1841" spans="1:17" x14ac:dyDescent="0.25">
      <c r="A1841" s="3" t="s">
        <v>18</v>
      </c>
      <c r="B1841" s="3">
        <v>13924616</v>
      </c>
      <c r="C1841" s="3" t="s">
        <v>1884</v>
      </c>
      <c r="D1841" s="3" t="s">
        <v>20</v>
      </c>
      <c r="E1841" s="3" t="s">
        <v>21</v>
      </c>
      <c r="F1841" s="3" t="s">
        <v>21</v>
      </c>
      <c r="G1841" s="3" t="s">
        <v>410</v>
      </c>
      <c r="H1841" s="3" t="s">
        <v>411</v>
      </c>
      <c r="I1841" s="3" t="s">
        <v>24</v>
      </c>
      <c r="J1841" s="3" t="s">
        <v>24</v>
      </c>
      <c r="K1841" s="3" t="s">
        <v>25</v>
      </c>
      <c r="L1841" s="4">
        <v>0</v>
      </c>
      <c r="M1841" s="3" t="s">
        <v>26</v>
      </c>
      <c r="N1841" s="3" t="s">
        <v>24</v>
      </c>
      <c r="O1841" s="4">
        <v>1</v>
      </c>
      <c r="P1841" s="4">
        <v>3</v>
      </c>
      <c r="Q1841" s="4">
        <v>1</v>
      </c>
    </row>
    <row r="1842" spans="1:17" x14ac:dyDescent="0.25">
      <c r="A1842" s="3" t="s">
        <v>18</v>
      </c>
      <c r="B1842" s="3">
        <v>13924617</v>
      </c>
      <c r="C1842" s="3" t="s">
        <v>1885</v>
      </c>
      <c r="D1842" s="3" t="s">
        <v>20</v>
      </c>
      <c r="E1842" s="3" t="s">
        <v>21</v>
      </c>
      <c r="F1842" s="3" t="s">
        <v>21</v>
      </c>
      <c r="G1842" s="3" t="s">
        <v>410</v>
      </c>
      <c r="H1842" s="3" t="s">
        <v>411</v>
      </c>
      <c r="I1842" s="3" t="s">
        <v>24</v>
      </c>
      <c r="J1842" s="3" t="s">
        <v>24</v>
      </c>
      <c r="K1842" s="3" t="s">
        <v>25</v>
      </c>
      <c r="L1842" s="4">
        <v>0</v>
      </c>
      <c r="M1842" s="3" t="s">
        <v>26</v>
      </c>
      <c r="N1842" s="3" t="s">
        <v>24</v>
      </c>
      <c r="O1842" s="4">
        <v>1</v>
      </c>
      <c r="P1842" s="4">
        <v>2</v>
      </c>
      <c r="Q1842" s="4">
        <v>1</v>
      </c>
    </row>
    <row r="1843" spans="1:17" x14ac:dyDescent="0.25">
      <c r="A1843" s="3" t="s">
        <v>18</v>
      </c>
      <c r="B1843" s="3">
        <v>13924680</v>
      </c>
      <c r="C1843" s="3" t="s">
        <v>1886</v>
      </c>
      <c r="D1843" s="3" t="s">
        <v>20</v>
      </c>
      <c r="E1843" s="3" t="s">
        <v>21</v>
      </c>
      <c r="F1843" s="3" t="s">
        <v>21</v>
      </c>
      <c r="G1843" s="3" t="s">
        <v>410</v>
      </c>
      <c r="H1843" s="3" t="s">
        <v>411</v>
      </c>
      <c r="I1843" s="3" t="s">
        <v>24</v>
      </c>
      <c r="J1843" s="3" t="s">
        <v>24</v>
      </c>
      <c r="K1843" s="3" t="s">
        <v>25</v>
      </c>
      <c r="L1843" s="4">
        <v>0</v>
      </c>
      <c r="M1843" s="3" t="s">
        <v>26</v>
      </c>
      <c r="N1843" s="3" t="s">
        <v>24</v>
      </c>
      <c r="O1843" s="4">
        <v>1</v>
      </c>
      <c r="P1843" s="4">
        <v>1</v>
      </c>
      <c r="Q1843" s="4">
        <v>1</v>
      </c>
    </row>
    <row r="1844" spans="1:17" x14ac:dyDescent="0.25">
      <c r="A1844" s="3" t="s">
        <v>18</v>
      </c>
      <c r="B1844" s="3">
        <v>13924683</v>
      </c>
      <c r="C1844" s="3" t="s">
        <v>1887</v>
      </c>
      <c r="D1844" s="3" t="s">
        <v>20</v>
      </c>
      <c r="E1844" s="3" t="s">
        <v>21</v>
      </c>
      <c r="F1844" s="3" t="s">
        <v>21</v>
      </c>
      <c r="G1844" s="3" t="s">
        <v>410</v>
      </c>
      <c r="H1844" s="3" t="s">
        <v>411</v>
      </c>
      <c r="I1844" s="3" t="s">
        <v>24</v>
      </c>
      <c r="J1844" s="3" t="s">
        <v>24</v>
      </c>
      <c r="K1844" s="3" t="s">
        <v>25</v>
      </c>
      <c r="L1844" s="4">
        <v>0</v>
      </c>
      <c r="M1844" s="3" t="s">
        <v>26</v>
      </c>
      <c r="N1844" s="3" t="s">
        <v>24</v>
      </c>
      <c r="O1844" s="4">
        <v>1</v>
      </c>
      <c r="P1844" s="4">
        <v>1</v>
      </c>
      <c r="Q1844" s="4">
        <v>1</v>
      </c>
    </row>
    <row r="1845" spans="1:17" x14ac:dyDescent="0.25">
      <c r="A1845" s="3" t="s">
        <v>18</v>
      </c>
      <c r="B1845" s="3">
        <v>13924685</v>
      </c>
      <c r="C1845" s="3" t="s">
        <v>1888</v>
      </c>
      <c r="D1845" s="3" t="s">
        <v>20</v>
      </c>
      <c r="E1845" s="3" t="s">
        <v>21</v>
      </c>
      <c r="F1845" s="3" t="s">
        <v>21</v>
      </c>
      <c r="G1845" s="3" t="s">
        <v>410</v>
      </c>
      <c r="H1845" s="3" t="s">
        <v>411</v>
      </c>
      <c r="I1845" s="3" t="s">
        <v>24</v>
      </c>
      <c r="J1845" s="3" t="s">
        <v>24</v>
      </c>
      <c r="K1845" s="3" t="s">
        <v>25</v>
      </c>
      <c r="L1845" s="4">
        <v>0</v>
      </c>
      <c r="M1845" s="3" t="s">
        <v>26</v>
      </c>
      <c r="N1845" s="3" t="s">
        <v>24</v>
      </c>
      <c r="O1845" s="4">
        <v>1</v>
      </c>
      <c r="P1845" s="4">
        <v>4</v>
      </c>
      <c r="Q1845" s="4">
        <v>1</v>
      </c>
    </row>
    <row r="1846" spans="1:17" x14ac:dyDescent="0.25">
      <c r="A1846" s="3" t="s">
        <v>18</v>
      </c>
      <c r="B1846" s="3">
        <v>13924687</v>
      </c>
      <c r="C1846" s="3" t="s">
        <v>1889</v>
      </c>
      <c r="D1846" s="3" t="s">
        <v>20</v>
      </c>
      <c r="E1846" s="3" t="s">
        <v>21</v>
      </c>
      <c r="F1846" s="3" t="s">
        <v>21</v>
      </c>
      <c r="G1846" s="3" t="s">
        <v>410</v>
      </c>
      <c r="H1846" s="3" t="s">
        <v>411</v>
      </c>
      <c r="I1846" s="3" t="s">
        <v>24</v>
      </c>
      <c r="J1846" s="3" t="s">
        <v>24</v>
      </c>
      <c r="K1846" s="3" t="s">
        <v>25</v>
      </c>
      <c r="L1846" s="4">
        <v>0</v>
      </c>
      <c r="M1846" s="3" t="s">
        <v>26</v>
      </c>
      <c r="N1846" s="3" t="s">
        <v>24</v>
      </c>
      <c r="O1846" s="4">
        <v>1</v>
      </c>
      <c r="P1846" s="4">
        <v>4</v>
      </c>
      <c r="Q1846" s="4">
        <v>1</v>
      </c>
    </row>
    <row r="1847" spans="1:17" x14ac:dyDescent="0.25">
      <c r="A1847" s="3" t="s">
        <v>18</v>
      </c>
      <c r="B1847" s="3">
        <v>13924728</v>
      </c>
      <c r="C1847" s="3" t="s">
        <v>1890</v>
      </c>
      <c r="D1847" s="3" t="s">
        <v>20</v>
      </c>
      <c r="E1847" s="3" t="s">
        <v>21</v>
      </c>
      <c r="F1847" s="3" t="s">
        <v>21</v>
      </c>
      <c r="G1847" s="3" t="s">
        <v>410</v>
      </c>
      <c r="H1847" s="3" t="s">
        <v>411</v>
      </c>
      <c r="I1847" s="3" t="s">
        <v>24</v>
      </c>
      <c r="J1847" s="3" t="s">
        <v>24</v>
      </c>
      <c r="K1847" s="3" t="s">
        <v>25</v>
      </c>
      <c r="L1847" s="4">
        <v>0</v>
      </c>
      <c r="M1847" s="3" t="s">
        <v>26</v>
      </c>
      <c r="N1847" s="3" t="s">
        <v>24</v>
      </c>
      <c r="O1847" s="4">
        <v>1</v>
      </c>
      <c r="P1847" s="4">
        <v>4</v>
      </c>
      <c r="Q1847" s="4">
        <v>1</v>
      </c>
    </row>
    <row r="1848" spans="1:17" x14ac:dyDescent="0.25">
      <c r="A1848" s="3" t="s">
        <v>18</v>
      </c>
      <c r="B1848" s="3">
        <v>13924730</v>
      </c>
      <c r="C1848" s="3" t="s">
        <v>1891</v>
      </c>
      <c r="D1848" s="3" t="s">
        <v>20</v>
      </c>
      <c r="E1848" s="3" t="s">
        <v>21</v>
      </c>
      <c r="F1848" s="3" t="s">
        <v>21</v>
      </c>
      <c r="G1848" s="3" t="s">
        <v>410</v>
      </c>
      <c r="H1848" s="3" t="s">
        <v>411</v>
      </c>
      <c r="I1848" s="3" t="s">
        <v>24</v>
      </c>
      <c r="J1848" s="3" t="s">
        <v>24</v>
      </c>
      <c r="K1848" s="3" t="s">
        <v>25</v>
      </c>
      <c r="L1848" s="4">
        <v>0</v>
      </c>
      <c r="M1848" s="3" t="s">
        <v>26</v>
      </c>
      <c r="N1848" s="3" t="s">
        <v>24</v>
      </c>
      <c r="O1848" s="4">
        <v>1</v>
      </c>
      <c r="P1848" s="4">
        <v>4</v>
      </c>
      <c r="Q1848" s="4">
        <v>1</v>
      </c>
    </row>
    <row r="1849" spans="1:17" x14ac:dyDescent="0.25">
      <c r="A1849" s="3" t="s">
        <v>18</v>
      </c>
      <c r="B1849" s="3">
        <v>13924731</v>
      </c>
      <c r="C1849" s="3" t="s">
        <v>1892</v>
      </c>
      <c r="D1849" s="3" t="s">
        <v>20</v>
      </c>
      <c r="E1849" s="3" t="s">
        <v>21</v>
      </c>
      <c r="F1849" s="3" t="s">
        <v>21</v>
      </c>
      <c r="G1849" s="3" t="s">
        <v>410</v>
      </c>
      <c r="H1849" s="3" t="s">
        <v>411</v>
      </c>
      <c r="I1849" s="3" t="s">
        <v>24</v>
      </c>
      <c r="J1849" s="3" t="s">
        <v>24</v>
      </c>
      <c r="K1849" s="3" t="s">
        <v>25</v>
      </c>
      <c r="L1849" s="4">
        <v>0</v>
      </c>
      <c r="M1849" s="3" t="s">
        <v>26</v>
      </c>
      <c r="N1849" s="3" t="s">
        <v>24</v>
      </c>
      <c r="O1849" s="4">
        <v>1</v>
      </c>
      <c r="P1849" s="4">
        <v>4</v>
      </c>
      <c r="Q1849" s="4">
        <v>1</v>
      </c>
    </row>
    <row r="1850" spans="1:17" x14ac:dyDescent="0.25">
      <c r="A1850" s="3" t="s">
        <v>18</v>
      </c>
      <c r="B1850" s="3">
        <v>13924733</v>
      </c>
      <c r="C1850" s="3" t="s">
        <v>1893</v>
      </c>
      <c r="D1850" s="3" t="s">
        <v>20</v>
      </c>
      <c r="E1850" s="3" t="s">
        <v>21</v>
      </c>
      <c r="F1850" s="3" t="s">
        <v>21</v>
      </c>
      <c r="G1850" s="3" t="s">
        <v>410</v>
      </c>
      <c r="H1850" s="3" t="s">
        <v>411</v>
      </c>
      <c r="I1850" s="3" t="s">
        <v>24</v>
      </c>
      <c r="J1850" s="3" t="s">
        <v>24</v>
      </c>
      <c r="K1850" s="3" t="s">
        <v>25</v>
      </c>
      <c r="L1850" s="4">
        <v>0</v>
      </c>
      <c r="M1850" s="3" t="s">
        <v>26</v>
      </c>
      <c r="N1850" s="3" t="s">
        <v>24</v>
      </c>
      <c r="O1850" s="4">
        <v>1</v>
      </c>
      <c r="P1850" s="4">
        <v>4</v>
      </c>
      <c r="Q1850" s="4">
        <v>1</v>
      </c>
    </row>
    <row r="1851" spans="1:17" x14ac:dyDescent="0.25">
      <c r="A1851" s="3" t="s">
        <v>18</v>
      </c>
      <c r="B1851" s="3">
        <v>13924734</v>
      </c>
      <c r="C1851" s="3" t="s">
        <v>1894</v>
      </c>
      <c r="D1851" s="3" t="s">
        <v>20</v>
      </c>
      <c r="E1851" s="3" t="s">
        <v>21</v>
      </c>
      <c r="F1851" s="3" t="s">
        <v>21</v>
      </c>
      <c r="G1851" s="3" t="s">
        <v>410</v>
      </c>
      <c r="H1851" s="3" t="s">
        <v>411</v>
      </c>
      <c r="I1851" s="3" t="s">
        <v>24</v>
      </c>
      <c r="J1851" s="3" t="s">
        <v>24</v>
      </c>
      <c r="K1851" s="3" t="s">
        <v>25</v>
      </c>
      <c r="L1851" s="4">
        <v>0</v>
      </c>
      <c r="M1851" s="3" t="s">
        <v>26</v>
      </c>
      <c r="N1851" s="3" t="s">
        <v>24</v>
      </c>
      <c r="O1851" s="4">
        <v>1</v>
      </c>
      <c r="P1851" s="4">
        <v>4</v>
      </c>
      <c r="Q1851" s="4">
        <v>1</v>
      </c>
    </row>
    <row r="1852" spans="1:17" x14ac:dyDescent="0.25">
      <c r="A1852" s="3" t="s">
        <v>18</v>
      </c>
      <c r="B1852" s="3">
        <v>13924735</v>
      </c>
      <c r="C1852" s="3" t="s">
        <v>1895</v>
      </c>
      <c r="D1852" s="3" t="s">
        <v>20</v>
      </c>
      <c r="E1852" s="3" t="s">
        <v>21</v>
      </c>
      <c r="F1852" s="3" t="s">
        <v>21</v>
      </c>
      <c r="G1852" s="3" t="s">
        <v>410</v>
      </c>
      <c r="H1852" s="3" t="s">
        <v>411</v>
      </c>
      <c r="I1852" s="3" t="s">
        <v>24</v>
      </c>
      <c r="J1852" s="3" t="s">
        <v>24</v>
      </c>
      <c r="K1852" s="3" t="s">
        <v>25</v>
      </c>
      <c r="L1852" s="4">
        <v>0</v>
      </c>
      <c r="M1852" s="3" t="s">
        <v>26</v>
      </c>
      <c r="N1852" s="3" t="s">
        <v>24</v>
      </c>
      <c r="O1852" s="4">
        <v>1</v>
      </c>
      <c r="P1852" s="4">
        <v>3</v>
      </c>
      <c r="Q1852" s="4">
        <v>1</v>
      </c>
    </row>
    <row r="1853" spans="1:17" x14ac:dyDescent="0.25">
      <c r="A1853" s="3" t="s">
        <v>18</v>
      </c>
      <c r="B1853" s="3">
        <v>13924758</v>
      </c>
      <c r="C1853" s="3" t="s">
        <v>1896</v>
      </c>
      <c r="D1853" s="3" t="s">
        <v>20</v>
      </c>
      <c r="E1853" s="3" t="s">
        <v>21</v>
      </c>
      <c r="F1853" s="3" t="s">
        <v>21</v>
      </c>
      <c r="G1853" s="3" t="s">
        <v>410</v>
      </c>
      <c r="H1853" s="3" t="s">
        <v>411</v>
      </c>
      <c r="I1853" s="3" t="s">
        <v>24</v>
      </c>
      <c r="J1853" s="3" t="s">
        <v>24</v>
      </c>
      <c r="K1853" s="3" t="s">
        <v>25</v>
      </c>
      <c r="L1853" s="4">
        <v>0</v>
      </c>
      <c r="M1853" s="3" t="s">
        <v>26</v>
      </c>
      <c r="N1853" s="3" t="s">
        <v>24</v>
      </c>
      <c r="O1853" s="4">
        <v>1</v>
      </c>
      <c r="P1853" s="4">
        <v>2</v>
      </c>
      <c r="Q1853" s="4">
        <v>1</v>
      </c>
    </row>
    <row r="1854" spans="1:17" x14ac:dyDescent="0.25">
      <c r="A1854" s="3" t="s">
        <v>18</v>
      </c>
      <c r="B1854" s="3">
        <v>13924760</v>
      </c>
      <c r="C1854" s="3" t="s">
        <v>1897</v>
      </c>
      <c r="D1854" s="3" t="s">
        <v>20</v>
      </c>
      <c r="E1854" s="3" t="s">
        <v>21</v>
      </c>
      <c r="F1854" s="3" t="s">
        <v>21</v>
      </c>
      <c r="G1854" s="3" t="s">
        <v>410</v>
      </c>
      <c r="H1854" s="3" t="s">
        <v>411</v>
      </c>
      <c r="I1854" s="3" t="s">
        <v>24</v>
      </c>
      <c r="J1854" s="3" t="s">
        <v>24</v>
      </c>
      <c r="K1854" s="3" t="s">
        <v>25</v>
      </c>
      <c r="L1854" s="4">
        <v>0</v>
      </c>
      <c r="M1854" s="3" t="s">
        <v>26</v>
      </c>
      <c r="N1854" s="3" t="s">
        <v>24</v>
      </c>
      <c r="O1854" s="4">
        <v>1</v>
      </c>
      <c r="P1854" s="4">
        <v>3</v>
      </c>
      <c r="Q1854" s="4">
        <v>1</v>
      </c>
    </row>
    <row r="1855" spans="1:17" x14ac:dyDescent="0.25">
      <c r="A1855" s="3" t="s">
        <v>18</v>
      </c>
      <c r="B1855" s="3">
        <v>13924857</v>
      </c>
      <c r="C1855" s="3" t="s">
        <v>1898</v>
      </c>
      <c r="D1855" s="3" t="s">
        <v>20</v>
      </c>
      <c r="E1855" s="3" t="s">
        <v>21</v>
      </c>
      <c r="F1855" s="3" t="s">
        <v>21</v>
      </c>
      <c r="G1855" s="3" t="s">
        <v>410</v>
      </c>
      <c r="H1855" s="3" t="s">
        <v>411</v>
      </c>
      <c r="I1855" s="3" t="s">
        <v>24</v>
      </c>
      <c r="J1855" s="3" t="s">
        <v>24</v>
      </c>
      <c r="K1855" s="3" t="s">
        <v>25</v>
      </c>
      <c r="L1855" s="4">
        <v>0</v>
      </c>
      <c r="M1855" s="3" t="s">
        <v>26</v>
      </c>
      <c r="N1855" s="3" t="s">
        <v>24</v>
      </c>
      <c r="O1855" s="4">
        <v>1</v>
      </c>
      <c r="P1855" s="4">
        <v>4</v>
      </c>
      <c r="Q1855" s="4">
        <v>1</v>
      </c>
    </row>
    <row r="1856" spans="1:17" x14ac:dyDescent="0.25">
      <c r="A1856" s="3" t="s">
        <v>18</v>
      </c>
      <c r="B1856" s="3">
        <v>13924940</v>
      </c>
      <c r="C1856" s="3" t="s">
        <v>1899</v>
      </c>
      <c r="D1856" s="3" t="s">
        <v>20</v>
      </c>
      <c r="E1856" s="3" t="s">
        <v>21</v>
      </c>
      <c r="F1856" s="3" t="s">
        <v>21</v>
      </c>
      <c r="G1856" s="3" t="s">
        <v>410</v>
      </c>
      <c r="H1856" s="3" t="s">
        <v>411</v>
      </c>
      <c r="I1856" s="3" t="s">
        <v>24</v>
      </c>
      <c r="J1856" s="3" t="s">
        <v>24</v>
      </c>
      <c r="K1856" s="3" t="s">
        <v>25</v>
      </c>
      <c r="L1856" s="4">
        <v>0</v>
      </c>
      <c r="M1856" s="3" t="s">
        <v>26</v>
      </c>
      <c r="N1856" s="3" t="s">
        <v>24</v>
      </c>
      <c r="O1856" s="4">
        <v>1</v>
      </c>
      <c r="P1856" s="4">
        <v>4</v>
      </c>
      <c r="Q1856" s="4">
        <v>1</v>
      </c>
    </row>
    <row r="1857" spans="1:17" x14ac:dyDescent="0.25">
      <c r="A1857" s="3" t="s">
        <v>18</v>
      </c>
      <c r="B1857" s="3">
        <v>13924995</v>
      </c>
      <c r="C1857" s="3" t="s">
        <v>1900</v>
      </c>
      <c r="D1857" s="3" t="s">
        <v>20</v>
      </c>
      <c r="E1857" s="3" t="s">
        <v>21</v>
      </c>
      <c r="F1857" s="3" t="s">
        <v>21</v>
      </c>
      <c r="G1857" s="3" t="s">
        <v>410</v>
      </c>
      <c r="H1857" s="3" t="s">
        <v>411</v>
      </c>
      <c r="I1857" s="3" t="s">
        <v>24</v>
      </c>
      <c r="J1857" s="3" t="s">
        <v>24</v>
      </c>
      <c r="K1857" s="3" t="s">
        <v>25</v>
      </c>
      <c r="L1857" s="4">
        <v>0</v>
      </c>
      <c r="M1857" s="3" t="s">
        <v>26</v>
      </c>
      <c r="N1857" s="3" t="s">
        <v>24</v>
      </c>
      <c r="O1857" s="4">
        <v>1</v>
      </c>
      <c r="P1857" s="4">
        <v>4</v>
      </c>
      <c r="Q1857" s="4">
        <v>1</v>
      </c>
    </row>
    <row r="1858" spans="1:17" x14ac:dyDescent="0.25">
      <c r="A1858" s="3" t="s">
        <v>18</v>
      </c>
      <c r="B1858" s="3">
        <v>13924996</v>
      </c>
      <c r="C1858" s="3" t="s">
        <v>1901</v>
      </c>
      <c r="D1858" s="3" t="s">
        <v>20</v>
      </c>
      <c r="E1858" s="3" t="s">
        <v>21</v>
      </c>
      <c r="F1858" s="3" t="s">
        <v>21</v>
      </c>
      <c r="G1858" s="3" t="s">
        <v>410</v>
      </c>
      <c r="H1858" s="3" t="s">
        <v>411</v>
      </c>
      <c r="I1858" s="3" t="s">
        <v>24</v>
      </c>
      <c r="J1858" s="3" t="s">
        <v>24</v>
      </c>
      <c r="K1858" s="3" t="s">
        <v>25</v>
      </c>
      <c r="L1858" s="4">
        <v>0</v>
      </c>
      <c r="M1858" s="3" t="s">
        <v>26</v>
      </c>
      <c r="N1858" s="3" t="s">
        <v>24</v>
      </c>
      <c r="O1858" s="4">
        <v>1</v>
      </c>
      <c r="P1858" s="4">
        <v>4</v>
      </c>
      <c r="Q1858" s="4">
        <v>1</v>
      </c>
    </row>
    <row r="1859" spans="1:17" x14ac:dyDescent="0.25">
      <c r="A1859" s="3" t="s">
        <v>18</v>
      </c>
      <c r="B1859" s="3">
        <v>13924997</v>
      </c>
      <c r="C1859" s="3" t="s">
        <v>1902</v>
      </c>
      <c r="D1859" s="3" t="s">
        <v>20</v>
      </c>
      <c r="E1859" s="3" t="s">
        <v>21</v>
      </c>
      <c r="F1859" s="3" t="s">
        <v>21</v>
      </c>
      <c r="G1859" s="3" t="s">
        <v>410</v>
      </c>
      <c r="H1859" s="3" t="s">
        <v>411</v>
      </c>
      <c r="I1859" s="3" t="s">
        <v>24</v>
      </c>
      <c r="J1859" s="3" t="s">
        <v>24</v>
      </c>
      <c r="K1859" s="3" t="s">
        <v>25</v>
      </c>
      <c r="L1859" s="4">
        <v>0</v>
      </c>
      <c r="M1859" s="3" t="s">
        <v>26</v>
      </c>
      <c r="N1859" s="3" t="s">
        <v>24</v>
      </c>
      <c r="O1859" s="4">
        <v>1</v>
      </c>
      <c r="P1859" s="4">
        <v>4</v>
      </c>
      <c r="Q1859" s="4">
        <v>1</v>
      </c>
    </row>
    <row r="1860" spans="1:17" x14ac:dyDescent="0.25">
      <c r="A1860" s="3" t="s">
        <v>18</v>
      </c>
      <c r="B1860" s="3">
        <v>13925079</v>
      </c>
      <c r="C1860" s="3" t="s">
        <v>1903</v>
      </c>
      <c r="D1860" s="3" t="s">
        <v>20</v>
      </c>
      <c r="E1860" s="3" t="s">
        <v>21</v>
      </c>
      <c r="F1860" s="3" t="s">
        <v>21</v>
      </c>
      <c r="G1860" s="3" t="s">
        <v>410</v>
      </c>
      <c r="H1860" s="3" t="s">
        <v>411</v>
      </c>
      <c r="I1860" s="3" t="s">
        <v>24</v>
      </c>
      <c r="J1860" s="3" t="s">
        <v>24</v>
      </c>
      <c r="K1860" s="3" t="s">
        <v>25</v>
      </c>
      <c r="L1860" s="4">
        <v>0</v>
      </c>
      <c r="M1860" s="3" t="s">
        <v>26</v>
      </c>
      <c r="N1860" s="3" t="s">
        <v>24</v>
      </c>
      <c r="O1860" s="4">
        <v>1</v>
      </c>
      <c r="P1860" s="4">
        <v>4</v>
      </c>
      <c r="Q1860" s="4">
        <v>1</v>
      </c>
    </row>
    <row r="1861" spans="1:17" x14ac:dyDescent="0.25">
      <c r="A1861" s="3" t="s">
        <v>18</v>
      </c>
      <c r="B1861" s="3">
        <v>13925080</v>
      </c>
      <c r="C1861" s="3" t="s">
        <v>1904</v>
      </c>
      <c r="D1861" s="3" t="s">
        <v>20</v>
      </c>
      <c r="E1861" s="3" t="s">
        <v>21</v>
      </c>
      <c r="F1861" s="3" t="s">
        <v>21</v>
      </c>
      <c r="G1861" s="3" t="s">
        <v>410</v>
      </c>
      <c r="H1861" s="3" t="s">
        <v>411</v>
      </c>
      <c r="I1861" s="3" t="s">
        <v>24</v>
      </c>
      <c r="J1861" s="3" t="s">
        <v>24</v>
      </c>
      <c r="K1861" s="3" t="s">
        <v>25</v>
      </c>
      <c r="L1861" s="4">
        <v>0</v>
      </c>
      <c r="M1861" s="3" t="s">
        <v>26</v>
      </c>
      <c r="N1861" s="3" t="s">
        <v>24</v>
      </c>
      <c r="O1861" s="4">
        <v>1</v>
      </c>
      <c r="P1861" s="4">
        <v>4</v>
      </c>
      <c r="Q1861" s="4">
        <v>1</v>
      </c>
    </row>
    <row r="1862" spans="1:17" x14ac:dyDescent="0.25">
      <c r="A1862" s="3" t="s">
        <v>18</v>
      </c>
      <c r="B1862" s="3">
        <v>13925081</v>
      </c>
      <c r="C1862" s="3" t="s">
        <v>1905</v>
      </c>
      <c r="D1862" s="3" t="s">
        <v>20</v>
      </c>
      <c r="E1862" s="3" t="s">
        <v>21</v>
      </c>
      <c r="F1862" s="3" t="s">
        <v>21</v>
      </c>
      <c r="G1862" s="3" t="s">
        <v>410</v>
      </c>
      <c r="H1862" s="3" t="s">
        <v>411</v>
      </c>
      <c r="I1862" s="3" t="s">
        <v>24</v>
      </c>
      <c r="J1862" s="3" t="s">
        <v>24</v>
      </c>
      <c r="K1862" s="3" t="s">
        <v>25</v>
      </c>
      <c r="L1862" s="4">
        <v>0</v>
      </c>
      <c r="M1862" s="3" t="s">
        <v>26</v>
      </c>
      <c r="N1862" s="3" t="s">
        <v>24</v>
      </c>
      <c r="O1862" s="4">
        <v>1</v>
      </c>
      <c r="P1862" s="4">
        <v>4</v>
      </c>
      <c r="Q1862" s="4">
        <v>1</v>
      </c>
    </row>
    <row r="1863" spans="1:17" x14ac:dyDescent="0.25">
      <c r="A1863" s="3" t="s">
        <v>18</v>
      </c>
      <c r="B1863" s="3">
        <v>13925082</v>
      </c>
      <c r="C1863" s="3" t="s">
        <v>1906</v>
      </c>
      <c r="D1863" s="3" t="s">
        <v>20</v>
      </c>
      <c r="E1863" s="3" t="s">
        <v>21</v>
      </c>
      <c r="F1863" s="3" t="s">
        <v>21</v>
      </c>
      <c r="G1863" s="3" t="s">
        <v>410</v>
      </c>
      <c r="H1863" s="3" t="s">
        <v>411</v>
      </c>
      <c r="I1863" s="3" t="s">
        <v>24</v>
      </c>
      <c r="J1863" s="3" t="s">
        <v>24</v>
      </c>
      <c r="K1863" s="3" t="s">
        <v>25</v>
      </c>
      <c r="L1863" s="4">
        <v>0</v>
      </c>
      <c r="M1863" s="3" t="s">
        <v>26</v>
      </c>
      <c r="N1863" s="3" t="s">
        <v>24</v>
      </c>
      <c r="O1863" s="4">
        <v>1</v>
      </c>
      <c r="P1863" s="4">
        <v>3</v>
      </c>
      <c r="Q1863" s="4">
        <v>1</v>
      </c>
    </row>
    <row r="1864" spans="1:17" x14ac:dyDescent="0.25">
      <c r="A1864" s="3" t="s">
        <v>18</v>
      </c>
      <c r="B1864" s="3">
        <v>13925086</v>
      </c>
      <c r="C1864" s="3" t="s">
        <v>1907</v>
      </c>
      <c r="D1864" s="3" t="s">
        <v>20</v>
      </c>
      <c r="E1864" s="3" t="s">
        <v>21</v>
      </c>
      <c r="F1864" s="3" t="s">
        <v>21</v>
      </c>
      <c r="G1864" s="3" t="s">
        <v>410</v>
      </c>
      <c r="H1864" s="3" t="s">
        <v>411</v>
      </c>
      <c r="I1864" s="3" t="s">
        <v>24</v>
      </c>
      <c r="J1864" s="3" t="s">
        <v>24</v>
      </c>
      <c r="K1864" s="3" t="s">
        <v>25</v>
      </c>
      <c r="L1864" s="4">
        <v>0</v>
      </c>
      <c r="M1864" s="3" t="s">
        <v>26</v>
      </c>
      <c r="N1864" s="3" t="s">
        <v>24</v>
      </c>
      <c r="O1864" s="4">
        <v>1</v>
      </c>
      <c r="P1864" s="4">
        <v>3</v>
      </c>
      <c r="Q1864" s="4">
        <v>1</v>
      </c>
    </row>
    <row r="1865" spans="1:17" x14ac:dyDescent="0.25">
      <c r="A1865" s="3" t="s">
        <v>18</v>
      </c>
      <c r="B1865" s="3">
        <v>13925087</v>
      </c>
      <c r="C1865" s="3" t="s">
        <v>1908</v>
      </c>
      <c r="D1865" s="3" t="s">
        <v>20</v>
      </c>
      <c r="E1865" s="3" t="s">
        <v>21</v>
      </c>
      <c r="F1865" s="3" t="s">
        <v>21</v>
      </c>
      <c r="G1865" s="3" t="s">
        <v>410</v>
      </c>
      <c r="H1865" s="3" t="s">
        <v>411</v>
      </c>
      <c r="I1865" s="3" t="s">
        <v>24</v>
      </c>
      <c r="J1865" s="3" t="s">
        <v>24</v>
      </c>
      <c r="K1865" s="3" t="s">
        <v>25</v>
      </c>
      <c r="L1865" s="4">
        <v>0</v>
      </c>
      <c r="M1865" s="3" t="s">
        <v>26</v>
      </c>
      <c r="N1865" s="3" t="s">
        <v>24</v>
      </c>
      <c r="O1865" s="4">
        <v>1</v>
      </c>
      <c r="P1865" s="4">
        <v>3</v>
      </c>
      <c r="Q1865" s="4">
        <v>1</v>
      </c>
    </row>
    <row r="1866" spans="1:17" x14ac:dyDescent="0.25">
      <c r="A1866" s="3" t="s">
        <v>18</v>
      </c>
      <c r="B1866" s="3">
        <v>13925140</v>
      </c>
      <c r="C1866" s="3" t="s">
        <v>1909</v>
      </c>
      <c r="D1866" s="3" t="s">
        <v>20</v>
      </c>
      <c r="E1866" s="3" t="s">
        <v>21</v>
      </c>
      <c r="F1866" s="3" t="s">
        <v>21</v>
      </c>
      <c r="G1866" s="3" t="s">
        <v>410</v>
      </c>
      <c r="H1866" s="3" t="s">
        <v>411</v>
      </c>
      <c r="I1866" s="3" t="s">
        <v>24</v>
      </c>
      <c r="J1866" s="3" t="s">
        <v>24</v>
      </c>
      <c r="K1866" s="3" t="s">
        <v>25</v>
      </c>
      <c r="L1866" s="4">
        <v>0</v>
      </c>
      <c r="M1866" s="3" t="s">
        <v>26</v>
      </c>
      <c r="N1866" s="3" t="s">
        <v>24</v>
      </c>
      <c r="O1866" s="4">
        <v>1</v>
      </c>
      <c r="P1866" s="4">
        <v>2</v>
      </c>
      <c r="Q1866" s="4">
        <v>1</v>
      </c>
    </row>
    <row r="1867" spans="1:17" x14ac:dyDescent="0.25">
      <c r="A1867" s="3" t="s">
        <v>18</v>
      </c>
      <c r="B1867" s="3">
        <v>13925282</v>
      </c>
      <c r="C1867" s="3" t="s">
        <v>1910</v>
      </c>
      <c r="D1867" s="3" t="s">
        <v>20</v>
      </c>
      <c r="E1867" s="3" t="s">
        <v>21</v>
      </c>
      <c r="F1867" s="3" t="s">
        <v>21</v>
      </c>
      <c r="G1867" s="3" t="s">
        <v>410</v>
      </c>
      <c r="H1867" s="3" t="s">
        <v>411</v>
      </c>
      <c r="I1867" s="3" t="s">
        <v>24</v>
      </c>
      <c r="J1867" s="3" t="s">
        <v>24</v>
      </c>
      <c r="K1867" s="3" t="s">
        <v>25</v>
      </c>
      <c r="L1867" s="4">
        <v>0</v>
      </c>
      <c r="M1867" s="3" t="s">
        <v>26</v>
      </c>
      <c r="N1867" s="3" t="s">
        <v>24</v>
      </c>
      <c r="O1867" s="4">
        <v>1</v>
      </c>
      <c r="P1867" s="4">
        <v>4</v>
      </c>
      <c r="Q1867" s="4">
        <v>1</v>
      </c>
    </row>
    <row r="1868" spans="1:17" x14ac:dyDescent="0.25">
      <c r="A1868" s="3" t="s">
        <v>18</v>
      </c>
      <c r="B1868" s="3">
        <v>13925285</v>
      </c>
      <c r="C1868" s="3" t="s">
        <v>1911</v>
      </c>
      <c r="D1868" s="3" t="s">
        <v>20</v>
      </c>
      <c r="E1868" s="3" t="s">
        <v>21</v>
      </c>
      <c r="F1868" s="3" t="s">
        <v>21</v>
      </c>
      <c r="G1868" s="3" t="s">
        <v>410</v>
      </c>
      <c r="H1868" s="3" t="s">
        <v>411</v>
      </c>
      <c r="I1868" s="3" t="s">
        <v>24</v>
      </c>
      <c r="J1868" s="3" t="s">
        <v>24</v>
      </c>
      <c r="K1868" s="3" t="s">
        <v>25</v>
      </c>
      <c r="L1868" s="4">
        <v>0</v>
      </c>
      <c r="M1868" s="3" t="s">
        <v>26</v>
      </c>
      <c r="N1868" s="3" t="s">
        <v>24</v>
      </c>
      <c r="O1868" s="4">
        <v>1</v>
      </c>
      <c r="P1868" s="4">
        <v>4</v>
      </c>
      <c r="Q1868" s="4">
        <v>1</v>
      </c>
    </row>
    <row r="1869" spans="1:17" x14ac:dyDescent="0.25">
      <c r="A1869" s="3" t="s">
        <v>18</v>
      </c>
      <c r="B1869" s="3">
        <v>13925286</v>
      </c>
      <c r="C1869" s="3" t="s">
        <v>1912</v>
      </c>
      <c r="D1869" s="3" t="s">
        <v>20</v>
      </c>
      <c r="E1869" s="3" t="s">
        <v>21</v>
      </c>
      <c r="F1869" s="3" t="s">
        <v>21</v>
      </c>
      <c r="G1869" s="3" t="s">
        <v>410</v>
      </c>
      <c r="H1869" s="3" t="s">
        <v>411</v>
      </c>
      <c r="I1869" s="3" t="s">
        <v>24</v>
      </c>
      <c r="J1869" s="3" t="s">
        <v>24</v>
      </c>
      <c r="K1869" s="3" t="s">
        <v>25</v>
      </c>
      <c r="L1869" s="4">
        <v>0</v>
      </c>
      <c r="M1869" s="3" t="s">
        <v>26</v>
      </c>
      <c r="N1869" s="3" t="s">
        <v>24</v>
      </c>
      <c r="O1869" s="4">
        <v>1</v>
      </c>
      <c r="P1869" s="4">
        <v>4</v>
      </c>
      <c r="Q1869" s="4">
        <v>1</v>
      </c>
    </row>
    <row r="1870" spans="1:17" x14ac:dyDescent="0.25">
      <c r="A1870" s="3" t="s">
        <v>18</v>
      </c>
      <c r="B1870" s="3">
        <v>13925287</v>
      </c>
      <c r="C1870" s="3" t="s">
        <v>1913</v>
      </c>
      <c r="D1870" s="3" t="s">
        <v>20</v>
      </c>
      <c r="E1870" s="3" t="s">
        <v>21</v>
      </c>
      <c r="F1870" s="3" t="s">
        <v>21</v>
      </c>
      <c r="G1870" s="3" t="s">
        <v>410</v>
      </c>
      <c r="H1870" s="3" t="s">
        <v>411</v>
      </c>
      <c r="I1870" s="3" t="s">
        <v>24</v>
      </c>
      <c r="J1870" s="3" t="s">
        <v>24</v>
      </c>
      <c r="K1870" s="3" t="s">
        <v>25</v>
      </c>
      <c r="L1870" s="4">
        <v>0</v>
      </c>
      <c r="M1870" s="3" t="s">
        <v>26</v>
      </c>
      <c r="N1870" s="3" t="s">
        <v>24</v>
      </c>
      <c r="O1870" s="4">
        <v>1</v>
      </c>
      <c r="P1870" s="4">
        <v>4</v>
      </c>
      <c r="Q1870" s="4">
        <v>1</v>
      </c>
    </row>
    <row r="1871" spans="1:17" x14ac:dyDescent="0.25">
      <c r="A1871" s="3" t="s">
        <v>18</v>
      </c>
      <c r="B1871" s="3">
        <v>13925338</v>
      </c>
      <c r="C1871" s="3" t="s">
        <v>1914</v>
      </c>
      <c r="D1871" s="3" t="s">
        <v>20</v>
      </c>
      <c r="E1871" s="3" t="s">
        <v>21</v>
      </c>
      <c r="F1871" s="3" t="s">
        <v>21</v>
      </c>
      <c r="G1871" s="3" t="s">
        <v>410</v>
      </c>
      <c r="H1871" s="3" t="s">
        <v>411</v>
      </c>
      <c r="I1871" s="3" t="s">
        <v>24</v>
      </c>
      <c r="J1871" s="3" t="s">
        <v>24</v>
      </c>
      <c r="K1871" s="3" t="s">
        <v>25</v>
      </c>
      <c r="L1871" s="4">
        <v>0</v>
      </c>
      <c r="M1871" s="3" t="s">
        <v>26</v>
      </c>
      <c r="N1871" s="3" t="s">
        <v>24</v>
      </c>
      <c r="O1871" s="4">
        <v>1</v>
      </c>
      <c r="P1871" s="4">
        <v>4</v>
      </c>
      <c r="Q1871" s="4">
        <v>1</v>
      </c>
    </row>
    <row r="1872" spans="1:17" x14ac:dyDescent="0.25">
      <c r="A1872" s="3" t="s">
        <v>18</v>
      </c>
      <c r="B1872" s="3">
        <v>13925339</v>
      </c>
      <c r="C1872" s="3" t="s">
        <v>1915</v>
      </c>
      <c r="D1872" s="3" t="s">
        <v>20</v>
      </c>
      <c r="E1872" s="3" t="s">
        <v>21</v>
      </c>
      <c r="F1872" s="3" t="s">
        <v>21</v>
      </c>
      <c r="G1872" s="3" t="s">
        <v>410</v>
      </c>
      <c r="H1872" s="3" t="s">
        <v>411</v>
      </c>
      <c r="I1872" s="3" t="s">
        <v>24</v>
      </c>
      <c r="J1872" s="3" t="s">
        <v>24</v>
      </c>
      <c r="K1872" s="3" t="s">
        <v>25</v>
      </c>
      <c r="L1872" s="4">
        <v>0</v>
      </c>
      <c r="M1872" s="3" t="s">
        <v>26</v>
      </c>
      <c r="N1872" s="3" t="s">
        <v>24</v>
      </c>
      <c r="O1872" s="4">
        <v>1</v>
      </c>
      <c r="P1872" s="4">
        <v>4</v>
      </c>
      <c r="Q1872" s="4">
        <v>1</v>
      </c>
    </row>
    <row r="1873" spans="1:17" x14ac:dyDescent="0.25">
      <c r="A1873" s="3" t="s">
        <v>18</v>
      </c>
      <c r="B1873" s="3">
        <v>13925340</v>
      </c>
      <c r="C1873" s="3" t="s">
        <v>1916</v>
      </c>
      <c r="D1873" s="3" t="s">
        <v>20</v>
      </c>
      <c r="E1873" s="3" t="s">
        <v>21</v>
      </c>
      <c r="F1873" s="3" t="s">
        <v>21</v>
      </c>
      <c r="G1873" s="3" t="s">
        <v>410</v>
      </c>
      <c r="H1873" s="3" t="s">
        <v>411</v>
      </c>
      <c r="I1873" s="3" t="s">
        <v>24</v>
      </c>
      <c r="J1873" s="3" t="s">
        <v>24</v>
      </c>
      <c r="K1873" s="3" t="s">
        <v>25</v>
      </c>
      <c r="L1873" s="4">
        <v>0</v>
      </c>
      <c r="M1873" s="3" t="s">
        <v>26</v>
      </c>
      <c r="N1873" s="3" t="s">
        <v>24</v>
      </c>
      <c r="O1873" s="4">
        <v>1</v>
      </c>
      <c r="P1873" s="4">
        <v>4</v>
      </c>
      <c r="Q1873" s="4">
        <v>1</v>
      </c>
    </row>
    <row r="1874" spans="1:17" x14ac:dyDescent="0.25">
      <c r="A1874" s="3" t="s">
        <v>18</v>
      </c>
      <c r="B1874" s="3">
        <v>13925342</v>
      </c>
      <c r="C1874" s="3" t="s">
        <v>1917</v>
      </c>
      <c r="D1874" s="3" t="s">
        <v>20</v>
      </c>
      <c r="E1874" s="3" t="s">
        <v>21</v>
      </c>
      <c r="F1874" s="3" t="s">
        <v>21</v>
      </c>
      <c r="G1874" s="3" t="s">
        <v>410</v>
      </c>
      <c r="H1874" s="3" t="s">
        <v>411</v>
      </c>
      <c r="I1874" s="3" t="s">
        <v>24</v>
      </c>
      <c r="J1874" s="3" t="s">
        <v>24</v>
      </c>
      <c r="K1874" s="3" t="s">
        <v>25</v>
      </c>
      <c r="L1874" s="4">
        <v>0</v>
      </c>
      <c r="M1874" s="3" t="s">
        <v>26</v>
      </c>
      <c r="N1874" s="3" t="s">
        <v>24</v>
      </c>
      <c r="O1874" s="4">
        <v>1</v>
      </c>
      <c r="P1874" s="4">
        <v>4</v>
      </c>
      <c r="Q1874" s="4">
        <v>1</v>
      </c>
    </row>
    <row r="1875" spans="1:17" x14ac:dyDescent="0.25">
      <c r="A1875" s="3" t="s">
        <v>18</v>
      </c>
      <c r="B1875" s="3">
        <v>13925343</v>
      </c>
      <c r="C1875" s="3" t="s">
        <v>1918</v>
      </c>
      <c r="D1875" s="3" t="s">
        <v>20</v>
      </c>
      <c r="E1875" s="3" t="s">
        <v>21</v>
      </c>
      <c r="F1875" s="3" t="s">
        <v>21</v>
      </c>
      <c r="G1875" s="3" t="s">
        <v>410</v>
      </c>
      <c r="H1875" s="3" t="s">
        <v>411</v>
      </c>
      <c r="I1875" s="3" t="s">
        <v>24</v>
      </c>
      <c r="J1875" s="3" t="s">
        <v>24</v>
      </c>
      <c r="K1875" s="3" t="s">
        <v>25</v>
      </c>
      <c r="L1875" s="4">
        <v>0</v>
      </c>
      <c r="M1875" s="3" t="s">
        <v>26</v>
      </c>
      <c r="N1875" s="3" t="s">
        <v>24</v>
      </c>
      <c r="O1875" s="4">
        <v>1</v>
      </c>
      <c r="P1875" s="4">
        <v>3</v>
      </c>
      <c r="Q1875" s="4">
        <v>1</v>
      </c>
    </row>
    <row r="1876" spans="1:17" x14ac:dyDescent="0.25">
      <c r="A1876" s="3" t="s">
        <v>18</v>
      </c>
      <c r="B1876" s="3">
        <v>13925345</v>
      </c>
      <c r="C1876" s="3" t="s">
        <v>1919</v>
      </c>
      <c r="D1876" s="3" t="s">
        <v>20</v>
      </c>
      <c r="E1876" s="3" t="s">
        <v>21</v>
      </c>
      <c r="F1876" s="3" t="s">
        <v>21</v>
      </c>
      <c r="G1876" s="3" t="s">
        <v>410</v>
      </c>
      <c r="H1876" s="3" t="s">
        <v>411</v>
      </c>
      <c r="I1876" s="3" t="s">
        <v>24</v>
      </c>
      <c r="J1876" s="3" t="s">
        <v>24</v>
      </c>
      <c r="K1876" s="3" t="s">
        <v>25</v>
      </c>
      <c r="L1876" s="4">
        <v>0</v>
      </c>
      <c r="M1876" s="3" t="s">
        <v>26</v>
      </c>
      <c r="N1876" s="3" t="s">
        <v>24</v>
      </c>
      <c r="O1876" s="4">
        <v>1</v>
      </c>
      <c r="P1876" s="4">
        <v>3</v>
      </c>
      <c r="Q1876" s="4">
        <v>1</v>
      </c>
    </row>
    <row r="1877" spans="1:17" x14ac:dyDescent="0.25">
      <c r="A1877" s="3" t="s">
        <v>18</v>
      </c>
      <c r="B1877" s="3">
        <v>13925346</v>
      </c>
      <c r="C1877" s="3" t="s">
        <v>1920</v>
      </c>
      <c r="D1877" s="3" t="s">
        <v>20</v>
      </c>
      <c r="E1877" s="3" t="s">
        <v>21</v>
      </c>
      <c r="F1877" s="3" t="s">
        <v>21</v>
      </c>
      <c r="G1877" s="3" t="s">
        <v>410</v>
      </c>
      <c r="H1877" s="3" t="s">
        <v>411</v>
      </c>
      <c r="I1877" s="3" t="s">
        <v>24</v>
      </c>
      <c r="J1877" s="3" t="s">
        <v>24</v>
      </c>
      <c r="K1877" s="3" t="s">
        <v>25</v>
      </c>
      <c r="L1877" s="4">
        <v>0</v>
      </c>
      <c r="M1877" s="3" t="s">
        <v>26</v>
      </c>
      <c r="N1877" s="3" t="s">
        <v>24</v>
      </c>
      <c r="O1877" s="4">
        <v>1</v>
      </c>
      <c r="P1877" s="4">
        <v>3</v>
      </c>
      <c r="Q1877" s="4">
        <v>1</v>
      </c>
    </row>
    <row r="1878" spans="1:17" x14ac:dyDescent="0.25">
      <c r="A1878" s="3" t="s">
        <v>18</v>
      </c>
      <c r="B1878" s="3">
        <v>13925369</v>
      </c>
      <c r="C1878" s="3" t="s">
        <v>1921</v>
      </c>
      <c r="D1878" s="3" t="s">
        <v>20</v>
      </c>
      <c r="E1878" s="3" t="s">
        <v>21</v>
      </c>
      <c r="F1878" s="3" t="s">
        <v>21</v>
      </c>
      <c r="G1878" s="3" t="s">
        <v>410</v>
      </c>
      <c r="H1878" s="3" t="s">
        <v>411</v>
      </c>
      <c r="I1878" s="3" t="s">
        <v>24</v>
      </c>
      <c r="J1878" s="3" t="s">
        <v>24</v>
      </c>
      <c r="K1878" s="3" t="s">
        <v>25</v>
      </c>
      <c r="L1878" s="4">
        <v>0</v>
      </c>
      <c r="M1878" s="3" t="s">
        <v>26</v>
      </c>
      <c r="N1878" s="3" t="s">
        <v>24</v>
      </c>
      <c r="O1878" s="4">
        <v>1</v>
      </c>
      <c r="P1878" s="4">
        <v>2</v>
      </c>
      <c r="Q1878" s="4">
        <v>1</v>
      </c>
    </row>
    <row r="1879" spans="1:17" x14ac:dyDescent="0.25">
      <c r="A1879" s="3" t="s">
        <v>18</v>
      </c>
      <c r="B1879" s="3">
        <v>13925371</v>
      </c>
      <c r="C1879" s="3" t="s">
        <v>1922</v>
      </c>
      <c r="D1879" s="3" t="s">
        <v>20</v>
      </c>
      <c r="E1879" s="3" t="s">
        <v>21</v>
      </c>
      <c r="F1879" s="3" t="s">
        <v>21</v>
      </c>
      <c r="G1879" s="3" t="s">
        <v>410</v>
      </c>
      <c r="H1879" s="3" t="s">
        <v>411</v>
      </c>
      <c r="I1879" s="3" t="s">
        <v>24</v>
      </c>
      <c r="J1879" s="3" t="s">
        <v>24</v>
      </c>
      <c r="K1879" s="3" t="s">
        <v>25</v>
      </c>
      <c r="L1879" s="4">
        <v>0</v>
      </c>
      <c r="M1879" s="3" t="s">
        <v>26</v>
      </c>
      <c r="N1879" s="3" t="s">
        <v>24</v>
      </c>
      <c r="O1879" s="4">
        <v>1</v>
      </c>
      <c r="P1879" s="4">
        <v>2</v>
      </c>
      <c r="Q1879" s="4">
        <v>1</v>
      </c>
    </row>
    <row r="1880" spans="1:17" x14ac:dyDescent="0.25">
      <c r="A1880" s="3" t="s">
        <v>18</v>
      </c>
      <c r="B1880" s="3">
        <v>13937051</v>
      </c>
      <c r="C1880" s="3" t="s">
        <v>1923</v>
      </c>
      <c r="D1880" s="3" t="s">
        <v>20</v>
      </c>
      <c r="E1880" s="3" t="s">
        <v>21</v>
      </c>
      <c r="F1880" s="3" t="s">
        <v>21</v>
      </c>
      <c r="G1880" s="3" t="s">
        <v>410</v>
      </c>
      <c r="H1880" s="3" t="s">
        <v>411</v>
      </c>
      <c r="I1880" s="3" t="s">
        <v>24</v>
      </c>
      <c r="J1880" s="3" t="s">
        <v>24</v>
      </c>
      <c r="K1880" s="3" t="s">
        <v>25</v>
      </c>
      <c r="L1880" s="4">
        <v>0</v>
      </c>
      <c r="M1880" s="3" t="s">
        <v>26</v>
      </c>
      <c r="N1880" s="3" t="s">
        <v>24</v>
      </c>
      <c r="O1880" s="4">
        <v>1</v>
      </c>
      <c r="P1880" s="4">
        <v>8</v>
      </c>
      <c r="Q1880" s="4">
        <v>1</v>
      </c>
    </row>
    <row r="1881" spans="1:17" x14ac:dyDescent="0.25">
      <c r="A1881" s="3" t="s">
        <v>18</v>
      </c>
      <c r="B1881" s="3">
        <v>13937259</v>
      </c>
      <c r="C1881" s="3" t="s">
        <v>1924</v>
      </c>
      <c r="D1881" s="3" t="s">
        <v>20</v>
      </c>
      <c r="E1881" s="3" t="s">
        <v>21</v>
      </c>
      <c r="F1881" s="3" t="s">
        <v>21</v>
      </c>
      <c r="G1881" s="3" t="s">
        <v>233</v>
      </c>
      <c r="H1881" s="3" t="s">
        <v>234</v>
      </c>
      <c r="I1881" s="3" t="s">
        <v>24</v>
      </c>
      <c r="J1881" s="3" t="s">
        <v>24</v>
      </c>
      <c r="K1881" s="3" t="s">
        <v>25</v>
      </c>
      <c r="L1881" s="4">
        <v>0</v>
      </c>
      <c r="M1881" s="3" t="s">
        <v>26</v>
      </c>
      <c r="N1881" s="3" t="s">
        <v>24</v>
      </c>
      <c r="O1881" s="4">
        <v>1</v>
      </c>
      <c r="P1881" s="4">
        <v>2</v>
      </c>
      <c r="Q1881" s="4">
        <v>1</v>
      </c>
    </row>
    <row r="1882" spans="1:17" x14ac:dyDescent="0.25">
      <c r="A1882" s="3" t="s">
        <v>18</v>
      </c>
      <c r="B1882" s="3">
        <v>13942303</v>
      </c>
      <c r="C1882" s="3" t="s">
        <v>1925</v>
      </c>
      <c r="D1882" s="3" t="s">
        <v>20</v>
      </c>
      <c r="E1882" s="3" t="s">
        <v>21</v>
      </c>
      <c r="F1882" s="3" t="s">
        <v>21</v>
      </c>
      <c r="G1882" s="3" t="s">
        <v>410</v>
      </c>
      <c r="H1882" s="3" t="s">
        <v>411</v>
      </c>
      <c r="I1882" s="3" t="s">
        <v>24</v>
      </c>
      <c r="J1882" s="3" t="s">
        <v>24</v>
      </c>
      <c r="K1882" s="3" t="s">
        <v>25</v>
      </c>
      <c r="L1882" s="4">
        <v>0</v>
      </c>
      <c r="M1882" s="3" t="s">
        <v>26</v>
      </c>
      <c r="N1882" s="3" t="s">
        <v>24</v>
      </c>
      <c r="O1882" s="4">
        <v>1</v>
      </c>
      <c r="P1882" s="4">
        <v>10</v>
      </c>
      <c r="Q1882" s="4">
        <v>1</v>
      </c>
    </row>
    <row r="1883" spans="1:17" x14ac:dyDescent="0.25">
      <c r="A1883" s="3" t="s">
        <v>18</v>
      </c>
      <c r="B1883" s="3">
        <v>13946816</v>
      </c>
      <c r="C1883" s="3" t="s">
        <v>1926</v>
      </c>
      <c r="D1883" s="3" t="s">
        <v>20</v>
      </c>
      <c r="E1883" s="3" t="s">
        <v>21</v>
      </c>
      <c r="F1883" s="3" t="s">
        <v>21</v>
      </c>
      <c r="G1883" s="3" t="s">
        <v>30</v>
      </c>
      <c r="H1883" s="3" t="s">
        <v>31</v>
      </c>
      <c r="I1883" s="3" t="s">
        <v>24</v>
      </c>
      <c r="J1883" s="3" t="s">
        <v>24</v>
      </c>
      <c r="K1883" s="3" t="s">
        <v>25</v>
      </c>
      <c r="L1883" s="4">
        <v>0</v>
      </c>
      <c r="M1883" s="3" t="s">
        <v>26</v>
      </c>
      <c r="N1883" s="3" t="s">
        <v>24</v>
      </c>
      <c r="O1883" s="4">
        <v>1</v>
      </c>
      <c r="P1883" s="4">
        <v>8</v>
      </c>
      <c r="Q1883" s="4">
        <v>1</v>
      </c>
    </row>
    <row r="1884" spans="1:17" x14ac:dyDescent="0.25">
      <c r="A1884" s="3" t="s">
        <v>18</v>
      </c>
      <c r="B1884" s="3">
        <v>13948533</v>
      </c>
      <c r="C1884" s="3" t="s">
        <v>1927</v>
      </c>
      <c r="D1884" s="3" t="s">
        <v>20</v>
      </c>
      <c r="E1884" s="3" t="s">
        <v>21</v>
      </c>
      <c r="F1884" s="3" t="s">
        <v>21</v>
      </c>
      <c r="G1884" s="3" t="s">
        <v>410</v>
      </c>
      <c r="H1884" s="3" t="s">
        <v>411</v>
      </c>
      <c r="I1884" s="3" t="s">
        <v>24</v>
      </c>
      <c r="J1884" s="3" t="s">
        <v>24</v>
      </c>
      <c r="K1884" s="3" t="s">
        <v>25</v>
      </c>
      <c r="L1884" s="4">
        <v>0</v>
      </c>
      <c r="M1884" s="3" t="s">
        <v>26</v>
      </c>
      <c r="N1884" s="3" t="s">
        <v>24</v>
      </c>
      <c r="O1884" s="4">
        <v>1</v>
      </c>
      <c r="P1884" s="4">
        <v>8</v>
      </c>
      <c r="Q1884" s="4">
        <v>1</v>
      </c>
    </row>
    <row r="1885" spans="1:17" x14ac:dyDescent="0.25">
      <c r="A1885" s="3" t="s">
        <v>18</v>
      </c>
      <c r="B1885" s="3">
        <v>13948534</v>
      </c>
      <c r="C1885" s="3" t="s">
        <v>1928</v>
      </c>
      <c r="D1885" s="3" t="s">
        <v>20</v>
      </c>
      <c r="E1885" s="3" t="s">
        <v>21</v>
      </c>
      <c r="F1885" s="3" t="s">
        <v>21</v>
      </c>
      <c r="G1885" s="3" t="s">
        <v>22</v>
      </c>
      <c r="H1885" s="3" t="s">
        <v>23</v>
      </c>
      <c r="I1885" s="3" t="s">
        <v>24</v>
      </c>
      <c r="J1885" s="3" t="s">
        <v>24</v>
      </c>
      <c r="K1885" s="3" t="s">
        <v>25</v>
      </c>
      <c r="L1885" s="4">
        <v>0</v>
      </c>
      <c r="M1885" s="3" t="s">
        <v>26</v>
      </c>
      <c r="N1885" s="3" t="s">
        <v>24</v>
      </c>
      <c r="O1885" s="4">
        <v>1</v>
      </c>
      <c r="P1885" s="4">
        <v>4</v>
      </c>
      <c r="Q1885" s="4">
        <v>1</v>
      </c>
    </row>
    <row r="1886" spans="1:17" x14ac:dyDescent="0.25">
      <c r="A1886" s="3" t="s">
        <v>18</v>
      </c>
      <c r="B1886" s="3">
        <v>13948688</v>
      </c>
      <c r="C1886" s="3" t="s">
        <v>1929</v>
      </c>
      <c r="D1886" s="3" t="s">
        <v>20</v>
      </c>
      <c r="E1886" s="3" t="s">
        <v>21</v>
      </c>
      <c r="F1886" s="3" t="s">
        <v>21</v>
      </c>
      <c r="G1886" s="3" t="s">
        <v>410</v>
      </c>
      <c r="H1886" s="3" t="s">
        <v>411</v>
      </c>
      <c r="I1886" s="3" t="s">
        <v>24</v>
      </c>
      <c r="J1886" s="3" t="s">
        <v>24</v>
      </c>
      <c r="K1886" s="3" t="s">
        <v>25</v>
      </c>
      <c r="L1886" s="4">
        <v>0</v>
      </c>
      <c r="M1886" s="3" t="s">
        <v>26</v>
      </c>
      <c r="N1886" s="3" t="s">
        <v>24</v>
      </c>
      <c r="O1886" s="4">
        <v>1</v>
      </c>
      <c r="P1886" s="4">
        <v>8</v>
      </c>
      <c r="Q1886" s="4">
        <v>1</v>
      </c>
    </row>
    <row r="1887" spans="1:17" x14ac:dyDescent="0.25">
      <c r="A1887" s="3" t="s">
        <v>18</v>
      </c>
      <c r="B1887" s="3">
        <v>13948962</v>
      </c>
      <c r="C1887" s="3" t="s">
        <v>1930</v>
      </c>
      <c r="D1887" s="3" t="s">
        <v>20</v>
      </c>
      <c r="E1887" s="3" t="s">
        <v>21</v>
      </c>
      <c r="F1887" s="3" t="s">
        <v>21</v>
      </c>
      <c r="G1887" s="3" t="s">
        <v>410</v>
      </c>
      <c r="H1887" s="3" t="s">
        <v>411</v>
      </c>
      <c r="I1887" s="3" t="s">
        <v>24</v>
      </c>
      <c r="J1887" s="3" t="s">
        <v>24</v>
      </c>
      <c r="K1887" s="3" t="s">
        <v>25</v>
      </c>
      <c r="L1887" s="4">
        <v>0</v>
      </c>
      <c r="M1887" s="3" t="s">
        <v>26</v>
      </c>
      <c r="N1887" s="3" t="s">
        <v>24</v>
      </c>
      <c r="O1887" s="4">
        <v>1</v>
      </c>
      <c r="P1887" s="4">
        <v>8</v>
      </c>
      <c r="Q1887" s="4">
        <v>1</v>
      </c>
    </row>
    <row r="1888" spans="1:17" x14ac:dyDescent="0.25">
      <c r="A1888" s="3" t="s">
        <v>18</v>
      </c>
      <c r="B1888" s="3">
        <v>13952595</v>
      </c>
      <c r="C1888" s="3" t="s">
        <v>1931</v>
      </c>
      <c r="D1888" s="3" t="s">
        <v>1360</v>
      </c>
      <c r="E1888" s="3" t="s">
        <v>21</v>
      </c>
      <c r="F1888" s="3" t="s">
        <v>21</v>
      </c>
      <c r="G1888" s="3" t="s">
        <v>233</v>
      </c>
      <c r="H1888" s="3" t="s">
        <v>234</v>
      </c>
      <c r="I1888" s="3" t="s">
        <v>24</v>
      </c>
      <c r="J1888" s="3" t="s">
        <v>24</v>
      </c>
      <c r="K1888" s="3" t="s">
        <v>25</v>
      </c>
      <c r="L1888" s="4">
        <v>0</v>
      </c>
      <c r="M1888" s="3" t="s">
        <v>26</v>
      </c>
      <c r="N1888" s="3" t="s">
        <v>24</v>
      </c>
      <c r="O1888" s="4">
        <v>1</v>
      </c>
      <c r="P1888" s="4">
        <v>2</v>
      </c>
      <c r="Q1888" s="4">
        <v>1</v>
      </c>
    </row>
    <row r="1889" spans="1:17" x14ac:dyDescent="0.25">
      <c r="A1889" s="3" t="s">
        <v>18</v>
      </c>
      <c r="B1889" s="3">
        <v>13953078</v>
      </c>
      <c r="C1889" s="3" t="s">
        <v>1932</v>
      </c>
      <c r="D1889" s="3" t="s">
        <v>1360</v>
      </c>
      <c r="E1889" s="3" t="s">
        <v>21</v>
      </c>
      <c r="F1889" s="3" t="s">
        <v>21</v>
      </c>
      <c r="G1889" s="3" t="s">
        <v>477</v>
      </c>
      <c r="H1889" s="3" t="s">
        <v>478</v>
      </c>
      <c r="I1889" s="3" t="s">
        <v>24</v>
      </c>
      <c r="J1889" s="3" t="s">
        <v>24</v>
      </c>
      <c r="K1889" s="3" t="s">
        <v>25</v>
      </c>
      <c r="L1889" s="4">
        <v>0</v>
      </c>
      <c r="M1889" s="3" t="s">
        <v>26</v>
      </c>
      <c r="N1889" s="3" t="s">
        <v>24</v>
      </c>
      <c r="O1889" s="4">
        <v>1</v>
      </c>
      <c r="P1889" s="4">
        <v>1</v>
      </c>
      <c r="Q1889" s="4">
        <v>1</v>
      </c>
    </row>
    <row r="1890" spans="1:17" x14ac:dyDescent="0.25">
      <c r="A1890" s="3" t="s">
        <v>18</v>
      </c>
      <c r="B1890" s="3">
        <v>13953080</v>
      </c>
      <c r="C1890" s="3" t="s">
        <v>1933</v>
      </c>
      <c r="D1890" s="3" t="s">
        <v>1360</v>
      </c>
      <c r="E1890" s="3" t="s">
        <v>21</v>
      </c>
      <c r="F1890" s="3" t="s">
        <v>21</v>
      </c>
      <c r="G1890" s="3" t="s">
        <v>233</v>
      </c>
      <c r="H1890" s="3" t="s">
        <v>234</v>
      </c>
      <c r="I1890" s="3" t="s">
        <v>24</v>
      </c>
      <c r="J1890" s="3" t="s">
        <v>24</v>
      </c>
      <c r="K1890" s="3" t="s">
        <v>25</v>
      </c>
      <c r="L1890" s="4">
        <v>0</v>
      </c>
      <c r="M1890" s="3" t="s">
        <v>26</v>
      </c>
      <c r="N1890" s="3" t="s">
        <v>24</v>
      </c>
      <c r="O1890" s="4">
        <v>1</v>
      </c>
      <c r="P1890" s="4">
        <v>2</v>
      </c>
      <c r="Q1890" s="4">
        <v>1</v>
      </c>
    </row>
    <row r="1891" spans="1:17" x14ac:dyDescent="0.25">
      <c r="A1891" s="3" t="s">
        <v>18</v>
      </c>
      <c r="B1891" s="3">
        <v>13956638</v>
      </c>
      <c r="C1891" s="3" t="s">
        <v>1934</v>
      </c>
      <c r="D1891" s="3" t="s">
        <v>20</v>
      </c>
      <c r="E1891" s="3" t="s">
        <v>21</v>
      </c>
      <c r="F1891" s="3" t="s">
        <v>21</v>
      </c>
      <c r="G1891" s="3" t="s">
        <v>233</v>
      </c>
      <c r="H1891" s="3" t="s">
        <v>234</v>
      </c>
      <c r="I1891" s="3" t="s">
        <v>24</v>
      </c>
      <c r="J1891" s="3" t="s">
        <v>24</v>
      </c>
      <c r="K1891" s="3" t="s">
        <v>25</v>
      </c>
      <c r="L1891" s="4">
        <v>0</v>
      </c>
      <c r="M1891" s="3" t="s">
        <v>26</v>
      </c>
      <c r="N1891" s="3" t="s">
        <v>24</v>
      </c>
      <c r="O1891" s="4">
        <v>1</v>
      </c>
      <c r="P1891" s="4">
        <v>2</v>
      </c>
      <c r="Q1891" s="4">
        <v>1</v>
      </c>
    </row>
    <row r="1892" spans="1:17" x14ac:dyDescent="0.25">
      <c r="A1892" s="3" t="s">
        <v>18</v>
      </c>
      <c r="B1892" s="3">
        <v>13957014</v>
      </c>
      <c r="C1892" s="3" t="s">
        <v>1935</v>
      </c>
      <c r="D1892" s="3" t="s">
        <v>20</v>
      </c>
      <c r="E1892" s="3" t="s">
        <v>21</v>
      </c>
      <c r="F1892" s="3" t="s">
        <v>21</v>
      </c>
      <c r="G1892" s="3" t="s">
        <v>36</v>
      </c>
      <c r="H1892" s="3" t="s">
        <v>37</v>
      </c>
      <c r="I1892" s="3" t="s">
        <v>24</v>
      </c>
      <c r="J1892" s="3" t="s">
        <v>24</v>
      </c>
      <c r="K1892" s="3" t="s">
        <v>25</v>
      </c>
      <c r="L1892" s="4">
        <v>0</v>
      </c>
      <c r="M1892" s="3" t="s">
        <v>26</v>
      </c>
      <c r="N1892" s="3" t="s">
        <v>24</v>
      </c>
      <c r="O1892" s="4">
        <v>1</v>
      </c>
      <c r="P1892" s="4">
        <v>9</v>
      </c>
      <c r="Q1892" s="4">
        <v>1</v>
      </c>
    </row>
    <row r="1893" spans="1:17" x14ac:dyDescent="0.25">
      <c r="A1893" s="3" t="s">
        <v>18</v>
      </c>
      <c r="B1893" s="3">
        <v>13957015</v>
      </c>
      <c r="C1893" s="3" t="s">
        <v>1936</v>
      </c>
      <c r="D1893" s="3" t="s">
        <v>20</v>
      </c>
      <c r="E1893" s="3" t="s">
        <v>21</v>
      </c>
      <c r="F1893" s="3" t="s">
        <v>21</v>
      </c>
      <c r="G1893" s="3" t="s">
        <v>36</v>
      </c>
      <c r="H1893" s="3" t="s">
        <v>37</v>
      </c>
      <c r="I1893" s="3" t="s">
        <v>24</v>
      </c>
      <c r="J1893" s="3" t="s">
        <v>24</v>
      </c>
      <c r="K1893" s="3" t="s">
        <v>25</v>
      </c>
      <c r="L1893" s="4">
        <v>0</v>
      </c>
      <c r="M1893" s="3" t="s">
        <v>26</v>
      </c>
      <c r="N1893" s="3" t="s">
        <v>24</v>
      </c>
      <c r="O1893" s="4">
        <v>1</v>
      </c>
      <c r="P1893" s="4">
        <v>9</v>
      </c>
      <c r="Q1893" s="4">
        <v>1</v>
      </c>
    </row>
    <row r="1894" spans="1:17" x14ac:dyDescent="0.25">
      <c r="A1894" s="3" t="s">
        <v>18</v>
      </c>
      <c r="B1894" s="3">
        <v>13957108</v>
      </c>
      <c r="C1894" s="3" t="s">
        <v>1937</v>
      </c>
      <c r="D1894" s="3" t="s">
        <v>20</v>
      </c>
      <c r="E1894" s="3" t="s">
        <v>21</v>
      </c>
      <c r="F1894" s="3" t="s">
        <v>21</v>
      </c>
      <c r="G1894" s="3" t="s">
        <v>36</v>
      </c>
      <c r="H1894" s="3" t="s">
        <v>37</v>
      </c>
      <c r="I1894" s="3" t="s">
        <v>24</v>
      </c>
      <c r="J1894" s="3" t="s">
        <v>24</v>
      </c>
      <c r="K1894" s="3" t="s">
        <v>25</v>
      </c>
      <c r="L1894" s="4">
        <v>0</v>
      </c>
      <c r="M1894" s="3" t="s">
        <v>26</v>
      </c>
      <c r="N1894" s="3" t="s">
        <v>24</v>
      </c>
      <c r="O1894" s="4">
        <v>1</v>
      </c>
      <c r="P1894" s="4">
        <v>4</v>
      </c>
      <c r="Q1894" s="4">
        <v>1</v>
      </c>
    </row>
    <row r="1895" spans="1:17" x14ac:dyDescent="0.25">
      <c r="A1895" s="3" t="s">
        <v>18</v>
      </c>
      <c r="B1895" s="3">
        <v>13957442</v>
      </c>
      <c r="C1895" s="3" t="s">
        <v>1938</v>
      </c>
      <c r="D1895" s="3" t="s">
        <v>20</v>
      </c>
      <c r="E1895" s="3" t="s">
        <v>21</v>
      </c>
      <c r="F1895" s="3" t="s">
        <v>21</v>
      </c>
      <c r="G1895" s="3" t="s">
        <v>36</v>
      </c>
      <c r="H1895" s="3" t="s">
        <v>37</v>
      </c>
      <c r="I1895" s="3" t="s">
        <v>24</v>
      </c>
      <c r="J1895" s="3" t="s">
        <v>24</v>
      </c>
      <c r="K1895" s="3" t="s">
        <v>25</v>
      </c>
      <c r="L1895" s="4">
        <v>0</v>
      </c>
      <c r="M1895" s="3" t="s">
        <v>26</v>
      </c>
      <c r="N1895" s="3" t="s">
        <v>24</v>
      </c>
      <c r="O1895" s="4">
        <v>1</v>
      </c>
      <c r="P1895" s="4">
        <v>4</v>
      </c>
      <c r="Q1895" s="4">
        <v>1</v>
      </c>
    </row>
    <row r="1896" spans="1:17" x14ac:dyDescent="0.25">
      <c r="A1896" s="3" t="s">
        <v>18</v>
      </c>
      <c r="B1896" s="3">
        <v>13957443</v>
      </c>
      <c r="C1896" s="3" t="s">
        <v>1939</v>
      </c>
      <c r="D1896" s="3" t="s">
        <v>20</v>
      </c>
      <c r="E1896" s="3" t="s">
        <v>21</v>
      </c>
      <c r="F1896" s="3" t="s">
        <v>21</v>
      </c>
      <c r="G1896" s="3" t="s">
        <v>36</v>
      </c>
      <c r="H1896" s="3" t="s">
        <v>37</v>
      </c>
      <c r="I1896" s="3" t="s">
        <v>24</v>
      </c>
      <c r="J1896" s="3" t="s">
        <v>24</v>
      </c>
      <c r="K1896" s="3" t="s">
        <v>25</v>
      </c>
      <c r="L1896" s="4">
        <v>0</v>
      </c>
      <c r="M1896" s="3" t="s">
        <v>26</v>
      </c>
      <c r="N1896" s="3" t="s">
        <v>24</v>
      </c>
      <c r="O1896" s="4">
        <v>1</v>
      </c>
      <c r="P1896" s="4">
        <v>1</v>
      </c>
      <c r="Q1896" s="4">
        <v>1</v>
      </c>
    </row>
    <row r="1897" spans="1:17" x14ac:dyDescent="0.25">
      <c r="A1897" s="3" t="s">
        <v>18</v>
      </c>
      <c r="B1897" s="3">
        <v>13957444</v>
      </c>
      <c r="C1897" s="3" t="s">
        <v>1940</v>
      </c>
      <c r="D1897" s="3" t="s">
        <v>20</v>
      </c>
      <c r="E1897" s="3" t="s">
        <v>21</v>
      </c>
      <c r="F1897" s="3" t="s">
        <v>21</v>
      </c>
      <c r="G1897" s="3" t="s">
        <v>36</v>
      </c>
      <c r="H1897" s="3" t="s">
        <v>37</v>
      </c>
      <c r="I1897" s="3" t="s">
        <v>24</v>
      </c>
      <c r="J1897" s="3" t="s">
        <v>24</v>
      </c>
      <c r="K1897" s="3" t="s">
        <v>25</v>
      </c>
      <c r="L1897" s="4">
        <v>0</v>
      </c>
      <c r="M1897" s="3" t="s">
        <v>26</v>
      </c>
      <c r="N1897" s="3" t="s">
        <v>24</v>
      </c>
      <c r="O1897" s="4">
        <v>1</v>
      </c>
      <c r="P1897" s="4">
        <v>4</v>
      </c>
      <c r="Q1897" s="4">
        <v>1</v>
      </c>
    </row>
    <row r="1898" spans="1:17" x14ac:dyDescent="0.25">
      <c r="A1898" s="3" t="s">
        <v>18</v>
      </c>
      <c r="B1898" s="3">
        <v>13957446</v>
      </c>
      <c r="C1898" s="3" t="s">
        <v>1941</v>
      </c>
      <c r="D1898" s="3" t="s">
        <v>20</v>
      </c>
      <c r="E1898" s="3" t="s">
        <v>21</v>
      </c>
      <c r="F1898" s="3" t="s">
        <v>21</v>
      </c>
      <c r="G1898" s="3" t="s">
        <v>36</v>
      </c>
      <c r="H1898" s="3" t="s">
        <v>37</v>
      </c>
      <c r="I1898" s="3" t="s">
        <v>24</v>
      </c>
      <c r="J1898" s="3" t="s">
        <v>24</v>
      </c>
      <c r="K1898" s="3" t="s">
        <v>25</v>
      </c>
      <c r="L1898" s="4">
        <v>0</v>
      </c>
      <c r="M1898" s="3" t="s">
        <v>26</v>
      </c>
      <c r="N1898" s="3" t="s">
        <v>24</v>
      </c>
      <c r="O1898" s="4">
        <v>1</v>
      </c>
      <c r="P1898" s="4">
        <v>4</v>
      </c>
      <c r="Q1898" s="4">
        <v>1</v>
      </c>
    </row>
    <row r="1899" spans="1:17" x14ac:dyDescent="0.25">
      <c r="A1899" s="3" t="s">
        <v>18</v>
      </c>
      <c r="B1899" s="3">
        <v>13957447</v>
      </c>
      <c r="C1899" s="3" t="s">
        <v>1942</v>
      </c>
      <c r="D1899" s="3" t="s">
        <v>20</v>
      </c>
      <c r="E1899" s="3" t="s">
        <v>21</v>
      </c>
      <c r="F1899" s="3" t="s">
        <v>21</v>
      </c>
      <c r="G1899" s="3" t="s">
        <v>36</v>
      </c>
      <c r="H1899" s="3" t="s">
        <v>37</v>
      </c>
      <c r="I1899" s="3" t="s">
        <v>24</v>
      </c>
      <c r="J1899" s="3" t="s">
        <v>24</v>
      </c>
      <c r="K1899" s="3" t="s">
        <v>25</v>
      </c>
      <c r="L1899" s="4">
        <v>0</v>
      </c>
      <c r="M1899" s="3" t="s">
        <v>26</v>
      </c>
      <c r="N1899" s="3" t="s">
        <v>24</v>
      </c>
      <c r="O1899" s="4">
        <v>1</v>
      </c>
      <c r="P1899" s="4">
        <v>4</v>
      </c>
      <c r="Q1899" s="4">
        <v>1</v>
      </c>
    </row>
    <row r="1900" spans="1:17" x14ac:dyDescent="0.25">
      <c r="A1900" s="3" t="s">
        <v>18</v>
      </c>
      <c r="B1900" s="3">
        <v>13957478</v>
      </c>
      <c r="C1900" s="3" t="s">
        <v>1943</v>
      </c>
      <c r="D1900" s="3" t="s">
        <v>20</v>
      </c>
      <c r="E1900" s="3" t="s">
        <v>21</v>
      </c>
      <c r="F1900" s="3" t="s">
        <v>21</v>
      </c>
      <c r="G1900" s="3" t="s">
        <v>36</v>
      </c>
      <c r="H1900" s="3" t="s">
        <v>37</v>
      </c>
      <c r="I1900" s="3" t="s">
        <v>24</v>
      </c>
      <c r="J1900" s="3" t="s">
        <v>24</v>
      </c>
      <c r="K1900" s="3" t="s">
        <v>25</v>
      </c>
      <c r="L1900" s="4">
        <v>0</v>
      </c>
      <c r="M1900" s="3" t="s">
        <v>26</v>
      </c>
      <c r="N1900" s="3" t="s">
        <v>24</v>
      </c>
      <c r="O1900" s="4">
        <v>1</v>
      </c>
      <c r="P1900" s="4">
        <v>2</v>
      </c>
      <c r="Q1900" s="4">
        <v>1</v>
      </c>
    </row>
    <row r="1901" spans="1:17" x14ac:dyDescent="0.25">
      <c r="A1901" s="3" t="s">
        <v>18</v>
      </c>
      <c r="B1901" s="3">
        <v>13957479</v>
      </c>
      <c r="C1901" s="3" t="s">
        <v>1944</v>
      </c>
      <c r="D1901" s="3" t="s">
        <v>20</v>
      </c>
      <c r="E1901" s="3" t="s">
        <v>21</v>
      </c>
      <c r="F1901" s="3" t="s">
        <v>21</v>
      </c>
      <c r="G1901" s="3" t="s">
        <v>36</v>
      </c>
      <c r="H1901" s="3" t="s">
        <v>37</v>
      </c>
      <c r="I1901" s="3" t="s">
        <v>24</v>
      </c>
      <c r="J1901" s="3" t="s">
        <v>24</v>
      </c>
      <c r="K1901" s="3" t="s">
        <v>25</v>
      </c>
      <c r="L1901" s="4">
        <v>0</v>
      </c>
      <c r="M1901" s="3" t="s">
        <v>26</v>
      </c>
      <c r="N1901" s="3" t="s">
        <v>24</v>
      </c>
      <c r="O1901" s="4">
        <v>1</v>
      </c>
      <c r="P1901" s="4">
        <v>2</v>
      </c>
      <c r="Q1901" s="4">
        <v>1</v>
      </c>
    </row>
    <row r="1902" spans="1:17" x14ac:dyDescent="0.25">
      <c r="A1902" s="3" t="s">
        <v>18</v>
      </c>
      <c r="B1902" s="3">
        <v>13957482</v>
      </c>
      <c r="C1902" s="3" t="s">
        <v>1945</v>
      </c>
      <c r="D1902" s="3" t="s">
        <v>20</v>
      </c>
      <c r="E1902" s="3" t="s">
        <v>21</v>
      </c>
      <c r="F1902" s="3" t="s">
        <v>21</v>
      </c>
      <c r="G1902" s="3" t="s">
        <v>36</v>
      </c>
      <c r="H1902" s="3" t="s">
        <v>37</v>
      </c>
      <c r="I1902" s="3" t="s">
        <v>24</v>
      </c>
      <c r="J1902" s="3" t="s">
        <v>24</v>
      </c>
      <c r="K1902" s="3" t="s">
        <v>25</v>
      </c>
      <c r="L1902" s="4">
        <v>0</v>
      </c>
      <c r="M1902" s="3" t="s">
        <v>26</v>
      </c>
      <c r="N1902" s="3" t="s">
        <v>24</v>
      </c>
      <c r="O1902" s="4">
        <v>1</v>
      </c>
      <c r="P1902" s="4">
        <v>2</v>
      </c>
      <c r="Q1902" s="4">
        <v>1</v>
      </c>
    </row>
    <row r="1903" spans="1:17" x14ac:dyDescent="0.25">
      <c r="A1903" s="3" t="s">
        <v>18</v>
      </c>
      <c r="B1903" s="3">
        <v>13957484</v>
      </c>
      <c r="C1903" s="3" t="s">
        <v>1946</v>
      </c>
      <c r="D1903" s="3" t="s">
        <v>20</v>
      </c>
      <c r="E1903" s="3" t="s">
        <v>21</v>
      </c>
      <c r="F1903" s="3" t="s">
        <v>21</v>
      </c>
      <c r="G1903" s="3" t="s">
        <v>36</v>
      </c>
      <c r="H1903" s="3" t="s">
        <v>37</v>
      </c>
      <c r="I1903" s="3" t="s">
        <v>24</v>
      </c>
      <c r="J1903" s="3" t="s">
        <v>24</v>
      </c>
      <c r="K1903" s="3" t="s">
        <v>25</v>
      </c>
      <c r="L1903" s="4">
        <v>0</v>
      </c>
      <c r="M1903" s="3" t="s">
        <v>26</v>
      </c>
      <c r="N1903" s="3" t="s">
        <v>24</v>
      </c>
      <c r="O1903" s="4">
        <v>1</v>
      </c>
      <c r="P1903" s="4">
        <v>2</v>
      </c>
      <c r="Q1903" s="4">
        <v>1</v>
      </c>
    </row>
    <row r="1904" spans="1:17" x14ac:dyDescent="0.25">
      <c r="A1904" s="3" t="s">
        <v>18</v>
      </c>
      <c r="B1904" s="3">
        <v>13957485</v>
      </c>
      <c r="C1904" s="3" t="s">
        <v>1947</v>
      </c>
      <c r="D1904" s="3" t="s">
        <v>20</v>
      </c>
      <c r="E1904" s="3" t="s">
        <v>21</v>
      </c>
      <c r="F1904" s="3" t="s">
        <v>21</v>
      </c>
      <c r="G1904" s="3" t="s">
        <v>36</v>
      </c>
      <c r="H1904" s="3" t="s">
        <v>37</v>
      </c>
      <c r="I1904" s="3" t="s">
        <v>24</v>
      </c>
      <c r="J1904" s="3" t="s">
        <v>24</v>
      </c>
      <c r="K1904" s="3" t="s">
        <v>25</v>
      </c>
      <c r="L1904" s="4">
        <v>0</v>
      </c>
      <c r="M1904" s="3" t="s">
        <v>26</v>
      </c>
      <c r="N1904" s="3" t="s">
        <v>24</v>
      </c>
      <c r="O1904" s="4">
        <v>1</v>
      </c>
      <c r="P1904" s="4">
        <v>2</v>
      </c>
      <c r="Q1904" s="4">
        <v>1</v>
      </c>
    </row>
    <row r="1905" spans="1:17" x14ac:dyDescent="0.25">
      <c r="A1905" s="3" t="s">
        <v>18</v>
      </c>
      <c r="B1905" s="3">
        <v>13957487</v>
      </c>
      <c r="C1905" s="3" t="s">
        <v>1948</v>
      </c>
      <c r="D1905" s="3" t="s">
        <v>20</v>
      </c>
      <c r="E1905" s="3" t="s">
        <v>21</v>
      </c>
      <c r="F1905" s="3" t="s">
        <v>21</v>
      </c>
      <c r="G1905" s="3" t="s">
        <v>36</v>
      </c>
      <c r="H1905" s="3" t="s">
        <v>37</v>
      </c>
      <c r="I1905" s="3" t="s">
        <v>24</v>
      </c>
      <c r="J1905" s="3" t="s">
        <v>24</v>
      </c>
      <c r="K1905" s="3" t="s">
        <v>25</v>
      </c>
      <c r="L1905" s="4">
        <v>0</v>
      </c>
      <c r="M1905" s="3" t="s">
        <v>26</v>
      </c>
      <c r="N1905" s="3" t="s">
        <v>24</v>
      </c>
      <c r="O1905" s="4">
        <v>1</v>
      </c>
      <c r="P1905" s="4">
        <v>9</v>
      </c>
      <c r="Q1905" s="4">
        <v>1</v>
      </c>
    </row>
    <row r="1906" spans="1:17" x14ac:dyDescent="0.25">
      <c r="A1906" s="3" t="s">
        <v>18</v>
      </c>
      <c r="B1906" s="3">
        <v>13957529</v>
      </c>
      <c r="C1906" s="3" t="s">
        <v>1949</v>
      </c>
      <c r="D1906" s="3" t="s">
        <v>20</v>
      </c>
      <c r="E1906" s="3" t="s">
        <v>21</v>
      </c>
      <c r="F1906" s="3" t="s">
        <v>21</v>
      </c>
      <c r="G1906" s="3" t="s">
        <v>36</v>
      </c>
      <c r="H1906" s="3" t="s">
        <v>37</v>
      </c>
      <c r="I1906" s="3" t="s">
        <v>24</v>
      </c>
      <c r="J1906" s="3" t="s">
        <v>24</v>
      </c>
      <c r="K1906" s="3" t="s">
        <v>25</v>
      </c>
      <c r="L1906" s="4">
        <v>0</v>
      </c>
      <c r="M1906" s="3" t="s">
        <v>26</v>
      </c>
      <c r="N1906" s="3" t="s">
        <v>24</v>
      </c>
      <c r="O1906" s="4">
        <v>1</v>
      </c>
      <c r="P1906" s="4">
        <v>9</v>
      </c>
      <c r="Q1906" s="4">
        <v>1</v>
      </c>
    </row>
    <row r="1907" spans="1:17" x14ac:dyDescent="0.25">
      <c r="A1907" s="3" t="s">
        <v>18</v>
      </c>
      <c r="B1907" s="3">
        <v>13957530</v>
      </c>
      <c r="C1907" s="3" t="s">
        <v>1950</v>
      </c>
      <c r="D1907" s="3" t="s">
        <v>20</v>
      </c>
      <c r="E1907" s="3" t="s">
        <v>21</v>
      </c>
      <c r="F1907" s="3" t="s">
        <v>21</v>
      </c>
      <c r="G1907" s="3" t="s">
        <v>36</v>
      </c>
      <c r="H1907" s="3" t="s">
        <v>37</v>
      </c>
      <c r="I1907" s="3" t="s">
        <v>24</v>
      </c>
      <c r="J1907" s="3" t="s">
        <v>24</v>
      </c>
      <c r="K1907" s="3" t="s">
        <v>25</v>
      </c>
      <c r="L1907" s="4">
        <v>0</v>
      </c>
      <c r="M1907" s="3" t="s">
        <v>26</v>
      </c>
      <c r="N1907" s="3" t="s">
        <v>24</v>
      </c>
      <c r="O1907" s="4">
        <v>1</v>
      </c>
      <c r="P1907" s="4">
        <v>4</v>
      </c>
      <c r="Q1907" s="4">
        <v>1</v>
      </c>
    </row>
    <row r="1908" spans="1:17" x14ac:dyDescent="0.25">
      <c r="A1908" s="3" t="s">
        <v>18</v>
      </c>
      <c r="B1908" s="3">
        <v>13957532</v>
      </c>
      <c r="C1908" s="3" t="s">
        <v>1951</v>
      </c>
      <c r="D1908" s="3" t="s">
        <v>20</v>
      </c>
      <c r="E1908" s="3" t="s">
        <v>21</v>
      </c>
      <c r="F1908" s="3" t="s">
        <v>21</v>
      </c>
      <c r="G1908" s="3" t="s">
        <v>36</v>
      </c>
      <c r="H1908" s="3" t="s">
        <v>37</v>
      </c>
      <c r="I1908" s="3" t="s">
        <v>24</v>
      </c>
      <c r="J1908" s="3" t="s">
        <v>24</v>
      </c>
      <c r="K1908" s="3" t="s">
        <v>25</v>
      </c>
      <c r="L1908" s="4">
        <v>0</v>
      </c>
      <c r="M1908" s="3" t="s">
        <v>26</v>
      </c>
      <c r="N1908" s="3" t="s">
        <v>24</v>
      </c>
      <c r="O1908" s="4">
        <v>1</v>
      </c>
      <c r="P1908" s="4">
        <v>4</v>
      </c>
      <c r="Q1908" s="4">
        <v>1</v>
      </c>
    </row>
    <row r="1909" spans="1:17" x14ac:dyDescent="0.25">
      <c r="A1909" s="3" t="s">
        <v>18</v>
      </c>
      <c r="B1909" s="3">
        <v>13957533</v>
      </c>
      <c r="C1909" s="3" t="s">
        <v>1952</v>
      </c>
      <c r="D1909" s="3" t="s">
        <v>20</v>
      </c>
      <c r="E1909" s="3" t="s">
        <v>21</v>
      </c>
      <c r="F1909" s="3" t="s">
        <v>21</v>
      </c>
      <c r="G1909" s="3" t="s">
        <v>36</v>
      </c>
      <c r="H1909" s="3" t="s">
        <v>37</v>
      </c>
      <c r="I1909" s="3" t="s">
        <v>24</v>
      </c>
      <c r="J1909" s="3" t="s">
        <v>24</v>
      </c>
      <c r="K1909" s="3" t="s">
        <v>25</v>
      </c>
      <c r="L1909" s="4">
        <v>0</v>
      </c>
      <c r="M1909" s="3" t="s">
        <v>26</v>
      </c>
      <c r="N1909" s="3" t="s">
        <v>24</v>
      </c>
      <c r="O1909" s="4">
        <v>1</v>
      </c>
      <c r="P1909" s="4">
        <v>4</v>
      </c>
      <c r="Q1909" s="4">
        <v>1</v>
      </c>
    </row>
    <row r="1910" spans="1:17" x14ac:dyDescent="0.25">
      <c r="A1910" s="3" t="s">
        <v>18</v>
      </c>
      <c r="B1910" s="3">
        <v>13957534</v>
      </c>
      <c r="C1910" s="3" t="s">
        <v>1953</v>
      </c>
      <c r="D1910" s="3" t="s">
        <v>20</v>
      </c>
      <c r="E1910" s="3" t="s">
        <v>21</v>
      </c>
      <c r="F1910" s="3" t="s">
        <v>21</v>
      </c>
      <c r="G1910" s="3" t="s">
        <v>36</v>
      </c>
      <c r="H1910" s="3" t="s">
        <v>37</v>
      </c>
      <c r="I1910" s="3" t="s">
        <v>24</v>
      </c>
      <c r="J1910" s="3" t="s">
        <v>24</v>
      </c>
      <c r="K1910" s="3" t="s">
        <v>25</v>
      </c>
      <c r="L1910" s="4">
        <v>0</v>
      </c>
      <c r="M1910" s="3" t="s">
        <v>26</v>
      </c>
      <c r="N1910" s="3" t="s">
        <v>24</v>
      </c>
      <c r="O1910" s="4">
        <v>1</v>
      </c>
      <c r="P1910" s="4">
        <v>4</v>
      </c>
      <c r="Q1910" s="4">
        <v>1</v>
      </c>
    </row>
    <row r="1911" spans="1:17" x14ac:dyDescent="0.25">
      <c r="A1911" s="3" t="s">
        <v>18</v>
      </c>
      <c r="B1911" s="3">
        <v>13957536</v>
      </c>
      <c r="C1911" s="3" t="s">
        <v>1954</v>
      </c>
      <c r="D1911" s="3" t="s">
        <v>20</v>
      </c>
      <c r="E1911" s="3" t="s">
        <v>21</v>
      </c>
      <c r="F1911" s="3" t="s">
        <v>21</v>
      </c>
      <c r="G1911" s="3" t="s">
        <v>36</v>
      </c>
      <c r="H1911" s="3" t="s">
        <v>37</v>
      </c>
      <c r="I1911" s="3" t="s">
        <v>24</v>
      </c>
      <c r="J1911" s="3" t="s">
        <v>24</v>
      </c>
      <c r="K1911" s="3" t="s">
        <v>25</v>
      </c>
      <c r="L1911" s="4">
        <v>0</v>
      </c>
      <c r="M1911" s="3" t="s">
        <v>26</v>
      </c>
      <c r="N1911" s="3" t="s">
        <v>24</v>
      </c>
      <c r="O1911" s="4">
        <v>1</v>
      </c>
      <c r="P1911" s="4">
        <v>4</v>
      </c>
      <c r="Q1911" s="4">
        <v>1</v>
      </c>
    </row>
    <row r="1912" spans="1:17" x14ac:dyDescent="0.25">
      <c r="A1912" s="3" t="s">
        <v>18</v>
      </c>
      <c r="B1912" s="3">
        <v>13957537</v>
      </c>
      <c r="C1912" s="3" t="s">
        <v>1955</v>
      </c>
      <c r="D1912" s="3" t="s">
        <v>20</v>
      </c>
      <c r="E1912" s="3" t="s">
        <v>21</v>
      </c>
      <c r="F1912" s="3" t="s">
        <v>21</v>
      </c>
      <c r="G1912" s="3" t="s">
        <v>36</v>
      </c>
      <c r="H1912" s="3" t="s">
        <v>37</v>
      </c>
      <c r="I1912" s="3" t="s">
        <v>24</v>
      </c>
      <c r="J1912" s="3" t="s">
        <v>24</v>
      </c>
      <c r="K1912" s="3" t="s">
        <v>25</v>
      </c>
      <c r="L1912" s="4">
        <v>0</v>
      </c>
      <c r="M1912" s="3" t="s">
        <v>26</v>
      </c>
      <c r="N1912" s="3" t="s">
        <v>24</v>
      </c>
      <c r="O1912" s="4">
        <v>1</v>
      </c>
      <c r="P1912" s="4">
        <v>4</v>
      </c>
      <c r="Q1912" s="4">
        <v>1</v>
      </c>
    </row>
    <row r="1913" spans="1:17" x14ac:dyDescent="0.25">
      <c r="A1913" s="3" t="s">
        <v>18</v>
      </c>
      <c r="B1913" s="3">
        <v>13957588</v>
      </c>
      <c r="C1913" s="3" t="s">
        <v>1956</v>
      </c>
      <c r="D1913" s="3" t="s">
        <v>20</v>
      </c>
      <c r="E1913" s="3" t="s">
        <v>21</v>
      </c>
      <c r="F1913" s="3" t="s">
        <v>21</v>
      </c>
      <c r="G1913" s="3" t="s">
        <v>36</v>
      </c>
      <c r="H1913" s="3" t="s">
        <v>37</v>
      </c>
      <c r="I1913" s="3" t="s">
        <v>24</v>
      </c>
      <c r="J1913" s="3" t="s">
        <v>24</v>
      </c>
      <c r="K1913" s="3" t="s">
        <v>25</v>
      </c>
      <c r="L1913" s="4">
        <v>0</v>
      </c>
      <c r="M1913" s="3" t="s">
        <v>26</v>
      </c>
      <c r="N1913" s="3" t="s">
        <v>24</v>
      </c>
      <c r="O1913" s="4">
        <v>1</v>
      </c>
      <c r="P1913" s="4">
        <v>2</v>
      </c>
      <c r="Q1913" s="4">
        <v>1</v>
      </c>
    </row>
    <row r="1914" spans="1:17" x14ac:dyDescent="0.25">
      <c r="A1914" s="3" t="s">
        <v>18</v>
      </c>
      <c r="B1914" s="3">
        <v>13957589</v>
      </c>
      <c r="C1914" s="3" t="s">
        <v>1957</v>
      </c>
      <c r="D1914" s="3" t="s">
        <v>20</v>
      </c>
      <c r="E1914" s="3" t="s">
        <v>21</v>
      </c>
      <c r="F1914" s="3" t="s">
        <v>21</v>
      </c>
      <c r="G1914" s="3" t="s">
        <v>36</v>
      </c>
      <c r="H1914" s="3" t="s">
        <v>37</v>
      </c>
      <c r="I1914" s="3" t="s">
        <v>24</v>
      </c>
      <c r="J1914" s="3" t="s">
        <v>24</v>
      </c>
      <c r="K1914" s="3" t="s">
        <v>25</v>
      </c>
      <c r="L1914" s="4">
        <v>0</v>
      </c>
      <c r="M1914" s="3" t="s">
        <v>26</v>
      </c>
      <c r="N1914" s="3" t="s">
        <v>24</v>
      </c>
      <c r="O1914" s="4">
        <v>1</v>
      </c>
      <c r="P1914" s="4">
        <v>2</v>
      </c>
      <c r="Q1914" s="4">
        <v>1</v>
      </c>
    </row>
    <row r="1915" spans="1:17" x14ac:dyDescent="0.25">
      <c r="A1915" s="3" t="s">
        <v>18</v>
      </c>
      <c r="B1915" s="3">
        <v>13957590</v>
      </c>
      <c r="C1915" s="3" t="s">
        <v>1958</v>
      </c>
      <c r="D1915" s="3" t="s">
        <v>20</v>
      </c>
      <c r="E1915" s="3" t="s">
        <v>21</v>
      </c>
      <c r="F1915" s="3" t="s">
        <v>21</v>
      </c>
      <c r="G1915" s="3" t="s">
        <v>36</v>
      </c>
      <c r="H1915" s="3" t="s">
        <v>37</v>
      </c>
      <c r="I1915" s="3" t="s">
        <v>24</v>
      </c>
      <c r="J1915" s="3" t="s">
        <v>24</v>
      </c>
      <c r="K1915" s="3" t="s">
        <v>25</v>
      </c>
      <c r="L1915" s="4">
        <v>0</v>
      </c>
      <c r="M1915" s="3" t="s">
        <v>26</v>
      </c>
      <c r="N1915" s="3" t="s">
        <v>24</v>
      </c>
      <c r="O1915" s="4">
        <v>1</v>
      </c>
      <c r="P1915" s="4">
        <v>2</v>
      </c>
      <c r="Q1915" s="4">
        <v>1</v>
      </c>
    </row>
    <row r="1916" spans="1:17" x14ac:dyDescent="0.25">
      <c r="A1916" s="3" t="s">
        <v>18</v>
      </c>
      <c r="B1916" s="3">
        <v>13957592</v>
      </c>
      <c r="C1916" s="3" t="s">
        <v>1959</v>
      </c>
      <c r="D1916" s="3" t="s">
        <v>20</v>
      </c>
      <c r="E1916" s="3" t="s">
        <v>21</v>
      </c>
      <c r="F1916" s="3" t="s">
        <v>21</v>
      </c>
      <c r="G1916" s="3" t="s">
        <v>36</v>
      </c>
      <c r="H1916" s="3" t="s">
        <v>37</v>
      </c>
      <c r="I1916" s="3" t="s">
        <v>24</v>
      </c>
      <c r="J1916" s="3" t="s">
        <v>24</v>
      </c>
      <c r="K1916" s="3" t="s">
        <v>25</v>
      </c>
      <c r="L1916" s="4">
        <v>0</v>
      </c>
      <c r="M1916" s="3" t="s">
        <v>26</v>
      </c>
      <c r="N1916" s="3" t="s">
        <v>24</v>
      </c>
      <c r="O1916" s="4">
        <v>1</v>
      </c>
      <c r="P1916" s="4">
        <v>2</v>
      </c>
      <c r="Q1916" s="4">
        <v>1</v>
      </c>
    </row>
    <row r="1917" spans="1:17" x14ac:dyDescent="0.25">
      <c r="A1917" s="3" t="s">
        <v>18</v>
      </c>
      <c r="B1917" s="3">
        <v>13957593</v>
      </c>
      <c r="C1917" s="3" t="s">
        <v>1960</v>
      </c>
      <c r="D1917" s="3" t="s">
        <v>20</v>
      </c>
      <c r="E1917" s="3" t="s">
        <v>21</v>
      </c>
      <c r="F1917" s="3" t="s">
        <v>21</v>
      </c>
      <c r="G1917" s="3" t="s">
        <v>36</v>
      </c>
      <c r="H1917" s="3" t="s">
        <v>37</v>
      </c>
      <c r="I1917" s="3" t="s">
        <v>24</v>
      </c>
      <c r="J1917" s="3" t="s">
        <v>24</v>
      </c>
      <c r="K1917" s="3" t="s">
        <v>25</v>
      </c>
      <c r="L1917" s="4">
        <v>0</v>
      </c>
      <c r="M1917" s="3" t="s">
        <v>26</v>
      </c>
      <c r="N1917" s="3" t="s">
        <v>24</v>
      </c>
      <c r="O1917" s="4">
        <v>1</v>
      </c>
      <c r="P1917" s="4">
        <v>2</v>
      </c>
      <c r="Q1917" s="4">
        <v>1</v>
      </c>
    </row>
    <row r="1918" spans="1:17" x14ac:dyDescent="0.25">
      <c r="A1918" s="3" t="s">
        <v>18</v>
      </c>
      <c r="B1918" s="3">
        <v>13991327</v>
      </c>
      <c r="C1918" s="3" t="s">
        <v>1961</v>
      </c>
      <c r="D1918" s="3" t="s">
        <v>1360</v>
      </c>
      <c r="E1918" s="3" t="s">
        <v>21</v>
      </c>
      <c r="F1918" s="3" t="s">
        <v>21</v>
      </c>
      <c r="G1918" s="3" t="s">
        <v>233</v>
      </c>
      <c r="H1918" s="3" t="s">
        <v>234</v>
      </c>
      <c r="I1918" s="3" t="s">
        <v>24</v>
      </c>
      <c r="J1918" s="3" t="s">
        <v>24</v>
      </c>
      <c r="K1918" s="3" t="s">
        <v>25</v>
      </c>
      <c r="L1918" s="4">
        <v>0</v>
      </c>
      <c r="M1918" s="3" t="s">
        <v>26</v>
      </c>
      <c r="N1918" s="3" t="s">
        <v>24</v>
      </c>
      <c r="O1918" s="4">
        <v>1</v>
      </c>
      <c r="P1918" s="4">
        <v>2</v>
      </c>
      <c r="Q1918" s="4">
        <v>1</v>
      </c>
    </row>
    <row r="1919" spans="1:17" x14ac:dyDescent="0.25">
      <c r="A1919" s="3" t="s">
        <v>18</v>
      </c>
      <c r="B1919" s="3">
        <v>13991368</v>
      </c>
      <c r="C1919" s="3" t="s">
        <v>1962</v>
      </c>
      <c r="D1919" s="3" t="s">
        <v>1360</v>
      </c>
      <c r="E1919" s="3" t="s">
        <v>21</v>
      </c>
      <c r="F1919" s="3" t="s">
        <v>21</v>
      </c>
      <c r="G1919" s="3" t="s">
        <v>233</v>
      </c>
      <c r="H1919" s="3" t="s">
        <v>234</v>
      </c>
      <c r="I1919" s="3" t="s">
        <v>24</v>
      </c>
      <c r="J1919" s="3" t="s">
        <v>24</v>
      </c>
      <c r="K1919" s="3" t="s">
        <v>25</v>
      </c>
      <c r="L1919" s="4">
        <v>0</v>
      </c>
      <c r="M1919" s="3" t="s">
        <v>26</v>
      </c>
      <c r="N1919" s="3" t="s">
        <v>24</v>
      </c>
      <c r="O1919" s="4">
        <v>1</v>
      </c>
      <c r="P1919" s="4">
        <v>2</v>
      </c>
      <c r="Q1919" s="4">
        <v>1</v>
      </c>
    </row>
    <row r="1920" spans="1:17" x14ac:dyDescent="0.25">
      <c r="A1920" s="3" t="s">
        <v>18</v>
      </c>
      <c r="B1920" s="3">
        <v>14003520</v>
      </c>
      <c r="C1920" s="3" t="s">
        <v>1963</v>
      </c>
      <c r="D1920" s="3" t="s">
        <v>1360</v>
      </c>
      <c r="E1920" s="3" t="s">
        <v>21</v>
      </c>
      <c r="F1920" s="3" t="s">
        <v>21</v>
      </c>
      <c r="G1920" s="3" t="s">
        <v>36</v>
      </c>
      <c r="H1920" s="3" t="s">
        <v>37</v>
      </c>
      <c r="I1920" s="3" t="s">
        <v>24</v>
      </c>
      <c r="J1920" s="3" t="s">
        <v>24</v>
      </c>
      <c r="K1920" s="3" t="s">
        <v>25</v>
      </c>
      <c r="L1920" s="4">
        <v>0</v>
      </c>
      <c r="M1920" s="3" t="s">
        <v>26</v>
      </c>
      <c r="N1920" s="3" t="s">
        <v>24</v>
      </c>
      <c r="O1920" s="4">
        <v>1</v>
      </c>
      <c r="P1920" s="4">
        <v>10</v>
      </c>
      <c r="Q1920" s="4">
        <v>1</v>
      </c>
    </row>
    <row r="1921" spans="1:17" x14ac:dyDescent="0.25">
      <c r="A1921" s="3" t="s">
        <v>18</v>
      </c>
      <c r="B1921" s="3">
        <v>14007845</v>
      </c>
      <c r="C1921" s="3" t="s">
        <v>1964</v>
      </c>
      <c r="D1921" s="3" t="s">
        <v>20</v>
      </c>
      <c r="E1921" s="3" t="s">
        <v>21</v>
      </c>
      <c r="F1921" s="3" t="s">
        <v>21</v>
      </c>
      <c r="G1921" s="3" t="s">
        <v>487</v>
      </c>
      <c r="H1921" s="3" t="s">
        <v>488</v>
      </c>
      <c r="I1921" s="3" t="s">
        <v>24</v>
      </c>
      <c r="J1921" s="3" t="s">
        <v>24</v>
      </c>
      <c r="K1921" s="3" t="s">
        <v>25</v>
      </c>
      <c r="L1921" s="4">
        <v>0</v>
      </c>
      <c r="M1921" s="3" t="s">
        <v>26</v>
      </c>
      <c r="N1921" s="3" t="s">
        <v>24</v>
      </c>
      <c r="O1921" s="4">
        <v>1</v>
      </c>
      <c r="P1921" s="4">
        <v>2</v>
      </c>
      <c r="Q1921" s="4">
        <v>1</v>
      </c>
    </row>
    <row r="1922" spans="1:17" x14ac:dyDescent="0.25">
      <c r="A1922" s="3" t="s">
        <v>18</v>
      </c>
      <c r="B1922" s="3">
        <v>14007846</v>
      </c>
      <c r="C1922" s="3" t="s">
        <v>1965</v>
      </c>
      <c r="D1922" s="3" t="s">
        <v>1360</v>
      </c>
      <c r="E1922" s="3" t="s">
        <v>21</v>
      </c>
      <c r="F1922" s="3" t="s">
        <v>21</v>
      </c>
      <c r="G1922" s="3" t="s">
        <v>487</v>
      </c>
      <c r="H1922" s="3" t="s">
        <v>488</v>
      </c>
      <c r="I1922" s="3" t="s">
        <v>24</v>
      </c>
      <c r="J1922" s="3" t="s">
        <v>24</v>
      </c>
      <c r="K1922" s="3" t="s">
        <v>25</v>
      </c>
      <c r="L1922" s="4">
        <v>0</v>
      </c>
      <c r="M1922" s="3" t="s">
        <v>26</v>
      </c>
      <c r="N1922" s="3" t="s">
        <v>24</v>
      </c>
      <c r="O1922" s="4">
        <v>1</v>
      </c>
      <c r="P1922" s="4">
        <v>2</v>
      </c>
      <c r="Q1922" s="4">
        <v>1</v>
      </c>
    </row>
    <row r="1923" spans="1:17" x14ac:dyDescent="0.25">
      <c r="A1923" s="3" t="s">
        <v>18</v>
      </c>
      <c r="B1923" s="3">
        <v>14017529</v>
      </c>
      <c r="C1923" s="3" t="s">
        <v>1966</v>
      </c>
      <c r="D1923" s="3" t="s">
        <v>1360</v>
      </c>
      <c r="E1923" s="3" t="s">
        <v>21</v>
      </c>
      <c r="F1923" s="3" t="s">
        <v>21</v>
      </c>
      <c r="G1923" s="3" t="s">
        <v>487</v>
      </c>
      <c r="H1923" s="3" t="s">
        <v>488</v>
      </c>
      <c r="I1923" s="3" t="s">
        <v>24</v>
      </c>
      <c r="J1923" s="3" t="s">
        <v>24</v>
      </c>
      <c r="K1923" s="3" t="s">
        <v>25</v>
      </c>
      <c r="L1923" s="4">
        <v>0</v>
      </c>
      <c r="M1923" s="3" t="s">
        <v>26</v>
      </c>
      <c r="N1923" s="3" t="s">
        <v>24</v>
      </c>
      <c r="O1923" s="4">
        <v>1</v>
      </c>
      <c r="P1923" s="4">
        <v>2</v>
      </c>
      <c r="Q1923" s="4">
        <v>1</v>
      </c>
    </row>
    <row r="1924" spans="1:17" x14ac:dyDescent="0.25">
      <c r="A1924" s="3" t="s">
        <v>18</v>
      </c>
      <c r="B1924" s="3">
        <v>14019066</v>
      </c>
      <c r="C1924" s="3" t="s">
        <v>1967</v>
      </c>
      <c r="D1924" s="3" t="s">
        <v>20</v>
      </c>
      <c r="E1924" s="3" t="s">
        <v>21</v>
      </c>
      <c r="F1924" s="3" t="s">
        <v>21</v>
      </c>
      <c r="G1924" s="3" t="s">
        <v>410</v>
      </c>
      <c r="H1924" s="3" t="s">
        <v>411</v>
      </c>
      <c r="I1924" s="3" t="s">
        <v>24</v>
      </c>
      <c r="J1924" s="3" t="s">
        <v>24</v>
      </c>
      <c r="K1924" s="3" t="s">
        <v>25</v>
      </c>
      <c r="L1924" s="4">
        <v>0</v>
      </c>
      <c r="M1924" s="3" t="s">
        <v>26</v>
      </c>
      <c r="N1924" s="3" t="s">
        <v>24</v>
      </c>
      <c r="O1924" s="4">
        <v>1</v>
      </c>
      <c r="P1924" s="4">
        <v>4</v>
      </c>
      <c r="Q1924" s="4">
        <v>1</v>
      </c>
    </row>
    <row r="1925" spans="1:17" x14ac:dyDescent="0.25">
      <c r="A1925" s="3" t="s">
        <v>18</v>
      </c>
      <c r="B1925" s="3">
        <v>14034624</v>
      </c>
      <c r="C1925" s="3" t="s">
        <v>1968</v>
      </c>
      <c r="D1925" s="3" t="s">
        <v>1360</v>
      </c>
      <c r="E1925" s="3" t="s">
        <v>21</v>
      </c>
      <c r="F1925" s="3" t="s">
        <v>21</v>
      </c>
      <c r="G1925" s="3" t="s">
        <v>233</v>
      </c>
      <c r="H1925" s="3" t="s">
        <v>234</v>
      </c>
      <c r="I1925" s="3" t="s">
        <v>24</v>
      </c>
      <c r="J1925" s="3" t="s">
        <v>24</v>
      </c>
      <c r="K1925" s="3" t="s">
        <v>25</v>
      </c>
      <c r="L1925" s="4">
        <v>0</v>
      </c>
      <c r="M1925" s="3" t="s">
        <v>26</v>
      </c>
      <c r="N1925" s="3" t="s">
        <v>24</v>
      </c>
      <c r="O1925" s="4">
        <v>1</v>
      </c>
      <c r="P1925" s="4">
        <v>2</v>
      </c>
      <c r="Q1925" s="4">
        <v>1</v>
      </c>
    </row>
    <row r="1926" spans="1:17" x14ac:dyDescent="0.25">
      <c r="A1926" s="3" t="s">
        <v>18</v>
      </c>
      <c r="B1926" s="3">
        <v>14038920</v>
      </c>
      <c r="C1926" s="3" t="s">
        <v>1969</v>
      </c>
      <c r="D1926" s="3" t="s">
        <v>20</v>
      </c>
      <c r="E1926" s="3" t="s">
        <v>21</v>
      </c>
      <c r="F1926" s="3" t="s">
        <v>21</v>
      </c>
      <c r="G1926" s="3" t="s">
        <v>22</v>
      </c>
      <c r="H1926" s="3" t="s">
        <v>23</v>
      </c>
      <c r="I1926" s="3" t="s">
        <v>24</v>
      </c>
      <c r="J1926" s="3" t="s">
        <v>24</v>
      </c>
      <c r="K1926" s="3" t="s">
        <v>25</v>
      </c>
      <c r="L1926" s="4">
        <v>0</v>
      </c>
      <c r="M1926" s="3" t="s">
        <v>26</v>
      </c>
      <c r="N1926" s="3" t="s">
        <v>24</v>
      </c>
      <c r="O1926" s="4">
        <v>1</v>
      </c>
      <c r="P1926" s="4">
        <v>4</v>
      </c>
      <c r="Q1926" s="4">
        <v>1</v>
      </c>
    </row>
    <row r="1927" spans="1:17" x14ac:dyDescent="0.25">
      <c r="A1927" s="3" t="s">
        <v>18</v>
      </c>
      <c r="B1927" s="3">
        <v>14038921</v>
      </c>
      <c r="C1927" s="3" t="s">
        <v>1970</v>
      </c>
      <c r="D1927" s="3" t="s">
        <v>20</v>
      </c>
      <c r="E1927" s="3" t="s">
        <v>21</v>
      </c>
      <c r="F1927" s="3" t="s">
        <v>21</v>
      </c>
      <c r="G1927" s="3" t="s">
        <v>233</v>
      </c>
      <c r="H1927" s="3" t="s">
        <v>234</v>
      </c>
      <c r="I1927" s="3" t="s">
        <v>24</v>
      </c>
      <c r="J1927" s="3" t="s">
        <v>24</v>
      </c>
      <c r="K1927" s="3" t="s">
        <v>25</v>
      </c>
      <c r="L1927" s="4">
        <v>0</v>
      </c>
      <c r="M1927" s="3" t="s">
        <v>26</v>
      </c>
      <c r="N1927" s="3" t="s">
        <v>24</v>
      </c>
      <c r="O1927" s="4">
        <v>1</v>
      </c>
      <c r="P1927" s="4">
        <v>2</v>
      </c>
      <c r="Q1927" s="4">
        <v>1</v>
      </c>
    </row>
    <row r="1928" spans="1:17" x14ac:dyDescent="0.25">
      <c r="A1928" s="3" t="s">
        <v>18</v>
      </c>
      <c r="B1928" s="3">
        <v>14040706</v>
      </c>
      <c r="C1928" s="3" t="s">
        <v>1971</v>
      </c>
      <c r="D1928" s="3" t="s">
        <v>1360</v>
      </c>
      <c r="E1928" s="3" t="s">
        <v>21</v>
      </c>
      <c r="F1928" s="3" t="s">
        <v>21</v>
      </c>
      <c r="G1928" s="3" t="s">
        <v>233</v>
      </c>
      <c r="H1928" s="3" t="s">
        <v>234</v>
      </c>
      <c r="I1928" s="3" t="s">
        <v>24</v>
      </c>
      <c r="J1928" s="3" t="s">
        <v>24</v>
      </c>
      <c r="K1928" s="3" t="s">
        <v>25</v>
      </c>
      <c r="L1928" s="4">
        <v>0</v>
      </c>
      <c r="M1928" s="3" t="s">
        <v>26</v>
      </c>
      <c r="N1928" s="3" t="s">
        <v>24</v>
      </c>
      <c r="O1928" s="4">
        <v>1</v>
      </c>
      <c r="P1928" s="4">
        <v>2</v>
      </c>
      <c r="Q1928" s="4">
        <v>1</v>
      </c>
    </row>
    <row r="1929" spans="1:17" x14ac:dyDescent="0.25">
      <c r="A1929" s="3" t="s">
        <v>18</v>
      </c>
      <c r="B1929" s="3">
        <v>14049767</v>
      </c>
      <c r="C1929" s="3" t="s">
        <v>1972</v>
      </c>
      <c r="D1929" s="3" t="s">
        <v>1360</v>
      </c>
      <c r="E1929" s="3" t="s">
        <v>21</v>
      </c>
      <c r="F1929" s="3" t="s">
        <v>21</v>
      </c>
      <c r="G1929" s="3" t="s">
        <v>233</v>
      </c>
      <c r="H1929" s="3" t="s">
        <v>234</v>
      </c>
      <c r="I1929" s="3" t="s">
        <v>24</v>
      </c>
      <c r="J1929" s="3" t="s">
        <v>24</v>
      </c>
      <c r="K1929" s="3" t="s">
        <v>25</v>
      </c>
      <c r="L1929" s="4">
        <v>0</v>
      </c>
      <c r="M1929" s="3" t="s">
        <v>26</v>
      </c>
      <c r="N1929" s="3" t="s">
        <v>24</v>
      </c>
      <c r="O1929" s="4">
        <v>1</v>
      </c>
      <c r="P1929" s="4">
        <v>2</v>
      </c>
      <c r="Q1929" s="4">
        <v>1</v>
      </c>
    </row>
    <row r="1930" spans="1:17" x14ac:dyDescent="0.25">
      <c r="A1930" s="3" t="s">
        <v>18</v>
      </c>
      <c r="B1930" s="3">
        <v>14068087</v>
      </c>
      <c r="C1930" s="3" t="s">
        <v>1973</v>
      </c>
      <c r="D1930" s="3" t="s">
        <v>20</v>
      </c>
      <c r="E1930" s="3" t="s">
        <v>21</v>
      </c>
      <c r="F1930" s="3" t="s">
        <v>21</v>
      </c>
      <c r="G1930" s="3" t="s">
        <v>410</v>
      </c>
      <c r="H1930" s="3" t="s">
        <v>411</v>
      </c>
      <c r="I1930" s="3" t="s">
        <v>24</v>
      </c>
      <c r="J1930" s="3" t="s">
        <v>24</v>
      </c>
      <c r="K1930" s="3" t="s">
        <v>25</v>
      </c>
      <c r="L1930" s="4">
        <v>0</v>
      </c>
      <c r="M1930" s="3" t="s">
        <v>26</v>
      </c>
      <c r="N1930" s="3" t="s">
        <v>24</v>
      </c>
      <c r="O1930" s="4">
        <v>1</v>
      </c>
      <c r="P1930" s="4">
        <v>4</v>
      </c>
      <c r="Q1930" s="4">
        <v>1</v>
      </c>
    </row>
    <row r="1931" spans="1:17" x14ac:dyDescent="0.25">
      <c r="A1931" s="3" t="s">
        <v>18</v>
      </c>
      <c r="B1931" s="3">
        <v>14068120</v>
      </c>
      <c r="C1931" s="3" t="s">
        <v>1974</v>
      </c>
      <c r="D1931" s="3" t="s">
        <v>20</v>
      </c>
      <c r="E1931" s="3" t="s">
        <v>21</v>
      </c>
      <c r="F1931" s="3" t="s">
        <v>21</v>
      </c>
      <c r="G1931" s="3" t="s">
        <v>410</v>
      </c>
      <c r="H1931" s="3" t="s">
        <v>411</v>
      </c>
      <c r="I1931" s="3" t="s">
        <v>24</v>
      </c>
      <c r="J1931" s="3" t="s">
        <v>24</v>
      </c>
      <c r="K1931" s="3" t="s">
        <v>25</v>
      </c>
      <c r="L1931" s="4">
        <v>0</v>
      </c>
      <c r="M1931" s="3" t="s">
        <v>26</v>
      </c>
      <c r="N1931" s="3" t="s">
        <v>24</v>
      </c>
      <c r="O1931" s="4">
        <v>1</v>
      </c>
      <c r="P1931" s="4">
        <v>4</v>
      </c>
      <c r="Q1931" s="4">
        <v>1</v>
      </c>
    </row>
    <row r="1932" spans="1:17" x14ac:dyDescent="0.25">
      <c r="A1932" s="3" t="s">
        <v>18</v>
      </c>
      <c r="B1932" s="3">
        <v>14068121</v>
      </c>
      <c r="C1932" s="3" t="s">
        <v>1975</v>
      </c>
      <c r="D1932" s="3" t="s">
        <v>20</v>
      </c>
      <c r="E1932" s="3" t="s">
        <v>21</v>
      </c>
      <c r="F1932" s="3" t="s">
        <v>21</v>
      </c>
      <c r="G1932" s="3" t="s">
        <v>410</v>
      </c>
      <c r="H1932" s="3" t="s">
        <v>411</v>
      </c>
      <c r="I1932" s="3" t="s">
        <v>24</v>
      </c>
      <c r="J1932" s="3" t="s">
        <v>24</v>
      </c>
      <c r="K1932" s="3" t="s">
        <v>25</v>
      </c>
      <c r="L1932" s="4">
        <v>0</v>
      </c>
      <c r="M1932" s="3" t="s">
        <v>26</v>
      </c>
      <c r="N1932" s="3" t="s">
        <v>24</v>
      </c>
      <c r="O1932" s="4">
        <v>1</v>
      </c>
      <c r="P1932" s="4">
        <v>4</v>
      </c>
      <c r="Q1932" s="4">
        <v>1</v>
      </c>
    </row>
    <row r="1933" spans="1:17" x14ac:dyDescent="0.25">
      <c r="A1933" s="3" t="s">
        <v>18</v>
      </c>
      <c r="B1933" s="3">
        <v>14068122</v>
      </c>
      <c r="C1933" s="3" t="s">
        <v>1976</v>
      </c>
      <c r="D1933" s="3" t="s">
        <v>20</v>
      </c>
      <c r="E1933" s="3" t="s">
        <v>21</v>
      </c>
      <c r="F1933" s="3" t="s">
        <v>21</v>
      </c>
      <c r="G1933" s="3" t="s">
        <v>410</v>
      </c>
      <c r="H1933" s="3" t="s">
        <v>411</v>
      </c>
      <c r="I1933" s="3" t="s">
        <v>24</v>
      </c>
      <c r="J1933" s="3" t="s">
        <v>24</v>
      </c>
      <c r="K1933" s="3" t="s">
        <v>25</v>
      </c>
      <c r="L1933" s="4">
        <v>0</v>
      </c>
      <c r="M1933" s="3" t="s">
        <v>26</v>
      </c>
      <c r="N1933" s="3" t="s">
        <v>24</v>
      </c>
      <c r="O1933" s="4">
        <v>1</v>
      </c>
      <c r="P1933" s="4">
        <v>4</v>
      </c>
      <c r="Q1933" s="4">
        <v>1</v>
      </c>
    </row>
    <row r="1934" spans="1:17" x14ac:dyDescent="0.25">
      <c r="A1934" s="3" t="s">
        <v>18</v>
      </c>
      <c r="B1934" s="3">
        <v>14068126</v>
      </c>
      <c r="C1934" s="3" t="s">
        <v>1977</v>
      </c>
      <c r="D1934" s="3" t="s">
        <v>20</v>
      </c>
      <c r="E1934" s="3" t="s">
        <v>21</v>
      </c>
      <c r="F1934" s="3" t="s">
        <v>21</v>
      </c>
      <c r="G1934" s="3" t="s">
        <v>410</v>
      </c>
      <c r="H1934" s="3" t="s">
        <v>411</v>
      </c>
      <c r="I1934" s="3" t="s">
        <v>24</v>
      </c>
      <c r="J1934" s="3" t="s">
        <v>24</v>
      </c>
      <c r="K1934" s="3" t="s">
        <v>25</v>
      </c>
      <c r="L1934" s="4">
        <v>0</v>
      </c>
      <c r="M1934" s="3" t="s">
        <v>26</v>
      </c>
      <c r="N1934" s="3" t="s">
        <v>24</v>
      </c>
      <c r="O1934" s="4">
        <v>1</v>
      </c>
      <c r="P1934" s="4">
        <v>4</v>
      </c>
      <c r="Q1934" s="4">
        <v>1</v>
      </c>
    </row>
    <row r="1935" spans="1:17" x14ac:dyDescent="0.25">
      <c r="A1935" s="3" t="s">
        <v>18</v>
      </c>
      <c r="B1935" s="3">
        <v>14068224</v>
      </c>
      <c r="C1935" s="3" t="s">
        <v>1978</v>
      </c>
      <c r="D1935" s="3" t="s">
        <v>20</v>
      </c>
      <c r="E1935" s="3" t="s">
        <v>21</v>
      </c>
      <c r="F1935" s="3" t="s">
        <v>21</v>
      </c>
      <c r="G1935" s="3" t="s">
        <v>410</v>
      </c>
      <c r="H1935" s="3" t="s">
        <v>411</v>
      </c>
      <c r="I1935" s="3" t="s">
        <v>24</v>
      </c>
      <c r="J1935" s="3" t="s">
        <v>24</v>
      </c>
      <c r="K1935" s="3" t="s">
        <v>25</v>
      </c>
      <c r="L1935" s="4">
        <v>0</v>
      </c>
      <c r="M1935" s="3" t="s">
        <v>26</v>
      </c>
      <c r="N1935" s="3" t="s">
        <v>24</v>
      </c>
      <c r="O1935" s="4">
        <v>1</v>
      </c>
      <c r="P1935" s="4">
        <v>4</v>
      </c>
      <c r="Q1935" s="4">
        <v>1</v>
      </c>
    </row>
    <row r="1936" spans="1:17" x14ac:dyDescent="0.25">
      <c r="A1936" s="3" t="s">
        <v>18</v>
      </c>
      <c r="B1936" s="3">
        <v>14068225</v>
      </c>
      <c r="C1936" s="3" t="s">
        <v>1979</v>
      </c>
      <c r="D1936" s="3" t="s">
        <v>20</v>
      </c>
      <c r="E1936" s="3" t="s">
        <v>21</v>
      </c>
      <c r="F1936" s="3" t="s">
        <v>21</v>
      </c>
      <c r="G1936" s="3" t="s">
        <v>410</v>
      </c>
      <c r="H1936" s="3" t="s">
        <v>411</v>
      </c>
      <c r="I1936" s="3" t="s">
        <v>24</v>
      </c>
      <c r="J1936" s="3" t="s">
        <v>24</v>
      </c>
      <c r="K1936" s="3" t="s">
        <v>25</v>
      </c>
      <c r="L1936" s="4">
        <v>0</v>
      </c>
      <c r="M1936" s="3" t="s">
        <v>26</v>
      </c>
      <c r="N1936" s="3" t="s">
        <v>24</v>
      </c>
      <c r="O1936" s="4">
        <v>1</v>
      </c>
      <c r="P1936" s="4">
        <v>4</v>
      </c>
      <c r="Q1936" s="4">
        <v>1</v>
      </c>
    </row>
    <row r="1937" spans="1:17" x14ac:dyDescent="0.25">
      <c r="A1937" s="3" t="s">
        <v>18</v>
      </c>
      <c r="B1937" s="3">
        <v>14068226</v>
      </c>
      <c r="C1937" s="3" t="s">
        <v>1980</v>
      </c>
      <c r="D1937" s="3" t="s">
        <v>20</v>
      </c>
      <c r="E1937" s="3" t="s">
        <v>21</v>
      </c>
      <c r="F1937" s="3" t="s">
        <v>21</v>
      </c>
      <c r="G1937" s="3" t="s">
        <v>410</v>
      </c>
      <c r="H1937" s="3" t="s">
        <v>411</v>
      </c>
      <c r="I1937" s="3" t="s">
        <v>24</v>
      </c>
      <c r="J1937" s="3" t="s">
        <v>24</v>
      </c>
      <c r="K1937" s="3" t="s">
        <v>25</v>
      </c>
      <c r="L1937" s="4">
        <v>0</v>
      </c>
      <c r="M1937" s="3" t="s">
        <v>26</v>
      </c>
      <c r="N1937" s="3" t="s">
        <v>24</v>
      </c>
      <c r="O1937" s="4">
        <v>1</v>
      </c>
      <c r="P1937" s="4">
        <v>4</v>
      </c>
      <c r="Q1937" s="4">
        <v>1</v>
      </c>
    </row>
    <row r="1938" spans="1:17" x14ac:dyDescent="0.25">
      <c r="A1938" s="3" t="s">
        <v>18</v>
      </c>
      <c r="B1938" s="3">
        <v>14068227</v>
      </c>
      <c r="C1938" s="3" t="s">
        <v>1981</v>
      </c>
      <c r="D1938" s="3" t="s">
        <v>20</v>
      </c>
      <c r="E1938" s="3" t="s">
        <v>21</v>
      </c>
      <c r="F1938" s="3" t="s">
        <v>21</v>
      </c>
      <c r="G1938" s="3" t="s">
        <v>410</v>
      </c>
      <c r="H1938" s="3" t="s">
        <v>411</v>
      </c>
      <c r="I1938" s="3" t="s">
        <v>24</v>
      </c>
      <c r="J1938" s="3" t="s">
        <v>24</v>
      </c>
      <c r="K1938" s="3" t="s">
        <v>25</v>
      </c>
      <c r="L1938" s="4">
        <v>0</v>
      </c>
      <c r="M1938" s="3" t="s">
        <v>26</v>
      </c>
      <c r="N1938" s="3" t="s">
        <v>24</v>
      </c>
      <c r="O1938" s="4">
        <v>1</v>
      </c>
      <c r="P1938" s="4">
        <v>3</v>
      </c>
      <c r="Q1938" s="4">
        <v>1</v>
      </c>
    </row>
    <row r="1939" spans="1:17" x14ac:dyDescent="0.25">
      <c r="A1939" s="3" t="s">
        <v>18</v>
      </c>
      <c r="B1939" s="3">
        <v>14077911</v>
      </c>
      <c r="C1939" s="3" t="s">
        <v>1982</v>
      </c>
      <c r="D1939" s="3" t="s">
        <v>20</v>
      </c>
      <c r="E1939" s="3" t="s">
        <v>21</v>
      </c>
      <c r="F1939" s="3" t="s">
        <v>21</v>
      </c>
      <c r="G1939" s="3" t="s">
        <v>410</v>
      </c>
      <c r="H1939" s="3" t="s">
        <v>411</v>
      </c>
      <c r="I1939" s="3" t="s">
        <v>24</v>
      </c>
      <c r="J1939" s="3" t="s">
        <v>24</v>
      </c>
      <c r="K1939" s="3" t="s">
        <v>25</v>
      </c>
      <c r="L1939" s="4">
        <v>0</v>
      </c>
      <c r="M1939" s="3" t="s">
        <v>26</v>
      </c>
      <c r="N1939" s="3" t="s">
        <v>24</v>
      </c>
      <c r="O1939" s="4">
        <v>1</v>
      </c>
      <c r="P1939" s="4">
        <v>2</v>
      </c>
      <c r="Q1939" s="4">
        <v>1</v>
      </c>
    </row>
    <row r="1940" spans="1:17" x14ac:dyDescent="0.25">
      <c r="A1940" s="3" t="s">
        <v>18</v>
      </c>
      <c r="B1940" s="3">
        <v>14078025</v>
      </c>
      <c r="C1940" s="3" t="s">
        <v>1983</v>
      </c>
      <c r="D1940" s="3" t="s">
        <v>20</v>
      </c>
      <c r="E1940" s="3" t="s">
        <v>21</v>
      </c>
      <c r="F1940" s="3" t="s">
        <v>21</v>
      </c>
      <c r="G1940" s="3" t="s">
        <v>410</v>
      </c>
      <c r="H1940" s="3" t="s">
        <v>411</v>
      </c>
      <c r="I1940" s="3" t="s">
        <v>24</v>
      </c>
      <c r="J1940" s="3" t="s">
        <v>24</v>
      </c>
      <c r="K1940" s="3" t="s">
        <v>25</v>
      </c>
      <c r="L1940" s="4">
        <v>0</v>
      </c>
      <c r="M1940" s="3" t="s">
        <v>26</v>
      </c>
      <c r="N1940" s="3" t="s">
        <v>24</v>
      </c>
      <c r="O1940" s="4">
        <v>1</v>
      </c>
      <c r="P1940" s="4">
        <v>4</v>
      </c>
      <c r="Q1940" s="4">
        <v>1</v>
      </c>
    </row>
    <row r="1941" spans="1:17" x14ac:dyDescent="0.25">
      <c r="A1941" s="3" t="s">
        <v>18</v>
      </c>
      <c r="B1941" s="3">
        <v>14080462</v>
      </c>
      <c r="C1941" s="3" t="s">
        <v>1984</v>
      </c>
      <c r="D1941" s="3" t="s">
        <v>20</v>
      </c>
      <c r="E1941" s="3" t="s">
        <v>21</v>
      </c>
      <c r="F1941" s="3" t="s">
        <v>21</v>
      </c>
      <c r="G1941" s="3" t="s">
        <v>410</v>
      </c>
      <c r="H1941" s="3" t="s">
        <v>411</v>
      </c>
      <c r="I1941" s="3" t="s">
        <v>24</v>
      </c>
      <c r="J1941" s="3" t="s">
        <v>24</v>
      </c>
      <c r="K1941" s="3" t="s">
        <v>25</v>
      </c>
      <c r="L1941" s="4">
        <v>0</v>
      </c>
      <c r="M1941" s="3" t="s">
        <v>26</v>
      </c>
      <c r="N1941" s="3" t="s">
        <v>24</v>
      </c>
      <c r="O1941" s="4">
        <v>1</v>
      </c>
      <c r="P1941" s="4">
        <v>10</v>
      </c>
      <c r="Q1941" s="4">
        <v>1</v>
      </c>
    </row>
    <row r="1942" spans="1:17" x14ac:dyDescent="0.25">
      <c r="A1942" s="3" t="s">
        <v>18</v>
      </c>
      <c r="B1942" s="3">
        <v>14080463</v>
      </c>
      <c r="C1942" s="3" t="s">
        <v>1985</v>
      </c>
      <c r="D1942" s="3" t="s">
        <v>20</v>
      </c>
      <c r="E1942" s="3" t="s">
        <v>21</v>
      </c>
      <c r="F1942" s="3" t="s">
        <v>21</v>
      </c>
      <c r="G1942" s="3" t="s">
        <v>410</v>
      </c>
      <c r="H1942" s="3" t="s">
        <v>411</v>
      </c>
      <c r="I1942" s="3" t="s">
        <v>24</v>
      </c>
      <c r="J1942" s="3" t="s">
        <v>24</v>
      </c>
      <c r="K1942" s="3" t="s">
        <v>25</v>
      </c>
      <c r="L1942" s="4">
        <v>0</v>
      </c>
      <c r="M1942" s="3" t="s">
        <v>26</v>
      </c>
      <c r="N1942" s="3" t="s">
        <v>24</v>
      </c>
      <c r="O1942" s="4">
        <v>1</v>
      </c>
      <c r="P1942" s="4">
        <v>3</v>
      </c>
      <c r="Q1942" s="4">
        <v>1</v>
      </c>
    </row>
    <row r="1943" spans="1:17" x14ac:dyDescent="0.25">
      <c r="A1943" s="3" t="s">
        <v>18</v>
      </c>
      <c r="B1943" s="3">
        <v>14107255</v>
      </c>
      <c r="C1943" s="3" t="s">
        <v>1986</v>
      </c>
      <c r="D1943" s="3" t="s">
        <v>20</v>
      </c>
      <c r="E1943" s="3" t="s">
        <v>21</v>
      </c>
      <c r="F1943" s="3" t="s">
        <v>21</v>
      </c>
      <c r="G1943" s="3" t="s">
        <v>410</v>
      </c>
      <c r="H1943" s="3" t="s">
        <v>411</v>
      </c>
      <c r="I1943" s="3" t="s">
        <v>24</v>
      </c>
      <c r="J1943" s="3" t="s">
        <v>24</v>
      </c>
      <c r="K1943" s="3" t="s">
        <v>25</v>
      </c>
      <c r="L1943" s="4">
        <v>0</v>
      </c>
      <c r="M1943" s="3" t="s">
        <v>26</v>
      </c>
      <c r="N1943" s="3" t="s">
        <v>24</v>
      </c>
      <c r="O1943" s="4">
        <v>1</v>
      </c>
      <c r="P1943" s="4">
        <v>10</v>
      </c>
      <c r="Q1943" s="4">
        <v>1</v>
      </c>
    </row>
    <row r="1944" spans="1:17" x14ac:dyDescent="0.25">
      <c r="A1944" s="3" t="s">
        <v>18</v>
      </c>
      <c r="B1944" s="3">
        <v>14117397</v>
      </c>
      <c r="C1944" s="3" t="s">
        <v>1987</v>
      </c>
      <c r="D1944" s="3" t="s">
        <v>20</v>
      </c>
      <c r="E1944" s="3" t="s">
        <v>21</v>
      </c>
      <c r="F1944" s="3" t="s">
        <v>21</v>
      </c>
      <c r="G1944" s="3" t="s">
        <v>22</v>
      </c>
      <c r="H1944" s="3" t="s">
        <v>23</v>
      </c>
      <c r="I1944" s="3" t="s">
        <v>24</v>
      </c>
      <c r="J1944" s="3" t="s">
        <v>24</v>
      </c>
      <c r="K1944" s="3" t="s">
        <v>25</v>
      </c>
      <c r="L1944" s="4">
        <v>0</v>
      </c>
      <c r="M1944" s="3" t="s">
        <v>26</v>
      </c>
      <c r="N1944" s="3" t="s">
        <v>24</v>
      </c>
      <c r="O1944" s="4">
        <v>1</v>
      </c>
      <c r="P1944" s="4">
        <v>4</v>
      </c>
      <c r="Q1944" s="4">
        <v>1</v>
      </c>
    </row>
    <row r="1945" spans="1:17" x14ac:dyDescent="0.25">
      <c r="A1945" s="3" t="s">
        <v>18</v>
      </c>
      <c r="B1945" s="3">
        <v>14124907</v>
      </c>
      <c r="C1945" s="3" t="s">
        <v>1988</v>
      </c>
      <c r="D1945" s="3" t="s">
        <v>20</v>
      </c>
      <c r="E1945" s="3" t="s">
        <v>21</v>
      </c>
      <c r="F1945" s="3" t="s">
        <v>21</v>
      </c>
      <c r="G1945" s="3" t="s">
        <v>233</v>
      </c>
      <c r="H1945" s="3" t="s">
        <v>234</v>
      </c>
      <c r="I1945" s="3" t="s">
        <v>24</v>
      </c>
      <c r="J1945" s="3" t="s">
        <v>24</v>
      </c>
      <c r="K1945" s="3" t="s">
        <v>25</v>
      </c>
      <c r="L1945" s="4">
        <v>0</v>
      </c>
      <c r="M1945" s="3" t="s">
        <v>26</v>
      </c>
      <c r="N1945" s="3" t="s">
        <v>24</v>
      </c>
      <c r="O1945" s="4">
        <v>1</v>
      </c>
      <c r="P1945" s="4">
        <v>3</v>
      </c>
      <c r="Q1945" s="4">
        <v>1</v>
      </c>
    </row>
    <row r="1946" spans="1:17" x14ac:dyDescent="0.25">
      <c r="A1946" s="3" t="s">
        <v>18</v>
      </c>
      <c r="B1946" s="3">
        <v>14124978</v>
      </c>
      <c r="C1946" s="3" t="s">
        <v>1989</v>
      </c>
      <c r="D1946" s="3" t="s">
        <v>20</v>
      </c>
      <c r="E1946" s="3" t="s">
        <v>21</v>
      </c>
      <c r="F1946" s="3" t="s">
        <v>21</v>
      </c>
      <c r="G1946" s="3" t="s">
        <v>233</v>
      </c>
      <c r="H1946" s="3" t="s">
        <v>234</v>
      </c>
      <c r="I1946" s="3" t="s">
        <v>24</v>
      </c>
      <c r="J1946" s="3" t="s">
        <v>24</v>
      </c>
      <c r="K1946" s="3" t="s">
        <v>25</v>
      </c>
      <c r="L1946" s="4">
        <v>0</v>
      </c>
      <c r="M1946" s="3" t="s">
        <v>26</v>
      </c>
      <c r="N1946" s="3" t="s">
        <v>24</v>
      </c>
      <c r="O1946" s="4">
        <v>1</v>
      </c>
      <c r="P1946" s="4">
        <v>3</v>
      </c>
      <c r="Q1946" s="4">
        <v>1</v>
      </c>
    </row>
    <row r="1947" spans="1:17" x14ac:dyDescent="0.25">
      <c r="A1947" s="3" t="s">
        <v>18</v>
      </c>
      <c r="B1947" s="3">
        <v>14124979</v>
      </c>
      <c r="C1947" s="3" t="s">
        <v>1990</v>
      </c>
      <c r="D1947" s="3" t="s">
        <v>20</v>
      </c>
      <c r="E1947" s="3" t="s">
        <v>21</v>
      </c>
      <c r="F1947" s="3" t="s">
        <v>21</v>
      </c>
      <c r="G1947" s="3" t="s">
        <v>233</v>
      </c>
      <c r="H1947" s="3" t="s">
        <v>234</v>
      </c>
      <c r="I1947" s="3" t="s">
        <v>24</v>
      </c>
      <c r="J1947" s="3" t="s">
        <v>24</v>
      </c>
      <c r="K1947" s="3" t="s">
        <v>25</v>
      </c>
      <c r="L1947" s="4">
        <v>0</v>
      </c>
      <c r="M1947" s="3" t="s">
        <v>26</v>
      </c>
      <c r="N1947" s="3" t="s">
        <v>24</v>
      </c>
      <c r="O1947" s="4">
        <v>1</v>
      </c>
      <c r="P1947" s="4">
        <v>3</v>
      </c>
      <c r="Q1947" s="4">
        <v>1</v>
      </c>
    </row>
    <row r="1948" spans="1:17" x14ac:dyDescent="0.25">
      <c r="A1948" s="3" t="s">
        <v>18</v>
      </c>
      <c r="B1948" s="3">
        <v>14149029</v>
      </c>
      <c r="C1948" s="3" t="s">
        <v>1991</v>
      </c>
      <c r="D1948" s="3" t="s">
        <v>20</v>
      </c>
      <c r="E1948" s="3" t="s">
        <v>21</v>
      </c>
      <c r="F1948" s="3" t="s">
        <v>21</v>
      </c>
      <c r="G1948" s="3" t="s">
        <v>410</v>
      </c>
      <c r="H1948" s="3" t="s">
        <v>411</v>
      </c>
      <c r="I1948" s="3" t="s">
        <v>24</v>
      </c>
      <c r="J1948" s="3" t="s">
        <v>24</v>
      </c>
      <c r="K1948" s="3" t="s">
        <v>25</v>
      </c>
      <c r="L1948" s="4">
        <v>0</v>
      </c>
      <c r="M1948" s="3" t="s">
        <v>26</v>
      </c>
      <c r="N1948" s="3" t="s">
        <v>24</v>
      </c>
      <c r="O1948" s="4">
        <v>1</v>
      </c>
      <c r="P1948" s="4">
        <v>8</v>
      </c>
      <c r="Q1948" s="4">
        <v>1</v>
      </c>
    </row>
    <row r="1949" spans="1:17" x14ac:dyDescent="0.25">
      <c r="A1949" s="3" t="s">
        <v>18</v>
      </c>
      <c r="B1949" s="3">
        <v>14149109</v>
      </c>
      <c r="C1949" s="3" t="s">
        <v>1992</v>
      </c>
      <c r="D1949" s="3" t="s">
        <v>1360</v>
      </c>
      <c r="E1949" s="3" t="s">
        <v>21</v>
      </c>
      <c r="F1949" s="3" t="s">
        <v>21</v>
      </c>
      <c r="G1949" s="3" t="s">
        <v>487</v>
      </c>
      <c r="H1949" s="3" t="s">
        <v>488</v>
      </c>
      <c r="I1949" s="3" t="s">
        <v>24</v>
      </c>
      <c r="J1949" s="3" t="s">
        <v>24</v>
      </c>
      <c r="K1949" s="3" t="s">
        <v>25</v>
      </c>
      <c r="L1949" s="4">
        <v>0</v>
      </c>
      <c r="M1949" s="3" t="s">
        <v>26</v>
      </c>
      <c r="N1949" s="3" t="s">
        <v>24</v>
      </c>
      <c r="O1949" s="4">
        <v>1</v>
      </c>
      <c r="P1949" s="4">
        <v>1</v>
      </c>
      <c r="Q1949" s="4">
        <v>1</v>
      </c>
    </row>
    <row r="1950" spans="1:17" x14ac:dyDescent="0.25">
      <c r="A1950" s="3" t="s">
        <v>18</v>
      </c>
      <c r="B1950" s="3">
        <v>14149727</v>
      </c>
      <c r="C1950" s="3" t="s">
        <v>1993</v>
      </c>
      <c r="D1950" s="3" t="s">
        <v>20</v>
      </c>
      <c r="E1950" s="3" t="s">
        <v>21</v>
      </c>
      <c r="F1950" s="3" t="s">
        <v>21</v>
      </c>
      <c r="G1950" s="3" t="s">
        <v>410</v>
      </c>
      <c r="H1950" s="3" t="s">
        <v>411</v>
      </c>
      <c r="I1950" s="3" t="s">
        <v>24</v>
      </c>
      <c r="J1950" s="3" t="s">
        <v>24</v>
      </c>
      <c r="K1950" s="3" t="s">
        <v>25</v>
      </c>
      <c r="L1950" s="4">
        <v>0</v>
      </c>
      <c r="M1950" s="3" t="s">
        <v>26</v>
      </c>
      <c r="N1950" s="3" t="s">
        <v>24</v>
      </c>
      <c r="O1950" s="4">
        <v>1</v>
      </c>
      <c r="P1950" s="4">
        <v>9</v>
      </c>
      <c r="Q1950" s="4">
        <v>1</v>
      </c>
    </row>
    <row r="1951" spans="1:17" x14ac:dyDescent="0.25">
      <c r="A1951" s="3" t="s">
        <v>18</v>
      </c>
      <c r="B1951" s="3">
        <v>14161514</v>
      </c>
      <c r="C1951" s="3" t="s">
        <v>1994</v>
      </c>
      <c r="D1951" s="3" t="s">
        <v>20</v>
      </c>
      <c r="E1951" s="3" t="s">
        <v>21</v>
      </c>
      <c r="F1951" s="3" t="s">
        <v>21</v>
      </c>
      <c r="G1951" s="3" t="s">
        <v>362</v>
      </c>
      <c r="H1951" s="3" t="s">
        <v>363</v>
      </c>
      <c r="I1951" s="3" t="s">
        <v>24</v>
      </c>
      <c r="J1951" s="3" t="s">
        <v>24</v>
      </c>
      <c r="K1951" s="3" t="s">
        <v>25</v>
      </c>
      <c r="L1951" s="4">
        <v>0</v>
      </c>
      <c r="M1951" s="3" t="s">
        <v>26</v>
      </c>
      <c r="N1951" s="3" t="s">
        <v>24</v>
      </c>
      <c r="O1951" s="4">
        <v>1</v>
      </c>
      <c r="P1951" s="4">
        <v>1</v>
      </c>
      <c r="Q1951" s="4">
        <v>1</v>
      </c>
    </row>
    <row r="1952" spans="1:17" x14ac:dyDescent="0.25">
      <c r="A1952" s="3" t="s">
        <v>18</v>
      </c>
      <c r="B1952" s="3">
        <v>14175117</v>
      </c>
      <c r="C1952" s="3" t="s">
        <v>1995</v>
      </c>
      <c r="D1952" s="3" t="s">
        <v>20</v>
      </c>
      <c r="E1952" s="3" t="s">
        <v>21</v>
      </c>
      <c r="F1952" s="3" t="s">
        <v>21</v>
      </c>
      <c r="G1952" s="3" t="s">
        <v>410</v>
      </c>
      <c r="H1952" s="3" t="s">
        <v>411</v>
      </c>
      <c r="I1952" s="3" t="s">
        <v>24</v>
      </c>
      <c r="J1952" s="3" t="s">
        <v>24</v>
      </c>
      <c r="K1952" s="3" t="s">
        <v>25</v>
      </c>
      <c r="L1952" s="4">
        <v>0</v>
      </c>
      <c r="M1952" s="3" t="s">
        <v>26</v>
      </c>
      <c r="N1952" s="3" t="s">
        <v>24</v>
      </c>
      <c r="O1952" s="4">
        <v>1</v>
      </c>
      <c r="P1952" s="4">
        <v>8</v>
      </c>
      <c r="Q1952" s="4">
        <v>1</v>
      </c>
    </row>
    <row r="1953" spans="1:17" x14ac:dyDescent="0.25">
      <c r="A1953" s="3" t="s">
        <v>18</v>
      </c>
      <c r="B1953" s="3">
        <v>14184171</v>
      </c>
      <c r="C1953" s="3" t="s">
        <v>1996</v>
      </c>
      <c r="D1953" s="3" t="s">
        <v>20</v>
      </c>
      <c r="E1953" s="3" t="s">
        <v>21</v>
      </c>
      <c r="F1953" s="3" t="s">
        <v>21</v>
      </c>
      <c r="G1953" s="3" t="s">
        <v>36</v>
      </c>
      <c r="H1953" s="3" t="s">
        <v>37</v>
      </c>
      <c r="I1953" s="3" t="s">
        <v>24</v>
      </c>
      <c r="J1953" s="3" t="s">
        <v>24</v>
      </c>
      <c r="K1953" s="3" t="s">
        <v>25</v>
      </c>
      <c r="L1953" s="4">
        <v>0</v>
      </c>
      <c r="M1953" s="3" t="s">
        <v>26</v>
      </c>
      <c r="N1953" s="3" t="s">
        <v>24</v>
      </c>
      <c r="O1953" s="4">
        <v>1</v>
      </c>
      <c r="P1953" s="4">
        <v>4</v>
      </c>
      <c r="Q1953" s="4">
        <v>1</v>
      </c>
    </row>
    <row r="1954" spans="1:17" x14ac:dyDescent="0.25">
      <c r="A1954" s="3" t="s">
        <v>18</v>
      </c>
      <c r="B1954" s="3">
        <v>14184172</v>
      </c>
      <c r="C1954" s="3" t="s">
        <v>1997</v>
      </c>
      <c r="D1954" s="3" t="s">
        <v>20</v>
      </c>
      <c r="E1954" s="3" t="s">
        <v>21</v>
      </c>
      <c r="F1954" s="3" t="s">
        <v>21</v>
      </c>
      <c r="G1954" s="3" t="s">
        <v>36</v>
      </c>
      <c r="H1954" s="3" t="s">
        <v>37</v>
      </c>
      <c r="I1954" s="3" t="s">
        <v>24</v>
      </c>
      <c r="J1954" s="3" t="s">
        <v>24</v>
      </c>
      <c r="K1954" s="3" t="s">
        <v>25</v>
      </c>
      <c r="L1954" s="4">
        <v>0</v>
      </c>
      <c r="M1954" s="3" t="s">
        <v>26</v>
      </c>
      <c r="N1954" s="3" t="s">
        <v>24</v>
      </c>
      <c r="O1954" s="4">
        <v>1</v>
      </c>
      <c r="P1954" s="4">
        <v>4</v>
      </c>
      <c r="Q1954" s="4">
        <v>1</v>
      </c>
    </row>
    <row r="1955" spans="1:17" x14ac:dyDescent="0.25">
      <c r="A1955" s="3" t="s">
        <v>18</v>
      </c>
      <c r="B1955" s="3">
        <v>14184252</v>
      </c>
      <c r="C1955" s="3" t="s">
        <v>1998</v>
      </c>
      <c r="D1955" s="3" t="s">
        <v>20</v>
      </c>
      <c r="E1955" s="3" t="s">
        <v>21</v>
      </c>
      <c r="F1955" s="3" t="s">
        <v>21</v>
      </c>
      <c r="G1955" s="3" t="s">
        <v>36</v>
      </c>
      <c r="H1955" s="3" t="s">
        <v>37</v>
      </c>
      <c r="I1955" s="3" t="s">
        <v>24</v>
      </c>
      <c r="J1955" s="3" t="s">
        <v>24</v>
      </c>
      <c r="K1955" s="3" t="s">
        <v>25</v>
      </c>
      <c r="L1955" s="4">
        <v>0</v>
      </c>
      <c r="M1955" s="3" t="s">
        <v>26</v>
      </c>
      <c r="N1955" s="3" t="s">
        <v>24</v>
      </c>
      <c r="O1955" s="4">
        <v>1</v>
      </c>
      <c r="P1955" s="4">
        <v>1</v>
      </c>
      <c r="Q1955" s="4">
        <v>1</v>
      </c>
    </row>
    <row r="1956" spans="1:17" x14ac:dyDescent="0.25">
      <c r="A1956" s="3" t="s">
        <v>18</v>
      </c>
      <c r="B1956" s="3">
        <v>14184255</v>
      </c>
      <c r="C1956" s="3" t="s">
        <v>1999</v>
      </c>
      <c r="D1956" s="3" t="s">
        <v>20</v>
      </c>
      <c r="E1956" s="3" t="s">
        <v>21</v>
      </c>
      <c r="F1956" s="3" t="s">
        <v>21</v>
      </c>
      <c r="G1956" s="3" t="s">
        <v>36</v>
      </c>
      <c r="H1956" s="3" t="s">
        <v>37</v>
      </c>
      <c r="I1956" s="3" t="s">
        <v>24</v>
      </c>
      <c r="J1956" s="3" t="s">
        <v>24</v>
      </c>
      <c r="K1956" s="3" t="s">
        <v>25</v>
      </c>
      <c r="L1956" s="4">
        <v>0</v>
      </c>
      <c r="M1956" s="3" t="s">
        <v>26</v>
      </c>
      <c r="N1956" s="3" t="s">
        <v>24</v>
      </c>
      <c r="O1956" s="4">
        <v>1</v>
      </c>
      <c r="P1956" s="4">
        <v>4</v>
      </c>
      <c r="Q1956" s="4">
        <v>1</v>
      </c>
    </row>
    <row r="1957" spans="1:17" x14ac:dyDescent="0.25">
      <c r="A1957" s="3" t="s">
        <v>18</v>
      </c>
      <c r="B1957" s="3">
        <v>14184308</v>
      </c>
      <c r="C1957" s="3" t="s">
        <v>2000</v>
      </c>
      <c r="D1957" s="3" t="s">
        <v>20</v>
      </c>
      <c r="E1957" s="3" t="s">
        <v>21</v>
      </c>
      <c r="F1957" s="3" t="s">
        <v>21</v>
      </c>
      <c r="G1957" s="3" t="s">
        <v>36</v>
      </c>
      <c r="H1957" s="3" t="s">
        <v>37</v>
      </c>
      <c r="I1957" s="3" t="s">
        <v>24</v>
      </c>
      <c r="J1957" s="3" t="s">
        <v>24</v>
      </c>
      <c r="K1957" s="3" t="s">
        <v>25</v>
      </c>
      <c r="L1957" s="4">
        <v>0</v>
      </c>
      <c r="M1957" s="3" t="s">
        <v>26</v>
      </c>
      <c r="N1957" s="3" t="s">
        <v>24</v>
      </c>
      <c r="O1957" s="4">
        <v>1</v>
      </c>
      <c r="P1957" s="4">
        <v>4</v>
      </c>
      <c r="Q1957" s="4">
        <v>1</v>
      </c>
    </row>
    <row r="1958" spans="1:17" x14ac:dyDescent="0.25">
      <c r="A1958" s="3" t="s">
        <v>18</v>
      </c>
      <c r="B1958" s="3">
        <v>14184309</v>
      </c>
      <c r="C1958" s="3" t="s">
        <v>2001</v>
      </c>
      <c r="D1958" s="3" t="s">
        <v>20</v>
      </c>
      <c r="E1958" s="3" t="s">
        <v>21</v>
      </c>
      <c r="F1958" s="3" t="s">
        <v>21</v>
      </c>
      <c r="G1958" s="3" t="s">
        <v>36</v>
      </c>
      <c r="H1958" s="3" t="s">
        <v>37</v>
      </c>
      <c r="I1958" s="3" t="s">
        <v>24</v>
      </c>
      <c r="J1958" s="3" t="s">
        <v>24</v>
      </c>
      <c r="K1958" s="3" t="s">
        <v>25</v>
      </c>
      <c r="L1958" s="4">
        <v>0</v>
      </c>
      <c r="M1958" s="3" t="s">
        <v>26</v>
      </c>
      <c r="N1958" s="3" t="s">
        <v>24</v>
      </c>
      <c r="O1958" s="4">
        <v>1</v>
      </c>
      <c r="P1958" s="4">
        <v>4</v>
      </c>
      <c r="Q1958" s="4">
        <v>1</v>
      </c>
    </row>
    <row r="1959" spans="1:17" x14ac:dyDescent="0.25">
      <c r="A1959" s="3" t="s">
        <v>18</v>
      </c>
      <c r="B1959" s="3">
        <v>14184312</v>
      </c>
      <c r="C1959" s="3" t="s">
        <v>2002</v>
      </c>
      <c r="D1959" s="3" t="s">
        <v>20</v>
      </c>
      <c r="E1959" s="3" t="s">
        <v>21</v>
      </c>
      <c r="F1959" s="3" t="s">
        <v>21</v>
      </c>
      <c r="G1959" s="3" t="s">
        <v>36</v>
      </c>
      <c r="H1959" s="3" t="s">
        <v>37</v>
      </c>
      <c r="I1959" s="3" t="s">
        <v>24</v>
      </c>
      <c r="J1959" s="3" t="s">
        <v>24</v>
      </c>
      <c r="K1959" s="3" t="s">
        <v>25</v>
      </c>
      <c r="L1959" s="4">
        <v>0</v>
      </c>
      <c r="M1959" s="3" t="s">
        <v>26</v>
      </c>
      <c r="N1959" s="3" t="s">
        <v>24</v>
      </c>
      <c r="O1959" s="4">
        <v>1</v>
      </c>
      <c r="P1959" s="4">
        <v>4</v>
      </c>
      <c r="Q1959" s="4">
        <v>1</v>
      </c>
    </row>
    <row r="1960" spans="1:17" x14ac:dyDescent="0.25">
      <c r="A1960" s="3" t="s">
        <v>18</v>
      </c>
      <c r="B1960" s="3">
        <v>14191125</v>
      </c>
      <c r="C1960" s="3" t="s">
        <v>2003</v>
      </c>
      <c r="D1960" s="3" t="s">
        <v>20</v>
      </c>
      <c r="E1960" s="3" t="s">
        <v>21</v>
      </c>
      <c r="F1960" s="3" t="s">
        <v>21</v>
      </c>
      <c r="G1960" s="3" t="s">
        <v>42</v>
      </c>
      <c r="H1960" s="3" t="s">
        <v>43</v>
      </c>
      <c r="I1960" s="3" t="s">
        <v>24</v>
      </c>
      <c r="J1960" s="3" t="s">
        <v>24</v>
      </c>
      <c r="K1960" s="3" t="s">
        <v>25</v>
      </c>
      <c r="L1960" s="4">
        <v>0</v>
      </c>
      <c r="M1960" s="3" t="s">
        <v>26</v>
      </c>
      <c r="N1960" s="3" t="s">
        <v>24</v>
      </c>
      <c r="O1960" s="4">
        <v>1</v>
      </c>
      <c r="P1960" s="4">
        <v>8</v>
      </c>
      <c r="Q1960" s="4">
        <v>1</v>
      </c>
    </row>
    <row r="1961" spans="1:17" x14ac:dyDescent="0.25">
      <c r="A1961" s="3" t="s">
        <v>18</v>
      </c>
      <c r="B1961" s="3">
        <v>14191127</v>
      </c>
      <c r="C1961" s="3" t="s">
        <v>2004</v>
      </c>
      <c r="D1961" s="3" t="s">
        <v>20</v>
      </c>
      <c r="E1961" s="3" t="s">
        <v>21</v>
      </c>
      <c r="F1961" s="3" t="s">
        <v>21</v>
      </c>
      <c r="G1961" s="3" t="s">
        <v>22</v>
      </c>
      <c r="H1961" s="3" t="s">
        <v>23</v>
      </c>
      <c r="I1961" s="3" t="s">
        <v>24</v>
      </c>
      <c r="J1961" s="3" t="s">
        <v>24</v>
      </c>
      <c r="K1961" s="3" t="s">
        <v>25</v>
      </c>
      <c r="L1961" s="4">
        <v>0</v>
      </c>
      <c r="M1961" s="3" t="s">
        <v>26</v>
      </c>
      <c r="N1961" s="3" t="s">
        <v>24</v>
      </c>
      <c r="O1961" s="4">
        <v>1</v>
      </c>
      <c r="P1961" s="4">
        <v>4</v>
      </c>
      <c r="Q1961" s="4">
        <v>1</v>
      </c>
    </row>
    <row r="1962" spans="1:17" x14ac:dyDescent="0.25">
      <c r="A1962" s="3" t="s">
        <v>18</v>
      </c>
      <c r="B1962" s="3">
        <v>14191178</v>
      </c>
      <c r="C1962" s="3" t="s">
        <v>2005</v>
      </c>
      <c r="D1962" s="3" t="s">
        <v>20</v>
      </c>
      <c r="E1962" s="3" t="s">
        <v>21</v>
      </c>
      <c r="F1962" s="3" t="s">
        <v>21</v>
      </c>
      <c r="G1962" s="3" t="s">
        <v>42</v>
      </c>
      <c r="H1962" s="3" t="s">
        <v>43</v>
      </c>
      <c r="I1962" s="3" t="s">
        <v>24</v>
      </c>
      <c r="J1962" s="3" t="s">
        <v>24</v>
      </c>
      <c r="K1962" s="3" t="s">
        <v>25</v>
      </c>
      <c r="L1962" s="4">
        <v>0</v>
      </c>
      <c r="M1962" s="3" t="s">
        <v>26</v>
      </c>
      <c r="N1962" s="3" t="s">
        <v>24</v>
      </c>
      <c r="O1962" s="4">
        <v>1</v>
      </c>
      <c r="P1962" s="4">
        <v>8</v>
      </c>
      <c r="Q1962" s="4">
        <v>1</v>
      </c>
    </row>
    <row r="1963" spans="1:17" x14ac:dyDescent="0.25">
      <c r="A1963" s="3" t="s">
        <v>18</v>
      </c>
      <c r="B1963" s="3">
        <v>14191180</v>
      </c>
      <c r="C1963" s="3" t="s">
        <v>2006</v>
      </c>
      <c r="D1963" s="3" t="s">
        <v>20</v>
      </c>
      <c r="E1963" s="3" t="s">
        <v>21</v>
      </c>
      <c r="F1963" s="3" t="s">
        <v>21</v>
      </c>
      <c r="G1963" s="3" t="s">
        <v>42</v>
      </c>
      <c r="H1963" s="3" t="s">
        <v>43</v>
      </c>
      <c r="I1963" s="3" t="s">
        <v>24</v>
      </c>
      <c r="J1963" s="3" t="s">
        <v>24</v>
      </c>
      <c r="K1963" s="3" t="s">
        <v>25</v>
      </c>
      <c r="L1963" s="4">
        <v>0</v>
      </c>
      <c r="M1963" s="3" t="s">
        <v>26</v>
      </c>
      <c r="N1963" s="3" t="s">
        <v>24</v>
      </c>
      <c r="O1963" s="4">
        <v>1</v>
      </c>
      <c r="P1963" s="4">
        <v>8</v>
      </c>
      <c r="Q1963" s="4">
        <v>1</v>
      </c>
    </row>
    <row r="1964" spans="1:17" x14ac:dyDescent="0.25">
      <c r="A1964" s="3" t="s">
        <v>18</v>
      </c>
      <c r="B1964" s="3">
        <v>14192781</v>
      </c>
      <c r="C1964" s="3" t="s">
        <v>2007</v>
      </c>
      <c r="D1964" s="3" t="s">
        <v>20</v>
      </c>
      <c r="E1964" s="3" t="s">
        <v>21</v>
      </c>
      <c r="F1964" s="3" t="s">
        <v>21</v>
      </c>
      <c r="G1964" s="3" t="s">
        <v>36</v>
      </c>
      <c r="H1964" s="3" t="s">
        <v>37</v>
      </c>
      <c r="I1964" s="3" t="s">
        <v>24</v>
      </c>
      <c r="J1964" s="3" t="s">
        <v>24</v>
      </c>
      <c r="K1964" s="3" t="s">
        <v>25</v>
      </c>
      <c r="L1964" s="4">
        <v>0</v>
      </c>
      <c r="M1964" s="3" t="s">
        <v>26</v>
      </c>
      <c r="N1964" s="3" t="s">
        <v>24</v>
      </c>
      <c r="O1964" s="4">
        <v>1</v>
      </c>
      <c r="P1964" s="4">
        <v>10</v>
      </c>
      <c r="Q1964" s="4">
        <v>1</v>
      </c>
    </row>
    <row r="1965" spans="1:17" x14ac:dyDescent="0.25">
      <c r="A1965" s="3" t="s">
        <v>18</v>
      </c>
      <c r="B1965" s="3">
        <v>14192783</v>
      </c>
      <c r="C1965" s="3" t="s">
        <v>2008</v>
      </c>
      <c r="D1965" s="3" t="s">
        <v>20</v>
      </c>
      <c r="E1965" s="3" t="s">
        <v>21</v>
      </c>
      <c r="F1965" s="3" t="s">
        <v>21</v>
      </c>
      <c r="G1965" s="3" t="s">
        <v>233</v>
      </c>
      <c r="H1965" s="3" t="s">
        <v>234</v>
      </c>
      <c r="I1965" s="3" t="s">
        <v>24</v>
      </c>
      <c r="J1965" s="3" t="s">
        <v>24</v>
      </c>
      <c r="K1965" s="3" t="s">
        <v>25</v>
      </c>
      <c r="L1965" s="4">
        <v>0</v>
      </c>
      <c r="M1965" s="3" t="s">
        <v>26</v>
      </c>
      <c r="N1965" s="3" t="s">
        <v>24</v>
      </c>
      <c r="O1965" s="4">
        <v>1</v>
      </c>
      <c r="P1965" s="4">
        <v>3</v>
      </c>
      <c r="Q1965" s="4">
        <v>1</v>
      </c>
    </row>
    <row r="1966" spans="1:17" x14ac:dyDescent="0.25">
      <c r="A1966" s="3" t="s">
        <v>18</v>
      </c>
      <c r="B1966" s="3">
        <v>14192784</v>
      </c>
      <c r="C1966" s="3" t="s">
        <v>2009</v>
      </c>
      <c r="D1966" s="3" t="s">
        <v>20</v>
      </c>
      <c r="E1966" s="3" t="s">
        <v>21</v>
      </c>
      <c r="F1966" s="3" t="s">
        <v>21</v>
      </c>
      <c r="G1966" s="3" t="s">
        <v>233</v>
      </c>
      <c r="H1966" s="3" t="s">
        <v>234</v>
      </c>
      <c r="I1966" s="3" t="s">
        <v>24</v>
      </c>
      <c r="J1966" s="3" t="s">
        <v>24</v>
      </c>
      <c r="K1966" s="3" t="s">
        <v>25</v>
      </c>
      <c r="L1966" s="4">
        <v>0</v>
      </c>
      <c r="M1966" s="3" t="s">
        <v>26</v>
      </c>
      <c r="N1966" s="3" t="s">
        <v>24</v>
      </c>
      <c r="O1966" s="4">
        <v>1</v>
      </c>
      <c r="P1966" s="4">
        <v>3</v>
      </c>
      <c r="Q1966" s="4">
        <v>1</v>
      </c>
    </row>
    <row r="1967" spans="1:17" x14ac:dyDescent="0.25">
      <c r="A1967" s="3" t="s">
        <v>18</v>
      </c>
      <c r="B1967" s="3">
        <v>14196314</v>
      </c>
      <c r="C1967" s="3" t="s">
        <v>2010</v>
      </c>
      <c r="D1967" s="3" t="s">
        <v>20</v>
      </c>
      <c r="E1967" s="3" t="s">
        <v>21</v>
      </c>
      <c r="F1967" s="3" t="s">
        <v>21</v>
      </c>
      <c r="G1967" s="3" t="s">
        <v>410</v>
      </c>
      <c r="H1967" s="3" t="s">
        <v>411</v>
      </c>
      <c r="I1967" s="3" t="s">
        <v>24</v>
      </c>
      <c r="J1967" s="3" t="s">
        <v>24</v>
      </c>
      <c r="K1967" s="3" t="s">
        <v>25</v>
      </c>
      <c r="L1967" s="4">
        <v>0</v>
      </c>
      <c r="M1967" s="3" t="s">
        <v>26</v>
      </c>
      <c r="N1967" s="3" t="s">
        <v>24</v>
      </c>
      <c r="O1967" s="4">
        <v>1</v>
      </c>
      <c r="P1967" s="4">
        <v>8</v>
      </c>
      <c r="Q1967" s="4">
        <v>1</v>
      </c>
    </row>
    <row r="1968" spans="1:17" x14ac:dyDescent="0.25">
      <c r="A1968" s="3" t="s">
        <v>18</v>
      </c>
      <c r="B1968" s="3">
        <v>14207307</v>
      </c>
      <c r="C1968" s="3" t="s">
        <v>2011</v>
      </c>
      <c r="D1968" s="3" t="s">
        <v>20</v>
      </c>
      <c r="E1968" s="3" t="s">
        <v>21</v>
      </c>
      <c r="F1968" s="3" t="s">
        <v>21</v>
      </c>
      <c r="G1968" s="3" t="s">
        <v>22</v>
      </c>
      <c r="H1968" s="3" t="s">
        <v>23</v>
      </c>
      <c r="I1968" s="3" t="s">
        <v>24</v>
      </c>
      <c r="J1968" s="3" t="s">
        <v>24</v>
      </c>
      <c r="K1968" s="3" t="s">
        <v>25</v>
      </c>
      <c r="L1968" s="4">
        <v>0</v>
      </c>
      <c r="M1968" s="3" t="s">
        <v>26</v>
      </c>
      <c r="N1968" s="3" t="s">
        <v>24</v>
      </c>
      <c r="O1968" s="4">
        <v>1</v>
      </c>
      <c r="P1968" s="4">
        <v>4</v>
      </c>
      <c r="Q1968" s="4">
        <v>1</v>
      </c>
    </row>
    <row r="1969" spans="1:17" x14ac:dyDescent="0.25">
      <c r="A1969" s="3" t="s">
        <v>18</v>
      </c>
      <c r="B1969" s="3">
        <v>14207429</v>
      </c>
      <c r="C1969" s="3" t="s">
        <v>2012</v>
      </c>
      <c r="D1969" s="3" t="s">
        <v>20</v>
      </c>
      <c r="E1969" s="3" t="s">
        <v>21</v>
      </c>
      <c r="F1969" s="3" t="s">
        <v>21</v>
      </c>
      <c r="G1969" s="3" t="s">
        <v>233</v>
      </c>
      <c r="H1969" s="3" t="s">
        <v>234</v>
      </c>
      <c r="I1969" s="3" t="s">
        <v>24</v>
      </c>
      <c r="J1969" s="3" t="s">
        <v>24</v>
      </c>
      <c r="K1969" s="3" t="s">
        <v>25</v>
      </c>
      <c r="L1969" s="4">
        <v>0</v>
      </c>
      <c r="M1969" s="3" t="s">
        <v>26</v>
      </c>
      <c r="N1969" s="3" t="s">
        <v>24</v>
      </c>
      <c r="O1969" s="4">
        <v>1</v>
      </c>
      <c r="P1969" s="4">
        <v>3</v>
      </c>
      <c r="Q1969" s="4">
        <v>1</v>
      </c>
    </row>
    <row r="1970" spans="1:17" x14ac:dyDescent="0.25">
      <c r="A1970" s="3" t="s">
        <v>18</v>
      </c>
      <c r="B1970" s="3">
        <v>14208328</v>
      </c>
      <c r="C1970" s="3" t="s">
        <v>2013</v>
      </c>
      <c r="D1970" s="3" t="s">
        <v>1360</v>
      </c>
      <c r="E1970" s="3" t="s">
        <v>21</v>
      </c>
      <c r="F1970" s="3" t="s">
        <v>21</v>
      </c>
      <c r="G1970" s="3" t="s">
        <v>36</v>
      </c>
      <c r="H1970" s="3" t="s">
        <v>37</v>
      </c>
      <c r="I1970" s="3" t="s">
        <v>24</v>
      </c>
      <c r="J1970" s="3" t="s">
        <v>24</v>
      </c>
      <c r="K1970" s="3" t="s">
        <v>25</v>
      </c>
      <c r="L1970" s="4">
        <v>0</v>
      </c>
      <c r="M1970" s="3" t="s">
        <v>26</v>
      </c>
      <c r="N1970" s="3" t="s">
        <v>24</v>
      </c>
      <c r="O1970" s="4">
        <v>1</v>
      </c>
      <c r="P1970" s="4">
        <v>10</v>
      </c>
      <c r="Q1970" s="4">
        <v>1</v>
      </c>
    </row>
    <row r="1971" spans="1:17" x14ac:dyDescent="0.25">
      <c r="A1971" s="3" t="s">
        <v>18</v>
      </c>
      <c r="B1971" s="3">
        <v>14214170</v>
      </c>
      <c r="C1971" s="3" t="s">
        <v>2014</v>
      </c>
      <c r="D1971" s="3" t="s">
        <v>20</v>
      </c>
      <c r="E1971" s="3" t="s">
        <v>21</v>
      </c>
      <c r="F1971" s="3" t="s">
        <v>21</v>
      </c>
      <c r="G1971" s="3" t="s">
        <v>30</v>
      </c>
      <c r="H1971" s="3" t="s">
        <v>31</v>
      </c>
      <c r="I1971" s="3" t="s">
        <v>24</v>
      </c>
      <c r="J1971" s="3" t="s">
        <v>24</v>
      </c>
      <c r="K1971" s="3" t="s">
        <v>25</v>
      </c>
      <c r="L1971" s="4">
        <v>0</v>
      </c>
      <c r="M1971" s="3" t="s">
        <v>26</v>
      </c>
      <c r="N1971" s="3" t="s">
        <v>24</v>
      </c>
      <c r="O1971" s="4">
        <v>1</v>
      </c>
      <c r="P1971" s="4">
        <v>4</v>
      </c>
      <c r="Q1971" s="4">
        <v>1</v>
      </c>
    </row>
    <row r="1972" spans="1:17" x14ac:dyDescent="0.25">
      <c r="A1972" s="3" t="s">
        <v>18</v>
      </c>
      <c r="B1972" s="3">
        <v>14214172</v>
      </c>
      <c r="C1972" s="3" t="s">
        <v>2015</v>
      </c>
      <c r="D1972" s="3" t="s">
        <v>20</v>
      </c>
      <c r="E1972" s="3" t="s">
        <v>21</v>
      </c>
      <c r="F1972" s="3" t="s">
        <v>21</v>
      </c>
      <c r="G1972" s="3" t="s">
        <v>36</v>
      </c>
      <c r="H1972" s="3" t="s">
        <v>37</v>
      </c>
      <c r="I1972" s="3" t="s">
        <v>24</v>
      </c>
      <c r="J1972" s="3" t="s">
        <v>24</v>
      </c>
      <c r="K1972" s="3" t="s">
        <v>25</v>
      </c>
      <c r="L1972" s="4">
        <v>0</v>
      </c>
      <c r="M1972" s="3" t="s">
        <v>26</v>
      </c>
      <c r="N1972" s="3" t="s">
        <v>24</v>
      </c>
      <c r="O1972" s="4">
        <v>1</v>
      </c>
      <c r="P1972" s="4">
        <v>10</v>
      </c>
      <c r="Q1972" s="4">
        <v>1</v>
      </c>
    </row>
    <row r="1973" spans="1:17" x14ac:dyDescent="0.25">
      <c r="A1973" s="3" t="s">
        <v>18</v>
      </c>
      <c r="B1973" s="3">
        <v>14216809</v>
      </c>
      <c r="C1973" s="3" t="s">
        <v>2016</v>
      </c>
      <c r="D1973" s="3" t="s">
        <v>1360</v>
      </c>
      <c r="E1973" s="3" t="s">
        <v>21</v>
      </c>
      <c r="F1973" s="3" t="s">
        <v>21</v>
      </c>
      <c r="G1973" s="3" t="s">
        <v>233</v>
      </c>
      <c r="H1973" s="3" t="s">
        <v>234</v>
      </c>
      <c r="I1973" s="3" t="s">
        <v>24</v>
      </c>
      <c r="J1973" s="3" t="s">
        <v>24</v>
      </c>
      <c r="K1973" s="3" t="s">
        <v>25</v>
      </c>
      <c r="L1973" s="4">
        <v>0</v>
      </c>
      <c r="M1973" s="3" t="s">
        <v>26</v>
      </c>
      <c r="N1973" s="3" t="s">
        <v>24</v>
      </c>
      <c r="O1973" s="4">
        <v>1</v>
      </c>
      <c r="P1973" s="4">
        <v>3</v>
      </c>
      <c r="Q1973" s="4">
        <v>1</v>
      </c>
    </row>
    <row r="1974" spans="1:17" x14ac:dyDescent="0.25">
      <c r="A1974" s="3" t="s">
        <v>18</v>
      </c>
      <c r="B1974" s="3">
        <v>14237640</v>
      </c>
      <c r="C1974" s="3" t="s">
        <v>2017</v>
      </c>
      <c r="D1974" s="3" t="s">
        <v>1360</v>
      </c>
      <c r="E1974" s="3" t="s">
        <v>21</v>
      </c>
      <c r="F1974" s="3" t="s">
        <v>21</v>
      </c>
      <c r="G1974" s="3" t="s">
        <v>233</v>
      </c>
      <c r="H1974" s="3" t="s">
        <v>234</v>
      </c>
      <c r="I1974" s="3" t="s">
        <v>24</v>
      </c>
      <c r="J1974" s="3" t="s">
        <v>24</v>
      </c>
      <c r="K1974" s="3" t="s">
        <v>25</v>
      </c>
      <c r="L1974" s="4">
        <v>0</v>
      </c>
      <c r="M1974" s="3" t="s">
        <v>26</v>
      </c>
      <c r="N1974" s="3" t="s">
        <v>24</v>
      </c>
      <c r="O1974" s="4">
        <v>1</v>
      </c>
      <c r="P1974" s="4">
        <v>3</v>
      </c>
      <c r="Q1974" s="4">
        <v>1</v>
      </c>
    </row>
    <row r="1975" spans="1:17" x14ac:dyDescent="0.25">
      <c r="A1975" s="3" t="s">
        <v>18</v>
      </c>
      <c r="B1975" s="3">
        <v>14239203</v>
      </c>
      <c r="C1975" s="3" t="s">
        <v>2018</v>
      </c>
      <c r="D1975" s="3" t="s">
        <v>1360</v>
      </c>
      <c r="E1975" s="3" t="s">
        <v>21</v>
      </c>
      <c r="F1975" s="3" t="s">
        <v>21</v>
      </c>
      <c r="G1975" s="3" t="s">
        <v>233</v>
      </c>
      <c r="H1975" s="3" t="s">
        <v>234</v>
      </c>
      <c r="I1975" s="3" t="s">
        <v>24</v>
      </c>
      <c r="J1975" s="3" t="s">
        <v>24</v>
      </c>
      <c r="K1975" s="3" t="s">
        <v>25</v>
      </c>
      <c r="L1975" s="4">
        <v>0</v>
      </c>
      <c r="M1975" s="3" t="s">
        <v>26</v>
      </c>
      <c r="N1975" s="3" t="s">
        <v>24</v>
      </c>
      <c r="O1975" s="4">
        <v>1</v>
      </c>
      <c r="P1975" s="4">
        <v>3</v>
      </c>
      <c r="Q1975" s="4">
        <v>1</v>
      </c>
    </row>
    <row r="1976" spans="1:17" x14ac:dyDescent="0.25">
      <c r="A1976" s="3" t="s">
        <v>18</v>
      </c>
      <c r="B1976" s="3">
        <v>14240852</v>
      </c>
      <c r="C1976" s="3" t="s">
        <v>2019</v>
      </c>
      <c r="D1976" s="3" t="s">
        <v>20</v>
      </c>
      <c r="E1976" s="3" t="s">
        <v>21</v>
      </c>
      <c r="F1976" s="3" t="s">
        <v>21</v>
      </c>
      <c r="G1976" s="3" t="s">
        <v>410</v>
      </c>
      <c r="H1976" s="3" t="s">
        <v>411</v>
      </c>
      <c r="I1976" s="3" t="s">
        <v>24</v>
      </c>
      <c r="J1976" s="3" t="s">
        <v>24</v>
      </c>
      <c r="K1976" s="3" t="s">
        <v>25</v>
      </c>
      <c r="L1976" s="4">
        <v>0</v>
      </c>
      <c r="M1976" s="3" t="s">
        <v>26</v>
      </c>
      <c r="N1976" s="3" t="s">
        <v>24</v>
      </c>
      <c r="O1976" s="4">
        <v>1</v>
      </c>
      <c r="P1976" s="4">
        <v>10</v>
      </c>
      <c r="Q1976" s="4">
        <v>1</v>
      </c>
    </row>
    <row r="1977" spans="1:17" x14ac:dyDescent="0.25">
      <c r="A1977" s="3" t="s">
        <v>18</v>
      </c>
      <c r="B1977" s="3">
        <v>14243701</v>
      </c>
      <c r="C1977" s="3" t="s">
        <v>2020</v>
      </c>
      <c r="D1977" s="3" t="s">
        <v>20</v>
      </c>
      <c r="E1977" s="3" t="s">
        <v>21</v>
      </c>
      <c r="F1977" s="3" t="s">
        <v>21</v>
      </c>
      <c r="G1977" s="3" t="s">
        <v>233</v>
      </c>
      <c r="H1977" s="3" t="s">
        <v>234</v>
      </c>
      <c r="I1977" s="3" t="s">
        <v>24</v>
      </c>
      <c r="J1977" s="3" t="s">
        <v>24</v>
      </c>
      <c r="K1977" s="3" t="s">
        <v>25</v>
      </c>
      <c r="L1977" s="4">
        <v>0</v>
      </c>
      <c r="M1977" s="3" t="s">
        <v>26</v>
      </c>
      <c r="N1977" s="3" t="s">
        <v>24</v>
      </c>
      <c r="O1977" s="4">
        <v>1</v>
      </c>
      <c r="P1977" s="4">
        <v>3</v>
      </c>
      <c r="Q1977" s="4">
        <v>1</v>
      </c>
    </row>
    <row r="1978" spans="1:17" x14ac:dyDescent="0.25">
      <c r="A1978" s="3" t="s">
        <v>18</v>
      </c>
      <c r="B1978" s="3">
        <v>14255061</v>
      </c>
      <c r="C1978" s="3" t="s">
        <v>2021</v>
      </c>
      <c r="D1978" s="3" t="s">
        <v>20</v>
      </c>
      <c r="E1978" s="3" t="s">
        <v>21</v>
      </c>
      <c r="F1978" s="3" t="s">
        <v>21</v>
      </c>
      <c r="G1978" s="3" t="s">
        <v>410</v>
      </c>
      <c r="H1978" s="3" t="s">
        <v>411</v>
      </c>
      <c r="I1978" s="3" t="s">
        <v>24</v>
      </c>
      <c r="J1978" s="3" t="s">
        <v>24</v>
      </c>
      <c r="K1978" s="3" t="s">
        <v>25</v>
      </c>
      <c r="L1978" s="4">
        <v>0</v>
      </c>
      <c r="M1978" s="3" t="s">
        <v>26</v>
      </c>
      <c r="N1978" s="3" t="s">
        <v>24</v>
      </c>
      <c r="O1978" s="4">
        <v>1</v>
      </c>
      <c r="P1978" s="4">
        <v>4</v>
      </c>
      <c r="Q1978" s="4">
        <v>1</v>
      </c>
    </row>
    <row r="1979" spans="1:17" x14ac:dyDescent="0.25">
      <c r="A1979" s="3" t="s">
        <v>18</v>
      </c>
      <c r="B1979" s="3">
        <v>14259933</v>
      </c>
      <c r="C1979" s="3" t="s">
        <v>2022</v>
      </c>
      <c r="D1979" s="3" t="s">
        <v>1360</v>
      </c>
      <c r="E1979" s="3" t="s">
        <v>21</v>
      </c>
      <c r="F1979" s="3" t="s">
        <v>21</v>
      </c>
      <c r="G1979" s="3" t="s">
        <v>233</v>
      </c>
      <c r="H1979" s="3" t="s">
        <v>234</v>
      </c>
      <c r="I1979" s="3" t="s">
        <v>24</v>
      </c>
      <c r="J1979" s="3" t="s">
        <v>24</v>
      </c>
      <c r="K1979" s="3" t="s">
        <v>25</v>
      </c>
      <c r="L1979" s="4">
        <v>0</v>
      </c>
      <c r="M1979" s="3" t="s">
        <v>26</v>
      </c>
      <c r="N1979" s="3" t="s">
        <v>24</v>
      </c>
      <c r="O1979" s="4">
        <v>1</v>
      </c>
      <c r="P1979" s="4">
        <v>3</v>
      </c>
      <c r="Q1979" s="4">
        <v>1</v>
      </c>
    </row>
    <row r="1980" spans="1:17" x14ac:dyDescent="0.25">
      <c r="A1980" s="3" t="s">
        <v>18</v>
      </c>
      <c r="B1980" s="3">
        <v>14261361</v>
      </c>
      <c r="C1980" s="3" t="s">
        <v>2023</v>
      </c>
      <c r="D1980" s="3" t="s">
        <v>1360</v>
      </c>
      <c r="E1980" s="3" t="s">
        <v>21</v>
      </c>
      <c r="F1980" s="3" t="s">
        <v>21</v>
      </c>
      <c r="G1980" s="3" t="s">
        <v>36</v>
      </c>
      <c r="H1980" s="3" t="s">
        <v>37</v>
      </c>
      <c r="I1980" s="3" t="s">
        <v>24</v>
      </c>
      <c r="J1980" s="3" t="s">
        <v>24</v>
      </c>
      <c r="K1980" s="3" t="s">
        <v>25</v>
      </c>
      <c r="L1980" s="4">
        <v>0</v>
      </c>
      <c r="M1980" s="3" t="s">
        <v>26</v>
      </c>
      <c r="N1980" s="3" t="s">
        <v>24</v>
      </c>
      <c r="O1980" s="4">
        <v>1</v>
      </c>
      <c r="P1980" s="4">
        <v>10</v>
      </c>
      <c r="Q1980" s="4">
        <v>1</v>
      </c>
    </row>
    <row r="1981" spans="1:17" x14ac:dyDescent="0.25">
      <c r="A1981" s="3" t="s">
        <v>18</v>
      </c>
      <c r="B1981" s="3">
        <v>14264798</v>
      </c>
      <c r="C1981" s="3" t="s">
        <v>2024</v>
      </c>
      <c r="D1981" s="3" t="s">
        <v>20</v>
      </c>
      <c r="E1981" s="3" t="s">
        <v>21</v>
      </c>
      <c r="F1981" s="3" t="s">
        <v>21</v>
      </c>
      <c r="G1981" s="3" t="s">
        <v>42</v>
      </c>
      <c r="H1981" s="3" t="s">
        <v>43</v>
      </c>
      <c r="I1981" s="3" t="s">
        <v>24</v>
      </c>
      <c r="J1981" s="3" t="s">
        <v>24</v>
      </c>
      <c r="K1981" s="3" t="s">
        <v>25</v>
      </c>
      <c r="L1981" s="4">
        <v>0</v>
      </c>
      <c r="M1981" s="3" t="s">
        <v>26</v>
      </c>
      <c r="N1981" s="3" t="s">
        <v>24</v>
      </c>
      <c r="O1981" s="4">
        <v>1</v>
      </c>
      <c r="P1981" s="4">
        <v>8</v>
      </c>
      <c r="Q1981" s="4">
        <v>1</v>
      </c>
    </row>
    <row r="1982" spans="1:17" x14ac:dyDescent="0.25">
      <c r="A1982" s="3" t="s">
        <v>18</v>
      </c>
      <c r="B1982" s="3">
        <v>14266407</v>
      </c>
      <c r="C1982" s="3" t="s">
        <v>2025</v>
      </c>
      <c r="D1982" s="3" t="s">
        <v>20</v>
      </c>
      <c r="E1982" s="3" t="s">
        <v>21</v>
      </c>
      <c r="F1982" s="3" t="s">
        <v>21</v>
      </c>
      <c r="G1982" s="3" t="s">
        <v>233</v>
      </c>
      <c r="H1982" s="3" t="s">
        <v>234</v>
      </c>
      <c r="I1982" s="3" t="s">
        <v>24</v>
      </c>
      <c r="J1982" s="3" t="s">
        <v>24</v>
      </c>
      <c r="K1982" s="3" t="s">
        <v>25</v>
      </c>
      <c r="L1982" s="4">
        <v>0</v>
      </c>
      <c r="M1982" s="3" t="s">
        <v>26</v>
      </c>
      <c r="N1982" s="3" t="s">
        <v>24</v>
      </c>
      <c r="O1982" s="4">
        <v>1</v>
      </c>
      <c r="P1982" s="4">
        <v>3</v>
      </c>
      <c r="Q1982" s="4">
        <v>1</v>
      </c>
    </row>
    <row r="1983" spans="1:17" x14ac:dyDescent="0.25">
      <c r="A1983" s="3" t="s">
        <v>18</v>
      </c>
      <c r="B1983" s="3">
        <v>14266427</v>
      </c>
      <c r="C1983" s="3" t="s">
        <v>2026</v>
      </c>
      <c r="D1983" s="3" t="s">
        <v>20</v>
      </c>
      <c r="E1983" s="3" t="s">
        <v>21</v>
      </c>
      <c r="F1983" s="3" t="s">
        <v>21</v>
      </c>
      <c r="G1983" s="3" t="s">
        <v>410</v>
      </c>
      <c r="H1983" s="3" t="s">
        <v>411</v>
      </c>
      <c r="I1983" s="3" t="s">
        <v>24</v>
      </c>
      <c r="J1983" s="3" t="s">
        <v>24</v>
      </c>
      <c r="K1983" s="3" t="s">
        <v>25</v>
      </c>
      <c r="L1983" s="4">
        <v>0</v>
      </c>
      <c r="M1983" s="3" t="s">
        <v>26</v>
      </c>
      <c r="N1983" s="3" t="s">
        <v>24</v>
      </c>
      <c r="O1983" s="4">
        <v>1</v>
      </c>
      <c r="P1983" s="4">
        <v>4</v>
      </c>
      <c r="Q1983" s="4">
        <v>1</v>
      </c>
    </row>
    <row r="1984" spans="1:17" x14ac:dyDescent="0.25">
      <c r="A1984" s="3" t="s">
        <v>18</v>
      </c>
      <c r="B1984" s="3">
        <v>14292969</v>
      </c>
      <c r="C1984" s="3" t="s">
        <v>2027</v>
      </c>
      <c r="D1984" s="3" t="s">
        <v>20</v>
      </c>
      <c r="E1984" s="3" t="s">
        <v>21</v>
      </c>
      <c r="F1984" s="3" t="s">
        <v>21</v>
      </c>
      <c r="G1984" s="3" t="s">
        <v>42</v>
      </c>
      <c r="H1984" s="3" t="s">
        <v>43</v>
      </c>
      <c r="I1984" s="3" t="s">
        <v>24</v>
      </c>
      <c r="J1984" s="3" t="s">
        <v>24</v>
      </c>
      <c r="K1984" s="3" t="s">
        <v>25</v>
      </c>
      <c r="L1984" s="4">
        <v>0</v>
      </c>
      <c r="M1984" s="3" t="s">
        <v>26</v>
      </c>
      <c r="N1984" s="3" t="s">
        <v>24</v>
      </c>
      <c r="O1984" s="4">
        <v>0</v>
      </c>
      <c r="P1984" s="4">
        <v>8</v>
      </c>
      <c r="Q1984" s="4">
        <v>1</v>
      </c>
    </row>
    <row r="1985" spans="1:17" x14ac:dyDescent="0.25">
      <c r="A1985" s="3" t="s">
        <v>18</v>
      </c>
      <c r="B1985" s="3">
        <v>14292971</v>
      </c>
      <c r="C1985" s="3" t="s">
        <v>2028</v>
      </c>
      <c r="D1985" s="3" t="s">
        <v>20</v>
      </c>
      <c r="E1985" s="3" t="s">
        <v>21</v>
      </c>
      <c r="F1985" s="3" t="s">
        <v>21</v>
      </c>
      <c r="G1985" s="3" t="s">
        <v>42</v>
      </c>
      <c r="H1985" s="3" t="s">
        <v>43</v>
      </c>
      <c r="I1985" s="3" t="s">
        <v>24</v>
      </c>
      <c r="J1985" s="3" t="s">
        <v>24</v>
      </c>
      <c r="K1985" s="3" t="s">
        <v>25</v>
      </c>
      <c r="L1985" s="4">
        <v>0</v>
      </c>
      <c r="M1985" s="3" t="s">
        <v>26</v>
      </c>
      <c r="N1985" s="3" t="s">
        <v>24</v>
      </c>
      <c r="O1985" s="4">
        <v>0</v>
      </c>
      <c r="P1985" s="4">
        <v>8</v>
      </c>
      <c r="Q1985" s="4">
        <v>1</v>
      </c>
    </row>
    <row r="1986" spans="1:17" x14ac:dyDescent="0.25">
      <c r="A1986" s="3" t="s">
        <v>18</v>
      </c>
      <c r="B1986" s="3">
        <v>14320279</v>
      </c>
      <c r="C1986" s="3" t="s">
        <v>2029</v>
      </c>
      <c r="D1986" s="3" t="s">
        <v>20</v>
      </c>
      <c r="E1986" s="3" t="s">
        <v>21</v>
      </c>
      <c r="F1986" s="3" t="s">
        <v>21</v>
      </c>
      <c r="G1986" s="3" t="s">
        <v>362</v>
      </c>
      <c r="H1986" s="3" t="s">
        <v>363</v>
      </c>
      <c r="I1986" s="3" t="s">
        <v>24</v>
      </c>
      <c r="J1986" s="3" t="s">
        <v>24</v>
      </c>
      <c r="K1986" s="3" t="s">
        <v>25</v>
      </c>
      <c r="L1986" s="4">
        <v>0</v>
      </c>
      <c r="M1986" s="3" t="s">
        <v>26</v>
      </c>
      <c r="N1986" s="3" t="s">
        <v>24</v>
      </c>
      <c r="O1986" s="4">
        <v>1</v>
      </c>
      <c r="P1986" s="4">
        <v>1</v>
      </c>
      <c r="Q1986" s="4">
        <v>1</v>
      </c>
    </row>
    <row r="1987" spans="1:17" x14ac:dyDescent="0.25">
      <c r="A1987" s="3" t="s">
        <v>18</v>
      </c>
      <c r="B1987" s="3">
        <v>14320283</v>
      </c>
      <c r="C1987" s="3" t="s">
        <v>2030</v>
      </c>
      <c r="D1987" s="3" t="s">
        <v>20</v>
      </c>
      <c r="E1987" s="3" t="s">
        <v>21</v>
      </c>
      <c r="F1987" s="3" t="s">
        <v>21</v>
      </c>
      <c r="G1987" s="3" t="s">
        <v>362</v>
      </c>
      <c r="H1987" s="3" t="s">
        <v>363</v>
      </c>
      <c r="I1987" s="3" t="s">
        <v>24</v>
      </c>
      <c r="J1987" s="3" t="s">
        <v>24</v>
      </c>
      <c r="K1987" s="3" t="s">
        <v>25</v>
      </c>
      <c r="L1987" s="4">
        <v>0</v>
      </c>
      <c r="M1987" s="3" t="s">
        <v>26</v>
      </c>
      <c r="N1987" s="3" t="s">
        <v>24</v>
      </c>
      <c r="O1987" s="4">
        <v>1</v>
      </c>
      <c r="P1987" s="4">
        <v>1</v>
      </c>
      <c r="Q1987" s="4">
        <v>1</v>
      </c>
    </row>
    <row r="1988" spans="1:17" x14ac:dyDescent="0.25">
      <c r="A1988" s="3" t="s">
        <v>18</v>
      </c>
      <c r="B1988" s="3">
        <v>14320398</v>
      </c>
      <c r="C1988" s="3" t="s">
        <v>2031</v>
      </c>
      <c r="D1988" s="3" t="s">
        <v>20</v>
      </c>
      <c r="E1988" s="3" t="s">
        <v>21</v>
      </c>
      <c r="F1988" s="3" t="s">
        <v>21</v>
      </c>
      <c r="G1988" s="3" t="s">
        <v>362</v>
      </c>
      <c r="H1988" s="3" t="s">
        <v>363</v>
      </c>
      <c r="I1988" s="3" t="s">
        <v>24</v>
      </c>
      <c r="J1988" s="3" t="s">
        <v>24</v>
      </c>
      <c r="K1988" s="3" t="s">
        <v>25</v>
      </c>
      <c r="L1988" s="4">
        <v>0</v>
      </c>
      <c r="M1988" s="3" t="s">
        <v>26</v>
      </c>
      <c r="N1988" s="3" t="s">
        <v>24</v>
      </c>
      <c r="O1988" s="4">
        <v>1</v>
      </c>
      <c r="P1988" s="4">
        <v>1</v>
      </c>
      <c r="Q1988" s="4">
        <v>1</v>
      </c>
    </row>
    <row r="1989" spans="1:17" x14ac:dyDescent="0.25">
      <c r="A1989" s="3" t="s">
        <v>18</v>
      </c>
      <c r="B1989" s="3">
        <v>14320406</v>
      </c>
      <c r="C1989" s="3" t="s">
        <v>2032</v>
      </c>
      <c r="D1989" s="3" t="s">
        <v>20</v>
      </c>
      <c r="E1989" s="3" t="s">
        <v>21</v>
      </c>
      <c r="F1989" s="3" t="s">
        <v>21</v>
      </c>
      <c r="G1989" s="3" t="s">
        <v>362</v>
      </c>
      <c r="H1989" s="3" t="s">
        <v>363</v>
      </c>
      <c r="I1989" s="3" t="s">
        <v>24</v>
      </c>
      <c r="J1989" s="3" t="s">
        <v>24</v>
      </c>
      <c r="K1989" s="3" t="s">
        <v>25</v>
      </c>
      <c r="L1989" s="4">
        <v>0</v>
      </c>
      <c r="M1989" s="3" t="s">
        <v>26</v>
      </c>
      <c r="N1989" s="3" t="s">
        <v>24</v>
      </c>
      <c r="O1989" s="4">
        <v>1</v>
      </c>
      <c r="P1989" s="4">
        <v>1</v>
      </c>
      <c r="Q1989" s="4">
        <v>1</v>
      </c>
    </row>
    <row r="1990" spans="1:17" x14ac:dyDescent="0.25">
      <c r="A1990" s="3" t="s">
        <v>18</v>
      </c>
      <c r="B1990" s="3">
        <v>14320453</v>
      </c>
      <c r="C1990" s="3" t="s">
        <v>2033</v>
      </c>
      <c r="D1990" s="3" t="s">
        <v>20</v>
      </c>
      <c r="E1990" s="3" t="s">
        <v>21</v>
      </c>
      <c r="F1990" s="3" t="s">
        <v>21</v>
      </c>
      <c r="G1990" s="3" t="s">
        <v>362</v>
      </c>
      <c r="H1990" s="3" t="s">
        <v>363</v>
      </c>
      <c r="I1990" s="3" t="s">
        <v>24</v>
      </c>
      <c r="J1990" s="3" t="s">
        <v>24</v>
      </c>
      <c r="K1990" s="3" t="s">
        <v>25</v>
      </c>
      <c r="L1990" s="4">
        <v>0</v>
      </c>
      <c r="M1990" s="3" t="s">
        <v>26</v>
      </c>
      <c r="N1990" s="3" t="s">
        <v>24</v>
      </c>
      <c r="O1990" s="4">
        <v>1</v>
      </c>
      <c r="P1990" s="4">
        <v>1</v>
      </c>
      <c r="Q1990" s="4">
        <v>1</v>
      </c>
    </row>
    <row r="1991" spans="1:17" x14ac:dyDescent="0.25">
      <c r="A1991" s="3" t="s">
        <v>18</v>
      </c>
      <c r="B1991" s="3">
        <v>14320456</v>
      </c>
      <c r="C1991" s="3" t="s">
        <v>2034</v>
      </c>
      <c r="D1991" s="3" t="s">
        <v>20</v>
      </c>
      <c r="E1991" s="3" t="s">
        <v>21</v>
      </c>
      <c r="F1991" s="3" t="s">
        <v>21</v>
      </c>
      <c r="G1991" s="3" t="s">
        <v>362</v>
      </c>
      <c r="H1991" s="3" t="s">
        <v>363</v>
      </c>
      <c r="I1991" s="3" t="s">
        <v>24</v>
      </c>
      <c r="J1991" s="3" t="s">
        <v>24</v>
      </c>
      <c r="K1991" s="3" t="s">
        <v>25</v>
      </c>
      <c r="L1991" s="4">
        <v>0</v>
      </c>
      <c r="M1991" s="3" t="s">
        <v>26</v>
      </c>
      <c r="N1991" s="3" t="s">
        <v>24</v>
      </c>
      <c r="O1991" s="4">
        <v>1</v>
      </c>
      <c r="P1991" s="4">
        <v>1</v>
      </c>
      <c r="Q1991" s="4">
        <v>1</v>
      </c>
    </row>
    <row r="1992" spans="1:17" x14ac:dyDescent="0.25">
      <c r="A1992" s="3" t="s">
        <v>18</v>
      </c>
      <c r="B1992" s="3">
        <v>14320482</v>
      </c>
      <c r="C1992" s="3" t="s">
        <v>2035</v>
      </c>
      <c r="D1992" s="3" t="s">
        <v>20</v>
      </c>
      <c r="E1992" s="3" t="s">
        <v>21</v>
      </c>
      <c r="F1992" s="3" t="s">
        <v>21</v>
      </c>
      <c r="G1992" s="3" t="s">
        <v>362</v>
      </c>
      <c r="H1992" s="3" t="s">
        <v>363</v>
      </c>
      <c r="I1992" s="3" t="s">
        <v>24</v>
      </c>
      <c r="J1992" s="3" t="s">
        <v>24</v>
      </c>
      <c r="K1992" s="3" t="s">
        <v>25</v>
      </c>
      <c r="L1992" s="4">
        <v>0</v>
      </c>
      <c r="M1992" s="3" t="s">
        <v>26</v>
      </c>
      <c r="N1992" s="3" t="s">
        <v>24</v>
      </c>
      <c r="O1992" s="4">
        <v>1</v>
      </c>
      <c r="P1992" s="4">
        <v>1</v>
      </c>
      <c r="Q1992" s="4">
        <v>1</v>
      </c>
    </row>
    <row r="1993" spans="1:17" x14ac:dyDescent="0.25">
      <c r="A1993" s="3" t="s">
        <v>18</v>
      </c>
      <c r="B1993" s="3">
        <v>14325954</v>
      </c>
      <c r="C1993" s="3" t="s">
        <v>2036</v>
      </c>
      <c r="D1993" s="3" t="s">
        <v>20</v>
      </c>
      <c r="E1993" s="3" t="s">
        <v>21</v>
      </c>
      <c r="F1993" s="3" t="s">
        <v>21</v>
      </c>
      <c r="G1993" s="3" t="s">
        <v>410</v>
      </c>
      <c r="H1993" s="3" t="s">
        <v>411</v>
      </c>
      <c r="I1993" s="3" t="s">
        <v>24</v>
      </c>
      <c r="J1993" s="3" t="s">
        <v>24</v>
      </c>
      <c r="K1993" s="3" t="s">
        <v>25</v>
      </c>
      <c r="L1993" s="4">
        <v>0</v>
      </c>
      <c r="M1993" s="3" t="s">
        <v>26</v>
      </c>
      <c r="N1993" s="3" t="s">
        <v>24</v>
      </c>
      <c r="O1993" s="4">
        <v>0</v>
      </c>
      <c r="P1993" s="4">
        <v>10</v>
      </c>
      <c r="Q1993" s="4">
        <v>0</v>
      </c>
    </row>
    <row r="1994" spans="1:17" x14ac:dyDescent="0.25">
      <c r="A1994" s="3" t="s">
        <v>18</v>
      </c>
      <c r="B1994" s="3">
        <v>14336273</v>
      </c>
      <c r="C1994" s="3" t="s">
        <v>2037</v>
      </c>
      <c r="D1994" s="3" t="s">
        <v>20</v>
      </c>
      <c r="E1994" s="3" t="s">
        <v>21</v>
      </c>
      <c r="F1994" s="3" t="s">
        <v>21</v>
      </c>
      <c r="G1994" s="3" t="s">
        <v>410</v>
      </c>
      <c r="H1994" s="3" t="s">
        <v>411</v>
      </c>
      <c r="I1994" s="3" t="s">
        <v>24</v>
      </c>
      <c r="J1994" s="3" t="s">
        <v>24</v>
      </c>
      <c r="K1994" s="3" t="s">
        <v>25</v>
      </c>
      <c r="L1994" s="4">
        <v>0</v>
      </c>
      <c r="M1994" s="3" t="s">
        <v>26</v>
      </c>
      <c r="N1994" s="3" t="s">
        <v>24</v>
      </c>
      <c r="O1994" s="4">
        <v>1</v>
      </c>
      <c r="P1994" s="4">
        <v>3</v>
      </c>
      <c r="Q1994" s="4">
        <v>1</v>
      </c>
    </row>
    <row r="1995" spans="1:17" x14ac:dyDescent="0.25">
      <c r="A1995" s="3" t="s">
        <v>18</v>
      </c>
      <c r="B1995" s="3">
        <v>14341413</v>
      </c>
      <c r="C1995" s="3" t="s">
        <v>2038</v>
      </c>
      <c r="D1995" s="3" t="s">
        <v>1360</v>
      </c>
      <c r="E1995" s="3" t="s">
        <v>21</v>
      </c>
      <c r="F1995" s="3" t="s">
        <v>21</v>
      </c>
      <c r="G1995" s="3" t="s">
        <v>938</v>
      </c>
      <c r="H1995" s="3" t="s">
        <v>939</v>
      </c>
      <c r="I1995" s="3" t="s">
        <v>24</v>
      </c>
      <c r="J1995" s="3" t="s">
        <v>24</v>
      </c>
      <c r="K1995" s="3" t="s">
        <v>25</v>
      </c>
      <c r="L1995" s="4">
        <v>0</v>
      </c>
      <c r="M1995" s="3" t="s">
        <v>26</v>
      </c>
      <c r="N1995" s="3" t="s">
        <v>24</v>
      </c>
      <c r="O1995" s="4">
        <v>1</v>
      </c>
      <c r="P1995" s="4">
        <v>1</v>
      </c>
      <c r="Q1995" s="4">
        <v>1</v>
      </c>
    </row>
    <row r="1996" spans="1:17" x14ac:dyDescent="0.25">
      <c r="A1996" s="3" t="s">
        <v>18</v>
      </c>
      <c r="B1996" s="3">
        <v>14362161</v>
      </c>
      <c r="C1996" s="3" t="s">
        <v>2039</v>
      </c>
      <c r="D1996" s="3" t="s">
        <v>20</v>
      </c>
      <c r="E1996" s="3" t="s">
        <v>21</v>
      </c>
      <c r="F1996" s="3" t="s">
        <v>21</v>
      </c>
      <c r="G1996" s="3" t="s">
        <v>42</v>
      </c>
      <c r="H1996" s="3" t="s">
        <v>43</v>
      </c>
      <c r="I1996" s="3" t="s">
        <v>24</v>
      </c>
      <c r="J1996" s="3" t="s">
        <v>24</v>
      </c>
      <c r="K1996" s="3" t="s">
        <v>25</v>
      </c>
      <c r="L1996" s="4">
        <v>0</v>
      </c>
      <c r="M1996" s="3" t="s">
        <v>26</v>
      </c>
      <c r="N1996" s="3" t="s">
        <v>24</v>
      </c>
      <c r="O1996" s="4">
        <v>0</v>
      </c>
      <c r="P1996" s="4">
        <v>8</v>
      </c>
      <c r="Q1996" s="4">
        <v>1</v>
      </c>
    </row>
    <row r="1997" spans="1:17" x14ac:dyDescent="0.25">
      <c r="A1997" s="3" t="s">
        <v>18</v>
      </c>
      <c r="B1997" s="3">
        <v>14363132</v>
      </c>
      <c r="C1997" s="3" t="s">
        <v>2040</v>
      </c>
      <c r="D1997" s="3" t="s">
        <v>20</v>
      </c>
      <c r="E1997" s="3" t="s">
        <v>21</v>
      </c>
      <c r="F1997" s="3" t="s">
        <v>21</v>
      </c>
      <c r="G1997" s="3" t="s">
        <v>36</v>
      </c>
      <c r="H1997" s="3" t="s">
        <v>37</v>
      </c>
      <c r="I1997" s="3" t="s">
        <v>24</v>
      </c>
      <c r="J1997" s="3" t="s">
        <v>24</v>
      </c>
      <c r="K1997" s="3" t="s">
        <v>25</v>
      </c>
      <c r="L1997" s="4">
        <v>0</v>
      </c>
      <c r="M1997" s="3" t="s">
        <v>26</v>
      </c>
      <c r="N1997" s="3" t="s">
        <v>24</v>
      </c>
      <c r="O1997" s="4">
        <v>1</v>
      </c>
      <c r="P1997" s="4">
        <v>10</v>
      </c>
      <c r="Q1997" s="4">
        <v>1</v>
      </c>
    </row>
    <row r="1998" spans="1:17" x14ac:dyDescent="0.25">
      <c r="A1998" s="3" t="s">
        <v>18</v>
      </c>
      <c r="B1998" s="3">
        <v>14363373</v>
      </c>
      <c r="C1998" s="3" t="s">
        <v>2041</v>
      </c>
      <c r="D1998" s="3" t="s">
        <v>20</v>
      </c>
      <c r="E1998" s="3" t="s">
        <v>21</v>
      </c>
      <c r="F1998" s="3" t="s">
        <v>21</v>
      </c>
      <c r="G1998" s="3" t="s">
        <v>36</v>
      </c>
      <c r="H1998" s="3" t="s">
        <v>37</v>
      </c>
      <c r="I1998" s="3" t="s">
        <v>24</v>
      </c>
      <c r="J1998" s="3" t="s">
        <v>24</v>
      </c>
      <c r="K1998" s="3" t="s">
        <v>25</v>
      </c>
      <c r="L1998" s="4">
        <v>0</v>
      </c>
      <c r="M1998" s="3" t="s">
        <v>26</v>
      </c>
      <c r="N1998" s="3" t="s">
        <v>24</v>
      </c>
      <c r="O1998" s="4">
        <v>1</v>
      </c>
      <c r="P1998" s="4">
        <v>10</v>
      </c>
      <c r="Q1998" s="4">
        <v>1</v>
      </c>
    </row>
    <row r="1999" spans="1:17" x14ac:dyDescent="0.25">
      <c r="A1999" s="3" t="s">
        <v>18</v>
      </c>
      <c r="B1999" s="3">
        <v>14390632</v>
      </c>
      <c r="C1999" s="3" t="s">
        <v>2042</v>
      </c>
      <c r="D1999" s="3" t="s">
        <v>20</v>
      </c>
      <c r="E1999" s="3" t="s">
        <v>21</v>
      </c>
      <c r="F1999" s="3" t="s">
        <v>21</v>
      </c>
      <c r="G1999" s="3" t="s">
        <v>30</v>
      </c>
      <c r="H1999" s="3" t="s">
        <v>31</v>
      </c>
      <c r="I1999" s="3" t="s">
        <v>24</v>
      </c>
      <c r="J1999" s="3" t="s">
        <v>24</v>
      </c>
      <c r="K1999" s="3" t="s">
        <v>25</v>
      </c>
      <c r="L1999" s="4">
        <v>0</v>
      </c>
      <c r="M1999" s="3" t="s">
        <v>26</v>
      </c>
      <c r="N1999" s="3" t="s">
        <v>24</v>
      </c>
      <c r="O1999" s="4">
        <v>1</v>
      </c>
      <c r="P1999" s="4">
        <v>9</v>
      </c>
      <c r="Q1999" s="4">
        <v>0</v>
      </c>
    </row>
    <row r="2000" spans="1:17" x14ac:dyDescent="0.25">
      <c r="A2000" s="3" t="s">
        <v>18</v>
      </c>
      <c r="B2000" s="3">
        <v>14396988</v>
      </c>
      <c r="C2000" s="3" t="s">
        <v>2043</v>
      </c>
      <c r="D2000" s="3" t="s">
        <v>20</v>
      </c>
      <c r="E2000" s="3" t="s">
        <v>21</v>
      </c>
      <c r="F2000" s="3" t="s">
        <v>21</v>
      </c>
      <c r="G2000" s="3" t="s">
        <v>233</v>
      </c>
      <c r="H2000" s="3" t="s">
        <v>234</v>
      </c>
      <c r="I2000" s="3" t="s">
        <v>24</v>
      </c>
      <c r="J2000" s="3" t="s">
        <v>24</v>
      </c>
      <c r="K2000" s="3" t="s">
        <v>25</v>
      </c>
      <c r="L2000" s="4">
        <v>0</v>
      </c>
      <c r="M2000" s="3" t="s">
        <v>26</v>
      </c>
      <c r="N2000" s="3" t="s">
        <v>24</v>
      </c>
      <c r="O2000" s="4">
        <v>1</v>
      </c>
      <c r="P2000" s="4">
        <v>3</v>
      </c>
      <c r="Q2000" s="4">
        <v>1</v>
      </c>
    </row>
    <row r="2001" spans="1:17" x14ac:dyDescent="0.25">
      <c r="A2001" s="3" t="s">
        <v>18</v>
      </c>
      <c r="B2001" s="3">
        <v>14396993</v>
      </c>
      <c r="C2001" s="3" t="s">
        <v>2044</v>
      </c>
      <c r="D2001" s="3" t="s">
        <v>20</v>
      </c>
      <c r="E2001" s="3" t="s">
        <v>21</v>
      </c>
      <c r="F2001" s="3" t="s">
        <v>21</v>
      </c>
      <c r="G2001" s="3" t="s">
        <v>36</v>
      </c>
      <c r="H2001" s="3" t="s">
        <v>37</v>
      </c>
      <c r="I2001" s="3" t="s">
        <v>24</v>
      </c>
      <c r="J2001" s="3" t="s">
        <v>24</v>
      </c>
      <c r="K2001" s="3" t="s">
        <v>25</v>
      </c>
      <c r="L2001" s="4">
        <v>0</v>
      </c>
      <c r="M2001" s="3" t="s">
        <v>26</v>
      </c>
      <c r="N2001" s="3" t="s">
        <v>24</v>
      </c>
      <c r="O2001" s="4">
        <v>1</v>
      </c>
      <c r="P2001" s="4">
        <v>10</v>
      </c>
      <c r="Q2001" s="4">
        <v>1</v>
      </c>
    </row>
    <row r="2002" spans="1:17" x14ac:dyDescent="0.25">
      <c r="A2002" s="3" t="s">
        <v>18</v>
      </c>
      <c r="B2002" s="3">
        <v>14396994</v>
      </c>
      <c r="C2002" s="3" t="s">
        <v>2045</v>
      </c>
      <c r="D2002" s="3" t="s">
        <v>20</v>
      </c>
      <c r="E2002" s="3" t="s">
        <v>21</v>
      </c>
      <c r="F2002" s="3" t="s">
        <v>21</v>
      </c>
      <c r="G2002" s="3" t="s">
        <v>42</v>
      </c>
      <c r="H2002" s="3" t="s">
        <v>43</v>
      </c>
      <c r="I2002" s="3" t="s">
        <v>24</v>
      </c>
      <c r="J2002" s="3" t="s">
        <v>24</v>
      </c>
      <c r="K2002" s="3" t="s">
        <v>25</v>
      </c>
      <c r="L2002" s="4">
        <v>0</v>
      </c>
      <c r="M2002" s="3" t="s">
        <v>26</v>
      </c>
      <c r="N2002" s="3" t="s">
        <v>24</v>
      </c>
      <c r="O2002" s="4">
        <v>0</v>
      </c>
      <c r="P2002" s="4">
        <v>8</v>
      </c>
      <c r="Q2002" s="4">
        <v>1</v>
      </c>
    </row>
    <row r="2003" spans="1:17" x14ac:dyDescent="0.25">
      <c r="A2003" s="3" t="s">
        <v>18</v>
      </c>
      <c r="B2003" s="3">
        <v>14397278</v>
      </c>
      <c r="C2003" s="3" t="s">
        <v>2046</v>
      </c>
      <c r="D2003" s="3" t="s">
        <v>20</v>
      </c>
      <c r="E2003" s="3" t="s">
        <v>21</v>
      </c>
      <c r="F2003" s="3" t="s">
        <v>21</v>
      </c>
      <c r="G2003" s="3" t="s">
        <v>30</v>
      </c>
      <c r="H2003" s="3" t="s">
        <v>31</v>
      </c>
      <c r="I2003" s="3" t="s">
        <v>24</v>
      </c>
      <c r="J2003" s="3" t="s">
        <v>24</v>
      </c>
      <c r="K2003" s="3" t="s">
        <v>25</v>
      </c>
      <c r="L2003" s="4">
        <v>0</v>
      </c>
      <c r="M2003" s="3" t="s">
        <v>26</v>
      </c>
      <c r="N2003" s="3" t="s">
        <v>24</v>
      </c>
      <c r="O2003" s="4">
        <v>1</v>
      </c>
      <c r="P2003" s="4">
        <v>9</v>
      </c>
      <c r="Q2003" s="4">
        <v>0</v>
      </c>
    </row>
    <row r="2004" spans="1:17" x14ac:dyDescent="0.25">
      <c r="A2004" s="3" t="s">
        <v>18</v>
      </c>
      <c r="B2004" s="3">
        <v>14397280</v>
      </c>
      <c r="C2004" s="3" t="s">
        <v>2047</v>
      </c>
      <c r="D2004" s="3" t="s">
        <v>20</v>
      </c>
      <c r="E2004" s="3" t="s">
        <v>21</v>
      </c>
      <c r="F2004" s="3" t="s">
        <v>21</v>
      </c>
      <c r="G2004" s="3" t="s">
        <v>30</v>
      </c>
      <c r="H2004" s="3" t="s">
        <v>31</v>
      </c>
      <c r="I2004" s="3" t="s">
        <v>24</v>
      </c>
      <c r="J2004" s="3" t="s">
        <v>24</v>
      </c>
      <c r="K2004" s="3" t="s">
        <v>25</v>
      </c>
      <c r="L2004" s="4">
        <v>0</v>
      </c>
      <c r="M2004" s="3" t="s">
        <v>26</v>
      </c>
      <c r="N2004" s="3" t="s">
        <v>24</v>
      </c>
      <c r="O2004" s="4">
        <v>1</v>
      </c>
      <c r="P2004" s="4">
        <v>8</v>
      </c>
      <c r="Q2004" s="4">
        <v>0</v>
      </c>
    </row>
    <row r="2005" spans="1:17" x14ac:dyDescent="0.25">
      <c r="A2005" s="3" t="s">
        <v>18</v>
      </c>
      <c r="B2005" s="3">
        <v>14397284</v>
      </c>
      <c r="C2005" s="3" t="s">
        <v>2048</v>
      </c>
      <c r="D2005" s="3" t="s">
        <v>1360</v>
      </c>
      <c r="E2005" s="3" t="s">
        <v>21</v>
      </c>
      <c r="F2005" s="3" t="s">
        <v>21</v>
      </c>
      <c r="G2005" s="3" t="s">
        <v>233</v>
      </c>
      <c r="H2005" s="3" t="s">
        <v>234</v>
      </c>
      <c r="I2005" s="3" t="s">
        <v>24</v>
      </c>
      <c r="J2005" s="3" t="s">
        <v>24</v>
      </c>
      <c r="K2005" s="3" t="s">
        <v>25</v>
      </c>
      <c r="L2005" s="4">
        <v>0</v>
      </c>
      <c r="M2005" s="3" t="s">
        <v>26</v>
      </c>
      <c r="N2005" s="3" t="s">
        <v>24</v>
      </c>
      <c r="O2005" s="4">
        <v>1</v>
      </c>
      <c r="P2005" s="4">
        <v>3</v>
      </c>
      <c r="Q2005" s="4">
        <v>1</v>
      </c>
    </row>
    <row r="2006" spans="1:17" x14ac:dyDescent="0.25">
      <c r="A2006" s="3" t="s">
        <v>18</v>
      </c>
      <c r="B2006" s="3">
        <v>14403244</v>
      </c>
      <c r="C2006" s="3" t="s">
        <v>2049</v>
      </c>
      <c r="D2006" s="3" t="s">
        <v>20</v>
      </c>
      <c r="E2006" s="3" t="s">
        <v>21</v>
      </c>
      <c r="F2006" s="3" t="s">
        <v>21</v>
      </c>
      <c r="G2006" s="3" t="s">
        <v>477</v>
      </c>
      <c r="H2006" s="3" t="s">
        <v>478</v>
      </c>
      <c r="I2006" s="3" t="s">
        <v>24</v>
      </c>
      <c r="J2006" s="3" t="s">
        <v>24</v>
      </c>
      <c r="K2006" s="3" t="s">
        <v>25</v>
      </c>
      <c r="L2006" s="4">
        <v>0</v>
      </c>
      <c r="M2006" s="3" t="s">
        <v>26</v>
      </c>
      <c r="N2006" s="3" t="s">
        <v>24</v>
      </c>
      <c r="O2006" s="4">
        <v>1</v>
      </c>
      <c r="P2006" s="4">
        <v>1</v>
      </c>
      <c r="Q2006" s="4">
        <v>1</v>
      </c>
    </row>
    <row r="2007" spans="1:17" x14ac:dyDescent="0.25">
      <c r="A2007" s="3" t="s">
        <v>18</v>
      </c>
      <c r="B2007" s="3">
        <v>14403368</v>
      </c>
      <c r="C2007" s="3" t="s">
        <v>2050</v>
      </c>
      <c r="D2007" s="3" t="s">
        <v>1360</v>
      </c>
      <c r="E2007" s="3" t="s">
        <v>21</v>
      </c>
      <c r="F2007" s="3" t="s">
        <v>21</v>
      </c>
      <c r="G2007" s="3" t="s">
        <v>477</v>
      </c>
      <c r="H2007" s="3" t="s">
        <v>478</v>
      </c>
      <c r="I2007" s="3" t="s">
        <v>24</v>
      </c>
      <c r="J2007" s="3" t="s">
        <v>24</v>
      </c>
      <c r="K2007" s="3" t="s">
        <v>25</v>
      </c>
      <c r="L2007" s="4">
        <v>0</v>
      </c>
      <c r="M2007" s="3" t="s">
        <v>26</v>
      </c>
      <c r="N2007" s="3" t="s">
        <v>24</v>
      </c>
      <c r="O2007" s="4">
        <v>1</v>
      </c>
      <c r="P2007" s="4">
        <v>1</v>
      </c>
      <c r="Q2007" s="4">
        <v>1</v>
      </c>
    </row>
    <row r="2008" spans="1:17" x14ac:dyDescent="0.25">
      <c r="A2008" s="3" t="s">
        <v>18</v>
      </c>
      <c r="B2008" s="3">
        <v>14409723</v>
      </c>
      <c r="C2008" s="3" t="s">
        <v>2051</v>
      </c>
      <c r="D2008" s="3" t="s">
        <v>20</v>
      </c>
      <c r="E2008" s="3" t="s">
        <v>21</v>
      </c>
      <c r="F2008" s="3" t="s">
        <v>21</v>
      </c>
      <c r="G2008" s="3" t="s">
        <v>233</v>
      </c>
      <c r="H2008" s="3" t="s">
        <v>234</v>
      </c>
      <c r="I2008" s="3" t="s">
        <v>24</v>
      </c>
      <c r="J2008" s="3" t="s">
        <v>24</v>
      </c>
      <c r="K2008" s="3" t="s">
        <v>25</v>
      </c>
      <c r="L2008" s="4">
        <v>0</v>
      </c>
      <c r="M2008" s="3" t="s">
        <v>26</v>
      </c>
      <c r="N2008" s="3" t="s">
        <v>24</v>
      </c>
      <c r="O2008" s="4">
        <v>1</v>
      </c>
      <c r="P2008" s="4">
        <v>2</v>
      </c>
      <c r="Q2008" s="4">
        <v>1</v>
      </c>
    </row>
    <row r="2009" spans="1:17" x14ac:dyDescent="0.25">
      <c r="A2009" s="3" t="s">
        <v>18</v>
      </c>
      <c r="B2009" s="3">
        <v>14409727</v>
      </c>
      <c r="C2009" s="3" t="s">
        <v>2052</v>
      </c>
      <c r="D2009" s="3" t="s">
        <v>1360</v>
      </c>
      <c r="E2009" s="3" t="s">
        <v>21</v>
      </c>
      <c r="F2009" s="3" t="s">
        <v>21</v>
      </c>
      <c r="G2009" s="3" t="s">
        <v>233</v>
      </c>
      <c r="H2009" s="3" t="s">
        <v>234</v>
      </c>
      <c r="I2009" s="3" t="s">
        <v>24</v>
      </c>
      <c r="J2009" s="3" t="s">
        <v>24</v>
      </c>
      <c r="K2009" s="3" t="s">
        <v>25</v>
      </c>
      <c r="L2009" s="4">
        <v>0</v>
      </c>
      <c r="M2009" s="3" t="s">
        <v>26</v>
      </c>
      <c r="N2009" s="3" t="s">
        <v>24</v>
      </c>
      <c r="O2009" s="4">
        <v>1</v>
      </c>
      <c r="P2009" s="4">
        <v>3</v>
      </c>
      <c r="Q2009" s="4">
        <v>1</v>
      </c>
    </row>
    <row r="2010" spans="1:17" x14ac:dyDescent="0.25">
      <c r="A2010" s="3" t="s">
        <v>18</v>
      </c>
      <c r="B2010" s="3">
        <v>14432978</v>
      </c>
      <c r="C2010" s="3" t="s">
        <v>2053</v>
      </c>
      <c r="D2010" s="3" t="s">
        <v>1360</v>
      </c>
      <c r="E2010" s="3" t="s">
        <v>21</v>
      </c>
      <c r="F2010" s="3" t="s">
        <v>21</v>
      </c>
      <c r="G2010" s="3" t="s">
        <v>233</v>
      </c>
      <c r="H2010" s="3" t="s">
        <v>234</v>
      </c>
      <c r="I2010" s="3" t="s">
        <v>24</v>
      </c>
      <c r="J2010" s="3" t="s">
        <v>24</v>
      </c>
      <c r="K2010" s="3" t="s">
        <v>25</v>
      </c>
      <c r="L2010" s="4">
        <v>0</v>
      </c>
      <c r="M2010" s="3" t="s">
        <v>26</v>
      </c>
      <c r="N2010" s="3" t="s">
        <v>24</v>
      </c>
      <c r="O2010" s="4">
        <v>1</v>
      </c>
      <c r="P2010" s="4">
        <v>3</v>
      </c>
      <c r="Q2010" s="4">
        <v>1</v>
      </c>
    </row>
    <row r="2011" spans="1:17" x14ac:dyDescent="0.25">
      <c r="A2011" s="3" t="s">
        <v>18</v>
      </c>
      <c r="B2011" s="3">
        <v>14446605</v>
      </c>
      <c r="C2011" s="3" t="s">
        <v>2054</v>
      </c>
      <c r="D2011" s="3" t="s">
        <v>1360</v>
      </c>
      <c r="E2011" s="3" t="s">
        <v>21</v>
      </c>
      <c r="F2011" s="3" t="s">
        <v>21</v>
      </c>
      <c r="G2011" s="3" t="s">
        <v>477</v>
      </c>
      <c r="H2011" s="3" t="s">
        <v>478</v>
      </c>
      <c r="I2011" s="3" t="s">
        <v>24</v>
      </c>
      <c r="J2011" s="3" t="s">
        <v>24</v>
      </c>
      <c r="K2011" s="3" t="s">
        <v>25</v>
      </c>
      <c r="L2011" s="4">
        <v>0</v>
      </c>
      <c r="M2011" s="3" t="s">
        <v>26</v>
      </c>
      <c r="N2011" s="3" t="s">
        <v>24</v>
      </c>
      <c r="O2011" s="4">
        <v>1</v>
      </c>
      <c r="P2011" s="4">
        <v>1</v>
      </c>
      <c r="Q2011" s="4">
        <v>1</v>
      </c>
    </row>
    <row r="2012" spans="1:17" x14ac:dyDescent="0.25">
      <c r="A2012" s="3" t="s">
        <v>18</v>
      </c>
      <c r="B2012" s="3">
        <v>14452119</v>
      </c>
      <c r="C2012" s="3" t="s">
        <v>2055</v>
      </c>
      <c r="D2012" s="3" t="s">
        <v>20</v>
      </c>
      <c r="E2012" s="3" t="s">
        <v>21</v>
      </c>
      <c r="F2012" s="3" t="s">
        <v>21</v>
      </c>
      <c r="G2012" s="3" t="s">
        <v>36</v>
      </c>
      <c r="H2012" s="3" t="s">
        <v>37</v>
      </c>
      <c r="I2012" s="3" t="s">
        <v>24</v>
      </c>
      <c r="J2012" s="3" t="s">
        <v>24</v>
      </c>
      <c r="K2012" s="3" t="s">
        <v>25</v>
      </c>
      <c r="L2012" s="4">
        <v>0</v>
      </c>
      <c r="M2012" s="3" t="s">
        <v>26</v>
      </c>
      <c r="N2012" s="3" t="s">
        <v>24</v>
      </c>
      <c r="O2012" s="4">
        <v>1</v>
      </c>
      <c r="P2012" s="4">
        <v>4</v>
      </c>
      <c r="Q2012" s="4">
        <v>1</v>
      </c>
    </row>
    <row r="2013" spans="1:17" x14ac:dyDescent="0.25">
      <c r="A2013" s="3" t="s">
        <v>18</v>
      </c>
      <c r="B2013" s="3">
        <v>14452120</v>
      </c>
      <c r="C2013" s="3" t="s">
        <v>2056</v>
      </c>
      <c r="D2013" s="3" t="s">
        <v>20</v>
      </c>
      <c r="E2013" s="3" t="s">
        <v>21</v>
      </c>
      <c r="F2013" s="3" t="s">
        <v>21</v>
      </c>
      <c r="G2013" s="3" t="s">
        <v>36</v>
      </c>
      <c r="H2013" s="3" t="s">
        <v>37</v>
      </c>
      <c r="I2013" s="3" t="s">
        <v>24</v>
      </c>
      <c r="J2013" s="3" t="s">
        <v>24</v>
      </c>
      <c r="K2013" s="3" t="s">
        <v>25</v>
      </c>
      <c r="L2013" s="4">
        <v>0</v>
      </c>
      <c r="M2013" s="3" t="s">
        <v>26</v>
      </c>
      <c r="N2013" s="3" t="s">
        <v>24</v>
      </c>
      <c r="O2013" s="4">
        <v>0</v>
      </c>
      <c r="P2013" s="4">
        <v>2</v>
      </c>
      <c r="Q2013" s="4">
        <v>0</v>
      </c>
    </row>
    <row r="2014" spans="1:17" x14ac:dyDescent="0.25">
      <c r="A2014" s="3" t="s">
        <v>18</v>
      </c>
      <c r="B2014" s="3">
        <v>14452122</v>
      </c>
      <c r="C2014" s="3" t="s">
        <v>2057</v>
      </c>
      <c r="D2014" s="3" t="s">
        <v>20</v>
      </c>
      <c r="E2014" s="3" t="s">
        <v>21</v>
      </c>
      <c r="F2014" s="3" t="s">
        <v>21</v>
      </c>
      <c r="G2014" s="3" t="s">
        <v>36</v>
      </c>
      <c r="H2014" s="3" t="s">
        <v>37</v>
      </c>
      <c r="I2014" s="3" t="s">
        <v>24</v>
      </c>
      <c r="J2014" s="3" t="s">
        <v>24</v>
      </c>
      <c r="K2014" s="3" t="s">
        <v>25</v>
      </c>
      <c r="L2014" s="4">
        <v>0</v>
      </c>
      <c r="M2014" s="3" t="s">
        <v>26</v>
      </c>
      <c r="N2014" s="3" t="s">
        <v>24</v>
      </c>
      <c r="O2014" s="4">
        <v>1</v>
      </c>
      <c r="P2014" s="4">
        <v>2</v>
      </c>
      <c r="Q2014" s="4">
        <v>1</v>
      </c>
    </row>
    <row r="2015" spans="1:17" x14ac:dyDescent="0.25">
      <c r="A2015" s="3" t="s">
        <v>18</v>
      </c>
      <c r="B2015" s="3">
        <v>14452124</v>
      </c>
      <c r="C2015" s="3" t="s">
        <v>2058</v>
      </c>
      <c r="D2015" s="3" t="s">
        <v>20</v>
      </c>
      <c r="E2015" s="3" t="s">
        <v>21</v>
      </c>
      <c r="F2015" s="3" t="s">
        <v>21</v>
      </c>
      <c r="G2015" s="3" t="s">
        <v>362</v>
      </c>
      <c r="H2015" s="3" t="s">
        <v>363</v>
      </c>
      <c r="I2015" s="3" t="s">
        <v>24</v>
      </c>
      <c r="J2015" s="3" t="s">
        <v>24</v>
      </c>
      <c r="K2015" s="3" t="s">
        <v>25</v>
      </c>
      <c r="L2015" s="4">
        <v>0</v>
      </c>
      <c r="M2015" s="3" t="s">
        <v>26</v>
      </c>
      <c r="N2015" s="3" t="s">
        <v>24</v>
      </c>
      <c r="O2015" s="4">
        <v>1</v>
      </c>
      <c r="P2015" s="4">
        <v>1</v>
      </c>
      <c r="Q2015" s="4">
        <v>1</v>
      </c>
    </row>
    <row r="2016" spans="1:17" x14ac:dyDescent="0.25">
      <c r="A2016" s="3" t="s">
        <v>18</v>
      </c>
      <c r="B2016" s="3">
        <v>14472972</v>
      </c>
      <c r="C2016" s="3" t="s">
        <v>2059</v>
      </c>
      <c r="D2016" s="3" t="s">
        <v>20</v>
      </c>
      <c r="E2016" s="3" t="s">
        <v>21</v>
      </c>
      <c r="F2016" s="3" t="s">
        <v>21</v>
      </c>
      <c r="G2016" s="3" t="s">
        <v>22</v>
      </c>
      <c r="H2016" s="3" t="s">
        <v>23</v>
      </c>
      <c r="I2016" s="3" t="s">
        <v>24</v>
      </c>
      <c r="J2016" s="3" t="s">
        <v>24</v>
      </c>
      <c r="K2016" s="3" t="s">
        <v>25</v>
      </c>
      <c r="L2016" s="4">
        <v>0</v>
      </c>
      <c r="M2016" s="3" t="s">
        <v>26</v>
      </c>
      <c r="N2016" s="3" t="s">
        <v>24</v>
      </c>
      <c r="O2016" s="4">
        <v>0</v>
      </c>
      <c r="P2016" s="4">
        <v>1</v>
      </c>
      <c r="Q2016" s="4">
        <v>0</v>
      </c>
    </row>
    <row r="2017" spans="1:17" x14ac:dyDescent="0.25">
      <c r="A2017" s="3" t="s">
        <v>18</v>
      </c>
      <c r="B2017" s="3">
        <v>14479685</v>
      </c>
      <c r="C2017" s="3" t="s">
        <v>2060</v>
      </c>
      <c r="D2017" s="3" t="s">
        <v>20</v>
      </c>
      <c r="E2017" s="3" t="s">
        <v>21</v>
      </c>
      <c r="F2017" s="3" t="s">
        <v>21</v>
      </c>
      <c r="G2017" s="3" t="s">
        <v>30</v>
      </c>
      <c r="H2017" s="3" t="s">
        <v>31</v>
      </c>
      <c r="I2017" s="3" t="s">
        <v>24</v>
      </c>
      <c r="J2017" s="3" t="s">
        <v>24</v>
      </c>
      <c r="K2017" s="3" t="s">
        <v>25</v>
      </c>
      <c r="L2017" s="4">
        <v>0</v>
      </c>
      <c r="M2017" s="3" t="s">
        <v>26</v>
      </c>
      <c r="N2017" s="3" t="s">
        <v>24</v>
      </c>
      <c r="O2017" s="4">
        <v>1</v>
      </c>
      <c r="P2017" s="4">
        <v>8</v>
      </c>
      <c r="Q2017" s="4">
        <v>1</v>
      </c>
    </row>
    <row r="2018" spans="1:17" x14ac:dyDescent="0.25">
      <c r="A2018" s="3" t="s">
        <v>18</v>
      </c>
      <c r="B2018" s="3">
        <v>14479686</v>
      </c>
      <c r="C2018" s="3" t="s">
        <v>2061</v>
      </c>
      <c r="D2018" s="3" t="s">
        <v>20</v>
      </c>
      <c r="E2018" s="3" t="s">
        <v>21</v>
      </c>
      <c r="F2018" s="3" t="s">
        <v>21</v>
      </c>
      <c r="G2018" s="3" t="s">
        <v>42</v>
      </c>
      <c r="H2018" s="3" t="s">
        <v>43</v>
      </c>
      <c r="I2018" s="3" t="s">
        <v>24</v>
      </c>
      <c r="J2018" s="3" t="s">
        <v>24</v>
      </c>
      <c r="K2018" s="3" t="s">
        <v>25</v>
      </c>
      <c r="L2018" s="4">
        <v>0</v>
      </c>
      <c r="M2018" s="3" t="s">
        <v>26</v>
      </c>
      <c r="N2018" s="3" t="s">
        <v>24</v>
      </c>
      <c r="O2018" s="4">
        <v>0</v>
      </c>
      <c r="P2018" s="4">
        <v>8</v>
      </c>
      <c r="Q2018" s="4">
        <v>1</v>
      </c>
    </row>
    <row r="2019" spans="1:17" x14ac:dyDescent="0.25">
      <c r="A2019" s="3" t="s">
        <v>18</v>
      </c>
      <c r="B2019" s="3">
        <v>14479687</v>
      </c>
      <c r="C2019" s="3" t="s">
        <v>2062</v>
      </c>
      <c r="D2019" s="3" t="s">
        <v>20</v>
      </c>
      <c r="E2019" s="3" t="s">
        <v>21</v>
      </c>
      <c r="F2019" s="3" t="s">
        <v>21</v>
      </c>
      <c r="G2019" s="3" t="s">
        <v>42</v>
      </c>
      <c r="H2019" s="3" t="s">
        <v>43</v>
      </c>
      <c r="I2019" s="3" t="s">
        <v>24</v>
      </c>
      <c r="J2019" s="3" t="s">
        <v>24</v>
      </c>
      <c r="K2019" s="3" t="s">
        <v>25</v>
      </c>
      <c r="L2019" s="4">
        <v>0</v>
      </c>
      <c r="M2019" s="3" t="s">
        <v>26</v>
      </c>
      <c r="N2019" s="3" t="s">
        <v>24</v>
      </c>
      <c r="O2019" s="4">
        <v>0</v>
      </c>
      <c r="P2019" s="4">
        <v>8</v>
      </c>
      <c r="Q2019" s="4">
        <v>1</v>
      </c>
    </row>
    <row r="2020" spans="1:17" x14ac:dyDescent="0.25">
      <c r="A2020" s="3" t="s">
        <v>18</v>
      </c>
      <c r="B2020" s="3">
        <v>14479908</v>
      </c>
      <c r="C2020" s="3" t="s">
        <v>2063</v>
      </c>
      <c r="D2020" s="3" t="s">
        <v>20</v>
      </c>
      <c r="E2020" s="3" t="s">
        <v>21</v>
      </c>
      <c r="F2020" s="3" t="s">
        <v>21</v>
      </c>
      <c r="G2020" s="3" t="s">
        <v>22</v>
      </c>
      <c r="H2020" s="3" t="s">
        <v>23</v>
      </c>
      <c r="I2020" s="3" t="s">
        <v>24</v>
      </c>
      <c r="J2020" s="3" t="s">
        <v>24</v>
      </c>
      <c r="K2020" s="3" t="s">
        <v>25</v>
      </c>
      <c r="L2020" s="4">
        <v>0</v>
      </c>
      <c r="M2020" s="3" t="s">
        <v>26</v>
      </c>
      <c r="N2020" s="3" t="s">
        <v>24</v>
      </c>
      <c r="O2020" s="4">
        <v>0</v>
      </c>
      <c r="P2020" s="4">
        <v>4</v>
      </c>
      <c r="Q2020" s="4">
        <v>0</v>
      </c>
    </row>
    <row r="2021" spans="1:17" x14ac:dyDescent="0.25">
      <c r="A2021" s="3" t="s">
        <v>18</v>
      </c>
      <c r="B2021" s="3">
        <v>14479911</v>
      </c>
      <c r="C2021" s="3" t="s">
        <v>2064</v>
      </c>
      <c r="D2021" s="3" t="s">
        <v>20</v>
      </c>
      <c r="E2021" s="3" t="s">
        <v>21</v>
      </c>
      <c r="F2021" s="3" t="s">
        <v>21</v>
      </c>
      <c r="G2021" s="3" t="s">
        <v>233</v>
      </c>
      <c r="H2021" s="3" t="s">
        <v>234</v>
      </c>
      <c r="I2021" s="3" t="s">
        <v>24</v>
      </c>
      <c r="J2021" s="3" t="s">
        <v>24</v>
      </c>
      <c r="K2021" s="3" t="s">
        <v>25</v>
      </c>
      <c r="L2021" s="4">
        <v>0</v>
      </c>
      <c r="M2021" s="3" t="s">
        <v>26</v>
      </c>
      <c r="N2021" s="3" t="s">
        <v>24</v>
      </c>
      <c r="O2021" s="4">
        <v>1</v>
      </c>
      <c r="P2021" s="4">
        <v>3</v>
      </c>
      <c r="Q2021" s="4">
        <v>1</v>
      </c>
    </row>
    <row r="2022" spans="1:17" x14ac:dyDescent="0.25">
      <c r="A2022" s="3" t="s">
        <v>18</v>
      </c>
      <c r="B2022" s="3">
        <v>14479912</v>
      </c>
      <c r="C2022" s="3" t="s">
        <v>2065</v>
      </c>
      <c r="D2022" s="3" t="s">
        <v>20</v>
      </c>
      <c r="E2022" s="3" t="s">
        <v>21</v>
      </c>
      <c r="F2022" s="3" t="s">
        <v>21</v>
      </c>
      <c r="G2022" s="3" t="s">
        <v>42</v>
      </c>
      <c r="H2022" s="3" t="s">
        <v>43</v>
      </c>
      <c r="I2022" s="3" t="s">
        <v>24</v>
      </c>
      <c r="J2022" s="3" t="s">
        <v>24</v>
      </c>
      <c r="K2022" s="3" t="s">
        <v>25</v>
      </c>
      <c r="L2022" s="4">
        <v>0</v>
      </c>
      <c r="M2022" s="3" t="s">
        <v>26</v>
      </c>
      <c r="N2022" s="3" t="s">
        <v>24</v>
      </c>
      <c r="O2022" s="4">
        <v>0</v>
      </c>
      <c r="P2022" s="4">
        <v>8</v>
      </c>
      <c r="Q2022" s="4">
        <v>1</v>
      </c>
    </row>
    <row r="2023" spans="1:17" x14ac:dyDescent="0.25">
      <c r="A2023" s="3" t="s">
        <v>18</v>
      </c>
      <c r="B2023" s="3">
        <v>14479913</v>
      </c>
      <c r="C2023" s="3" t="s">
        <v>2066</v>
      </c>
      <c r="D2023" s="3" t="s">
        <v>20</v>
      </c>
      <c r="E2023" s="3" t="s">
        <v>21</v>
      </c>
      <c r="F2023" s="3" t="s">
        <v>21</v>
      </c>
      <c r="G2023" s="3" t="s">
        <v>30</v>
      </c>
      <c r="H2023" s="3" t="s">
        <v>31</v>
      </c>
      <c r="I2023" s="3" t="s">
        <v>24</v>
      </c>
      <c r="J2023" s="3" t="s">
        <v>24</v>
      </c>
      <c r="K2023" s="3" t="s">
        <v>25</v>
      </c>
      <c r="L2023" s="4">
        <v>0</v>
      </c>
      <c r="M2023" s="3" t="s">
        <v>26</v>
      </c>
      <c r="N2023" s="3" t="s">
        <v>24</v>
      </c>
      <c r="O2023" s="4">
        <v>1</v>
      </c>
      <c r="P2023" s="4">
        <v>8</v>
      </c>
      <c r="Q2023" s="4">
        <v>0</v>
      </c>
    </row>
    <row r="2024" spans="1:17" x14ac:dyDescent="0.25">
      <c r="A2024" s="3" t="s">
        <v>18</v>
      </c>
      <c r="B2024" s="3">
        <v>14504853</v>
      </c>
      <c r="C2024" s="3" t="s">
        <v>2067</v>
      </c>
      <c r="D2024" s="3" t="s">
        <v>20</v>
      </c>
      <c r="E2024" s="3" t="s">
        <v>21</v>
      </c>
      <c r="F2024" s="3" t="s">
        <v>21</v>
      </c>
      <c r="G2024" s="3" t="s">
        <v>410</v>
      </c>
      <c r="H2024" s="3" t="s">
        <v>411</v>
      </c>
      <c r="I2024" s="3" t="s">
        <v>24</v>
      </c>
      <c r="J2024" s="3" t="s">
        <v>24</v>
      </c>
      <c r="K2024" s="3" t="s">
        <v>25</v>
      </c>
      <c r="L2024" s="4">
        <v>0</v>
      </c>
      <c r="M2024" s="3" t="s">
        <v>26</v>
      </c>
      <c r="N2024" s="3" t="s">
        <v>24</v>
      </c>
      <c r="O2024" s="4">
        <v>1</v>
      </c>
      <c r="P2024" s="4">
        <v>1</v>
      </c>
      <c r="Q2024" s="4">
        <v>1</v>
      </c>
    </row>
    <row r="2025" spans="1:17" x14ac:dyDescent="0.25">
      <c r="A2025" s="3" t="s">
        <v>18</v>
      </c>
      <c r="B2025" s="3">
        <v>14504937</v>
      </c>
      <c r="C2025" s="3" t="s">
        <v>2068</v>
      </c>
      <c r="D2025" s="3" t="s">
        <v>20</v>
      </c>
      <c r="E2025" s="3" t="s">
        <v>21</v>
      </c>
      <c r="F2025" s="3" t="s">
        <v>21</v>
      </c>
      <c r="G2025" s="3" t="s">
        <v>233</v>
      </c>
      <c r="H2025" s="3" t="s">
        <v>234</v>
      </c>
      <c r="I2025" s="3" t="s">
        <v>24</v>
      </c>
      <c r="J2025" s="3" t="s">
        <v>24</v>
      </c>
      <c r="K2025" s="3" t="s">
        <v>25</v>
      </c>
      <c r="L2025" s="4">
        <v>0</v>
      </c>
      <c r="M2025" s="3" t="s">
        <v>26</v>
      </c>
      <c r="N2025" s="3" t="s">
        <v>24</v>
      </c>
      <c r="O2025" s="4">
        <v>0</v>
      </c>
      <c r="P2025" s="4">
        <v>3</v>
      </c>
      <c r="Q2025" s="4">
        <v>0</v>
      </c>
    </row>
    <row r="2026" spans="1:17" x14ac:dyDescent="0.25">
      <c r="A2026" s="3" t="s">
        <v>18</v>
      </c>
      <c r="B2026" s="3">
        <v>14518482</v>
      </c>
      <c r="C2026" s="3" t="s">
        <v>2069</v>
      </c>
      <c r="D2026" s="3" t="s">
        <v>20</v>
      </c>
      <c r="E2026" s="3" t="s">
        <v>21</v>
      </c>
      <c r="F2026" s="3" t="s">
        <v>21</v>
      </c>
      <c r="G2026" s="3" t="s">
        <v>42</v>
      </c>
      <c r="H2026" s="3" t="s">
        <v>43</v>
      </c>
      <c r="I2026" s="3" t="s">
        <v>24</v>
      </c>
      <c r="J2026" s="3" t="s">
        <v>24</v>
      </c>
      <c r="K2026" s="3" t="s">
        <v>25</v>
      </c>
      <c r="L2026" s="4">
        <v>0</v>
      </c>
      <c r="M2026" s="3" t="s">
        <v>26</v>
      </c>
      <c r="N2026" s="3" t="s">
        <v>24</v>
      </c>
      <c r="O2026" s="4">
        <v>0</v>
      </c>
      <c r="P2026" s="4">
        <v>8</v>
      </c>
      <c r="Q2026" s="4">
        <v>1</v>
      </c>
    </row>
    <row r="2027" spans="1:17" x14ac:dyDescent="0.25">
      <c r="A2027" s="3" t="s">
        <v>18</v>
      </c>
      <c r="B2027" s="3">
        <v>14518483</v>
      </c>
      <c r="C2027" s="3" t="s">
        <v>2070</v>
      </c>
      <c r="D2027" s="3" t="s">
        <v>20</v>
      </c>
      <c r="E2027" s="3" t="s">
        <v>21</v>
      </c>
      <c r="F2027" s="3" t="s">
        <v>21</v>
      </c>
      <c r="G2027" s="3" t="s">
        <v>22</v>
      </c>
      <c r="H2027" s="3" t="s">
        <v>23</v>
      </c>
      <c r="I2027" s="3" t="s">
        <v>24</v>
      </c>
      <c r="J2027" s="3" t="s">
        <v>24</v>
      </c>
      <c r="K2027" s="3" t="s">
        <v>25</v>
      </c>
      <c r="L2027" s="4">
        <v>0</v>
      </c>
      <c r="M2027" s="3" t="s">
        <v>26</v>
      </c>
      <c r="N2027" s="3" t="s">
        <v>24</v>
      </c>
      <c r="O2027" s="4">
        <v>0</v>
      </c>
      <c r="P2027" s="4">
        <v>4</v>
      </c>
      <c r="Q2027" s="4">
        <v>0</v>
      </c>
    </row>
    <row r="2028" spans="1:17" x14ac:dyDescent="0.25">
      <c r="A2028" s="3" t="s">
        <v>18</v>
      </c>
      <c r="B2028" s="3">
        <v>14518610</v>
      </c>
      <c r="C2028" s="3" t="s">
        <v>2071</v>
      </c>
      <c r="D2028" s="3" t="s">
        <v>20</v>
      </c>
      <c r="E2028" s="3" t="s">
        <v>21</v>
      </c>
      <c r="F2028" s="3" t="s">
        <v>21</v>
      </c>
      <c r="G2028" s="3" t="s">
        <v>42</v>
      </c>
      <c r="H2028" s="3" t="s">
        <v>43</v>
      </c>
      <c r="I2028" s="3" t="s">
        <v>24</v>
      </c>
      <c r="J2028" s="3" t="s">
        <v>24</v>
      </c>
      <c r="K2028" s="3" t="s">
        <v>25</v>
      </c>
      <c r="L2028" s="4">
        <v>0</v>
      </c>
      <c r="M2028" s="3" t="s">
        <v>26</v>
      </c>
      <c r="N2028" s="3" t="s">
        <v>24</v>
      </c>
      <c r="O2028" s="4">
        <v>0</v>
      </c>
      <c r="P2028" s="4">
        <v>8</v>
      </c>
      <c r="Q2028" s="4">
        <v>1</v>
      </c>
    </row>
    <row r="2029" spans="1:17" x14ac:dyDescent="0.25">
      <c r="A2029" s="3" t="s">
        <v>18</v>
      </c>
      <c r="B2029" s="3">
        <v>14522042</v>
      </c>
      <c r="C2029" s="3" t="s">
        <v>2072</v>
      </c>
      <c r="D2029" s="3" t="s">
        <v>20</v>
      </c>
      <c r="E2029" s="3" t="s">
        <v>21</v>
      </c>
      <c r="F2029" s="3" t="s">
        <v>21</v>
      </c>
      <c r="G2029" s="3" t="s">
        <v>22</v>
      </c>
      <c r="H2029" s="3" t="s">
        <v>23</v>
      </c>
      <c r="I2029" s="3" t="s">
        <v>24</v>
      </c>
      <c r="J2029" s="3" t="s">
        <v>24</v>
      </c>
      <c r="K2029" s="3" t="s">
        <v>25</v>
      </c>
      <c r="L2029" s="4">
        <v>0</v>
      </c>
      <c r="M2029" s="3" t="s">
        <v>26</v>
      </c>
      <c r="N2029" s="3" t="s">
        <v>24</v>
      </c>
      <c r="O2029" s="4">
        <v>0</v>
      </c>
      <c r="P2029" s="4">
        <v>4</v>
      </c>
      <c r="Q2029" s="4">
        <v>0</v>
      </c>
    </row>
    <row r="2030" spans="1:17" x14ac:dyDescent="0.25">
      <c r="A2030" s="3" t="s">
        <v>18</v>
      </c>
      <c r="B2030" s="3">
        <v>14526596</v>
      </c>
      <c r="C2030" s="3" t="s">
        <v>2073</v>
      </c>
      <c r="D2030" s="3" t="s">
        <v>1360</v>
      </c>
      <c r="E2030" s="3" t="s">
        <v>21</v>
      </c>
      <c r="F2030" s="3" t="s">
        <v>21</v>
      </c>
      <c r="G2030" s="3" t="s">
        <v>233</v>
      </c>
      <c r="H2030" s="3" t="s">
        <v>234</v>
      </c>
      <c r="I2030" s="3" t="s">
        <v>24</v>
      </c>
      <c r="J2030" s="3" t="s">
        <v>24</v>
      </c>
      <c r="K2030" s="3" t="s">
        <v>25</v>
      </c>
      <c r="L2030" s="4">
        <v>0</v>
      </c>
      <c r="M2030" s="3" t="s">
        <v>26</v>
      </c>
      <c r="N2030" s="3" t="s">
        <v>24</v>
      </c>
      <c r="O2030" s="4">
        <v>1</v>
      </c>
      <c r="P2030" s="4">
        <v>3</v>
      </c>
      <c r="Q2030" s="4">
        <v>1</v>
      </c>
    </row>
    <row r="2031" spans="1:17" x14ac:dyDescent="0.25">
      <c r="A2031" s="3" t="s">
        <v>18</v>
      </c>
      <c r="B2031" s="3">
        <v>14538017</v>
      </c>
      <c r="C2031" s="3" t="s">
        <v>2074</v>
      </c>
      <c r="D2031" s="3" t="s">
        <v>20</v>
      </c>
      <c r="E2031" s="3" t="s">
        <v>21</v>
      </c>
      <c r="F2031" s="3" t="s">
        <v>21</v>
      </c>
      <c r="G2031" s="3" t="s">
        <v>36</v>
      </c>
      <c r="H2031" s="3" t="s">
        <v>37</v>
      </c>
      <c r="I2031" s="3" t="s">
        <v>24</v>
      </c>
      <c r="J2031" s="3" t="s">
        <v>24</v>
      </c>
      <c r="K2031" s="3" t="s">
        <v>25</v>
      </c>
      <c r="L2031" s="4">
        <v>0</v>
      </c>
      <c r="M2031" s="3" t="s">
        <v>26</v>
      </c>
      <c r="N2031" s="3" t="s">
        <v>24</v>
      </c>
      <c r="O2031" s="4">
        <v>1</v>
      </c>
      <c r="P2031" s="4">
        <v>2</v>
      </c>
      <c r="Q2031" s="4">
        <v>1</v>
      </c>
    </row>
    <row r="2032" spans="1:17" x14ac:dyDescent="0.25">
      <c r="A2032" s="3" t="s">
        <v>18</v>
      </c>
      <c r="B2032" s="3">
        <v>14538183</v>
      </c>
      <c r="C2032" s="3" t="s">
        <v>2075</v>
      </c>
      <c r="D2032" s="3" t="s">
        <v>20</v>
      </c>
      <c r="E2032" s="3" t="s">
        <v>21</v>
      </c>
      <c r="F2032" s="3" t="s">
        <v>21</v>
      </c>
      <c r="G2032" s="3" t="s">
        <v>30</v>
      </c>
      <c r="H2032" s="3" t="s">
        <v>31</v>
      </c>
      <c r="I2032" s="3" t="s">
        <v>24</v>
      </c>
      <c r="J2032" s="3" t="s">
        <v>24</v>
      </c>
      <c r="K2032" s="3" t="s">
        <v>25</v>
      </c>
      <c r="L2032" s="4">
        <v>0</v>
      </c>
      <c r="M2032" s="3" t="s">
        <v>26</v>
      </c>
      <c r="N2032" s="3" t="s">
        <v>24</v>
      </c>
      <c r="O2032" s="4">
        <v>1</v>
      </c>
      <c r="P2032" s="4">
        <v>8</v>
      </c>
      <c r="Q2032" s="4">
        <v>0</v>
      </c>
    </row>
    <row r="2033" spans="1:17" x14ac:dyDescent="0.25">
      <c r="A2033" s="3" t="s">
        <v>18</v>
      </c>
      <c r="B2033" s="3">
        <v>14538184</v>
      </c>
      <c r="C2033" s="3" t="s">
        <v>2076</v>
      </c>
      <c r="D2033" s="3" t="s">
        <v>20</v>
      </c>
      <c r="E2033" s="3" t="s">
        <v>21</v>
      </c>
      <c r="F2033" s="3" t="s">
        <v>21</v>
      </c>
      <c r="G2033" s="3" t="s">
        <v>36</v>
      </c>
      <c r="H2033" s="3" t="s">
        <v>37</v>
      </c>
      <c r="I2033" s="3" t="s">
        <v>24</v>
      </c>
      <c r="J2033" s="3" t="s">
        <v>24</v>
      </c>
      <c r="K2033" s="3" t="s">
        <v>25</v>
      </c>
      <c r="L2033" s="4">
        <v>0</v>
      </c>
      <c r="M2033" s="3" t="s">
        <v>26</v>
      </c>
      <c r="N2033" s="3" t="s">
        <v>24</v>
      </c>
      <c r="O2033" s="4">
        <v>1</v>
      </c>
      <c r="P2033" s="4">
        <v>10</v>
      </c>
      <c r="Q2033" s="4">
        <v>1</v>
      </c>
    </row>
    <row r="2034" spans="1:17" x14ac:dyDescent="0.25">
      <c r="A2034" s="3" t="s">
        <v>18</v>
      </c>
      <c r="B2034" s="3">
        <v>14538792</v>
      </c>
      <c r="C2034" s="3" t="s">
        <v>2077</v>
      </c>
      <c r="D2034" s="3" t="s">
        <v>20</v>
      </c>
      <c r="E2034" s="3" t="s">
        <v>21</v>
      </c>
      <c r="F2034" s="3" t="s">
        <v>21</v>
      </c>
      <c r="G2034" s="3" t="s">
        <v>36</v>
      </c>
      <c r="H2034" s="3" t="s">
        <v>37</v>
      </c>
      <c r="I2034" s="3" t="s">
        <v>24</v>
      </c>
      <c r="J2034" s="3" t="s">
        <v>24</v>
      </c>
      <c r="K2034" s="3" t="s">
        <v>25</v>
      </c>
      <c r="L2034" s="4">
        <v>0</v>
      </c>
      <c r="M2034" s="3" t="s">
        <v>26</v>
      </c>
      <c r="N2034" s="3" t="s">
        <v>24</v>
      </c>
      <c r="O2034" s="4">
        <v>1</v>
      </c>
      <c r="P2034" s="4">
        <v>4</v>
      </c>
      <c r="Q2034" s="4">
        <v>1</v>
      </c>
    </row>
    <row r="2035" spans="1:17" x14ac:dyDescent="0.25">
      <c r="A2035" s="3" t="s">
        <v>18</v>
      </c>
      <c r="B2035" s="3">
        <v>14538838</v>
      </c>
      <c r="C2035" s="3" t="s">
        <v>2078</v>
      </c>
      <c r="D2035" s="3" t="s">
        <v>20</v>
      </c>
      <c r="E2035" s="3" t="s">
        <v>21</v>
      </c>
      <c r="F2035" s="3" t="s">
        <v>21</v>
      </c>
      <c r="G2035" s="3" t="s">
        <v>36</v>
      </c>
      <c r="H2035" s="3" t="s">
        <v>37</v>
      </c>
      <c r="I2035" s="3" t="s">
        <v>24</v>
      </c>
      <c r="J2035" s="3" t="s">
        <v>24</v>
      </c>
      <c r="K2035" s="3" t="s">
        <v>25</v>
      </c>
      <c r="L2035" s="4">
        <v>0</v>
      </c>
      <c r="M2035" s="3" t="s">
        <v>26</v>
      </c>
      <c r="N2035" s="3" t="s">
        <v>24</v>
      </c>
      <c r="O2035" s="4">
        <v>1</v>
      </c>
      <c r="P2035" s="4">
        <v>4</v>
      </c>
      <c r="Q2035" s="4">
        <v>1</v>
      </c>
    </row>
    <row r="2036" spans="1:17" x14ac:dyDescent="0.25">
      <c r="A2036" s="3" t="s">
        <v>18</v>
      </c>
      <c r="B2036" s="3">
        <v>14538839</v>
      </c>
      <c r="C2036" s="3" t="s">
        <v>2079</v>
      </c>
      <c r="D2036" s="3" t="s">
        <v>20</v>
      </c>
      <c r="E2036" s="3" t="s">
        <v>21</v>
      </c>
      <c r="F2036" s="3" t="s">
        <v>21</v>
      </c>
      <c r="G2036" s="3" t="s">
        <v>36</v>
      </c>
      <c r="H2036" s="3" t="s">
        <v>37</v>
      </c>
      <c r="I2036" s="3" t="s">
        <v>24</v>
      </c>
      <c r="J2036" s="3" t="s">
        <v>24</v>
      </c>
      <c r="K2036" s="3" t="s">
        <v>25</v>
      </c>
      <c r="L2036" s="4">
        <v>0</v>
      </c>
      <c r="M2036" s="3" t="s">
        <v>26</v>
      </c>
      <c r="N2036" s="3" t="s">
        <v>24</v>
      </c>
      <c r="O2036" s="4">
        <v>0</v>
      </c>
      <c r="P2036" s="4">
        <v>2</v>
      </c>
      <c r="Q2036" s="4">
        <v>0</v>
      </c>
    </row>
    <row r="2037" spans="1:17" x14ac:dyDescent="0.25">
      <c r="A2037" s="3" t="s">
        <v>18</v>
      </c>
      <c r="B2037" s="3">
        <v>14538842</v>
      </c>
      <c r="C2037" s="3" t="s">
        <v>2080</v>
      </c>
      <c r="D2037" s="3" t="s">
        <v>20</v>
      </c>
      <c r="E2037" s="3" t="s">
        <v>21</v>
      </c>
      <c r="F2037" s="3" t="s">
        <v>21</v>
      </c>
      <c r="G2037" s="3" t="s">
        <v>362</v>
      </c>
      <c r="H2037" s="3" t="s">
        <v>363</v>
      </c>
      <c r="I2037" s="3" t="s">
        <v>24</v>
      </c>
      <c r="J2037" s="3" t="s">
        <v>24</v>
      </c>
      <c r="K2037" s="3" t="s">
        <v>25</v>
      </c>
      <c r="L2037" s="4">
        <v>0</v>
      </c>
      <c r="M2037" s="3" t="s">
        <v>26</v>
      </c>
      <c r="N2037" s="3" t="s">
        <v>24</v>
      </c>
      <c r="O2037" s="4">
        <v>1</v>
      </c>
      <c r="P2037" s="4">
        <v>1</v>
      </c>
      <c r="Q2037" s="4">
        <v>1</v>
      </c>
    </row>
    <row r="2038" spans="1:17" x14ac:dyDescent="0.25">
      <c r="A2038" s="3" t="s">
        <v>18</v>
      </c>
      <c r="B2038" s="3">
        <v>14538843</v>
      </c>
      <c r="C2038" s="3" t="s">
        <v>2081</v>
      </c>
      <c r="D2038" s="3" t="s">
        <v>20</v>
      </c>
      <c r="E2038" s="3" t="s">
        <v>21</v>
      </c>
      <c r="F2038" s="3" t="s">
        <v>21</v>
      </c>
      <c r="G2038" s="3" t="s">
        <v>362</v>
      </c>
      <c r="H2038" s="3" t="s">
        <v>363</v>
      </c>
      <c r="I2038" s="3" t="s">
        <v>24</v>
      </c>
      <c r="J2038" s="3" t="s">
        <v>24</v>
      </c>
      <c r="K2038" s="3" t="s">
        <v>25</v>
      </c>
      <c r="L2038" s="4">
        <v>0</v>
      </c>
      <c r="M2038" s="3" t="s">
        <v>26</v>
      </c>
      <c r="N2038" s="3" t="s">
        <v>24</v>
      </c>
      <c r="O2038" s="4">
        <v>1</v>
      </c>
      <c r="P2038" s="4">
        <v>1</v>
      </c>
      <c r="Q2038" s="4">
        <v>1</v>
      </c>
    </row>
    <row r="2039" spans="1:17" x14ac:dyDescent="0.25">
      <c r="A2039" s="3" t="s">
        <v>18</v>
      </c>
      <c r="B2039" s="3">
        <v>14541095</v>
      </c>
      <c r="C2039" s="3" t="s">
        <v>2082</v>
      </c>
      <c r="D2039" s="3" t="s">
        <v>20</v>
      </c>
      <c r="E2039" s="3" t="s">
        <v>21</v>
      </c>
      <c r="F2039" s="3" t="s">
        <v>21</v>
      </c>
      <c r="G2039" s="3" t="s">
        <v>30</v>
      </c>
      <c r="H2039" s="3" t="s">
        <v>31</v>
      </c>
      <c r="I2039" s="3" t="s">
        <v>24</v>
      </c>
      <c r="J2039" s="3" t="s">
        <v>24</v>
      </c>
      <c r="K2039" s="3" t="s">
        <v>25</v>
      </c>
      <c r="L2039" s="4">
        <v>0</v>
      </c>
      <c r="M2039" s="3" t="s">
        <v>26</v>
      </c>
      <c r="N2039" s="3" t="s">
        <v>24</v>
      </c>
      <c r="O2039" s="4">
        <v>1</v>
      </c>
      <c r="P2039" s="4">
        <v>4</v>
      </c>
      <c r="Q2039" s="4">
        <v>1</v>
      </c>
    </row>
    <row r="2040" spans="1:17" x14ac:dyDescent="0.25">
      <c r="A2040" s="3" t="s">
        <v>18</v>
      </c>
      <c r="B2040" s="3">
        <v>14541535</v>
      </c>
      <c r="C2040" s="3" t="s">
        <v>2083</v>
      </c>
      <c r="D2040" s="3" t="s">
        <v>1360</v>
      </c>
      <c r="E2040" s="3" t="s">
        <v>21</v>
      </c>
      <c r="F2040" s="3" t="s">
        <v>21</v>
      </c>
      <c r="G2040" s="3" t="s">
        <v>233</v>
      </c>
      <c r="H2040" s="3" t="s">
        <v>234</v>
      </c>
      <c r="I2040" s="3" t="s">
        <v>24</v>
      </c>
      <c r="J2040" s="3" t="s">
        <v>24</v>
      </c>
      <c r="K2040" s="3" t="s">
        <v>25</v>
      </c>
      <c r="L2040" s="4">
        <v>0</v>
      </c>
      <c r="M2040" s="3" t="s">
        <v>26</v>
      </c>
      <c r="N2040" s="3" t="s">
        <v>24</v>
      </c>
      <c r="O2040" s="4">
        <v>0</v>
      </c>
      <c r="P2040" s="4">
        <v>3</v>
      </c>
      <c r="Q2040" s="4">
        <v>0</v>
      </c>
    </row>
    <row r="2041" spans="1:17" x14ac:dyDescent="0.25">
      <c r="A2041" s="3" t="s">
        <v>18</v>
      </c>
      <c r="B2041" s="3">
        <v>14557339</v>
      </c>
      <c r="C2041" s="3" t="s">
        <v>2084</v>
      </c>
      <c r="D2041" s="3" t="s">
        <v>1360</v>
      </c>
      <c r="E2041" s="3" t="s">
        <v>21</v>
      </c>
      <c r="F2041" s="3" t="s">
        <v>21</v>
      </c>
      <c r="G2041" s="3" t="s">
        <v>233</v>
      </c>
      <c r="H2041" s="3" t="s">
        <v>234</v>
      </c>
      <c r="I2041" s="3" t="s">
        <v>24</v>
      </c>
      <c r="J2041" s="3" t="s">
        <v>24</v>
      </c>
      <c r="K2041" s="3" t="s">
        <v>25</v>
      </c>
      <c r="L2041" s="4">
        <v>0</v>
      </c>
      <c r="M2041" s="3" t="s">
        <v>26</v>
      </c>
      <c r="N2041" s="3" t="s">
        <v>24</v>
      </c>
      <c r="O2041" s="4">
        <v>1</v>
      </c>
      <c r="P2041" s="4">
        <v>3</v>
      </c>
      <c r="Q2041" s="4">
        <v>1</v>
      </c>
    </row>
    <row r="2042" spans="1:17" x14ac:dyDescent="0.25">
      <c r="A2042" s="3" t="s">
        <v>18</v>
      </c>
      <c r="B2042" s="3">
        <v>14558292</v>
      </c>
      <c r="C2042" s="3" t="s">
        <v>2085</v>
      </c>
      <c r="D2042" s="3" t="s">
        <v>20</v>
      </c>
      <c r="E2042" s="3" t="s">
        <v>21</v>
      </c>
      <c r="F2042" s="3" t="s">
        <v>21</v>
      </c>
      <c r="G2042" s="3" t="s">
        <v>30</v>
      </c>
      <c r="H2042" s="3" t="s">
        <v>31</v>
      </c>
      <c r="I2042" s="3" t="s">
        <v>24</v>
      </c>
      <c r="J2042" s="3" t="s">
        <v>24</v>
      </c>
      <c r="K2042" s="3" t="s">
        <v>25</v>
      </c>
      <c r="L2042" s="4">
        <v>0</v>
      </c>
      <c r="M2042" s="3" t="s">
        <v>26</v>
      </c>
      <c r="N2042" s="3" t="s">
        <v>24</v>
      </c>
      <c r="O2042" s="4">
        <v>1</v>
      </c>
      <c r="P2042" s="4">
        <v>9</v>
      </c>
      <c r="Q2042" s="4">
        <v>1</v>
      </c>
    </row>
    <row r="2043" spans="1:17" x14ac:dyDescent="0.25">
      <c r="A2043" s="3" t="s">
        <v>18</v>
      </c>
      <c r="B2043" s="3">
        <v>14558796</v>
      </c>
      <c r="C2043" s="3" t="s">
        <v>2086</v>
      </c>
      <c r="D2043" s="3" t="s">
        <v>1360</v>
      </c>
      <c r="E2043" s="3" t="s">
        <v>21</v>
      </c>
      <c r="F2043" s="3" t="s">
        <v>21</v>
      </c>
      <c r="G2043" s="3" t="s">
        <v>477</v>
      </c>
      <c r="H2043" s="3" t="s">
        <v>478</v>
      </c>
      <c r="I2043" s="3" t="s">
        <v>24</v>
      </c>
      <c r="J2043" s="3" t="s">
        <v>24</v>
      </c>
      <c r="K2043" s="3" t="s">
        <v>25</v>
      </c>
      <c r="L2043" s="4">
        <v>0</v>
      </c>
      <c r="M2043" s="3" t="s">
        <v>26</v>
      </c>
      <c r="N2043" s="3" t="s">
        <v>24</v>
      </c>
      <c r="O2043" s="4">
        <v>1</v>
      </c>
      <c r="P2043" s="4">
        <v>1</v>
      </c>
      <c r="Q2043" s="4">
        <v>1</v>
      </c>
    </row>
    <row r="2044" spans="1:17" x14ac:dyDescent="0.25">
      <c r="A2044" s="3" t="s">
        <v>18</v>
      </c>
      <c r="B2044" s="3">
        <v>14579978</v>
      </c>
      <c r="C2044" s="3" t="s">
        <v>2087</v>
      </c>
      <c r="D2044" s="3" t="s">
        <v>20</v>
      </c>
      <c r="E2044" s="3" t="s">
        <v>21</v>
      </c>
      <c r="F2044" s="3" t="s">
        <v>21</v>
      </c>
      <c r="G2044" s="3" t="s">
        <v>42</v>
      </c>
      <c r="H2044" s="3" t="s">
        <v>43</v>
      </c>
      <c r="I2044" s="3" t="s">
        <v>24</v>
      </c>
      <c r="J2044" s="3" t="s">
        <v>24</v>
      </c>
      <c r="K2044" s="3" t="s">
        <v>25</v>
      </c>
      <c r="L2044" s="4">
        <v>0</v>
      </c>
      <c r="M2044" s="3" t="s">
        <v>26</v>
      </c>
      <c r="N2044" s="3" t="s">
        <v>24</v>
      </c>
      <c r="O2044" s="4">
        <v>0</v>
      </c>
      <c r="P2044" s="4">
        <v>8</v>
      </c>
      <c r="Q2044" s="4">
        <v>1</v>
      </c>
    </row>
    <row r="2045" spans="1:17" x14ac:dyDescent="0.25">
      <c r="A2045" s="3" t="s">
        <v>18</v>
      </c>
      <c r="B2045" s="3">
        <v>14585885</v>
      </c>
      <c r="C2045" s="3" t="s">
        <v>2088</v>
      </c>
      <c r="D2045" s="3" t="s">
        <v>20</v>
      </c>
      <c r="E2045" s="3" t="s">
        <v>21</v>
      </c>
      <c r="F2045" s="3" t="s">
        <v>21</v>
      </c>
      <c r="G2045" s="3" t="s">
        <v>410</v>
      </c>
      <c r="H2045" s="3" t="s">
        <v>411</v>
      </c>
      <c r="I2045" s="3" t="s">
        <v>24</v>
      </c>
      <c r="J2045" s="3" t="s">
        <v>24</v>
      </c>
      <c r="K2045" s="3" t="s">
        <v>25</v>
      </c>
      <c r="L2045" s="4">
        <v>0</v>
      </c>
      <c r="M2045" s="3" t="s">
        <v>26</v>
      </c>
      <c r="N2045" s="3" t="s">
        <v>24</v>
      </c>
      <c r="O2045" s="4">
        <v>1</v>
      </c>
      <c r="P2045" s="4">
        <v>10</v>
      </c>
      <c r="Q2045" s="4">
        <v>1</v>
      </c>
    </row>
    <row r="2046" spans="1:17" x14ac:dyDescent="0.25">
      <c r="A2046" s="3" t="s">
        <v>18</v>
      </c>
      <c r="B2046" s="3">
        <v>14586834</v>
      </c>
      <c r="C2046" s="3" t="s">
        <v>2089</v>
      </c>
      <c r="D2046" s="3" t="s">
        <v>1360</v>
      </c>
      <c r="E2046" s="3" t="s">
        <v>21</v>
      </c>
      <c r="F2046" s="3" t="s">
        <v>21</v>
      </c>
      <c r="G2046" s="3" t="s">
        <v>233</v>
      </c>
      <c r="H2046" s="3" t="s">
        <v>234</v>
      </c>
      <c r="I2046" s="3" t="s">
        <v>24</v>
      </c>
      <c r="J2046" s="3" t="s">
        <v>24</v>
      </c>
      <c r="K2046" s="3" t="s">
        <v>25</v>
      </c>
      <c r="L2046" s="4">
        <v>0</v>
      </c>
      <c r="M2046" s="3" t="s">
        <v>26</v>
      </c>
      <c r="N2046" s="3" t="s">
        <v>24</v>
      </c>
      <c r="O2046" s="4">
        <v>1</v>
      </c>
      <c r="P2046" s="4">
        <v>3</v>
      </c>
      <c r="Q2046" s="4">
        <v>1</v>
      </c>
    </row>
    <row r="2047" spans="1:17" x14ac:dyDescent="0.25">
      <c r="A2047" s="3" t="s">
        <v>18</v>
      </c>
      <c r="B2047" s="3">
        <v>14609374</v>
      </c>
      <c r="C2047" s="3" t="s">
        <v>2090</v>
      </c>
      <c r="D2047" s="3" t="s">
        <v>20</v>
      </c>
      <c r="E2047" s="3" t="s">
        <v>21</v>
      </c>
      <c r="F2047" s="3" t="s">
        <v>21</v>
      </c>
      <c r="G2047" s="3" t="s">
        <v>410</v>
      </c>
      <c r="H2047" s="3" t="s">
        <v>411</v>
      </c>
      <c r="I2047" s="3" t="s">
        <v>24</v>
      </c>
      <c r="J2047" s="3" t="s">
        <v>24</v>
      </c>
      <c r="K2047" s="3" t="s">
        <v>25</v>
      </c>
      <c r="L2047" s="4">
        <v>0</v>
      </c>
      <c r="M2047" s="3" t="s">
        <v>26</v>
      </c>
      <c r="N2047" s="3" t="s">
        <v>24</v>
      </c>
      <c r="O2047" s="4">
        <v>1</v>
      </c>
      <c r="P2047" s="4">
        <v>8</v>
      </c>
      <c r="Q2047" s="4">
        <v>1</v>
      </c>
    </row>
    <row r="2048" spans="1:17" x14ac:dyDescent="0.25">
      <c r="A2048" s="3" t="s">
        <v>18</v>
      </c>
      <c r="B2048" s="3">
        <v>14609458</v>
      </c>
      <c r="C2048" s="3" t="s">
        <v>2091</v>
      </c>
      <c r="D2048" s="3" t="s">
        <v>20</v>
      </c>
      <c r="E2048" s="3" t="s">
        <v>21</v>
      </c>
      <c r="F2048" s="3" t="s">
        <v>21</v>
      </c>
      <c r="G2048" s="3" t="s">
        <v>410</v>
      </c>
      <c r="H2048" s="3" t="s">
        <v>411</v>
      </c>
      <c r="I2048" s="3" t="s">
        <v>24</v>
      </c>
      <c r="J2048" s="3" t="s">
        <v>24</v>
      </c>
      <c r="K2048" s="3" t="s">
        <v>25</v>
      </c>
      <c r="L2048" s="4">
        <v>0</v>
      </c>
      <c r="M2048" s="3" t="s">
        <v>26</v>
      </c>
      <c r="N2048" s="3" t="s">
        <v>24</v>
      </c>
      <c r="O2048" s="4">
        <v>1</v>
      </c>
      <c r="P2048" s="4">
        <v>8</v>
      </c>
      <c r="Q2048" s="4">
        <v>1</v>
      </c>
    </row>
    <row r="2049" spans="1:17" x14ac:dyDescent="0.25">
      <c r="A2049" s="3" t="s">
        <v>18</v>
      </c>
      <c r="B2049" s="3">
        <v>14609460</v>
      </c>
      <c r="C2049" s="3" t="s">
        <v>2092</v>
      </c>
      <c r="D2049" s="3" t="s">
        <v>20</v>
      </c>
      <c r="E2049" s="3" t="s">
        <v>21</v>
      </c>
      <c r="F2049" s="3" t="s">
        <v>21</v>
      </c>
      <c r="G2049" s="3" t="s">
        <v>410</v>
      </c>
      <c r="H2049" s="3" t="s">
        <v>411</v>
      </c>
      <c r="I2049" s="3" t="s">
        <v>24</v>
      </c>
      <c r="J2049" s="3" t="s">
        <v>24</v>
      </c>
      <c r="K2049" s="3" t="s">
        <v>25</v>
      </c>
      <c r="L2049" s="4">
        <v>0</v>
      </c>
      <c r="M2049" s="3" t="s">
        <v>26</v>
      </c>
      <c r="N2049" s="3" t="s">
        <v>24</v>
      </c>
      <c r="O2049" s="4">
        <v>1</v>
      </c>
      <c r="P2049" s="4">
        <v>8</v>
      </c>
      <c r="Q2049" s="4">
        <v>1</v>
      </c>
    </row>
    <row r="2050" spans="1:17" x14ac:dyDescent="0.25">
      <c r="A2050" s="3" t="s">
        <v>18</v>
      </c>
      <c r="B2050" s="3">
        <v>14609464</v>
      </c>
      <c r="C2050" s="3" t="s">
        <v>2093</v>
      </c>
      <c r="D2050" s="3" t="s">
        <v>20</v>
      </c>
      <c r="E2050" s="3" t="s">
        <v>21</v>
      </c>
      <c r="F2050" s="3" t="s">
        <v>21</v>
      </c>
      <c r="G2050" s="3" t="s">
        <v>410</v>
      </c>
      <c r="H2050" s="3" t="s">
        <v>411</v>
      </c>
      <c r="I2050" s="3" t="s">
        <v>24</v>
      </c>
      <c r="J2050" s="3" t="s">
        <v>24</v>
      </c>
      <c r="K2050" s="3" t="s">
        <v>25</v>
      </c>
      <c r="L2050" s="4">
        <v>0</v>
      </c>
      <c r="M2050" s="3" t="s">
        <v>26</v>
      </c>
      <c r="N2050" s="3" t="s">
        <v>24</v>
      </c>
      <c r="O2050" s="4">
        <v>1</v>
      </c>
      <c r="P2050" s="4">
        <v>8</v>
      </c>
      <c r="Q2050" s="4">
        <v>1</v>
      </c>
    </row>
    <row r="2051" spans="1:17" x14ac:dyDescent="0.25">
      <c r="A2051" s="3" t="s">
        <v>18</v>
      </c>
      <c r="B2051" s="3">
        <v>14623444</v>
      </c>
      <c r="C2051" s="3" t="s">
        <v>2094</v>
      </c>
      <c r="D2051" s="3" t="s">
        <v>20</v>
      </c>
      <c r="E2051" s="3" t="s">
        <v>21</v>
      </c>
      <c r="F2051" s="3" t="s">
        <v>21</v>
      </c>
      <c r="G2051" s="3" t="s">
        <v>233</v>
      </c>
      <c r="H2051" s="3" t="s">
        <v>234</v>
      </c>
      <c r="I2051" s="3" t="s">
        <v>24</v>
      </c>
      <c r="J2051" s="3" t="s">
        <v>24</v>
      </c>
      <c r="K2051" s="3" t="s">
        <v>25</v>
      </c>
      <c r="L2051" s="4">
        <v>0</v>
      </c>
      <c r="M2051" s="3" t="s">
        <v>26</v>
      </c>
      <c r="N2051" s="3" t="s">
        <v>24</v>
      </c>
      <c r="O2051" s="4">
        <v>1</v>
      </c>
      <c r="P2051" s="4">
        <v>3</v>
      </c>
      <c r="Q2051" s="4">
        <v>1</v>
      </c>
    </row>
    <row r="2052" spans="1:17" x14ac:dyDescent="0.25">
      <c r="A2052" s="3" t="s">
        <v>18</v>
      </c>
      <c r="B2052" s="3">
        <v>14623568</v>
      </c>
      <c r="C2052" s="3" t="s">
        <v>2095</v>
      </c>
      <c r="D2052" s="3" t="s">
        <v>20</v>
      </c>
      <c r="E2052" s="3" t="s">
        <v>21</v>
      </c>
      <c r="F2052" s="3" t="s">
        <v>21</v>
      </c>
      <c r="G2052" s="3" t="s">
        <v>410</v>
      </c>
      <c r="H2052" s="3" t="s">
        <v>411</v>
      </c>
      <c r="I2052" s="3" t="s">
        <v>24</v>
      </c>
      <c r="J2052" s="3" t="s">
        <v>24</v>
      </c>
      <c r="K2052" s="3" t="s">
        <v>25</v>
      </c>
      <c r="L2052" s="4">
        <v>0</v>
      </c>
      <c r="M2052" s="3" t="s">
        <v>26</v>
      </c>
      <c r="N2052" s="3" t="s">
        <v>24</v>
      </c>
      <c r="O2052" s="4">
        <v>1</v>
      </c>
      <c r="P2052" s="4">
        <v>2</v>
      </c>
      <c r="Q2052" s="4">
        <v>1</v>
      </c>
    </row>
    <row r="2053" spans="1:17" x14ac:dyDescent="0.25">
      <c r="A2053" s="3" t="s">
        <v>18</v>
      </c>
      <c r="B2053" s="3">
        <v>14629341</v>
      </c>
      <c r="C2053" s="3" t="s">
        <v>2096</v>
      </c>
      <c r="D2053" s="3" t="s">
        <v>1360</v>
      </c>
      <c r="E2053" s="3" t="s">
        <v>21</v>
      </c>
      <c r="F2053" s="3" t="s">
        <v>21</v>
      </c>
      <c r="G2053" s="3" t="s">
        <v>233</v>
      </c>
      <c r="H2053" s="3" t="s">
        <v>234</v>
      </c>
      <c r="I2053" s="3" t="s">
        <v>24</v>
      </c>
      <c r="J2053" s="3" t="s">
        <v>24</v>
      </c>
      <c r="K2053" s="3" t="s">
        <v>25</v>
      </c>
      <c r="L2053" s="4">
        <v>0</v>
      </c>
      <c r="M2053" s="3" t="s">
        <v>26</v>
      </c>
      <c r="N2053" s="3" t="s">
        <v>24</v>
      </c>
      <c r="O2053" s="4">
        <v>1</v>
      </c>
      <c r="P2053" s="4">
        <v>3</v>
      </c>
      <c r="Q2053" s="4">
        <v>1</v>
      </c>
    </row>
    <row r="2054" spans="1:17" x14ac:dyDescent="0.25">
      <c r="A2054" s="3" t="s">
        <v>18</v>
      </c>
      <c r="B2054" s="3">
        <v>14676621</v>
      </c>
      <c r="C2054" s="3" t="s">
        <v>2097</v>
      </c>
      <c r="D2054" s="3" t="s">
        <v>20</v>
      </c>
      <c r="E2054" s="3" t="s">
        <v>21</v>
      </c>
      <c r="F2054" s="3" t="s">
        <v>21</v>
      </c>
      <c r="G2054" s="3" t="s">
        <v>36</v>
      </c>
      <c r="H2054" s="3" t="s">
        <v>37</v>
      </c>
      <c r="I2054" s="3" t="s">
        <v>24</v>
      </c>
      <c r="J2054" s="3" t="s">
        <v>24</v>
      </c>
      <c r="K2054" s="3" t="s">
        <v>25</v>
      </c>
      <c r="L2054" s="4">
        <v>0</v>
      </c>
      <c r="M2054" s="3" t="s">
        <v>26</v>
      </c>
      <c r="N2054" s="3" t="s">
        <v>24</v>
      </c>
      <c r="O2054" s="4">
        <v>0</v>
      </c>
      <c r="P2054" s="4">
        <v>3</v>
      </c>
      <c r="Q2054" s="4">
        <v>0</v>
      </c>
    </row>
    <row r="2055" spans="1:17" x14ac:dyDescent="0.25">
      <c r="A2055" s="3" t="s">
        <v>18</v>
      </c>
      <c r="B2055" s="3">
        <v>14677553</v>
      </c>
      <c r="C2055" s="3" t="s">
        <v>2098</v>
      </c>
      <c r="D2055" s="3" t="s">
        <v>20</v>
      </c>
      <c r="E2055" s="3" t="s">
        <v>21</v>
      </c>
      <c r="F2055" s="3" t="s">
        <v>21</v>
      </c>
      <c r="G2055" s="3" t="s">
        <v>36</v>
      </c>
      <c r="H2055" s="3" t="s">
        <v>37</v>
      </c>
      <c r="I2055" s="3" t="s">
        <v>24</v>
      </c>
      <c r="J2055" s="3" t="s">
        <v>24</v>
      </c>
      <c r="K2055" s="3" t="s">
        <v>25</v>
      </c>
      <c r="L2055" s="4">
        <v>0</v>
      </c>
      <c r="M2055" s="3" t="s">
        <v>26</v>
      </c>
      <c r="N2055" s="3" t="s">
        <v>24</v>
      </c>
      <c r="O2055" s="4">
        <v>0</v>
      </c>
      <c r="P2055" s="4">
        <v>4</v>
      </c>
      <c r="Q2055" s="4">
        <v>0</v>
      </c>
    </row>
    <row r="2056" spans="1:17" x14ac:dyDescent="0.25">
      <c r="A2056" s="3" t="s">
        <v>18</v>
      </c>
      <c r="B2056" s="3">
        <v>14677580</v>
      </c>
      <c r="C2056" s="3" t="s">
        <v>2099</v>
      </c>
      <c r="D2056" s="3" t="s">
        <v>20</v>
      </c>
      <c r="E2056" s="3" t="s">
        <v>21</v>
      </c>
      <c r="F2056" s="3" t="s">
        <v>21</v>
      </c>
      <c r="G2056" s="3" t="s">
        <v>362</v>
      </c>
      <c r="H2056" s="3" t="s">
        <v>363</v>
      </c>
      <c r="I2056" s="3" t="s">
        <v>24</v>
      </c>
      <c r="J2056" s="3" t="s">
        <v>24</v>
      </c>
      <c r="K2056" s="3" t="s">
        <v>25</v>
      </c>
      <c r="L2056" s="4">
        <v>0</v>
      </c>
      <c r="M2056" s="3" t="s">
        <v>26</v>
      </c>
      <c r="N2056" s="3" t="s">
        <v>24</v>
      </c>
      <c r="O2056" s="4">
        <v>1</v>
      </c>
      <c r="P2056" s="4">
        <v>1</v>
      </c>
      <c r="Q2056" s="4">
        <v>1</v>
      </c>
    </row>
    <row r="2057" spans="1:17" x14ac:dyDescent="0.25">
      <c r="A2057" s="3" t="s">
        <v>18</v>
      </c>
      <c r="B2057" s="3">
        <v>14688032</v>
      </c>
      <c r="C2057" s="3" t="s">
        <v>2100</v>
      </c>
      <c r="D2057" s="3" t="s">
        <v>20</v>
      </c>
      <c r="E2057" s="3" t="s">
        <v>21</v>
      </c>
      <c r="F2057" s="3" t="s">
        <v>21</v>
      </c>
      <c r="G2057" s="3" t="s">
        <v>233</v>
      </c>
      <c r="H2057" s="3" t="s">
        <v>234</v>
      </c>
      <c r="I2057" s="3" t="s">
        <v>24</v>
      </c>
      <c r="J2057" s="3" t="s">
        <v>24</v>
      </c>
      <c r="K2057" s="3" t="s">
        <v>25</v>
      </c>
      <c r="L2057" s="4">
        <v>0</v>
      </c>
      <c r="M2057" s="3" t="s">
        <v>26</v>
      </c>
      <c r="N2057" s="3" t="s">
        <v>24</v>
      </c>
      <c r="O2057" s="4">
        <v>1</v>
      </c>
      <c r="P2057" s="4">
        <v>3</v>
      </c>
      <c r="Q2057" s="4">
        <v>1</v>
      </c>
    </row>
    <row r="2058" spans="1:17" x14ac:dyDescent="0.25">
      <c r="A2058" s="3" t="s">
        <v>18</v>
      </c>
      <c r="B2058" s="3">
        <v>14693007</v>
      </c>
      <c r="C2058" s="3" t="s">
        <v>2101</v>
      </c>
      <c r="D2058" s="3" t="s">
        <v>20</v>
      </c>
      <c r="E2058" s="3" t="s">
        <v>21</v>
      </c>
      <c r="F2058" s="3" t="s">
        <v>21</v>
      </c>
      <c r="G2058" s="3" t="s">
        <v>42</v>
      </c>
      <c r="H2058" s="3" t="s">
        <v>43</v>
      </c>
      <c r="I2058" s="3" t="s">
        <v>24</v>
      </c>
      <c r="J2058" s="3" t="s">
        <v>24</v>
      </c>
      <c r="K2058" s="3" t="s">
        <v>25</v>
      </c>
      <c r="L2058" s="4">
        <v>0</v>
      </c>
      <c r="M2058" s="3" t="s">
        <v>26</v>
      </c>
      <c r="N2058" s="3" t="s">
        <v>24</v>
      </c>
      <c r="O2058" s="4">
        <v>0</v>
      </c>
      <c r="P2058" s="4">
        <v>8</v>
      </c>
      <c r="Q2058" s="4">
        <v>1</v>
      </c>
    </row>
    <row r="2059" spans="1:17" x14ac:dyDescent="0.25">
      <c r="A2059" s="3" t="s">
        <v>18</v>
      </c>
      <c r="B2059" s="3">
        <v>14704288</v>
      </c>
      <c r="C2059" s="3" t="s">
        <v>2102</v>
      </c>
      <c r="D2059" s="3" t="s">
        <v>20</v>
      </c>
      <c r="E2059" s="3" t="s">
        <v>21</v>
      </c>
      <c r="F2059" s="3" t="s">
        <v>21</v>
      </c>
      <c r="G2059" s="3" t="s">
        <v>30</v>
      </c>
      <c r="H2059" s="3" t="s">
        <v>31</v>
      </c>
      <c r="I2059" s="3" t="s">
        <v>24</v>
      </c>
      <c r="J2059" s="3" t="s">
        <v>24</v>
      </c>
      <c r="K2059" s="3" t="s">
        <v>25</v>
      </c>
      <c r="L2059" s="4">
        <v>0</v>
      </c>
      <c r="M2059" s="3" t="s">
        <v>26</v>
      </c>
      <c r="N2059" s="3" t="s">
        <v>24</v>
      </c>
      <c r="O2059" s="4">
        <v>1</v>
      </c>
      <c r="P2059" s="4">
        <v>4</v>
      </c>
      <c r="Q2059" s="4">
        <v>1</v>
      </c>
    </row>
    <row r="2060" spans="1:17" x14ac:dyDescent="0.25">
      <c r="A2060" s="3" t="s">
        <v>18</v>
      </c>
      <c r="B2060" s="3">
        <v>14745109</v>
      </c>
      <c r="C2060" s="3" t="s">
        <v>2103</v>
      </c>
      <c r="D2060" s="3" t="s">
        <v>1360</v>
      </c>
      <c r="E2060" s="3" t="s">
        <v>21</v>
      </c>
      <c r="F2060" s="3" t="s">
        <v>21</v>
      </c>
      <c r="G2060" s="3" t="s">
        <v>233</v>
      </c>
      <c r="H2060" s="3" t="s">
        <v>234</v>
      </c>
      <c r="I2060" s="3" t="s">
        <v>24</v>
      </c>
      <c r="J2060" s="3" t="s">
        <v>24</v>
      </c>
      <c r="K2060" s="3" t="s">
        <v>25</v>
      </c>
      <c r="L2060" s="4">
        <v>0</v>
      </c>
      <c r="M2060" s="3" t="s">
        <v>26</v>
      </c>
      <c r="N2060" s="3" t="s">
        <v>24</v>
      </c>
      <c r="O2060" s="4">
        <v>1</v>
      </c>
      <c r="P2060" s="4">
        <v>3</v>
      </c>
      <c r="Q2060" s="4">
        <v>1</v>
      </c>
    </row>
    <row r="2061" spans="1:17" x14ac:dyDescent="0.25">
      <c r="A2061" s="3" t="s">
        <v>18</v>
      </c>
      <c r="B2061" s="3">
        <v>14747077</v>
      </c>
      <c r="C2061" s="3" t="s">
        <v>2104</v>
      </c>
      <c r="D2061" s="3" t="s">
        <v>20</v>
      </c>
      <c r="E2061" s="3" t="s">
        <v>21</v>
      </c>
      <c r="F2061" s="3" t="s">
        <v>21</v>
      </c>
      <c r="G2061" s="3" t="s">
        <v>36</v>
      </c>
      <c r="H2061" s="3" t="s">
        <v>37</v>
      </c>
      <c r="I2061" s="3" t="s">
        <v>24</v>
      </c>
      <c r="J2061" s="3" t="s">
        <v>24</v>
      </c>
      <c r="K2061" s="3" t="s">
        <v>25</v>
      </c>
      <c r="L2061" s="4">
        <v>0</v>
      </c>
      <c r="M2061" s="3" t="s">
        <v>26</v>
      </c>
      <c r="N2061" s="3" t="s">
        <v>24</v>
      </c>
      <c r="O2061" s="4">
        <v>0</v>
      </c>
      <c r="P2061" s="4">
        <v>4</v>
      </c>
      <c r="Q2061" s="4">
        <v>0</v>
      </c>
    </row>
    <row r="2062" spans="1:17" x14ac:dyDescent="0.25">
      <c r="A2062" s="3" t="s">
        <v>18</v>
      </c>
      <c r="B2062" s="3">
        <v>14762703</v>
      </c>
      <c r="C2062" s="3" t="s">
        <v>2105</v>
      </c>
      <c r="D2062" s="3" t="s">
        <v>1360</v>
      </c>
      <c r="E2062" s="3" t="s">
        <v>21</v>
      </c>
      <c r="F2062" s="3" t="s">
        <v>21</v>
      </c>
      <c r="G2062" s="3" t="s">
        <v>233</v>
      </c>
      <c r="H2062" s="3" t="s">
        <v>234</v>
      </c>
      <c r="I2062" s="3" t="s">
        <v>24</v>
      </c>
      <c r="J2062" s="3" t="s">
        <v>24</v>
      </c>
      <c r="K2062" s="3" t="s">
        <v>25</v>
      </c>
      <c r="L2062" s="4">
        <v>0</v>
      </c>
      <c r="M2062" s="3" t="s">
        <v>26</v>
      </c>
      <c r="N2062" s="3" t="s">
        <v>24</v>
      </c>
      <c r="O2062" s="4">
        <v>1</v>
      </c>
      <c r="P2062" s="4">
        <v>3</v>
      </c>
      <c r="Q2062" s="4">
        <v>1</v>
      </c>
    </row>
    <row r="2063" spans="1:17" x14ac:dyDescent="0.25">
      <c r="A2063" s="3" t="s">
        <v>18</v>
      </c>
      <c r="B2063" s="3">
        <v>14763819</v>
      </c>
      <c r="C2063" s="3" t="s">
        <v>2106</v>
      </c>
      <c r="D2063" s="3" t="s">
        <v>1360</v>
      </c>
      <c r="E2063" s="3" t="s">
        <v>21</v>
      </c>
      <c r="F2063" s="3" t="s">
        <v>21</v>
      </c>
      <c r="G2063" s="3" t="s">
        <v>233</v>
      </c>
      <c r="H2063" s="3" t="s">
        <v>234</v>
      </c>
      <c r="I2063" s="3" t="s">
        <v>24</v>
      </c>
      <c r="J2063" s="3" t="s">
        <v>24</v>
      </c>
      <c r="K2063" s="3" t="s">
        <v>25</v>
      </c>
      <c r="L2063" s="4">
        <v>0</v>
      </c>
      <c r="M2063" s="3" t="s">
        <v>26</v>
      </c>
      <c r="N2063" s="3" t="s">
        <v>24</v>
      </c>
      <c r="O2063" s="4">
        <v>1</v>
      </c>
      <c r="P2063" s="4">
        <v>3</v>
      </c>
      <c r="Q2063" s="4">
        <v>1</v>
      </c>
    </row>
    <row r="2064" spans="1:17" x14ac:dyDescent="0.25">
      <c r="A2064" s="3" t="s">
        <v>18</v>
      </c>
      <c r="B2064" s="3">
        <v>14764545</v>
      </c>
      <c r="C2064" s="3" t="s">
        <v>2107</v>
      </c>
      <c r="D2064" s="3" t="s">
        <v>1360</v>
      </c>
      <c r="E2064" s="3" t="s">
        <v>21</v>
      </c>
      <c r="F2064" s="3" t="s">
        <v>21</v>
      </c>
      <c r="G2064" s="3" t="s">
        <v>36</v>
      </c>
      <c r="H2064" s="3" t="s">
        <v>37</v>
      </c>
      <c r="I2064" s="3" t="s">
        <v>24</v>
      </c>
      <c r="J2064" s="3" t="s">
        <v>24</v>
      </c>
      <c r="K2064" s="3" t="s">
        <v>25</v>
      </c>
      <c r="L2064" s="4">
        <v>0</v>
      </c>
      <c r="M2064" s="3" t="s">
        <v>26</v>
      </c>
      <c r="N2064" s="3" t="s">
        <v>24</v>
      </c>
      <c r="O2064" s="4">
        <v>0</v>
      </c>
      <c r="P2064" s="4">
        <v>10</v>
      </c>
      <c r="Q2064" s="4">
        <v>0</v>
      </c>
    </row>
    <row r="2065" spans="1:17" x14ac:dyDescent="0.25">
      <c r="A2065" s="3" t="s">
        <v>18</v>
      </c>
      <c r="B2065" s="3">
        <v>14803481</v>
      </c>
      <c r="C2065" s="3" t="s">
        <v>2108</v>
      </c>
      <c r="D2065" s="3" t="s">
        <v>20</v>
      </c>
      <c r="E2065" s="3" t="s">
        <v>21</v>
      </c>
      <c r="F2065" s="3" t="s">
        <v>21</v>
      </c>
      <c r="G2065" s="3" t="s">
        <v>36</v>
      </c>
      <c r="H2065" s="3" t="s">
        <v>37</v>
      </c>
      <c r="I2065" s="3" t="s">
        <v>24</v>
      </c>
      <c r="J2065" s="3" t="s">
        <v>24</v>
      </c>
      <c r="K2065" s="3" t="s">
        <v>25</v>
      </c>
      <c r="L2065" s="4">
        <v>0</v>
      </c>
      <c r="M2065" s="3" t="s">
        <v>26</v>
      </c>
      <c r="N2065" s="3" t="s">
        <v>24</v>
      </c>
      <c r="O2065" s="4">
        <v>0</v>
      </c>
      <c r="P2065" s="4">
        <v>10</v>
      </c>
      <c r="Q2065" s="4">
        <v>0</v>
      </c>
    </row>
    <row r="2066" spans="1:17" x14ac:dyDescent="0.25">
      <c r="A2066" s="3" t="s">
        <v>18</v>
      </c>
      <c r="B2066" s="3">
        <v>14803482</v>
      </c>
      <c r="C2066" s="3" t="s">
        <v>2109</v>
      </c>
      <c r="D2066" s="3" t="s">
        <v>20</v>
      </c>
      <c r="E2066" s="3" t="s">
        <v>21</v>
      </c>
      <c r="F2066" s="3" t="s">
        <v>21</v>
      </c>
      <c r="G2066" s="3" t="s">
        <v>36</v>
      </c>
      <c r="H2066" s="3" t="s">
        <v>37</v>
      </c>
      <c r="I2066" s="3" t="s">
        <v>24</v>
      </c>
      <c r="J2066" s="3" t="s">
        <v>24</v>
      </c>
      <c r="K2066" s="3" t="s">
        <v>25</v>
      </c>
      <c r="L2066" s="4">
        <v>0</v>
      </c>
      <c r="M2066" s="3" t="s">
        <v>26</v>
      </c>
      <c r="N2066" s="3" t="s">
        <v>24</v>
      </c>
      <c r="O2066" s="4">
        <v>1</v>
      </c>
      <c r="P2066" s="4">
        <v>10</v>
      </c>
      <c r="Q2066" s="4">
        <v>1</v>
      </c>
    </row>
    <row r="2067" spans="1:17" x14ac:dyDescent="0.25">
      <c r="A2067" s="3" t="s">
        <v>18</v>
      </c>
      <c r="B2067" s="3">
        <v>14803484</v>
      </c>
      <c r="C2067" s="3" t="s">
        <v>2110</v>
      </c>
      <c r="D2067" s="3" t="s">
        <v>20</v>
      </c>
      <c r="E2067" s="3" t="s">
        <v>21</v>
      </c>
      <c r="F2067" s="3" t="s">
        <v>21</v>
      </c>
      <c r="G2067" s="3" t="s">
        <v>36</v>
      </c>
      <c r="H2067" s="3" t="s">
        <v>37</v>
      </c>
      <c r="I2067" s="3" t="s">
        <v>24</v>
      </c>
      <c r="J2067" s="3" t="s">
        <v>24</v>
      </c>
      <c r="K2067" s="3" t="s">
        <v>25</v>
      </c>
      <c r="L2067" s="4">
        <v>0</v>
      </c>
      <c r="M2067" s="3" t="s">
        <v>26</v>
      </c>
      <c r="N2067" s="3" t="s">
        <v>24</v>
      </c>
      <c r="O2067" s="4">
        <v>0</v>
      </c>
      <c r="P2067" s="4">
        <v>10</v>
      </c>
      <c r="Q2067" s="4">
        <v>0</v>
      </c>
    </row>
    <row r="2068" spans="1:17" x14ac:dyDescent="0.25">
      <c r="A2068" s="3" t="s">
        <v>18</v>
      </c>
      <c r="B2068" s="3">
        <v>14803485</v>
      </c>
      <c r="C2068" s="3" t="s">
        <v>2111</v>
      </c>
      <c r="D2068" s="3" t="s">
        <v>20</v>
      </c>
      <c r="E2068" s="3" t="s">
        <v>21</v>
      </c>
      <c r="F2068" s="3" t="s">
        <v>21</v>
      </c>
      <c r="G2068" s="3" t="s">
        <v>36</v>
      </c>
      <c r="H2068" s="3" t="s">
        <v>37</v>
      </c>
      <c r="I2068" s="3" t="s">
        <v>24</v>
      </c>
      <c r="J2068" s="3" t="s">
        <v>24</v>
      </c>
      <c r="K2068" s="3" t="s">
        <v>25</v>
      </c>
      <c r="L2068" s="4">
        <v>0</v>
      </c>
      <c r="M2068" s="3" t="s">
        <v>26</v>
      </c>
      <c r="N2068" s="3" t="s">
        <v>24</v>
      </c>
      <c r="O2068" s="4">
        <v>1</v>
      </c>
      <c r="P2068" s="4">
        <v>10</v>
      </c>
      <c r="Q2068" s="4">
        <v>1</v>
      </c>
    </row>
    <row r="2069" spans="1:17" x14ac:dyDescent="0.25">
      <c r="A2069" s="3" t="s">
        <v>18</v>
      </c>
      <c r="B2069" s="3">
        <v>14803486</v>
      </c>
      <c r="C2069" s="3" t="s">
        <v>2112</v>
      </c>
      <c r="D2069" s="3" t="s">
        <v>20</v>
      </c>
      <c r="E2069" s="3" t="s">
        <v>21</v>
      </c>
      <c r="F2069" s="3" t="s">
        <v>21</v>
      </c>
      <c r="G2069" s="3" t="s">
        <v>36</v>
      </c>
      <c r="H2069" s="3" t="s">
        <v>37</v>
      </c>
      <c r="I2069" s="3" t="s">
        <v>24</v>
      </c>
      <c r="J2069" s="3" t="s">
        <v>24</v>
      </c>
      <c r="K2069" s="3" t="s">
        <v>25</v>
      </c>
      <c r="L2069" s="4">
        <v>0</v>
      </c>
      <c r="M2069" s="3" t="s">
        <v>26</v>
      </c>
      <c r="N2069" s="3" t="s">
        <v>24</v>
      </c>
      <c r="O2069" s="4">
        <v>0</v>
      </c>
      <c r="P2069" s="4">
        <v>10</v>
      </c>
      <c r="Q2069" s="4">
        <v>0</v>
      </c>
    </row>
    <row r="2070" spans="1:17" x14ac:dyDescent="0.25">
      <c r="A2070" s="3" t="s">
        <v>18</v>
      </c>
      <c r="B2070" s="3">
        <v>14803628</v>
      </c>
      <c r="C2070" s="3" t="s">
        <v>2113</v>
      </c>
      <c r="D2070" s="3" t="s">
        <v>20</v>
      </c>
      <c r="E2070" s="3" t="s">
        <v>21</v>
      </c>
      <c r="F2070" s="3" t="s">
        <v>21</v>
      </c>
      <c r="G2070" s="3" t="s">
        <v>36</v>
      </c>
      <c r="H2070" s="3" t="s">
        <v>37</v>
      </c>
      <c r="I2070" s="3" t="s">
        <v>24</v>
      </c>
      <c r="J2070" s="3" t="s">
        <v>24</v>
      </c>
      <c r="K2070" s="3" t="s">
        <v>25</v>
      </c>
      <c r="L2070" s="4">
        <v>0</v>
      </c>
      <c r="M2070" s="3" t="s">
        <v>26</v>
      </c>
      <c r="N2070" s="3" t="s">
        <v>24</v>
      </c>
      <c r="O2070" s="4">
        <v>0</v>
      </c>
      <c r="P2070" s="4">
        <v>10</v>
      </c>
      <c r="Q2070" s="4">
        <v>0</v>
      </c>
    </row>
    <row r="2071" spans="1:17" x14ac:dyDescent="0.25">
      <c r="A2071" s="3" t="s">
        <v>18</v>
      </c>
      <c r="B2071" s="3">
        <v>14803630</v>
      </c>
      <c r="C2071" s="3" t="s">
        <v>2114</v>
      </c>
      <c r="D2071" s="3" t="s">
        <v>20</v>
      </c>
      <c r="E2071" s="3" t="s">
        <v>21</v>
      </c>
      <c r="F2071" s="3" t="s">
        <v>21</v>
      </c>
      <c r="G2071" s="3" t="s">
        <v>233</v>
      </c>
      <c r="H2071" s="3" t="s">
        <v>234</v>
      </c>
      <c r="I2071" s="3" t="s">
        <v>24</v>
      </c>
      <c r="J2071" s="3" t="s">
        <v>24</v>
      </c>
      <c r="K2071" s="3" t="s">
        <v>25</v>
      </c>
      <c r="L2071" s="4">
        <v>0</v>
      </c>
      <c r="M2071" s="3" t="s">
        <v>26</v>
      </c>
      <c r="N2071" s="3" t="s">
        <v>24</v>
      </c>
      <c r="O2071" s="4">
        <v>1</v>
      </c>
      <c r="P2071" s="4">
        <v>99999999</v>
      </c>
      <c r="Q2071" s="4">
        <v>1</v>
      </c>
    </row>
    <row r="2072" spans="1:17" x14ac:dyDescent="0.25">
      <c r="A2072" s="3" t="s">
        <v>18</v>
      </c>
      <c r="B2072" s="3">
        <v>14805413</v>
      </c>
      <c r="C2072" s="3" t="s">
        <v>2115</v>
      </c>
      <c r="D2072" s="3" t="s">
        <v>1360</v>
      </c>
      <c r="E2072" s="3" t="s">
        <v>21</v>
      </c>
      <c r="F2072" s="3" t="s">
        <v>21</v>
      </c>
      <c r="G2072" s="3" t="s">
        <v>233</v>
      </c>
      <c r="H2072" s="3" t="s">
        <v>234</v>
      </c>
      <c r="I2072" s="3" t="s">
        <v>24</v>
      </c>
      <c r="J2072" s="3" t="s">
        <v>24</v>
      </c>
      <c r="K2072" s="3" t="s">
        <v>25</v>
      </c>
      <c r="L2072" s="4">
        <v>0</v>
      </c>
      <c r="M2072" s="3" t="s">
        <v>26</v>
      </c>
      <c r="N2072" s="3" t="s">
        <v>24</v>
      </c>
      <c r="O2072" s="4">
        <v>1</v>
      </c>
      <c r="P2072" s="4">
        <v>3</v>
      </c>
      <c r="Q2072" s="4">
        <v>1</v>
      </c>
    </row>
    <row r="2073" spans="1:17" x14ac:dyDescent="0.25">
      <c r="A2073" s="3" t="s">
        <v>18</v>
      </c>
      <c r="B2073" s="3">
        <v>14815394</v>
      </c>
      <c r="C2073" s="3" t="s">
        <v>2116</v>
      </c>
      <c r="D2073" s="3" t="s">
        <v>20</v>
      </c>
      <c r="E2073" s="3" t="s">
        <v>21</v>
      </c>
      <c r="F2073" s="3" t="s">
        <v>21</v>
      </c>
      <c r="G2073" s="3" t="s">
        <v>233</v>
      </c>
      <c r="H2073" s="3" t="s">
        <v>234</v>
      </c>
      <c r="I2073" s="3" t="s">
        <v>24</v>
      </c>
      <c r="J2073" s="3" t="s">
        <v>24</v>
      </c>
      <c r="K2073" s="3" t="s">
        <v>25</v>
      </c>
      <c r="L2073" s="4">
        <v>0</v>
      </c>
      <c r="M2073" s="3" t="s">
        <v>26</v>
      </c>
      <c r="N2073" s="3" t="s">
        <v>24</v>
      </c>
      <c r="O2073" s="4">
        <v>1</v>
      </c>
      <c r="P2073" s="4">
        <v>2</v>
      </c>
      <c r="Q2073" s="4">
        <v>1</v>
      </c>
    </row>
    <row r="2074" spans="1:17" x14ac:dyDescent="0.25">
      <c r="A2074" s="3" t="s">
        <v>18</v>
      </c>
      <c r="B2074" s="3">
        <v>14815487</v>
      </c>
      <c r="C2074" s="3" t="s">
        <v>2117</v>
      </c>
      <c r="D2074" s="3" t="s">
        <v>20</v>
      </c>
      <c r="E2074" s="3" t="s">
        <v>21</v>
      </c>
      <c r="F2074" s="3" t="s">
        <v>21</v>
      </c>
      <c r="G2074" s="3" t="s">
        <v>233</v>
      </c>
      <c r="H2074" s="3" t="s">
        <v>234</v>
      </c>
      <c r="I2074" s="3" t="s">
        <v>24</v>
      </c>
      <c r="J2074" s="3" t="s">
        <v>24</v>
      </c>
      <c r="K2074" s="3" t="s">
        <v>25</v>
      </c>
      <c r="L2074" s="4">
        <v>0</v>
      </c>
      <c r="M2074" s="3" t="s">
        <v>26</v>
      </c>
      <c r="N2074" s="3" t="s">
        <v>24</v>
      </c>
      <c r="O2074" s="4">
        <v>1</v>
      </c>
      <c r="P2074" s="4">
        <v>2</v>
      </c>
      <c r="Q2074" s="4">
        <v>1</v>
      </c>
    </row>
    <row r="2075" spans="1:17" x14ac:dyDescent="0.25">
      <c r="A2075" s="3" t="s">
        <v>18</v>
      </c>
      <c r="B2075" s="3">
        <v>14819595</v>
      </c>
      <c r="C2075" s="3" t="s">
        <v>2118</v>
      </c>
      <c r="D2075" s="3" t="s">
        <v>20</v>
      </c>
      <c r="E2075" s="3" t="s">
        <v>21</v>
      </c>
      <c r="F2075" s="3" t="s">
        <v>21</v>
      </c>
      <c r="G2075" s="3" t="s">
        <v>233</v>
      </c>
      <c r="H2075" s="3" t="s">
        <v>234</v>
      </c>
      <c r="I2075" s="3" t="s">
        <v>24</v>
      </c>
      <c r="J2075" s="3" t="s">
        <v>24</v>
      </c>
      <c r="K2075" s="3" t="s">
        <v>25</v>
      </c>
      <c r="L2075" s="4">
        <v>0</v>
      </c>
      <c r="M2075" s="3" t="s">
        <v>26</v>
      </c>
      <c r="N2075" s="3" t="s">
        <v>24</v>
      </c>
      <c r="O2075" s="4">
        <v>1</v>
      </c>
      <c r="P2075" s="4">
        <v>3</v>
      </c>
      <c r="Q2075" s="4">
        <v>1</v>
      </c>
    </row>
    <row r="2076" spans="1:17" x14ac:dyDescent="0.25">
      <c r="A2076" s="3" t="s">
        <v>18</v>
      </c>
      <c r="B2076" s="3">
        <v>14821623</v>
      </c>
      <c r="C2076" s="3" t="s">
        <v>2119</v>
      </c>
      <c r="D2076" s="3" t="s">
        <v>20</v>
      </c>
      <c r="E2076" s="3" t="s">
        <v>21</v>
      </c>
      <c r="F2076" s="3" t="s">
        <v>21</v>
      </c>
      <c r="G2076" s="3" t="s">
        <v>36</v>
      </c>
      <c r="H2076" s="3" t="s">
        <v>37</v>
      </c>
      <c r="I2076" s="3" t="s">
        <v>24</v>
      </c>
      <c r="J2076" s="3" t="s">
        <v>24</v>
      </c>
      <c r="K2076" s="3" t="s">
        <v>25</v>
      </c>
      <c r="L2076" s="4">
        <v>0</v>
      </c>
      <c r="M2076" s="3" t="s">
        <v>26</v>
      </c>
      <c r="N2076" s="3" t="s">
        <v>24</v>
      </c>
      <c r="O2076" s="4">
        <v>1</v>
      </c>
      <c r="P2076" s="4">
        <v>10</v>
      </c>
      <c r="Q2076" s="4">
        <v>1</v>
      </c>
    </row>
    <row r="2077" spans="1:17" x14ac:dyDescent="0.25">
      <c r="A2077" s="3" t="s">
        <v>18</v>
      </c>
      <c r="B2077" s="3">
        <v>14837150</v>
      </c>
      <c r="C2077" s="3" t="s">
        <v>2120</v>
      </c>
      <c r="D2077" s="3" t="s">
        <v>20</v>
      </c>
      <c r="E2077" s="3" t="s">
        <v>21</v>
      </c>
      <c r="F2077" s="3" t="s">
        <v>24</v>
      </c>
      <c r="G2077" s="3" t="s">
        <v>42</v>
      </c>
      <c r="H2077" s="3" t="s">
        <v>43</v>
      </c>
      <c r="I2077" s="3" t="s">
        <v>24</v>
      </c>
      <c r="J2077" s="3" t="s">
        <v>24</v>
      </c>
      <c r="K2077" s="3" t="s">
        <v>25</v>
      </c>
      <c r="L2077" s="4">
        <v>0</v>
      </c>
      <c r="M2077" s="3" t="s">
        <v>26</v>
      </c>
      <c r="N2077" s="3" t="s">
        <v>24</v>
      </c>
      <c r="O2077" s="4">
        <v>1</v>
      </c>
      <c r="P2077" s="4">
        <v>8</v>
      </c>
      <c r="Q2077" s="4">
        <v>1</v>
      </c>
    </row>
    <row r="2078" spans="1:17" x14ac:dyDescent="0.25">
      <c r="A2078" s="3" t="s">
        <v>18</v>
      </c>
      <c r="B2078" s="3">
        <v>14837152</v>
      </c>
      <c r="C2078" s="3" t="s">
        <v>2121</v>
      </c>
      <c r="D2078" s="3" t="s">
        <v>20</v>
      </c>
      <c r="E2078" s="3" t="s">
        <v>21</v>
      </c>
      <c r="F2078" s="3" t="s">
        <v>24</v>
      </c>
      <c r="G2078" s="3" t="s">
        <v>42</v>
      </c>
      <c r="H2078" s="3" t="s">
        <v>43</v>
      </c>
      <c r="I2078" s="3" t="s">
        <v>24</v>
      </c>
      <c r="J2078" s="3" t="s">
        <v>24</v>
      </c>
      <c r="K2078" s="3" t="s">
        <v>25</v>
      </c>
      <c r="L2078" s="4">
        <v>0</v>
      </c>
      <c r="M2078" s="3" t="s">
        <v>26</v>
      </c>
      <c r="N2078" s="3" t="s">
        <v>24</v>
      </c>
      <c r="O2078" s="4">
        <v>0</v>
      </c>
      <c r="P2078" s="4">
        <v>8</v>
      </c>
      <c r="Q2078" s="4">
        <v>1</v>
      </c>
    </row>
    <row r="2079" spans="1:17" x14ac:dyDescent="0.25">
      <c r="A2079" s="3" t="s">
        <v>18</v>
      </c>
      <c r="B2079" s="3">
        <v>14837153</v>
      </c>
      <c r="C2079" s="3" t="s">
        <v>2122</v>
      </c>
      <c r="D2079" s="3" t="s">
        <v>20</v>
      </c>
      <c r="E2079" s="3" t="s">
        <v>21</v>
      </c>
      <c r="F2079" s="3" t="s">
        <v>24</v>
      </c>
      <c r="G2079" s="3" t="s">
        <v>22</v>
      </c>
      <c r="H2079" s="3" t="s">
        <v>23</v>
      </c>
      <c r="I2079" s="3" t="s">
        <v>24</v>
      </c>
      <c r="J2079" s="3" t="s">
        <v>24</v>
      </c>
      <c r="K2079" s="3" t="s">
        <v>25</v>
      </c>
      <c r="L2079" s="4">
        <v>0</v>
      </c>
      <c r="M2079" s="3" t="s">
        <v>26</v>
      </c>
      <c r="N2079" s="3" t="s">
        <v>24</v>
      </c>
      <c r="O2079" s="4">
        <v>0</v>
      </c>
      <c r="P2079" s="4">
        <v>3</v>
      </c>
      <c r="Q2079" s="4">
        <v>0</v>
      </c>
    </row>
    <row r="2080" spans="1:17" x14ac:dyDescent="0.25">
      <c r="A2080" s="3" t="s">
        <v>18</v>
      </c>
      <c r="B2080" s="3">
        <v>14837156</v>
      </c>
      <c r="C2080" s="3" t="s">
        <v>2123</v>
      </c>
      <c r="D2080" s="3" t="s">
        <v>20</v>
      </c>
      <c r="E2080" s="3" t="s">
        <v>21</v>
      </c>
      <c r="F2080" s="3" t="s">
        <v>24</v>
      </c>
      <c r="G2080" s="3" t="s">
        <v>36</v>
      </c>
      <c r="H2080" s="3" t="s">
        <v>37</v>
      </c>
      <c r="I2080" s="3" t="s">
        <v>24</v>
      </c>
      <c r="J2080" s="3" t="s">
        <v>24</v>
      </c>
      <c r="K2080" s="3" t="s">
        <v>25</v>
      </c>
      <c r="L2080" s="4">
        <v>0</v>
      </c>
      <c r="M2080" s="3" t="s">
        <v>26</v>
      </c>
      <c r="N2080" s="3" t="s">
        <v>24</v>
      </c>
      <c r="O2080" s="4">
        <v>0</v>
      </c>
      <c r="P2080" s="4">
        <v>10</v>
      </c>
      <c r="Q2080" s="4">
        <v>0</v>
      </c>
    </row>
    <row r="2081" spans="1:17" x14ac:dyDescent="0.25">
      <c r="A2081" s="3" t="s">
        <v>18</v>
      </c>
      <c r="B2081" s="3">
        <v>14837157</v>
      </c>
      <c r="C2081" s="3" t="s">
        <v>2124</v>
      </c>
      <c r="D2081" s="3" t="s">
        <v>20</v>
      </c>
      <c r="E2081" s="3" t="s">
        <v>21</v>
      </c>
      <c r="F2081" s="3" t="s">
        <v>24</v>
      </c>
      <c r="G2081" s="3" t="s">
        <v>233</v>
      </c>
      <c r="H2081" s="3" t="s">
        <v>234</v>
      </c>
      <c r="I2081" s="3" t="s">
        <v>24</v>
      </c>
      <c r="J2081" s="3" t="s">
        <v>24</v>
      </c>
      <c r="K2081" s="3" t="s">
        <v>25</v>
      </c>
      <c r="L2081" s="4">
        <v>0</v>
      </c>
      <c r="M2081" s="3" t="s">
        <v>26</v>
      </c>
      <c r="N2081" s="3" t="s">
        <v>24</v>
      </c>
      <c r="O2081" s="4">
        <v>1</v>
      </c>
      <c r="P2081" s="4">
        <v>2</v>
      </c>
      <c r="Q2081" s="4">
        <v>1</v>
      </c>
    </row>
    <row r="2082" spans="1:17" x14ac:dyDescent="0.25">
      <c r="A2082" s="3" t="s">
        <v>18</v>
      </c>
      <c r="B2082" s="3">
        <v>14837178</v>
      </c>
      <c r="C2082" s="3" t="s">
        <v>2125</v>
      </c>
      <c r="D2082" s="3" t="s">
        <v>20</v>
      </c>
      <c r="E2082" s="3" t="s">
        <v>21</v>
      </c>
      <c r="F2082" s="3" t="s">
        <v>24</v>
      </c>
      <c r="G2082" s="3" t="s">
        <v>233</v>
      </c>
      <c r="H2082" s="3" t="s">
        <v>234</v>
      </c>
      <c r="I2082" s="3" t="s">
        <v>24</v>
      </c>
      <c r="J2082" s="3" t="s">
        <v>24</v>
      </c>
      <c r="K2082" s="3" t="s">
        <v>25</v>
      </c>
      <c r="L2082" s="4">
        <v>0</v>
      </c>
      <c r="M2082" s="3" t="s">
        <v>26</v>
      </c>
      <c r="N2082" s="3" t="s">
        <v>24</v>
      </c>
      <c r="O2082" s="4">
        <v>1</v>
      </c>
      <c r="P2082" s="4">
        <v>2</v>
      </c>
      <c r="Q2082" s="4">
        <v>1</v>
      </c>
    </row>
    <row r="2083" spans="1:17" x14ac:dyDescent="0.25">
      <c r="A2083" s="3" t="s">
        <v>18</v>
      </c>
      <c r="B2083" s="3">
        <v>14837179</v>
      </c>
      <c r="C2083" s="3" t="s">
        <v>2126</v>
      </c>
      <c r="D2083" s="3" t="s">
        <v>20</v>
      </c>
      <c r="E2083" s="3" t="s">
        <v>21</v>
      </c>
      <c r="F2083" s="3" t="s">
        <v>24</v>
      </c>
      <c r="G2083" s="3" t="s">
        <v>233</v>
      </c>
      <c r="H2083" s="3" t="s">
        <v>234</v>
      </c>
      <c r="I2083" s="3" t="s">
        <v>24</v>
      </c>
      <c r="J2083" s="3" t="s">
        <v>24</v>
      </c>
      <c r="K2083" s="3" t="s">
        <v>25</v>
      </c>
      <c r="L2083" s="4">
        <v>0</v>
      </c>
      <c r="M2083" s="3" t="s">
        <v>26</v>
      </c>
      <c r="N2083" s="3" t="s">
        <v>24</v>
      </c>
      <c r="O2083" s="4">
        <v>1</v>
      </c>
      <c r="P2083" s="4">
        <v>2</v>
      </c>
      <c r="Q2083" s="4">
        <v>1</v>
      </c>
    </row>
    <row r="2084" spans="1:17" x14ac:dyDescent="0.25">
      <c r="A2084" s="3" t="s">
        <v>18</v>
      </c>
      <c r="B2084" s="3">
        <v>14837180</v>
      </c>
      <c r="C2084" s="3" t="s">
        <v>2127</v>
      </c>
      <c r="D2084" s="3" t="s">
        <v>20</v>
      </c>
      <c r="E2084" s="3" t="s">
        <v>21</v>
      </c>
      <c r="F2084" s="3" t="s">
        <v>24</v>
      </c>
      <c r="G2084" s="3" t="s">
        <v>22</v>
      </c>
      <c r="H2084" s="3" t="s">
        <v>23</v>
      </c>
      <c r="I2084" s="3" t="s">
        <v>24</v>
      </c>
      <c r="J2084" s="3" t="s">
        <v>24</v>
      </c>
      <c r="K2084" s="3" t="s">
        <v>25</v>
      </c>
      <c r="L2084" s="4">
        <v>0</v>
      </c>
      <c r="M2084" s="3" t="s">
        <v>26</v>
      </c>
      <c r="N2084" s="3" t="s">
        <v>24</v>
      </c>
      <c r="O2084" s="4">
        <v>0</v>
      </c>
      <c r="P2084" s="4">
        <v>4</v>
      </c>
      <c r="Q2084" s="4">
        <v>0</v>
      </c>
    </row>
    <row r="2085" spans="1:17" x14ac:dyDescent="0.25">
      <c r="A2085" s="3" t="s">
        <v>18</v>
      </c>
      <c r="B2085" s="3">
        <v>14837185</v>
      </c>
      <c r="C2085" s="3" t="s">
        <v>2128</v>
      </c>
      <c r="D2085" s="3" t="s">
        <v>20</v>
      </c>
      <c r="E2085" s="3" t="s">
        <v>21</v>
      </c>
      <c r="F2085" s="3" t="s">
        <v>24</v>
      </c>
      <c r="G2085" s="3" t="s">
        <v>36</v>
      </c>
      <c r="H2085" s="3" t="s">
        <v>37</v>
      </c>
      <c r="I2085" s="3" t="s">
        <v>24</v>
      </c>
      <c r="J2085" s="3" t="s">
        <v>24</v>
      </c>
      <c r="K2085" s="3" t="s">
        <v>25</v>
      </c>
      <c r="L2085" s="4">
        <v>0</v>
      </c>
      <c r="M2085" s="3" t="s">
        <v>26</v>
      </c>
      <c r="N2085" s="3" t="s">
        <v>24</v>
      </c>
      <c r="O2085" s="4">
        <v>0</v>
      </c>
      <c r="P2085" s="4">
        <v>10</v>
      </c>
      <c r="Q2085" s="4">
        <v>0</v>
      </c>
    </row>
    <row r="2086" spans="1:17" x14ac:dyDescent="0.25">
      <c r="A2086" s="3" t="s">
        <v>18</v>
      </c>
      <c r="B2086" s="3">
        <v>14837186</v>
      </c>
      <c r="C2086" s="3" t="s">
        <v>2129</v>
      </c>
      <c r="D2086" s="3" t="s">
        <v>20</v>
      </c>
      <c r="E2086" s="3" t="s">
        <v>21</v>
      </c>
      <c r="F2086" s="3" t="s">
        <v>24</v>
      </c>
      <c r="G2086" s="3" t="s">
        <v>22</v>
      </c>
      <c r="H2086" s="3" t="s">
        <v>23</v>
      </c>
      <c r="I2086" s="3" t="s">
        <v>24</v>
      </c>
      <c r="J2086" s="3" t="s">
        <v>24</v>
      </c>
      <c r="K2086" s="3" t="s">
        <v>25</v>
      </c>
      <c r="L2086" s="4">
        <v>0</v>
      </c>
      <c r="M2086" s="3" t="s">
        <v>26</v>
      </c>
      <c r="N2086" s="3" t="s">
        <v>24</v>
      </c>
      <c r="O2086" s="4">
        <v>0</v>
      </c>
      <c r="P2086" s="4">
        <v>4</v>
      </c>
      <c r="Q2086" s="4">
        <v>0</v>
      </c>
    </row>
    <row r="2087" spans="1:17" x14ac:dyDescent="0.25">
      <c r="A2087" s="3" t="s">
        <v>18</v>
      </c>
      <c r="B2087" s="3">
        <v>14837218</v>
      </c>
      <c r="C2087" s="3" t="s">
        <v>2130</v>
      </c>
      <c r="D2087" s="3" t="s">
        <v>20</v>
      </c>
      <c r="E2087" s="3" t="s">
        <v>21</v>
      </c>
      <c r="F2087" s="3" t="s">
        <v>24</v>
      </c>
      <c r="G2087" s="3" t="s">
        <v>42</v>
      </c>
      <c r="H2087" s="3" t="s">
        <v>43</v>
      </c>
      <c r="I2087" s="3" t="s">
        <v>24</v>
      </c>
      <c r="J2087" s="3" t="s">
        <v>24</v>
      </c>
      <c r="K2087" s="3" t="s">
        <v>25</v>
      </c>
      <c r="L2087" s="4">
        <v>0</v>
      </c>
      <c r="M2087" s="3" t="s">
        <v>26</v>
      </c>
      <c r="N2087" s="3" t="s">
        <v>24</v>
      </c>
      <c r="O2087" s="4">
        <v>0</v>
      </c>
      <c r="P2087" s="4">
        <v>8</v>
      </c>
      <c r="Q2087" s="4">
        <v>1</v>
      </c>
    </row>
    <row r="2088" spans="1:17" x14ac:dyDescent="0.25">
      <c r="A2088" s="3" t="s">
        <v>18</v>
      </c>
      <c r="B2088" s="3">
        <v>14837222</v>
      </c>
      <c r="C2088" s="3" t="s">
        <v>2131</v>
      </c>
      <c r="D2088" s="3" t="s">
        <v>20</v>
      </c>
      <c r="E2088" s="3" t="s">
        <v>21</v>
      </c>
      <c r="F2088" s="3" t="s">
        <v>24</v>
      </c>
      <c r="G2088" s="3" t="s">
        <v>22</v>
      </c>
      <c r="H2088" s="3" t="s">
        <v>23</v>
      </c>
      <c r="I2088" s="3" t="s">
        <v>24</v>
      </c>
      <c r="J2088" s="3" t="s">
        <v>24</v>
      </c>
      <c r="K2088" s="3" t="s">
        <v>25</v>
      </c>
      <c r="L2088" s="4">
        <v>0</v>
      </c>
      <c r="M2088" s="3" t="s">
        <v>26</v>
      </c>
      <c r="N2088" s="3" t="s">
        <v>24</v>
      </c>
      <c r="O2088" s="4">
        <v>0</v>
      </c>
      <c r="P2088" s="4">
        <v>4</v>
      </c>
      <c r="Q2088" s="4">
        <v>0</v>
      </c>
    </row>
    <row r="2089" spans="1:17" x14ac:dyDescent="0.25">
      <c r="A2089" s="3" t="s">
        <v>18</v>
      </c>
      <c r="B2089" s="3">
        <v>14837224</v>
      </c>
      <c r="C2089" s="3" t="s">
        <v>2132</v>
      </c>
      <c r="D2089" s="3" t="s">
        <v>20</v>
      </c>
      <c r="E2089" s="3" t="s">
        <v>21</v>
      </c>
      <c r="F2089" s="3" t="s">
        <v>24</v>
      </c>
      <c r="G2089" s="3" t="s">
        <v>36</v>
      </c>
      <c r="H2089" s="3" t="s">
        <v>37</v>
      </c>
      <c r="I2089" s="3" t="s">
        <v>24</v>
      </c>
      <c r="J2089" s="3" t="s">
        <v>24</v>
      </c>
      <c r="K2089" s="3" t="s">
        <v>25</v>
      </c>
      <c r="L2089" s="4">
        <v>0</v>
      </c>
      <c r="M2089" s="3" t="s">
        <v>26</v>
      </c>
      <c r="N2089" s="3" t="s">
        <v>24</v>
      </c>
      <c r="O2089" s="4">
        <v>1</v>
      </c>
      <c r="P2089" s="4">
        <v>10</v>
      </c>
      <c r="Q2089" s="4">
        <v>1</v>
      </c>
    </row>
    <row r="2090" spans="1:17" x14ac:dyDescent="0.25">
      <c r="A2090" s="3" t="s">
        <v>18</v>
      </c>
      <c r="B2090" s="3">
        <v>14837241</v>
      </c>
      <c r="C2090" s="3" t="s">
        <v>2133</v>
      </c>
      <c r="D2090" s="3" t="s">
        <v>20</v>
      </c>
      <c r="E2090" s="3" t="s">
        <v>21</v>
      </c>
      <c r="F2090" s="3" t="s">
        <v>24</v>
      </c>
      <c r="G2090" s="3" t="s">
        <v>233</v>
      </c>
      <c r="H2090" s="3" t="s">
        <v>234</v>
      </c>
      <c r="I2090" s="3" t="s">
        <v>24</v>
      </c>
      <c r="J2090" s="3" t="s">
        <v>24</v>
      </c>
      <c r="K2090" s="3" t="s">
        <v>25</v>
      </c>
      <c r="L2090" s="4">
        <v>0</v>
      </c>
      <c r="M2090" s="3" t="s">
        <v>26</v>
      </c>
      <c r="N2090" s="3" t="s">
        <v>24</v>
      </c>
      <c r="O2090" s="4">
        <v>1</v>
      </c>
      <c r="P2090" s="4">
        <v>3</v>
      </c>
      <c r="Q2090" s="4">
        <v>1</v>
      </c>
    </row>
    <row r="2091" spans="1:17" x14ac:dyDescent="0.25">
      <c r="A2091" s="3" t="s">
        <v>18</v>
      </c>
      <c r="B2091" s="3">
        <v>14837575</v>
      </c>
      <c r="C2091" s="3" t="s">
        <v>2134</v>
      </c>
      <c r="D2091" s="3" t="s">
        <v>20</v>
      </c>
      <c r="E2091" s="3" t="s">
        <v>21</v>
      </c>
      <c r="F2091" s="3" t="s">
        <v>24</v>
      </c>
      <c r="G2091" s="3" t="s">
        <v>410</v>
      </c>
      <c r="H2091" s="3" t="s">
        <v>411</v>
      </c>
      <c r="I2091" s="3" t="s">
        <v>24</v>
      </c>
      <c r="J2091" s="3" t="s">
        <v>24</v>
      </c>
      <c r="K2091" s="3" t="s">
        <v>25</v>
      </c>
      <c r="L2091" s="4">
        <v>0</v>
      </c>
      <c r="M2091" s="3" t="s">
        <v>26</v>
      </c>
      <c r="N2091" s="3" t="s">
        <v>24</v>
      </c>
      <c r="O2091" s="4">
        <v>1</v>
      </c>
      <c r="P2091" s="4">
        <v>2</v>
      </c>
      <c r="Q2091" s="4">
        <v>1</v>
      </c>
    </row>
    <row r="2092" spans="1:17" x14ac:dyDescent="0.25">
      <c r="A2092" s="3" t="s">
        <v>18</v>
      </c>
      <c r="B2092" s="3">
        <v>14846504</v>
      </c>
      <c r="C2092" s="3" t="s">
        <v>2135</v>
      </c>
      <c r="D2092" s="3" t="s">
        <v>20</v>
      </c>
      <c r="E2092" s="3" t="s">
        <v>21</v>
      </c>
      <c r="F2092" s="3" t="s">
        <v>24</v>
      </c>
      <c r="G2092" s="3" t="s">
        <v>36</v>
      </c>
      <c r="H2092" s="3" t="s">
        <v>37</v>
      </c>
      <c r="I2092" s="3" t="s">
        <v>24</v>
      </c>
      <c r="J2092" s="3" t="s">
        <v>24</v>
      </c>
      <c r="K2092" s="3" t="s">
        <v>25</v>
      </c>
      <c r="L2092" s="4">
        <v>0</v>
      </c>
      <c r="M2092" s="3" t="s">
        <v>26</v>
      </c>
      <c r="N2092" s="3" t="s">
        <v>24</v>
      </c>
      <c r="O2092" s="4">
        <v>1</v>
      </c>
      <c r="P2092" s="4">
        <v>2</v>
      </c>
      <c r="Q2092" s="4">
        <v>1</v>
      </c>
    </row>
    <row r="2093" spans="1:17" x14ac:dyDescent="0.25">
      <c r="A2093" s="3" t="s">
        <v>18</v>
      </c>
      <c r="B2093" s="3">
        <v>14852078</v>
      </c>
      <c r="C2093" s="3" t="s">
        <v>2136</v>
      </c>
      <c r="D2093" s="3" t="s">
        <v>20</v>
      </c>
      <c r="E2093" s="3" t="s">
        <v>21</v>
      </c>
      <c r="F2093" s="3" t="s">
        <v>24</v>
      </c>
      <c r="G2093" s="3" t="s">
        <v>410</v>
      </c>
      <c r="H2093" s="3" t="s">
        <v>411</v>
      </c>
      <c r="I2093" s="3" t="s">
        <v>24</v>
      </c>
      <c r="J2093" s="3" t="s">
        <v>24</v>
      </c>
      <c r="K2093" s="3" t="s">
        <v>25</v>
      </c>
      <c r="L2093" s="4">
        <v>0</v>
      </c>
      <c r="M2093" s="3" t="s">
        <v>26</v>
      </c>
      <c r="N2093" s="3" t="s">
        <v>24</v>
      </c>
      <c r="O2093" s="4">
        <v>0</v>
      </c>
      <c r="P2093" s="4">
        <v>4</v>
      </c>
      <c r="Q2093" s="4">
        <v>0</v>
      </c>
    </row>
    <row r="2094" spans="1:17" x14ac:dyDescent="0.25">
      <c r="A2094" s="3" t="s">
        <v>18</v>
      </c>
      <c r="B2094" s="3">
        <v>14852081</v>
      </c>
      <c r="C2094" s="3" t="s">
        <v>2137</v>
      </c>
      <c r="D2094" s="3" t="s">
        <v>20</v>
      </c>
      <c r="E2094" s="3" t="s">
        <v>21</v>
      </c>
      <c r="F2094" s="3" t="s">
        <v>24</v>
      </c>
      <c r="G2094" s="3" t="s">
        <v>410</v>
      </c>
      <c r="H2094" s="3" t="s">
        <v>411</v>
      </c>
      <c r="I2094" s="3" t="s">
        <v>24</v>
      </c>
      <c r="J2094" s="3" t="s">
        <v>24</v>
      </c>
      <c r="K2094" s="3" t="s">
        <v>25</v>
      </c>
      <c r="L2094" s="4">
        <v>0</v>
      </c>
      <c r="M2094" s="3" t="s">
        <v>26</v>
      </c>
      <c r="N2094" s="3" t="s">
        <v>24</v>
      </c>
      <c r="O2094" s="4">
        <v>0</v>
      </c>
      <c r="P2094" s="4">
        <v>4</v>
      </c>
      <c r="Q2094" s="4">
        <v>0</v>
      </c>
    </row>
    <row r="2095" spans="1:17" x14ac:dyDescent="0.25">
      <c r="A2095" s="3" t="s">
        <v>18</v>
      </c>
      <c r="B2095" s="3">
        <v>14864806</v>
      </c>
      <c r="C2095" s="3" t="s">
        <v>2138</v>
      </c>
      <c r="D2095" s="3" t="s">
        <v>20</v>
      </c>
      <c r="E2095" s="3" t="s">
        <v>21</v>
      </c>
      <c r="F2095" s="3" t="s">
        <v>24</v>
      </c>
      <c r="G2095" s="3" t="s">
        <v>42</v>
      </c>
      <c r="H2095" s="3" t="s">
        <v>43</v>
      </c>
      <c r="I2095" s="3" t="s">
        <v>24</v>
      </c>
      <c r="J2095" s="3" t="s">
        <v>24</v>
      </c>
      <c r="K2095" s="3" t="s">
        <v>25</v>
      </c>
      <c r="L2095" s="4">
        <v>0</v>
      </c>
      <c r="M2095" s="3" t="s">
        <v>26</v>
      </c>
      <c r="N2095" s="3" t="s">
        <v>24</v>
      </c>
      <c r="O2095" s="4">
        <v>0</v>
      </c>
      <c r="P2095" s="4">
        <v>8</v>
      </c>
      <c r="Q2095" s="4">
        <v>1</v>
      </c>
    </row>
    <row r="2096" spans="1:17" x14ac:dyDescent="0.25">
      <c r="A2096" s="3" t="s">
        <v>18</v>
      </c>
      <c r="B2096" s="3">
        <v>14875795</v>
      </c>
      <c r="C2096" s="3" t="s">
        <v>2139</v>
      </c>
      <c r="D2096" s="3" t="s">
        <v>20</v>
      </c>
      <c r="E2096" s="3" t="s">
        <v>21</v>
      </c>
      <c r="F2096" s="3" t="s">
        <v>24</v>
      </c>
      <c r="G2096" s="3" t="s">
        <v>2140</v>
      </c>
      <c r="H2096" s="3" t="s">
        <v>2141</v>
      </c>
      <c r="I2096" s="3" t="s">
        <v>24</v>
      </c>
      <c r="J2096" s="3" t="s">
        <v>24</v>
      </c>
      <c r="K2096" s="3" t="s">
        <v>25</v>
      </c>
      <c r="L2096" s="4">
        <v>0</v>
      </c>
      <c r="M2096" s="3" t="s">
        <v>26</v>
      </c>
      <c r="N2096" s="3" t="s">
        <v>24</v>
      </c>
      <c r="O2096" s="4">
        <v>1</v>
      </c>
      <c r="P2096" s="4">
        <v>16</v>
      </c>
      <c r="Q2096" s="4">
        <v>0</v>
      </c>
    </row>
    <row r="2097" spans="1:17" x14ac:dyDescent="0.25">
      <c r="A2097" s="3" t="s">
        <v>18</v>
      </c>
      <c r="B2097" s="3">
        <v>14875796</v>
      </c>
      <c r="C2097" s="3" t="s">
        <v>2142</v>
      </c>
      <c r="D2097" s="3" t="s">
        <v>20</v>
      </c>
      <c r="E2097" s="3" t="s">
        <v>21</v>
      </c>
      <c r="F2097" s="3" t="s">
        <v>24</v>
      </c>
      <c r="G2097" s="3" t="s">
        <v>22</v>
      </c>
      <c r="H2097" s="3" t="s">
        <v>23</v>
      </c>
      <c r="I2097" s="3" t="s">
        <v>24</v>
      </c>
      <c r="J2097" s="3" t="s">
        <v>24</v>
      </c>
      <c r="K2097" s="3" t="s">
        <v>25</v>
      </c>
      <c r="L2097" s="4">
        <v>0</v>
      </c>
      <c r="M2097" s="3" t="s">
        <v>26</v>
      </c>
      <c r="N2097" s="3" t="s">
        <v>24</v>
      </c>
      <c r="O2097" s="4">
        <v>1</v>
      </c>
      <c r="P2097" s="4">
        <v>4</v>
      </c>
      <c r="Q2097" s="4">
        <v>1</v>
      </c>
    </row>
    <row r="2098" spans="1:17" x14ac:dyDescent="0.25">
      <c r="A2098" s="3" t="s">
        <v>18</v>
      </c>
      <c r="B2098" s="3">
        <v>14882241</v>
      </c>
      <c r="C2098" s="3" t="s">
        <v>2143</v>
      </c>
      <c r="D2098" s="3" t="s">
        <v>1360</v>
      </c>
      <c r="E2098" s="3" t="s">
        <v>21</v>
      </c>
      <c r="F2098" s="3" t="s">
        <v>24</v>
      </c>
      <c r="G2098" s="3" t="s">
        <v>36</v>
      </c>
      <c r="H2098" s="3" t="s">
        <v>37</v>
      </c>
      <c r="I2098" s="3" t="s">
        <v>24</v>
      </c>
      <c r="J2098" s="3" t="s">
        <v>24</v>
      </c>
      <c r="K2098" s="3" t="s">
        <v>25</v>
      </c>
      <c r="L2098" s="4">
        <v>0</v>
      </c>
      <c r="M2098" s="3" t="s">
        <v>26</v>
      </c>
      <c r="N2098" s="3" t="s">
        <v>24</v>
      </c>
      <c r="O2098" s="4">
        <v>1</v>
      </c>
      <c r="P2098" s="4">
        <v>10</v>
      </c>
      <c r="Q2098" s="4">
        <v>1</v>
      </c>
    </row>
    <row r="2099" spans="1:17" x14ac:dyDescent="0.25">
      <c r="A2099" s="3" t="s">
        <v>18</v>
      </c>
      <c r="B2099" s="3">
        <v>14888368</v>
      </c>
      <c r="C2099" s="3" t="s">
        <v>2144</v>
      </c>
      <c r="D2099" s="3" t="s">
        <v>20</v>
      </c>
      <c r="E2099" s="3" t="s">
        <v>21</v>
      </c>
      <c r="F2099" s="3" t="s">
        <v>21</v>
      </c>
      <c r="G2099" s="3" t="s">
        <v>410</v>
      </c>
      <c r="H2099" s="3" t="s">
        <v>411</v>
      </c>
      <c r="I2099" s="3" t="s">
        <v>24</v>
      </c>
      <c r="J2099" s="3" t="s">
        <v>24</v>
      </c>
      <c r="K2099" s="3" t="s">
        <v>25</v>
      </c>
      <c r="L2099" s="4">
        <v>0</v>
      </c>
      <c r="M2099" s="3" t="s">
        <v>26</v>
      </c>
      <c r="N2099" s="3" t="s">
        <v>24</v>
      </c>
      <c r="O2099" s="4">
        <v>1</v>
      </c>
      <c r="P2099" s="4">
        <v>8</v>
      </c>
      <c r="Q2099" s="4">
        <v>0</v>
      </c>
    </row>
    <row r="2100" spans="1:17" x14ac:dyDescent="0.25">
      <c r="A2100" s="3" t="s">
        <v>18</v>
      </c>
      <c r="B2100" s="3">
        <v>14896291</v>
      </c>
      <c r="C2100" s="3" t="s">
        <v>2145</v>
      </c>
      <c r="D2100" s="3" t="s">
        <v>20</v>
      </c>
      <c r="E2100" s="3" t="s">
        <v>21</v>
      </c>
      <c r="F2100" s="3" t="s">
        <v>21</v>
      </c>
      <c r="G2100" s="3" t="s">
        <v>22</v>
      </c>
      <c r="H2100" s="3" t="s">
        <v>23</v>
      </c>
      <c r="I2100" s="3" t="s">
        <v>24</v>
      </c>
      <c r="J2100" s="3" t="s">
        <v>24</v>
      </c>
      <c r="K2100" s="3" t="s">
        <v>25</v>
      </c>
      <c r="L2100" s="4">
        <v>0</v>
      </c>
      <c r="M2100" s="3" t="s">
        <v>26</v>
      </c>
      <c r="N2100" s="3" t="s">
        <v>24</v>
      </c>
      <c r="O2100" s="4">
        <v>1</v>
      </c>
      <c r="P2100" s="4">
        <v>4</v>
      </c>
      <c r="Q2100" s="4">
        <v>1</v>
      </c>
    </row>
    <row r="2101" spans="1:17" x14ac:dyDescent="0.25">
      <c r="A2101" s="3" t="s">
        <v>18</v>
      </c>
      <c r="B2101" s="3">
        <v>14914236</v>
      </c>
      <c r="C2101" s="3" t="s">
        <v>2146</v>
      </c>
      <c r="D2101" s="3" t="s">
        <v>20</v>
      </c>
      <c r="E2101" s="3" t="s">
        <v>21</v>
      </c>
      <c r="F2101" s="3" t="s">
        <v>24</v>
      </c>
      <c r="G2101" s="3" t="s">
        <v>233</v>
      </c>
      <c r="H2101" s="3" t="s">
        <v>234</v>
      </c>
      <c r="I2101" s="3" t="s">
        <v>24</v>
      </c>
      <c r="J2101" s="3" t="s">
        <v>24</v>
      </c>
      <c r="K2101" s="3" t="s">
        <v>25</v>
      </c>
      <c r="L2101" s="4">
        <v>0</v>
      </c>
      <c r="M2101" s="3" t="s">
        <v>26</v>
      </c>
      <c r="N2101" s="3" t="s">
        <v>24</v>
      </c>
      <c r="O2101" s="4">
        <v>1</v>
      </c>
      <c r="P2101" s="4">
        <v>1</v>
      </c>
      <c r="Q2101" s="4">
        <v>1</v>
      </c>
    </row>
    <row r="2102" spans="1:17" x14ac:dyDescent="0.25">
      <c r="A2102" s="3" t="s">
        <v>18</v>
      </c>
      <c r="B2102" s="3">
        <v>14914273</v>
      </c>
      <c r="C2102" s="3" t="s">
        <v>2147</v>
      </c>
      <c r="D2102" s="3" t="s">
        <v>20</v>
      </c>
      <c r="E2102" s="3" t="s">
        <v>21</v>
      </c>
      <c r="F2102" s="3" t="s">
        <v>24</v>
      </c>
      <c r="G2102" s="3" t="s">
        <v>487</v>
      </c>
      <c r="H2102" s="3" t="s">
        <v>488</v>
      </c>
      <c r="I2102" s="3" t="s">
        <v>24</v>
      </c>
      <c r="J2102" s="3" t="s">
        <v>24</v>
      </c>
      <c r="K2102" s="3" t="s">
        <v>25</v>
      </c>
      <c r="L2102" s="4">
        <v>0</v>
      </c>
      <c r="M2102" s="3" t="s">
        <v>26</v>
      </c>
      <c r="N2102" s="3" t="s">
        <v>24</v>
      </c>
      <c r="O2102" s="4">
        <v>1</v>
      </c>
      <c r="P2102" s="4">
        <v>2</v>
      </c>
      <c r="Q2102" s="4">
        <v>1</v>
      </c>
    </row>
    <row r="2103" spans="1:17" x14ac:dyDescent="0.25">
      <c r="A2103" s="3" t="s">
        <v>18</v>
      </c>
      <c r="B2103" s="3">
        <v>14922220</v>
      </c>
      <c r="C2103" s="3" t="s">
        <v>2148</v>
      </c>
      <c r="D2103" s="3" t="s">
        <v>1360</v>
      </c>
      <c r="E2103" s="3" t="s">
        <v>21</v>
      </c>
      <c r="F2103" s="3" t="s">
        <v>24</v>
      </c>
      <c r="G2103" s="3" t="s">
        <v>36</v>
      </c>
      <c r="H2103" s="3" t="s">
        <v>37</v>
      </c>
      <c r="I2103" s="3" t="s">
        <v>24</v>
      </c>
      <c r="J2103" s="3" t="s">
        <v>24</v>
      </c>
      <c r="K2103" s="3" t="s">
        <v>25</v>
      </c>
      <c r="L2103" s="4">
        <v>0</v>
      </c>
      <c r="M2103" s="3" t="s">
        <v>26</v>
      </c>
      <c r="N2103" s="3" t="s">
        <v>24</v>
      </c>
      <c r="O2103" s="4">
        <v>0</v>
      </c>
      <c r="P2103" s="4">
        <v>10</v>
      </c>
      <c r="Q2103" s="4">
        <v>0</v>
      </c>
    </row>
    <row r="2104" spans="1:17" x14ac:dyDescent="0.25">
      <c r="A2104" s="3" t="s">
        <v>18</v>
      </c>
      <c r="B2104" s="3">
        <v>14922311</v>
      </c>
      <c r="C2104" s="3" t="s">
        <v>2149</v>
      </c>
      <c r="D2104" s="3" t="s">
        <v>1360</v>
      </c>
      <c r="E2104" s="3" t="s">
        <v>21</v>
      </c>
      <c r="F2104" s="3" t="s">
        <v>24</v>
      </c>
      <c r="G2104" s="3" t="s">
        <v>233</v>
      </c>
      <c r="H2104" s="3" t="s">
        <v>234</v>
      </c>
      <c r="I2104" s="3" t="s">
        <v>24</v>
      </c>
      <c r="J2104" s="3" t="s">
        <v>24</v>
      </c>
      <c r="K2104" s="3" t="s">
        <v>25</v>
      </c>
      <c r="L2104" s="4">
        <v>0</v>
      </c>
      <c r="M2104" s="3" t="s">
        <v>26</v>
      </c>
      <c r="N2104" s="3" t="s">
        <v>24</v>
      </c>
      <c r="O2104" s="4">
        <v>1</v>
      </c>
      <c r="P2104" s="4">
        <v>3</v>
      </c>
      <c r="Q2104" s="4">
        <v>1</v>
      </c>
    </row>
    <row r="2105" spans="1:17" x14ac:dyDescent="0.25">
      <c r="A2105" s="3" t="s">
        <v>18</v>
      </c>
      <c r="B2105" s="3">
        <v>14922376</v>
      </c>
      <c r="C2105" s="3" t="s">
        <v>2150</v>
      </c>
      <c r="D2105" s="3" t="s">
        <v>20</v>
      </c>
      <c r="E2105" s="3" t="s">
        <v>21</v>
      </c>
      <c r="F2105" s="3" t="s">
        <v>24</v>
      </c>
      <c r="G2105" s="3" t="s">
        <v>410</v>
      </c>
      <c r="H2105" s="3" t="s">
        <v>411</v>
      </c>
      <c r="I2105" s="3" t="s">
        <v>24</v>
      </c>
      <c r="J2105" s="3" t="s">
        <v>24</v>
      </c>
      <c r="K2105" s="3" t="s">
        <v>25</v>
      </c>
      <c r="L2105" s="4">
        <v>0</v>
      </c>
      <c r="M2105" s="3" t="s">
        <v>26</v>
      </c>
      <c r="N2105" s="3" t="s">
        <v>24</v>
      </c>
      <c r="O2105" s="4">
        <v>1</v>
      </c>
      <c r="P2105" s="4">
        <v>8</v>
      </c>
      <c r="Q2105" s="4">
        <v>1</v>
      </c>
    </row>
    <row r="2106" spans="1:17" x14ac:dyDescent="0.25">
      <c r="A2106" s="3" t="s">
        <v>18</v>
      </c>
      <c r="B2106" s="3">
        <v>14922377</v>
      </c>
      <c r="C2106" s="3" t="s">
        <v>2151</v>
      </c>
      <c r="D2106" s="3" t="s">
        <v>20</v>
      </c>
      <c r="E2106" s="3" t="s">
        <v>21</v>
      </c>
      <c r="F2106" s="3" t="s">
        <v>24</v>
      </c>
      <c r="G2106" s="3" t="s">
        <v>410</v>
      </c>
      <c r="H2106" s="3" t="s">
        <v>411</v>
      </c>
      <c r="I2106" s="3" t="s">
        <v>24</v>
      </c>
      <c r="J2106" s="3" t="s">
        <v>24</v>
      </c>
      <c r="K2106" s="3" t="s">
        <v>25</v>
      </c>
      <c r="L2106" s="4">
        <v>0</v>
      </c>
      <c r="M2106" s="3" t="s">
        <v>26</v>
      </c>
      <c r="N2106" s="3" t="s">
        <v>24</v>
      </c>
      <c r="O2106" s="4">
        <v>1</v>
      </c>
      <c r="P2106" s="4">
        <v>8</v>
      </c>
      <c r="Q2106" s="4">
        <v>1</v>
      </c>
    </row>
    <row r="2107" spans="1:17" x14ac:dyDescent="0.25">
      <c r="A2107" s="3" t="s">
        <v>18</v>
      </c>
      <c r="B2107" s="3">
        <v>14922480</v>
      </c>
      <c r="C2107" s="3" t="s">
        <v>2152</v>
      </c>
      <c r="D2107" s="3" t="s">
        <v>20</v>
      </c>
      <c r="E2107" s="3" t="s">
        <v>21</v>
      </c>
      <c r="F2107" s="3" t="s">
        <v>24</v>
      </c>
      <c r="G2107" s="3" t="s">
        <v>410</v>
      </c>
      <c r="H2107" s="3" t="s">
        <v>411</v>
      </c>
      <c r="I2107" s="3" t="s">
        <v>24</v>
      </c>
      <c r="J2107" s="3" t="s">
        <v>24</v>
      </c>
      <c r="K2107" s="3" t="s">
        <v>25</v>
      </c>
      <c r="L2107" s="4">
        <v>0</v>
      </c>
      <c r="M2107" s="3" t="s">
        <v>26</v>
      </c>
      <c r="N2107" s="3" t="s">
        <v>24</v>
      </c>
      <c r="O2107" s="4">
        <v>1</v>
      </c>
      <c r="P2107" s="4">
        <v>8</v>
      </c>
      <c r="Q2107" s="4">
        <v>1</v>
      </c>
    </row>
    <row r="2108" spans="1:17" x14ac:dyDescent="0.25">
      <c r="A2108" s="3" t="s">
        <v>18</v>
      </c>
      <c r="B2108" s="3">
        <v>14922486</v>
      </c>
      <c r="C2108" s="3" t="s">
        <v>2153</v>
      </c>
      <c r="D2108" s="3" t="s">
        <v>20</v>
      </c>
      <c r="E2108" s="3" t="s">
        <v>21</v>
      </c>
      <c r="F2108" s="3" t="s">
        <v>24</v>
      </c>
      <c r="G2108" s="3" t="s">
        <v>410</v>
      </c>
      <c r="H2108" s="3" t="s">
        <v>411</v>
      </c>
      <c r="I2108" s="3" t="s">
        <v>24</v>
      </c>
      <c r="J2108" s="3" t="s">
        <v>24</v>
      </c>
      <c r="K2108" s="3" t="s">
        <v>25</v>
      </c>
      <c r="L2108" s="4">
        <v>0</v>
      </c>
      <c r="M2108" s="3" t="s">
        <v>26</v>
      </c>
      <c r="N2108" s="3" t="s">
        <v>24</v>
      </c>
      <c r="O2108" s="4">
        <v>1</v>
      </c>
      <c r="P2108" s="4">
        <v>8</v>
      </c>
      <c r="Q2108" s="4">
        <v>1</v>
      </c>
    </row>
    <row r="2109" spans="1:17" x14ac:dyDescent="0.25">
      <c r="A2109" s="3" t="s">
        <v>18</v>
      </c>
      <c r="B2109" s="3">
        <v>14941830</v>
      </c>
      <c r="C2109" s="3" t="s">
        <v>2154</v>
      </c>
      <c r="D2109" s="3" t="s">
        <v>1360</v>
      </c>
      <c r="E2109" s="3" t="s">
        <v>21</v>
      </c>
      <c r="F2109" s="3" t="s">
        <v>21</v>
      </c>
      <c r="G2109" s="3" t="s">
        <v>233</v>
      </c>
      <c r="H2109" s="3" t="s">
        <v>234</v>
      </c>
      <c r="I2109" s="3" t="s">
        <v>24</v>
      </c>
      <c r="J2109" s="3" t="s">
        <v>24</v>
      </c>
      <c r="K2109" s="3" t="s">
        <v>25</v>
      </c>
      <c r="L2109" s="4">
        <v>0</v>
      </c>
      <c r="M2109" s="3" t="s">
        <v>26</v>
      </c>
      <c r="N2109" s="3" t="s">
        <v>24</v>
      </c>
      <c r="O2109" s="4">
        <v>1</v>
      </c>
      <c r="P2109" s="4">
        <v>3</v>
      </c>
      <c r="Q2109" s="4">
        <v>1</v>
      </c>
    </row>
    <row r="2110" spans="1:17" x14ac:dyDescent="0.25">
      <c r="A2110" s="3" t="s">
        <v>18</v>
      </c>
      <c r="B2110" s="3">
        <v>14949606</v>
      </c>
      <c r="C2110" s="3" t="s">
        <v>2155</v>
      </c>
      <c r="D2110" s="3" t="s">
        <v>20</v>
      </c>
      <c r="E2110" s="3" t="s">
        <v>21</v>
      </c>
      <c r="F2110" s="3" t="s">
        <v>21</v>
      </c>
      <c r="G2110" s="3" t="s">
        <v>410</v>
      </c>
      <c r="H2110" s="3" t="s">
        <v>411</v>
      </c>
      <c r="I2110" s="3" t="s">
        <v>24</v>
      </c>
      <c r="J2110" s="3" t="s">
        <v>24</v>
      </c>
      <c r="K2110" s="3" t="s">
        <v>25</v>
      </c>
      <c r="L2110" s="4">
        <v>0</v>
      </c>
      <c r="M2110" s="3" t="s">
        <v>26</v>
      </c>
      <c r="N2110" s="3" t="s">
        <v>24</v>
      </c>
      <c r="O2110" s="4">
        <v>0</v>
      </c>
      <c r="P2110" s="4">
        <v>1</v>
      </c>
      <c r="Q2110" s="4">
        <v>0</v>
      </c>
    </row>
    <row r="2111" spans="1:17" x14ac:dyDescent="0.25">
      <c r="A2111" s="3" t="s">
        <v>18</v>
      </c>
      <c r="B2111" s="3">
        <v>14953012</v>
      </c>
      <c r="C2111" s="3" t="s">
        <v>2156</v>
      </c>
      <c r="D2111" s="3" t="s">
        <v>1360</v>
      </c>
      <c r="E2111" s="3" t="s">
        <v>21</v>
      </c>
      <c r="F2111" s="3" t="s">
        <v>21</v>
      </c>
      <c r="G2111" s="3" t="s">
        <v>233</v>
      </c>
      <c r="H2111" s="3" t="s">
        <v>234</v>
      </c>
      <c r="I2111" s="3" t="s">
        <v>24</v>
      </c>
      <c r="J2111" s="3" t="s">
        <v>24</v>
      </c>
      <c r="K2111" s="3" t="s">
        <v>25</v>
      </c>
      <c r="L2111" s="4">
        <v>0</v>
      </c>
      <c r="M2111" s="3" t="s">
        <v>26</v>
      </c>
      <c r="N2111" s="3" t="s">
        <v>24</v>
      </c>
      <c r="O2111" s="4">
        <v>0</v>
      </c>
      <c r="P2111" s="4">
        <v>3</v>
      </c>
      <c r="Q2111" s="4">
        <v>0</v>
      </c>
    </row>
    <row r="2112" spans="1:17" x14ac:dyDescent="0.25">
      <c r="A2112" s="3" t="s">
        <v>18</v>
      </c>
      <c r="B2112" s="3">
        <v>14969086</v>
      </c>
      <c r="C2112" s="3" t="s">
        <v>2157</v>
      </c>
      <c r="D2112" s="3" t="s">
        <v>20</v>
      </c>
      <c r="E2112" s="3" t="s">
        <v>21</v>
      </c>
      <c r="F2112" s="3" t="s">
        <v>21</v>
      </c>
      <c r="G2112" s="3" t="s">
        <v>410</v>
      </c>
      <c r="H2112" s="3" t="s">
        <v>411</v>
      </c>
      <c r="I2112" s="3" t="s">
        <v>24</v>
      </c>
      <c r="J2112" s="3" t="s">
        <v>24</v>
      </c>
      <c r="K2112" s="3" t="s">
        <v>25</v>
      </c>
      <c r="L2112" s="4">
        <v>0</v>
      </c>
      <c r="M2112" s="3" t="s">
        <v>26</v>
      </c>
      <c r="N2112" s="3" t="s">
        <v>24</v>
      </c>
      <c r="O2112" s="4">
        <v>1</v>
      </c>
      <c r="P2112" s="4">
        <v>1</v>
      </c>
      <c r="Q2112" s="4">
        <v>1</v>
      </c>
    </row>
    <row r="2113" spans="1:17" x14ac:dyDescent="0.25">
      <c r="A2113" s="3" t="s">
        <v>18</v>
      </c>
      <c r="B2113" s="3">
        <v>14975384</v>
      </c>
      <c r="C2113" s="3" t="s">
        <v>2158</v>
      </c>
      <c r="D2113" s="3" t="s">
        <v>20</v>
      </c>
      <c r="E2113" s="3" t="s">
        <v>21</v>
      </c>
      <c r="F2113" s="3" t="s">
        <v>21</v>
      </c>
      <c r="G2113" s="3" t="s">
        <v>410</v>
      </c>
      <c r="H2113" s="3" t="s">
        <v>411</v>
      </c>
      <c r="I2113" s="3" t="s">
        <v>24</v>
      </c>
      <c r="J2113" s="3" t="s">
        <v>24</v>
      </c>
      <c r="K2113" s="3" t="s">
        <v>25</v>
      </c>
      <c r="L2113" s="4">
        <v>0</v>
      </c>
      <c r="M2113" s="3" t="s">
        <v>26</v>
      </c>
      <c r="N2113" s="3" t="s">
        <v>24</v>
      </c>
      <c r="O2113" s="4">
        <v>1</v>
      </c>
      <c r="P2113" s="4">
        <v>1</v>
      </c>
      <c r="Q2113" s="4">
        <v>1</v>
      </c>
    </row>
    <row r="2114" spans="1:17" x14ac:dyDescent="0.25">
      <c r="A2114" s="3" t="s">
        <v>18</v>
      </c>
      <c r="B2114" s="3">
        <v>14979897</v>
      </c>
      <c r="C2114" s="3" t="s">
        <v>2159</v>
      </c>
      <c r="D2114" s="3" t="s">
        <v>1360</v>
      </c>
      <c r="E2114" s="3" t="s">
        <v>21</v>
      </c>
      <c r="F2114" s="3" t="s">
        <v>21</v>
      </c>
      <c r="G2114" s="3" t="s">
        <v>233</v>
      </c>
      <c r="H2114" s="3" t="s">
        <v>234</v>
      </c>
      <c r="I2114" s="3" t="s">
        <v>24</v>
      </c>
      <c r="J2114" s="3" t="s">
        <v>24</v>
      </c>
      <c r="K2114" s="3" t="s">
        <v>25</v>
      </c>
      <c r="L2114" s="4">
        <v>0</v>
      </c>
      <c r="M2114" s="3" t="s">
        <v>26</v>
      </c>
      <c r="N2114" s="3" t="s">
        <v>24</v>
      </c>
      <c r="O2114" s="4">
        <v>0</v>
      </c>
      <c r="P2114" s="4">
        <v>3</v>
      </c>
      <c r="Q2114" s="4">
        <v>0</v>
      </c>
    </row>
    <row r="2115" spans="1:17" x14ac:dyDescent="0.25">
      <c r="A2115" s="3" t="s">
        <v>18</v>
      </c>
      <c r="B2115" s="3">
        <v>14995270</v>
      </c>
      <c r="C2115" s="3" t="s">
        <v>2160</v>
      </c>
      <c r="D2115" s="3" t="s">
        <v>20</v>
      </c>
      <c r="E2115" s="3" t="s">
        <v>21</v>
      </c>
      <c r="F2115" s="3" t="s">
        <v>21</v>
      </c>
      <c r="G2115" s="3" t="s">
        <v>22</v>
      </c>
      <c r="H2115" s="3" t="s">
        <v>23</v>
      </c>
      <c r="I2115" s="3" t="s">
        <v>24</v>
      </c>
      <c r="J2115" s="3" t="s">
        <v>24</v>
      </c>
      <c r="K2115" s="3" t="s">
        <v>25</v>
      </c>
      <c r="L2115" s="4">
        <v>0</v>
      </c>
      <c r="M2115" s="3" t="s">
        <v>26</v>
      </c>
      <c r="N2115" s="3" t="s">
        <v>24</v>
      </c>
      <c r="O2115" s="4">
        <v>1</v>
      </c>
      <c r="P2115" s="4">
        <v>4</v>
      </c>
      <c r="Q2115" s="4">
        <v>1</v>
      </c>
    </row>
    <row r="2116" spans="1:17" x14ac:dyDescent="0.25">
      <c r="A2116" s="3" t="s">
        <v>18</v>
      </c>
      <c r="B2116" s="3">
        <v>14995485</v>
      </c>
      <c r="C2116" s="3" t="s">
        <v>2161</v>
      </c>
      <c r="D2116" s="3" t="s">
        <v>20</v>
      </c>
      <c r="E2116" s="3" t="s">
        <v>21</v>
      </c>
      <c r="F2116" s="3" t="s">
        <v>21</v>
      </c>
      <c r="G2116" s="3" t="s">
        <v>30</v>
      </c>
      <c r="H2116" s="3" t="s">
        <v>31</v>
      </c>
      <c r="I2116" s="3" t="s">
        <v>24</v>
      </c>
      <c r="J2116" s="3" t="s">
        <v>24</v>
      </c>
      <c r="K2116" s="3" t="s">
        <v>25</v>
      </c>
      <c r="L2116" s="4">
        <v>0</v>
      </c>
      <c r="M2116" s="3" t="s">
        <v>26</v>
      </c>
      <c r="N2116" s="3" t="s">
        <v>24</v>
      </c>
      <c r="O2116" s="4">
        <v>1</v>
      </c>
      <c r="P2116" s="4">
        <v>8</v>
      </c>
      <c r="Q2116" s="4">
        <v>0</v>
      </c>
    </row>
    <row r="2117" spans="1:17" x14ac:dyDescent="0.25">
      <c r="A2117" s="3" t="s">
        <v>18</v>
      </c>
      <c r="B2117" s="3">
        <v>14995487</v>
      </c>
      <c r="C2117" s="3" t="s">
        <v>2162</v>
      </c>
      <c r="D2117" s="3" t="s">
        <v>20</v>
      </c>
      <c r="E2117" s="3" t="s">
        <v>21</v>
      </c>
      <c r="F2117" s="3" t="s">
        <v>21</v>
      </c>
      <c r="G2117" s="3" t="s">
        <v>30</v>
      </c>
      <c r="H2117" s="3" t="s">
        <v>31</v>
      </c>
      <c r="I2117" s="3" t="s">
        <v>24</v>
      </c>
      <c r="J2117" s="3" t="s">
        <v>24</v>
      </c>
      <c r="K2117" s="3" t="s">
        <v>25</v>
      </c>
      <c r="L2117" s="4">
        <v>0</v>
      </c>
      <c r="M2117" s="3" t="s">
        <v>26</v>
      </c>
      <c r="N2117" s="3" t="s">
        <v>24</v>
      </c>
      <c r="O2117" s="4">
        <v>1</v>
      </c>
      <c r="P2117" s="4">
        <v>8</v>
      </c>
      <c r="Q2117" s="4">
        <v>0</v>
      </c>
    </row>
    <row r="2118" spans="1:17" x14ac:dyDescent="0.25">
      <c r="A2118" s="3" t="s">
        <v>18</v>
      </c>
      <c r="B2118" s="3">
        <v>14995659</v>
      </c>
      <c r="C2118" s="3" t="s">
        <v>2163</v>
      </c>
      <c r="D2118" s="3" t="s">
        <v>20</v>
      </c>
      <c r="E2118" s="3" t="s">
        <v>21</v>
      </c>
      <c r="F2118" s="3" t="s">
        <v>21</v>
      </c>
      <c r="G2118" s="3" t="s">
        <v>42</v>
      </c>
      <c r="H2118" s="3" t="s">
        <v>43</v>
      </c>
      <c r="I2118" s="3" t="s">
        <v>24</v>
      </c>
      <c r="J2118" s="3" t="s">
        <v>24</v>
      </c>
      <c r="K2118" s="3" t="s">
        <v>25</v>
      </c>
      <c r="L2118" s="4">
        <v>0</v>
      </c>
      <c r="M2118" s="3" t="s">
        <v>26</v>
      </c>
      <c r="N2118" s="3" t="s">
        <v>24</v>
      </c>
      <c r="O2118" s="4">
        <v>0</v>
      </c>
      <c r="P2118" s="4">
        <v>8</v>
      </c>
      <c r="Q2118" s="4">
        <v>1</v>
      </c>
    </row>
    <row r="2119" spans="1:17" x14ac:dyDescent="0.25">
      <c r="A2119" s="3" t="s">
        <v>18</v>
      </c>
      <c r="B2119" s="3">
        <v>14995661</v>
      </c>
      <c r="C2119" s="3" t="s">
        <v>2164</v>
      </c>
      <c r="D2119" s="3" t="s">
        <v>20</v>
      </c>
      <c r="E2119" s="3" t="s">
        <v>21</v>
      </c>
      <c r="F2119" s="3" t="s">
        <v>21</v>
      </c>
      <c r="G2119" s="3" t="s">
        <v>42</v>
      </c>
      <c r="H2119" s="3" t="s">
        <v>43</v>
      </c>
      <c r="I2119" s="3" t="s">
        <v>24</v>
      </c>
      <c r="J2119" s="3" t="s">
        <v>24</v>
      </c>
      <c r="K2119" s="3" t="s">
        <v>25</v>
      </c>
      <c r="L2119" s="4">
        <v>0</v>
      </c>
      <c r="M2119" s="3" t="s">
        <v>26</v>
      </c>
      <c r="N2119" s="3" t="s">
        <v>24</v>
      </c>
      <c r="O2119" s="4">
        <v>0</v>
      </c>
      <c r="P2119" s="4">
        <v>8</v>
      </c>
      <c r="Q2119" s="4">
        <v>1</v>
      </c>
    </row>
    <row r="2120" spans="1:17" x14ac:dyDescent="0.25">
      <c r="A2120" s="3" t="s">
        <v>18</v>
      </c>
      <c r="B2120" s="3">
        <v>14995663</v>
      </c>
      <c r="C2120" s="3" t="s">
        <v>2165</v>
      </c>
      <c r="D2120" s="3" t="s">
        <v>20</v>
      </c>
      <c r="E2120" s="3" t="s">
        <v>21</v>
      </c>
      <c r="F2120" s="3" t="s">
        <v>21</v>
      </c>
      <c r="G2120" s="3" t="s">
        <v>22</v>
      </c>
      <c r="H2120" s="3" t="s">
        <v>23</v>
      </c>
      <c r="I2120" s="3" t="s">
        <v>24</v>
      </c>
      <c r="J2120" s="3" t="s">
        <v>24</v>
      </c>
      <c r="K2120" s="3" t="s">
        <v>25</v>
      </c>
      <c r="L2120" s="4">
        <v>0</v>
      </c>
      <c r="M2120" s="3" t="s">
        <v>26</v>
      </c>
      <c r="N2120" s="3" t="s">
        <v>24</v>
      </c>
      <c r="O2120" s="4">
        <v>1</v>
      </c>
      <c r="P2120" s="4">
        <v>4</v>
      </c>
      <c r="Q2120" s="4">
        <v>1</v>
      </c>
    </row>
    <row r="2121" spans="1:17" x14ac:dyDescent="0.25">
      <c r="A2121" s="3" t="s">
        <v>18</v>
      </c>
      <c r="B2121" s="3">
        <v>14995664</v>
      </c>
      <c r="C2121" s="3" t="s">
        <v>2166</v>
      </c>
      <c r="D2121" s="3" t="s">
        <v>20</v>
      </c>
      <c r="E2121" s="3" t="s">
        <v>21</v>
      </c>
      <c r="F2121" s="3" t="s">
        <v>21</v>
      </c>
      <c r="G2121" s="3" t="s">
        <v>22</v>
      </c>
      <c r="H2121" s="3" t="s">
        <v>23</v>
      </c>
      <c r="I2121" s="3" t="s">
        <v>24</v>
      </c>
      <c r="J2121" s="3" t="s">
        <v>24</v>
      </c>
      <c r="K2121" s="3" t="s">
        <v>25</v>
      </c>
      <c r="L2121" s="4">
        <v>0</v>
      </c>
      <c r="M2121" s="3" t="s">
        <v>26</v>
      </c>
      <c r="N2121" s="3" t="s">
        <v>24</v>
      </c>
      <c r="O2121" s="4">
        <v>0</v>
      </c>
      <c r="P2121" s="4">
        <v>4</v>
      </c>
      <c r="Q2121" s="4">
        <v>0</v>
      </c>
    </row>
    <row r="2122" spans="1:17" x14ac:dyDescent="0.25">
      <c r="A2122" s="3" t="s">
        <v>18</v>
      </c>
      <c r="B2122" s="3">
        <v>14995666</v>
      </c>
      <c r="C2122" s="3" t="s">
        <v>2167</v>
      </c>
      <c r="D2122" s="3" t="s">
        <v>20</v>
      </c>
      <c r="E2122" s="3" t="s">
        <v>21</v>
      </c>
      <c r="F2122" s="3" t="s">
        <v>21</v>
      </c>
      <c r="G2122" s="3" t="s">
        <v>22</v>
      </c>
      <c r="H2122" s="3" t="s">
        <v>23</v>
      </c>
      <c r="I2122" s="3" t="s">
        <v>24</v>
      </c>
      <c r="J2122" s="3" t="s">
        <v>24</v>
      </c>
      <c r="K2122" s="3" t="s">
        <v>25</v>
      </c>
      <c r="L2122" s="4">
        <v>0</v>
      </c>
      <c r="M2122" s="3" t="s">
        <v>26</v>
      </c>
      <c r="N2122" s="3" t="s">
        <v>24</v>
      </c>
      <c r="O2122" s="4">
        <v>0</v>
      </c>
      <c r="P2122" s="4">
        <v>4</v>
      </c>
      <c r="Q2122" s="4">
        <v>0</v>
      </c>
    </row>
    <row r="2123" spans="1:17" x14ac:dyDescent="0.25">
      <c r="A2123" s="3" t="s">
        <v>18</v>
      </c>
      <c r="B2123" s="3">
        <v>14995753</v>
      </c>
      <c r="C2123" s="3" t="s">
        <v>2168</v>
      </c>
      <c r="D2123" s="3" t="s">
        <v>1360</v>
      </c>
      <c r="E2123" s="3" t="s">
        <v>21</v>
      </c>
      <c r="F2123" s="3" t="s">
        <v>21</v>
      </c>
      <c r="G2123" s="3" t="s">
        <v>36</v>
      </c>
      <c r="H2123" s="3" t="s">
        <v>37</v>
      </c>
      <c r="I2123" s="3" t="s">
        <v>24</v>
      </c>
      <c r="J2123" s="3" t="s">
        <v>24</v>
      </c>
      <c r="K2123" s="3" t="s">
        <v>25</v>
      </c>
      <c r="L2123" s="4">
        <v>0</v>
      </c>
      <c r="M2123" s="3" t="s">
        <v>26</v>
      </c>
      <c r="N2123" s="3" t="s">
        <v>24</v>
      </c>
      <c r="O2123" s="4">
        <v>0</v>
      </c>
      <c r="P2123" s="4">
        <v>10</v>
      </c>
      <c r="Q2123" s="4">
        <v>0</v>
      </c>
    </row>
    <row r="2124" spans="1:17" x14ac:dyDescent="0.25">
      <c r="A2124" s="3" t="s">
        <v>18</v>
      </c>
      <c r="B2124" s="3">
        <v>14995754</v>
      </c>
      <c r="C2124" s="3" t="s">
        <v>2169</v>
      </c>
      <c r="D2124" s="3" t="s">
        <v>1360</v>
      </c>
      <c r="E2124" s="3" t="s">
        <v>21</v>
      </c>
      <c r="F2124" s="3" t="s">
        <v>21</v>
      </c>
      <c r="G2124" s="3" t="s">
        <v>36</v>
      </c>
      <c r="H2124" s="3" t="s">
        <v>37</v>
      </c>
      <c r="I2124" s="3" t="s">
        <v>24</v>
      </c>
      <c r="J2124" s="3" t="s">
        <v>24</v>
      </c>
      <c r="K2124" s="3" t="s">
        <v>25</v>
      </c>
      <c r="L2124" s="4">
        <v>0</v>
      </c>
      <c r="M2124" s="3" t="s">
        <v>26</v>
      </c>
      <c r="N2124" s="3" t="s">
        <v>24</v>
      </c>
      <c r="O2124" s="4">
        <v>1</v>
      </c>
      <c r="P2124" s="4">
        <v>10</v>
      </c>
      <c r="Q2124" s="4">
        <v>1</v>
      </c>
    </row>
    <row r="2125" spans="1:17" x14ac:dyDescent="0.25">
      <c r="A2125" s="3" t="s">
        <v>18</v>
      </c>
      <c r="B2125" s="3">
        <v>14995755</v>
      </c>
      <c r="C2125" s="3" t="s">
        <v>2170</v>
      </c>
      <c r="D2125" s="3" t="s">
        <v>1360</v>
      </c>
      <c r="E2125" s="3" t="s">
        <v>21</v>
      </c>
      <c r="F2125" s="3" t="s">
        <v>21</v>
      </c>
      <c r="G2125" s="3" t="s">
        <v>233</v>
      </c>
      <c r="H2125" s="3" t="s">
        <v>234</v>
      </c>
      <c r="I2125" s="3" t="s">
        <v>24</v>
      </c>
      <c r="J2125" s="3" t="s">
        <v>24</v>
      </c>
      <c r="K2125" s="3" t="s">
        <v>25</v>
      </c>
      <c r="L2125" s="4">
        <v>0</v>
      </c>
      <c r="M2125" s="3" t="s">
        <v>26</v>
      </c>
      <c r="N2125" s="3" t="s">
        <v>24</v>
      </c>
      <c r="O2125" s="4">
        <v>1</v>
      </c>
      <c r="P2125" s="4">
        <v>3</v>
      </c>
      <c r="Q2125" s="4">
        <v>1</v>
      </c>
    </row>
    <row r="2126" spans="1:17" x14ac:dyDescent="0.25">
      <c r="A2126" s="3" t="s">
        <v>18</v>
      </c>
      <c r="B2126" s="3">
        <v>15003381</v>
      </c>
      <c r="C2126" s="3" t="s">
        <v>2171</v>
      </c>
      <c r="D2126" s="3" t="s">
        <v>20</v>
      </c>
      <c r="E2126" s="3" t="s">
        <v>21</v>
      </c>
      <c r="F2126" s="3" t="s">
        <v>21</v>
      </c>
      <c r="G2126" s="3" t="s">
        <v>22</v>
      </c>
      <c r="H2126" s="3" t="s">
        <v>23</v>
      </c>
      <c r="I2126" s="3" t="s">
        <v>24</v>
      </c>
      <c r="J2126" s="3" t="s">
        <v>24</v>
      </c>
      <c r="K2126" s="3" t="s">
        <v>25</v>
      </c>
      <c r="L2126" s="4">
        <v>0</v>
      </c>
      <c r="M2126" s="3" t="s">
        <v>26</v>
      </c>
      <c r="N2126" s="3" t="s">
        <v>24</v>
      </c>
      <c r="O2126" s="4">
        <v>1</v>
      </c>
      <c r="P2126" s="4">
        <v>4</v>
      </c>
      <c r="Q2126" s="4">
        <v>1</v>
      </c>
    </row>
    <row r="2127" spans="1:17" x14ac:dyDescent="0.25">
      <c r="A2127" s="3" t="s">
        <v>18</v>
      </c>
      <c r="B2127" s="3">
        <v>15005875</v>
      </c>
      <c r="C2127" s="3" t="s">
        <v>2172</v>
      </c>
      <c r="D2127" s="3" t="s">
        <v>20</v>
      </c>
      <c r="E2127" s="3" t="s">
        <v>21</v>
      </c>
      <c r="F2127" s="3" t="s">
        <v>21</v>
      </c>
      <c r="G2127" s="3" t="s">
        <v>233</v>
      </c>
      <c r="H2127" s="3" t="s">
        <v>234</v>
      </c>
      <c r="I2127" s="3" t="s">
        <v>24</v>
      </c>
      <c r="J2127" s="3" t="s">
        <v>24</v>
      </c>
      <c r="K2127" s="3" t="s">
        <v>25</v>
      </c>
      <c r="L2127" s="4">
        <v>0</v>
      </c>
      <c r="M2127" s="3" t="s">
        <v>26</v>
      </c>
      <c r="N2127" s="3" t="s">
        <v>24</v>
      </c>
      <c r="O2127" s="4">
        <v>1</v>
      </c>
      <c r="P2127" s="4">
        <v>3</v>
      </c>
      <c r="Q2127" s="4">
        <v>1</v>
      </c>
    </row>
    <row r="2128" spans="1:17" x14ac:dyDescent="0.25">
      <c r="A2128" s="3" t="s">
        <v>18</v>
      </c>
      <c r="B2128" s="3">
        <v>15006038</v>
      </c>
      <c r="C2128" s="3" t="s">
        <v>2173</v>
      </c>
      <c r="D2128" s="3" t="s">
        <v>20</v>
      </c>
      <c r="E2128" s="3" t="s">
        <v>21</v>
      </c>
      <c r="F2128" s="3" t="s">
        <v>21</v>
      </c>
      <c r="G2128" s="3" t="s">
        <v>233</v>
      </c>
      <c r="H2128" s="3" t="s">
        <v>234</v>
      </c>
      <c r="I2128" s="3" t="s">
        <v>24</v>
      </c>
      <c r="J2128" s="3" t="s">
        <v>24</v>
      </c>
      <c r="K2128" s="3" t="s">
        <v>25</v>
      </c>
      <c r="L2128" s="4">
        <v>0</v>
      </c>
      <c r="M2128" s="3" t="s">
        <v>26</v>
      </c>
      <c r="N2128" s="3" t="s">
        <v>24</v>
      </c>
      <c r="O2128" s="4">
        <v>1</v>
      </c>
      <c r="P2128" s="4">
        <v>3</v>
      </c>
      <c r="Q2128" s="4">
        <v>1</v>
      </c>
    </row>
    <row r="2129" spans="1:17" x14ac:dyDescent="0.25">
      <c r="A2129" s="3" t="s">
        <v>18</v>
      </c>
      <c r="B2129" s="3">
        <v>15006082</v>
      </c>
      <c r="C2129" s="3" t="s">
        <v>2174</v>
      </c>
      <c r="D2129" s="3" t="s">
        <v>20</v>
      </c>
      <c r="E2129" s="3" t="s">
        <v>21</v>
      </c>
      <c r="F2129" s="3" t="s">
        <v>21</v>
      </c>
      <c r="G2129" s="3" t="s">
        <v>233</v>
      </c>
      <c r="H2129" s="3" t="s">
        <v>234</v>
      </c>
      <c r="I2129" s="3" t="s">
        <v>24</v>
      </c>
      <c r="J2129" s="3" t="s">
        <v>24</v>
      </c>
      <c r="K2129" s="3" t="s">
        <v>25</v>
      </c>
      <c r="L2129" s="4">
        <v>0</v>
      </c>
      <c r="M2129" s="3" t="s">
        <v>26</v>
      </c>
      <c r="N2129" s="3" t="s">
        <v>24</v>
      </c>
      <c r="O2129" s="4">
        <v>1</v>
      </c>
      <c r="P2129" s="4">
        <v>3</v>
      </c>
      <c r="Q2129" s="4">
        <v>1</v>
      </c>
    </row>
    <row r="2130" spans="1:17" x14ac:dyDescent="0.25">
      <c r="A2130" s="3" t="s">
        <v>18</v>
      </c>
      <c r="B2130" s="3">
        <v>15006109</v>
      </c>
      <c r="C2130" s="3" t="s">
        <v>2175</v>
      </c>
      <c r="D2130" s="3" t="s">
        <v>20</v>
      </c>
      <c r="E2130" s="3" t="s">
        <v>21</v>
      </c>
      <c r="F2130" s="3" t="s">
        <v>21</v>
      </c>
      <c r="G2130" s="3" t="s">
        <v>233</v>
      </c>
      <c r="H2130" s="3" t="s">
        <v>234</v>
      </c>
      <c r="I2130" s="3" t="s">
        <v>24</v>
      </c>
      <c r="J2130" s="3" t="s">
        <v>24</v>
      </c>
      <c r="K2130" s="3" t="s">
        <v>25</v>
      </c>
      <c r="L2130" s="4">
        <v>0</v>
      </c>
      <c r="M2130" s="3" t="s">
        <v>26</v>
      </c>
      <c r="N2130" s="3" t="s">
        <v>24</v>
      </c>
      <c r="O2130" s="4">
        <v>1</v>
      </c>
      <c r="P2130" s="4">
        <v>3</v>
      </c>
      <c r="Q2130" s="4">
        <v>1</v>
      </c>
    </row>
    <row r="2131" spans="1:17" x14ac:dyDescent="0.25">
      <c r="A2131" s="3" t="s">
        <v>18</v>
      </c>
      <c r="B2131" s="3">
        <v>15006944</v>
      </c>
      <c r="C2131" s="3" t="s">
        <v>2176</v>
      </c>
      <c r="D2131" s="3" t="s">
        <v>20</v>
      </c>
      <c r="E2131" s="3" t="s">
        <v>21</v>
      </c>
      <c r="F2131" s="3" t="s">
        <v>21</v>
      </c>
      <c r="G2131" s="3" t="s">
        <v>410</v>
      </c>
      <c r="H2131" s="3" t="s">
        <v>411</v>
      </c>
      <c r="I2131" s="3" t="s">
        <v>24</v>
      </c>
      <c r="J2131" s="3" t="s">
        <v>24</v>
      </c>
      <c r="K2131" s="3" t="s">
        <v>25</v>
      </c>
      <c r="L2131" s="4">
        <v>0</v>
      </c>
      <c r="M2131" s="3" t="s">
        <v>26</v>
      </c>
      <c r="N2131" s="3" t="s">
        <v>24</v>
      </c>
      <c r="O2131" s="4">
        <v>1</v>
      </c>
      <c r="P2131" s="4">
        <v>1</v>
      </c>
      <c r="Q2131" s="4">
        <v>1</v>
      </c>
    </row>
    <row r="2132" spans="1:17" x14ac:dyDescent="0.25">
      <c r="A2132" s="3" t="s">
        <v>18</v>
      </c>
      <c r="B2132" s="3">
        <v>15015020</v>
      </c>
      <c r="C2132" s="3" t="s">
        <v>2177</v>
      </c>
      <c r="D2132" s="3" t="s">
        <v>20</v>
      </c>
      <c r="E2132" s="3" t="s">
        <v>21</v>
      </c>
      <c r="F2132" s="3" t="s">
        <v>21</v>
      </c>
      <c r="G2132" s="3" t="s">
        <v>410</v>
      </c>
      <c r="H2132" s="3" t="s">
        <v>411</v>
      </c>
      <c r="I2132" s="3" t="s">
        <v>24</v>
      </c>
      <c r="J2132" s="3" t="s">
        <v>24</v>
      </c>
      <c r="K2132" s="3" t="s">
        <v>25</v>
      </c>
      <c r="L2132" s="4">
        <v>0</v>
      </c>
      <c r="M2132" s="3" t="s">
        <v>26</v>
      </c>
      <c r="N2132" s="3" t="s">
        <v>24</v>
      </c>
      <c r="O2132" s="4">
        <v>0</v>
      </c>
      <c r="P2132" s="4">
        <v>1</v>
      </c>
      <c r="Q2132" s="4">
        <v>0</v>
      </c>
    </row>
    <row r="2133" spans="1:17" x14ac:dyDescent="0.25">
      <c r="A2133" s="3" t="s">
        <v>18</v>
      </c>
      <c r="B2133" s="3">
        <v>15024449</v>
      </c>
      <c r="C2133" s="3" t="s">
        <v>2178</v>
      </c>
      <c r="D2133" s="3" t="s">
        <v>20</v>
      </c>
      <c r="E2133" s="3" t="s">
        <v>21</v>
      </c>
      <c r="F2133" s="3" t="s">
        <v>21</v>
      </c>
      <c r="G2133" s="3" t="s">
        <v>233</v>
      </c>
      <c r="H2133" s="3" t="s">
        <v>234</v>
      </c>
      <c r="I2133" s="3" t="s">
        <v>24</v>
      </c>
      <c r="J2133" s="3" t="s">
        <v>24</v>
      </c>
      <c r="K2133" s="3" t="s">
        <v>25</v>
      </c>
      <c r="L2133" s="4">
        <v>0</v>
      </c>
      <c r="M2133" s="3" t="s">
        <v>26</v>
      </c>
      <c r="N2133" s="3" t="s">
        <v>24</v>
      </c>
      <c r="O2133" s="4">
        <v>0</v>
      </c>
      <c r="P2133" s="4">
        <v>3</v>
      </c>
      <c r="Q2133" s="4">
        <v>0</v>
      </c>
    </row>
    <row r="2134" spans="1:17" x14ac:dyDescent="0.25">
      <c r="A2134" s="3" t="s">
        <v>18</v>
      </c>
      <c r="B2134" s="3">
        <v>15028874</v>
      </c>
      <c r="C2134" s="3" t="s">
        <v>2179</v>
      </c>
      <c r="D2134" s="3" t="s">
        <v>20</v>
      </c>
      <c r="E2134" s="3" t="s">
        <v>21</v>
      </c>
      <c r="F2134" s="3" t="s">
        <v>21</v>
      </c>
      <c r="G2134" s="3" t="s">
        <v>233</v>
      </c>
      <c r="H2134" s="3" t="s">
        <v>234</v>
      </c>
      <c r="I2134" s="3" t="s">
        <v>24</v>
      </c>
      <c r="J2134" s="3" t="s">
        <v>24</v>
      </c>
      <c r="K2134" s="3" t="s">
        <v>25</v>
      </c>
      <c r="L2134" s="4">
        <v>0</v>
      </c>
      <c r="M2134" s="3" t="s">
        <v>26</v>
      </c>
      <c r="N2134" s="3" t="s">
        <v>24</v>
      </c>
      <c r="O2134" s="4">
        <v>1</v>
      </c>
      <c r="P2134" s="4">
        <v>3</v>
      </c>
      <c r="Q2134" s="4">
        <v>1</v>
      </c>
    </row>
    <row r="2135" spans="1:17" x14ac:dyDescent="0.25">
      <c r="A2135" s="3" t="s">
        <v>18</v>
      </c>
      <c r="B2135" s="3">
        <v>15028918</v>
      </c>
      <c r="C2135" s="3" t="s">
        <v>2180</v>
      </c>
      <c r="D2135" s="3" t="s">
        <v>20</v>
      </c>
      <c r="E2135" s="3" t="s">
        <v>21</v>
      </c>
      <c r="F2135" s="3" t="s">
        <v>21</v>
      </c>
      <c r="G2135" s="3" t="s">
        <v>233</v>
      </c>
      <c r="H2135" s="3" t="s">
        <v>234</v>
      </c>
      <c r="I2135" s="3" t="s">
        <v>24</v>
      </c>
      <c r="J2135" s="3" t="s">
        <v>24</v>
      </c>
      <c r="K2135" s="3" t="s">
        <v>25</v>
      </c>
      <c r="L2135" s="4">
        <v>0</v>
      </c>
      <c r="M2135" s="3" t="s">
        <v>26</v>
      </c>
      <c r="N2135" s="3" t="s">
        <v>24</v>
      </c>
      <c r="O2135" s="4">
        <v>1</v>
      </c>
      <c r="P2135" s="4">
        <v>3</v>
      </c>
      <c r="Q2135" s="4">
        <v>1</v>
      </c>
    </row>
    <row r="2136" spans="1:17" x14ac:dyDescent="0.25">
      <c r="A2136" s="3" t="s">
        <v>18</v>
      </c>
      <c r="B2136" s="3">
        <v>15028922</v>
      </c>
      <c r="C2136" s="3" t="s">
        <v>2181</v>
      </c>
      <c r="D2136" s="3" t="s">
        <v>20</v>
      </c>
      <c r="E2136" s="3" t="s">
        <v>21</v>
      </c>
      <c r="F2136" s="3" t="s">
        <v>21</v>
      </c>
      <c r="G2136" s="3" t="s">
        <v>233</v>
      </c>
      <c r="H2136" s="3" t="s">
        <v>234</v>
      </c>
      <c r="I2136" s="3" t="s">
        <v>24</v>
      </c>
      <c r="J2136" s="3" t="s">
        <v>24</v>
      </c>
      <c r="K2136" s="3" t="s">
        <v>25</v>
      </c>
      <c r="L2136" s="4">
        <v>0</v>
      </c>
      <c r="M2136" s="3" t="s">
        <v>26</v>
      </c>
      <c r="N2136" s="3" t="s">
        <v>24</v>
      </c>
      <c r="O2136" s="4">
        <v>1</v>
      </c>
      <c r="P2136" s="4">
        <v>3</v>
      </c>
      <c r="Q2136" s="4">
        <v>1</v>
      </c>
    </row>
    <row r="2137" spans="1:17" x14ac:dyDescent="0.25">
      <c r="A2137" s="3" t="s">
        <v>18</v>
      </c>
      <c r="B2137" s="3">
        <v>15028939</v>
      </c>
      <c r="C2137" s="3" t="s">
        <v>2182</v>
      </c>
      <c r="D2137" s="3" t="s">
        <v>20</v>
      </c>
      <c r="E2137" s="3" t="s">
        <v>21</v>
      </c>
      <c r="F2137" s="3" t="s">
        <v>21</v>
      </c>
      <c r="G2137" s="3" t="s">
        <v>233</v>
      </c>
      <c r="H2137" s="3" t="s">
        <v>234</v>
      </c>
      <c r="I2137" s="3" t="s">
        <v>24</v>
      </c>
      <c r="J2137" s="3" t="s">
        <v>24</v>
      </c>
      <c r="K2137" s="3" t="s">
        <v>25</v>
      </c>
      <c r="L2137" s="4">
        <v>0</v>
      </c>
      <c r="M2137" s="3" t="s">
        <v>26</v>
      </c>
      <c r="N2137" s="3" t="s">
        <v>24</v>
      </c>
      <c r="O2137" s="4">
        <v>1</v>
      </c>
      <c r="P2137" s="4">
        <v>3</v>
      </c>
      <c r="Q2137" s="4">
        <v>1</v>
      </c>
    </row>
    <row r="2138" spans="1:17" x14ac:dyDescent="0.25">
      <c r="A2138" s="3" t="s">
        <v>18</v>
      </c>
      <c r="B2138" s="3">
        <v>15034305</v>
      </c>
      <c r="C2138" s="3" t="s">
        <v>2183</v>
      </c>
      <c r="D2138" s="3" t="s">
        <v>20</v>
      </c>
      <c r="E2138" s="3" t="s">
        <v>21</v>
      </c>
      <c r="F2138" s="3" t="s">
        <v>21</v>
      </c>
      <c r="G2138" s="3" t="s">
        <v>233</v>
      </c>
      <c r="H2138" s="3" t="s">
        <v>234</v>
      </c>
      <c r="I2138" s="3" t="s">
        <v>24</v>
      </c>
      <c r="J2138" s="3" t="s">
        <v>24</v>
      </c>
      <c r="K2138" s="3" t="s">
        <v>25</v>
      </c>
      <c r="L2138" s="4">
        <v>0</v>
      </c>
      <c r="M2138" s="3" t="s">
        <v>26</v>
      </c>
      <c r="N2138" s="3" t="s">
        <v>24</v>
      </c>
      <c r="O2138" s="4">
        <v>0</v>
      </c>
      <c r="P2138" s="4">
        <v>3</v>
      </c>
      <c r="Q2138" s="4">
        <v>0</v>
      </c>
    </row>
    <row r="2139" spans="1:17" x14ac:dyDescent="0.25">
      <c r="A2139" s="3" t="s">
        <v>18</v>
      </c>
      <c r="B2139" s="3">
        <v>15061240</v>
      </c>
      <c r="C2139" s="3" t="s">
        <v>2184</v>
      </c>
      <c r="D2139" s="3" t="s">
        <v>20</v>
      </c>
      <c r="E2139" s="3" t="s">
        <v>21</v>
      </c>
      <c r="F2139" s="3" t="s">
        <v>21</v>
      </c>
      <c r="G2139" s="3" t="s">
        <v>36</v>
      </c>
      <c r="H2139" s="3" t="s">
        <v>37</v>
      </c>
      <c r="I2139" s="3" t="s">
        <v>24</v>
      </c>
      <c r="J2139" s="3" t="s">
        <v>24</v>
      </c>
      <c r="K2139" s="3" t="s">
        <v>25</v>
      </c>
      <c r="L2139" s="4">
        <v>0</v>
      </c>
      <c r="M2139" s="3" t="s">
        <v>26</v>
      </c>
      <c r="N2139" s="3" t="s">
        <v>24</v>
      </c>
      <c r="O2139" s="4">
        <v>0</v>
      </c>
      <c r="P2139" s="4">
        <v>2</v>
      </c>
      <c r="Q2139" s="4">
        <v>0</v>
      </c>
    </row>
    <row r="2140" spans="1:17" x14ac:dyDescent="0.25">
      <c r="A2140" s="3" t="s">
        <v>18</v>
      </c>
      <c r="B2140" s="3">
        <v>15070911</v>
      </c>
      <c r="C2140" s="3" t="s">
        <v>2185</v>
      </c>
      <c r="D2140" s="3" t="s">
        <v>20</v>
      </c>
      <c r="E2140" s="3" t="s">
        <v>21</v>
      </c>
      <c r="F2140" s="3" t="s">
        <v>21</v>
      </c>
      <c r="G2140" s="3" t="s">
        <v>30</v>
      </c>
      <c r="H2140" s="3" t="s">
        <v>31</v>
      </c>
      <c r="I2140" s="3" t="s">
        <v>24</v>
      </c>
      <c r="J2140" s="3" t="s">
        <v>24</v>
      </c>
      <c r="K2140" s="3" t="s">
        <v>25</v>
      </c>
      <c r="L2140" s="4">
        <v>0</v>
      </c>
      <c r="M2140" s="3" t="s">
        <v>26</v>
      </c>
      <c r="N2140" s="3" t="s">
        <v>24</v>
      </c>
      <c r="O2140" s="4">
        <v>1</v>
      </c>
      <c r="P2140" s="4">
        <v>9</v>
      </c>
      <c r="Q2140" s="4">
        <v>0</v>
      </c>
    </row>
    <row r="2141" spans="1:17" x14ac:dyDescent="0.25">
      <c r="A2141" s="3" t="s">
        <v>18</v>
      </c>
      <c r="B2141" s="3">
        <v>15070913</v>
      </c>
      <c r="C2141" s="3" t="s">
        <v>2186</v>
      </c>
      <c r="D2141" s="3" t="s">
        <v>20</v>
      </c>
      <c r="E2141" s="3" t="s">
        <v>21</v>
      </c>
      <c r="F2141" s="3" t="s">
        <v>21</v>
      </c>
      <c r="G2141" s="3" t="s">
        <v>30</v>
      </c>
      <c r="H2141" s="3" t="s">
        <v>31</v>
      </c>
      <c r="I2141" s="3" t="s">
        <v>24</v>
      </c>
      <c r="J2141" s="3" t="s">
        <v>24</v>
      </c>
      <c r="K2141" s="3" t="s">
        <v>25</v>
      </c>
      <c r="L2141" s="4">
        <v>0</v>
      </c>
      <c r="M2141" s="3" t="s">
        <v>26</v>
      </c>
      <c r="N2141" s="3" t="s">
        <v>24</v>
      </c>
      <c r="O2141" s="4">
        <v>1</v>
      </c>
      <c r="P2141" s="4">
        <v>9</v>
      </c>
      <c r="Q2141" s="4">
        <v>0</v>
      </c>
    </row>
    <row r="2142" spans="1:17" x14ac:dyDescent="0.25">
      <c r="A2142" s="3" t="s">
        <v>18</v>
      </c>
      <c r="B2142" s="3">
        <v>15070914</v>
      </c>
      <c r="C2142" s="3" t="s">
        <v>2187</v>
      </c>
      <c r="D2142" s="3" t="s">
        <v>20</v>
      </c>
      <c r="E2142" s="3" t="s">
        <v>21</v>
      </c>
      <c r="F2142" s="3" t="s">
        <v>21</v>
      </c>
      <c r="G2142" s="3" t="s">
        <v>30</v>
      </c>
      <c r="H2142" s="3" t="s">
        <v>31</v>
      </c>
      <c r="I2142" s="3" t="s">
        <v>24</v>
      </c>
      <c r="J2142" s="3" t="s">
        <v>24</v>
      </c>
      <c r="K2142" s="3" t="s">
        <v>25</v>
      </c>
      <c r="L2142" s="4">
        <v>0</v>
      </c>
      <c r="M2142" s="3" t="s">
        <v>26</v>
      </c>
      <c r="N2142" s="3" t="s">
        <v>24</v>
      </c>
      <c r="O2142" s="4">
        <v>1</v>
      </c>
      <c r="P2142" s="4">
        <v>8</v>
      </c>
      <c r="Q2142" s="4">
        <v>0</v>
      </c>
    </row>
    <row r="2143" spans="1:17" x14ac:dyDescent="0.25">
      <c r="A2143" s="3" t="s">
        <v>18</v>
      </c>
      <c r="B2143" s="3">
        <v>15070915</v>
      </c>
      <c r="C2143" s="3" t="s">
        <v>2188</v>
      </c>
      <c r="D2143" s="3" t="s">
        <v>20</v>
      </c>
      <c r="E2143" s="3" t="s">
        <v>21</v>
      </c>
      <c r="F2143" s="3" t="s">
        <v>21</v>
      </c>
      <c r="G2143" s="3" t="s">
        <v>22</v>
      </c>
      <c r="H2143" s="3" t="s">
        <v>23</v>
      </c>
      <c r="I2143" s="3" t="s">
        <v>24</v>
      </c>
      <c r="J2143" s="3" t="s">
        <v>24</v>
      </c>
      <c r="K2143" s="3" t="s">
        <v>25</v>
      </c>
      <c r="L2143" s="4">
        <v>0</v>
      </c>
      <c r="M2143" s="3" t="s">
        <v>26</v>
      </c>
      <c r="N2143" s="3" t="s">
        <v>24</v>
      </c>
      <c r="O2143" s="4">
        <v>1</v>
      </c>
      <c r="P2143" s="4">
        <v>4</v>
      </c>
      <c r="Q2143" s="4">
        <v>1</v>
      </c>
    </row>
    <row r="2144" spans="1:17" x14ac:dyDescent="0.25">
      <c r="A2144" s="3" t="s">
        <v>18</v>
      </c>
      <c r="B2144" s="3">
        <v>15070916</v>
      </c>
      <c r="C2144" s="3" t="s">
        <v>2189</v>
      </c>
      <c r="D2144" s="3" t="s">
        <v>20</v>
      </c>
      <c r="E2144" s="3" t="s">
        <v>21</v>
      </c>
      <c r="F2144" s="3" t="s">
        <v>21</v>
      </c>
      <c r="G2144" s="3" t="s">
        <v>36</v>
      </c>
      <c r="H2144" s="3" t="s">
        <v>37</v>
      </c>
      <c r="I2144" s="3" t="s">
        <v>24</v>
      </c>
      <c r="J2144" s="3" t="s">
        <v>24</v>
      </c>
      <c r="K2144" s="3" t="s">
        <v>25</v>
      </c>
      <c r="L2144" s="4">
        <v>0</v>
      </c>
      <c r="M2144" s="3" t="s">
        <v>26</v>
      </c>
      <c r="N2144" s="3" t="s">
        <v>24</v>
      </c>
      <c r="O2144" s="4">
        <v>1</v>
      </c>
      <c r="P2144" s="4">
        <v>10</v>
      </c>
      <c r="Q2144" s="4">
        <v>1</v>
      </c>
    </row>
    <row r="2145" spans="1:17" x14ac:dyDescent="0.25">
      <c r="A2145" s="3" t="s">
        <v>18</v>
      </c>
      <c r="B2145" s="3">
        <v>15070917</v>
      </c>
      <c r="C2145" s="3" t="s">
        <v>2190</v>
      </c>
      <c r="D2145" s="3" t="s">
        <v>20</v>
      </c>
      <c r="E2145" s="3" t="s">
        <v>21</v>
      </c>
      <c r="F2145" s="3" t="s">
        <v>21</v>
      </c>
      <c r="G2145" s="3" t="s">
        <v>233</v>
      </c>
      <c r="H2145" s="3" t="s">
        <v>234</v>
      </c>
      <c r="I2145" s="3" t="s">
        <v>24</v>
      </c>
      <c r="J2145" s="3" t="s">
        <v>24</v>
      </c>
      <c r="K2145" s="3" t="s">
        <v>25</v>
      </c>
      <c r="L2145" s="4">
        <v>0</v>
      </c>
      <c r="M2145" s="3" t="s">
        <v>26</v>
      </c>
      <c r="N2145" s="3" t="s">
        <v>24</v>
      </c>
      <c r="O2145" s="4">
        <v>0</v>
      </c>
      <c r="P2145" s="4">
        <v>3</v>
      </c>
      <c r="Q2145" s="4">
        <v>0</v>
      </c>
    </row>
    <row r="2146" spans="1:17" x14ac:dyDescent="0.25">
      <c r="A2146" s="3" t="s">
        <v>18</v>
      </c>
      <c r="B2146" s="3">
        <v>15072397</v>
      </c>
      <c r="C2146" s="3" t="s">
        <v>2191</v>
      </c>
      <c r="D2146" s="3" t="s">
        <v>1360</v>
      </c>
      <c r="E2146" s="3" t="s">
        <v>21</v>
      </c>
      <c r="F2146" s="3" t="s">
        <v>21</v>
      </c>
      <c r="G2146" s="3" t="s">
        <v>233</v>
      </c>
      <c r="H2146" s="3" t="s">
        <v>234</v>
      </c>
      <c r="I2146" s="3" t="s">
        <v>24</v>
      </c>
      <c r="J2146" s="3" t="s">
        <v>24</v>
      </c>
      <c r="K2146" s="3" t="s">
        <v>25</v>
      </c>
      <c r="L2146" s="4">
        <v>0</v>
      </c>
      <c r="M2146" s="3" t="s">
        <v>26</v>
      </c>
      <c r="N2146" s="3" t="s">
        <v>24</v>
      </c>
      <c r="O2146" s="4">
        <v>0</v>
      </c>
      <c r="P2146" s="4">
        <v>3</v>
      </c>
      <c r="Q2146" s="4">
        <v>0</v>
      </c>
    </row>
    <row r="2147" spans="1:17" x14ac:dyDescent="0.25">
      <c r="A2147" s="3" t="s">
        <v>18</v>
      </c>
      <c r="B2147" s="3">
        <v>15073391</v>
      </c>
      <c r="C2147" s="3" t="s">
        <v>2192</v>
      </c>
      <c r="D2147" s="3" t="s">
        <v>1360</v>
      </c>
      <c r="E2147" s="3" t="s">
        <v>21</v>
      </c>
      <c r="F2147" s="3" t="s">
        <v>21</v>
      </c>
      <c r="G2147" s="3" t="s">
        <v>36</v>
      </c>
      <c r="H2147" s="3" t="s">
        <v>37</v>
      </c>
      <c r="I2147" s="3" t="s">
        <v>24</v>
      </c>
      <c r="J2147" s="3" t="s">
        <v>24</v>
      </c>
      <c r="K2147" s="3" t="s">
        <v>25</v>
      </c>
      <c r="L2147" s="4">
        <v>0</v>
      </c>
      <c r="M2147" s="3" t="s">
        <v>26</v>
      </c>
      <c r="N2147" s="3" t="s">
        <v>24</v>
      </c>
      <c r="O2147" s="4">
        <v>0</v>
      </c>
      <c r="P2147" s="4">
        <v>10</v>
      </c>
      <c r="Q2147" s="4">
        <v>0</v>
      </c>
    </row>
    <row r="2148" spans="1:17" x14ac:dyDescent="0.25">
      <c r="A2148" s="3" t="s">
        <v>18</v>
      </c>
      <c r="B2148" s="3">
        <v>15073395</v>
      </c>
      <c r="C2148" s="3" t="s">
        <v>2193</v>
      </c>
      <c r="D2148" s="3" t="s">
        <v>1360</v>
      </c>
      <c r="E2148" s="3" t="s">
        <v>21</v>
      </c>
      <c r="F2148" s="3" t="s">
        <v>21</v>
      </c>
      <c r="G2148" s="3" t="s">
        <v>233</v>
      </c>
      <c r="H2148" s="3" t="s">
        <v>234</v>
      </c>
      <c r="I2148" s="3" t="s">
        <v>24</v>
      </c>
      <c r="J2148" s="3" t="s">
        <v>24</v>
      </c>
      <c r="K2148" s="3" t="s">
        <v>25</v>
      </c>
      <c r="L2148" s="4">
        <v>0</v>
      </c>
      <c r="M2148" s="3" t="s">
        <v>26</v>
      </c>
      <c r="N2148" s="3" t="s">
        <v>24</v>
      </c>
      <c r="O2148" s="4">
        <v>0</v>
      </c>
      <c r="P2148" s="4">
        <v>3</v>
      </c>
      <c r="Q2148" s="4">
        <v>0</v>
      </c>
    </row>
    <row r="2149" spans="1:17" x14ac:dyDescent="0.25">
      <c r="A2149" s="3" t="s">
        <v>18</v>
      </c>
      <c r="B2149" s="3">
        <v>15079994</v>
      </c>
      <c r="C2149" s="3" t="s">
        <v>2194</v>
      </c>
      <c r="D2149" s="3" t="s">
        <v>1360</v>
      </c>
      <c r="E2149" s="3" t="s">
        <v>21</v>
      </c>
      <c r="F2149" s="3" t="s">
        <v>21</v>
      </c>
      <c r="G2149" s="3" t="s">
        <v>233</v>
      </c>
      <c r="H2149" s="3" t="s">
        <v>234</v>
      </c>
      <c r="I2149" s="3" t="s">
        <v>24</v>
      </c>
      <c r="J2149" s="3" t="s">
        <v>24</v>
      </c>
      <c r="K2149" s="3" t="s">
        <v>25</v>
      </c>
      <c r="L2149" s="4">
        <v>0</v>
      </c>
      <c r="M2149" s="3" t="s">
        <v>26</v>
      </c>
      <c r="N2149" s="3" t="s">
        <v>24</v>
      </c>
      <c r="O2149" s="4">
        <v>0</v>
      </c>
      <c r="P2149" s="4">
        <v>3</v>
      </c>
      <c r="Q2149" s="4">
        <v>0</v>
      </c>
    </row>
    <row r="2150" spans="1:17" x14ac:dyDescent="0.25">
      <c r="A2150" s="3" t="s">
        <v>18</v>
      </c>
      <c r="B2150" s="3">
        <v>15145206</v>
      </c>
      <c r="C2150" s="3" t="s">
        <v>2195</v>
      </c>
      <c r="D2150" s="3" t="s">
        <v>1360</v>
      </c>
      <c r="E2150" s="3" t="s">
        <v>21</v>
      </c>
      <c r="F2150" s="3" t="s">
        <v>21</v>
      </c>
      <c r="G2150" s="3" t="s">
        <v>233</v>
      </c>
      <c r="H2150" s="3" t="s">
        <v>234</v>
      </c>
      <c r="I2150" s="3" t="s">
        <v>24</v>
      </c>
      <c r="J2150" s="3" t="s">
        <v>24</v>
      </c>
      <c r="K2150" s="3" t="s">
        <v>25</v>
      </c>
      <c r="L2150" s="4">
        <v>0</v>
      </c>
      <c r="M2150" s="3" t="s">
        <v>26</v>
      </c>
      <c r="N2150" s="3" t="s">
        <v>24</v>
      </c>
      <c r="O2150" s="4">
        <v>0</v>
      </c>
      <c r="P2150" s="4">
        <v>3</v>
      </c>
      <c r="Q2150" s="4">
        <v>0</v>
      </c>
    </row>
    <row r="2151" spans="1:17" x14ac:dyDescent="0.25">
      <c r="A2151" s="3" t="s">
        <v>18</v>
      </c>
      <c r="B2151" s="3">
        <v>15159012</v>
      </c>
      <c r="C2151" s="3" t="s">
        <v>2196</v>
      </c>
      <c r="D2151" s="3" t="s">
        <v>20</v>
      </c>
      <c r="E2151" s="3" t="s">
        <v>21</v>
      </c>
      <c r="F2151" s="3" t="s">
        <v>21</v>
      </c>
      <c r="G2151" s="3" t="s">
        <v>487</v>
      </c>
      <c r="H2151" s="3" t="s">
        <v>488</v>
      </c>
      <c r="I2151" s="3" t="s">
        <v>24</v>
      </c>
      <c r="J2151" s="3" t="s">
        <v>24</v>
      </c>
      <c r="K2151" s="3" t="s">
        <v>25</v>
      </c>
      <c r="L2151" s="4">
        <v>0</v>
      </c>
      <c r="M2151" s="3" t="s">
        <v>26</v>
      </c>
      <c r="N2151" s="3" t="s">
        <v>24</v>
      </c>
      <c r="O2151" s="4">
        <v>1</v>
      </c>
      <c r="P2151" s="4">
        <v>2</v>
      </c>
      <c r="Q2151" s="4">
        <v>0</v>
      </c>
    </row>
    <row r="2152" spans="1:17" x14ac:dyDescent="0.25">
      <c r="A2152" s="3" t="s">
        <v>18</v>
      </c>
      <c r="B2152" s="3">
        <v>15164377</v>
      </c>
      <c r="C2152" s="3" t="s">
        <v>2197</v>
      </c>
      <c r="D2152" s="3" t="s">
        <v>1360</v>
      </c>
      <c r="E2152" s="3" t="s">
        <v>21</v>
      </c>
      <c r="F2152" s="3" t="s">
        <v>21</v>
      </c>
      <c r="G2152" s="3" t="s">
        <v>36</v>
      </c>
      <c r="H2152" s="3" t="s">
        <v>37</v>
      </c>
      <c r="I2152" s="3" t="s">
        <v>24</v>
      </c>
      <c r="J2152" s="3" t="s">
        <v>24</v>
      </c>
      <c r="K2152" s="3" t="s">
        <v>25</v>
      </c>
      <c r="L2152" s="4">
        <v>0</v>
      </c>
      <c r="M2152" s="3" t="s">
        <v>26</v>
      </c>
      <c r="N2152" s="3" t="s">
        <v>24</v>
      </c>
      <c r="O2152" s="4">
        <v>1</v>
      </c>
      <c r="P2152" s="4">
        <v>10</v>
      </c>
      <c r="Q2152" s="4">
        <v>1</v>
      </c>
    </row>
    <row r="2153" spans="1:17" x14ac:dyDescent="0.25">
      <c r="A2153" s="3" t="s">
        <v>18</v>
      </c>
      <c r="B2153" s="3">
        <v>15164402</v>
      </c>
      <c r="C2153" s="3" t="s">
        <v>2198</v>
      </c>
      <c r="D2153" s="3" t="s">
        <v>1360</v>
      </c>
      <c r="E2153" s="3" t="s">
        <v>21</v>
      </c>
      <c r="F2153" s="3" t="s">
        <v>21</v>
      </c>
      <c r="G2153" s="3" t="s">
        <v>36</v>
      </c>
      <c r="H2153" s="3" t="s">
        <v>37</v>
      </c>
      <c r="I2153" s="3" t="s">
        <v>24</v>
      </c>
      <c r="J2153" s="3" t="s">
        <v>24</v>
      </c>
      <c r="K2153" s="3" t="s">
        <v>25</v>
      </c>
      <c r="L2153" s="4">
        <v>0</v>
      </c>
      <c r="M2153" s="3" t="s">
        <v>26</v>
      </c>
      <c r="N2153" s="3" t="s">
        <v>24</v>
      </c>
      <c r="O2153" s="4">
        <v>1</v>
      </c>
      <c r="P2153" s="4">
        <v>10</v>
      </c>
      <c r="Q2153" s="4">
        <v>1</v>
      </c>
    </row>
    <row r="2154" spans="1:17" x14ac:dyDescent="0.25">
      <c r="A2154" s="3" t="s">
        <v>18</v>
      </c>
      <c r="B2154" s="3">
        <v>15164405</v>
      </c>
      <c r="C2154" s="3" t="s">
        <v>2199</v>
      </c>
      <c r="D2154" s="3" t="s">
        <v>1360</v>
      </c>
      <c r="E2154" s="3" t="s">
        <v>21</v>
      </c>
      <c r="F2154" s="3" t="s">
        <v>21</v>
      </c>
      <c r="G2154" s="3" t="s">
        <v>233</v>
      </c>
      <c r="H2154" s="3" t="s">
        <v>234</v>
      </c>
      <c r="I2154" s="3" t="s">
        <v>24</v>
      </c>
      <c r="J2154" s="3" t="s">
        <v>24</v>
      </c>
      <c r="K2154" s="3" t="s">
        <v>25</v>
      </c>
      <c r="L2154" s="4">
        <v>0</v>
      </c>
      <c r="M2154" s="3" t="s">
        <v>26</v>
      </c>
      <c r="N2154" s="3" t="s">
        <v>24</v>
      </c>
      <c r="O2154" s="4">
        <v>1</v>
      </c>
      <c r="P2154" s="4">
        <v>3</v>
      </c>
      <c r="Q2154" s="4">
        <v>1</v>
      </c>
    </row>
    <row r="2155" spans="1:17" x14ac:dyDescent="0.25">
      <c r="A2155" s="3" t="s">
        <v>18</v>
      </c>
      <c r="B2155" s="3">
        <v>15164462</v>
      </c>
      <c r="C2155" s="3" t="s">
        <v>2200</v>
      </c>
      <c r="D2155" s="3" t="s">
        <v>20</v>
      </c>
      <c r="E2155" s="3" t="s">
        <v>21</v>
      </c>
      <c r="F2155" s="3" t="s">
        <v>21</v>
      </c>
      <c r="G2155" s="3" t="s">
        <v>362</v>
      </c>
      <c r="H2155" s="3" t="s">
        <v>363</v>
      </c>
      <c r="I2155" s="3" t="s">
        <v>24</v>
      </c>
      <c r="J2155" s="3" t="s">
        <v>24</v>
      </c>
      <c r="K2155" s="3" t="s">
        <v>25</v>
      </c>
      <c r="L2155" s="4">
        <v>0</v>
      </c>
      <c r="M2155" s="3" t="s">
        <v>26</v>
      </c>
      <c r="N2155" s="3" t="s">
        <v>24</v>
      </c>
      <c r="O2155" s="4">
        <v>1</v>
      </c>
      <c r="P2155" s="4">
        <v>1</v>
      </c>
      <c r="Q2155" s="4">
        <v>1</v>
      </c>
    </row>
    <row r="2156" spans="1:17" x14ac:dyDescent="0.25">
      <c r="A2156" s="3" t="s">
        <v>18</v>
      </c>
      <c r="B2156" s="3">
        <v>15164478</v>
      </c>
      <c r="C2156" s="3" t="s">
        <v>2201</v>
      </c>
      <c r="D2156" s="3" t="s">
        <v>1360</v>
      </c>
      <c r="E2156" s="3" t="s">
        <v>21</v>
      </c>
      <c r="F2156" s="3" t="s">
        <v>21</v>
      </c>
      <c r="G2156" s="3" t="s">
        <v>36</v>
      </c>
      <c r="H2156" s="3" t="s">
        <v>37</v>
      </c>
      <c r="I2156" s="3" t="s">
        <v>24</v>
      </c>
      <c r="J2156" s="3" t="s">
        <v>24</v>
      </c>
      <c r="K2156" s="3" t="s">
        <v>25</v>
      </c>
      <c r="L2156" s="4">
        <v>0</v>
      </c>
      <c r="M2156" s="3" t="s">
        <v>26</v>
      </c>
      <c r="N2156" s="3" t="s">
        <v>24</v>
      </c>
      <c r="O2156" s="4">
        <v>1</v>
      </c>
      <c r="P2156" s="4">
        <v>10</v>
      </c>
      <c r="Q2156" s="4">
        <v>1</v>
      </c>
    </row>
    <row r="2157" spans="1:17" x14ac:dyDescent="0.25">
      <c r="A2157" s="3" t="s">
        <v>18</v>
      </c>
      <c r="B2157" s="3">
        <v>15164971</v>
      </c>
      <c r="C2157" s="3" t="s">
        <v>2202</v>
      </c>
      <c r="D2157" s="3" t="s">
        <v>20</v>
      </c>
      <c r="E2157" s="3" t="s">
        <v>21</v>
      </c>
      <c r="F2157" s="3" t="s">
        <v>21</v>
      </c>
      <c r="G2157" s="3" t="s">
        <v>233</v>
      </c>
      <c r="H2157" s="3" t="s">
        <v>234</v>
      </c>
      <c r="I2157" s="3" t="s">
        <v>24</v>
      </c>
      <c r="J2157" s="3" t="s">
        <v>24</v>
      </c>
      <c r="K2157" s="3" t="s">
        <v>25</v>
      </c>
      <c r="L2157" s="4">
        <v>0</v>
      </c>
      <c r="M2157" s="3" t="s">
        <v>26</v>
      </c>
      <c r="N2157" s="3" t="s">
        <v>24</v>
      </c>
      <c r="O2157" s="4">
        <v>0</v>
      </c>
      <c r="P2157" s="4">
        <v>2</v>
      </c>
      <c r="Q2157" s="4">
        <v>0</v>
      </c>
    </row>
    <row r="2158" spans="1:17" x14ac:dyDescent="0.25">
      <c r="A2158" s="3" t="s">
        <v>18</v>
      </c>
      <c r="B2158" s="3">
        <v>15175382</v>
      </c>
      <c r="C2158" s="3" t="s">
        <v>2203</v>
      </c>
      <c r="D2158" s="3" t="s">
        <v>1360</v>
      </c>
      <c r="E2158" s="3" t="s">
        <v>21</v>
      </c>
      <c r="F2158" s="3" t="s">
        <v>21</v>
      </c>
      <c r="G2158" s="3" t="s">
        <v>487</v>
      </c>
      <c r="H2158" s="3" t="s">
        <v>488</v>
      </c>
      <c r="I2158" s="3" t="s">
        <v>24</v>
      </c>
      <c r="J2158" s="3" t="s">
        <v>24</v>
      </c>
      <c r="K2158" s="3" t="s">
        <v>25</v>
      </c>
      <c r="L2158" s="4">
        <v>0</v>
      </c>
      <c r="M2158" s="3" t="s">
        <v>26</v>
      </c>
      <c r="N2158" s="3" t="s">
        <v>24</v>
      </c>
      <c r="O2158" s="4">
        <v>1</v>
      </c>
      <c r="P2158" s="4">
        <v>2</v>
      </c>
      <c r="Q2158" s="4">
        <v>0</v>
      </c>
    </row>
    <row r="2159" spans="1:17" x14ac:dyDescent="0.25">
      <c r="A2159" s="3" t="s">
        <v>18</v>
      </c>
      <c r="B2159" s="3">
        <v>15177983</v>
      </c>
      <c r="C2159" s="3" t="s">
        <v>2204</v>
      </c>
      <c r="D2159" s="3" t="s">
        <v>20</v>
      </c>
      <c r="E2159" s="3" t="s">
        <v>21</v>
      </c>
      <c r="F2159" s="3" t="s">
        <v>21</v>
      </c>
      <c r="G2159" s="3" t="s">
        <v>36</v>
      </c>
      <c r="H2159" s="3" t="s">
        <v>37</v>
      </c>
      <c r="I2159" s="3" t="s">
        <v>24</v>
      </c>
      <c r="J2159" s="3" t="s">
        <v>24</v>
      </c>
      <c r="K2159" s="3" t="s">
        <v>25</v>
      </c>
      <c r="L2159" s="4">
        <v>0</v>
      </c>
      <c r="M2159" s="3" t="s">
        <v>26</v>
      </c>
      <c r="N2159" s="3" t="s">
        <v>24</v>
      </c>
      <c r="O2159" s="4">
        <v>1</v>
      </c>
      <c r="P2159" s="4">
        <v>2</v>
      </c>
      <c r="Q2159" s="4">
        <v>1</v>
      </c>
    </row>
    <row r="2160" spans="1:17" x14ac:dyDescent="0.25">
      <c r="A2160" s="3" t="s">
        <v>18</v>
      </c>
      <c r="B2160" s="3">
        <v>15177985</v>
      </c>
      <c r="C2160" s="3" t="s">
        <v>2205</v>
      </c>
      <c r="D2160" s="3" t="s">
        <v>20</v>
      </c>
      <c r="E2160" s="3" t="s">
        <v>21</v>
      </c>
      <c r="F2160" s="3" t="s">
        <v>21</v>
      </c>
      <c r="G2160" s="3" t="s">
        <v>36</v>
      </c>
      <c r="H2160" s="3" t="s">
        <v>37</v>
      </c>
      <c r="I2160" s="3" t="s">
        <v>24</v>
      </c>
      <c r="J2160" s="3" t="s">
        <v>24</v>
      </c>
      <c r="K2160" s="3" t="s">
        <v>25</v>
      </c>
      <c r="L2160" s="4">
        <v>0</v>
      </c>
      <c r="M2160" s="3" t="s">
        <v>26</v>
      </c>
      <c r="N2160" s="3" t="s">
        <v>24</v>
      </c>
      <c r="O2160" s="4">
        <v>1</v>
      </c>
      <c r="P2160" s="4">
        <v>2</v>
      </c>
      <c r="Q2160" s="4">
        <v>1</v>
      </c>
    </row>
    <row r="2161" spans="1:17" x14ac:dyDescent="0.25">
      <c r="A2161" s="3" t="s">
        <v>18</v>
      </c>
      <c r="B2161" s="3">
        <v>15178069</v>
      </c>
      <c r="C2161" s="3" t="s">
        <v>2206</v>
      </c>
      <c r="D2161" s="3" t="s">
        <v>20</v>
      </c>
      <c r="E2161" s="3" t="s">
        <v>21</v>
      </c>
      <c r="F2161" s="3" t="s">
        <v>21</v>
      </c>
      <c r="G2161" s="3" t="s">
        <v>36</v>
      </c>
      <c r="H2161" s="3" t="s">
        <v>37</v>
      </c>
      <c r="I2161" s="3" t="s">
        <v>24</v>
      </c>
      <c r="J2161" s="3" t="s">
        <v>24</v>
      </c>
      <c r="K2161" s="3" t="s">
        <v>25</v>
      </c>
      <c r="L2161" s="4">
        <v>0</v>
      </c>
      <c r="M2161" s="3" t="s">
        <v>26</v>
      </c>
      <c r="N2161" s="3" t="s">
        <v>24</v>
      </c>
      <c r="O2161" s="4">
        <v>1</v>
      </c>
      <c r="P2161" s="4">
        <v>2</v>
      </c>
      <c r="Q2161" s="4">
        <v>1</v>
      </c>
    </row>
    <row r="2162" spans="1:17" x14ac:dyDescent="0.25">
      <c r="A2162" s="3" t="s">
        <v>18</v>
      </c>
      <c r="B2162" s="3">
        <v>15178071</v>
      </c>
      <c r="C2162" s="3" t="s">
        <v>2207</v>
      </c>
      <c r="D2162" s="3" t="s">
        <v>20</v>
      </c>
      <c r="E2162" s="3" t="s">
        <v>21</v>
      </c>
      <c r="F2162" s="3" t="s">
        <v>21</v>
      </c>
      <c r="G2162" s="3" t="s">
        <v>36</v>
      </c>
      <c r="H2162" s="3" t="s">
        <v>37</v>
      </c>
      <c r="I2162" s="3" t="s">
        <v>24</v>
      </c>
      <c r="J2162" s="3" t="s">
        <v>24</v>
      </c>
      <c r="K2162" s="3" t="s">
        <v>25</v>
      </c>
      <c r="L2162" s="4">
        <v>0</v>
      </c>
      <c r="M2162" s="3" t="s">
        <v>26</v>
      </c>
      <c r="N2162" s="3" t="s">
        <v>24</v>
      </c>
      <c r="O2162" s="4">
        <v>1</v>
      </c>
      <c r="P2162" s="4">
        <v>2</v>
      </c>
      <c r="Q2162" s="4">
        <v>1</v>
      </c>
    </row>
    <row r="2163" spans="1:17" x14ac:dyDescent="0.25">
      <c r="A2163" s="3" t="s">
        <v>18</v>
      </c>
      <c r="B2163" s="3">
        <v>15180348</v>
      </c>
      <c r="C2163" s="3" t="s">
        <v>2208</v>
      </c>
      <c r="D2163" s="3" t="s">
        <v>20</v>
      </c>
      <c r="E2163" s="3" t="s">
        <v>21</v>
      </c>
      <c r="F2163" s="3" t="s">
        <v>21</v>
      </c>
      <c r="G2163" s="3" t="s">
        <v>233</v>
      </c>
      <c r="H2163" s="3" t="s">
        <v>234</v>
      </c>
      <c r="I2163" s="3" t="s">
        <v>24</v>
      </c>
      <c r="J2163" s="3" t="s">
        <v>24</v>
      </c>
      <c r="K2163" s="3" t="s">
        <v>25</v>
      </c>
      <c r="L2163" s="4">
        <v>0</v>
      </c>
      <c r="M2163" s="3" t="s">
        <v>26</v>
      </c>
      <c r="N2163" s="3" t="s">
        <v>24</v>
      </c>
      <c r="O2163" s="4">
        <v>1</v>
      </c>
      <c r="P2163" s="4">
        <v>3</v>
      </c>
      <c r="Q2163" s="4">
        <v>1</v>
      </c>
    </row>
    <row r="2164" spans="1:17" x14ac:dyDescent="0.25">
      <c r="A2164" s="3" t="s">
        <v>18</v>
      </c>
      <c r="B2164" s="3">
        <v>15180350</v>
      </c>
      <c r="C2164" s="3" t="s">
        <v>2209</v>
      </c>
      <c r="D2164" s="3" t="s">
        <v>20</v>
      </c>
      <c r="E2164" s="3" t="s">
        <v>21</v>
      </c>
      <c r="F2164" s="3" t="s">
        <v>21</v>
      </c>
      <c r="G2164" s="3" t="s">
        <v>233</v>
      </c>
      <c r="H2164" s="3" t="s">
        <v>234</v>
      </c>
      <c r="I2164" s="3" t="s">
        <v>24</v>
      </c>
      <c r="J2164" s="3" t="s">
        <v>24</v>
      </c>
      <c r="K2164" s="3" t="s">
        <v>25</v>
      </c>
      <c r="L2164" s="4">
        <v>0</v>
      </c>
      <c r="M2164" s="3" t="s">
        <v>26</v>
      </c>
      <c r="N2164" s="3" t="s">
        <v>24</v>
      </c>
      <c r="O2164" s="4">
        <v>1</v>
      </c>
      <c r="P2164" s="4">
        <v>3</v>
      </c>
      <c r="Q2164" s="4">
        <v>0</v>
      </c>
    </row>
    <row r="2165" spans="1:17" x14ac:dyDescent="0.25">
      <c r="A2165" s="3" t="s">
        <v>18</v>
      </c>
      <c r="B2165" s="3">
        <v>15180351</v>
      </c>
      <c r="C2165" s="3" t="s">
        <v>2210</v>
      </c>
      <c r="D2165" s="3" t="s">
        <v>20</v>
      </c>
      <c r="E2165" s="3" t="s">
        <v>21</v>
      </c>
      <c r="F2165" s="3" t="s">
        <v>21</v>
      </c>
      <c r="G2165" s="3" t="s">
        <v>233</v>
      </c>
      <c r="H2165" s="3" t="s">
        <v>234</v>
      </c>
      <c r="I2165" s="3" t="s">
        <v>24</v>
      </c>
      <c r="J2165" s="3" t="s">
        <v>24</v>
      </c>
      <c r="K2165" s="3" t="s">
        <v>25</v>
      </c>
      <c r="L2165" s="4">
        <v>0</v>
      </c>
      <c r="M2165" s="3" t="s">
        <v>26</v>
      </c>
      <c r="N2165" s="3" t="s">
        <v>24</v>
      </c>
      <c r="O2165" s="4">
        <v>1</v>
      </c>
      <c r="P2165" s="4">
        <v>3</v>
      </c>
      <c r="Q2165" s="4">
        <v>1</v>
      </c>
    </row>
    <row r="2166" spans="1:17" x14ac:dyDescent="0.25">
      <c r="A2166" s="3" t="s">
        <v>18</v>
      </c>
      <c r="B2166" s="3">
        <v>15180352</v>
      </c>
      <c r="C2166" s="3" t="s">
        <v>2211</v>
      </c>
      <c r="D2166" s="3" t="s">
        <v>20</v>
      </c>
      <c r="E2166" s="3" t="s">
        <v>21</v>
      </c>
      <c r="F2166" s="3" t="s">
        <v>21</v>
      </c>
      <c r="G2166" s="3" t="s">
        <v>233</v>
      </c>
      <c r="H2166" s="3" t="s">
        <v>234</v>
      </c>
      <c r="I2166" s="3" t="s">
        <v>24</v>
      </c>
      <c r="J2166" s="3" t="s">
        <v>24</v>
      </c>
      <c r="K2166" s="3" t="s">
        <v>25</v>
      </c>
      <c r="L2166" s="4">
        <v>0</v>
      </c>
      <c r="M2166" s="3" t="s">
        <v>26</v>
      </c>
      <c r="N2166" s="3" t="s">
        <v>24</v>
      </c>
      <c r="O2166" s="4">
        <v>1</v>
      </c>
      <c r="P2166" s="4">
        <v>3</v>
      </c>
      <c r="Q2166" s="4">
        <v>1</v>
      </c>
    </row>
    <row r="2167" spans="1:17" x14ac:dyDescent="0.25">
      <c r="A2167" s="3" t="s">
        <v>18</v>
      </c>
      <c r="B2167" s="3">
        <v>15180353</v>
      </c>
      <c r="C2167" s="3" t="s">
        <v>2212</v>
      </c>
      <c r="D2167" s="3" t="s">
        <v>20</v>
      </c>
      <c r="E2167" s="3" t="s">
        <v>21</v>
      </c>
      <c r="F2167" s="3" t="s">
        <v>21</v>
      </c>
      <c r="G2167" s="3" t="s">
        <v>233</v>
      </c>
      <c r="H2167" s="3" t="s">
        <v>234</v>
      </c>
      <c r="I2167" s="3" t="s">
        <v>24</v>
      </c>
      <c r="J2167" s="3" t="s">
        <v>24</v>
      </c>
      <c r="K2167" s="3" t="s">
        <v>25</v>
      </c>
      <c r="L2167" s="4">
        <v>0</v>
      </c>
      <c r="M2167" s="3" t="s">
        <v>26</v>
      </c>
      <c r="N2167" s="3" t="s">
        <v>24</v>
      </c>
      <c r="O2167" s="4">
        <v>1</v>
      </c>
      <c r="P2167" s="4">
        <v>3</v>
      </c>
      <c r="Q2167" s="4">
        <v>1</v>
      </c>
    </row>
    <row r="2168" spans="1:17" x14ac:dyDescent="0.25">
      <c r="A2168" s="3" t="s">
        <v>18</v>
      </c>
      <c r="B2168" s="3">
        <v>15180354</v>
      </c>
      <c r="C2168" s="3" t="s">
        <v>2213</v>
      </c>
      <c r="D2168" s="3" t="s">
        <v>20</v>
      </c>
      <c r="E2168" s="3" t="s">
        <v>21</v>
      </c>
      <c r="F2168" s="3" t="s">
        <v>21</v>
      </c>
      <c r="G2168" s="3" t="s">
        <v>233</v>
      </c>
      <c r="H2168" s="3" t="s">
        <v>234</v>
      </c>
      <c r="I2168" s="3" t="s">
        <v>24</v>
      </c>
      <c r="J2168" s="3" t="s">
        <v>24</v>
      </c>
      <c r="K2168" s="3" t="s">
        <v>25</v>
      </c>
      <c r="L2168" s="4">
        <v>0</v>
      </c>
      <c r="M2168" s="3" t="s">
        <v>26</v>
      </c>
      <c r="N2168" s="3" t="s">
        <v>24</v>
      </c>
      <c r="O2168" s="4">
        <v>1</v>
      </c>
      <c r="P2168" s="4">
        <v>3</v>
      </c>
      <c r="Q2168" s="4">
        <v>1</v>
      </c>
    </row>
    <row r="2169" spans="1:17" x14ac:dyDescent="0.25">
      <c r="A2169" s="3" t="s">
        <v>18</v>
      </c>
      <c r="B2169" s="3">
        <v>15180356</v>
      </c>
      <c r="C2169" s="3" t="s">
        <v>2214</v>
      </c>
      <c r="D2169" s="3" t="s">
        <v>20</v>
      </c>
      <c r="E2169" s="3" t="s">
        <v>21</v>
      </c>
      <c r="F2169" s="3" t="s">
        <v>21</v>
      </c>
      <c r="G2169" s="3" t="s">
        <v>233</v>
      </c>
      <c r="H2169" s="3" t="s">
        <v>234</v>
      </c>
      <c r="I2169" s="3" t="s">
        <v>24</v>
      </c>
      <c r="J2169" s="3" t="s">
        <v>24</v>
      </c>
      <c r="K2169" s="3" t="s">
        <v>25</v>
      </c>
      <c r="L2169" s="4">
        <v>0</v>
      </c>
      <c r="M2169" s="3" t="s">
        <v>26</v>
      </c>
      <c r="N2169" s="3" t="s">
        <v>24</v>
      </c>
      <c r="O2169" s="4">
        <v>1</v>
      </c>
      <c r="P2169" s="4">
        <v>3</v>
      </c>
      <c r="Q2169" s="4">
        <v>1</v>
      </c>
    </row>
    <row r="2170" spans="1:17" x14ac:dyDescent="0.25">
      <c r="A2170" s="3" t="s">
        <v>18</v>
      </c>
      <c r="B2170" s="3">
        <v>15180488</v>
      </c>
      <c r="C2170" s="3" t="s">
        <v>2215</v>
      </c>
      <c r="D2170" s="3" t="s">
        <v>20</v>
      </c>
      <c r="E2170" s="3" t="s">
        <v>21</v>
      </c>
      <c r="F2170" s="3" t="s">
        <v>21</v>
      </c>
      <c r="G2170" s="3" t="s">
        <v>233</v>
      </c>
      <c r="H2170" s="3" t="s">
        <v>234</v>
      </c>
      <c r="I2170" s="3" t="s">
        <v>24</v>
      </c>
      <c r="J2170" s="3" t="s">
        <v>24</v>
      </c>
      <c r="K2170" s="3" t="s">
        <v>25</v>
      </c>
      <c r="L2170" s="4">
        <v>0</v>
      </c>
      <c r="M2170" s="3" t="s">
        <v>26</v>
      </c>
      <c r="N2170" s="3" t="s">
        <v>24</v>
      </c>
      <c r="O2170" s="4">
        <v>1</v>
      </c>
      <c r="P2170" s="4">
        <v>3</v>
      </c>
      <c r="Q2170" s="4">
        <v>1</v>
      </c>
    </row>
    <row r="2171" spans="1:17" x14ac:dyDescent="0.25">
      <c r="A2171" s="3" t="s">
        <v>18</v>
      </c>
      <c r="B2171" s="3">
        <v>15180489</v>
      </c>
      <c r="C2171" s="3" t="s">
        <v>2216</v>
      </c>
      <c r="D2171" s="3" t="s">
        <v>20</v>
      </c>
      <c r="E2171" s="3" t="s">
        <v>21</v>
      </c>
      <c r="F2171" s="3" t="s">
        <v>21</v>
      </c>
      <c r="G2171" s="3" t="s">
        <v>233</v>
      </c>
      <c r="H2171" s="3" t="s">
        <v>234</v>
      </c>
      <c r="I2171" s="3" t="s">
        <v>24</v>
      </c>
      <c r="J2171" s="3" t="s">
        <v>24</v>
      </c>
      <c r="K2171" s="3" t="s">
        <v>25</v>
      </c>
      <c r="L2171" s="4">
        <v>0</v>
      </c>
      <c r="M2171" s="3" t="s">
        <v>26</v>
      </c>
      <c r="N2171" s="3" t="s">
        <v>24</v>
      </c>
      <c r="O2171" s="4">
        <v>1</v>
      </c>
      <c r="P2171" s="4">
        <v>3</v>
      </c>
      <c r="Q2171" s="4">
        <v>1</v>
      </c>
    </row>
    <row r="2172" spans="1:17" x14ac:dyDescent="0.25">
      <c r="A2172" s="3" t="s">
        <v>18</v>
      </c>
      <c r="B2172" s="3">
        <v>15180490</v>
      </c>
      <c r="C2172" s="3" t="s">
        <v>2217</v>
      </c>
      <c r="D2172" s="3" t="s">
        <v>20</v>
      </c>
      <c r="E2172" s="3" t="s">
        <v>21</v>
      </c>
      <c r="F2172" s="3" t="s">
        <v>21</v>
      </c>
      <c r="G2172" s="3" t="s">
        <v>233</v>
      </c>
      <c r="H2172" s="3" t="s">
        <v>234</v>
      </c>
      <c r="I2172" s="3" t="s">
        <v>24</v>
      </c>
      <c r="J2172" s="3" t="s">
        <v>24</v>
      </c>
      <c r="K2172" s="3" t="s">
        <v>25</v>
      </c>
      <c r="L2172" s="4">
        <v>0</v>
      </c>
      <c r="M2172" s="3" t="s">
        <v>26</v>
      </c>
      <c r="N2172" s="3" t="s">
        <v>24</v>
      </c>
      <c r="O2172" s="4">
        <v>1</v>
      </c>
      <c r="P2172" s="4">
        <v>3</v>
      </c>
      <c r="Q2172" s="4">
        <v>1</v>
      </c>
    </row>
    <row r="2173" spans="1:17" x14ac:dyDescent="0.25">
      <c r="A2173" s="3" t="s">
        <v>18</v>
      </c>
      <c r="B2173" s="3">
        <v>15180561</v>
      </c>
      <c r="C2173" s="3" t="s">
        <v>2218</v>
      </c>
      <c r="D2173" s="3" t="s">
        <v>20</v>
      </c>
      <c r="E2173" s="3" t="s">
        <v>21</v>
      </c>
      <c r="F2173" s="3" t="s">
        <v>21</v>
      </c>
      <c r="G2173" s="3" t="s">
        <v>233</v>
      </c>
      <c r="H2173" s="3" t="s">
        <v>234</v>
      </c>
      <c r="I2173" s="3" t="s">
        <v>24</v>
      </c>
      <c r="J2173" s="3" t="s">
        <v>24</v>
      </c>
      <c r="K2173" s="3" t="s">
        <v>25</v>
      </c>
      <c r="L2173" s="4">
        <v>0</v>
      </c>
      <c r="M2173" s="3" t="s">
        <v>26</v>
      </c>
      <c r="N2173" s="3" t="s">
        <v>24</v>
      </c>
      <c r="O2173" s="4">
        <v>1</v>
      </c>
      <c r="P2173" s="4">
        <v>3</v>
      </c>
      <c r="Q2173" s="4">
        <v>1</v>
      </c>
    </row>
    <row r="2174" spans="1:17" x14ac:dyDescent="0.25">
      <c r="A2174" s="3" t="s">
        <v>18</v>
      </c>
      <c r="B2174" s="3">
        <v>15180563</v>
      </c>
      <c r="C2174" s="3" t="s">
        <v>2219</v>
      </c>
      <c r="D2174" s="3" t="s">
        <v>20</v>
      </c>
      <c r="E2174" s="3" t="s">
        <v>21</v>
      </c>
      <c r="F2174" s="3" t="s">
        <v>21</v>
      </c>
      <c r="G2174" s="3" t="s">
        <v>233</v>
      </c>
      <c r="H2174" s="3" t="s">
        <v>234</v>
      </c>
      <c r="I2174" s="3" t="s">
        <v>24</v>
      </c>
      <c r="J2174" s="3" t="s">
        <v>24</v>
      </c>
      <c r="K2174" s="3" t="s">
        <v>25</v>
      </c>
      <c r="L2174" s="4">
        <v>0</v>
      </c>
      <c r="M2174" s="3" t="s">
        <v>26</v>
      </c>
      <c r="N2174" s="3" t="s">
        <v>24</v>
      </c>
      <c r="O2174" s="4">
        <v>1</v>
      </c>
      <c r="P2174" s="4">
        <v>3</v>
      </c>
      <c r="Q2174" s="4">
        <v>1</v>
      </c>
    </row>
    <row r="2175" spans="1:17" x14ac:dyDescent="0.25">
      <c r="A2175" s="3" t="s">
        <v>18</v>
      </c>
      <c r="B2175" s="3">
        <v>15183712</v>
      </c>
      <c r="C2175" s="3" t="s">
        <v>2220</v>
      </c>
      <c r="D2175" s="3" t="s">
        <v>1360</v>
      </c>
      <c r="E2175" s="3" t="s">
        <v>21</v>
      </c>
      <c r="F2175" s="3" t="s">
        <v>21</v>
      </c>
      <c r="G2175" s="3" t="s">
        <v>233</v>
      </c>
      <c r="H2175" s="3" t="s">
        <v>234</v>
      </c>
      <c r="I2175" s="3" t="s">
        <v>24</v>
      </c>
      <c r="J2175" s="3" t="s">
        <v>24</v>
      </c>
      <c r="K2175" s="3" t="s">
        <v>25</v>
      </c>
      <c r="L2175" s="4">
        <v>0</v>
      </c>
      <c r="M2175" s="3" t="s">
        <v>26</v>
      </c>
      <c r="N2175" s="3" t="s">
        <v>24</v>
      </c>
      <c r="O2175" s="4">
        <v>0</v>
      </c>
      <c r="P2175" s="4">
        <v>3</v>
      </c>
      <c r="Q2175" s="4">
        <v>0</v>
      </c>
    </row>
    <row r="2176" spans="1:17" x14ac:dyDescent="0.25">
      <c r="A2176" s="3" t="s">
        <v>18</v>
      </c>
      <c r="B2176" s="3">
        <v>15185774</v>
      </c>
      <c r="C2176" s="3" t="s">
        <v>2221</v>
      </c>
      <c r="D2176" s="3" t="s">
        <v>20</v>
      </c>
      <c r="E2176" s="3" t="s">
        <v>21</v>
      </c>
      <c r="F2176" s="3" t="s">
        <v>21</v>
      </c>
      <c r="G2176" s="3" t="s">
        <v>30</v>
      </c>
      <c r="H2176" s="3" t="s">
        <v>31</v>
      </c>
      <c r="I2176" s="3" t="s">
        <v>24</v>
      </c>
      <c r="J2176" s="3" t="s">
        <v>24</v>
      </c>
      <c r="K2176" s="3" t="s">
        <v>25</v>
      </c>
      <c r="L2176" s="4">
        <v>0</v>
      </c>
      <c r="M2176" s="3" t="s">
        <v>26</v>
      </c>
      <c r="N2176" s="3" t="s">
        <v>24</v>
      </c>
      <c r="O2176" s="4">
        <v>1</v>
      </c>
      <c r="P2176" s="4">
        <v>9</v>
      </c>
      <c r="Q2176" s="4">
        <v>0</v>
      </c>
    </row>
    <row r="2177" spans="1:17" x14ac:dyDescent="0.25">
      <c r="A2177" s="3" t="s">
        <v>18</v>
      </c>
      <c r="B2177" s="3">
        <v>15186314</v>
      </c>
      <c r="C2177" s="3" t="s">
        <v>2222</v>
      </c>
      <c r="D2177" s="3" t="s">
        <v>1360</v>
      </c>
      <c r="E2177" s="3" t="s">
        <v>21</v>
      </c>
      <c r="F2177" s="3" t="s">
        <v>21</v>
      </c>
      <c r="G2177" s="3" t="s">
        <v>233</v>
      </c>
      <c r="H2177" s="3" t="s">
        <v>234</v>
      </c>
      <c r="I2177" s="3" t="s">
        <v>24</v>
      </c>
      <c r="J2177" s="3" t="s">
        <v>24</v>
      </c>
      <c r="K2177" s="3" t="s">
        <v>25</v>
      </c>
      <c r="L2177" s="4">
        <v>0</v>
      </c>
      <c r="M2177" s="3" t="s">
        <v>26</v>
      </c>
      <c r="N2177" s="3" t="s">
        <v>24</v>
      </c>
      <c r="O2177" s="4">
        <v>0</v>
      </c>
      <c r="P2177" s="4">
        <v>3</v>
      </c>
      <c r="Q2177" s="4">
        <v>0</v>
      </c>
    </row>
    <row r="2178" spans="1:17" x14ac:dyDescent="0.25">
      <c r="A2178" s="3" t="s">
        <v>18</v>
      </c>
      <c r="B2178" s="3">
        <v>15192160</v>
      </c>
      <c r="C2178" s="3" t="s">
        <v>2223</v>
      </c>
      <c r="D2178" s="3" t="s">
        <v>1360</v>
      </c>
      <c r="E2178" s="3" t="s">
        <v>21</v>
      </c>
      <c r="F2178" s="3" t="s">
        <v>21</v>
      </c>
      <c r="G2178" s="3" t="s">
        <v>36</v>
      </c>
      <c r="H2178" s="3" t="s">
        <v>37</v>
      </c>
      <c r="I2178" s="3" t="s">
        <v>24</v>
      </c>
      <c r="J2178" s="3" t="s">
        <v>24</v>
      </c>
      <c r="K2178" s="3" t="s">
        <v>25</v>
      </c>
      <c r="L2178" s="4">
        <v>0</v>
      </c>
      <c r="M2178" s="3" t="s">
        <v>26</v>
      </c>
      <c r="N2178" s="3" t="s">
        <v>24</v>
      </c>
      <c r="O2178" s="4">
        <v>1</v>
      </c>
      <c r="P2178" s="4">
        <v>10</v>
      </c>
      <c r="Q2178" s="4">
        <v>1</v>
      </c>
    </row>
    <row r="2179" spans="1:17" x14ac:dyDescent="0.25">
      <c r="A2179" s="3" t="s">
        <v>18</v>
      </c>
      <c r="B2179" s="3">
        <v>15192298</v>
      </c>
      <c r="C2179" s="3" t="s">
        <v>2224</v>
      </c>
      <c r="D2179" s="3" t="s">
        <v>20</v>
      </c>
      <c r="E2179" s="3" t="s">
        <v>21</v>
      </c>
      <c r="F2179" s="3" t="s">
        <v>21</v>
      </c>
      <c r="G2179" s="3" t="s">
        <v>487</v>
      </c>
      <c r="H2179" s="3" t="s">
        <v>488</v>
      </c>
      <c r="I2179" s="3" t="s">
        <v>24</v>
      </c>
      <c r="J2179" s="3" t="s">
        <v>24</v>
      </c>
      <c r="K2179" s="3" t="s">
        <v>25</v>
      </c>
      <c r="L2179" s="4">
        <v>0</v>
      </c>
      <c r="M2179" s="3" t="s">
        <v>26</v>
      </c>
      <c r="N2179" s="3" t="s">
        <v>24</v>
      </c>
      <c r="O2179" s="4">
        <v>1</v>
      </c>
      <c r="P2179" s="4">
        <v>2</v>
      </c>
      <c r="Q2179" s="4">
        <v>0</v>
      </c>
    </row>
    <row r="2180" spans="1:17" x14ac:dyDescent="0.25">
      <c r="A2180" s="3" t="s">
        <v>18</v>
      </c>
      <c r="B2180" s="3">
        <v>15198294</v>
      </c>
      <c r="C2180" s="3" t="s">
        <v>2225</v>
      </c>
      <c r="D2180" s="3" t="s">
        <v>1360</v>
      </c>
      <c r="E2180" s="3" t="s">
        <v>21</v>
      </c>
      <c r="F2180" s="3" t="s">
        <v>21</v>
      </c>
      <c r="G2180" s="3" t="s">
        <v>487</v>
      </c>
      <c r="H2180" s="3" t="s">
        <v>488</v>
      </c>
      <c r="I2180" s="3" t="s">
        <v>24</v>
      </c>
      <c r="J2180" s="3" t="s">
        <v>24</v>
      </c>
      <c r="K2180" s="3" t="s">
        <v>25</v>
      </c>
      <c r="L2180" s="4">
        <v>0</v>
      </c>
      <c r="M2180" s="3" t="s">
        <v>26</v>
      </c>
      <c r="N2180" s="3" t="s">
        <v>24</v>
      </c>
      <c r="O2180" s="4">
        <v>1</v>
      </c>
      <c r="P2180" s="4">
        <v>2</v>
      </c>
      <c r="Q2180" s="4">
        <v>0</v>
      </c>
    </row>
    <row r="2181" spans="1:17" x14ac:dyDescent="0.25">
      <c r="A2181" s="3" t="s">
        <v>18</v>
      </c>
      <c r="B2181" s="3">
        <v>15207178</v>
      </c>
      <c r="C2181" s="3" t="s">
        <v>2226</v>
      </c>
      <c r="D2181" s="3" t="s">
        <v>20</v>
      </c>
      <c r="E2181" s="3" t="s">
        <v>21</v>
      </c>
      <c r="F2181" s="3" t="s">
        <v>21</v>
      </c>
      <c r="G2181" s="3" t="s">
        <v>42</v>
      </c>
      <c r="H2181" s="3" t="s">
        <v>43</v>
      </c>
      <c r="I2181" s="3" t="s">
        <v>24</v>
      </c>
      <c r="J2181" s="3" t="s">
        <v>24</v>
      </c>
      <c r="K2181" s="3" t="s">
        <v>25</v>
      </c>
      <c r="L2181" s="4">
        <v>0</v>
      </c>
      <c r="M2181" s="3" t="s">
        <v>26</v>
      </c>
      <c r="N2181" s="3" t="s">
        <v>24</v>
      </c>
      <c r="O2181" s="4">
        <v>0</v>
      </c>
      <c r="P2181" s="4">
        <v>8</v>
      </c>
      <c r="Q2181" s="4">
        <v>1</v>
      </c>
    </row>
    <row r="2182" spans="1:17" x14ac:dyDescent="0.25">
      <c r="A2182" s="3" t="s">
        <v>18</v>
      </c>
      <c r="B2182" s="3">
        <v>15207179</v>
      </c>
      <c r="C2182" s="3" t="s">
        <v>2227</v>
      </c>
      <c r="D2182" s="3" t="s">
        <v>20</v>
      </c>
      <c r="E2182" s="3" t="s">
        <v>21</v>
      </c>
      <c r="F2182" s="3" t="s">
        <v>21</v>
      </c>
      <c r="G2182" s="3" t="s">
        <v>22</v>
      </c>
      <c r="H2182" s="3" t="s">
        <v>23</v>
      </c>
      <c r="I2182" s="3" t="s">
        <v>24</v>
      </c>
      <c r="J2182" s="3" t="s">
        <v>24</v>
      </c>
      <c r="K2182" s="3" t="s">
        <v>25</v>
      </c>
      <c r="L2182" s="4">
        <v>0</v>
      </c>
      <c r="M2182" s="3" t="s">
        <v>26</v>
      </c>
      <c r="N2182" s="3" t="s">
        <v>24</v>
      </c>
      <c r="O2182" s="4">
        <v>1</v>
      </c>
      <c r="P2182" s="4">
        <v>4</v>
      </c>
      <c r="Q2182" s="4">
        <v>1</v>
      </c>
    </row>
    <row r="2183" spans="1:17" x14ac:dyDescent="0.25">
      <c r="A2183" s="3" t="s">
        <v>18</v>
      </c>
      <c r="B2183" s="3">
        <v>15207340</v>
      </c>
      <c r="C2183" s="3" t="s">
        <v>2228</v>
      </c>
      <c r="D2183" s="3" t="s">
        <v>20</v>
      </c>
      <c r="E2183" s="3" t="s">
        <v>21</v>
      </c>
      <c r="F2183" s="3" t="s">
        <v>21</v>
      </c>
      <c r="G2183" s="3" t="s">
        <v>36</v>
      </c>
      <c r="H2183" s="3" t="s">
        <v>37</v>
      </c>
      <c r="I2183" s="3" t="s">
        <v>24</v>
      </c>
      <c r="J2183" s="3" t="s">
        <v>24</v>
      </c>
      <c r="K2183" s="3" t="s">
        <v>25</v>
      </c>
      <c r="L2183" s="4">
        <v>0</v>
      </c>
      <c r="M2183" s="3" t="s">
        <v>26</v>
      </c>
      <c r="N2183" s="3" t="s">
        <v>24</v>
      </c>
      <c r="O2183" s="4">
        <v>0</v>
      </c>
      <c r="P2183" s="4">
        <v>10</v>
      </c>
      <c r="Q2183" s="4">
        <v>0</v>
      </c>
    </row>
    <row r="2184" spans="1:17" x14ac:dyDescent="0.25">
      <c r="A2184" s="3" t="s">
        <v>18</v>
      </c>
      <c r="B2184" s="3">
        <v>15207344</v>
      </c>
      <c r="C2184" s="3" t="s">
        <v>2229</v>
      </c>
      <c r="D2184" s="3" t="s">
        <v>20</v>
      </c>
      <c r="E2184" s="3" t="s">
        <v>21</v>
      </c>
      <c r="F2184" s="3" t="s">
        <v>21</v>
      </c>
      <c r="G2184" s="3" t="s">
        <v>36</v>
      </c>
      <c r="H2184" s="3" t="s">
        <v>37</v>
      </c>
      <c r="I2184" s="3" t="s">
        <v>24</v>
      </c>
      <c r="J2184" s="3" t="s">
        <v>24</v>
      </c>
      <c r="K2184" s="3" t="s">
        <v>25</v>
      </c>
      <c r="L2184" s="4">
        <v>0</v>
      </c>
      <c r="M2184" s="3" t="s">
        <v>26</v>
      </c>
      <c r="N2184" s="3" t="s">
        <v>24</v>
      </c>
      <c r="O2184" s="4">
        <v>0</v>
      </c>
      <c r="P2184" s="4">
        <v>10</v>
      </c>
      <c r="Q2184" s="4">
        <v>0</v>
      </c>
    </row>
    <row r="2185" spans="1:17" x14ac:dyDescent="0.25">
      <c r="A2185" s="3" t="s">
        <v>18</v>
      </c>
      <c r="B2185" s="3">
        <v>15207365</v>
      </c>
      <c r="C2185" s="3" t="s">
        <v>2230</v>
      </c>
      <c r="D2185" s="3" t="s">
        <v>20</v>
      </c>
      <c r="E2185" s="3" t="s">
        <v>21</v>
      </c>
      <c r="F2185" s="3" t="s">
        <v>21</v>
      </c>
      <c r="G2185" s="3" t="s">
        <v>233</v>
      </c>
      <c r="H2185" s="3" t="s">
        <v>234</v>
      </c>
      <c r="I2185" s="3" t="s">
        <v>24</v>
      </c>
      <c r="J2185" s="3" t="s">
        <v>24</v>
      </c>
      <c r="K2185" s="3" t="s">
        <v>25</v>
      </c>
      <c r="L2185" s="4">
        <v>0</v>
      </c>
      <c r="M2185" s="3" t="s">
        <v>26</v>
      </c>
      <c r="N2185" s="3" t="s">
        <v>24</v>
      </c>
      <c r="O2185" s="4">
        <v>0</v>
      </c>
      <c r="P2185" s="4">
        <v>2</v>
      </c>
      <c r="Q2185" s="4">
        <v>0</v>
      </c>
    </row>
    <row r="2186" spans="1:17" x14ac:dyDescent="0.25">
      <c r="A2186" s="3" t="s">
        <v>18</v>
      </c>
      <c r="B2186" s="3">
        <v>15207404</v>
      </c>
      <c r="C2186" s="3" t="s">
        <v>2231</v>
      </c>
      <c r="D2186" s="3" t="s">
        <v>20</v>
      </c>
      <c r="E2186" s="3" t="s">
        <v>21</v>
      </c>
      <c r="F2186" s="3" t="s">
        <v>21</v>
      </c>
      <c r="G2186" s="3" t="s">
        <v>233</v>
      </c>
      <c r="H2186" s="3" t="s">
        <v>234</v>
      </c>
      <c r="I2186" s="3" t="s">
        <v>24</v>
      </c>
      <c r="J2186" s="3" t="s">
        <v>24</v>
      </c>
      <c r="K2186" s="3" t="s">
        <v>25</v>
      </c>
      <c r="L2186" s="4">
        <v>0</v>
      </c>
      <c r="M2186" s="3" t="s">
        <v>26</v>
      </c>
      <c r="N2186" s="3" t="s">
        <v>24</v>
      </c>
      <c r="O2186" s="4">
        <v>0</v>
      </c>
      <c r="P2186" s="4">
        <v>2</v>
      </c>
      <c r="Q2186" s="4">
        <v>0</v>
      </c>
    </row>
    <row r="2187" spans="1:17" x14ac:dyDescent="0.25">
      <c r="A2187" s="3" t="s">
        <v>18</v>
      </c>
      <c r="B2187" s="3">
        <v>15208464</v>
      </c>
      <c r="C2187" s="3" t="s">
        <v>2232</v>
      </c>
      <c r="D2187" s="3" t="s">
        <v>20</v>
      </c>
      <c r="E2187" s="3" t="s">
        <v>21</v>
      </c>
      <c r="F2187" s="3" t="s">
        <v>21</v>
      </c>
      <c r="G2187" s="3" t="s">
        <v>42</v>
      </c>
      <c r="H2187" s="3" t="s">
        <v>43</v>
      </c>
      <c r="I2187" s="3" t="s">
        <v>24</v>
      </c>
      <c r="J2187" s="3" t="s">
        <v>24</v>
      </c>
      <c r="K2187" s="3" t="s">
        <v>25</v>
      </c>
      <c r="L2187" s="4">
        <v>0</v>
      </c>
      <c r="M2187" s="3" t="s">
        <v>26</v>
      </c>
      <c r="N2187" s="3" t="s">
        <v>24</v>
      </c>
      <c r="O2187" s="4">
        <v>0</v>
      </c>
      <c r="P2187" s="4">
        <v>8</v>
      </c>
      <c r="Q2187" s="4">
        <v>1</v>
      </c>
    </row>
    <row r="2188" spans="1:17" x14ac:dyDescent="0.25">
      <c r="A2188" s="3" t="s">
        <v>18</v>
      </c>
      <c r="B2188" s="3">
        <v>15212511</v>
      </c>
      <c r="C2188" s="3" t="s">
        <v>2233</v>
      </c>
      <c r="D2188" s="3" t="s">
        <v>1360</v>
      </c>
      <c r="E2188" s="3" t="s">
        <v>21</v>
      </c>
      <c r="F2188" s="3" t="s">
        <v>21</v>
      </c>
      <c r="G2188" s="3" t="s">
        <v>36</v>
      </c>
      <c r="H2188" s="3" t="s">
        <v>37</v>
      </c>
      <c r="I2188" s="3" t="s">
        <v>24</v>
      </c>
      <c r="J2188" s="3" t="s">
        <v>24</v>
      </c>
      <c r="K2188" s="3" t="s">
        <v>25</v>
      </c>
      <c r="L2188" s="4">
        <v>0</v>
      </c>
      <c r="M2188" s="3" t="s">
        <v>26</v>
      </c>
      <c r="N2188" s="3" t="s">
        <v>24</v>
      </c>
      <c r="O2188" s="4">
        <v>0</v>
      </c>
      <c r="P2188" s="4">
        <v>10</v>
      </c>
      <c r="Q2188" s="4">
        <v>0</v>
      </c>
    </row>
    <row r="2189" spans="1:17" x14ac:dyDescent="0.25">
      <c r="A2189" s="3" t="s">
        <v>18</v>
      </c>
      <c r="B2189" s="3">
        <v>15212512</v>
      </c>
      <c r="C2189" s="3" t="s">
        <v>2234</v>
      </c>
      <c r="D2189" s="3" t="s">
        <v>1360</v>
      </c>
      <c r="E2189" s="3" t="s">
        <v>21</v>
      </c>
      <c r="F2189" s="3" t="s">
        <v>21</v>
      </c>
      <c r="G2189" s="3" t="s">
        <v>36</v>
      </c>
      <c r="H2189" s="3" t="s">
        <v>37</v>
      </c>
      <c r="I2189" s="3" t="s">
        <v>24</v>
      </c>
      <c r="J2189" s="3" t="s">
        <v>24</v>
      </c>
      <c r="K2189" s="3" t="s">
        <v>25</v>
      </c>
      <c r="L2189" s="4">
        <v>0</v>
      </c>
      <c r="M2189" s="3" t="s">
        <v>26</v>
      </c>
      <c r="N2189" s="3" t="s">
        <v>24</v>
      </c>
      <c r="O2189" s="4">
        <v>1</v>
      </c>
      <c r="P2189" s="4">
        <v>10</v>
      </c>
      <c r="Q2189" s="4">
        <v>1</v>
      </c>
    </row>
    <row r="2190" spans="1:17" x14ac:dyDescent="0.25">
      <c r="A2190" s="3" t="s">
        <v>18</v>
      </c>
      <c r="B2190" s="3">
        <v>15213340</v>
      </c>
      <c r="C2190" s="3" t="s">
        <v>2235</v>
      </c>
      <c r="D2190" s="3" t="s">
        <v>1360</v>
      </c>
      <c r="E2190" s="3" t="s">
        <v>21</v>
      </c>
      <c r="F2190" s="3" t="s">
        <v>21</v>
      </c>
      <c r="G2190" s="3" t="s">
        <v>233</v>
      </c>
      <c r="H2190" s="3" t="s">
        <v>234</v>
      </c>
      <c r="I2190" s="3" t="s">
        <v>24</v>
      </c>
      <c r="J2190" s="3" t="s">
        <v>24</v>
      </c>
      <c r="K2190" s="3" t="s">
        <v>25</v>
      </c>
      <c r="L2190" s="4">
        <v>0</v>
      </c>
      <c r="M2190" s="3" t="s">
        <v>26</v>
      </c>
      <c r="N2190" s="3" t="s">
        <v>24</v>
      </c>
      <c r="O2190" s="4">
        <v>0</v>
      </c>
      <c r="P2190" s="4">
        <v>3</v>
      </c>
      <c r="Q2190" s="4">
        <v>0</v>
      </c>
    </row>
    <row r="2191" spans="1:17" x14ac:dyDescent="0.25">
      <c r="A2191" s="3" t="s">
        <v>18</v>
      </c>
      <c r="B2191" s="3">
        <v>15213345</v>
      </c>
      <c r="C2191" s="3" t="s">
        <v>2236</v>
      </c>
      <c r="D2191" s="3" t="s">
        <v>1360</v>
      </c>
      <c r="E2191" s="3" t="s">
        <v>21</v>
      </c>
      <c r="F2191" s="3" t="s">
        <v>21</v>
      </c>
      <c r="G2191" s="3" t="s">
        <v>233</v>
      </c>
      <c r="H2191" s="3" t="s">
        <v>234</v>
      </c>
      <c r="I2191" s="3" t="s">
        <v>24</v>
      </c>
      <c r="J2191" s="3" t="s">
        <v>24</v>
      </c>
      <c r="K2191" s="3" t="s">
        <v>25</v>
      </c>
      <c r="L2191" s="4">
        <v>0</v>
      </c>
      <c r="M2191" s="3" t="s">
        <v>26</v>
      </c>
      <c r="N2191" s="3" t="s">
        <v>24</v>
      </c>
      <c r="O2191" s="4">
        <v>0</v>
      </c>
      <c r="P2191" s="4">
        <v>3</v>
      </c>
      <c r="Q2191" s="4">
        <v>0</v>
      </c>
    </row>
    <row r="2192" spans="1:17" x14ac:dyDescent="0.25">
      <c r="A2192" s="3" t="s">
        <v>18</v>
      </c>
      <c r="B2192" s="3">
        <v>15225056</v>
      </c>
      <c r="C2192" s="3" t="s">
        <v>2237</v>
      </c>
      <c r="D2192" s="3" t="s">
        <v>20</v>
      </c>
      <c r="E2192" s="3" t="s">
        <v>21</v>
      </c>
      <c r="F2192" s="3" t="s">
        <v>21</v>
      </c>
      <c r="G2192" s="3" t="s">
        <v>233</v>
      </c>
      <c r="H2192" s="3" t="s">
        <v>234</v>
      </c>
      <c r="I2192" s="3" t="s">
        <v>24</v>
      </c>
      <c r="J2192" s="3" t="s">
        <v>24</v>
      </c>
      <c r="K2192" s="3" t="s">
        <v>25</v>
      </c>
      <c r="L2192" s="4">
        <v>0</v>
      </c>
      <c r="M2192" s="3" t="s">
        <v>26</v>
      </c>
      <c r="N2192" s="3" t="s">
        <v>24</v>
      </c>
      <c r="O2192" s="4">
        <v>0</v>
      </c>
      <c r="P2192" s="4">
        <v>2</v>
      </c>
      <c r="Q2192" s="4">
        <v>0</v>
      </c>
    </row>
    <row r="2193" spans="1:17" x14ac:dyDescent="0.25">
      <c r="A2193" s="3" t="s">
        <v>18</v>
      </c>
      <c r="B2193" s="3">
        <v>15240750</v>
      </c>
      <c r="C2193" s="3" t="s">
        <v>2238</v>
      </c>
      <c r="D2193" s="3" t="s">
        <v>20</v>
      </c>
      <c r="E2193" s="3" t="s">
        <v>21</v>
      </c>
      <c r="F2193" s="3" t="s">
        <v>21</v>
      </c>
      <c r="G2193" s="3" t="s">
        <v>42</v>
      </c>
      <c r="H2193" s="3" t="s">
        <v>43</v>
      </c>
      <c r="I2193" s="3" t="s">
        <v>24</v>
      </c>
      <c r="J2193" s="3" t="s">
        <v>24</v>
      </c>
      <c r="K2193" s="3" t="s">
        <v>25</v>
      </c>
      <c r="L2193" s="4">
        <v>0</v>
      </c>
      <c r="M2193" s="3" t="s">
        <v>26</v>
      </c>
      <c r="N2193" s="3" t="s">
        <v>24</v>
      </c>
      <c r="O2193" s="4">
        <v>0</v>
      </c>
      <c r="P2193" s="4">
        <v>8</v>
      </c>
      <c r="Q2193" s="4">
        <v>1</v>
      </c>
    </row>
    <row r="2194" spans="1:17" x14ac:dyDescent="0.25">
      <c r="A2194" s="3" t="s">
        <v>18</v>
      </c>
      <c r="B2194" s="3">
        <v>15240751</v>
      </c>
      <c r="C2194" s="3" t="s">
        <v>2239</v>
      </c>
      <c r="D2194" s="3" t="s">
        <v>20</v>
      </c>
      <c r="E2194" s="3" t="s">
        <v>21</v>
      </c>
      <c r="F2194" s="3" t="s">
        <v>21</v>
      </c>
      <c r="G2194" s="3" t="s">
        <v>42</v>
      </c>
      <c r="H2194" s="3" t="s">
        <v>43</v>
      </c>
      <c r="I2194" s="3" t="s">
        <v>24</v>
      </c>
      <c r="J2194" s="3" t="s">
        <v>24</v>
      </c>
      <c r="K2194" s="3" t="s">
        <v>25</v>
      </c>
      <c r="L2194" s="4">
        <v>0</v>
      </c>
      <c r="M2194" s="3" t="s">
        <v>26</v>
      </c>
      <c r="N2194" s="3" t="s">
        <v>24</v>
      </c>
      <c r="O2194" s="4">
        <v>0</v>
      </c>
      <c r="P2194" s="4">
        <v>8</v>
      </c>
      <c r="Q2194" s="4">
        <v>1</v>
      </c>
    </row>
    <row r="2195" spans="1:17" x14ac:dyDescent="0.25">
      <c r="A2195" s="3" t="s">
        <v>18</v>
      </c>
      <c r="B2195" s="3">
        <v>15240752</v>
      </c>
      <c r="C2195" s="3" t="s">
        <v>2240</v>
      </c>
      <c r="D2195" s="3" t="s">
        <v>20</v>
      </c>
      <c r="E2195" s="3" t="s">
        <v>21</v>
      </c>
      <c r="F2195" s="3" t="s">
        <v>21</v>
      </c>
      <c r="G2195" s="3" t="s">
        <v>22</v>
      </c>
      <c r="H2195" s="3" t="s">
        <v>23</v>
      </c>
      <c r="I2195" s="3" t="s">
        <v>24</v>
      </c>
      <c r="J2195" s="3" t="s">
        <v>24</v>
      </c>
      <c r="K2195" s="3" t="s">
        <v>25</v>
      </c>
      <c r="L2195" s="4">
        <v>0</v>
      </c>
      <c r="M2195" s="3" t="s">
        <v>26</v>
      </c>
      <c r="N2195" s="3" t="s">
        <v>24</v>
      </c>
      <c r="O2195" s="4">
        <v>1</v>
      </c>
      <c r="P2195" s="4">
        <v>4</v>
      </c>
      <c r="Q2195" s="4">
        <v>1</v>
      </c>
    </row>
    <row r="2196" spans="1:17" x14ac:dyDescent="0.25">
      <c r="A2196" s="3" t="s">
        <v>18</v>
      </c>
      <c r="B2196" s="3">
        <v>15240754</v>
      </c>
      <c r="C2196" s="3" t="s">
        <v>2241</v>
      </c>
      <c r="D2196" s="3" t="s">
        <v>20</v>
      </c>
      <c r="E2196" s="3" t="s">
        <v>21</v>
      </c>
      <c r="F2196" s="3" t="s">
        <v>21</v>
      </c>
      <c r="G2196" s="3" t="s">
        <v>36</v>
      </c>
      <c r="H2196" s="3" t="s">
        <v>37</v>
      </c>
      <c r="I2196" s="3" t="s">
        <v>24</v>
      </c>
      <c r="J2196" s="3" t="s">
        <v>24</v>
      </c>
      <c r="K2196" s="3" t="s">
        <v>25</v>
      </c>
      <c r="L2196" s="4">
        <v>0</v>
      </c>
      <c r="M2196" s="3" t="s">
        <v>26</v>
      </c>
      <c r="N2196" s="3" t="s">
        <v>24</v>
      </c>
      <c r="O2196" s="4">
        <v>0</v>
      </c>
      <c r="P2196" s="4">
        <v>10</v>
      </c>
      <c r="Q2196" s="4">
        <v>0</v>
      </c>
    </row>
    <row r="2197" spans="1:17" x14ac:dyDescent="0.25">
      <c r="A2197" s="3" t="s">
        <v>18</v>
      </c>
      <c r="B2197" s="3">
        <v>15240983</v>
      </c>
      <c r="C2197" s="3" t="s">
        <v>2242</v>
      </c>
      <c r="D2197" s="3" t="s">
        <v>20</v>
      </c>
      <c r="E2197" s="3" t="s">
        <v>21</v>
      </c>
      <c r="F2197" s="3" t="s">
        <v>21</v>
      </c>
      <c r="G2197" s="3" t="s">
        <v>233</v>
      </c>
      <c r="H2197" s="3" t="s">
        <v>234</v>
      </c>
      <c r="I2197" s="3" t="s">
        <v>24</v>
      </c>
      <c r="J2197" s="3" t="s">
        <v>24</v>
      </c>
      <c r="K2197" s="3" t="s">
        <v>25</v>
      </c>
      <c r="L2197" s="4">
        <v>0</v>
      </c>
      <c r="M2197" s="3" t="s">
        <v>26</v>
      </c>
      <c r="N2197" s="3" t="s">
        <v>24</v>
      </c>
      <c r="O2197" s="4">
        <v>0</v>
      </c>
      <c r="P2197" s="4">
        <v>4</v>
      </c>
      <c r="Q2197" s="4">
        <v>0</v>
      </c>
    </row>
    <row r="2198" spans="1:17" x14ac:dyDescent="0.25">
      <c r="A2198" s="3" t="s">
        <v>18</v>
      </c>
      <c r="B2198" s="3">
        <v>15242242</v>
      </c>
      <c r="C2198" s="3" t="s">
        <v>2243</v>
      </c>
      <c r="D2198" s="3" t="s">
        <v>20</v>
      </c>
      <c r="E2198" s="3" t="s">
        <v>21</v>
      </c>
      <c r="F2198" s="3" t="s">
        <v>21</v>
      </c>
      <c r="G2198" s="3" t="s">
        <v>233</v>
      </c>
      <c r="H2198" s="3" t="s">
        <v>234</v>
      </c>
      <c r="I2198" s="3" t="s">
        <v>24</v>
      </c>
      <c r="J2198" s="3" t="s">
        <v>24</v>
      </c>
      <c r="K2198" s="3" t="s">
        <v>25</v>
      </c>
      <c r="L2198" s="4">
        <v>0</v>
      </c>
      <c r="M2198" s="3" t="s">
        <v>26</v>
      </c>
      <c r="N2198" s="3" t="s">
        <v>24</v>
      </c>
      <c r="O2198" s="4">
        <v>0</v>
      </c>
      <c r="P2198" s="4">
        <v>2</v>
      </c>
      <c r="Q2198" s="4">
        <v>0</v>
      </c>
    </row>
    <row r="2199" spans="1:17" x14ac:dyDescent="0.25">
      <c r="A2199" s="3" t="s">
        <v>18</v>
      </c>
      <c r="B2199" s="3">
        <v>15242246</v>
      </c>
      <c r="C2199" s="3" t="s">
        <v>2244</v>
      </c>
      <c r="D2199" s="3" t="s">
        <v>20</v>
      </c>
      <c r="E2199" s="3" t="s">
        <v>21</v>
      </c>
      <c r="F2199" s="3" t="s">
        <v>21</v>
      </c>
      <c r="G2199" s="3" t="s">
        <v>233</v>
      </c>
      <c r="H2199" s="3" t="s">
        <v>234</v>
      </c>
      <c r="I2199" s="3" t="s">
        <v>24</v>
      </c>
      <c r="J2199" s="3" t="s">
        <v>24</v>
      </c>
      <c r="K2199" s="3" t="s">
        <v>25</v>
      </c>
      <c r="L2199" s="4">
        <v>0</v>
      </c>
      <c r="M2199" s="3" t="s">
        <v>26</v>
      </c>
      <c r="N2199" s="3" t="s">
        <v>24</v>
      </c>
      <c r="O2199" s="4">
        <v>0</v>
      </c>
      <c r="P2199" s="4">
        <v>3</v>
      </c>
      <c r="Q2199" s="4">
        <v>0</v>
      </c>
    </row>
    <row r="2200" spans="1:17" x14ac:dyDescent="0.25">
      <c r="A2200" s="3" t="s">
        <v>18</v>
      </c>
      <c r="B2200" s="3">
        <v>15243380</v>
      </c>
      <c r="C2200" s="3" t="s">
        <v>2245</v>
      </c>
      <c r="D2200" s="3" t="s">
        <v>1360</v>
      </c>
      <c r="E2200" s="3" t="s">
        <v>21</v>
      </c>
      <c r="F2200" s="3" t="s">
        <v>21</v>
      </c>
      <c r="G2200" s="3" t="s">
        <v>233</v>
      </c>
      <c r="H2200" s="3" t="s">
        <v>234</v>
      </c>
      <c r="I2200" s="3" t="s">
        <v>24</v>
      </c>
      <c r="J2200" s="3" t="s">
        <v>24</v>
      </c>
      <c r="K2200" s="3" t="s">
        <v>25</v>
      </c>
      <c r="L2200" s="4">
        <v>0</v>
      </c>
      <c r="M2200" s="3" t="s">
        <v>26</v>
      </c>
      <c r="N2200" s="3" t="s">
        <v>24</v>
      </c>
      <c r="O2200" s="4">
        <v>0</v>
      </c>
      <c r="P2200" s="4">
        <v>3</v>
      </c>
      <c r="Q2200" s="4">
        <v>0</v>
      </c>
    </row>
    <row r="2201" spans="1:17" x14ac:dyDescent="0.25">
      <c r="A2201" s="3" t="s">
        <v>18</v>
      </c>
      <c r="B2201" s="3">
        <v>15243396</v>
      </c>
      <c r="C2201" s="3" t="s">
        <v>2246</v>
      </c>
      <c r="D2201" s="3" t="s">
        <v>20</v>
      </c>
      <c r="E2201" s="3" t="s">
        <v>21</v>
      </c>
      <c r="F2201" s="3" t="s">
        <v>21</v>
      </c>
      <c r="G2201" s="3" t="s">
        <v>36</v>
      </c>
      <c r="H2201" s="3" t="s">
        <v>37</v>
      </c>
      <c r="I2201" s="3" t="s">
        <v>24</v>
      </c>
      <c r="J2201" s="3" t="s">
        <v>24</v>
      </c>
      <c r="K2201" s="3" t="s">
        <v>25</v>
      </c>
      <c r="L2201" s="4">
        <v>0</v>
      </c>
      <c r="M2201" s="3" t="s">
        <v>26</v>
      </c>
      <c r="N2201" s="3" t="s">
        <v>24</v>
      </c>
      <c r="O2201" s="4">
        <v>1</v>
      </c>
      <c r="P2201" s="4">
        <v>10</v>
      </c>
      <c r="Q2201" s="4">
        <v>1</v>
      </c>
    </row>
    <row r="2202" spans="1:17" x14ac:dyDescent="0.25">
      <c r="A2202" s="3" t="s">
        <v>18</v>
      </c>
      <c r="B2202" s="3">
        <v>15253152</v>
      </c>
      <c r="C2202" s="3" t="s">
        <v>2247</v>
      </c>
      <c r="D2202" s="3" t="s">
        <v>1360</v>
      </c>
      <c r="E2202" s="3" t="s">
        <v>21</v>
      </c>
      <c r="F2202" s="3" t="s">
        <v>21</v>
      </c>
      <c r="G2202" s="3" t="s">
        <v>36</v>
      </c>
      <c r="H2202" s="3" t="s">
        <v>37</v>
      </c>
      <c r="I2202" s="3" t="s">
        <v>24</v>
      </c>
      <c r="J2202" s="3" t="s">
        <v>24</v>
      </c>
      <c r="K2202" s="3" t="s">
        <v>25</v>
      </c>
      <c r="L2202" s="4">
        <v>0</v>
      </c>
      <c r="M2202" s="3" t="s">
        <v>26</v>
      </c>
      <c r="N2202" s="3" t="s">
        <v>24</v>
      </c>
      <c r="O2202" s="4">
        <v>1</v>
      </c>
      <c r="P2202" s="4">
        <v>4</v>
      </c>
      <c r="Q2202" s="4">
        <v>1</v>
      </c>
    </row>
    <row r="2203" spans="1:17" x14ac:dyDescent="0.25">
      <c r="A2203" s="3" t="s">
        <v>18</v>
      </c>
      <c r="B2203" s="3">
        <v>15253558</v>
      </c>
      <c r="C2203" s="3" t="s">
        <v>2248</v>
      </c>
      <c r="D2203" s="3" t="s">
        <v>1360</v>
      </c>
      <c r="E2203" s="3" t="s">
        <v>21</v>
      </c>
      <c r="F2203" s="3" t="s">
        <v>21</v>
      </c>
      <c r="G2203" s="3" t="s">
        <v>233</v>
      </c>
      <c r="H2203" s="3" t="s">
        <v>234</v>
      </c>
      <c r="I2203" s="3" t="s">
        <v>24</v>
      </c>
      <c r="J2203" s="3" t="s">
        <v>24</v>
      </c>
      <c r="K2203" s="3" t="s">
        <v>25</v>
      </c>
      <c r="L2203" s="4">
        <v>0</v>
      </c>
      <c r="M2203" s="3" t="s">
        <v>26</v>
      </c>
      <c r="N2203" s="3" t="s">
        <v>24</v>
      </c>
      <c r="O2203" s="4">
        <v>0</v>
      </c>
      <c r="P2203" s="4">
        <v>3</v>
      </c>
      <c r="Q2203" s="4">
        <v>0</v>
      </c>
    </row>
    <row r="2204" spans="1:17" x14ac:dyDescent="0.25">
      <c r="A2204" s="3" t="s">
        <v>18</v>
      </c>
      <c r="B2204" s="3">
        <v>15253560</v>
      </c>
      <c r="C2204" s="3" t="s">
        <v>2249</v>
      </c>
      <c r="D2204" s="3" t="s">
        <v>1360</v>
      </c>
      <c r="E2204" s="3" t="s">
        <v>21</v>
      </c>
      <c r="F2204" s="3" t="s">
        <v>21</v>
      </c>
      <c r="G2204" s="3" t="s">
        <v>233</v>
      </c>
      <c r="H2204" s="3" t="s">
        <v>234</v>
      </c>
      <c r="I2204" s="3" t="s">
        <v>24</v>
      </c>
      <c r="J2204" s="3" t="s">
        <v>24</v>
      </c>
      <c r="K2204" s="3" t="s">
        <v>25</v>
      </c>
      <c r="L2204" s="4">
        <v>0</v>
      </c>
      <c r="M2204" s="3" t="s">
        <v>26</v>
      </c>
      <c r="N2204" s="3" t="s">
        <v>24</v>
      </c>
      <c r="O2204" s="4">
        <v>0</v>
      </c>
      <c r="P2204" s="4">
        <v>3</v>
      </c>
      <c r="Q2204" s="4">
        <v>0</v>
      </c>
    </row>
    <row r="2205" spans="1:17" x14ac:dyDescent="0.25">
      <c r="A2205" s="3" t="s">
        <v>18</v>
      </c>
      <c r="B2205" s="3">
        <v>15253951</v>
      </c>
      <c r="C2205" s="3" t="s">
        <v>2250</v>
      </c>
      <c r="D2205" s="3" t="s">
        <v>20</v>
      </c>
      <c r="E2205" s="3" t="s">
        <v>21</v>
      </c>
      <c r="F2205" s="3" t="s">
        <v>21</v>
      </c>
      <c r="G2205" s="3" t="s">
        <v>36</v>
      </c>
      <c r="H2205" s="3" t="s">
        <v>37</v>
      </c>
      <c r="I2205" s="3" t="s">
        <v>24</v>
      </c>
      <c r="J2205" s="3" t="s">
        <v>24</v>
      </c>
      <c r="K2205" s="3" t="s">
        <v>25</v>
      </c>
      <c r="L2205" s="4">
        <v>0</v>
      </c>
      <c r="M2205" s="3" t="s">
        <v>26</v>
      </c>
      <c r="N2205" s="3" t="s">
        <v>24</v>
      </c>
      <c r="O2205" s="4">
        <v>1</v>
      </c>
      <c r="P2205" s="4">
        <v>10</v>
      </c>
      <c r="Q2205" s="4">
        <v>1</v>
      </c>
    </row>
    <row r="2206" spans="1:17" x14ac:dyDescent="0.25">
      <c r="A2206" s="3" t="s">
        <v>18</v>
      </c>
      <c r="B2206" s="3">
        <v>15324519</v>
      </c>
      <c r="C2206" s="3" t="s">
        <v>2251</v>
      </c>
      <c r="D2206" s="3" t="s">
        <v>20</v>
      </c>
      <c r="E2206" s="3" t="s">
        <v>21</v>
      </c>
      <c r="F2206" s="3" t="s">
        <v>24</v>
      </c>
      <c r="G2206" s="3" t="s">
        <v>2140</v>
      </c>
      <c r="H2206" s="3" t="s">
        <v>2141</v>
      </c>
      <c r="I2206" s="3" t="s">
        <v>24</v>
      </c>
      <c r="J2206" s="3" t="s">
        <v>24</v>
      </c>
      <c r="K2206" s="3" t="s">
        <v>25</v>
      </c>
      <c r="L2206" s="4">
        <v>0</v>
      </c>
      <c r="M2206" s="3" t="s">
        <v>26</v>
      </c>
      <c r="N2206" s="3" t="s">
        <v>24</v>
      </c>
      <c r="O2206" s="4">
        <v>1</v>
      </c>
      <c r="P2206" s="4">
        <v>16</v>
      </c>
      <c r="Q2206" s="4">
        <v>1</v>
      </c>
    </row>
    <row r="2207" spans="1:17" x14ac:dyDescent="0.25">
      <c r="A2207" s="3" t="s">
        <v>18</v>
      </c>
      <c r="B2207" s="3">
        <v>15324524</v>
      </c>
      <c r="C2207" s="3" t="s">
        <v>2252</v>
      </c>
      <c r="D2207" s="3" t="s">
        <v>20</v>
      </c>
      <c r="E2207" s="3" t="s">
        <v>21</v>
      </c>
      <c r="F2207" s="3" t="s">
        <v>24</v>
      </c>
      <c r="G2207" s="3" t="s">
        <v>22</v>
      </c>
      <c r="H2207" s="3" t="s">
        <v>23</v>
      </c>
      <c r="I2207" s="3" t="s">
        <v>24</v>
      </c>
      <c r="J2207" s="3" t="s">
        <v>24</v>
      </c>
      <c r="K2207" s="3" t="s">
        <v>25</v>
      </c>
      <c r="L2207" s="4">
        <v>0</v>
      </c>
      <c r="M2207" s="3" t="s">
        <v>26</v>
      </c>
      <c r="N2207" s="3" t="s">
        <v>24</v>
      </c>
      <c r="O2207" s="4">
        <v>1</v>
      </c>
      <c r="P2207" s="4">
        <v>4</v>
      </c>
      <c r="Q2207" s="4">
        <v>1</v>
      </c>
    </row>
    <row r="2208" spans="1:17" x14ac:dyDescent="0.25">
      <c r="A2208" s="3" t="s">
        <v>18</v>
      </c>
      <c r="B2208" s="3">
        <v>15326344</v>
      </c>
      <c r="C2208" s="3" t="s">
        <v>2253</v>
      </c>
      <c r="D2208" s="3" t="s">
        <v>20</v>
      </c>
      <c r="E2208" s="3" t="s">
        <v>21</v>
      </c>
      <c r="F2208" s="3" t="s">
        <v>21</v>
      </c>
      <c r="G2208" s="3" t="s">
        <v>22</v>
      </c>
      <c r="H2208" s="3" t="s">
        <v>23</v>
      </c>
      <c r="I2208" s="3" t="s">
        <v>24</v>
      </c>
      <c r="J2208" s="3" t="s">
        <v>24</v>
      </c>
      <c r="K2208" s="3" t="s">
        <v>25</v>
      </c>
      <c r="L2208" s="4">
        <v>0</v>
      </c>
      <c r="M2208" s="3" t="s">
        <v>26</v>
      </c>
      <c r="N2208" s="3" t="s">
        <v>24</v>
      </c>
      <c r="O2208" s="4">
        <v>0</v>
      </c>
      <c r="P2208" s="4">
        <v>4</v>
      </c>
      <c r="Q2208" s="4">
        <v>0</v>
      </c>
    </row>
    <row r="2209" spans="1:17" x14ac:dyDescent="0.25">
      <c r="A2209" s="3" t="s">
        <v>18</v>
      </c>
      <c r="B2209" s="3">
        <v>15329102</v>
      </c>
      <c r="C2209" s="3" t="s">
        <v>2254</v>
      </c>
      <c r="D2209" s="3" t="s">
        <v>20</v>
      </c>
      <c r="E2209" s="3" t="s">
        <v>21</v>
      </c>
      <c r="F2209" s="3" t="s">
        <v>24</v>
      </c>
      <c r="G2209" s="3" t="s">
        <v>2140</v>
      </c>
      <c r="H2209" s="3" t="s">
        <v>2141</v>
      </c>
      <c r="I2209" s="3" t="s">
        <v>24</v>
      </c>
      <c r="J2209" s="3" t="s">
        <v>24</v>
      </c>
      <c r="K2209" s="3" t="s">
        <v>25</v>
      </c>
      <c r="L2209" s="4">
        <v>0</v>
      </c>
      <c r="M2209" s="3" t="s">
        <v>26</v>
      </c>
      <c r="N2209" s="3" t="s">
        <v>24</v>
      </c>
      <c r="O2209" s="4">
        <v>1</v>
      </c>
      <c r="P2209" s="4">
        <v>16</v>
      </c>
      <c r="Q2209" s="4">
        <v>0</v>
      </c>
    </row>
    <row r="2210" spans="1:17" x14ac:dyDescent="0.25">
      <c r="A2210" s="3" t="s">
        <v>18</v>
      </c>
      <c r="B2210" s="3">
        <v>15329103</v>
      </c>
      <c r="C2210" s="3" t="s">
        <v>2255</v>
      </c>
      <c r="D2210" s="3" t="s">
        <v>20</v>
      </c>
      <c r="E2210" s="3" t="s">
        <v>21</v>
      </c>
      <c r="F2210" s="3" t="s">
        <v>24</v>
      </c>
      <c r="G2210" s="3" t="s">
        <v>2140</v>
      </c>
      <c r="H2210" s="3" t="s">
        <v>2141</v>
      </c>
      <c r="I2210" s="3" t="s">
        <v>24</v>
      </c>
      <c r="J2210" s="3" t="s">
        <v>24</v>
      </c>
      <c r="K2210" s="3" t="s">
        <v>25</v>
      </c>
      <c r="L2210" s="4">
        <v>0</v>
      </c>
      <c r="M2210" s="3" t="s">
        <v>26</v>
      </c>
      <c r="N2210" s="3" t="s">
        <v>24</v>
      </c>
      <c r="O2210" s="4">
        <v>1</v>
      </c>
      <c r="P2210" s="4">
        <v>16</v>
      </c>
      <c r="Q2210" s="4">
        <v>0</v>
      </c>
    </row>
    <row r="2211" spans="1:17" x14ac:dyDescent="0.25">
      <c r="A2211" s="3" t="s">
        <v>18</v>
      </c>
      <c r="B2211" s="3">
        <v>15329105</v>
      </c>
      <c r="C2211" s="3" t="s">
        <v>2256</v>
      </c>
      <c r="D2211" s="3" t="s">
        <v>20</v>
      </c>
      <c r="E2211" s="3" t="s">
        <v>21</v>
      </c>
      <c r="F2211" s="3" t="s">
        <v>24</v>
      </c>
      <c r="G2211" s="3" t="s">
        <v>2140</v>
      </c>
      <c r="H2211" s="3" t="s">
        <v>2141</v>
      </c>
      <c r="I2211" s="3" t="s">
        <v>24</v>
      </c>
      <c r="J2211" s="3" t="s">
        <v>24</v>
      </c>
      <c r="K2211" s="3" t="s">
        <v>25</v>
      </c>
      <c r="L2211" s="4">
        <v>0</v>
      </c>
      <c r="M2211" s="3" t="s">
        <v>26</v>
      </c>
      <c r="N2211" s="3" t="s">
        <v>24</v>
      </c>
      <c r="O2211" s="4">
        <v>1</v>
      </c>
      <c r="P2211" s="4">
        <v>16</v>
      </c>
      <c r="Q2211" s="4">
        <v>0</v>
      </c>
    </row>
    <row r="2212" spans="1:17" x14ac:dyDescent="0.25">
      <c r="A2212" s="3" t="s">
        <v>18</v>
      </c>
      <c r="B2212" s="3">
        <v>15329107</v>
      </c>
      <c r="C2212" s="3" t="s">
        <v>2257</v>
      </c>
      <c r="D2212" s="3" t="s">
        <v>20</v>
      </c>
      <c r="E2212" s="3" t="s">
        <v>21</v>
      </c>
      <c r="F2212" s="3" t="s">
        <v>24</v>
      </c>
      <c r="G2212" s="3" t="s">
        <v>22</v>
      </c>
      <c r="H2212" s="3" t="s">
        <v>23</v>
      </c>
      <c r="I2212" s="3" t="s">
        <v>24</v>
      </c>
      <c r="J2212" s="3" t="s">
        <v>24</v>
      </c>
      <c r="K2212" s="3" t="s">
        <v>25</v>
      </c>
      <c r="L2212" s="4">
        <v>0</v>
      </c>
      <c r="M2212" s="3" t="s">
        <v>26</v>
      </c>
      <c r="N2212" s="3" t="s">
        <v>24</v>
      </c>
      <c r="O2212" s="4">
        <v>2</v>
      </c>
      <c r="P2212" s="4">
        <v>4</v>
      </c>
      <c r="Q2212" s="4">
        <v>0</v>
      </c>
    </row>
    <row r="2213" spans="1:17" x14ac:dyDescent="0.25">
      <c r="A2213" s="3" t="s">
        <v>18</v>
      </c>
      <c r="B2213" s="3">
        <v>15329268</v>
      </c>
      <c r="C2213" s="3" t="s">
        <v>2258</v>
      </c>
      <c r="D2213" s="3" t="s">
        <v>20</v>
      </c>
      <c r="E2213" s="3" t="s">
        <v>21</v>
      </c>
      <c r="F2213" s="3" t="s">
        <v>24</v>
      </c>
      <c r="G2213" s="3" t="s">
        <v>362</v>
      </c>
      <c r="H2213" s="3" t="s">
        <v>363</v>
      </c>
      <c r="I2213" s="3" t="s">
        <v>24</v>
      </c>
      <c r="J2213" s="3" t="s">
        <v>24</v>
      </c>
      <c r="K2213" s="3" t="s">
        <v>25</v>
      </c>
      <c r="L2213" s="4">
        <v>0</v>
      </c>
      <c r="M2213" s="3" t="s">
        <v>26</v>
      </c>
      <c r="N2213" s="3" t="s">
        <v>24</v>
      </c>
      <c r="O2213" s="4">
        <v>1</v>
      </c>
      <c r="P2213" s="4">
        <v>3</v>
      </c>
      <c r="Q2213" s="4">
        <v>1</v>
      </c>
    </row>
    <row r="2214" spans="1:17" x14ac:dyDescent="0.25">
      <c r="A2214" s="3" t="s">
        <v>18</v>
      </c>
      <c r="B2214" s="3">
        <v>15329271</v>
      </c>
      <c r="C2214" s="3" t="s">
        <v>2259</v>
      </c>
      <c r="D2214" s="3" t="s">
        <v>20</v>
      </c>
      <c r="E2214" s="3" t="s">
        <v>21</v>
      </c>
      <c r="F2214" s="3" t="s">
        <v>24</v>
      </c>
      <c r="G2214" s="3" t="s">
        <v>362</v>
      </c>
      <c r="H2214" s="3" t="s">
        <v>363</v>
      </c>
      <c r="I2214" s="3" t="s">
        <v>24</v>
      </c>
      <c r="J2214" s="3" t="s">
        <v>24</v>
      </c>
      <c r="K2214" s="3" t="s">
        <v>25</v>
      </c>
      <c r="L2214" s="4">
        <v>0</v>
      </c>
      <c r="M2214" s="3" t="s">
        <v>26</v>
      </c>
      <c r="N2214" s="3" t="s">
        <v>24</v>
      </c>
      <c r="O2214" s="4">
        <v>1</v>
      </c>
      <c r="P2214" s="4">
        <v>3</v>
      </c>
      <c r="Q2214" s="4">
        <v>1</v>
      </c>
    </row>
    <row r="2215" spans="1:17" x14ac:dyDescent="0.25">
      <c r="A2215" s="3" t="s">
        <v>18</v>
      </c>
      <c r="B2215" s="3">
        <v>15329272</v>
      </c>
      <c r="C2215" s="3" t="s">
        <v>2260</v>
      </c>
      <c r="D2215" s="3" t="s">
        <v>20</v>
      </c>
      <c r="E2215" s="3" t="s">
        <v>21</v>
      </c>
      <c r="F2215" s="3" t="s">
        <v>24</v>
      </c>
      <c r="G2215" s="3" t="s">
        <v>362</v>
      </c>
      <c r="H2215" s="3" t="s">
        <v>363</v>
      </c>
      <c r="I2215" s="3" t="s">
        <v>24</v>
      </c>
      <c r="J2215" s="3" t="s">
        <v>24</v>
      </c>
      <c r="K2215" s="3" t="s">
        <v>25</v>
      </c>
      <c r="L2215" s="4">
        <v>0</v>
      </c>
      <c r="M2215" s="3" t="s">
        <v>26</v>
      </c>
      <c r="N2215" s="3" t="s">
        <v>24</v>
      </c>
      <c r="O2215" s="4">
        <v>1</v>
      </c>
      <c r="P2215" s="4">
        <v>3</v>
      </c>
      <c r="Q2215" s="4">
        <v>1</v>
      </c>
    </row>
    <row r="2216" spans="1:17" x14ac:dyDescent="0.25">
      <c r="A2216" s="3" t="s">
        <v>18</v>
      </c>
      <c r="B2216" s="3">
        <v>15338075</v>
      </c>
      <c r="C2216" s="3" t="s">
        <v>2261</v>
      </c>
      <c r="D2216" s="3" t="s">
        <v>20</v>
      </c>
      <c r="E2216" s="3" t="s">
        <v>21</v>
      </c>
      <c r="F2216" s="3" t="s">
        <v>21</v>
      </c>
      <c r="G2216" s="3" t="s">
        <v>362</v>
      </c>
      <c r="H2216" s="3" t="s">
        <v>363</v>
      </c>
      <c r="I2216" s="3" t="s">
        <v>24</v>
      </c>
      <c r="J2216" s="3" t="s">
        <v>24</v>
      </c>
      <c r="K2216" s="3" t="s">
        <v>25</v>
      </c>
      <c r="L2216" s="4">
        <v>0</v>
      </c>
      <c r="M2216" s="3" t="s">
        <v>26</v>
      </c>
      <c r="N2216" s="3" t="s">
        <v>24</v>
      </c>
      <c r="O2216" s="4">
        <v>1</v>
      </c>
      <c r="P2216" s="4">
        <v>1</v>
      </c>
      <c r="Q2216" s="4">
        <v>1</v>
      </c>
    </row>
    <row r="2217" spans="1:17" x14ac:dyDescent="0.25">
      <c r="A2217" s="3" t="s">
        <v>18</v>
      </c>
      <c r="B2217" s="3">
        <v>15341665</v>
      </c>
      <c r="C2217" s="3" t="s">
        <v>2262</v>
      </c>
      <c r="D2217" s="3" t="s">
        <v>20</v>
      </c>
      <c r="E2217" s="3" t="s">
        <v>21</v>
      </c>
      <c r="F2217" s="3" t="s">
        <v>21</v>
      </c>
      <c r="G2217" s="3" t="s">
        <v>36</v>
      </c>
      <c r="H2217" s="3" t="s">
        <v>37</v>
      </c>
      <c r="I2217" s="3" t="s">
        <v>24</v>
      </c>
      <c r="J2217" s="3" t="s">
        <v>24</v>
      </c>
      <c r="K2217" s="3" t="s">
        <v>25</v>
      </c>
      <c r="L2217" s="4">
        <v>0</v>
      </c>
      <c r="M2217" s="3" t="s">
        <v>26</v>
      </c>
      <c r="N2217" s="3" t="s">
        <v>24</v>
      </c>
      <c r="O2217" s="4">
        <v>0</v>
      </c>
      <c r="P2217" s="4">
        <v>8</v>
      </c>
      <c r="Q2217" s="4">
        <v>0</v>
      </c>
    </row>
    <row r="2218" spans="1:17" x14ac:dyDescent="0.25">
      <c r="A2218" s="3" t="s">
        <v>18</v>
      </c>
      <c r="B2218" s="3">
        <v>15342437</v>
      </c>
      <c r="C2218" s="3" t="s">
        <v>2263</v>
      </c>
      <c r="D2218" s="3" t="s">
        <v>20</v>
      </c>
      <c r="E2218" s="3" t="s">
        <v>21</v>
      </c>
      <c r="F2218" s="3" t="s">
        <v>21</v>
      </c>
      <c r="G2218" s="3" t="s">
        <v>36</v>
      </c>
      <c r="H2218" s="3" t="s">
        <v>37</v>
      </c>
      <c r="I2218" s="3" t="s">
        <v>24</v>
      </c>
      <c r="J2218" s="3" t="s">
        <v>24</v>
      </c>
      <c r="K2218" s="3" t="s">
        <v>25</v>
      </c>
      <c r="L2218" s="4">
        <v>0</v>
      </c>
      <c r="M2218" s="3" t="s">
        <v>26</v>
      </c>
      <c r="N2218" s="3" t="s">
        <v>24</v>
      </c>
      <c r="O2218" s="4">
        <v>0</v>
      </c>
      <c r="P2218" s="4">
        <v>8</v>
      </c>
      <c r="Q2218" s="4">
        <v>0</v>
      </c>
    </row>
    <row r="2219" spans="1:17" x14ac:dyDescent="0.25">
      <c r="A2219" s="3" t="s">
        <v>18</v>
      </c>
      <c r="B2219" s="3">
        <v>15342628</v>
      </c>
      <c r="C2219" s="3" t="s">
        <v>2264</v>
      </c>
      <c r="D2219" s="3" t="s">
        <v>20</v>
      </c>
      <c r="E2219" s="3" t="s">
        <v>21</v>
      </c>
      <c r="F2219" s="3" t="s">
        <v>21</v>
      </c>
      <c r="G2219" s="3" t="s">
        <v>36</v>
      </c>
      <c r="H2219" s="3" t="s">
        <v>37</v>
      </c>
      <c r="I2219" s="3" t="s">
        <v>24</v>
      </c>
      <c r="J2219" s="3" t="s">
        <v>24</v>
      </c>
      <c r="K2219" s="3" t="s">
        <v>25</v>
      </c>
      <c r="L2219" s="4">
        <v>0</v>
      </c>
      <c r="M2219" s="3" t="s">
        <v>26</v>
      </c>
      <c r="N2219" s="3" t="s">
        <v>24</v>
      </c>
      <c r="O2219" s="4">
        <v>0</v>
      </c>
      <c r="P2219" s="4">
        <v>8</v>
      </c>
      <c r="Q2219" s="4">
        <v>0</v>
      </c>
    </row>
    <row r="2220" spans="1:17" x14ac:dyDescent="0.25">
      <c r="A2220" s="3" t="s">
        <v>18</v>
      </c>
      <c r="B2220" s="3">
        <v>15342630</v>
      </c>
      <c r="C2220" s="3" t="s">
        <v>2265</v>
      </c>
      <c r="D2220" s="3" t="s">
        <v>20</v>
      </c>
      <c r="E2220" s="3" t="s">
        <v>21</v>
      </c>
      <c r="F2220" s="3" t="s">
        <v>21</v>
      </c>
      <c r="G2220" s="3" t="s">
        <v>36</v>
      </c>
      <c r="H2220" s="3" t="s">
        <v>37</v>
      </c>
      <c r="I2220" s="3" t="s">
        <v>24</v>
      </c>
      <c r="J2220" s="3" t="s">
        <v>24</v>
      </c>
      <c r="K2220" s="3" t="s">
        <v>25</v>
      </c>
      <c r="L2220" s="4">
        <v>0</v>
      </c>
      <c r="M2220" s="3" t="s">
        <v>26</v>
      </c>
      <c r="N2220" s="3" t="s">
        <v>24</v>
      </c>
      <c r="O2220" s="4">
        <v>0</v>
      </c>
      <c r="P2220" s="4">
        <v>8</v>
      </c>
      <c r="Q2220" s="4">
        <v>0</v>
      </c>
    </row>
    <row r="2221" spans="1:17" x14ac:dyDescent="0.25">
      <c r="A2221" s="3" t="s">
        <v>18</v>
      </c>
      <c r="B2221" s="3">
        <v>15342637</v>
      </c>
      <c r="C2221" s="3" t="s">
        <v>2266</v>
      </c>
      <c r="D2221" s="3" t="s">
        <v>20</v>
      </c>
      <c r="E2221" s="3" t="s">
        <v>21</v>
      </c>
      <c r="F2221" s="3" t="s">
        <v>21</v>
      </c>
      <c r="G2221" s="3" t="s">
        <v>36</v>
      </c>
      <c r="H2221" s="3" t="s">
        <v>37</v>
      </c>
      <c r="I2221" s="3" t="s">
        <v>24</v>
      </c>
      <c r="J2221" s="3" t="s">
        <v>24</v>
      </c>
      <c r="K2221" s="3" t="s">
        <v>25</v>
      </c>
      <c r="L2221" s="4">
        <v>0</v>
      </c>
      <c r="M2221" s="3" t="s">
        <v>26</v>
      </c>
      <c r="N2221" s="3" t="s">
        <v>24</v>
      </c>
      <c r="O2221" s="4">
        <v>0</v>
      </c>
      <c r="P2221" s="4">
        <v>8</v>
      </c>
      <c r="Q2221" s="4">
        <v>0</v>
      </c>
    </row>
    <row r="2222" spans="1:17" x14ac:dyDescent="0.25">
      <c r="A2222" s="3" t="s">
        <v>18</v>
      </c>
      <c r="B2222" s="3">
        <v>15342758</v>
      </c>
      <c r="C2222" s="3" t="s">
        <v>2267</v>
      </c>
      <c r="D2222" s="3" t="s">
        <v>20</v>
      </c>
      <c r="E2222" s="3" t="s">
        <v>21</v>
      </c>
      <c r="F2222" s="3" t="s">
        <v>21</v>
      </c>
      <c r="G2222" s="3" t="s">
        <v>36</v>
      </c>
      <c r="H2222" s="3" t="s">
        <v>37</v>
      </c>
      <c r="I2222" s="3" t="s">
        <v>24</v>
      </c>
      <c r="J2222" s="3" t="s">
        <v>24</v>
      </c>
      <c r="K2222" s="3" t="s">
        <v>25</v>
      </c>
      <c r="L2222" s="4">
        <v>0</v>
      </c>
      <c r="M2222" s="3" t="s">
        <v>26</v>
      </c>
      <c r="N2222" s="3" t="s">
        <v>24</v>
      </c>
      <c r="O2222" s="4">
        <v>0</v>
      </c>
      <c r="P2222" s="4">
        <v>8</v>
      </c>
      <c r="Q2222" s="4">
        <v>0</v>
      </c>
    </row>
    <row r="2223" spans="1:17" x14ac:dyDescent="0.25">
      <c r="A2223" s="3" t="s">
        <v>18</v>
      </c>
      <c r="B2223" s="3">
        <v>15342760</v>
      </c>
      <c r="C2223" s="3" t="s">
        <v>2268</v>
      </c>
      <c r="D2223" s="3" t="s">
        <v>20</v>
      </c>
      <c r="E2223" s="3" t="s">
        <v>21</v>
      </c>
      <c r="F2223" s="3" t="s">
        <v>21</v>
      </c>
      <c r="G2223" s="3" t="s">
        <v>36</v>
      </c>
      <c r="H2223" s="3" t="s">
        <v>37</v>
      </c>
      <c r="I2223" s="3" t="s">
        <v>24</v>
      </c>
      <c r="J2223" s="3" t="s">
        <v>24</v>
      </c>
      <c r="K2223" s="3" t="s">
        <v>25</v>
      </c>
      <c r="L2223" s="4">
        <v>0</v>
      </c>
      <c r="M2223" s="3" t="s">
        <v>26</v>
      </c>
      <c r="N2223" s="3" t="s">
        <v>24</v>
      </c>
      <c r="O2223" s="4">
        <v>0</v>
      </c>
      <c r="P2223" s="4">
        <v>8</v>
      </c>
      <c r="Q2223" s="4">
        <v>0</v>
      </c>
    </row>
    <row r="2224" spans="1:17" x14ac:dyDescent="0.25">
      <c r="A2224" s="3" t="s">
        <v>18</v>
      </c>
      <c r="B2224" s="3">
        <v>15342761</v>
      </c>
      <c r="C2224" s="3" t="s">
        <v>2269</v>
      </c>
      <c r="D2224" s="3" t="s">
        <v>20</v>
      </c>
      <c r="E2224" s="3" t="s">
        <v>21</v>
      </c>
      <c r="F2224" s="3" t="s">
        <v>21</v>
      </c>
      <c r="G2224" s="3" t="s">
        <v>36</v>
      </c>
      <c r="H2224" s="3" t="s">
        <v>37</v>
      </c>
      <c r="I2224" s="3" t="s">
        <v>24</v>
      </c>
      <c r="J2224" s="3" t="s">
        <v>24</v>
      </c>
      <c r="K2224" s="3" t="s">
        <v>25</v>
      </c>
      <c r="L2224" s="4">
        <v>0</v>
      </c>
      <c r="M2224" s="3" t="s">
        <v>26</v>
      </c>
      <c r="N2224" s="3" t="s">
        <v>24</v>
      </c>
      <c r="O2224" s="4">
        <v>0</v>
      </c>
      <c r="P2224" s="4">
        <v>8</v>
      </c>
      <c r="Q2224" s="4">
        <v>0</v>
      </c>
    </row>
    <row r="2225" spans="1:17" x14ac:dyDescent="0.25">
      <c r="A2225" s="3" t="s">
        <v>18</v>
      </c>
      <c r="B2225" s="3">
        <v>15342762</v>
      </c>
      <c r="C2225" s="3" t="s">
        <v>2270</v>
      </c>
      <c r="D2225" s="3" t="s">
        <v>20</v>
      </c>
      <c r="E2225" s="3" t="s">
        <v>21</v>
      </c>
      <c r="F2225" s="3" t="s">
        <v>21</v>
      </c>
      <c r="G2225" s="3" t="s">
        <v>36</v>
      </c>
      <c r="H2225" s="3" t="s">
        <v>37</v>
      </c>
      <c r="I2225" s="3" t="s">
        <v>24</v>
      </c>
      <c r="J2225" s="3" t="s">
        <v>24</v>
      </c>
      <c r="K2225" s="3" t="s">
        <v>25</v>
      </c>
      <c r="L2225" s="4">
        <v>0</v>
      </c>
      <c r="M2225" s="3" t="s">
        <v>26</v>
      </c>
      <c r="N2225" s="3" t="s">
        <v>24</v>
      </c>
      <c r="O2225" s="4">
        <v>0</v>
      </c>
      <c r="P2225" s="4">
        <v>8</v>
      </c>
      <c r="Q2225" s="4">
        <v>0</v>
      </c>
    </row>
    <row r="2226" spans="1:17" x14ac:dyDescent="0.25">
      <c r="A2226" s="3" t="s">
        <v>18</v>
      </c>
      <c r="B2226" s="3">
        <v>15342764</v>
      </c>
      <c r="C2226" s="3" t="s">
        <v>2271</v>
      </c>
      <c r="D2226" s="3" t="s">
        <v>20</v>
      </c>
      <c r="E2226" s="3" t="s">
        <v>21</v>
      </c>
      <c r="F2226" s="3" t="s">
        <v>21</v>
      </c>
      <c r="G2226" s="3" t="s">
        <v>36</v>
      </c>
      <c r="H2226" s="3" t="s">
        <v>37</v>
      </c>
      <c r="I2226" s="3" t="s">
        <v>24</v>
      </c>
      <c r="J2226" s="3" t="s">
        <v>24</v>
      </c>
      <c r="K2226" s="3" t="s">
        <v>25</v>
      </c>
      <c r="L2226" s="4">
        <v>0</v>
      </c>
      <c r="M2226" s="3" t="s">
        <v>26</v>
      </c>
      <c r="N2226" s="3" t="s">
        <v>24</v>
      </c>
      <c r="O2226" s="4">
        <v>0</v>
      </c>
      <c r="P2226" s="4">
        <v>8</v>
      </c>
      <c r="Q2226" s="4">
        <v>0</v>
      </c>
    </row>
    <row r="2227" spans="1:17" x14ac:dyDescent="0.25">
      <c r="A2227" s="3" t="s">
        <v>18</v>
      </c>
      <c r="B2227" s="3">
        <v>15342765</v>
      </c>
      <c r="C2227" s="3" t="s">
        <v>2272</v>
      </c>
      <c r="D2227" s="3" t="s">
        <v>20</v>
      </c>
      <c r="E2227" s="3" t="s">
        <v>21</v>
      </c>
      <c r="F2227" s="3" t="s">
        <v>21</v>
      </c>
      <c r="G2227" s="3" t="s">
        <v>36</v>
      </c>
      <c r="H2227" s="3" t="s">
        <v>37</v>
      </c>
      <c r="I2227" s="3" t="s">
        <v>24</v>
      </c>
      <c r="J2227" s="3" t="s">
        <v>24</v>
      </c>
      <c r="K2227" s="3" t="s">
        <v>25</v>
      </c>
      <c r="L2227" s="4">
        <v>0</v>
      </c>
      <c r="M2227" s="3" t="s">
        <v>26</v>
      </c>
      <c r="N2227" s="3" t="s">
        <v>24</v>
      </c>
      <c r="O2227" s="4">
        <v>0</v>
      </c>
      <c r="P2227" s="4">
        <v>8</v>
      </c>
      <c r="Q2227" s="4">
        <v>0</v>
      </c>
    </row>
    <row r="2228" spans="1:17" x14ac:dyDescent="0.25">
      <c r="A2228" s="3" t="s">
        <v>18</v>
      </c>
      <c r="B2228" s="3">
        <v>15342909</v>
      </c>
      <c r="C2228" s="3" t="s">
        <v>2273</v>
      </c>
      <c r="D2228" s="3" t="s">
        <v>20</v>
      </c>
      <c r="E2228" s="3" t="s">
        <v>21</v>
      </c>
      <c r="F2228" s="3" t="s">
        <v>21</v>
      </c>
      <c r="G2228" s="3" t="s">
        <v>36</v>
      </c>
      <c r="H2228" s="3" t="s">
        <v>37</v>
      </c>
      <c r="I2228" s="3" t="s">
        <v>24</v>
      </c>
      <c r="J2228" s="3" t="s">
        <v>24</v>
      </c>
      <c r="K2228" s="3" t="s">
        <v>25</v>
      </c>
      <c r="L2228" s="4">
        <v>0</v>
      </c>
      <c r="M2228" s="3" t="s">
        <v>26</v>
      </c>
      <c r="N2228" s="3" t="s">
        <v>24</v>
      </c>
      <c r="O2228" s="4">
        <v>0</v>
      </c>
      <c r="P2228" s="4">
        <v>8</v>
      </c>
      <c r="Q2228" s="4">
        <v>0</v>
      </c>
    </row>
    <row r="2229" spans="1:17" x14ac:dyDescent="0.25">
      <c r="A2229" s="3" t="s">
        <v>18</v>
      </c>
      <c r="B2229" s="3">
        <v>15342911</v>
      </c>
      <c r="C2229" s="3" t="s">
        <v>2274</v>
      </c>
      <c r="D2229" s="3" t="s">
        <v>20</v>
      </c>
      <c r="E2229" s="3" t="s">
        <v>21</v>
      </c>
      <c r="F2229" s="3" t="s">
        <v>21</v>
      </c>
      <c r="G2229" s="3" t="s">
        <v>36</v>
      </c>
      <c r="H2229" s="3" t="s">
        <v>37</v>
      </c>
      <c r="I2229" s="3" t="s">
        <v>24</v>
      </c>
      <c r="J2229" s="3" t="s">
        <v>24</v>
      </c>
      <c r="K2229" s="3" t="s">
        <v>25</v>
      </c>
      <c r="L2229" s="4">
        <v>0</v>
      </c>
      <c r="M2229" s="3" t="s">
        <v>26</v>
      </c>
      <c r="N2229" s="3" t="s">
        <v>24</v>
      </c>
      <c r="O2229" s="4">
        <v>0</v>
      </c>
      <c r="P2229" s="4">
        <v>8</v>
      </c>
      <c r="Q2229" s="4">
        <v>0</v>
      </c>
    </row>
    <row r="2230" spans="1:17" x14ac:dyDescent="0.25">
      <c r="A2230" s="3" t="s">
        <v>18</v>
      </c>
      <c r="B2230" s="3">
        <v>15342914</v>
      </c>
      <c r="C2230" s="3" t="s">
        <v>2275</v>
      </c>
      <c r="D2230" s="3" t="s">
        <v>20</v>
      </c>
      <c r="E2230" s="3" t="s">
        <v>21</v>
      </c>
      <c r="F2230" s="3" t="s">
        <v>21</v>
      </c>
      <c r="G2230" s="3" t="s">
        <v>36</v>
      </c>
      <c r="H2230" s="3" t="s">
        <v>37</v>
      </c>
      <c r="I2230" s="3" t="s">
        <v>24</v>
      </c>
      <c r="J2230" s="3" t="s">
        <v>24</v>
      </c>
      <c r="K2230" s="3" t="s">
        <v>25</v>
      </c>
      <c r="L2230" s="4">
        <v>0</v>
      </c>
      <c r="M2230" s="3" t="s">
        <v>26</v>
      </c>
      <c r="N2230" s="3" t="s">
        <v>24</v>
      </c>
      <c r="O2230" s="4">
        <v>0</v>
      </c>
      <c r="P2230" s="4">
        <v>8</v>
      </c>
      <c r="Q2230" s="4">
        <v>0</v>
      </c>
    </row>
    <row r="2231" spans="1:17" x14ac:dyDescent="0.25">
      <c r="A2231" s="3" t="s">
        <v>18</v>
      </c>
      <c r="B2231" s="3">
        <v>15342915</v>
      </c>
      <c r="C2231" s="3" t="s">
        <v>2276</v>
      </c>
      <c r="D2231" s="3" t="s">
        <v>20</v>
      </c>
      <c r="E2231" s="3" t="s">
        <v>21</v>
      </c>
      <c r="F2231" s="3" t="s">
        <v>21</v>
      </c>
      <c r="G2231" s="3" t="s">
        <v>36</v>
      </c>
      <c r="H2231" s="3" t="s">
        <v>37</v>
      </c>
      <c r="I2231" s="3" t="s">
        <v>24</v>
      </c>
      <c r="J2231" s="3" t="s">
        <v>24</v>
      </c>
      <c r="K2231" s="3" t="s">
        <v>25</v>
      </c>
      <c r="L2231" s="4">
        <v>0</v>
      </c>
      <c r="M2231" s="3" t="s">
        <v>26</v>
      </c>
      <c r="N2231" s="3" t="s">
        <v>24</v>
      </c>
      <c r="O2231" s="4">
        <v>0</v>
      </c>
      <c r="P2231" s="4">
        <v>8</v>
      </c>
      <c r="Q2231" s="4">
        <v>0</v>
      </c>
    </row>
    <row r="2232" spans="1:17" x14ac:dyDescent="0.25">
      <c r="A2232" s="3" t="s">
        <v>18</v>
      </c>
      <c r="B2232" s="3">
        <v>15342917</v>
      </c>
      <c r="C2232" s="3" t="s">
        <v>2277</v>
      </c>
      <c r="D2232" s="3" t="s">
        <v>20</v>
      </c>
      <c r="E2232" s="3" t="s">
        <v>21</v>
      </c>
      <c r="F2232" s="3" t="s">
        <v>21</v>
      </c>
      <c r="G2232" s="3" t="s">
        <v>36</v>
      </c>
      <c r="H2232" s="3" t="s">
        <v>37</v>
      </c>
      <c r="I2232" s="3" t="s">
        <v>24</v>
      </c>
      <c r="J2232" s="3" t="s">
        <v>24</v>
      </c>
      <c r="K2232" s="3" t="s">
        <v>25</v>
      </c>
      <c r="L2232" s="4">
        <v>0</v>
      </c>
      <c r="M2232" s="3" t="s">
        <v>26</v>
      </c>
      <c r="N2232" s="3" t="s">
        <v>24</v>
      </c>
      <c r="O2232" s="4">
        <v>0</v>
      </c>
      <c r="P2232" s="4">
        <v>8</v>
      </c>
      <c r="Q2232" s="4">
        <v>0</v>
      </c>
    </row>
    <row r="2233" spans="1:17" x14ac:dyDescent="0.25">
      <c r="A2233" s="3" t="s">
        <v>18</v>
      </c>
      <c r="B2233" s="3">
        <v>15344858</v>
      </c>
      <c r="C2233" s="3" t="s">
        <v>2278</v>
      </c>
      <c r="D2233" s="3" t="s">
        <v>1360</v>
      </c>
      <c r="E2233" s="3" t="s">
        <v>21</v>
      </c>
      <c r="F2233" s="3" t="s">
        <v>21</v>
      </c>
      <c r="G2233" s="3" t="s">
        <v>233</v>
      </c>
      <c r="H2233" s="3" t="s">
        <v>234</v>
      </c>
      <c r="I2233" s="3" t="s">
        <v>24</v>
      </c>
      <c r="J2233" s="3" t="s">
        <v>24</v>
      </c>
      <c r="K2233" s="3" t="s">
        <v>25</v>
      </c>
      <c r="L2233" s="4">
        <v>0</v>
      </c>
      <c r="M2233" s="3" t="s">
        <v>26</v>
      </c>
      <c r="N2233" s="3" t="s">
        <v>24</v>
      </c>
      <c r="O2233" s="4">
        <v>0</v>
      </c>
      <c r="P2233" s="4">
        <v>3</v>
      </c>
      <c r="Q2233" s="4">
        <v>0</v>
      </c>
    </row>
    <row r="2234" spans="1:17" x14ac:dyDescent="0.25">
      <c r="A2234" s="3" t="s">
        <v>18</v>
      </c>
      <c r="B2234" s="3">
        <v>15348877</v>
      </c>
      <c r="C2234" s="3" t="s">
        <v>2279</v>
      </c>
      <c r="D2234" s="3" t="s">
        <v>20</v>
      </c>
      <c r="E2234" s="3" t="s">
        <v>21</v>
      </c>
      <c r="F2234" s="3" t="s">
        <v>21</v>
      </c>
      <c r="G2234" s="3" t="s">
        <v>233</v>
      </c>
      <c r="H2234" s="3" t="s">
        <v>234</v>
      </c>
      <c r="I2234" s="3" t="s">
        <v>24</v>
      </c>
      <c r="J2234" s="3" t="s">
        <v>24</v>
      </c>
      <c r="K2234" s="3" t="s">
        <v>25</v>
      </c>
      <c r="L2234" s="4">
        <v>0</v>
      </c>
      <c r="M2234" s="3" t="s">
        <v>26</v>
      </c>
      <c r="N2234" s="3" t="s">
        <v>24</v>
      </c>
      <c r="O2234" s="4">
        <v>0</v>
      </c>
      <c r="P2234" s="4">
        <v>2</v>
      </c>
      <c r="Q2234" s="4">
        <v>0</v>
      </c>
    </row>
    <row r="2235" spans="1:17" x14ac:dyDescent="0.25">
      <c r="A2235" s="3" t="s">
        <v>18</v>
      </c>
      <c r="B2235" s="3">
        <v>15352478</v>
      </c>
      <c r="C2235" s="3" t="s">
        <v>2280</v>
      </c>
      <c r="D2235" s="3" t="s">
        <v>20</v>
      </c>
      <c r="E2235" s="3" t="s">
        <v>21</v>
      </c>
      <c r="F2235" s="3" t="s">
        <v>24</v>
      </c>
      <c r="G2235" s="3" t="s">
        <v>362</v>
      </c>
      <c r="H2235" s="3" t="s">
        <v>363</v>
      </c>
      <c r="I2235" s="3" t="s">
        <v>24</v>
      </c>
      <c r="J2235" s="3" t="s">
        <v>24</v>
      </c>
      <c r="K2235" s="3" t="s">
        <v>25</v>
      </c>
      <c r="L2235" s="4">
        <v>0</v>
      </c>
      <c r="M2235" s="3" t="s">
        <v>26</v>
      </c>
      <c r="N2235" s="3" t="s">
        <v>24</v>
      </c>
      <c r="O2235" s="4">
        <v>1</v>
      </c>
      <c r="P2235" s="4">
        <v>3</v>
      </c>
      <c r="Q2235" s="4">
        <v>1</v>
      </c>
    </row>
    <row r="2236" spans="1:17" x14ac:dyDescent="0.25">
      <c r="A2236" s="3" t="s">
        <v>18</v>
      </c>
      <c r="B2236" s="3">
        <v>15352601</v>
      </c>
      <c r="C2236" s="3" t="s">
        <v>2281</v>
      </c>
      <c r="D2236" s="3" t="s">
        <v>20</v>
      </c>
      <c r="E2236" s="3" t="s">
        <v>21</v>
      </c>
      <c r="F2236" s="3" t="s">
        <v>24</v>
      </c>
      <c r="G2236" s="3" t="s">
        <v>2282</v>
      </c>
      <c r="H2236" s="3" t="s">
        <v>2283</v>
      </c>
      <c r="I2236" s="3" t="s">
        <v>24</v>
      </c>
      <c r="J2236" s="3" t="s">
        <v>24</v>
      </c>
      <c r="K2236" s="3" t="s">
        <v>25</v>
      </c>
      <c r="L2236" s="4">
        <v>0</v>
      </c>
      <c r="M2236" s="3" t="s">
        <v>26</v>
      </c>
      <c r="N2236" s="3" t="s">
        <v>24</v>
      </c>
      <c r="O2236" s="4">
        <v>1</v>
      </c>
      <c r="P2236" s="4">
        <v>3</v>
      </c>
      <c r="Q2236" s="4">
        <v>1</v>
      </c>
    </row>
    <row r="2237" spans="1:17" x14ac:dyDescent="0.25">
      <c r="A2237" s="3" t="s">
        <v>18</v>
      </c>
      <c r="B2237" s="3">
        <v>15352603</v>
      </c>
      <c r="C2237" s="3" t="s">
        <v>2284</v>
      </c>
      <c r="D2237" s="3" t="s">
        <v>20</v>
      </c>
      <c r="E2237" s="3" t="s">
        <v>21</v>
      </c>
      <c r="F2237" s="3" t="s">
        <v>24</v>
      </c>
      <c r="G2237" s="3" t="s">
        <v>22</v>
      </c>
      <c r="H2237" s="3" t="s">
        <v>23</v>
      </c>
      <c r="I2237" s="3" t="s">
        <v>24</v>
      </c>
      <c r="J2237" s="3" t="s">
        <v>24</v>
      </c>
      <c r="K2237" s="3" t="s">
        <v>25</v>
      </c>
      <c r="L2237" s="4">
        <v>0</v>
      </c>
      <c r="M2237" s="3" t="s">
        <v>26</v>
      </c>
      <c r="N2237" s="3" t="s">
        <v>24</v>
      </c>
      <c r="O2237" s="4">
        <v>1</v>
      </c>
      <c r="P2237" s="4">
        <v>9</v>
      </c>
      <c r="Q2237" s="4">
        <v>1</v>
      </c>
    </row>
    <row r="2238" spans="1:17" x14ac:dyDescent="0.25">
      <c r="A2238" s="3" t="s">
        <v>18</v>
      </c>
      <c r="B2238" s="3">
        <v>15354734</v>
      </c>
      <c r="C2238" s="3" t="s">
        <v>2285</v>
      </c>
      <c r="D2238" s="3" t="s">
        <v>20</v>
      </c>
      <c r="E2238" s="3" t="s">
        <v>21</v>
      </c>
      <c r="F2238" s="3" t="s">
        <v>21</v>
      </c>
      <c r="G2238" s="3" t="s">
        <v>36</v>
      </c>
      <c r="H2238" s="3" t="s">
        <v>37</v>
      </c>
      <c r="I2238" s="3" t="s">
        <v>24</v>
      </c>
      <c r="J2238" s="3" t="s">
        <v>24</v>
      </c>
      <c r="K2238" s="3" t="s">
        <v>25</v>
      </c>
      <c r="L2238" s="4">
        <v>0</v>
      </c>
      <c r="M2238" s="3" t="s">
        <v>26</v>
      </c>
      <c r="N2238" s="3" t="s">
        <v>24</v>
      </c>
      <c r="O2238" s="4">
        <v>0</v>
      </c>
      <c r="P2238" s="4">
        <v>10</v>
      </c>
      <c r="Q2238" s="4">
        <v>0</v>
      </c>
    </row>
    <row r="2239" spans="1:17" x14ac:dyDescent="0.25">
      <c r="A2239" s="3" t="s">
        <v>18</v>
      </c>
      <c r="B2239" s="3">
        <v>15354735</v>
      </c>
      <c r="C2239" s="3" t="s">
        <v>2286</v>
      </c>
      <c r="D2239" s="3" t="s">
        <v>20</v>
      </c>
      <c r="E2239" s="3" t="s">
        <v>21</v>
      </c>
      <c r="F2239" s="3" t="s">
        <v>21</v>
      </c>
      <c r="G2239" s="3" t="s">
        <v>36</v>
      </c>
      <c r="H2239" s="3" t="s">
        <v>37</v>
      </c>
      <c r="I2239" s="3" t="s">
        <v>24</v>
      </c>
      <c r="J2239" s="3" t="s">
        <v>24</v>
      </c>
      <c r="K2239" s="3" t="s">
        <v>25</v>
      </c>
      <c r="L2239" s="4">
        <v>0</v>
      </c>
      <c r="M2239" s="3" t="s">
        <v>26</v>
      </c>
      <c r="N2239" s="3" t="s">
        <v>24</v>
      </c>
      <c r="O2239" s="4">
        <v>0</v>
      </c>
      <c r="P2239" s="4">
        <v>10</v>
      </c>
      <c r="Q2239" s="4">
        <v>0</v>
      </c>
    </row>
    <row r="2240" spans="1:17" x14ac:dyDescent="0.25">
      <c r="A2240" s="3" t="s">
        <v>18</v>
      </c>
      <c r="B2240" s="3">
        <v>15354736</v>
      </c>
      <c r="C2240" s="3" t="s">
        <v>2287</v>
      </c>
      <c r="D2240" s="3" t="s">
        <v>20</v>
      </c>
      <c r="E2240" s="3" t="s">
        <v>21</v>
      </c>
      <c r="F2240" s="3" t="s">
        <v>21</v>
      </c>
      <c r="G2240" s="3" t="s">
        <v>36</v>
      </c>
      <c r="H2240" s="3" t="s">
        <v>37</v>
      </c>
      <c r="I2240" s="3" t="s">
        <v>24</v>
      </c>
      <c r="J2240" s="3" t="s">
        <v>24</v>
      </c>
      <c r="K2240" s="3" t="s">
        <v>25</v>
      </c>
      <c r="L2240" s="4">
        <v>0</v>
      </c>
      <c r="M2240" s="3" t="s">
        <v>26</v>
      </c>
      <c r="N2240" s="3" t="s">
        <v>24</v>
      </c>
      <c r="O2240" s="4">
        <v>0</v>
      </c>
      <c r="P2240" s="4">
        <v>10</v>
      </c>
      <c r="Q2240" s="4">
        <v>0</v>
      </c>
    </row>
    <row r="2241" spans="1:17" x14ac:dyDescent="0.25">
      <c r="A2241" s="3" t="s">
        <v>18</v>
      </c>
      <c r="B2241" s="3">
        <v>15354737</v>
      </c>
      <c r="C2241" s="3" t="s">
        <v>2288</v>
      </c>
      <c r="D2241" s="3" t="s">
        <v>20</v>
      </c>
      <c r="E2241" s="3" t="s">
        <v>21</v>
      </c>
      <c r="F2241" s="3" t="s">
        <v>21</v>
      </c>
      <c r="G2241" s="3" t="s">
        <v>36</v>
      </c>
      <c r="H2241" s="3" t="s">
        <v>37</v>
      </c>
      <c r="I2241" s="3" t="s">
        <v>24</v>
      </c>
      <c r="J2241" s="3" t="s">
        <v>24</v>
      </c>
      <c r="K2241" s="3" t="s">
        <v>25</v>
      </c>
      <c r="L2241" s="4">
        <v>0</v>
      </c>
      <c r="M2241" s="3" t="s">
        <v>26</v>
      </c>
      <c r="N2241" s="3" t="s">
        <v>24</v>
      </c>
      <c r="O2241" s="4">
        <v>0</v>
      </c>
      <c r="P2241" s="4">
        <v>10</v>
      </c>
      <c r="Q2241" s="4">
        <v>0</v>
      </c>
    </row>
    <row r="2242" spans="1:17" x14ac:dyDescent="0.25">
      <c r="A2242" s="3" t="s">
        <v>18</v>
      </c>
      <c r="B2242" s="3">
        <v>15354772</v>
      </c>
      <c r="C2242" s="3" t="s">
        <v>2289</v>
      </c>
      <c r="D2242" s="3" t="s">
        <v>20</v>
      </c>
      <c r="E2242" s="3" t="s">
        <v>21</v>
      </c>
      <c r="F2242" s="3" t="s">
        <v>21</v>
      </c>
      <c r="G2242" s="3" t="s">
        <v>36</v>
      </c>
      <c r="H2242" s="3" t="s">
        <v>37</v>
      </c>
      <c r="I2242" s="3" t="s">
        <v>24</v>
      </c>
      <c r="J2242" s="3" t="s">
        <v>24</v>
      </c>
      <c r="K2242" s="3" t="s">
        <v>25</v>
      </c>
      <c r="L2242" s="4">
        <v>0</v>
      </c>
      <c r="M2242" s="3" t="s">
        <v>26</v>
      </c>
      <c r="N2242" s="3" t="s">
        <v>24</v>
      </c>
      <c r="O2242" s="4">
        <v>0</v>
      </c>
      <c r="P2242" s="4">
        <v>10</v>
      </c>
      <c r="Q2242" s="4">
        <v>0</v>
      </c>
    </row>
    <row r="2243" spans="1:17" x14ac:dyDescent="0.25">
      <c r="A2243" s="3" t="s">
        <v>18</v>
      </c>
      <c r="B2243" s="3">
        <v>15354773</v>
      </c>
      <c r="C2243" s="3" t="s">
        <v>2290</v>
      </c>
      <c r="D2243" s="3" t="s">
        <v>20</v>
      </c>
      <c r="E2243" s="3" t="s">
        <v>21</v>
      </c>
      <c r="F2243" s="3" t="s">
        <v>21</v>
      </c>
      <c r="G2243" s="3" t="s">
        <v>36</v>
      </c>
      <c r="H2243" s="3" t="s">
        <v>37</v>
      </c>
      <c r="I2243" s="3" t="s">
        <v>24</v>
      </c>
      <c r="J2243" s="3" t="s">
        <v>24</v>
      </c>
      <c r="K2243" s="3" t="s">
        <v>25</v>
      </c>
      <c r="L2243" s="4">
        <v>0</v>
      </c>
      <c r="M2243" s="3" t="s">
        <v>26</v>
      </c>
      <c r="N2243" s="3" t="s">
        <v>24</v>
      </c>
      <c r="O2243" s="4">
        <v>0</v>
      </c>
      <c r="P2243" s="4">
        <v>10</v>
      </c>
      <c r="Q2243" s="4">
        <v>0</v>
      </c>
    </row>
    <row r="2244" spans="1:17" x14ac:dyDescent="0.25">
      <c r="A2244" s="3" t="s">
        <v>18</v>
      </c>
      <c r="B2244" s="3">
        <v>15354775</v>
      </c>
      <c r="C2244" s="3" t="s">
        <v>2291</v>
      </c>
      <c r="D2244" s="3" t="s">
        <v>20</v>
      </c>
      <c r="E2244" s="3" t="s">
        <v>21</v>
      </c>
      <c r="F2244" s="3" t="s">
        <v>21</v>
      </c>
      <c r="G2244" s="3" t="s">
        <v>36</v>
      </c>
      <c r="H2244" s="3" t="s">
        <v>37</v>
      </c>
      <c r="I2244" s="3" t="s">
        <v>24</v>
      </c>
      <c r="J2244" s="3" t="s">
        <v>24</v>
      </c>
      <c r="K2244" s="3" t="s">
        <v>25</v>
      </c>
      <c r="L2244" s="4">
        <v>0</v>
      </c>
      <c r="M2244" s="3" t="s">
        <v>26</v>
      </c>
      <c r="N2244" s="3" t="s">
        <v>24</v>
      </c>
      <c r="O2244" s="4">
        <v>0</v>
      </c>
      <c r="P2244" s="4">
        <v>10</v>
      </c>
      <c r="Q2244" s="4">
        <v>0</v>
      </c>
    </row>
    <row r="2245" spans="1:17" x14ac:dyDescent="0.25">
      <c r="A2245" s="3" t="s">
        <v>18</v>
      </c>
      <c r="B2245" s="3">
        <v>15354777</v>
      </c>
      <c r="C2245" s="3" t="s">
        <v>2292</v>
      </c>
      <c r="D2245" s="3" t="s">
        <v>20</v>
      </c>
      <c r="E2245" s="3" t="s">
        <v>21</v>
      </c>
      <c r="F2245" s="3" t="s">
        <v>21</v>
      </c>
      <c r="G2245" s="3" t="s">
        <v>36</v>
      </c>
      <c r="H2245" s="3" t="s">
        <v>37</v>
      </c>
      <c r="I2245" s="3" t="s">
        <v>24</v>
      </c>
      <c r="J2245" s="3" t="s">
        <v>24</v>
      </c>
      <c r="K2245" s="3" t="s">
        <v>25</v>
      </c>
      <c r="L2245" s="4">
        <v>0</v>
      </c>
      <c r="M2245" s="3" t="s">
        <v>26</v>
      </c>
      <c r="N2245" s="3" t="s">
        <v>24</v>
      </c>
      <c r="O2245" s="4">
        <v>0</v>
      </c>
      <c r="P2245" s="4">
        <v>10</v>
      </c>
      <c r="Q2245" s="4">
        <v>0</v>
      </c>
    </row>
    <row r="2246" spans="1:17" x14ac:dyDescent="0.25">
      <c r="A2246" s="3" t="s">
        <v>18</v>
      </c>
      <c r="B2246" s="3">
        <v>15354778</v>
      </c>
      <c r="C2246" s="3" t="s">
        <v>2293</v>
      </c>
      <c r="D2246" s="3" t="s">
        <v>20</v>
      </c>
      <c r="E2246" s="3" t="s">
        <v>21</v>
      </c>
      <c r="F2246" s="3" t="s">
        <v>21</v>
      </c>
      <c r="G2246" s="3" t="s">
        <v>36</v>
      </c>
      <c r="H2246" s="3" t="s">
        <v>37</v>
      </c>
      <c r="I2246" s="3" t="s">
        <v>24</v>
      </c>
      <c r="J2246" s="3" t="s">
        <v>24</v>
      </c>
      <c r="K2246" s="3" t="s">
        <v>25</v>
      </c>
      <c r="L2246" s="4">
        <v>0</v>
      </c>
      <c r="M2246" s="3" t="s">
        <v>26</v>
      </c>
      <c r="N2246" s="3" t="s">
        <v>24</v>
      </c>
      <c r="O2246" s="4">
        <v>0</v>
      </c>
      <c r="P2246" s="4">
        <v>10</v>
      </c>
      <c r="Q2246" s="4">
        <v>0</v>
      </c>
    </row>
    <row r="2247" spans="1:17" x14ac:dyDescent="0.25">
      <c r="A2247" s="3" t="s">
        <v>18</v>
      </c>
      <c r="B2247" s="3">
        <v>15354779</v>
      </c>
      <c r="C2247" s="3" t="s">
        <v>2294</v>
      </c>
      <c r="D2247" s="3" t="s">
        <v>20</v>
      </c>
      <c r="E2247" s="3" t="s">
        <v>21</v>
      </c>
      <c r="F2247" s="3" t="s">
        <v>21</v>
      </c>
      <c r="G2247" s="3" t="s">
        <v>36</v>
      </c>
      <c r="H2247" s="3" t="s">
        <v>37</v>
      </c>
      <c r="I2247" s="3" t="s">
        <v>24</v>
      </c>
      <c r="J2247" s="3" t="s">
        <v>24</v>
      </c>
      <c r="K2247" s="3" t="s">
        <v>25</v>
      </c>
      <c r="L2247" s="4">
        <v>0</v>
      </c>
      <c r="M2247" s="3" t="s">
        <v>26</v>
      </c>
      <c r="N2247" s="3" t="s">
        <v>24</v>
      </c>
      <c r="O2247" s="4">
        <v>0</v>
      </c>
      <c r="P2247" s="4">
        <v>10</v>
      </c>
      <c r="Q2247" s="4">
        <v>0</v>
      </c>
    </row>
    <row r="2248" spans="1:17" x14ac:dyDescent="0.25">
      <c r="A2248" s="3" t="s">
        <v>18</v>
      </c>
      <c r="B2248" s="3">
        <v>15363753</v>
      </c>
      <c r="C2248" s="3" t="s">
        <v>2295</v>
      </c>
      <c r="D2248" s="3" t="s">
        <v>20</v>
      </c>
      <c r="E2248" s="3" t="s">
        <v>21</v>
      </c>
      <c r="F2248" s="3" t="s">
        <v>21</v>
      </c>
      <c r="G2248" s="3" t="s">
        <v>30</v>
      </c>
      <c r="H2248" s="3" t="s">
        <v>31</v>
      </c>
      <c r="I2248" s="3" t="s">
        <v>24</v>
      </c>
      <c r="J2248" s="3" t="s">
        <v>24</v>
      </c>
      <c r="K2248" s="3" t="s">
        <v>25</v>
      </c>
      <c r="L2248" s="4">
        <v>0</v>
      </c>
      <c r="M2248" s="3" t="s">
        <v>26</v>
      </c>
      <c r="N2248" s="3" t="s">
        <v>24</v>
      </c>
      <c r="O2248" s="4">
        <v>1</v>
      </c>
      <c r="P2248" s="4">
        <v>4</v>
      </c>
      <c r="Q2248" s="4">
        <v>1</v>
      </c>
    </row>
    <row r="2249" spans="1:17" x14ac:dyDescent="0.25">
      <c r="A2249" s="3" t="s">
        <v>18</v>
      </c>
      <c r="B2249" s="3">
        <v>15384307</v>
      </c>
      <c r="C2249" s="3" t="s">
        <v>2296</v>
      </c>
      <c r="D2249" s="3" t="s">
        <v>20</v>
      </c>
      <c r="E2249" s="3" t="s">
        <v>21</v>
      </c>
      <c r="F2249" s="3" t="s">
        <v>21</v>
      </c>
      <c r="G2249" s="3" t="s">
        <v>487</v>
      </c>
      <c r="H2249" s="3" t="s">
        <v>488</v>
      </c>
      <c r="I2249" s="3" t="s">
        <v>24</v>
      </c>
      <c r="J2249" s="3" t="s">
        <v>24</v>
      </c>
      <c r="K2249" s="3" t="s">
        <v>25</v>
      </c>
      <c r="L2249" s="4">
        <v>0</v>
      </c>
      <c r="M2249" s="3" t="s">
        <v>26</v>
      </c>
      <c r="N2249" s="3" t="s">
        <v>24</v>
      </c>
      <c r="O2249" s="4">
        <v>1</v>
      </c>
      <c r="P2249" s="4">
        <v>2</v>
      </c>
      <c r="Q2249" s="4">
        <v>0</v>
      </c>
    </row>
    <row r="2250" spans="1:17" x14ac:dyDescent="0.25">
      <c r="A2250" s="3" t="s">
        <v>18</v>
      </c>
      <c r="B2250" s="3">
        <v>15408275</v>
      </c>
      <c r="C2250" s="3" t="s">
        <v>2297</v>
      </c>
      <c r="D2250" s="3" t="s">
        <v>20</v>
      </c>
      <c r="E2250" s="3" t="s">
        <v>21</v>
      </c>
      <c r="F2250" s="3" t="s">
        <v>21</v>
      </c>
      <c r="G2250" s="3" t="s">
        <v>487</v>
      </c>
      <c r="H2250" s="3" t="s">
        <v>488</v>
      </c>
      <c r="I2250" s="3" t="s">
        <v>24</v>
      </c>
      <c r="J2250" s="3" t="s">
        <v>24</v>
      </c>
      <c r="K2250" s="3" t="s">
        <v>25</v>
      </c>
      <c r="L2250" s="4">
        <v>0</v>
      </c>
      <c r="M2250" s="3" t="s">
        <v>26</v>
      </c>
      <c r="N2250" s="3" t="s">
        <v>24</v>
      </c>
      <c r="O2250" s="4">
        <v>1</v>
      </c>
      <c r="P2250" s="4">
        <v>2</v>
      </c>
      <c r="Q2250" s="4">
        <v>0</v>
      </c>
    </row>
    <row r="2251" spans="1:17" x14ac:dyDescent="0.25">
      <c r="A2251" s="3" t="s">
        <v>18</v>
      </c>
      <c r="B2251" s="3">
        <v>15413430</v>
      </c>
      <c r="C2251" s="3" t="s">
        <v>2298</v>
      </c>
      <c r="D2251" s="3" t="s">
        <v>20</v>
      </c>
      <c r="E2251" s="3" t="s">
        <v>21</v>
      </c>
      <c r="F2251" s="3" t="s">
        <v>24</v>
      </c>
      <c r="G2251" s="3" t="s">
        <v>233</v>
      </c>
      <c r="H2251" s="3" t="s">
        <v>234</v>
      </c>
      <c r="I2251" s="3" t="s">
        <v>24</v>
      </c>
      <c r="J2251" s="3" t="s">
        <v>24</v>
      </c>
      <c r="K2251" s="3" t="s">
        <v>25</v>
      </c>
      <c r="L2251" s="4">
        <v>0</v>
      </c>
      <c r="M2251" s="3" t="s">
        <v>26</v>
      </c>
      <c r="N2251" s="3" t="s">
        <v>24</v>
      </c>
      <c r="O2251" s="4">
        <v>0</v>
      </c>
      <c r="P2251" s="4">
        <v>1</v>
      </c>
      <c r="Q2251" s="4">
        <v>0</v>
      </c>
    </row>
    <row r="2252" spans="1:17" x14ac:dyDescent="0.25">
      <c r="A2252" s="3" t="s">
        <v>18</v>
      </c>
      <c r="B2252" s="3">
        <v>15413435</v>
      </c>
      <c r="C2252" s="3" t="s">
        <v>2299</v>
      </c>
      <c r="D2252" s="3" t="s">
        <v>20</v>
      </c>
      <c r="E2252" s="3" t="s">
        <v>21</v>
      </c>
      <c r="F2252" s="3" t="s">
        <v>21</v>
      </c>
      <c r="G2252" s="3" t="s">
        <v>487</v>
      </c>
      <c r="H2252" s="3" t="s">
        <v>488</v>
      </c>
      <c r="I2252" s="3" t="s">
        <v>24</v>
      </c>
      <c r="J2252" s="3" t="s">
        <v>24</v>
      </c>
      <c r="K2252" s="3" t="s">
        <v>25</v>
      </c>
      <c r="L2252" s="4">
        <v>0</v>
      </c>
      <c r="M2252" s="3" t="s">
        <v>26</v>
      </c>
      <c r="N2252" s="3" t="s">
        <v>24</v>
      </c>
      <c r="O2252" s="4">
        <v>1</v>
      </c>
      <c r="P2252" s="4">
        <v>1</v>
      </c>
      <c r="Q2252" s="4">
        <v>0</v>
      </c>
    </row>
    <row r="2253" spans="1:17" x14ac:dyDescent="0.25">
      <c r="A2253" s="3" t="s">
        <v>18</v>
      </c>
      <c r="B2253" s="3">
        <v>15414328</v>
      </c>
      <c r="C2253" s="3" t="s">
        <v>2300</v>
      </c>
      <c r="D2253" s="3" t="s">
        <v>20</v>
      </c>
      <c r="E2253" s="3" t="s">
        <v>21</v>
      </c>
      <c r="F2253" s="3" t="s">
        <v>21</v>
      </c>
      <c r="G2253" s="3" t="s">
        <v>22</v>
      </c>
      <c r="H2253" s="3" t="s">
        <v>23</v>
      </c>
      <c r="I2253" s="3" t="s">
        <v>24</v>
      </c>
      <c r="J2253" s="3" t="s">
        <v>24</v>
      </c>
      <c r="K2253" s="3" t="s">
        <v>25</v>
      </c>
      <c r="L2253" s="4">
        <v>0</v>
      </c>
      <c r="M2253" s="3" t="s">
        <v>26</v>
      </c>
      <c r="N2253" s="3" t="s">
        <v>24</v>
      </c>
      <c r="O2253" s="4">
        <v>1</v>
      </c>
      <c r="P2253" s="4">
        <v>4</v>
      </c>
      <c r="Q2253" s="4">
        <v>1</v>
      </c>
    </row>
    <row r="2254" spans="1:17" x14ac:dyDescent="0.25">
      <c r="A2254" s="3" t="s">
        <v>18</v>
      </c>
      <c r="B2254" s="3">
        <v>15414329</v>
      </c>
      <c r="C2254" s="3" t="s">
        <v>2301</v>
      </c>
      <c r="D2254" s="3" t="s">
        <v>20</v>
      </c>
      <c r="E2254" s="3" t="s">
        <v>21</v>
      </c>
      <c r="F2254" s="3" t="s">
        <v>21</v>
      </c>
      <c r="G2254" s="3" t="s">
        <v>22</v>
      </c>
      <c r="H2254" s="3" t="s">
        <v>23</v>
      </c>
      <c r="I2254" s="3" t="s">
        <v>24</v>
      </c>
      <c r="J2254" s="3" t="s">
        <v>24</v>
      </c>
      <c r="K2254" s="3" t="s">
        <v>25</v>
      </c>
      <c r="L2254" s="4">
        <v>0</v>
      </c>
      <c r="M2254" s="3" t="s">
        <v>26</v>
      </c>
      <c r="N2254" s="3" t="s">
        <v>24</v>
      </c>
      <c r="O2254" s="4">
        <v>1</v>
      </c>
      <c r="P2254" s="4">
        <v>4</v>
      </c>
      <c r="Q2254" s="4">
        <v>1</v>
      </c>
    </row>
    <row r="2255" spans="1:17" x14ac:dyDescent="0.25">
      <c r="A2255" s="3" t="s">
        <v>18</v>
      </c>
      <c r="B2255" s="3">
        <v>15414331</v>
      </c>
      <c r="C2255" s="3" t="s">
        <v>2302</v>
      </c>
      <c r="D2255" s="3" t="s">
        <v>20</v>
      </c>
      <c r="E2255" s="3" t="s">
        <v>21</v>
      </c>
      <c r="F2255" s="3" t="s">
        <v>21</v>
      </c>
      <c r="G2255" s="3" t="s">
        <v>22</v>
      </c>
      <c r="H2255" s="3" t="s">
        <v>23</v>
      </c>
      <c r="I2255" s="3" t="s">
        <v>24</v>
      </c>
      <c r="J2255" s="3" t="s">
        <v>24</v>
      </c>
      <c r="K2255" s="3" t="s">
        <v>25</v>
      </c>
      <c r="L2255" s="4">
        <v>0</v>
      </c>
      <c r="M2255" s="3" t="s">
        <v>26</v>
      </c>
      <c r="N2255" s="3" t="s">
        <v>24</v>
      </c>
      <c r="O2255" s="4">
        <v>1</v>
      </c>
      <c r="P2255" s="4">
        <v>4</v>
      </c>
      <c r="Q2255" s="4">
        <v>1</v>
      </c>
    </row>
    <row r="2256" spans="1:17" x14ac:dyDescent="0.25">
      <c r="A2256" s="3" t="s">
        <v>18</v>
      </c>
      <c r="B2256" s="3">
        <v>15414333</v>
      </c>
      <c r="C2256" s="3" t="s">
        <v>2303</v>
      </c>
      <c r="D2256" s="3" t="s">
        <v>20</v>
      </c>
      <c r="E2256" s="3" t="s">
        <v>21</v>
      </c>
      <c r="F2256" s="3" t="s">
        <v>21</v>
      </c>
      <c r="G2256" s="3" t="s">
        <v>22</v>
      </c>
      <c r="H2256" s="3" t="s">
        <v>23</v>
      </c>
      <c r="I2256" s="3" t="s">
        <v>24</v>
      </c>
      <c r="J2256" s="3" t="s">
        <v>24</v>
      </c>
      <c r="K2256" s="3" t="s">
        <v>25</v>
      </c>
      <c r="L2256" s="4">
        <v>0</v>
      </c>
      <c r="M2256" s="3" t="s">
        <v>26</v>
      </c>
      <c r="N2256" s="3" t="s">
        <v>24</v>
      </c>
      <c r="O2256" s="4">
        <v>1</v>
      </c>
      <c r="P2256" s="4">
        <v>4</v>
      </c>
      <c r="Q2256" s="4">
        <v>1</v>
      </c>
    </row>
    <row r="2257" spans="1:17" x14ac:dyDescent="0.25">
      <c r="A2257" s="3" t="s">
        <v>18</v>
      </c>
      <c r="B2257" s="3">
        <v>15414335</v>
      </c>
      <c r="C2257" s="3" t="s">
        <v>2304</v>
      </c>
      <c r="D2257" s="3" t="s">
        <v>20</v>
      </c>
      <c r="E2257" s="3" t="s">
        <v>21</v>
      </c>
      <c r="F2257" s="3" t="s">
        <v>21</v>
      </c>
      <c r="G2257" s="3" t="s">
        <v>22</v>
      </c>
      <c r="H2257" s="3" t="s">
        <v>23</v>
      </c>
      <c r="I2257" s="3" t="s">
        <v>24</v>
      </c>
      <c r="J2257" s="3" t="s">
        <v>24</v>
      </c>
      <c r="K2257" s="3" t="s">
        <v>25</v>
      </c>
      <c r="L2257" s="4">
        <v>0</v>
      </c>
      <c r="M2257" s="3" t="s">
        <v>26</v>
      </c>
      <c r="N2257" s="3" t="s">
        <v>24</v>
      </c>
      <c r="O2257" s="4">
        <v>1</v>
      </c>
      <c r="P2257" s="4">
        <v>4</v>
      </c>
      <c r="Q2257" s="4">
        <v>1</v>
      </c>
    </row>
    <row r="2258" spans="1:17" x14ac:dyDescent="0.25">
      <c r="A2258" s="3" t="s">
        <v>18</v>
      </c>
      <c r="B2258" s="3">
        <v>15414337</v>
      </c>
      <c r="C2258" s="3" t="s">
        <v>2305</v>
      </c>
      <c r="D2258" s="3" t="s">
        <v>20</v>
      </c>
      <c r="E2258" s="3" t="s">
        <v>21</v>
      </c>
      <c r="F2258" s="3" t="s">
        <v>21</v>
      </c>
      <c r="G2258" s="3" t="s">
        <v>22</v>
      </c>
      <c r="H2258" s="3" t="s">
        <v>23</v>
      </c>
      <c r="I2258" s="3" t="s">
        <v>24</v>
      </c>
      <c r="J2258" s="3" t="s">
        <v>24</v>
      </c>
      <c r="K2258" s="3" t="s">
        <v>25</v>
      </c>
      <c r="L2258" s="4">
        <v>0</v>
      </c>
      <c r="M2258" s="3" t="s">
        <v>26</v>
      </c>
      <c r="N2258" s="3" t="s">
        <v>24</v>
      </c>
      <c r="O2258" s="4">
        <v>1</v>
      </c>
      <c r="P2258" s="4">
        <v>4</v>
      </c>
      <c r="Q2258" s="4">
        <v>1</v>
      </c>
    </row>
    <row r="2259" spans="1:17" x14ac:dyDescent="0.25">
      <c r="A2259" s="3" t="s">
        <v>18</v>
      </c>
      <c r="B2259" s="3">
        <v>15416210</v>
      </c>
      <c r="C2259" s="3" t="s">
        <v>2306</v>
      </c>
      <c r="D2259" s="3" t="s">
        <v>20</v>
      </c>
      <c r="E2259" s="3" t="s">
        <v>21</v>
      </c>
      <c r="F2259" s="3" t="s">
        <v>21</v>
      </c>
      <c r="G2259" s="3" t="s">
        <v>233</v>
      </c>
      <c r="H2259" s="3" t="s">
        <v>234</v>
      </c>
      <c r="I2259" s="3" t="s">
        <v>24</v>
      </c>
      <c r="J2259" s="3" t="s">
        <v>24</v>
      </c>
      <c r="K2259" s="3" t="s">
        <v>25</v>
      </c>
      <c r="L2259" s="4">
        <v>0</v>
      </c>
      <c r="M2259" s="3" t="s">
        <v>26</v>
      </c>
      <c r="N2259" s="3" t="s">
        <v>24</v>
      </c>
      <c r="O2259" s="4">
        <v>0</v>
      </c>
      <c r="P2259" s="4">
        <v>3</v>
      </c>
      <c r="Q2259" s="4">
        <v>0</v>
      </c>
    </row>
    <row r="2260" spans="1:17" x14ac:dyDescent="0.25">
      <c r="A2260" s="3" t="s">
        <v>18</v>
      </c>
      <c r="B2260" s="3">
        <v>15419714</v>
      </c>
      <c r="C2260" s="3" t="s">
        <v>2307</v>
      </c>
      <c r="D2260" s="3" t="s">
        <v>20</v>
      </c>
      <c r="E2260" s="3" t="s">
        <v>21</v>
      </c>
      <c r="F2260" s="3" t="s">
        <v>21</v>
      </c>
      <c r="G2260" s="3" t="s">
        <v>22</v>
      </c>
      <c r="H2260" s="3" t="s">
        <v>23</v>
      </c>
      <c r="I2260" s="3" t="s">
        <v>24</v>
      </c>
      <c r="J2260" s="3" t="s">
        <v>24</v>
      </c>
      <c r="K2260" s="3" t="s">
        <v>25</v>
      </c>
      <c r="L2260" s="4">
        <v>0</v>
      </c>
      <c r="M2260" s="3" t="s">
        <v>26</v>
      </c>
      <c r="N2260" s="3" t="s">
        <v>24</v>
      </c>
      <c r="O2260" s="4">
        <v>0</v>
      </c>
      <c r="P2260" s="4">
        <v>3</v>
      </c>
      <c r="Q2260" s="4">
        <v>0</v>
      </c>
    </row>
    <row r="2261" spans="1:17" x14ac:dyDescent="0.25">
      <c r="A2261" s="3" t="s">
        <v>18</v>
      </c>
      <c r="B2261" s="3">
        <v>15420132</v>
      </c>
      <c r="C2261" s="3" t="s">
        <v>2308</v>
      </c>
      <c r="D2261" s="3" t="s">
        <v>1360</v>
      </c>
      <c r="E2261" s="3" t="s">
        <v>21</v>
      </c>
      <c r="F2261" s="3" t="s">
        <v>21</v>
      </c>
      <c r="G2261" s="3" t="s">
        <v>487</v>
      </c>
      <c r="H2261" s="3" t="s">
        <v>488</v>
      </c>
      <c r="I2261" s="3" t="s">
        <v>24</v>
      </c>
      <c r="J2261" s="3" t="s">
        <v>24</v>
      </c>
      <c r="K2261" s="3" t="s">
        <v>25</v>
      </c>
      <c r="L2261" s="4">
        <v>0</v>
      </c>
      <c r="M2261" s="3" t="s">
        <v>26</v>
      </c>
      <c r="N2261" s="3" t="s">
        <v>24</v>
      </c>
      <c r="O2261" s="4">
        <v>1</v>
      </c>
      <c r="P2261" s="4">
        <v>2</v>
      </c>
      <c r="Q2261" s="4">
        <v>0</v>
      </c>
    </row>
    <row r="2262" spans="1:17" x14ac:dyDescent="0.25">
      <c r="A2262" s="3" t="s">
        <v>18</v>
      </c>
      <c r="B2262" s="3">
        <v>15420137</v>
      </c>
      <c r="C2262" s="3" t="s">
        <v>2309</v>
      </c>
      <c r="D2262" s="3" t="s">
        <v>1360</v>
      </c>
      <c r="E2262" s="3" t="s">
        <v>21</v>
      </c>
      <c r="F2262" s="3" t="s">
        <v>21</v>
      </c>
      <c r="G2262" s="3" t="s">
        <v>487</v>
      </c>
      <c r="H2262" s="3" t="s">
        <v>488</v>
      </c>
      <c r="I2262" s="3" t="s">
        <v>24</v>
      </c>
      <c r="J2262" s="3" t="s">
        <v>24</v>
      </c>
      <c r="K2262" s="3" t="s">
        <v>25</v>
      </c>
      <c r="L2262" s="4">
        <v>0</v>
      </c>
      <c r="M2262" s="3" t="s">
        <v>26</v>
      </c>
      <c r="N2262" s="3" t="s">
        <v>24</v>
      </c>
      <c r="O2262" s="4">
        <v>1</v>
      </c>
      <c r="P2262" s="4">
        <v>2</v>
      </c>
      <c r="Q2262" s="4">
        <v>0</v>
      </c>
    </row>
    <row r="2263" spans="1:17" x14ac:dyDescent="0.25">
      <c r="A2263" s="3" t="s">
        <v>18</v>
      </c>
      <c r="B2263" s="3">
        <v>15421481</v>
      </c>
      <c r="C2263" s="3" t="s">
        <v>2310</v>
      </c>
      <c r="D2263" s="3" t="s">
        <v>20</v>
      </c>
      <c r="E2263" s="3" t="s">
        <v>21</v>
      </c>
      <c r="F2263" s="3" t="s">
        <v>21</v>
      </c>
      <c r="G2263" s="3" t="s">
        <v>233</v>
      </c>
      <c r="H2263" s="3" t="s">
        <v>234</v>
      </c>
      <c r="I2263" s="3" t="s">
        <v>24</v>
      </c>
      <c r="J2263" s="3" t="s">
        <v>24</v>
      </c>
      <c r="K2263" s="3" t="s">
        <v>25</v>
      </c>
      <c r="L2263" s="4">
        <v>0</v>
      </c>
      <c r="M2263" s="3" t="s">
        <v>26</v>
      </c>
      <c r="N2263" s="3" t="s">
        <v>24</v>
      </c>
      <c r="O2263" s="4">
        <v>1</v>
      </c>
      <c r="P2263" s="4">
        <v>3</v>
      </c>
      <c r="Q2263" s="4">
        <v>1</v>
      </c>
    </row>
    <row r="2264" spans="1:17" x14ac:dyDescent="0.25">
      <c r="A2264" s="3" t="s">
        <v>18</v>
      </c>
      <c r="B2264" s="3">
        <v>15428066</v>
      </c>
      <c r="C2264" s="3" t="s">
        <v>2311</v>
      </c>
      <c r="D2264" s="3" t="s">
        <v>20</v>
      </c>
      <c r="E2264" s="3" t="s">
        <v>21</v>
      </c>
      <c r="F2264" s="3" t="s">
        <v>21</v>
      </c>
      <c r="G2264" s="3" t="s">
        <v>233</v>
      </c>
      <c r="H2264" s="3" t="s">
        <v>234</v>
      </c>
      <c r="I2264" s="3" t="s">
        <v>24</v>
      </c>
      <c r="J2264" s="3" t="s">
        <v>24</v>
      </c>
      <c r="K2264" s="3" t="s">
        <v>25</v>
      </c>
      <c r="L2264" s="4">
        <v>0</v>
      </c>
      <c r="M2264" s="3" t="s">
        <v>26</v>
      </c>
      <c r="N2264" s="3" t="s">
        <v>24</v>
      </c>
      <c r="O2264" s="4">
        <v>0</v>
      </c>
      <c r="P2264" s="4">
        <v>2</v>
      </c>
      <c r="Q2264" s="4">
        <v>0</v>
      </c>
    </row>
    <row r="2265" spans="1:17" x14ac:dyDescent="0.25">
      <c r="A2265" s="3" t="s">
        <v>18</v>
      </c>
      <c r="B2265" s="3">
        <v>15437868</v>
      </c>
      <c r="C2265" s="3" t="s">
        <v>2312</v>
      </c>
      <c r="D2265" s="3" t="s">
        <v>20</v>
      </c>
      <c r="E2265" s="3" t="s">
        <v>21</v>
      </c>
      <c r="F2265" s="3" t="s">
        <v>21</v>
      </c>
      <c r="G2265" s="3" t="s">
        <v>233</v>
      </c>
      <c r="H2265" s="3" t="s">
        <v>234</v>
      </c>
      <c r="I2265" s="3" t="s">
        <v>24</v>
      </c>
      <c r="J2265" s="3" t="s">
        <v>24</v>
      </c>
      <c r="K2265" s="3" t="s">
        <v>25</v>
      </c>
      <c r="L2265" s="4">
        <v>0</v>
      </c>
      <c r="M2265" s="3" t="s">
        <v>26</v>
      </c>
      <c r="N2265" s="3" t="s">
        <v>24</v>
      </c>
      <c r="O2265" s="4">
        <v>0</v>
      </c>
      <c r="P2265" s="4">
        <v>3</v>
      </c>
      <c r="Q2265" s="4">
        <v>0</v>
      </c>
    </row>
    <row r="2266" spans="1:17" x14ac:dyDescent="0.25">
      <c r="A2266" s="3" t="s">
        <v>18</v>
      </c>
      <c r="B2266" s="3">
        <v>15437958</v>
      </c>
      <c r="C2266" s="3" t="s">
        <v>2313</v>
      </c>
      <c r="D2266" s="3" t="s">
        <v>20</v>
      </c>
      <c r="E2266" s="3" t="s">
        <v>21</v>
      </c>
      <c r="F2266" s="3" t="s">
        <v>21</v>
      </c>
      <c r="G2266" s="3" t="s">
        <v>477</v>
      </c>
      <c r="H2266" s="3" t="s">
        <v>478</v>
      </c>
      <c r="I2266" s="3" t="s">
        <v>24</v>
      </c>
      <c r="J2266" s="3" t="s">
        <v>24</v>
      </c>
      <c r="K2266" s="3" t="s">
        <v>25</v>
      </c>
      <c r="L2266" s="4">
        <v>0</v>
      </c>
      <c r="M2266" s="3" t="s">
        <v>26</v>
      </c>
      <c r="N2266" s="3" t="s">
        <v>24</v>
      </c>
      <c r="O2266" s="4">
        <v>1</v>
      </c>
      <c r="P2266" s="4">
        <v>1</v>
      </c>
      <c r="Q2266" s="4">
        <v>0</v>
      </c>
    </row>
    <row r="2267" spans="1:17" x14ac:dyDescent="0.25">
      <c r="A2267" s="3" t="s">
        <v>18</v>
      </c>
      <c r="B2267" s="3">
        <v>15437967</v>
      </c>
      <c r="C2267" s="3" t="s">
        <v>2314</v>
      </c>
      <c r="D2267" s="3" t="s">
        <v>20</v>
      </c>
      <c r="E2267" s="3" t="s">
        <v>21</v>
      </c>
      <c r="F2267" s="3" t="s">
        <v>21</v>
      </c>
      <c r="G2267" s="3" t="s">
        <v>233</v>
      </c>
      <c r="H2267" s="3" t="s">
        <v>234</v>
      </c>
      <c r="I2267" s="3" t="s">
        <v>24</v>
      </c>
      <c r="J2267" s="3" t="s">
        <v>24</v>
      </c>
      <c r="K2267" s="3" t="s">
        <v>25</v>
      </c>
      <c r="L2267" s="4">
        <v>0</v>
      </c>
      <c r="M2267" s="3" t="s">
        <v>26</v>
      </c>
      <c r="N2267" s="3" t="s">
        <v>24</v>
      </c>
      <c r="O2267" s="4">
        <v>0</v>
      </c>
      <c r="P2267" s="4">
        <v>2</v>
      </c>
      <c r="Q2267" s="4">
        <v>0</v>
      </c>
    </row>
    <row r="2268" spans="1:17" x14ac:dyDescent="0.25">
      <c r="A2268" s="3" t="s">
        <v>18</v>
      </c>
      <c r="B2268" s="3">
        <v>15448371</v>
      </c>
      <c r="C2268" s="3" t="s">
        <v>2315</v>
      </c>
      <c r="D2268" s="3" t="s">
        <v>20</v>
      </c>
      <c r="E2268" s="3" t="s">
        <v>21</v>
      </c>
      <c r="F2268" s="3" t="s">
        <v>21</v>
      </c>
      <c r="G2268" s="3" t="s">
        <v>233</v>
      </c>
      <c r="H2268" s="3" t="s">
        <v>234</v>
      </c>
      <c r="I2268" s="3" t="s">
        <v>24</v>
      </c>
      <c r="J2268" s="3" t="s">
        <v>24</v>
      </c>
      <c r="K2268" s="3" t="s">
        <v>25</v>
      </c>
      <c r="L2268" s="4">
        <v>0</v>
      </c>
      <c r="M2268" s="3" t="s">
        <v>26</v>
      </c>
      <c r="N2268" s="3" t="s">
        <v>24</v>
      </c>
      <c r="O2268" s="4">
        <v>1</v>
      </c>
      <c r="P2268" s="4">
        <v>3</v>
      </c>
      <c r="Q2268" s="4">
        <v>1</v>
      </c>
    </row>
    <row r="2269" spans="1:17" x14ac:dyDescent="0.25">
      <c r="A2269" s="3" t="s">
        <v>18</v>
      </c>
      <c r="B2269" s="3">
        <v>15448372</v>
      </c>
      <c r="C2269" s="3" t="s">
        <v>2316</v>
      </c>
      <c r="D2269" s="3" t="s">
        <v>20</v>
      </c>
      <c r="E2269" s="3" t="s">
        <v>21</v>
      </c>
      <c r="F2269" s="3" t="s">
        <v>21</v>
      </c>
      <c r="G2269" s="3" t="s">
        <v>233</v>
      </c>
      <c r="H2269" s="3" t="s">
        <v>234</v>
      </c>
      <c r="I2269" s="3" t="s">
        <v>24</v>
      </c>
      <c r="J2269" s="3" t="s">
        <v>24</v>
      </c>
      <c r="K2269" s="3" t="s">
        <v>25</v>
      </c>
      <c r="L2269" s="4">
        <v>0</v>
      </c>
      <c r="M2269" s="3" t="s">
        <v>26</v>
      </c>
      <c r="N2269" s="3" t="s">
        <v>24</v>
      </c>
      <c r="O2269" s="4">
        <v>1</v>
      </c>
      <c r="P2269" s="4">
        <v>3</v>
      </c>
      <c r="Q2269" s="4">
        <v>1</v>
      </c>
    </row>
    <row r="2270" spans="1:17" x14ac:dyDescent="0.25">
      <c r="A2270" s="3" t="s">
        <v>18</v>
      </c>
      <c r="B2270" s="3">
        <v>15448373</v>
      </c>
      <c r="C2270" s="3" t="s">
        <v>2317</v>
      </c>
      <c r="D2270" s="3" t="s">
        <v>20</v>
      </c>
      <c r="E2270" s="3" t="s">
        <v>21</v>
      </c>
      <c r="F2270" s="3" t="s">
        <v>21</v>
      </c>
      <c r="G2270" s="3" t="s">
        <v>233</v>
      </c>
      <c r="H2270" s="3" t="s">
        <v>234</v>
      </c>
      <c r="I2270" s="3" t="s">
        <v>24</v>
      </c>
      <c r="J2270" s="3" t="s">
        <v>24</v>
      </c>
      <c r="K2270" s="3" t="s">
        <v>25</v>
      </c>
      <c r="L2270" s="4">
        <v>0</v>
      </c>
      <c r="M2270" s="3" t="s">
        <v>26</v>
      </c>
      <c r="N2270" s="3" t="s">
        <v>24</v>
      </c>
      <c r="O2270" s="4">
        <v>1</v>
      </c>
      <c r="P2270" s="4">
        <v>3</v>
      </c>
      <c r="Q2270" s="4">
        <v>1</v>
      </c>
    </row>
    <row r="2271" spans="1:17" x14ac:dyDescent="0.25">
      <c r="A2271" s="3" t="s">
        <v>18</v>
      </c>
      <c r="B2271" s="3">
        <v>15448375</v>
      </c>
      <c r="C2271" s="3" t="s">
        <v>2318</v>
      </c>
      <c r="D2271" s="3" t="s">
        <v>20</v>
      </c>
      <c r="E2271" s="3" t="s">
        <v>21</v>
      </c>
      <c r="F2271" s="3" t="s">
        <v>21</v>
      </c>
      <c r="G2271" s="3" t="s">
        <v>233</v>
      </c>
      <c r="H2271" s="3" t="s">
        <v>234</v>
      </c>
      <c r="I2271" s="3" t="s">
        <v>24</v>
      </c>
      <c r="J2271" s="3" t="s">
        <v>24</v>
      </c>
      <c r="K2271" s="3" t="s">
        <v>25</v>
      </c>
      <c r="L2271" s="4">
        <v>0</v>
      </c>
      <c r="M2271" s="3" t="s">
        <v>26</v>
      </c>
      <c r="N2271" s="3" t="s">
        <v>24</v>
      </c>
      <c r="O2271" s="4">
        <v>1</v>
      </c>
      <c r="P2271" s="4">
        <v>3</v>
      </c>
      <c r="Q2271" s="4">
        <v>1</v>
      </c>
    </row>
    <row r="2272" spans="1:17" x14ac:dyDescent="0.25">
      <c r="A2272" s="3" t="s">
        <v>18</v>
      </c>
      <c r="B2272" s="3">
        <v>15448377</v>
      </c>
      <c r="C2272" s="3" t="s">
        <v>2319</v>
      </c>
      <c r="D2272" s="3" t="s">
        <v>20</v>
      </c>
      <c r="E2272" s="3" t="s">
        <v>21</v>
      </c>
      <c r="F2272" s="3" t="s">
        <v>21</v>
      </c>
      <c r="G2272" s="3" t="s">
        <v>233</v>
      </c>
      <c r="H2272" s="3" t="s">
        <v>234</v>
      </c>
      <c r="I2272" s="3" t="s">
        <v>24</v>
      </c>
      <c r="J2272" s="3" t="s">
        <v>24</v>
      </c>
      <c r="K2272" s="3" t="s">
        <v>25</v>
      </c>
      <c r="L2272" s="4">
        <v>0</v>
      </c>
      <c r="M2272" s="3" t="s">
        <v>26</v>
      </c>
      <c r="N2272" s="3" t="s">
        <v>24</v>
      </c>
      <c r="O2272" s="4">
        <v>1</v>
      </c>
      <c r="P2272" s="4">
        <v>3</v>
      </c>
      <c r="Q2272" s="4">
        <v>1</v>
      </c>
    </row>
    <row r="2273" spans="1:17" x14ac:dyDescent="0.25">
      <c r="A2273" s="3" t="s">
        <v>18</v>
      </c>
      <c r="B2273" s="3">
        <v>15448490</v>
      </c>
      <c r="C2273" s="3" t="s">
        <v>2320</v>
      </c>
      <c r="D2273" s="3" t="s">
        <v>20</v>
      </c>
      <c r="E2273" s="3" t="s">
        <v>21</v>
      </c>
      <c r="F2273" s="3" t="s">
        <v>21</v>
      </c>
      <c r="G2273" s="3" t="s">
        <v>233</v>
      </c>
      <c r="H2273" s="3" t="s">
        <v>234</v>
      </c>
      <c r="I2273" s="3" t="s">
        <v>24</v>
      </c>
      <c r="J2273" s="3" t="s">
        <v>24</v>
      </c>
      <c r="K2273" s="3" t="s">
        <v>25</v>
      </c>
      <c r="L2273" s="4">
        <v>0</v>
      </c>
      <c r="M2273" s="3" t="s">
        <v>26</v>
      </c>
      <c r="N2273" s="3" t="s">
        <v>24</v>
      </c>
      <c r="O2273" s="4">
        <v>1</v>
      </c>
      <c r="P2273" s="4">
        <v>3</v>
      </c>
      <c r="Q2273" s="4">
        <v>1</v>
      </c>
    </row>
    <row r="2274" spans="1:17" x14ac:dyDescent="0.25">
      <c r="A2274" s="3" t="s">
        <v>18</v>
      </c>
      <c r="B2274" s="3">
        <v>15448492</v>
      </c>
      <c r="C2274" s="3" t="s">
        <v>2321</v>
      </c>
      <c r="D2274" s="3" t="s">
        <v>20</v>
      </c>
      <c r="E2274" s="3" t="s">
        <v>21</v>
      </c>
      <c r="F2274" s="3" t="s">
        <v>21</v>
      </c>
      <c r="G2274" s="3" t="s">
        <v>233</v>
      </c>
      <c r="H2274" s="3" t="s">
        <v>234</v>
      </c>
      <c r="I2274" s="3" t="s">
        <v>24</v>
      </c>
      <c r="J2274" s="3" t="s">
        <v>24</v>
      </c>
      <c r="K2274" s="3" t="s">
        <v>25</v>
      </c>
      <c r="L2274" s="4">
        <v>0</v>
      </c>
      <c r="M2274" s="3" t="s">
        <v>26</v>
      </c>
      <c r="N2274" s="3" t="s">
        <v>24</v>
      </c>
      <c r="O2274" s="4">
        <v>1</v>
      </c>
      <c r="P2274" s="4">
        <v>3</v>
      </c>
      <c r="Q2274" s="4">
        <v>1</v>
      </c>
    </row>
    <row r="2275" spans="1:17" x14ac:dyDescent="0.25">
      <c r="A2275" s="3" t="s">
        <v>18</v>
      </c>
      <c r="B2275" s="3">
        <v>15448493</v>
      </c>
      <c r="C2275" s="3" t="s">
        <v>2322</v>
      </c>
      <c r="D2275" s="3" t="s">
        <v>20</v>
      </c>
      <c r="E2275" s="3" t="s">
        <v>21</v>
      </c>
      <c r="F2275" s="3" t="s">
        <v>21</v>
      </c>
      <c r="G2275" s="3" t="s">
        <v>233</v>
      </c>
      <c r="H2275" s="3" t="s">
        <v>234</v>
      </c>
      <c r="I2275" s="3" t="s">
        <v>24</v>
      </c>
      <c r="J2275" s="3" t="s">
        <v>24</v>
      </c>
      <c r="K2275" s="3" t="s">
        <v>25</v>
      </c>
      <c r="L2275" s="4">
        <v>0</v>
      </c>
      <c r="M2275" s="3" t="s">
        <v>26</v>
      </c>
      <c r="N2275" s="3" t="s">
        <v>24</v>
      </c>
      <c r="O2275" s="4">
        <v>1</v>
      </c>
      <c r="P2275" s="4">
        <v>3</v>
      </c>
      <c r="Q2275" s="4">
        <v>1</v>
      </c>
    </row>
    <row r="2276" spans="1:17" x14ac:dyDescent="0.25">
      <c r="A2276" s="3" t="s">
        <v>18</v>
      </c>
      <c r="B2276" s="3">
        <v>15448494</v>
      </c>
      <c r="C2276" s="3" t="s">
        <v>2323</v>
      </c>
      <c r="D2276" s="3" t="s">
        <v>20</v>
      </c>
      <c r="E2276" s="3" t="s">
        <v>21</v>
      </c>
      <c r="F2276" s="3" t="s">
        <v>21</v>
      </c>
      <c r="G2276" s="3" t="s">
        <v>233</v>
      </c>
      <c r="H2276" s="3" t="s">
        <v>234</v>
      </c>
      <c r="I2276" s="3" t="s">
        <v>24</v>
      </c>
      <c r="J2276" s="3" t="s">
        <v>24</v>
      </c>
      <c r="K2276" s="3" t="s">
        <v>25</v>
      </c>
      <c r="L2276" s="4">
        <v>0</v>
      </c>
      <c r="M2276" s="3" t="s">
        <v>26</v>
      </c>
      <c r="N2276" s="3" t="s">
        <v>24</v>
      </c>
      <c r="O2276" s="4">
        <v>1</v>
      </c>
      <c r="P2276" s="4">
        <v>3</v>
      </c>
      <c r="Q2276" s="4">
        <v>1</v>
      </c>
    </row>
    <row r="2277" spans="1:17" x14ac:dyDescent="0.25">
      <c r="A2277" s="3" t="s">
        <v>18</v>
      </c>
      <c r="B2277" s="3">
        <v>15448496</v>
      </c>
      <c r="C2277" s="3" t="s">
        <v>2324</v>
      </c>
      <c r="D2277" s="3" t="s">
        <v>20</v>
      </c>
      <c r="E2277" s="3" t="s">
        <v>21</v>
      </c>
      <c r="F2277" s="3" t="s">
        <v>21</v>
      </c>
      <c r="G2277" s="3" t="s">
        <v>233</v>
      </c>
      <c r="H2277" s="3" t="s">
        <v>234</v>
      </c>
      <c r="I2277" s="3" t="s">
        <v>24</v>
      </c>
      <c r="J2277" s="3" t="s">
        <v>24</v>
      </c>
      <c r="K2277" s="3" t="s">
        <v>25</v>
      </c>
      <c r="L2277" s="4">
        <v>0</v>
      </c>
      <c r="M2277" s="3" t="s">
        <v>26</v>
      </c>
      <c r="N2277" s="3" t="s">
        <v>24</v>
      </c>
      <c r="O2277" s="4">
        <v>1</v>
      </c>
      <c r="P2277" s="4">
        <v>3</v>
      </c>
      <c r="Q2277" s="4">
        <v>1</v>
      </c>
    </row>
    <row r="2278" spans="1:17" x14ac:dyDescent="0.25">
      <c r="A2278" s="3" t="s">
        <v>18</v>
      </c>
      <c r="B2278" s="3">
        <v>15448497</v>
      </c>
      <c r="C2278" s="3" t="s">
        <v>2325</v>
      </c>
      <c r="D2278" s="3" t="s">
        <v>20</v>
      </c>
      <c r="E2278" s="3" t="s">
        <v>21</v>
      </c>
      <c r="F2278" s="3" t="s">
        <v>21</v>
      </c>
      <c r="G2278" s="3" t="s">
        <v>233</v>
      </c>
      <c r="H2278" s="3" t="s">
        <v>234</v>
      </c>
      <c r="I2278" s="3" t="s">
        <v>24</v>
      </c>
      <c r="J2278" s="3" t="s">
        <v>24</v>
      </c>
      <c r="K2278" s="3" t="s">
        <v>25</v>
      </c>
      <c r="L2278" s="4">
        <v>0</v>
      </c>
      <c r="M2278" s="3" t="s">
        <v>26</v>
      </c>
      <c r="N2278" s="3" t="s">
        <v>24</v>
      </c>
      <c r="O2278" s="4">
        <v>1</v>
      </c>
      <c r="P2278" s="4">
        <v>3</v>
      </c>
      <c r="Q2278" s="4">
        <v>1</v>
      </c>
    </row>
    <row r="2279" spans="1:17" x14ac:dyDescent="0.25">
      <c r="A2279" s="3" t="s">
        <v>18</v>
      </c>
      <c r="B2279" s="3">
        <v>15448538</v>
      </c>
      <c r="C2279" s="3" t="s">
        <v>2326</v>
      </c>
      <c r="D2279" s="3" t="s">
        <v>20</v>
      </c>
      <c r="E2279" s="3" t="s">
        <v>21</v>
      </c>
      <c r="F2279" s="3" t="s">
        <v>21</v>
      </c>
      <c r="G2279" s="3" t="s">
        <v>233</v>
      </c>
      <c r="H2279" s="3" t="s">
        <v>234</v>
      </c>
      <c r="I2279" s="3" t="s">
        <v>24</v>
      </c>
      <c r="J2279" s="3" t="s">
        <v>24</v>
      </c>
      <c r="K2279" s="3" t="s">
        <v>25</v>
      </c>
      <c r="L2279" s="4">
        <v>0</v>
      </c>
      <c r="M2279" s="3" t="s">
        <v>26</v>
      </c>
      <c r="N2279" s="3" t="s">
        <v>24</v>
      </c>
      <c r="O2279" s="4">
        <v>1</v>
      </c>
      <c r="P2279" s="4">
        <v>3</v>
      </c>
      <c r="Q2279" s="4">
        <v>1</v>
      </c>
    </row>
    <row r="2280" spans="1:17" x14ac:dyDescent="0.25">
      <c r="A2280" s="3" t="s">
        <v>18</v>
      </c>
      <c r="B2280" s="3">
        <v>15466344</v>
      </c>
      <c r="C2280" s="3" t="s">
        <v>2327</v>
      </c>
      <c r="D2280" s="3" t="s">
        <v>20</v>
      </c>
      <c r="E2280" s="3" t="s">
        <v>21</v>
      </c>
      <c r="F2280" s="3" t="s">
        <v>21</v>
      </c>
      <c r="G2280" s="3" t="s">
        <v>233</v>
      </c>
      <c r="H2280" s="3" t="s">
        <v>234</v>
      </c>
      <c r="I2280" s="3" t="s">
        <v>24</v>
      </c>
      <c r="J2280" s="3" t="s">
        <v>24</v>
      </c>
      <c r="K2280" s="3" t="s">
        <v>25</v>
      </c>
      <c r="L2280" s="4">
        <v>0</v>
      </c>
      <c r="M2280" s="3" t="s">
        <v>26</v>
      </c>
      <c r="N2280" s="3" t="s">
        <v>24</v>
      </c>
      <c r="O2280" s="4">
        <v>0</v>
      </c>
      <c r="P2280" s="4">
        <v>1</v>
      </c>
      <c r="Q2280" s="4">
        <v>0</v>
      </c>
    </row>
    <row r="2281" spans="1:17" x14ac:dyDescent="0.25">
      <c r="A2281" s="3" t="s">
        <v>18</v>
      </c>
      <c r="B2281" s="3">
        <v>15487671</v>
      </c>
      <c r="C2281" s="3" t="s">
        <v>2328</v>
      </c>
      <c r="D2281" s="3" t="s">
        <v>1360</v>
      </c>
      <c r="E2281" s="3" t="s">
        <v>21</v>
      </c>
      <c r="F2281" s="3" t="s">
        <v>21</v>
      </c>
      <c r="G2281" s="3" t="s">
        <v>233</v>
      </c>
      <c r="H2281" s="3" t="s">
        <v>234</v>
      </c>
      <c r="I2281" s="3" t="s">
        <v>24</v>
      </c>
      <c r="J2281" s="3" t="s">
        <v>24</v>
      </c>
      <c r="K2281" s="3" t="s">
        <v>25</v>
      </c>
      <c r="L2281" s="4">
        <v>0</v>
      </c>
      <c r="M2281" s="3" t="s">
        <v>26</v>
      </c>
      <c r="N2281" s="3" t="s">
        <v>24</v>
      </c>
      <c r="O2281" s="4">
        <v>0</v>
      </c>
      <c r="P2281" s="4">
        <v>3</v>
      </c>
      <c r="Q2281" s="4">
        <v>0</v>
      </c>
    </row>
    <row r="2282" spans="1:17" x14ac:dyDescent="0.25">
      <c r="A2282" s="3" t="s">
        <v>18</v>
      </c>
      <c r="B2282" s="3">
        <v>15488554</v>
      </c>
      <c r="C2282" s="3" t="s">
        <v>2329</v>
      </c>
      <c r="D2282" s="3" t="s">
        <v>1360</v>
      </c>
      <c r="E2282" s="3" t="s">
        <v>21</v>
      </c>
      <c r="F2282" s="3" t="s">
        <v>21</v>
      </c>
      <c r="G2282" s="3" t="s">
        <v>233</v>
      </c>
      <c r="H2282" s="3" t="s">
        <v>234</v>
      </c>
      <c r="I2282" s="3" t="s">
        <v>24</v>
      </c>
      <c r="J2282" s="3" t="s">
        <v>24</v>
      </c>
      <c r="K2282" s="3" t="s">
        <v>25</v>
      </c>
      <c r="L2282" s="4">
        <v>0</v>
      </c>
      <c r="M2282" s="3" t="s">
        <v>26</v>
      </c>
      <c r="N2282" s="3" t="s">
        <v>24</v>
      </c>
      <c r="O2282" s="4">
        <v>0</v>
      </c>
      <c r="P2282" s="4">
        <v>3</v>
      </c>
      <c r="Q2282" s="4">
        <v>0</v>
      </c>
    </row>
    <row r="2283" spans="1:17" x14ac:dyDescent="0.25">
      <c r="A2283" s="3" t="s">
        <v>18</v>
      </c>
      <c r="B2283" s="3">
        <v>15488619</v>
      </c>
      <c r="C2283" s="3" t="s">
        <v>2330</v>
      </c>
      <c r="D2283" s="3" t="s">
        <v>1360</v>
      </c>
      <c r="E2283" s="3" t="s">
        <v>21</v>
      </c>
      <c r="F2283" s="3" t="s">
        <v>21</v>
      </c>
      <c r="G2283" s="3" t="s">
        <v>233</v>
      </c>
      <c r="H2283" s="3" t="s">
        <v>234</v>
      </c>
      <c r="I2283" s="3" t="s">
        <v>24</v>
      </c>
      <c r="J2283" s="3" t="s">
        <v>24</v>
      </c>
      <c r="K2283" s="3" t="s">
        <v>25</v>
      </c>
      <c r="L2283" s="4">
        <v>0</v>
      </c>
      <c r="M2283" s="3" t="s">
        <v>26</v>
      </c>
      <c r="N2283" s="3" t="s">
        <v>24</v>
      </c>
      <c r="O2283" s="4">
        <v>0</v>
      </c>
      <c r="P2283" s="4">
        <v>3</v>
      </c>
      <c r="Q2283" s="4">
        <v>0</v>
      </c>
    </row>
    <row r="2284" spans="1:17" x14ac:dyDescent="0.25">
      <c r="A2284" s="3" t="s">
        <v>18</v>
      </c>
      <c r="B2284" s="3">
        <v>15488624</v>
      </c>
      <c r="C2284" s="3" t="s">
        <v>2331</v>
      </c>
      <c r="D2284" s="3" t="s">
        <v>1360</v>
      </c>
      <c r="E2284" s="3" t="s">
        <v>21</v>
      </c>
      <c r="F2284" s="3" t="s">
        <v>21</v>
      </c>
      <c r="G2284" s="3" t="s">
        <v>487</v>
      </c>
      <c r="H2284" s="3" t="s">
        <v>488</v>
      </c>
      <c r="I2284" s="3" t="s">
        <v>24</v>
      </c>
      <c r="J2284" s="3" t="s">
        <v>24</v>
      </c>
      <c r="K2284" s="3" t="s">
        <v>25</v>
      </c>
      <c r="L2284" s="4">
        <v>0</v>
      </c>
      <c r="M2284" s="3" t="s">
        <v>26</v>
      </c>
      <c r="N2284" s="3" t="s">
        <v>24</v>
      </c>
      <c r="O2284" s="4">
        <v>1</v>
      </c>
      <c r="P2284" s="4">
        <v>1</v>
      </c>
      <c r="Q2284" s="4">
        <v>0</v>
      </c>
    </row>
    <row r="2285" spans="1:17" x14ac:dyDescent="0.25">
      <c r="A2285" s="3" t="s">
        <v>18</v>
      </c>
      <c r="B2285" s="3">
        <v>15488731</v>
      </c>
      <c r="C2285" s="3" t="s">
        <v>2332</v>
      </c>
      <c r="D2285" s="3" t="s">
        <v>1360</v>
      </c>
      <c r="E2285" s="3" t="s">
        <v>21</v>
      </c>
      <c r="F2285" s="3" t="s">
        <v>21</v>
      </c>
      <c r="G2285" s="3" t="s">
        <v>477</v>
      </c>
      <c r="H2285" s="3" t="s">
        <v>478</v>
      </c>
      <c r="I2285" s="3" t="s">
        <v>24</v>
      </c>
      <c r="J2285" s="3" t="s">
        <v>24</v>
      </c>
      <c r="K2285" s="3" t="s">
        <v>25</v>
      </c>
      <c r="L2285" s="4">
        <v>0</v>
      </c>
      <c r="M2285" s="3" t="s">
        <v>26</v>
      </c>
      <c r="N2285" s="3" t="s">
        <v>24</v>
      </c>
      <c r="O2285" s="4">
        <v>1</v>
      </c>
      <c r="P2285" s="4">
        <v>1</v>
      </c>
      <c r="Q2285" s="4">
        <v>0</v>
      </c>
    </row>
    <row r="2286" spans="1:17" x14ac:dyDescent="0.25">
      <c r="A2286" s="3" t="s">
        <v>18</v>
      </c>
      <c r="B2286" s="3">
        <v>15504588</v>
      </c>
      <c r="C2286" s="3" t="s">
        <v>2333</v>
      </c>
      <c r="D2286" s="3" t="s">
        <v>20</v>
      </c>
      <c r="E2286" s="3" t="s">
        <v>21</v>
      </c>
      <c r="F2286" s="3" t="s">
        <v>21</v>
      </c>
      <c r="G2286" s="3" t="s">
        <v>30</v>
      </c>
      <c r="H2286" s="3" t="s">
        <v>31</v>
      </c>
      <c r="I2286" s="3" t="s">
        <v>24</v>
      </c>
      <c r="J2286" s="3" t="s">
        <v>24</v>
      </c>
      <c r="K2286" s="3" t="s">
        <v>25</v>
      </c>
      <c r="L2286" s="4">
        <v>0</v>
      </c>
      <c r="M2286" s="3" t="s">
        <v>26</v>
      </c>
      <c r="N2286" s="3" t="s">
        <v>24</v>
      </c>
      <c r="O2286" s="4">
        <v>1</v>
      </c>
      <c r="P2286" s="4">
        <v>8</v>
      </c>
      <c r="Q2286" s="4">
        <v>0</v>
      </c>
    </row>
    <row r="2287" spans="1:17" x14ac:dyDescent="0.25">
      <c r="A2287" s="3" t="s">
        <v>18</v>
      </c>
      <c r="B2287" s="3">
        <v>15542290</v>
      </c>
      <c r="C2287" s="3" t="s">
        <v>2334</v>
      </c>
      <c r="D2287" s="3" t="s">
        <v>20</v>
      </c>
      <c r="E2287" s="3" t="s">
        <v>21</v>
      </c>
      <c r="F2287" s="3" t="s">
        <v>21</v>
      </c>
      <c r="G2287" s="3" t="s">
        <v>30</v>
      </c>
      <c r="H2287" s="3" t="s">
        <v>31</v>
      </c>
      <c r="I2287" s="3" t="s">
        <v>24</v>
      </c>
      <c r="J2287" s="3" t="s">
        <v>24</v>
      </c>
      <c r="K2287" s="3" t="s">
        <v>25</v>
      </c>
      <c r="L2287" s="4">
        <v>0</v>
      </c>
      <c r="M2287" s="3" t="s">
        <v>26</v>
      </c>
      <c r="N2287" s="3" t="s">
        <v>24</v>
      </c>
      <c r="O2287" s="4">
        <v>1</v>
      </c>
      <c r="P2287" s="4">
        <v>8</v>
      </c>
      <c r="Q2287" s="4">
        <v>0</v>
      </c>
    </row>
    <row r="2288" spans="1:17" x14ac:dyDescent="0.25">
      <c r="A2288" s="3" t="s">
        <v>18</v>
      </c>
      <c r="B2288" s="3">
        <v>15578452</v>
      </c>
      <c r="C2288" s="3" t="s">
        <v>2335</v>
      </c>
      <c r="D2288" s="3" t="s">
        <v>1360</v>
      </c>
      <c r="E2288" s="3" t="s">
        <v>21</v>
      </c>
      <c r="F2288" s="3" t="s">
        <v>21</v>
      </c>
      <c r="G2288" s="3" t="s">
        <v>36</v>
      </c>
      <c r="H2288" s="3" t="s">
        <v>37</v>
      </c>
      <c r="I2288" s="3" t="s">
        <v>24</v>
      </c>
      <c r="J2288" s="3" t="s">
        <v>24</v>
      </c>
      <c r="K2288" s="3" t="s">
        <v>25</v>
      </c>
      <c r="L2288" s="4">
        <v>0</v>
      </c>
      <c r="M2288" s="3" t="s">
        <v>26</v>
      </c>
      <c r="N2288" s="3" t="s">
        <v>24</v>
      </c>
      <c r="O2288" s="4">
        <v>0</v>
      </c>
      <c r="P2288" s="4">
        <v>10</v>
      </c>
      <c r="Q2288" s="4">
        <v>0</v>
      </c>
    </row>
    <row r="2289" spans="1:17" x14ac:dyDescent="0.25">
      <c r="A2289" s="3" t="s">
        <v>18</v>
      </c>
      <c r="B2289" s="3">
        <v>15580049</v>
      </c>
      <c r="C2289" s="3" t="s">
        <v>2336</v>
      </c>
      <c r="D2289" s="3" t="s">
        <v>20</v>
      </c>
      <c r="E2289" s="3" t="s">
        <v>21</v>
      </c>
      <c r="F2289" s="3" t="s">
        <v>21</v>
      </c>
      <c r="G2289" s="3" t="s">
        <v>233</v>
      </c>
      <c r="H2289" s="3" t="s">
        <v>234</v>
      </c>
      <c r="I2289" s="3" t="s">
        <v>24</v>
      </c>
      <c r="J2289" s="3" t="s">
        <v>24</v>
      </c>
      <c r="K2289" s="3" t="s">
        <v>25</v>
      </c>
      <c r="L2289" s="4">
        <v>0</v>
      </c>
      <c r="M2289" s="3" t="s">
        <v>26</v>
      </c>
      <c r="N2289" s="3" t="s">
        <v>24</v>
      </c>
      <c r="O2289" s="4">
        <v>0</v>
      </c>
      <c r="P2289" s="4">
        <v>2</v>
      </c>
      <c r="Q2289" s="4">
        <v>0</v>
      </c>
    </row>
    <row r="2290" spans="1:17" x14ac:dyDescent="0.25">
      <c r="A2290" s="3" t="s">
        <v>18</v>
      </c>
      <c r="B2290" s="3">
        <v>15580663</v>
      </c>
      <c r="C2290" s="3" t="s">
        <v>2337</v>
      </c>
      <c r="D2290" s="3" t="s">
        <v>20</v>
      </c>
      <c r="E2290" s="3" t="s">
        <v>21</v>
      </c>
      <c r="F2290" s="3" t="s">
        <v>21</v>
      </c>
      <c r="G2290" s="3" t="s">
        <v>30</v>
      </c>
      <c r="H2290" s="3" t="s">
        <v>31</v>
      </c>
      <c r="I2290" s="3" t="s">
        <v>24</v>
      </c>
      <c r="J2290" s="3" t="s">
        <v>24</v>
      </c>
      <c r="K2290" s="3" t="s">
        <v>25</v>
      </c>
      <c r="L2290" s="4">
        <v>0</v>
      </c>
      <c r="M2290" s="3" t="s">
        <v>26</v>
      </c>
      <c r="N2290" s="3" t="s">
        <v>24</v>
      </c>
      <c r="O2290" s="4">
        <v>1</v>
      </c>
      <c r="P2290" s="4">
        <v>8</v>
      </c>
      <c r="Q2290" s="4">
        <v>0</v>
      </c>
    </row>
    <row r="2291" spans="1:17" x14ac:dyDescent="0.25">
      <c r="A2291" s="3" t="s">
        <v>18</v>
      </c>
      <c r="B2291" s="3">
        <v>15592853</v>
      </c>
      <c r="C2291" s="3" t="s">
        <v>2338</v>
      </c>
      <c r="D2291" s="3" t="s">
        <v>20</v>
      </c>
      <c r="E2291" s="3" t="s">
        <v>21</v>
      </c>
      <c r="F2291" s="3" t="s">
        <v>21</v>
      </c>
      <c r="G2291" s="3" t="s">
        <v>22</v>
      </c>
      <c r="H2291" s="3" t="s">
        <v>23</v>
      </c>
      <c r="I2291" s="3" t="s">
        <v>24</v>
      </c>
      <c r="J2291" s="3" t="s">
        <v>24</v>
      </c>
      <c r="K2291" s="3" t="s">
        <v>25</v>
      </c>
      <c r="L2291" s="4">
        <v>0</v>
      </c>
      <c r="M2291" s="3" t="s">
        <v>26</v>
      </c>
      <c r="N2291" s="3" t="s">
        <v>24</v>
      </c>
      <c r="O2291" s="4">
        <v>0</v>
      </c>
      <c r="P2291" s="4">
        <v>4</v>
      </c>
      <c r="Q2291" s="4">
        <v>0</v>
      </c>
    </row>
    <row r="2292" spans="1:17" x14ac:dyDescent="0.25">
      <c r="A2292" s="3" t="s">
        <v>18</v>
      </c>
      <c r="B2292" s="3">
        <v>15598196</v>
      </c>
      <c r="C2292" s="3" t="s">
        <v>2339</v>
      </c>
      <c r="D2292" s="3" t="s">
        <v>20</v>
      </c>
      <c r="E2292" s="3" t="s">
        <v>21</v>
      </c>
      <c r="F2292" s="3" t="s">
        <v>21</v>
      </c>
      <c r="G2292" s="3" t="s">
        <v>36</v>
      </c>
      <c r="H2292" s="3" t="s">
        <v>37</v>
      </c>
      <c r="I2292" s="3" t="s">
        <v>24</v>
      </c>
      <c r="J2292" s="3" t="s">
        <v>24</v>
      </c>
      <c r="K2292" s="3" t="s">
        <v>25</v>
      </c>
      <c r="L2292" s="4">
        <v>0</v>
      </c>
      <c r="M2292" s="3" t="s">
        <v>26</v>
      </c>
      <c r="N2292" s="3" t="s">
        <v>24</v>
      </c>
      <c r="O2292" s="4">
        <v>0</v>
      </c>
      <c r="P2292" s="4">
        <v>8</v>
      </c>
      <c r="Q2292" s="4">
        <v>0</v>
      </c>
    </row>
    <row r="2293" spans="1:17" x14ac:dyDescent="0.25">
      <c r="A2293" s="3" t="s">
        <v>18</v>
      </c>
      <c r="B2293" s="3">
        <v>15598338</v>
      </c>
      <c r="C2293" s="3" t="s">
        <v>2340</v>
      </c>
      <c r="D2293" s="3" t="s">
        <v>20</v>
      </c>
      <c r="E2293" s="3" t="s">
        <v>21</v>
      </c>
      <c r="F2293" s="3" t="s">
        <v>21</v>
      </c>
      <c r="G2293" s="3" t="s">
        <v>36</v>
      </c>
      <c r="H2293" s="3" t="s">
        <v>37</v>
      </c>
      <c r="I2293" s="3" t="s">
        <v>24</v>
      </c>
      <c r="J2293" s="3" t="s">
        <v>24</v>
      </c>
      <c r="K2293" s="3" t="s">
        <v>25</v>
      </c>
      <c r="L2293" s="4">
        <v>0</v>
      </c>
      <c r="M2293" s="3" t="s">
        <v>26</v>
      </c>
      <c r="N2293" s="3" t="s">
        <v>24</v>
      </c>
      <c r="O2293" s="4">
        <v>0</v>
      </c>
      <c r="P2293" s="4">
        <v>8</v>
      </c>
      <c r="Q2293" s="4">
        <v>0</v>
      </c>
    </row>
    <row r="2294" spans="1:17" x14ac:dyDescent="0.25">
      <c r="A2294" s="3" t="s">
        <v>18</v>
      </c>
      <c r="B2294" s="3">
        <v>15598390</v>
      </c>
      <c r="C2294" s="3" t="s">
        <v>2341</v>
      </c>
      <c r="D2294" s="3" t="s">
        <v>20</v>
      </c>
      <c r="E2294" s="3" t="s">
        <v>21</v>
      </c>
      <c r="F2294" s="3" t="s">
        <v>21</v>
      </c>
      <c r="G2294" s="3" t="s">
        <v>36</v>
      </c>
      <c r="H2294" s="3" t="s">
        <v>37</v>
      </c>
      <c r="I2294" s="3" t="s">
        <v>24</v>
      </c>
      <c r="J2294" s="3" t="s">
        <v>24</v>
      </c>
      <c r="K2294" s="3" t="s">
        <v>25</v>
      </c>
      <c r="L2294" s="4">
        <v>0</v>
      </c>
      <c r="M2294" s="3" t="s">
        <v>26</v>
      </c>
      <c r="N2294" s="3" t="s">
        <v>24</v>
      </c>
      <c r="O2294" s="4">
        <v>0</v>
      </c>
      <c r="P2294" s="4">
        <v>8</v>
      </c>
      <c r="Q2294" s="4">
        <v>0</v>
      </c>
    </row>
    <row r="2295" spans="1:17" x14ac:dyDescent="0.25">
      <c r="A2295" s="3" t="s">
        <v>18</v>
      </c>
      <c r="B2295" s="3">
        <v>15598419</v>
      </c>
      <c r="C2295" s="3" t="s">
        <v>2342</v>
      </c>
      <c r="D2295" s="3" t="s">
        <v>20</v>
      </c>
      <c r="E2295" s="3" t="s">
        <v>21</v>
      </c>
      <c r="F2295" s="3" t="s">
        <v>21</v>
      </c>
      <c r="G2295" s="3" t="s">
        <v>36</v>
      </c>
      <c r="H2295" s="3" t="s">
        <v>37</v>
      </c>
      <c r="I2295" s="3" t="s">
        <v>24</v>
      </c>
      <c r="J2295" s="3" t="s">
        <v>24</v>
      </c>
      <c r="K2295" s="3" t="s">
        <v>25</v>
      </c>
      <c r="L2295" s="4">
        <v>0</v>
      </c>
      <c r="M2295" s="3" t="s">
        <v>26</v>
      </c>
      <c r="N2295" s="3" t="s">
        <v>24</v>
      </c>
      <c r="O2295" s="4">
        <v>0</v>
      </c>
      <c r="P2295" s="4">
        <v>8</v>
      </c>
      <c r="Q2295" s="4">
        <v>0</v>
      </c>
    </row>
    <row r="2296" spans="1:17" x14ac:dyDescent="0.25">
      <c r="A2296" s="3" t="s">
        <v>18</v>
      </c>
      <c r="B2296" s="3">
        <v>15598421</v>
      </c>
      <c r="C2296" s="3" t="s">
        <v>2343</v>
      </c>
      <c r="D2296" s="3" t="s">
        <v>20</v>
      </c>
      <c r="E2296" s="3" t="s">
        <v>21</v>
      </c>
      <c r="F2296" s="3" t="s">
        <v>21</v>
      </c>
      <c r="G2296" s="3" t="s">
        <v>36</v>
      </c>
      <c r="H2296" s="3" t="s">
        <v>37</v>
      </c>
      <c r="I2296" s="3" t="s">
        <v>24</v>
      </c>
      <c r="J2296" s="3" t="s">
        <v>24</v>
      </c>
      <c r="K2296" s="3" t="s">
        <v>25</v>
      </c>
      <c r="L2296" s="4">
        <v>0</v>
      </c>
      <c r="M2296" s="3" t="s">
        <v>26</v>
      </c>
      <c r="N2296" s="3" t="s">
        <v>24</v>
      </c>
      <c r="O2296" s="4">
        <v>0</v>
      </c>
      <c r="P2296" s="4">
        <v>8</v>
      </c>
      <c r="Q2296" s="4">
        <v>0</v>
      </c>
    </row>
    <row r="2297" spans="1:17" x14ac:dyDescent="0.25">
      <c r="A2297" s="3" t="s">
        <v>18</v>
      </c>
      <c r="B2297" s="3">
        <v>15598477</v>
      </c>
      <c r="C2297" s="3" t="s">
        <v>2344</v>
      </c>
      <c r="D2297" s="3" t="s">
        <v>20</v>
      </c>
      <c r="E2297" s="3" t="s">
        <v>21</v>
      </c>
      <c r="F2297" s="3" t="s">
        <v>21</v>
      </c>
      <c r="G2297" s="3" t="s">
        <v>36</v>
      </c>
      <c r="H2297" s="3" t="s">
        <v>37</v>
      </c>
      <c r="I2297" s="3" t="s">
        <v>24</v>
      </c>
      <c r="J2297" s="3" t="s">
        <v>24</v>
      </c>
      <c r="K2297" s="3" t="s">
        <v>25</v>
      </c>
      <c r="L2297" s="4">
        <v>0</v>
      </c>
      <c r="M2297" s="3" t="s">
        <v>26</v>
      </c>
      <c r="N2297" s="3" t="s">
        <v>24</v>
      </c>
      <c r="O2297" s="4">
        <v>0</v>
      </c>
      <c r="P2297" s="4">
        <v>8</v>
      </c>
      <c r="Q2297" s="4">
        <v>0</v>
      </c>
    </row>
    <row r="2298" spans="1:17" x14ac:dyDescent="0.25">
      <c r="A2298" s="3" t="s">
        <v>18</v>
      </c>
      <c r="B2298" s="3">
        <v>15598501</v>
      </c>
      <c r="C2298" s="3" t="s">
        <v>2345</v>
      </c>
      <c r="D2298" s="3" t="s">
        <v>20</v>
      </c>
      <c r="E2298" s="3" t="s">
        <v>21</v>
      </c>
      <c r="F2298" s="3" t="s">
        <v>21</v>
      </c>
      <c r="G2298" s="3" t="s">
        <v>233</v>
      </c>
      <c r="H2298" s="3" t="s">
        <v>234</v>
      </c>
      <c r="I2298" s="3" t="s">
        <v>24</v>
      </c>
      <c r="J2298" s="3" t="s">
        <v>24</v>
      </c>
      <c r="K2298" s="3" t="s">
        <v>25</v>
      </c>
      <c r="L2298" s="4">
        <v>0</v>
      </c>
      <c r="M2298" s="3" t="s">
        <v>26</v>
      </c>
      <c r="N2298" s="3" t="s">
        <v>24</v>
      </c>
      <c r="O2298" s="4">
        <v>1</v>
      </c>
      <c r="P2298" s="4">
        <v>3</v>
      </c>
      <c r="Q2298" s="4">
        <v>1</v>
      </c>
    </row>
    <row r="2299" spans="1:17" x14ac:dyDescent="0.25">
      <c r="A2299" s="3" t="s">
        <v>18</v>
      </c>
      <c r="B2299" s="3">
        <v>15598502</v>
      </c>
      <c r="C2299" s="3" t="s">
        <v>2346</v>
      </c>
      <c r="D2299" s="3" t="s">
        <v>20</v>
      </c>
      <c r="E2299" s="3" t="s">
        <v>21</v>
      </c>
      <c r="F2299" s="3" t="s">
        <v>21</v>
      </c>
      <c r="G2299" s="3" t="s">
        <v>233</v>
      </c>
      <c r="H2299" s="3" t="s">
        <v>234</v>
      </c>
      <c r="I2299" s="3" t="s">
        <v>24</v>
      </c>
      <c r="J2299" s="3" t="s">
        <v>24</v>
      </c>
      <c r="K2299" s="3" t="s">
        <v>25</v>
      </c>
      <c r="L2299" s="4">
        <v>0</v>
      </c>
      <c r="M2299" s="3" t="s">
        <v>26</v>
      </c>
      <c r="N2299" s="3" t="s">
        <v>24</v>
      </c>
      <c r="O2299" s="4">
        <v>1</v>
      </c>
      <c r="P2299" s="4">
        <v>3</v>
      </c>
      <c r="Q2299" s="4">
        <v>1</v>
      </c>
    </row>
    <row r="2300" spans="1:17" x14ac:dyDescent="0.25">
      <c r="A2300" s="3" t="s">
        <v>18</v>
      </c>
      <c r="B2300" s="3">
        <v>15598504</v>
      </c>
      <c r="C2300" s="3" t="s">
        <v>2347</v>
      </c>
      <c r="D2300" s="3" t="s">
        <v>20</v>
      </c>
      <c r="E2300" s="3" t="s">
        <v>21</v>
      </c>
      <c r="F2300" s="3" t="s">
        <v>21</v>
      </c>
      <c r="G2300" s="3" t="s">
        <v>233</v>
      </c>
      <c r="H2300" s="3" t="s">
        <v>234</v>
      </c>
      <c r="I2300" s="3" t="s">
        <v>24</v>
      </c>
      <c r="J2300" s="3" t="s">
        <v>24</v>
      </c>
      <c r="K2300" s="3" t="s">
        <v>25</v>
      </c>
      <c r="L2300" s="4">
        <v>0</v>
      </c>
      <c r="M2300" s="3" t="s">
        <v>26</v>
      </c>
      <c r="N2300" s="3" t="s">
        <v>24</v>
      </c>
      <c r="O2300" s="4">
        <v>1</v>
      </c>
      <c r="P2300" s="4">
        <v>3</v>
      </c>
      <c r="Q2300" s="4">
        <v>1</v>
      </c>
    </row>
    <row r="2301" spans="1:17" x14ac:dyDescent="0.25">
      <c r="A2301" s="3" t="s">
        <v>18</v>
      </c>
      <c r="B2301" s="3">
        <v>15601513</v>
      </c>
      <c r="C2301" s="3" t="s">
        <v>2348</v>
      </c>
      <c r="D2301" s="3" t="s">
        <v>20</v>
      </c>
      <c r="E2301" s="3" t="s">
        <v>21</v>
      </c>
      <c r="F2301" s="3" t="s">
        <v>21</v>
      </c>
      <c r="G2301" s="3" t="s">
        <v>233</v>
      </c>
      <c r="H2301" s="3" t="s">
        <v>234</v>
      </c>
      <c r="I2301" s="3" t="s">
        <v>24</v>
      </c>
      <c r="J2301" s="3" t="s">
        <v>24</v>
      </c>
      <c r="K2301" s="3" t="s">
        <v>25</v>
      </c>
      <c r="L2301" s="4">
        <v>0</v>
      </c>
      <c r="M2301" s="3" t="s">
        <v>26</v>
      </c>
      <c r="N2301" s="3" t="s">
        <v>24</v>
      </c>
      <c r="O2301" s="4">
        <v>0</v>
      </c>
      <c r="P2301" s="4">
        <v>2</v>
      </c>
      <c r="Q2301" s="4">
        <v>0</v>
      </c>
    </row>
    <row r="2302" spans="1:17" x14ac:dyDescent="0.25">
      <c r="A2302" s="3" t="s">
        <v>18</v>
      </c>
      <c r="B2302" s="3">
        <v>15602448</v>
      </c>
      <c r="C2302" s="3" t="s">
        <v>2349</v>
      </c>
      <c r="D2302" s="3" t="s">
        <v>1360</v>
      </c>
      <c r="E2302" s="3" t="s">
        <v>21</v>
      </c>
      <c r="F2302" s="3" t="s">
        <v>21</v>
      </c>
      <c r="G2302" s="3" t="s">
        <v>233</v>
      </c>
      <c r="H2302" s="3" t="s">
        <v>234</v>
      </c>
      <c r="I2302" s="3" t="s">
        <v>24</v>
      </c>
      <c r="J2302" s="3" t="s">
        <v>24</v>
      </c>
      <c r="K2302" s="3" t="s">
        <v>25</v>
      </c>
      <c r="L2302" s="4">
        <v>0</v>
      </c>
      <c r="M2302" s="3" t="s">
        <v>26</v>
      </c>
      <c r="N2302" s="3" t="s">
        <v>24</v>
      </c>
      <c r="O2302" s="4">
        <v>0</v>
      </c>
      <c r="P2302" s="4">
        <v>3</v>
      </c>
      <c r="Q2302" s="4">
        <v>0</v>
      </c>
    </row>
    <row r="2303" spans="1:17" x14ac:dyDescent="0.25">
      <c r="A2303" s="3" t="s">
        <v>18</v>
      </c>
      <c r="B2303" s="3">
        <v>15603578</v>
      </c>
      <c r="C2303" s="3" t="s">
        <v>2350</v>
      </c>
      <c r="D2303" s="3" t="s">
        <v>20</v>
      </c>
      <c r="E2303" s="3" t="s">
        <v>21</v>
      </c>
      <c r="F2303" s="3" t="s">
        <v>21</v>
      </c>
      <c r="G2303" s="3" t="s">
        <v>233</v>
      </c>
      <c r="H2303" s="3" t="s">
        <v>234</v>
      </c>
      <c r="I2303" s="3" t="s">
        <v>24</v>
      </c>
      <c r="J2303" s="3" t="s">
        <v>24</v>
      </c>
      <c r="K2303" s="3" t="s">
        <v>25</v>
      </c>
      <c r="L2303" s="4">
        <v>0</v>
      </c>
      <c r="M2303" s="3" t="s">
        <v>26</v>
      </c>
      <c r="N2303" s="3" t="s">
        <v>24</v>
      </c>
      <c r="O2303" s="4">
        <v>0</v>
      </c>
      <c r="P2303" s="4">
        <v>1</v>
      </c>
      <c r="Q2303" s="4">
        <v>0</v>
      </c>
    </row>
    <row r="2304" spans="1:17" x14ac:dyDescent="0.25">
      <c r="A2304" s="3" t="s">
        <v>18</v>
      </c>
      <c r="B2304" s="3">
        <v>15625897</v>
      </c>
      <c r="C2304" s="3" t="s">
        <v>2351</v>
      </c>
      <c r="D2304" s="3" t="s">
        <v>20</v>
      </c>
      <c r="E2304" s="3" t="s">
        <v>21</v>
      </c>
      <c r="F2304" s="3" t="s">
        <v>21</v>
      </c>
      <c r="G2304" s="3" t="s">
        <v>22</v>
      </c>
      <c r="H2304" s="3" t="s">
        <v>23</v>
      </c>
      <c r="I2304" s="3" t="s">
        <v>24</v>
      </c>
      <c r="J2304" s="3" t="s">
        <v>24</v>
      </c>
      <c r="K2304" s="3" t="s">
        <v>25</v>
      </c>
      <c r="L2304" s="4">
        <v>0</v>
      </c>
      <c r="M2304" s="3" t="s">
        <v>26</v>
      </c>
      <c r="N2304" s="3" t="s">
        <v>24</v>
      </c>
      <c r="O2304" s="4">
        <v>0</v>
      </c>
      <c r="P2304" s="4">
        <v>4</v>
      </c>
      <c r="Q2304" s="4">
        <v>0</v>
      </c>
    </row>
    <row r="2305" spans="1:17" x14ac:dyDescent="0.25">
      <c r="A2305" s="3" t="s">
        <v>18</v>
      </c>
      <c r="B2305" s="3">
        <v>15641357</v>
      </c>
      <c r="C2305" s="3" t="s">
        <v>2352</v>
      </c>
      <c r="D2305" s="3" t="s">
        <v>20</v>
      </c>
      <c r="E2305" s="3" t="s">
        <v>21</v>
      </c>
      <c r="F2305" s="3" t="s">
        <v>21</v>
      </c>
      <c r="G2305" s="3" t="s">
        <v>410</v>
      </c>
      <c r="H2305" s="3" t="s">
        <v>411</v>
      </c>
      <c r="I2305" s="3" t="s">
        <v>24</v>
      </c>
      <c r="J2305" s="3" t="s">
        <v>24</v>
      </c>
      <c r="K2305" s="3" t="s">
        <v>25</v>
      </c>
      <c r="L2305" s="4">
        <v>0</v>
      </c>
      <c r="M2305" s="3" t="s">
        <v>26</v>
      </c>
      <c r="N2305" s="3" t="s">
        <v>24</v>
      </c>
      <c r="O2305" s="4">
        <v>0</v>
      </c>
      <c r="P2305" s="4">
        <v>3</v>
      </c>
      <c r="Q2305" s="4">
        <v>0</v>
      </c>
    </row>
    <row r="2306" spans="1:17" x14ac:dyDescent="0.25">
      <c r="A2306" s="3" t="s">
        <v>18</v>
      </c>
      <c r="B2306" s="3">
        <v>15644111</v>
      </c>
      <c r="C2306" s="3" t="s">
        <v>2353</v>
      </c>
      <c r="D2306" s="3" t="s">
        <v>20</v>
      </c>
      <c r="E2306" s="3" t="s">
        <v>21</v>
      </c>
      <c r="F2306" s="3" t="s">
        <v>21</v>
      </c>
      <c r="G2306" s="3" t="s">
        <v>36</v>
      </c>
      <c r="H2306" s="3" t="s">
        <v>37</v>
      </c>
      <c r="I2306" s="3" t="s">
        <v>24</v>
      </c>
      <c r="J2306" s="3" t="s">
        <v>24</v>
      </c>
      <c r="K2306" s="3" t="s">
        <v>25</v>
      </c>
      <c r="L2306" s="4">
        <v>0</v>
      </c>
      <c r="M2306" s="3" t="s">
        <v>26</v>
      </c>
      <c r="N2306" s="3" t="s">
        <v>24</v>
      </c>
      <c r="O2306" s="4">
        <v>0</v>
      </c>
      <c r="P2306" s="4">
        <v>8</v>
      </c>
      <c r="Q2306" s="4">
        <v>0</v>
      </c>
    </row>
    <row r="2307" spans="1:17" x14ac:dyDescent="0.25">
      <c r="A2307" s="3" t="s">
        <v>18</v>
      </c>
      <c r="B2307" s="3">
        <v>15644112</v>
      </c>
      <c r="C2307" s="3" t="s">
        <v>2354</v>
      </c>
      <c r="D2307" s="3" t="s">
        <v>20</v>
      </c>
      <c r="E2307" s="3" t="s">
        <v>21</v>
      </c>
      <c r="F2307" s="3" t="s">
        <v>21</v>
      </c>
      <c r="G2307" s="3" t="s">
        <v>36</v>
      </c>
      <c r="H2307" s="3" t="s">
        <v>37</v>
      </c>
      <c r="I2307" s="3" t="s">
        <v>24</v>
      </c>
      <c r="J2307" s="3" t="s">
        <v>24</v>
      </c>
      <c r="K2307" s="3" t="s">
        <v>25</v>
      </c>
      <c r="L2307" s="4">
        <v>0</v>
      </c>
      <c r="M2307" s="3" t="s">
        <v>26</v>
      </c>
      <c r="N2307" s="3" t="s">
        <v>24</v>
      </c>
      <c r="O2307" s="4">
        <v>0</v>
      </c>
      <c r="P2307" s="4">
        <v>8</v>
      </c>
      <c r="Q2307" s="4">
        <v>0</v>
      </c>
    </row>
    <row r="2308" spans="1:17" x14ac:dyDescent="0.25">
      <c r="A2308" s="3" t="s">
        <v>18</v>
      </c>
      <c r="B2308" s="3">
        <v>15644114</v>
      </c>
      <c r="C2308" s="3" t="s">
        <v>2355</v>
      </c>
      <c r="D2308" s="3" t="s">
        <v>20</v>
      </c>
      <c r="E2308" s="3" t="s">
        <v>21</v>
      </c>
      <c r="F2308" s="3" t="s">
        <v>21</v>
      </c>
      <c r="G2308" s="3" t="s">
        <v>36</v>
      </c>
      <c r="H2308" s="3" t="s">
        <v>37</v>
      </c>
      <c r="I2308" s="3" t="s">
        <v>24</v>
      </c>
      <c r="J2308" s="3" t="s">
        <v>24</v>
      </c>
      <c r="K2308" s="3" t="s">
        <v>25</v>
      </c>
      <c r="L2308" s="4">
        <v>0</v>
      </c>
      <c r="M2308" s="3" t="s">
        <v>26</v>
      </c>
      <c r="N2308" s="3" t="s">
        <v>24</v>
      </c>
      <c r="O2308" s="4">
        <v>0</v>
      </c>
      <c r="P2308" s="4">
        <v>8</v>
      </c>
      <c r="Q2308" s="4">
        <v>0</v>
      </c>
    </row>
    <row r="2309" spans="1:17" x14ac:dyDescent="0.25">
      <c r="A2309" s="3" t="s">
        <v>18</v>
      </c>
      <c r="B2309" s="3">
        <v>15645768</v>
      </c>
      <c r="C2309" s="3" t="s">
        <v>2356</v>
      </c>
      <c r="D2309" s="3" t="s">
        <v>20</v>
      </c>
      <c r="E2309" s="3" t="s">
        <v>21</v>
      </c>
      <c r="F2309" s="3" t="s">
        <v>21</v>
      </c>
      <c r="G2309" s="3" t="s">
        <v>30</v>
      </c>
      <c r="H2309" s="3" t="s">
        <v>31</v>
      </c>
      <c r="I2309" s="3" t="s">
        <v>24</v>
      </c>
      <c r="J2309" s="3" t="s">
        <v>24</v>
      </c>
      <c r="K2309" s="3" t="s">
        <v>25</v>
      </c>
      <c r="L2309" s="4">
        <v>0</v>
      </c>
      <c r="M2309" s="3" t="s">
        <v>26</v>
      </c>
      <c r="N2309" s="3" t="s">
        <v>24</v>
      </c>
      <c r="O2309" s="4">
        <v>1</v>
      </c>
      <c r="P2309" s="4">
        <v>4</v>
      </c>
      <c r="Q2309" s="4">
        <v>1</v>
      </c>
    </row>
    <row r="2310" spans="1:17" x14ac:dyDescent="0.25">
      <c r="A2310" s="3" t="s">
        <v>18</v>
      </c>
      <c r="B2310" s="3">
        <v>15646707</v>
      </c>
      <c r="C2310" s="3" t="s">
        <v>2357</v>
      </c>
      <c r="D2310" s="3" t="s">
        <v>20</v>
      </c>
      <c r="E2310" s="3" t="s">
        <v>21</v>
      </c>
      <c r="F2310" s="3" t="s">
        <v>21</v>
      </c>
      <c r="G2310" s="3" t="s">
        <v>233</v>
      </c>
      <c r="H2310" s="3" t="s">
        <v>234</v>
      </c>
      <c r="I2310" s="3" t="s">
        <v>24</v>
      </c>
      <c r="J2310" s="3" t="s">
        <v>24</v>
      </c>
      <c r="K2310" s="3" t="s">
        <v>25</v>
      </c>
      <c r="L2310" s="4">
        <v>0</v>
      </c>
      <c r="M2310" s="3" t="s">
        <v>26</v>
      </c>
      <c r="N2310" s="3" t="s">
        <v>24</v>
      </c>
      <c r="O2310" s="4">
        <v>0</v>
      </c>
      <c r="P2310" s="4">
        <v>3</v>
      </c>
      <c r="Q2310" s="4">
        <v>0</v>
      </c>
    </row>
    <row r="2311" spans="1:17" x14ac:dyDescent="0.25">
      <c r="A2311" s="3" t="s">
        <v>18</v>
      </c>
      <c r="B2311" s="3">
        <v>15654761</v>
      </c>
      <c r="C2311" s="3" t="s">
        <v>2358</v>
      </c>
      <c r="D2311" s="3" t="s">
        <v>20</v>
      </c>
      <c r="E2311" s="3" t="s">
        <v>21</v>
      </c>
      <c r="F2311" s="3" t="s">
        <v>21</v>
      </c>
      <c r="G2311" s="3" t="s">
        <v>233</v>
      </c>
      <c r="H2311" s="3" t="s">
        <v>234</v>
      </c>
      <c r="I2311" s="3" t="s">
        <v>24</v>
      </c>
      <c r="J2311" s="3" t="s">
        <v>24</v>
      </c>
      <c r="K2311" s="3" t="s">
        <v>25</v>
      </c>
      <c r="L2311" s="4">
        <v>0</v>
      </c>
      <c r="M2311" s="3" t="s">
        <v>26</v>
      </c>
      <c r="N2311" s="3" t="s">
        <v>24</v>
      </c>
      <c r="O2311" s="4">
        <v>1</v>
      </c>
      <c r="P2311" s="4">
        <v>3</v>
      </c>
      <c r="Q2311" s="4">
        <v>1</v>
      </c>
    </row>
    <row r="2312" spans="1:17" x14ac:dyDescent="0.25">
      <c r="A2312" s="3" t="s">
        <v>18</v>
      </c>
      <c r="B2312" s="3">
        <v>15654763</v>
      </c>
      <c r="C2312" s="3" t="s">
        <v>2359</v>
      </c>
      <c r="D2312" s="3" t="s">
        <v>20</v>
      </c>
      <c r="E2312" s="3" t="s">
        <v>21</v>
      </c>
      <c r="F2312" s="3" t="s">
        <v>21</v>
      </c>
      <c r="G2312" s="3" t="s">
        <v>233</v>
      </c>
      <c r="H2312" s="3" t="s">
        <v>234</v>
      </c>
      <c r="I2312" s="3" t="s">
        <v>24</v>
      </c>
      <c r="J2312" s="3" t="s">
        <v>24</v>
      </c>
      <c r="K2312" s="3" t="s">
        <v>25</v>
      </c>
      <c r="L2312" s="4">
        <v>0</v>
      </c>
      <c r="M2312" s="3" t="s">
        <v>26</v>
      </c>
      <c r="N2312" s="3" t="s">
        <v>24</v>
      </c>
      <c r="O2312" s="4">
        <v>0</v>
      </c>
      <c r="P2312" s="4">
        <v>3</v>
      </c>
      <c r="Q2312" s="4">
        <v>0</v>
      </c>
    </row>
    <row r="2313" spans="1:17" x14ac:dyDescent="0.25">
      <c r="A2313" s="3" t="s">
        <v>18</v>
      </c>
      <c r="B2313" s="3">
        <v>15654764</v>
      </c>
      <c r="C2313" s="3" t="s">
        <v>2360</v>
      </c>
      <c r="D2313" s="3" t="s">
        <v>20</v>
      </c>
      <c r="E2313" s="3" t="s">
        <v>21</v>
      </c>
      <c r="F2313" s="3" t="s">
        <v>21</v>
      </c>
      <c r="G2313" s="3" t="s">
        <v>233</v>
      </c>
      <c r="H2313" s="3" t="s">
        <v>234</v>
      </c>
      <c r="I2313" s="3" t="s">
        <v>24</v>
      </c>
      <c r="J2313" s="3" t="s">
        <v>24</v>
      </c>
      <c r="K2313" s="3" t="s">
        <v>25</v>
      </c>
      <c r="L2313" s="4">
        <v>0</v>
      </c>
      <c r="M2313" s="3" t="s">
        <v>26</v>
      </c>
      <c r="N2313" s="3" t="s">
        <v>24</v>
      </c>
      <c r="O2313" s="4">
        <v>1</v>
      </c>
      <c r="P2313" s="4">
        <v>3</v>
      </c>
      <c r="Q2313" s="4">
        <v>1</v>
      </c>
    </row>
    <row r="2314" spans="1:17" x14ac:dyDescent="0.25">
      <c r="A2314" s="3" t="s">
        <v>18</v>
      </c>
      <c r="B2314" s="3">
        <v>15654766</v>
      </c>
      <c r="C2314" s="3" t="s">
        <v>2361</v>
      </c>
      <c r="D2314" s="3" t="s">
        <v>20</v>
      </c>
      <c r="E2314" s="3" t="s">
        <v>21</v>
      </c>
      <c r="F2314" s="3" t="s">
        <v>21</v>
      </c>
      <c r="G2314" s="3" t="s">
        <v>233</v>
      </c>
      <c r="H2314" s="3" t="s">
        <v>234</v>
      </c>
      <c r="I2314" s="3" t="s">
        <v>24</v>
      </c>
      <c r="J2314" s="3" t="s">
        <v>24</v>
      </c>
      <c r="K2314" s="3" t="s">
        <v>25</v>
      </c>
      <c r="L2314" s="4">
        <v>0</v>
      </c>
      <c r="M2314" s="3" t="s">
        <v>26</v>
      </c>
      <c r="N2314" s="3" t="s">
        <v>24</v>
      </c>
      <c r="O2314" s="4">
        <v>1</v>
      </c>
      <c r="P2314" s="4">
        <v>3</v>
      </c>
      <c r="Q2314" s="4">
        <v>1</v>
      </c>
    </row>
    <row r="2315" spans="1:17" x14ac:dyDescent="0.25">
      <c r="A2315" s="3" t="s">
        <v>18</v>
      </c>
      <c r="B2315" s="3">
        <v>15654798</v>
      </c>
      <c r="C2315" s="3" t="s">
        <v>2362</v>
      </c>
      <c r="D2315" s="3" t="s">
        <v>20</v>
      </c>
      <c r="E2315" s="3" t="s">
        <v>21</v>
      </c>
      <c r="F2315" s="3" t="s">
        <v>21</v>
      </c>
      <c r="G2315" s="3" t="s">
        <v>233</v>
      </c>
      <c r="H2315" s="3" t="s">
        <v>234</v>
      </c>
      <c r="I2315" s="3" t="s">
        <v>24</v>
      </c>
      <c r="J2315" s="3" t="s">
        <v>24</v>
      </c>
      <c r="K2315" s="3" t="s">
        <v>25</v>
      </c>
      <c r="L2315" s="4">
        <v>0</v>
      </c>
      <c r="M2315" s="3" t="s">
        <v>26</v>
      </c>
      <c r="N2315" s="3" t="s">
        <v>24</v>
      </c>
      <c r="O2315" s="4">
        <v>1</v>
      </c>
      <c r="P2315" s="4">
        <v>3</v>
      </c>
      <c r="Q2315" s="4">
        <v>1</v>
      </c>
    </row>
    <row r="2316" spans="1:17" x14ac:dyDescent="0.25">
      <c r="A2316" s="3" t="s">
        <v>18</v>
      </c>
      <c r="B2316" s="3">
        <v>15654799</v>
      </c>
      <c r="C2316" s="3" t="s">
        <v>2363</v>
      </c>
      <c r="D2316" s="3" t="s">
        <v>20</v>
      </c>
      <c r="E2316" s="3" t="s">
        <v>21</v>
      </c>
      <c r="F2316" s="3" t="s">
        <v>21</v>
      </c>
      <c r="G2316" s="3" t="s">
        <v>233</v>
      </c>
      <c r="H2316" s="3" t="s">
        <v>234</v>
      </c>
      <c r="I2316" s="3" t="s">
        <v>24</v>
      </c>
      <c r="J2316" s="3" t="s">
        <v>24</v>
      </c>
      <c r="K2316" s="3" t="s">
        <v>25</v>
      </c>
      <c r="L2316" s="4">
        <v>0</v>
      </c>
      <c r="M2316" s="3" t="s">
        <v>26</v>
      </c>
      <c r="N2316" s="3" t="s">
        <v>24</v>
      </c>
      <c r="O2316" s="4">
        <v>1</v>
      </c>
      <c r="P2316" s="4">
        <v>3</v>
      </c>
      <c r="Q2316" s="4">
        <v>1</v>
      </c>
    </row>
    <row r="2317" spans="1:17" x14ac:dyDescent="0.25">
      <c r="A2317" s="3" t="s">
        <v>18</v>
      </c>
      <c r="B2317" s="3">
        <v>15654800</v>
      </c>
      <c r="C2317" s="3" t="s">
        <v>2364</v>
      </c>
      <c r="D2317" s="3" t="s">
        <v>20</v>
      </c>
      <c r="E2317" s="3" t="s">
        <v>21</v>
      </c>
      <c r="F2317" s="3" t="s">
        <v>21</v>
      </c>
      <c r="G2317" s="3" t="s">
        <v>233</v>
      </c>
      <c r="H2317" s="3" t="s">
        <v>234</v>
      </c>
      <c r="I2317" s="3" t="s">
        <v>24</v>
      </c>
      <c r="J2317" s="3" t="s">
        <v>24</v>
      </c>
      <c r="K2317" s="3" t="s">
        <v>25</v>
      </c>
      <c r="L2317" s="4">
        <v>0</v>
      </c>
      <c r="M2317" s="3" t="s">
        <v>26</v>
      </c>
      <c r="N2317" s="3" t="s">
        <v>24</v>
      </c>
      <c r="O2317" s="4">
        <v>1</v>
      </c>
      <c r="P2317" s="4">
        <v>3</v>
      </c>
      <c r="Q2317" s="4">
        <v>1</v>
      </c>
    </row>
    <row r="2318" spans="1:17" x14ac:dyDescent="0.25">
      <c r="A2318" s="3" t="s">
        <v>18</v>
      </c>
      <c r="B2318" s="3">
        <v>15654801</v>
      </c>
      <c r="C2318" s="3" t="s">
        <v>2365</v>
      </c>
      <c r="D2318" s="3" t="s">
        <v>20</v>
      </c>
      <c r="E2318" s="3" t="s">
        <v>21</v>
      </c>
      <c r="F2318" s="3" t="s">
        <v>21</v>
      </c>
      <c r="G2318" s="3" t="s">
        <v>233</v>
      </c>
      <c r="H2318" s="3" t="s">
        <v>234</v>
      </c>
      <c r="I2318" s="3" t="s">
        <v>24</v>
      </c>
      <c r="J2318" s="3" t="s">
        <v>24</v>
      </c>
      <c r="K2318" s="3" t="s">
        <v>25</v>
      </c>
      <c r="L2318" s="4">
        <v>0</v>
      </c>
      <c r="M2318" s="3" t="s">
        <v>26</v>
      </c>
      <c r="N2318" s="3" t="s">
        <v>24</v>
      </c>
      <c r="O2318" s="4">
        <v>1</v>
      </c>
      <c r="P2318" s="4">
        <v>3</v>
      </c>
      <c r="Q2318" s="4">
        <v>1</v>
      </c>
    </row>
    <row r="2319" spans="1:17" x14ac:dyDescent="0.25">
      <c r="A2319" s="3" t="s">
        <v>18</v>
      </c>
      <c r="B2319" s="3">
        <v>15654802</v>
      </c>
      <c r="C2319" s="3" t="s">
        <v>2366</v>
      </c>
      <c r="D2319" s="3" t="s">
        <v>20</v>
      </c>
      <c r="E2319" s="3" t="s">
        <v>21</v>
      </c>
      <c r="F2319" s="3" t="s">
        <v>21</v>
      </c>
      <c r="G2319" s="3" t="s">
        <v>233</v>
      </c>
      <c r="H2319" s="3" t="s">
        <v>234</v>
      </c>
      <c r="I2319" s="3" t="s">
        <v>24</v>
      </c>
      <c r="J2319" s="3" t="s">
        <v>24</v>
      </c>
      <c r="K2319" s="3" t="s">
        <v>25</v>
      </c>
      <c r="L2319" s="4">
        <v>0</v>
      </c>
      <c r="M2319" s="3" t="s">
        <v>26</v>
      </c>
      <c r="N2319" s="3" t="s">
        <v>24</v>
      </c>
      <c r="O2319" s="4">
        <v>1</v>
      </c>
      <c r="P2319" s="4">
        <v>3</v>
      </c>
      <c r="Q2319" s="4">
        <v>1</v>
      </c>
    </row>
    <row r="2320" spans="1:17" x14ac:dyDescent="0.25">
      <c r="A2320" s="3" t="s">
        <v>18</v>
      </c>
      <c r="B2320" s="3">
        <v>15654803</v>
      </c>
      <c r="C2320" s="3" t="s">
        <v>2367</v>
      </c>
      <c r="D2320" s="3" t="s">
        <v>20</v>
      </c>
      <c r="E2320" s="3" t="s">
        <v>21</v>
      </c>
      <c r="F2320" s="3" t="s">
        <v>21</v>
      </c>
      <c r="G2320" s="3" t="s">
        <v>233</v>
      </c>
      <c r="H2320" s="3" t="s">
        <v>234</v>
      </c>
      <c r="I2320" s="3" t="s">
        <v>24</v>
      </c>
      <c r="J2320" s="3" t="s">
        <v>24</v>
      </c>
      <c r="K2320" s="3" t="s">
        <v>25</v>
      </c>
      <c r="L2320" s="4">
        <v>0</v>
      </c>
      <c r="M2320" s="3" t="s">
        <v>26</v>
      </c>
      <c r="N2320" s="3" t="s">
        <v>24</v>
      </c>
      <c r="O2320" s="4">
        <v>1</v>
      </c>
      <c r="P2320" s="4">
        <v>3</v>
      </c>
      <c r="Q2320" s="4">
        <v>1</v>
      </c>
    </row>
    <row r="2321" spans="1:17" x14ac:dyDescent="0.25">
      <c r="A2321" s="3" t="s">
        <v>18</v>
      </c>
      <c r="B2321" s="3">
        <v>15654804</v>
      </c>
      <c r="C2321" s="3" t="s">
        <v>2368</v>
      </c>
      <c r="D2321" s="3" t="s">
        <v>20</v>
      </c>
      <c r="E2321" s="3" t="s">
        <v>21</v>
      </c>
      <c r="F2321" s="3" t="s">
        <v>21</v>
      </c>
      <c r="G2321" s="3" t="s">
        <v>233</v>
      </c>
      <c r="H2321" s="3" t="s">
        <v>234</v>
      </c>
      <c r="I2321" s="3" t="s">
        <v>24</v>
      </c>
      <c r="J2321" s="3" t="s">
        <v>24</v>
      </c>
      <c r="K2321" s="3" t="s">
        <v>25</v>
      </c>
      <c r="L2321" s="4">
        <v>0</v>
      </c>
      <c r="M2321" s="3" t="s">
        <v>26</v>
      </c>
      <c r="N2321" s="3" t="s">
        <v>24</v>
      </c>
      <c r="O2321" s="4">
        <v>1</v>
      </c>
      <c r="P2321" s="4">
        <v>3</v>
      </c>
      <c r="Q2321" s="4">
        <v>1</v>
      </c>
    </row>
    <row r="2322" spans="1:17" x14ac:dyDescent="0.25">
      <c r="A2322" s="3" t="s">
        <v>18</v>
      </c>
      <c r="B2322" s="3">
        <v>15654805</v>
      </c>
      <c r="C2322" s="3" t="s">
        <v>2369</v>
      </c>
      <c r="D2322" s="3" t="s">
        <v>20</v>
      </c>
      <c r="E2322" s="3" t="s">
        <v>21</v>
      </c>
      <c r="F2322" s="3" t="s">
        <v>21</v>
      </c>
      <c r="G2322" s="3" t="s">
        <v>233</v>
      </c>
      <c r="H2322" s="3" t="s">
        <v>234</v>
      </c>
      <c r="I2322" s="3" t="s">
        <v>24</v>
      </c>
      <c r="J2322" s="3" t="s">
        <v>24</v>
      </c>
      <c r="K2322" s="3" t="s">
        <v>25</v>
      </c>
      <c r="L2322" s="4">
        <v>0</v>
      </c>
      <c r="M2322" s="3" t="s">
        <v>26</v>
      </c>
      <c r="N2322" s="3" t="s">
        <v>24</v>
      </c>
      <c r="O2322" s="4">
        <v>1</v>
      </c>
      <c r="P2322" s="4">
        <v>3</v>
      </c>
      <c r="Q2322" s="4">
        <v>1</v>
      </c>
    </row>
    <row r="2323" spans="1:17" x14ac:dyDescent="0.25">
      <c r="A2323" s="3" t="s">
        <v>18</v>
      </c>
      <c r="B2323" s="3">
        <v>15654806</v>
      </c>
      <c r="C2323" s="3" t="s">
        <v>2370</v>
      </c>
      <c r="D2323" s="3" t="s">
        <v>20</v>
      </c>
      <c r="E2323" s="3" t="s">
        <v>21</v>
      </c>
      <c r="F2323" s="3" t="s">
        <v>21</v>
      </c>
      <c r="G2323" s="3" t="s">
        <v>233</v>
      </c>
      <c r="H2323" s="3" t="s">
        <v>234</v>
      </c>
      <c r="I2323" s="3" t="s">
        <v>24</v>
      </c>
      <c r="J2323" s="3" t="s">
        <v>24</v>
      </c>
      <c r="K2323" s="3" t="s">
        <v>25</v>
      </c>
      <c r="L2323" s="4">
        <v>0</v>
      </c>
      <c r="M2323" s="3" t="s">
        <v>26</v>
      </c>
      <c r="N2323" s="3" t="s">
        <v>24</v>
      </c>
      <c r="O2323" s="4">
        <v>1</v>
      </c>
      <c r="P2323" s="4">
        <v>3</v>
      </c>
      <c r="Q2323" s="4">
        <v>1</v>
      </c>
    </row>
    <row r="2324" spans="1:17" x14ac:dyDescent="0.25">
      <c r="A2324" s="3" t="s">
        <v>18</v>
      </c>
      <c r="B2324" s="3">
        <v>15654807</v>
      </c>
      <c r="C2324" s="3" t="s">
        <v>2371</v>
      </c>
      <c r="D2324" s="3" t="s">
        <v>20</v>
      </c>
      <c r="E2324" s="3" t="s">
        <v>21</v>
      </c>
      <c r="F2324" s="3" t="s">
        <v>21</v>
      </c>
      <c r="G2324" s="3" t="s">
        <v>233</v>
      </c>
      <c r="H2324" s="3" t="s">
        <v>234</v>
      </c>
      <c r="I2324" s="3" t="s">
        <v>24</v>
      </c>
      <c r="J2324" s="3" t="s">
        <v>24</v>
      </c>
      <c r="K2324" s="3" t="s">
        <v>25</v>
      </c>
      <c r="L2324" s="4">
        <v>0</v>
      </c>
      <c r="M2324" s="3" t="s">
        <v>26</v>
      </c>
      <c r="N2324" s="3" t="s">
        <v>24</v>
      </c>
      <c r="O2324" s="4">
        <v>0</v>
      </c>
      <c r="P2324" s="4">
        <v>3</v>
      </c>
      <c r="Q2324" s="4">
        <v>0</v>
      </c>
    </row>
    <row r="2325" spans="1:17" x14ac:dyDescent="0.25">
      <c r="A2325" s="3" t="s">
        <v>18</v>
      </c>
      <c r="B2325" s="3">
        <v>15654828</v>
      </c>
      <c r="C2325" s="3" t="s">
        <v>2372</v>
      </c>
      <c r="D2325" s="3" t="s">
        <v>20</v>
      </c>
      <c r="E2325" s="3" t="s">
        <v>21</v>
      </c>
      <c r="F2325" s="3" t="s">
        <v>21</v>
      </c>
      <c r="G2325" s="3" t="s">
        <v>233</v>
      </c>
      <c r="H2325" s="3" t="s">
        <v>234</v>
      </c>
      <c r="I2325" s="3" t="s">
        <v>24</v>
      </c>
      <c r="J2325" s="3" t="s">
        <v>24</v>
      </c>
      <c r="K2325" s="3" t="s">
        <v>25</v>
      </c>
      <c r="L2325" s="4">
        <v>0</v>
      </c>
      <c r="M2325" s="3" t="s">
        <v>26</v>
      </c>
      <c r="N2325" s="3" t="s">
        <v>24</v>
      </c>
      <c r="O2325" s="4">
        <v>1</v>
      </c>
      <c r="P2325" s="4">
        <v>3</v>
      </c>
      <c r="Q2325" s="4">
        <v>1</v>
      </c>
    </row>
    <row r="2326" spans="1:17" x14ac:dyDescent="0.25">
      <c r="A2326" s="3" t="s">
        <v>18</v>
      </c>
      <c r="B2326" s="3">
        <v>15654829</v>
      </c>
      <c r="C2326" s="3" t="s">
        <v>2373</v>
      </c>
      <c r="D2326" s="3" t="s">
        <v>20</v>
      </c>
      <c r="E2326" s="3" t="s">
        <v>21</v>
      </c>
      <c r="F2326" s="3" t="s">
        <v>21</v>
      </c>
      <c r="G2326" s="3" t="s">
        <v>233</v>
      </c>
      <c r="H2326" s="3" t="s">
        <v>234</v>
      </c>
      <c r="I2326" s="3" t="s">
        <v>24</v>
      </c>
      <c r="J2326" s="3" t="s">
        <v>24</v>
      </c>
      <c r="K2326" s="3" t="s">
        <v>25</v>
      </c>
      <c r="L2326" s="4">
        <v>0</v>
      </c>
      <c r="M2326" s="3" t="s">
        <v>26</v>
      </c>
      <c r="N2326" s="3" t="s">
        <v>24</v>
      </c>
      <c r="O2326" s="4">
        <v>1</v>
      </c>
      <c r="P2326" s="4">
        <v>3</v>
      </c>
      <c r="Q2326" s="4">
        <v>1</v>
      </c>
    </row>
    <row r="2327" spans="1:17" x14ac:dyDescent="0.25">
      <c r="A2327" s="3" t="s">
        <v>18</v>
      </c>
      <c r="B2327" s="3">
        <v>15655341</v>
      </c>
      <c r="C2327" s="3" t="s">
        <v>2374</v>
      </c>
      <c r="D2327" s="3" t="s">
        <v>20</v>
      </c>
      <c r="E2327" s="3" t="s">
        <v>21</v>
      </c>
      <c r="F2327" s="3" t="s">
        <v>21</v>
      </c>
      <c r="G2327" s="3" t="s">
        <v>233</v>
      </c>
      <c r="H2327" s="3" t="s">
        <v>234</v>
      </c>
      <c r="I2327" s="3" t="s">
        <v>24</v>
      </c>
      <c r="J2327" s="3" t="s">
        <v>24</v>
      </c>
      <c r="K2327" s="3" t="s">
        <v>25</v>
      </c>
      <c r="L2327" s="4">
        <v>0</v>
      </c>
      <c r="M2327" s="3" t="s">
        <v>26</v>
      </c>
      <c r="N2327" s="3" t="s">
        <v>24</v>
      </c>
      <c r="O2327" s="4">
        <v>1</v>
      </c>
      <c r="P2327" s="4">
        <v>3</v>
      </c>
      <c r="Q2327" s="4">
        <v>1</v>
      </c>
    </row>
    <row r="2328" spans="1:17" x14ac:dyDescent="0.25">
      <c r="A2328" s="3" t="s">
        <v>18</v>
      </c>
      <c r="B2328" s="3">
        <v>15655342</v>
      </c>
      <c r="C2328" s="3" t="s">
        <v>2375</v>
      </c>
      <c r="D2328" s="3" t="s">
        <v>20</v>
      </c>
      <c r="E2328" s="3" t="s">
        <v>21</v>
      </c>
      <c r="F2328" s="3" t="s">
        <v>21</v>
      </c>
      <c r="G2328" s="3" t="s">
        <v>233</v>
      </c>
      <c r="H2328" s="3" t="s">
        <v>234</v>
      </c>
      <c r="I2328" s="3" t="s">
        <v>24</v>
      </c>
      <c r="J2328" s="3" t="s">
        <v>24</v>
      </c>
      <c r="K2328" s="3" t="s">
        <v>25</v>
      </c>
      <c r="L2328" s="4">
        <v>0</v>
      </c>
      <c r="M2328" s="3" t="s">
        <v>26</v>
      </c>
      <c r="N2328" s="3" t="s">
        <v>24</v>
      </c>
      <c r="O2328" s="4">
        <v>1</v>
      </c>
      <c r="P2328" s="4">
        <v>3</v>
      </c>
      <c r="Q2328" s="4">
        <v>1</v>
      </c>
    </row>
    <row r="2329" spans="1:17" x14ac:dyDescent="0.25">
      <c r="A2329" s="3" t="s">
        <v>18</v>
      </c>
      <c r="B2329" s="3">
        <v>15655460</v>
      </c>
      <c r="C2329" s="3" t="s">
        <v>2376</v>
      </c>
      <c r="D2329" s="3" t="s">
        <v>20</v>
      </c>
      <c r="E2329" s="3" t="s">
        <v>21</v>
      </c>
      <c r="F2329" s="3" t="s">
        <v>21</v>
      </c>
      <c r="G2329" s="3" t="s">
        <v>233</v>
      </c>
      <c r="H2329" s="3" t="s">
        <v>234</v>
      </c>
      <c r="I2329" s="3" t="s">
        <v>24</v>
      </c>
      <c r="J2329" s="3" t="s">
        <v>24</v>
      </c>
      <c r="K2329" s="3" t="s">
        <v>25</v>
      </c>
      <c r="L2329" s="4">
        <v>0</v>
      </c>
      <c r="M2329" s="3" t="s">
        <v>26</v>
      </c>
      <c r="N2329" s="3" t="s">
        <v>24</v>
      </c>
      <c r="O2329" s="4">
        <v>1</v>
      </c>
      <c r="P2329" s="4">
        <v>3</v>
      </c>
      <c r="Q2329" s="4">
        <v>1</v>
      </c>
    </row>
    <row r="2330" spans="1:17" x14ac:dyDescent="0.25">
      <c r="A2330" s="3" t="s">
        <v>18</v>
      </c>
      <c r="B2330" s="3">
        <v>15655462</v>
      </c>
      <c r="C2330" s="3" t="s">
        <v>2377</v>
      </c>
      <c r="D2330" s="3" t="s">
        <v>20</v>
      </c>
      <c r="E2330" s="3" t="s">
        <v>21</v>
      </c>
      <c r="F2330" s="3" t="s">
        <v>21</v>
      </c>
      <c r="G2330" s="3" t="s">
        <v>233</v>
      </c>
      <c r="H2330" s="3" t="s">
        <v>234</v>
      </c>
      <c r="I2330" s="3" t="s">
        <v>24</v>
      </c>
      <c r="J2330" s="3" t="s">
        <v>24</v>
      </c>
      <c r="K2330" s="3" t="s">
        <v>25</v>
      </c>
      <c r="L2330" s="4">
        <v>0</v>
      </c>
      <c r="M2330" s="3" t="s">
        <v>26</v>
      </c>
      <c r="N2330" s="3" t="s">
        <v>24</v>
      </c>
      <c r="O2330" s="4">
        <v>1</v>
      </c>
      <c r="P2330" s="4">
        <v>3</v>
      </c>
      <c r="Q2330" s="4">
        <v>1</v>
      </c>
    </row>
    <row r="2331" spans="1:17" x14ac:dyDescent="0.25">
      <c r="A2331" s="3" t="s">
        <v>18</v>
      </c>
      <c r="B2331" s="3">
        <v>15655589</v>
      </c>
      <c r="C2331" s="3" t="s">
        <v>2378</v>
      </c>
      <c r="D2331" s="3" t="s">
        <v>20</v>
      </c>
      <c r="E2331" s="3" t="s">
        <v>21</v>
      </c>
      <c r="F2331" s="3" t="s">
        <v>21</v>
      </c>
      <c r="G2331" s="3" t="s">
        <v>233</v>
      </c>
      <c r="H2331" s="3" t="s">
        <v>234</v>
      </c>
      <c r="I2331" s="3" t="s">
        <v>24</v>
      </c>
      <c r="J2331" s="3" t="s">
        <v>24</v>
      </c>
      <c r="K2331" s="3" t="s">
        <v>25</v>
      </c>
      <c r="L2331" s="4">
        <v>0</v>
      </c>
      <c r="M2331" s="3" t="s">
        <v>26</v>
      </c>
      <c r="N2331" s="3" t="s">
        <v>24</v>
      </c>
      <c r="O2331" s="4">
        <v>1</v>
      </c>
      <c r="P2331" s="4">
        <v>3</v>
      </c>
      <c r="Q2331" s="4">
        <v>1</v>
      </c>
    </row>
    <row r="2332" spans="1:17" x14ac:dyDescent="0.25">
      <c r="A2332" s="3" t="s">
        <v>18</v>
      </c>
      <c r="B2332" s="3">
        <v>15655592</v>
      </c>
      <c r="C2332" s="3" t="s">
        <v>2379</v>
      </c>
      <c r="D2332" s="3" t="s">
        <v>20</v>
      </c>
      <c r="E2332" s="3" t="s">
        <v>21</v>
      </c>
      <c r="F2332" s="3" t="s">
        <v>21</v>
      </c>
      <c r="G2332" s="3" t="s">
        <v>233</v>
      </c>
      <c r="H2332" s="3" t="s">
        <v>234</v>
      </c>
      <c r="I2332" s="3" t="s">
        <v>24</v>
      </c>
      <c r="J2332" s="3" t="s">
        <v>24</v>
      </c>
      <c r="K2332" s="3" t="s">
        <v>25</v>
      </c>
      <c r="L2332" s="4">
        <v>0</v>
      </c>
      <c r="M2332" s="3" t="s">
        <v>26</v>
      </c>
      <c r="N2332" s="3" t="s">
        <v>24</v>
      </c>
      <c r="O2332" s="4">
        <v>1</v>
      </c>
      <c r="P2332" s="4">
        <v>3</v>
      </c>
      <c r="Q2332" s="4">
        <v>1</v>
      </c>
    </row>
    <row r="2333" spans="1:17" x14ac:dyDescent="0.25">
      <c r="A2333" s="3" t="s">
        <v>18</v>
      </c>
      <c r="B2333" s="3">
        <v>15655659</v>
      </c>
      <c r="C2333" s="3" t="s">
        <v>2380</v>
      </c>
      <c r="D2333" s="3" t="s">
        <v>20</v>
      </c>
      <c r="E2333" s="3" t="s">
        <v>21</v>
      </c>
      <c r="F2333" s="3" t="s">
        <v>21</v>
      </c>
      <c r="G2333" s="3" t="s">
        <v>233</v>
      </c>
      <c r="H2333" s="3" t="s">
        <v>234</v>
      </c>
      <c r="I2333" s="3" t="s">
        <v>24</v>
      </c>
      <c r="J2333" s="3" t="s">
        <v>24</v>
      </c>
      <c r="K2333" s="3" t="s">
        <v>25</v>
      </c>
      <c r="L2333" s="4">
        <v>0</v>
      </c>
      <c r="M2333" s="3" t="s">
        <v>26</v>
      </c>
      <c r="N2333" s="3" t="s">
        <v>24</v>
      </c>
      <c r="O2333" s="4">
        <v>1</v>
      </c>
      <c r="P2333" s="4">
        <v>3</v>
      </c>
      <c r="Q2333" s="4">
        <v>1</v>
      </c>
    </row>
    <row r="2334" spans="1:17" x14ac:dyDescent="0.25">
      <c r="A2334" s="3" t="s">
        <v>18</v>
      </c>
      <c r="B2334" s="3">
        <v>15655665</v>
      </c>
      <c r="C2334" s="3" t="s">
        <v>2381</v>
      </c>
      <c r="D2334" s="3" t="s">
        <v>20</v>
      </c>
      <c r="E2334" s="3" t="s">
        <v>21</v>
      </c>
      <c r="F2334" s="3" t="s">
        <v>21</v>
      </c>
      <c r="G2334" s="3" t="s">
        <v>233</v>
      </c>
      <c r="H2334" s="3" t="s">
        <v>234</v>
      </c>
      <c r="I2334" s="3" t="s">
        <v>24</v>
      </c>
      <c r="J2334" s="3" t="s">
        <v>24</v>
      </c>
      <c r="K2334" s="3" t="s">
        <v>25</v>
      </c>
      <c r="L2334" s="4">
        <v>0</v>
      </c>
      <c r="M2334" s="3" t="s">
        <v>26</v>
      </c>
      <c r="N2334" s="3" t="s">
        <v>24</v>
      </c>
      <c r="O2334" s="4">
        <v>1</v>
      </c>
      <c r="P2334" s="4">
        <v>3</v>
      </c>
      <c r="Q2334" s="4">
        <v>1</v>
      </c>
    </row>
    <row r="2335" spans="1:17" x14ac:dyDescent="0.25">
      <c r="A2335" s="3" t="s">
        <v>18</v>
      </c>
      <c r="B2335" s="3">
        <v>15655735</v>
      </c>
      <c r="C2335" s="3" t="s">
        <v>2382</v>
      </c>
      <c r="D2335" s="3" t="s">
        <v>20</v>
      </c>
      <c r="E2335" s="3" t="s">
        <v>21</v>
      </c>
      <c r="F2335" s="3" t="s">
        <v>21</v>
      </c>
      <c r="G2335" s="3" t="s">
        <v>233</v>
      </c>
      <c r="H2335" s="3" t="s">
        <v>234</v>
      </c>
      <c r="I2335" s="3" t="s">
        <v>24</v>
      </c>
      <c r="J2335" s="3" t="s">
        <v>24</v>
      </c>
      <c r="K2335" s="3" t="s">
        <v>25</v>
      </c>
      <c r="L2335" s="4">
        <v>0</v>
      </c>
      <c r="M2335" s="3" t="s">
        <v>26</v>
      </c>
      <c r="N2335" s="3" t="s">
        <v>24</v>
      </c>
      <c r="O2335" s="4">
        <v>1</v>
      </c>
      <c r="P2335" s="4">
        <v>3</v>
      </c>
      <c r="Q2335" s="4">
        <v>1</v>
      </c>
    </row>
    <row r="2336" spans="1:17" x14ac:dyDescent="0.25">
      <c r="A2336" s="3" t="s">
        <v>18</v>
      </c>
      <c r="B2336" s="3">
        <v>15655736</v>
      </c>
      <c r="C2336" s="3" t="s">
        <v>2383</v>
      </c>
      <c r="D2336" s="3" t="s">
        <v>20</v>
      </c>
      <c r="E2336" s="3" t="s">
        <v>21</v>
      </c>
      <c r="F2336" s="3" t="s">
        <v>21</v>
      </c>
      <c r="G2336" s="3" t="s">
        <v>233</v>
      </c>
      <c r="H2336" s="3" t="s">
        <v>234</v>
      </c>
      <c r="I2336" s="3" t="s">
        <v>24</v>
      </c>
      <c r="J2336" s="3" t="s">
        <v>24</v>
      </c>
      <c r="K2336" s="3" t="s">
        <v>25</v>
      </c>
      <c r="L2336" s="4">
        <v>0</v>
      </c>
      <c r="M2336" s="3" t="s">
        <v>26</v>
      </c>
      <c r="N2336" s="3" t="s">
        <v>24</v>
      </c>
      <c r="O2336" s="4">
        <v>0</v>
      </c>
      <c r="P2336" s="4">
        <v>3</v>
      </c>
      <c r="Q2336" s="4">
        <v>0</v>
      </c>
    </row>
    <row r="2337" spans="1:17" x14ac:dyDescent="0.25">
      <c r="A2337" s="3" t="s">
        <v>18</v>
      </c>
      <c r="B2337" s="3">
        <v>15655778</v>
      </c>
      <c r="C2337" s="3" t="s">
        <v>2384</v>
      </c>
      <c r="D2337" s="3" t="s">
        <v>20</v>
      </c>
      <c r="E2337" s="3" t="s">
        <v>21</v>
      </c>
      <c r="F2337" s="3" t="s">
        <v>21</v>
      </c>
      <c r="G2337" s="3" t="s">
        <v>233</v>
      </c>
      <c r="H2337" s="3" t="s">
        <v>234</v>
      </c>
      <c r="I2337" s="3" t="s">
        <v>24</v>
      </c>
      <c r="J2337" s="3" t="s">
        <v>24</v>
      </c>
      <c r="K2337" s="3" t="s">
        <v>25</v>
      </c>
      <c r="L2337" s="4">
        <v>0</v>
      </c>
      <c r="M2337" s="3" t="s">
        <v>26</v>
      </c>
      <c r="N2337" s="3" t="s">
        <v>24</v>
      </c>
      <c r="O2337" s="4">
        <v>1</v>
      </c>
      <c r="P2337" s="4">
        <v>3</v>
      </c>
      <c r="Q2337" s="4">
        <v>1</v>
      </c>
    </row>
    <row r="2338" spans="1:17" x14ac:dyDescent="0.25">
      <c r="A2338" s="3" t="s">
        <v>18</v>
      </c>
      <c r="B2338" s="3">
        <v>15658287</v>
      </c>
      <c r="C2338" s="3" t="s">
        <v>2385</v>
      </c>
      <c r="D2338" s="3" t="s">
        <v>20</v>
      </c>
      <c r="E2338" s="3" t="s">
        <v>21</v>
      </c>
      <c r="F2338" s="3" t="s">
        <v>21</v>
      </c>
      <c r="G2338" s="3" t="s">
        <v>42</v>
      </c>
      <c r="H2338" s="3" t="s">
        <v>43</v>
      </c>
      <c r="I2338" s="3" t="s">
        <v>24</v>
      </c>
      <c r="J2338" s="3" t="s">
        <v>24</v>
      </c>
      <c r="K2338" s="3" t="s">
        <v>25</v>
      </c>
      <c r="L2338" s="4">
        <v>0</v>
      </c>
      <c r="M2338" s="3" t="s">
        <v>26</v>
      </c>
      <c r="N2338" s="3" t="s">
        <v>24</v>
      </c>
      <c r="O2338" s="4">
        <v>1</v>
      </c>
      <c r="P2338" s="4">
        <v>4</v>
      </c>
      <c r="Q2338" s="4">
        <v>1</v>
      </c>
    </row>
    <row r="2339" spans="1:17" x14ac:dyDescent="0.25">
      <c r="A2339" s="3" t="s">
        <v>18</v>
      </c>
      <c r="B2339" s="3">
        <v>15658348</v>
      </c>
      <c r="C2339" s="3" t="s">
        <v>2386</v>
      </c>
      <c r="D2339" s="3" t="s">
        <v>20</v>
      </c>
      <c r="E2339" s="3" t="s">
        <v>21</v>
      </c>
      <c r="F2339" s="3" t="s">
        <v>21</v>
      </c>
      <c r="G2339" s="3" t="s">
        <v>22</v>
      </c>
      <c r="H2339" s="3" t="s">
        <v>23</v>
      </c>
      <c r="I2339" s="3" t="s">
        <v>24</v>
      </c>
      <c r="J2339" s="3" t="s">
        <v>24</v>
      </c>
      <c r="K2339" s="3" t="s">
        <v>25</v>
      </c>
      <c r="L2339" s="4">
        <v>0</v>
      </c>
      <c r="M2339" s="3" t="s">
        <v>26</v>
      </c>
      <c r="N2339" s="3" t="s">
        <v>24</v>
      </c>
      <c r="O2339" s="4">
        <v>1</v>
      </c>
      <c r="P2339" s="4">
        <v>4</v>
      </c>
      <c r="Q2339" s="4">
        <v>1</v>
      </c>
    </row>
    <row r="2340" spans="1:17" x14ac:dyDescent="0.25">
      <c r="A2340" s="3" t="s">
        <v>18</v>
      </c>
      <c r="B2340" s="3">
        <v>15658521</v>
      </c>
      <c r="C2340" s="3" t="s">
        <v>2387</v>
      </c>
      <c r="D2340" s="3" t="s">
        <v>20</v>
      </c>
      <c r="E2340" s="3" t="s">
        <v>21</v>
      </c>
      <c r="F2340" s="3" t="s">
        <v>21</v>
      </c>
      <c r="G2340" s="3" t="s">
        <v>42</v>
      </c>
      <c r="H2340" s="3" t="s">
        <v>43</v>
      </c>
      <c r="I2340" s="3" t="s">
        <v>24</v>
      </c>
      <c r="J2340" s="3" t="s">
        <v>24</v>
      </c>
      <c r="K2340" s="3" t="s">
        <v>25</v>
      </c>
      <c r="L2340" s="4">
        <v>0</v>
      </c>
      <c r="M2340" s="3" t="s">
        <v>26</v>
      </c>
      <c r="N2340" s="3" t="s">
        <v>24</v>
      </c>
      <c r="O2340" s="4">
        <v>1</v>
      </c>
      <c r="P2340" s="4">
        <v>8</v>
      </c>
      <c r="Q2340" s="4">
        <v>1</v>
      </c>
    </row>
    <row r="2341" spans="1:17" x14ac:dyDescent="0.25">
      <c r="A2341" s="3" t="s">
        <v>18</v>
      </c>
      <c r="B2341" s="3">
        <v>15658524</v>
      </c>
      <c r="C2341" s="3" t="s">
        <v>2388</v>
      </c>
      <c r="D2341" s="3" t="s">
        <v>20</v>
      </c>
      <c r="E2341" s="3" t="s">
        <v>21</v>
      </c>
      <c r="F2341" s="3" t="s">
        <v>21</v>
      </c>
      <c r="G2341" s="3" t="s">
        <v>22</v>
      </c>
      <c r="H2341" s="3" t="s">
        <v>23</v>
      </c>
      <c r="I2341" s="3" t="s">
        <v>24</v>
      </c>
      <c r="J2341" s="3" t="s">
        <v>24</v>
      </c>
      <c r="K2341" s="3" t="s">
        <v>25</v>
      </c>
      <c r="L2341" s="4">
        <v>0</v>
      </c>
      <c r="M2341" s="3" t="s">
        <v>26</v>
      </c>
      <c r="N2341" s="3" t="s">
        <v>24</v>
      </c>
      <c r="O2341" s="4">
        <v>1</v>
      </c>
      <c r="P2341" s="4">
        <v>4</v>
      </c>
      <c r="Q2341" s="4">
        <v>1</v>
      </c>
    </row>
    <row r="2342" spans="1:17" x14ac:dyDescent="0.25">
      <c r="A2342" s="3" t="s">
        <v>18</v>
      </c>
      <c r="B2342" s="3">
        <v>15677509</v>
      </c>
      <c r="C2342" s="3" t="s">
        <v>2389</v>
      </c>
      <c r="D2342" s="3" t="s">
        <v>1360</v>
      </c>
      <c r="E2342" s="3" t="s">
        <v>21</v>
      </c>
      <c r="F2342" s="3" t="s">
        <v>21</v>
      </c>
      <c r="G2342" s="3" t="s">
        <v>233</v>
      </c>
      <c r="H2342" s="3" t="s">
        <v>234</v>
      </c>
      <c r="I2342" s="3" t="s">
        <v>24</v>
      </c>
      <c r="J2342" s="3" t="s">
        <v>24</v>
      </c>
      <c r="K2342" s="3" t="s">
        <v>25</v>
      </c>
      <c r="L2342" s="4">
        <v>0</v>
      </c>
      <c r="M2342" s="3" t="s">
        <v>26</v>
      </c>
      <c r="N2342" s="3" t="s">
        <v>24</v>
      </c>
      <c r="O2342" s="4">
        <v>0</v>
      </c>
      <c r="P2342" s="4">
        <v>3</v>
      </c>
      <c r="Q2342" s="4">
        <v>0</v>
      </c>
    </row>
    <row r="2343" spans="1:17" x14ac:dyDescent="0.25">
      <c r="A2343" s="3" t="s">
        <v>18</v>
      </c>
      <c r="B2343" s="3">
        <v>15677510</v>
      </c>
      <c r="C2343" s="3" t="s">
        <v>2390</v>
      </c>
      <c r="D2343" s="3" t="s">
        <v>1360</v>
      </c>
      <c r="E2343" s="3" t="s">
        <v>21</v>
      </c>
      <c r="F2343" s="3" t="s">
        <v>21</v>
      </c>
      <c r="G2343" s="3" t="s">
        <v>36</v>
      </c>
      <c r="H2343" s="3" t="s">
        <v>37</v>
      </c>
      <c r="I2343" s="3" t="s">
        <v>24</v>
      </c>
      <c r="J2343" s="3" t="s">
        <v>24</v>
      </c>
      <c r="K2343" s="3" t="s">
        <v>25</v>
      </c>
      <c r="L2343" s="4">
        <v>0</v>
      </c>
      <c r="M2343" s="3" t="s">
        <v>26</v>
      </c>
      <c r="N2343" s="3" t="s">
        <v>24</v>
      </c>
      <c r="O2343" s="4">
        <v>0</v>
      </c>
      <c r="P2343" s="4">
        <v>10</v>
      </c>
      <c r="Q2343" s="4">
        <v>0</v>
      </c>
    </row>
    <row r="2344" spans="1:17" x14ac:dyDescent="0.25">
      <c r="A2344" s="3" t="s">
        <v>18</v>
      </c>
      <c r="B2344" s="3">
        <v>15686530</v>
      </c>
      <c r="C2344" s="3" t="s">
        <v>2391</v>
      </c>
      <c r="D2344" s="3" t="s">
        <v>20</v>
      </c>
      <c r="E2344" s="3" t="s">
        <v>21</v>
      </c>
      <c r="F2344" s="3" t="s">
        <v>21</v>
      </c>
      <c r="G2344" s="3" t="s">
        <v>233</v>
      </c>
      <c r="H2344" s="3" t="s">
        <v>234</v>
      </c>
      <c r="I2344" s="3" t="s">
        <v>24</v>
      </c>
      <c r="J2344" s="3" t="s">
        <v>24</v>
      </c>
      <c r="K2344" s="3" t="s">
        <v>25</v>
      </c>
      <c r="L2344" s="4">
        <v>0</v>
      </c>
      <c r="M2344" s="3" t="s">
        <v>26</v>
      </c>
      <c r="N2344" s="3" t="s">
        <v>24</v>
      </c>
      <c r="O2344" s="4">
        <v>1</v>
      </c>
      <c r="P2344" s="4">
        <v>4</v>
      </c>
      <c r="Q2344" s="4">
        <v>1</v>
      </c>
    </row>
    <row r="2345" spans="1:17" x14ac:dyDescent="0.25">
      <c r="A2345" s="3" t="s">
        <v>18</v>
      </c>
      <c r="B2345" s="3">
        <v>15686534</v>
      </c>
      <c r="C2345" s="3" t="s">
        <v>2392</v>
      </c>
      <c r="D2345" s="3" t="s">
        <v>20</v>
      </c>
      <c r="E2345" s="3" t="s">
        <v>21</v>
      </c>
      <c r="F2345" s="3" t="s">
        <v>21</v>
      </c>
      <c r="G2345" s="3" t="s">
        <v>233</v>
      </c>
      <c r="H2345" s="3" t="s">
        <v>234</v>
      </c>
      <c r="I2345" s="3" t="s">
        <v>24</v>
      </c>
      <c r="J2345" s="3" t="s">
        <v>24</v>
      </c>
      <c r="K2345" s="3" t="s">
        <v>25</v>
      </c>
      <c r="L2345" s="4">
        <v>0</v>
      </c>
      <c r="M2345" s="3" t="s">
        <v>26</v>
      </c>
      <c r="N2345" s="3" t="s">
        <v>24</v>
      </c>
      <c r="O2345" s="4">
        <v>1</v>
      </c>
      <c r="P2345" s="4">
        <v>4</v>
      </c>
      <c r="Q2345" s="4">
        <v>1</v>
      </c>
    </row>
    <row r="2346" spans="1:17" x14ac:dyDescent="0.25">
      <c r="A2346" s="3" t="s">
        <v>18</v>
      </c>
      <c r="B2346" s="3">
        <v>15686535</v>
      </c>
      <c r="C2346" s="3" t="s">
        <v>2393</v>
      </c>
      <c r="D2346" s="3" t="s">
        <v>20</v>
      </c>
      <c r="E2346" s="3" t="s">
        <v>21</v>
      </c>
      <c r="F2346" s="3" t="s">
        <v>21</v>
      </c>
      <c r="G2346" s="3" t="s">
        <v>233</v>
      </c>
      <c r="H2346" s="3" t="s">
        <v>234</v>
      </c>
      <c r="I2346" s="3" t="s">
        <v>24</v>
      </c>
      <c r="J2346" s="3" t="s">
        <v>24</v>
      </c>
      <c r="K2346" s="3" t="s">
        <v>25</v>
      </c>
      <c r="L2346" s="4">
        <v>0</v>
      </c>
      <c r="M2346" s="3" t="s">
        <v>26</v>
      </c>
      <c r="N2346" s="3" t="s">
        <v>24</v>
      </c>
      <c r="O2346" s="4">
        <v>1</v>
      </c>
      <c r="P2346" s="4">
        <v>4</v>
      </c>
      <c r="Q2346" s="4">
        <v>1</v>
      </c>
    </row>
    <row r="2347" spans="1:17" x14ac:dyDescent="0.25">
      <c r="A2347" s="3" t="s">
        <v>18</v>
      </c>
      <c r="B2347" s="3">
        <v>15686536</v>
      </c>
      <c r="C2347" s="3" t="s">
        <v>2394</v>
      </c>
      <c r="D2347" s="3" t="s">
        <v>20</v>
      </c>
      <c r="E2347" s="3" t="s">
        <v>21</v>
      </c>
      <c r="F2347" s="3" t="s">
        <v>21</v>
      </c>
      <c r="G2347" s="3" t="s">
        <v>233</v>
      </c>
      <c r="H2347" s="3" t="s">
        <v>234</v>
      </c>
      <c r="I2347" s="3" t="s">
        <v>24</v>
      </c>
      <c r="J2347" s="3" t="s">
        <v>24</v>
      </c>
      <c r="K2347" s="3" t="s">
        <v>25</v>
      </c>
      <c r="L2347" s="4">
        <v>0</v>
      </c>
      <c r="M2347" s="3" t="s">
        <v>26</v>
      </c>
      <c r="N2347" s="3" t="s">
        <v>24</v>
      </c>
      <c r="O2347" s="4">
        <v>1</v>
      </c>
      <c r="P2347" s="4">
        <v>4</v>
      </c>
      <c r="Q2347" s="4">
        <v>1</v>
      </c>
    </row>
    <row r="2348" spans="1:17" x14ac:dyDescent="0.25">
      <c r="A2348" s="3" t="s">
        <v>18</v>
      </c>
      <c r="B2348" s="3">
        <v>15686537</v>
      </c>
      <c r="C2348" s="3" t="s">
        <v>2395</v>
      </c>
      <c r="D2348" s="3" t="s">
        <v>20</v>
      </c>
      <c r="E2348" s="3" t="s">
        <v>21</v>
      </c>
      <c r="F2348" s="3" t="s">
        <v>21</v>
      </c>
      <c r="G2348" s="3" t="s">
        <v>233</v>
      </c>
      <c r="H2348" s="3" t="s">
        <v>234</v>
      </c>
      <c r="I2348" s="3" t="s">
        <v>24</v>
      </c>
      <c r="J2348" s="3" t="s">
        <v>24</v>
      </c>
      <c r="K2348" s="3" t="s">
        <v>25</v>
      </c>
      <c r="L2348" s="4">
        <v>0</v>
      </c>
      <c r="M2348" s="3" t="s">
        <v>26</v>
      </c>
      <c r="N2348" s="3" t="s">
        <v>24</v>
      </c>
      <c r="O2348" s="4">
        <v>1</v>
      </c>
      <c r="P2348" s="4">
        <v>4</v>
      </c>
      <c r="Q2348" s="4">
        <v>1</v>
      </c>
    </row>
    <row r="2349" spans="1:17" x14ac:dyDescent="0.25">
      <c r="A2349" s="3" t="s">
        <v>18</v>
      </c>
      <c r="B2349" s="3">
        <v>15686709</v>
      </c>
      <c r="C2349" s="3" t="s">
        <v>2396</v>
      </c>
      <c r="D2349" s="3" t="s">
        <v>20</v>
      </c>
      <c r="E2349" s="3" t="s">
        <v>21</v>
      </c>
      <c r="F2349" s="3" t="s">
        <v>21</v>
      </c>
      <c r="G2349" s="3" t="s">
        <v>233</v>
      </c>
      <c r="H2349" s="3" t="s">
        <v>234</v>
      </c>
      <c r="I2349" s="3" t="s">
        <v>24</v>
      </c>
      <c r="J2349" s="3" t="s">
        <v>24</v>
      </c>
      <c r="K2349" s="3" t="s">
        <v>25</v>
      </c>
      <c r="L2349" s="4">
        <v>0</v>
      </c>
      <c r="M2349" s="3" t="s">
        <v>26</v>
      </c>
      <c r="N2349" s="3" t="s">
        <v>24</v>
      </c>
      <c r="O2349" s="4">
        <v>1</v>
      </c>
      <c r="P2349" s="4">
        <v>4</v>
      </c>
      <c r="Q2349" s="4">
        <v>1</v>
      </c>
    </row>
    <row r="2350" spans="1:17" x14ac:dyDescent="0.25">
      <c r="A2350" s="3" t="s">
        <v>18</v>
      </c>
      <c r="B2350" s="3">
        <v>15686712</v>
      </c>
      <c r="C2350" s="3" t="s">
        <v>2397</v>
      </c>
      <c r="D2350" s="3" t="s">
        <v>20</v>
      </c>
      <c r="E2350" s="3" t="s">
        <v>21</v>
      </c>
      <c r="F2350" s="3" t="s">
        <v>21</v>
      </c>
      <c r="G2350" s="3" t="s">
        <v>233</v>
      </c>
      <c r="H2350" s="3" t="s">
        <v>234</v>
      </c>
      <c r="I2350" s="3" t="s">
        <v>24</v>
      </c>
      <c r="J2350" s="3" t="s">
        <v>24</v>
      </c>
      <c r="K2350" s="3" t="s">
        <v>25</v>
      </c>
      <c r="L2350" s="4">
        <v>0</v>
      </c>
      <c r="M2350" s="3" t="s">
        <v>26</v>
      </c>
      <c r="N2350" s="3" t="s">
        <v>24</v>
      </c>
      <c r="O2350" s="4">
        <v>0</v>
      </c>
      <c r="P2350" s="4">
        <v>4</v>
      </c>
      <c r="Q2350" s="4">
        <v>0</v>
      </c>
    </row>
    <row r="2351" spans="1:17" x14ac:dyDescent="0.25">
      <c r="A2351" s="3" t="s">
        <v>18</v>
      </c>
      <c r="B2351" s="3">
        <v>15686715</v>
      </c>
      <c r="C2351" s="3" t="s">
        <v>2398</v>
      </c>
      <c r="D2351" s="3" t="s">
        <v>20</v>
      </c>
      <c r="E2351" s="3" t="s">
        <v>21</v>
      </c>
      <c r="F2351" s="3" t="s">
        <v>21</v>
      </c>
      <c r="G2351" s="3" t="s">
        <v>233</v>
      </c>
      <c r="H2351" s="3" t="s">
        <v>234</v>
      </c>
      <c r="I2351" s="3" t="s">
        <v>24</v>
      </c>
      <c r="J2351" s="3" t="s">
        <v>24</v>
      </c>
      <c r="K2351" s="3" t="s">
        <v>25</v>
      </c>
      <c r="L2351" s="4">
        <v>0</v>
      </c>
      <c r="M2351" s="3" t="s">
        <v>26</v>
      </c>
      <c r="N2351" s="3" t="s">
        <v>24</v>
      </c>
      <c r="O2351" s="4">
        <v>0</v>
      </c>
      <c r="P2351" s="4">
        <v>4</v>
      </c>
      <c r="Q2351" s="4">
        <v>0</v>
      </c>
    </row>
    <row r="2352" spans="1:17" x14ac:dyDescent="0.25">
      <c r="A2352" s="3" t="s">
        <v>18</v>
      </c>
      <c r="B2352" s="3">
        <v>15686716</v>
      </c>
      <c r="C2352" s="3" t="s">
        <v>2399</v>
      </c>
      <c r="D2352" s="3" t="s">
        <v>20</v>
      </c>
      <c r="E2352" s="3" t="s">
        <v>21</v>
      </c>
      <c r="F2352" s="3" t="s">
        <v>21</v>
      </c>
      <c r="G2352" s="3" t="s">
        <v>233</v>
      </c>
      <c r="H2352" s="3" t="s">
        <v>234</v>
      </c>
      <c r="I2352" s="3" t="s">
        <v>24</v>
      </c>
      <c r="J2352" s="3" t="s">
        <v>24</v>
      </c>
      <c r="K2352" s="3" t="s">
        <v>25</v>
      </c>
      <c r="L2352" s="4">
        <v>0</v>
      </c>
      <c r="M2352" s="3" t="s">
        <v>26</v>
      </c>
      <c r="N2352" s="3" t="s">
        <v>24</v>
      </c>
      <c r="O2352" s="4">
        <v>1</v>
      </c>
      <c r="P2352" s="4">
        <v>4</v>
      </c>
      <c r="Q2352" s="4">
        <v>1</v>
      </c>
    </row>
    <row r="2353" spans="1:17" x14ac:dyDescent="0.25">
      <c r="A2353" s="3" t="s">
        <v>18</v>
      </c>
      <c r="B2353" s="3">
        <v>15686788</v>
      </c>
      <c r="C2353" s="3" t="s">
        <v>2400</v>
      </c>
      <c r="D2353" s="3" t="s">
        <v>20</v>
      </c>
      <c r="E2353" s="3" t="s">
        <v>21</v>
      </c>
      <c r="F2353" s="3" t="s">
        <v>21</v>
      </c>
      <c r="G2353" s="3" t="s">
        <v>233</v>
      </c>
      <c r="H2353" s="3" t="s">
        <v>234</v>
      </c>
      <c r="I2353" s="3" t="s">
        <v>24</v>
      </c>
      <c r="J2353" s="3" t="s">
        <v>24</v>
      </c>
      <c r="K2353" s="3" t="s">
        <v>25</v>
      </c>
      <c r="L2353" s="4">
        <v>0</v>
      </c>
      <c r="M2353" s="3" t="s">
        <v>26</v>
      </c>
      <c r="N2353" s="3" t="s">
        <v>24</v>
      </c>
      <c r="O2353" s="4">
        <v>0</v>
      </c>
      <c r="P2353" s="4">
        <v>4</v>
      </c>
      <c r="Q2353" s="4">
        <v>0</v>
      </c>
    </row>
    <row r="2354" spans="1:17" x14ac:dyDescent="0.25">
      <c r="A2354" s="3" t="s">
        <v>18</v>
      </c>
      <c r="B2354" s="3">
        <v>15686789</v>
      </c>
      <c r="C2354" s="3" t="s">
        <v>2401</v>
      </c>
      <c r="D2354" s="3" t="s">
        <v>20</v>
      </c>
      <c r="E2354" s="3" t="s">
        <v>21</v>
      </c>
      <c r="F2354" s="3" t="s">
        <v>21</v>
      </c>
      <c r="G2354" s="3" t="s">
        <v>233</v>
      </c>
      <c r="H2354" s="3" t="s">
        <v>234</v>
      </c>
      <c r="I2354" s="3" t="s">
        <v>24</v>
      </c>
      <c r="J2354" s="3" t="s">
        <v>24</v>
      </c>
      <c r="K2354" s="3" t="s">
        <v>25</v>
      </c>
      <c r="L2354" s="4">
        <v>0</v>
      </c>
      <c r="M2354" s="3" t="s">
        <v>26</v>
      </c>
      <c r="N2354" s="3" t="s">
        <v>24</v>
      </c>
      <c r="O2354" s="4">
        <v>1</v>
      </c>
      <c r="P2354" s="4">
        <v>4</v>
      </c>
      <c r="Q2354" s="4">
        <v>1</v>
      </c>
    </row>
    <row r="2355" spans="1:17" x14ac:dyDescent="0.25">
      <c r="A2355" s="3" t="s">
        <v>18</v>
      </c>
      <c r="B2355" s="3">
        <v>15686790</v>
      </c>
      <c r="C2355" s="3" t="s">
        <v>2402</v>
      </c>
      <c r="D2355" s="3" t="s">
        <v>20</v>
      </c>
      <c r="E2355" s="3" t="s">
        <v>21</v>
      </c>
      <c r="F2355" s="3" t="s">
        <v>21</v>
      </c>
      <c r="G2355" s="3" t="s">
        <v>233</v>
      </c>
      <c r="H2355" s="3" t="s">
        <v>234</v>
      </c>
      <c r="I2355" s="3" t="s">
        <v>24</v>
      </c>
      <c r="J2355" s="3" t="s">
        <v>24</v>
      </c>
      <c r="K2355" s="3" t="s">
        <v>25</v>
      </c>
      <c r="L2355" s="4">
        <v>0</v>
      </c>
      <c r="M2355" s="3" t="s">
        <v>26</v>
      </c>
      <c r="N2355" s="3" t="s">
        <v>24</v>
      </c>
      <c r="O2355" s="4">
        <v>1</v>
      </c>
      <c r="P2355" s="4">
        <v>4</v>
      </c>
      <c r="Q2355" s="4">
        <v>1</v>
      </c>
    </row>
    <row r="2356" spans="1:17" x14ac:dyDescent="0.25">
      <c r="A2356" s="3" t="s">
        <v>18</v>
      </c>
      <c r="B2356" s="3">
        <v>15696834</v>
      </c>
      <c r="C2356" s="3" t="s">
        <v>2403</v>
      </c>
      <c r="D2356" s="3" t="s">
        <v>20</v>
      </c>
      <c r="E2356" s="3" t="s">
        <v>21</v>
      </c>
      <c r="F2356" s="3" t="s">
        <v>21</v>
      </c>
      <c r="G2356" s="3" t="s">
        <v>233</v>
      </c>
      <c r="H2356" s="3" t="s">
        <v>234</v>
      </c>
      <c r="I2356" s="3" t="s">
        <v>24</v>
      </c>
      <c r="J2356" s="3" t="s">
        <v>24</v>
      </c>
      <c r="K2356" s="3" t="s">
        <v>25</v>
      </c>
      <c r="L2356" s="4">
        <v>0</v>
      </c>
      <c r="M2356" s="3" t="s">
        <v>26</v>
      </c>
      <c r="N2356" s="3" t="s">
        <v>24</v>
      </c>
      <c r="O2356" s="4">
        <v>1</v>
      </c>
      <c r="P2356" s="4">
        <v>3</v>
      </c>
      <c r="Q2356" s="4">
        <v>1</v>
      </c>
    </row>
    <row r="2357" spans="1:17" x14ac:dyDescent="0.25">
      <c r="A2357" s="3" t="s">
        <v>18</v>
      </c>
      <c r="B2357" s="3">
        <v>15697028</v>
      </c>
      <c r="C2357" s="3" t="s">
        <v>2404</v>
      </c>
      <c r="D2357" s="3" t="s">
        <v>20</v>
      </c>
      <c r="E2357" s="3" t="s">
        <v>21</v>
      </c>
      <c r="F2357" s="3" t="s">
        <v>21</v>
      </c>
      <c r="G2357" s="3" t="s">
        <v>233</v>
      </c>
      <c r="H2357" s="3" t="s">
        <v>234</v>
      </c>
      <c r="I2357" s="3" t="s">
        <v>24</v>
      </c>
      <c r="J2357" s="3" t="s">
        <v>24</v>
      </c>
      <c r="K2357" s="3" t="s">
        <v>25</v>
      </c>
      <c r="L2357" s="4">
        <v>0</v>
      </c>
      <c r="M2357" s="3" t="s">
        <v>26</v>
      </c>
      <c r="N2357" s="3" t="s">
        <v>24</v>
      </c>
      <c r="O2357" s="4">
        <v>1</v>
      </c>
      <c r="P2357" s="4">
        <v>3</v>
      </c>
      <c r="Q2357" s="4">
        <v>1</v>
      </c>
    </row>
    <row r="2358" spans="1:17" x14ac:dyDescent="0.25">
      <c r="A2358" s="3" t="s">
        <v>18</v>
      </c>
      <c r="B2358" s="3">
        <v>15697032</v>
      </c>
      <c r="C2358" s="3" t="s">
        <v>2405</v>
      </c>
      <c r="D2358" s="3" t="s">
        <v>20</v>
      </c>
      <c r="E2358" s="3" t="s">
        <v>21</v>
      </c>
      <c r="F2358" s="3" t="s">
        <v>21</v>
      </c>
      <c r="G2358" s="3" t="s">
        <v>233</v>
      </c>
      <c r="H2358" s="3" t="s">
        <v>234</v>
      </c>
      <c r="I2358" s="3" t="s">
        <v>24</v>
      </c>
      <c r="J2358" s="3" t="s">
        <v>24</v>
      </c>
      <c r="K2358" s="3" t="s">
        <v>25</v>
      </c>
      <c r="L2358" s="4">
        <v>0</v>
      </c>
      <c r="M2358" s="3" t="s">
        <v>26</v>
      </c>
      <c r="N2358" s="3" t="s">
        <v>24</v>
      </c>
      <c r="O2358" s="4">
        <v>1</v>
      </c>
      <c r="P2358" s="4">
        <v>3</v>
      </c>
      <c r="Q2358" s="4">
        <v>1</v>
      </c>
    </row>
    <row r="2359" spans="1:17" x14ac:dyDescent="0.25">
      <c r="A2359" s="3" t="s">
        <v>18</v>
      </c>
      <c r="B2359" s="3">
        <v>15697033</v>
      </c>
      <c r="C2359" s="3" t="s">
        <v>2406</v>
      </c>
      <c r="D2359" s="3" t="s">
        <v>20</v>
      </c>
      <c r="E2359" s="3" t="s">
        <v>21</v>
      </c>
      <c r="F2359" s="3" t="s">
        <v>21</v>
      </c>
      <c r="G2359" s="3" t="s">
        <v>233</v>
      </c>
      <c r="H2359" s="3" t="s">
        <v>234</v>
      </c>
      <c r="I2359" s="3" t="s">
        <v>24</v>
      </c>
      <c r="J2359" s="3" t="s">
        <v>24</v>
      </c>
      <c r="K2359" s="3" t="s">
        <v>25</v>
      </c>
      <c r="L2359" s="4">
        <v>0</v>
      </c>
      <c r="M2359" s="3" t="s">
        <v>26</v>
      </c>
      <c r="N2359" s="3" t="s">
        <v>24</v>
      </c>
      <c r="O2359" s="4">
        <v>1</v>
      </c>
      <c r="P2359" s="4">
        <v>3</v>
      </c>
      <c r="Q2359" s="4">
        <v>1</v>
      </c>
    </row>
    <row r="2360" spans="1:17" x14ac:dyDescent="0.25">
      <c r="A2360" s="3" t="s">
        <v>18</v>
      </c>
      <c r="B2360" s="3">
        <v>15697212</v>
      </c>
      <c r="C2360" s="3" t="s">
        <v>2407</v>
      </c>
      <c r="D2360" s="3" t="s">
        <v>20</v>
      </c>
      <c r="E2360" s="3" t="s">
        <v>21</v>
      </c>
      <c r="F2360" s="3" t="s">
        <v>21</v>
      </c>
      <c r="G2360" s="3" t="s">
        <v>233</v>
      </c>
      <c r="H2360" s="3" t="s">
        <v>234</v>
      </c>
      <c r="I2360" s="3" t="s">
        <v>24</v>
      </c>
      <c r="J2360" s="3" t="s">
        <v>24</v>
      </c>
      <c r="K2360" s="3" t="s">
        <v>25</v>
      </c>
      <c r="L2360" s="4">
        <v>0</v>
      </c>
      <c r="M2360" s="3" t="s">
        <v>26</v>
      </c>
      <c r="N2360" s="3" t="s">
        <v>24</v>
      </c>
      <c r="O2360" s="4">
        <v>1</v>
      </c>
      <c r="P2360" s="4">
        <v>3</v>
      </c>
      <c r="Q2360" s="4">
        <v>1</v>
      </c>
    </row>
    <row r="2361" spans="1:17" x14ac:dyDescent="0.25">
      <c r="A2361" s="3" t="s">
        <v>18</v>
      </c>
      <c r="B2361" s="3">
        <v>15698155</v>
      </c>
      <c r="C2361" s="3" t="s">
        <v>2408</v>
      </c>
      <c r="D2361" s="3" t="s">
        <v>20</v>
      </c>
      <c r="E2361" s="3" t="s">
        <v>21</v>
      </c>
      <c r="F2361" s="3" t="s">
        <v>21</v>
      </c>
      <c r="G2361" s="3" t="s">
        <v>30</v>
      </c>
      <c r="H2361" s="3" t="s">
        <v>31</v>
      </c>
      <c r="I2361" s="3" t="s">
        <v>24</v>
      </c>
      <c r="J2361" s="3" t="s">
        <v>24</v>
      </c>
      <c r="K2361" s="3" t="s">
        <v>25</v>
      </c>
      <c r="L2361" s="4">
        <v>0</v>
      </c>
      <c r="M2361" s="3" t="s">
        <v>26</v>
      </c>
      <c r="N2361" s="3" t="s">
        <v>24</v>
      </c>
      <c r="O2361" s="4">
        <v>0</v>
      </c>
      <c r="P2361" s="4">
        <v>8</v>
      </c>
      <c r="Q2361" s="4">
        <v>0</v>
      </c>
    </row>
    <row r="2362" spans="1:17" x14ac:dyDescent="0.25">
      <c r="A2362" s="3" t="s">
        <v>18</v>
      </c>
      <c r="B2362" s="3">
        <v>15700654</v>
      </c>
      <c r="C2362" s="3" t="s">
        <v>2409</v>
      </c>
      <c r="D2362" s="3" t="s">
        <v>20</v>
      </c>
      <c r="E2362" s="3" t="s">
        <v>21</v>
      </c>
      <c r="F2362" s="3" t="s">
        <v>21</v>
      </c>
      <c r="G2362" s="3" t="s">
        <v>30</v>
      </c>
      <c r="H2362" s="3" t="s">
        <v>31</v>
      </c>
      <c r="I2362" s="3" t="s">
        <v>24</v>
      </c>
      <c r="J2362" s="3" t="s">
        <v>24</v>
      </c>
      <c r="K2362" s="3" t="s">
        <v>25</v>
      </c>
      <c r="L2362" s="4">
        <v>0</v>
      </c>
      <c r="M2362" s="3" t="s">
        <v>26</v>
      </c>
      <c r="N2362" s="3" t="s">
        <v>24</v>
      </c>
      <c r="O2362" s="4">
        <v>0</v>
      </c>
      <c r="P2362" s="4">
        <v>8</v>
      </c>
      <c r="Q2362" s="4">
        <v>0</v>
      </c>
    </row>
    <row r="2363" spans="1:17" x14ac:dyDescent="0.25">
      <c r="A2363" s="3" t="s">
        <v>18</v>
      </c>
      <c r="B2363" s="3">
        <v>15700657</v>
      </c>
      <c r="C2363" s="3" t="s">
        <v>2410</v>
      </c>
      <c r="D2363" s="3" t="s">
        <v>20</v>
      </c>
      <c r="E2363" s="3" t="s">
        <v>21</v>
      </c>
      <c r="F2363" s="3" t="s">
        <v>21</v>
      </c>
      <c r="G2363" s="3" t="s">
        <v>30</v>
      </c>
      <c r="H2363" s="3" t="s">
        <v>31</v>
      </c>
      <c r="I2363" s="3" t="s">
        <v>24</v>
      </c>
      <c r="J2363" s="3" t="s">
        <v>24</v>
      </c>
      <c r="K2363" s="3" t="s">
        <v>25</v>
      </c>
      <c r="L2363" s="4">
        <v>0</v>
      </c>
      <c r="M2363" s="3" t="s">
        <v>26</v>
      </c>
      <c r="N2363" s="3" t="s">
        <v>24</v>
      </c>
      <c r="O2363" s="4">
        <v>0</v>
      </c>
      <c r="P2363" s="4">
        <v>4</v>
      </c>
      <c r="Q2363" s="4">
        <v>0</v>
      </c>
    </row>
    <row r="2364" spans="1:17" x14ac:dyDescent="0.25">
      <c r="A2364" s="3" t="s">
        <v>18</v>
      </c>
      <c r="B2364" s="3">
        <v>15700688</v>
      </c>
      <c r="C2364" s="3" t="s">
        <v>2411</v>
      </c>
      <c r="D2364" s="3" t="s">
        <v>20</v>
      </c>
      <c r="E2364" s="3" t="s">
        <v>21</v>
      </c>
      <c r="F2364" s="3" t="s">
        <v>21</v>
      </c>
      <c r="G2364" s="3" t="s">
        <v>30</v>
      </c>
      <c r="H2364" s="3" t="s">
        <v>31</v>
      </c>
      <c r="I2364" s="3" t="s">
        <v>24</v>
      </c>
      <c r="J2364" s="3" t="s">
        <v>24</v>
      </c>
      <c r="K2364" s="3" t="s">
        <v>25</v>
      </c>
      <c r="L2364" s="4">
        <v>0</v>
      </c>
      <c r="M2364" s="3" t="s">
        <v>26</v>
      </c>
      <c r="N2364" s="3" t="s">
        <v>24</v>
      </c>
      <c r="O2364" s="4">
        <v>0</v>
      </c>
      <c r="P2364" s="4">
        <v>8</v>
      </c>
      <c r="Q2364" s="4">
        <v>0</v>
      </c>
    </row>
    <row r="2365" spans="1:17" x14ac:dyDescent="0.25">
      <c r="A2365" s="3" t="s">
        <v>18</v>
      </c>
      <c r="B2365" s="3">
        <v>15700689</v>
      </c>
      <c r="C2365" s="3" t="s">
        <v>2412</v>
      </c>
      <c r="D2365" s="3" t="s">
        <v>20</v>
      </c>
      <c r="E2365" s="3" t="s">
        <v>21</v>
      </c>
      <c r="F2365" s="3" t="s">
        <v>21</v>
      </c>
      <c r="G2365" s="3" t="s">
        <v>30</v>
      </c>
      <c r="H2365" s="3" t="s">
        <v>31</v>
      </c>
      <c r="I2365" s="3" t="s">
        <v>24</v>
      </c>
      <c r="J2365" s="3" t="s">
        <v>24</v>
      </c>
      <c r="K2365" s="3" t="s">
        <v>25</v>
      </c>
      <c r="L2365" s="4">
        <v>0</v>
      </c>
      <c r="M2365" s="3" t="s">
        <v>26</v>
      </c>
      <c r="N2365" s="3" t="s">
        <v>24</v>
      </c>
      <c r="O2365" s="4">
        <v>0</v>
      </c>
      <c r="P2365" s="4">
        <v>8</v>
      </c>
      <c r="Q2365" s="4">
        <v>0</v>
      </c>
    </row>
    <row r="2366" spans="1:17" x14ac:dyDescent="0.25">
      <c r="A2366" s="3" t="s">
        <v>18</v>
      </c>
      <c r="B2366" s="3">
        <v>15700690</v>
      </c>
      <c r="C2366" s="3" t="s">
        <v>2413</v>
      </c>
      <c r="D2366" s="3" t="s">
        <v>20</v>
      </c>
      <c r="E2366" s="3" t="s">
        <v>21</v>
      </c>
      <c r="F2366" s="3" t="s">
        <v>21</v>
      </c>
      <c r="G2366" s="3" t="s">
        <v>42</v>
      </c>
      <c r="H2366" s="3" t="s">
        <v>43</v>
      </c>
      <c r="I2366" s="3" t="s">
        <v>24</v>
      </c>
      <c r="J2366" s="3" t="s">
        <v>24</v>
      </c>
      <c r="K2366" s="3" t="s">
        <v>25</v>
      </c>
      <c r="L2366" s="4">
        <v>0</v>
      </c>
      <c r="M2366" s="3" t="s">
        <v>26</v>
      </c>
      <c r="N2366" s="3" t="s">
        <v>24</v>
      </c>
      <c r="O2366" s="4">
        <v>0</v>
      </c>
      <c r="P2366" s="4">
        <v>8</v>
      </c>
      <c r="Q2366" s="4">
        <v>1</v>
      </c>
    </row>
    <row r="2367" spans="1:17" x14ac:dyDescent="0.25">
      <c r="A2367" s="3" t="s">
        <v>18</v>
      </c>
      <c r="B2367" s="3">
        <v>15700692</v>
      </c>
      <c r="C2367" s="3" t="s">
        <v>2414</v>
      </c>
      <c r="D2367" s="3" t="s">
        <v>20</v>
      </c>
      <c r="E2367" s="3" t="s">
        <v>21</v>
      </c>
      <c r="F2367" s="3" t="s">
        <v>21</v>
      </c>
      <c r="G2367" s="3" t="s">
        <v>42</v>
      </c>
      <c r="H2367" s="3" t="s">
        <v>43</v>
      </c>
      <c r="I2367" s="3" t="s">
        <v>24</v>
      </c>
      <c r="J2367" s="3" t="s">
        <v>24</v>
      </c>
      <c r="K2367" s="3" t="s">
        <v>25</v>
      </c>
      <c r="L2367" s="4">
        <v>0</v>
      </c>
      <c r="M2367" s="3" t="s">
        <v>26</v>
      </c>
      <c r="N2367" s="3" t="s">
        <v>24</v>
      </c>
      <c r="O2367" s="4">
        <v>0</v>
      </c>
      <c r="P2367" s="4">
        <v>8</v>
      </c>
      <c r="Q2367" s="4">
        <v>1</v>
      </c>
    </row>
    <row r="2368" spans="1:17" x14ac:dyDescent="0.25">
      <c r="A2368" s="3" t="s">
        <v>18</v>
      </c>
      <c r="B2368" s="3">
        <v>15700693</v>
      </c>
      <c r="C2368" s="3" t="s">
        <v>2415</v>
      </c>
      <c r="D2368" s="3" t="s">
        <v>20</v>
      </c>
      <c r="E2368" s="3" t="s">
        <v>21</v>
      </c>
      <c r="F2368" s="3" t="s">
        <v>21</v>
      </c>
      <c r="G2368" s="3" t="s">
        <v>42</v>
      </c>
      <c r="H2368" s="3" t="s">
        <v>43</v>
      </c>
      <c r="I2368" s="3" t="s">
        <v>24</v>
      </c>
      <c r="J2368" s="3" t="s">
        <v>24</v>
      </c>
      <c r="K2368" s="3" t="s">
        <v>25</v>
      </c>
      <c r="L2368" s="4">
        <v>0</v>
      </c>
      <c r="M2368" s="3" t="s">
        <v>26</v>
      </c>
      <c r="N2368" s="3" t="s">
        <v>24</v>
      </c>
      <c r="O2368" s="4">
        <v>0</v>
      </c>
      <c r="P2368" s="4">
        <v>8</v>
      </c>
      <c r="Q2368" s="4">
        <v>1</v>
      </c>
    </row>
    <row r="2369" spans="1:17" x14ac:dyDescent="0.25">
      <c r="A2369" s="3" t="s">
        <v>18</v>
      </c>
      <c r="B2369" s="3">
        <v>15700694</v>
      </c>
      <c r="C2369" s="3" t="s">
        <v>2416</v>
      </c>
      <c r="D2369" s="3" t="s">
        <v>20</v>
      </c>
      <c r="E2369" s="3" t="s">
        <v>21</v>
      </c>
      <c r="F2369" s="3" t="s">
        <v>21</v>
      </c>
      <c r="G2369" s="3" t="s">
        <v>22</v>
      </c>
      <c r="H2369" s="3" t="s">
        <v>23</v>
      </c>
      <c r="I2369" s="3" t="s">
        <v>24</v>
      </c>
      <c r="J2369" s="3" t="s">
        <v>24</v>
      </c>
      <c r="K2369" s="3" t="s">
        <v>25</v>
      </c>
      <c r="L2369" s="4">
        <v>0</v>
      </c>
      <c r="M2369" s="3" t="s">
        <v>26</v>
      </c>
      <c r="N2369" s="3" t="s">
        <v>24</v>
      </c>
      <c r="O2369" s="4">
        <v>0</v>
      </c>
      <c r="P2369" s="4">
        <v>3</v>
      </c>
      <c r="Q2369" s="4">
        <v>0</v>
      </c>
    </row>
    <row r="2370" spans="1:17" x14ac:dyDescent="0.25">
      <c r="A2370" s="3" t="s">
        <v>18</v>
      </c>
      <c r="B2370" s="3">
        <v>15700695</v>
      </c>
      <c r="C2370" s="3" t="s">
        <v>2417</v>
      </c>
      <c r="D2370" s="3" t="s">
        <v>20</v>
      </c>
      <c r="E2370" s="3" t="s">
        <v>21</v>
      </c>
      <c r="F2370" s="3" t="s">
        <v>21</v>
      </c>
      <c r="G2370" s="3" t="s">
        <v>22</v>
      </c>
      <c r="H2370" s="3" t="s">
        <v>23</v>
      </c>
      <c r="I2370" s="3" t="s">
        <v>24</v>
      </c>
      <c r="J2370" s="3" t="s">
        <v>24</v>
      </c>
      <c r="K2370" s="3" t="s">
        <v>25</v>
      </c>
      <c r="L2370" s="4">
        <v>0</v>
      </c>
      <c r="M2370" s="3" t="s">
        <v>26</v>
      </c>
      <c r="N2370" s="3" t="s">
        <v>24</v>
      </c>
      <c r="O2370" s="4">
        <v>0</v>
      </c>
      <c r="P2370" s="4">
        <v>4</v>
      </c>
      <c r="Q2370" s="4">
        <v>0</v>
      </c>
    </row>
    <row r="2371" spans="1:17" x14ac:dyDescent="0.25">
      <c r="A2371" s="3" t="s">
        <v>18</v>
      </c>
      <c r="B2371" s="3">
        <v>15700696</v>
      </c>
      <c r="C2371" s="3" t="s">
        <v>2418</v>
      </c>
      <c r="D2371" s="3" t="s">
        <v>20</v>
      </c>
      <c r="E2371" s="3" t="s">
        <v>21</v>
      </c>
      <c r="F2371" s="3" t="s">
        <v>21</v>
      </c>
      <c r="G2371" s="3" t="s">
        <v>22</v>
      </c>
      <c r="H2371" s="3" t="s">
        <v>23</v>
      </c>
      <c r="I2371" s="3" t="s">
        <v>24</v>
      </c>
      <c r="J2371" s="3" t="s">
        <v>24</v>
      </c>
      <c r="K2371" s="3" t="s">
        <v>25</v>
      </c>
      <c r="L2371" s="4">
        <v>0</v>
      </c>
      <c r="M2371" s="3" t="s">
        <v>26</v>
      </c>
      <c r="N2371" s="3" t="s">
        <v>24</v>
      </c>
      <c r="O2371" s="4">
        <v>0</v>
      </c>
      <c r="P2371" s="4">
        <v>99999999</v>
      </c>
      <c r="Q2371" s="4">
        <v>0</v>
      </c>
    </row>
    <row r="2372" spans="1:17" x14ac:dyDescent="0.25">
      <c r="A2372" s="3" t="s">
        <v>18</v>
      </c>
      <c r="B2372" s="3">
        <v>15700697</v>
      </c>
      <c r="C2372" s="3" t="s">
        <v>2419</v>
      </c>
      <c r="D2372" s="3" t="s">
        <v>20</v>
      </c>
      <c r="E2372" s="3" t="s">
        <v>21</v>
      </c>
      <c r="F2372" s="3" t="s">
        <v>21</v>
      </c>
      <c r="G2372" s="3" t="s">
        <v>36</v>
      </c>
      <c r="H2372" s="3" t="s">
        <v>37</v>
      </c>
      <c r="I2372" s="3" t="s">
        <v>24</v>
      </c>
      <c r="J2372" s="3" t="s">
        <v>24</v>
      </c>
      <c r="K2372" s="3" t="s">
        <v>25</v>
      </c>
      <c r="L2372" s="4">
        <v>0</v>
      </c>
      <c r="M2372" s="3" t="s">
        <v>26</v>
      </c>
      <c r="N2372" s="3" t="s">
        <v>24</v>
      </c>
      <c r="O2372" s="4">
        <v>0</v>
      </c>
      <c r="P2372" s="4">
        <v>10</v>
      </c>
      <c r="Q2372" s="4">
        <v>0</v>
      </c>
    </row>
    <row r="2373" spans="1:17" x14ac:dyDescent="0.25">
      <c r="A2373" s="3" t="s">
        <v>18</v>
      </c>
      <c r="B2373" s="3">
        <v>15700778</v>
      </c>
      <c r="C2373" s="3" t="s">
        <v>2420</v>
      </c>
      <c r="D2373" s="3" t="s">
        <v>20</v>
      </c>
      <c r="E2373" s="3" t="s">
        <v>21</v>
      </c>
      <c r="F2373" s="3" t="s">
        <v>21</v>
      </c>
      <c r="G2373" s="3" t="s">
        <v>36</v>
      </c>
      <c r="H2373" s="3" t="s">
        <v>37</v>
      </c>
      <c r="I2373" s="3" t="s">
        <v>24</v>
      </c>
      <c r="J2373" s="3" t="s">
        <v>24</v>
      </c>
      <c r="K2373" s="3" t="s">
        <v>25</v>
      </c>
      <c r="L2373" s="4">
        <v>0</v>
      </c>
      <c r="M2373" s="3" t="s">
        <v>26</v>
      </c>
      <c r="N2373" s="3" t="s">
        <v>24</v>
      </c>
      <c r="O2373" s="4">
        <v>0</v>
      </c>
      <c r="P2373" s="4">
        <v>10</v>
      </c>
      <c r="Q2373" s="4">
        <v>0</v>
      </c>
    </row>
    <row r="2374" spans="1:17" x14ac:dyDescent="0.25">
      <c r="A2374" s="3" t="s">
        <v>18</v>
      </c>
      <c r="B2374" s="3">
        <v>15700780</v>
      </c>
      <c r="C2374" s="3" t="s">
        <v>2421</v>
      </c>
      <c r="D2374" s="3" t="s">
        <v>20</v>
      </c>
      <c r="E2374" s="3" t="s">
        <v>21</v>
      </c>
      <c r="F2374" s="3" t="s">
        <v>21</v>
      </c>
      <c r="G2374" s="3" t="s">
        <v>233</v>
      </c>
      <c r="H2374" s="3" t="s">
        <v>234</v>
      </c>
      <c r="I2374" s="3" t="s">
        <v>24</v>
      </c>
      <c r="J2374" s="3" t="s">
        <v>24</v>
      </c>
      <c r="K2374" s="3" t="s">
        <v>25</v>
      </c>
      <c r="L2374" s="4">
        <v>0</v>
      </c>
      <c r="M2374" s="3" t="s">
        <v>26</v>
      </c>
      <c r="N2374" s="3" t="s">
        <v>24</v>
      </c>
      <c r="O2374" s="4">
        <v>0</v>
      </c>
      <c r="P2374" s="4">
        <v>1</v>
      </c>
      <c r="Q2374" s="4">
        <v>0</v>
      </c>
    </row>
    <row r="2375" spans="1:17" x14ac:dyDescent="0.25">
      <c r="A2375" s="3" t="s">
        <v>18</v>
      </c>
      <c r="B2375" s="3">
        <v>15700781</v>
      </c>
      <c r="C2375" s="3" t="s">
        <v>2422</v>
      </c>
      <c r="D2375" s="3" t="s">
        <v>20</v>
      </c>
      <c r="E2375" s="3" t="s">
        <v>21</v>
      </c>
      <c r="F2375" s="3" t="s">
        <v>21</v>
      </c>
      <c r="G2375" s="3" t="s">
        <v>233</v>
      </c>
      <c r="H2375" s="3" t="s">
        <v>234</v>
      </c>
      <c r="I2375" s="3" t="s">
        <v>24</v>
      </c>
      <c r="J2375" s="3" t="s">
        <v>24</v>
      </c>
      <c r="K2375" s="3" t="s">
        <v>25</v>
      </c>
      <c r="L2375" s="4">
        <v>0</v>
      </c>
      <c r="M2375" s="3" t="s">
        <v>26</v>
      </c>
      <c r="N2375" s="3" t="s">
        <v>24</v>
      </c>
      <c r="O2375" s="4">
        <v>0</v>
      </c>
      <c r="P2375" s="4">
        <v>2</v>
      </c>
      <c r="Q2375" s="4">
        <v>0</v>
      </c>
    </row>
    <row r="2376" spans="1:17" x14ac:dyDescent="0.25">
      <c r="A2376" s="3" t="s">
        <v>18</v>
      </c>
      <c r="B2376" s="3">
        <v>15700783</v>
      </c>
      <c r="C2376" s="3" t="s">
        <v>2423</v>
      </c>
      <c r="D2376" s="3" t="s">
        <v>20</v>
      </c>
      <c r="E2376" s="3" t="s">
        <v>21</v>
      </c>
      <c r="F2376" s="3" t="s">
        <v>21</v>
      </c>
      <c r="G2376" s="3" t="s">
        <v>233</v>
      </c>
      <c r="H2376" s="3" t="s">
        <v>234</v>
      </c>
      <c r="I2376" s="3" t="s">
        <v>24</v>
      </c>
      <c r="J2376" s="3" t="s">
        <v>24</v>
      </c>
      <c r="K2376" s="3" t="s">
        <v>25</v>
      </c>
      <c r="L2376" s="4">
        <v>0</v>
      </c>
      <c r="M2376" s="3" t="s">
        <v>26</v>
      </c>
      <c r="N2376" s="3" t="s">
        <v>24</v>
      </c>
      <c r="O2376" s="4">
        <v>0</v>
      </c>
      <c r="P2376" s="4">
        <v>2</v>
      </c>
      <c r="Q2376" s="4">
        <v>0</v>
      </c>
    </row>
    <row r="2377" spans="1:17" x14ac:dyDescent="0.25">
      <c r="A2377" s="3" t="s">
        <v>18</v>
      </c>
      <c r="B2377" s="3">
        <v>15700840</v>
      </c>
      <c r="C2377" s="3" t="s">
        <v>2424</v>
      </c>
      <c r="D2377" s="3" t="s">
        <v>20</v>
      </c>
      <c r="E2377" s="3" t="s">
        <v>21</v>
      </c>
      <c r="F2377" s="3" t="s">
        <v>21</v>
      </c>
      <c r="G2377" s="3" t="s">
        <v>30</v>
      </c>
      <c r="H2377" s="3" t="s">
        <v>31</v>
      </c>
      <c r="I2377" s="3" t="s">
        <v>24</v>
      </c>
      <c r="J2377" s="3" t="s">
        <v>24</v>
      </c>
      <c r="K2377" s="3" t="s">
        <v>25</v>
      </c>
      <c r="L2377" s="4">
        <v>0</v>
      </c>
      <c r="M2377" s="3" t="s">
        <v>26</v>
      </c>
      <c r="N2377" s="3" t="s">
        <v>24</v>
      </c>
      <c r="O2377" s="4">
        <v>0</v>
      </c>
      <c r="P2377" s="4">
        <v>9</v>
      </c>
      <c r="Q2377" s="4">
        <v>0</v>
      </c>
    </row>
    <row r="2378" spans="1:17" x14ac:dyDescent="0.25">
      <c r="A2378" s="3" t="s">
        <v>18</v>
      </c>
      <c r="B2378" s="3">
        <v>15700841</v>
      </c>
      <c r="C2378" s="3" t="s">
        <v>2425</v>
      </c>
      <c r="D2378" s="3" t="s">
        <v>20</v>
      </c>
      <c r="E2378" s="3" t="s">
        <v>21</v>
      </c>
      <c r="F2378" s="3" t="s">
        <v>21</v>
      </c>
      <c r="G2378" s="3" t="s">
        <v>30</v>
      </c>
      <c r="H2378" s="3" t="s">
        <v>31</v>
      </c>
      <c r="I2378" s="3" t="s">
        <v>24</v>
      </c>
      <c r="J2378" s="3" t="s">
        <v>24</v>
      </c>
      <c r="K2378" s="3" t="s">
        <v>25</v>
      </c>
      <c r="L2378" s="4">
        <v>0</v>
      </c>
      <c r="M2378" s="3" t="s">
        <v>26</v>
      </c>
      <c r="N2378" s="3" t="s">
        <v>24</v>
      </c>
      <c r="O2378" s="4">
        <v>0</v>
      </c>
      <c r="P2378" s="4">
        <v>9</v>
      </c>
      <c r="Q2378" s="4">
        <v>0</v>
      </c>
    </row>
    <row r="2379" spans="1:17" x14ac:dyDescent="0.25">
      <c r="A2379" s="3" t="s">
        <v>18</v>
      </c>
      <c r="B2379" s="3">
        <v>15700842</v>
      </c>
      <c r="C2379" s="3" t="s">
        <v>2426</v>
      </c>
      <c r="D2379" s="3" t="s">
        <v>20</v>
      </c>
      <c r="E2379" s="3" t="s">
        <v>21</v>
      </c>
      <c r="F2379" s="3" t="s">
        <v>21</v>
      </c>
      <c r="G2379" s="3" t="s">
        <v>30</v>
      </c>
      <c r="H2379" s="3" t="s">
        <v>31</v>
      </c>
      <c r="I2379" s="3" t="s">
        <v>24</v>
      </c>
      <c r="J2379" s="3" t="s">
        <v>24</v>
      </c>
      <c r="K2379" s="3" t="s">
        <v>25</v>
      </c>
      <c r="L2379" s="4">
        <v>0</v>
      </c>
      <c r="M2379" s="3" t="s">
        <v>26</v>
      </c>
      <c r="N2379" s="3" t="s">
        <v>24</v>
      </c>
      <c r="O2379" s="4">
        <v>0</v>
      </c>
      <c r="P2379" s="4">
        <v>8</v>
      </c>
      <c r="Q2379" s="4">
        <v>0</v>
      </c>
    </row>
    <row r="2380" spans="1:17" x14ac:dyDescent="0.25">
      <c r="A2380" s="3" t="s">
        <v>18</v>
      </c>
      <c r="B2380" s="3">
        <v>15700844</v>
      </c>
      <c r="C2380" s="3" t="s">
        <v>2427</v>
      </c>
      <c r="D2380" s="3" t="s">
        <v>20</v>
      </c>
      <c r="E2380" s="3" t="s">
        <v>21</v>
      </c>
      <c r="F2380" s="3" t="s">
        <v>21</v>
      </c>
      <c r="G2380" s="3" t="s">
        <v>30</v>
      </c>
      <c r="H2380" s="3" t="s">
        <v>31</v>
      </c>
      <c r="I2380" s="3" t="s">
        <v>24</v>
      </c>
      <c r="J2380" s="3" t="s">
        <v>24</v>
      </c>
      <c r="K2380" s="3" t="s">
        <v>25</v>
      </c>
      <c r="L2380" s="4">
        <v>0</v>
      </c>
      <c r="M2380" s="3" t="s">
        <v>26</v>
      </c>
      <c r="N2380" s="3" t="s">
        <v>24</v>
      </c>
      <c r="O2380" s="4">
        <v>0</v>
      </c>
      <c r="P2380" s="4">
        <v>8</v>
      </c>
      <c r="Q2380" s="4">
        <v>0</v>
      </c>
    </row>
    <row r="2381" spans="1:17" x14ac:dyDescent="0.25">
      <c r="A2381" s="3" t="s">
        <v>18</v>
      </c>
      <c r="B2381" s="3">
        <v>15700897</v>
      </c>
      <c r="C2381" s="3" t="s">
        <v>2428</v>
      </c>
      <c r="D2381" s="3" t="s">
        <v>20</v>
      </c>
      <c r="E2381" s="3" t="s">
        <v>21</v>
      </c>
      <c r="F2381" s="3" t="s">
        <v>21</v>
      </c>
      <c r="G2381" s="3" t="s">
        <v>30</v>
      </c>
      <c r="H2381" s="3" t="s">
        <v>31</v>
      </c>
      <c r="I2381" s="3" t="s">
        <v>24</v>
      </c>
      <c r="J2381" s="3" t="s">
        <v>24</v>
      </c>
      <c r="K2381" s="3" t="s">
        <v>25</v>
      </c>
      <c r="L2381" s="4">
        <v>0</v>
      </c>
      <c r="M2381" s="3" t="s">
        <v>26</v>
      </c>
      <c r="N2381" s="3" t="s">
        <v>24</v>
      </c>
      <c r="O2381" s="4">
        <v>0</v>
      </c>
      <c r="P2381" s="4">
        <v>8</v>
      </c>
      <c r="Q2381" s="4">
        <v>0</v>
      </c>
    </row>
    <row r="2382" spans="1:17" x14ac:dyDescent="0.25">
      <c r="A2382" s="3" t="s">
        <v>18</v>
      </c>
      <c r="B2382" s="3">
        <v>15701088</v>
      </c>
      <c r="C2382" s="3" t="s">
        <v>2429</v>
      </c>
      <c r="D2382" s="3" t="s">
        <v>20</v>
      </c>
      <c r="E2382" s="3" t="s">
        <v>21</v>
      </c>
      <c r="F2382" s="3" t="s">
        <v>21</v>
      </c>
      <c r="G2382" s="3" t="s">
        <v>42</v>
      </c>
      <c r="H2382" s="3" t="s">
        <v>43</v>
      </c>
      <c r="I2382" s="3" t="s">
        <v>24</v>
      </c>
      <c r="J2382" s="3" t="s">
        <v>24</v>
      </c>
      <c r="K2382" s="3" t="s">
        <v>25</v>
      </c>
      <c r="L2382" s="4">
        <v>0</v>
      </c>
      <c r="M2382" s="3" t="s">
        <v>26</v>
      </c>
      <c r="N2382" s="3" t="s">
        <v>24</v>
      </c>
      <c r="O2382" s="4">
        <v>0</v>
      </c>
      <c r="P2382" s="4">
        <v>8</v>
      </c>
      <c r="Q2382" s="4">
        <v>1</v>
      </c>
    </row>
    <row r="2383" spans="1:17" x14ac:dyDescent="0.25">
      <c r="A2383" s="3" t="s">
        <v>18</v>
      </c>
      <c r="B2383" s="3">
        <v>15701091</v>
      </c>
      <c r="C2383" s="3" t="s">
        <v>2430</v>
      </c>
      <c r="D2383" s="3" t="s">
        <v>20</v>
      </c>
      <c r="E2383" s="3" t="s">
        <v>21</v>
      </c>
      <c r="F2383" s="3" t="s">
        <v>21</v>
      </c>
      <c r="G2383" s="3" t="s">
        <v>42</v>
      </c>
      <c r="H2383" s="3" t="s">
        <v>43</v>
      </c>
      <c r="I2383" s="3" t="s">
        <v>24</v>
      </c>
      <c r="J2383" s="3" t="s">
        <v>24</v>
      </c>
      <c r="K2383" s="3" t="s">
        <v>25</v>
      </c>
      <c r="L2383" s="4">
        <v>0</v>
      </c>
      <c r="M2383" s="3" t="s">
        <v>26</v>
      </c>
      <c r="N2383" s="3" t="s">
        <v>24</v>
      </c>
      <c r="O2383" s="4">
        <v>0</v>
      </c>
      <c r="P2383" s="4">
        <v>8</v>
      </c>
      <c r="Q2383" s="4">
        <v>1</v>
      </c>
    </row>
    <row r="2384" spans="1:17" x14ac:dyDescent="0.25">
      <c r="A2384" s="3" t="s">
        <v>18</v>
      </c>
      <c r="B2384" s="3">
        <v>15701092</v>
      </c>
      <c r="C2384" s="3" t="s">
        <v>2431</v>
      </c>
      <c r="D2384" s="3" t="s">
        <v>20</v>
      </c>
      <c r="E2384" s="3" t="s">
        <v>21</v>
      </c>
      <c r="F2384" s="3" t="s">
        <v>21</v>
      </c>
      <c r="G2384" s="3" t="s">
        <v>42</v>
      </c>
      <c r="H2384" s="3" t="s">
        <v>43</v>
      </c>
      <c r="I2384" s="3" t="s">
        <v>24</v>
      </c>
      <c r="J2384" s="3" t="s">
        <v>24</v>
      </c>
      <c r="K2384" s="3" t="s">
        <v>25</v>
      </c>
      <c r="L2384" s="4">
        <v>0</v>
      </c>
      <c r="M2384" s="3" t="s">
        <v>26</v>
      </c>
      <c r="N2384" s="3" t="s">
        <v>24</v>
      </c>
      <c r="O2384" s="4">
        <v>0</v>
      </c>
      <c r="P2384" s="4">
        <v>8</v>
      </c>
      <c r="Q2384" s="4">
        <v>1</v>
      </c>
    </row>
    <row r="2385" spans="1:17" x14ac:dyDescent="0.25">
      <c r="A2385" s="3" t="s">
        <v>18</v>
      </c>
      <c r="B2385" s="3">
        <v>15701093</v>
      </c>
      <c r="C2385" s="3" t="s">
        <v>2432</v>
      </c>
      <c r="D2385" s="3" t="s">
        <v>20</v>
      </c>
      <c r="E2385" s="3" t="s">
        <v>21</v>
      </c>
      <c r="F2385" s="3" t="s">
        <v>21</v>
      </c>
      <c r="G2385" s="3" t="s">
        <v>22</v>
      </c>
      <c r="H2385" s="3" t="s">
        <v>23</v>
      </c>
      <c r="I2385" s="3" t="s">
        <v>24</v>
      </c>
      <c r="J2385" s="3" t="s">
        <v>24</v>
      </c>
      <c r="K2385" s="3" t="s">
        <v>25</v>
      </c>
      <c r="L2385" s="4">
        <v>0</v>
      </c>
      <c r="M2385" s="3" t="s">
        <v>26</v>
      </c>
      <c r="N2385" s="3" t="s">
        <v>24</v>
      </c>
      <c r="O2385" s="4">
        <v>0</v>
      </c>
      <c r="P2385" s="4">
        <v>4</v>
      </c>
      <c r="Q2385" s="4">
        <v>0</v>
      </c>
    </row>
    <row r="2386" spans="1:17" x14ac:dyDescent="0.25">
      <c r="A2386" s="3" t="s">
        <v>18</v>
      </c>
      <c r="B2386" s="3">
        <v>15701095</v>
      </c>
      <c r="C2386" s="3" t="s">
        <v>2433</v>
      </c>
      <c r="D2386" s="3" t="s">
        <v>20</v>
      </c>
      <c r="E2386" s="3" t="s">
        <v>21</v>
      </c>
      <c r="F2386" s="3" t="s">
        <v>21</v>
      </c>
      <c r="G2386" s="3" t="s">
        <v>22</v>
      </c>
      <c r="H2386" s="3" t="s">
        <v>23</v>
      </c>
      <c r="I2386" s="3" t="s">
        <v>24</v>
      </c>
      <c r="J2386" s="3" t="s">
        <v>24</v>
      </c>
      <c r="K2386" s="3" t="s">
        <v>25</v>
      </c>
      <c r="L2386" s="4">
        <v>0</v>
      </c>
      <c r="M2386" s="3" t="s">
        <v>26</v>
      </c>
      <c r="N2386" s="3" t="s">
        <v>24</v>
      </c>
      <c r="O2386" s="4">
        <v>0</v>
      </c>
      <c r="P2386" s="4">
        <v>4</v>
      </c>
      <c r="Q2386" s="4">
        <v>0</v>
      </c>
    </row>
    <row r="2387" spans="1:17" x14ac:dyDescent="0.25">
      <c r="A2387" s="3" t="s">
        <v>18</v>
      </c>
      <c r="B2387" s="3">
        <v>15701096</v>
      </c>
      <c r="C2387" s="3" t="s">
        <v>2434</v>
      </c>
      <c r="D2387" s="3" t="s">
        <v>20</v>
      </c>
      <c r="E2387" s="3" t="s">
        <v>21</v>
      </c>
      <c r="F2387" s="3" t="s">
        <v>21</v>
      </c>
      <c r="G2387" s="3" t="s">
        <v>22</v>
      </c>
      <c r="H2387" s="3" t="s">
        <v>23</v>
      </c>
      <c r="I2387" s="3" t="s">
        <v>24</v>
      </c>
      <c r="J2387" s="3" t="s">
        <v>24</v>
      </c>
      <c r="K2387" s="3" t="s">
        <v>25</v>
      </c>
      <c r="L2387" s="4">
        <v>0</v>
      </c>
      <c r="M2387" s="3" t="s">
        <v>26</v>
      </c>
      <c r="N2387" s="3" t="s">
        <v>24</v>
      </c>
      <c r="O2387" s="4">
        <v>0</v>
      </c>
      <c r="P2387" s="4">
        <v>4</v>
      </c>
      <c r="Q2387" s="4">
        <v>0</v>
      </c>
    </row>
    <row r="2388" spans="1:17" x14ac:dyDescent="0.25">
      <c r="A2388" s="3" t="s">
        <v>18</v>
      </c>
      <c r="B2388" s="3">
        <v>15701097</v>
      </c>
      <c r="C2388" s="3" t="s">
        <v>2435</v>
      </c>
      <c r="D2388" s="3" t="s">
        <v>20</v>
      </c>
      <c r="E2388" s="3" t="s">
        <v>21</v>
      </c>
      <c r="F2388" s="3" t="s">
        <v>21</v>
      </c>
      <c r="G2388" s="3" t="s">
        <v>36</v>
      </c>
      <c r="H2388" s="3" t="s">
        <v>37</v>
      </c>
      <c r="I2388" s="3" t="s">
        <v>24</v>
      </c>
      <c r="J2388" s="3" t="s">
        <v>24</v>
      </c>
      <c r="K2388" s="3" t="s">
        <v>25</v>
      </c>
      <c r="L2388" s="4">
        <v>0</v>
      </c>
      <c r="M2388" s="3" t="s">
        <v>26</v>
      </c>
      <c r="N2388" s="3" t="s">
        <v>24</v>
      </c>
      <c r="O2388" s="4">
        <v>0</v>
      </c>
      <c r="P2388" s="4">
        <v>10</v>
      </c>
      <c r="Q2388" s="4">
        <v>0</v>
      </c>
    </row>
    <row r="2389" spans="1:17" x14ac:dyDescent="0.25">
      <c r="A2389" s="3" t="s">
        <v>18</v>
      </c>
      <c r="B2389" s="3">
        <v>15701128</v>
      </c>
      <c r="C2389" s="3" t="s">
        <v>2436</v>
      </c>
      <c r="D2389" s="3" t="s">
        <v>20</v>
      </c>
      <c r="E2389" s="3" t="s">
        <v>21</v>
      </c>
      <c r="F2389" s="3" t="s">
        <v>21</v>
      </c>
      <c r="G2389" s="3" t="s">
        <v>36</v>
      </c>
      <c r="H2389" s="3" t="s">
        <v>37</v>
      </c>
      <c r="I2389" s="3" t="s">
        <v>24</v>
      </c>
      <c r="J2389" s="3" t="s">
        <v>24</v>
      </c>
      <c r="K2389" s="3" t="s">
        <v>25</v>
      </c>
      <c r="L2389" s="4">
        <v>0</v>
      </c>
      <c r="M2389" s="3" t="s">
        <v>26</v>
      </c>
      <c r="N2389" s="3" t="s">
        <v>24</v>
      </c>
      <c r="O2389" s="4">
        <v>0</v>
      </c>
      <c r="P2389" s="4">
        <v>10</v>
      </c>
      <c r="Q2389" s="4">
        <v>0</v>
      </c>
    </row>
    <row r="2390" spans="1:17" x14ac:dyDescent="0.25">
      <c r="A2390" s="3" t="s">
        <v>18</v>
      </c>
      <c r="B2390" s="3">
        <v>15701132</v>
      </c>
      <c r="C2390" s="3" t="s">
        <v>2437</v>
      </c>
      <c r="D2390" s="3" t="s">
        <v>20</v>
      </c>
      <c r="E2390" s="3" t="s">
        <v>21</v>
      </c>
      <c r="F2390" s="3" t="s">
        <v>21</v>
      </c>
      <c r="G2390" s="3" t="s">
        <v>233</v>
      </c>
      <c r="H2390" s="3" t="s">
        <v>234</v>
      </c>
      <c r="I2390" s="3" t="s">
        <v>24</v>
      </c>
      <c r="J2390" s="3" t="s">
        <v>24</v>
      </c>
      <c r="K2390" s="3" t="s">
        <v>25</v>
      </c>
      <c r="L2390" s="4">
        <v>0</v>
      </c>
      <c r="M2390" s="3" t="s">
        <v>26</v>
      </c>
      <c r="N2390" s="3" t="s">
        <v>24</v>
      </c>
      <c r="O2390" s="4">
        <v>0</v>
      </c>
      <c r="P2390" s="4">
        <v>1</v>
      </c>
      <c r="Q2390" s="4">
        <v>0</v>
      </c>
    </row>
    <row r="2391" spans="1:17" x14ac:dyDescent="0.25">
      <c r="A2391" s="3" t="s">
        <v>18</v>
      </c>
      <c r="B2391" s="3">
        <v>15701133</v>
      </c>
      <c r="C2391" s="3" t="s">
        <v>2438</v>
      </c>
      <c r="D2391" s="3" t="s">
        <v>20</v>
      </c>
      <c r="E2391" s="3" t="s">
        <v>21</v>
      </c>
      <c r="F2391" s="3" t="s">
        <v>21</v>
      </c>
      <c r="G2391" s="3" t="s">
        <v>233</v>
      </c>
      <c r="H2391" s="3" t="s">
        <v>234</v>
      </c>
      <c r="I2391" s="3" t="s">
        <v>24</v>
      </c>
      <c r="J2391" s="3" t="s">
        <v>24</v>
      </c>
      <c r="K2391" s="3" t="s">
        <v>25</v>
      </c>
      <c r="L2391" s="4">
        <v>0</v>
      </c>
      <c r="M2391" s="3" t="s">
        <v>26</v>
      </c>
      <c r="N2391" s="3" t="s">
        <v>24</v>
      </c>
      <c r="O2391" s="4">
        <v>0</v>
      </c>
      <c r="P2391" s="4">
        <v>2</v>
      </c>
      <c r="Q2391" s="4">
        <v>0</v>
      </c>
    </row>
    <row r="2392" spans="1:17" x14ac:dyDescent="0.25">
      <c r="A2392" s="3" t="s">
        <v>18</v>
      </c>
      <c r="B2392" s="3">
        <v>15701134</v>
      </c>
      <c r="C2392" s="3" t="s">
        <v>2439</v>
      </c>
      <c r="D2392" s="3" t="s">
        <v>20</v>
      </c>
      <c r="E2392" s="3" t="s">
        <v>21</v>
      </c>
      <c r="F2392" s="3" t="s">
        <v>21</v>
      </c>
      <c r="G2392" s="3" t="s">
        <v>233</v>
      </c>
      <c r="H2392" s="3" t="s">
        <v>234</v>
      </c>
      <c r="I2392" s="3" t="s">
        <v>24</v>
      </c>
      <c r="J2392" s="3" t="s">
        <v>24</v>
      </c>
      <c r="K2392" s="3" t="s">
        <v>25</v>
      </c>
      <c r="L2392" s="4">
        <v>0</v>
      </c>
      <c r="M2392" s="3" t="s">
        <v>26</v>
      </c>
      <c r="N2392" s="3" t="s">
        <v>24</v>
      </c>
      <c r="O2392" s="4">
        <v>0</v>
      </c>
      <c r="P2392" s="4">
        <v>2</v>
      </c>
      <c r="Q2392" s="4">
        <v>0</v>
      </c>
    </row>
    <row r="2393" spans="1:17" x14ac:dyDescent="0.25">
      <c r="A2393" s="3" t="s">
        <v>18</v>
      </c>
      <c r="B2393" s="3">
        <v>15701135</v>
      </c>
      <c r="C2393" s="3" t="s">
        <v>2440</v>
      </c>
      <c r="D2393" s="3" t="s">
        <v>20</v>
      </c>
      <c r="E2393" s="3" t="s">
        <v>21</v>
      </c>
      <c r="F2393" s="3" t="s">
        <v>21</v>
      </c>
      <c r="G2393" s="3" t="s">
        <v>233</v>
      </c>
      <c r="H2393" s="3" t="s">
        <v>234</v>
      </c>
      <c r="I2393" s="3" t="s">
        <v>24</v>
      </c>
      <c r="J2393" s="3" t="s">
        <v>24</v>
      </c>
      <c r="K2393" s="3" t="s">
        <v>25</v>
      </c>
      <c r="L2393" s="4">
        <v>0</v>
      </c>
      <c r="M2393" s="3" t="s">
        <v>26</v>
      </c>
      <c r="N2393" s="3" t="s">
        <v>24</v>
      </c>
      <c r="O2393" s="4">
        <v>0</v>
      </c>
      <c r="P2393" s="4">
        <v>3</v>
      </c>
      <c r="Q2393" s="4">
        <v>0</v>
      </c>
    </row>
    <row r="2394" spans="1:17" x14ac:dyDescent="0.25">
      <c r="A2394" s="3" t="s">
        <v>18</v>
      </c>
      <c r="B2394" s="3">
        <v>15709484</v>
      </c>
      <c r="C2394" s="3" t="s">
        <v>2441</v>
      </c>
      <c r="D2394" s="3" t="s">
        <v>20</v>
      </c>
      <c r="E2394" s="3" t="s">
        <v>21</v>
      </c>
      <c r="F2394" s="3" t="s">
        <v>21</v>
      </c>
      <c r="G2394" s="3" t="s">
        <v>487</v>
      </c>
      <c r="H2394" s="3" t="s">
        <v>488</v>
      </c>
      <c r="I2394" s="3" t="s">
        <v>24</v>
      </c>
      <c r="J2394" s="3" t="s">
        <v>24</v>
      </c>
      <c r="K2394" s="3" t="s">
        <v>25</v>
      </c>
      <c r="L2394" s="4">
        <v>0</v>
      </c>
      <c r="M2394" s="3" t="s">
        <v>26</v>
      </c>
      <c r="N2394" s="3" t="s">
        <v>24</v>
      </c>
      <c r="O2394" s="4">
        <v>1</v>
      </c>
      <c r="P2394" s="4">
        <v>2</v>
      </c>
      <c r="Q2394" s="4">
        <v>0</v>
      </c>
    </row>
    <row r="2395" spans="1:17" x14ac:dyDescent="0.25">
      <c r="A2395" s="3" t="s">
        <v>18</v>
      </c>
      <c r="B2395" s="3">
        <v>15709757</v>
      </c>
      <c r="C2395" s="3" t="s">
        <v>2442</v>
      </c>
      <c r="D2395" s="3" t="s">
        <v>20</v>
      </c>
      <c r="E2395" s="3" t="s">
        <v>21</v>
      </c>
      <c r="F2395" s="3" t="s">
        <v>21</v>
      </c>
      <c r="G2395" s="3" t="s">
        <v>410</v>
      </c>
      <c r="H2395" s="3" t="s">
        <v>411</v>
      </c>
      <c r="I2395" s="3" t="s">
        <v>24</v>
      </c>
      <c r="J2395" s="3" t="s">
        <v>24</v>
      </c>
      <c r="K2395" s="3" t="s">
        <v>25</v>
      </c>
      <c r="L2395" s="4">
        <v>0</v>
      </c>
      <c r="M2395" s="3" t="s">
        <v>26</v>
      </c>
      <c r="N2395" s="3" t="s">
        <v>24</v>
      </c>
      <c r="O2395" s="4">
        <v>0</v>
      </c>
      <c r="P2395" s="4">
        <v>10</v>
      </c>
      <c r="Q2395" s="4">
        <v>0</v>
      </c>
    </row>
    <row r="2396" spans="1:17" x14ac:dyDescent="0.25">
      <c r="A2396" s="3" t="s">
        <v>18</v>
      </c>
      <c r="B2396" s="3">
        <v>15711627</v>
      </c>
      <c r="C2396" s="3" t="s">
        <v>2443</v>
      </c>
      <c r="D2396" s="3" t="s">
        <v>1360</v>
      </c>
      <c r="E2396" s="3" t="s">
        <v>21</v>
      </c>
      <c r="F2396" s="3" t="s">
        <v>21</v>
      </c>
      <c r="G2396" s="3" t="s">
        <v>487</v>
      </c>
      <c r="H2396" s="3" t="s">
        <v>488</v>
      </c>
      <c r="I2396" s="3" t="s">
        <v>24</v>
      </c>
      <c r="J2396" s="3" t="s">
        <v>24</v>
      </c>
      <c r="K2396" s="3" t="s">
        <v>25</v>
      </c>
      <c r="L2396" s="4">
        <v>0</v>
      </c>
      <c r="M2396" s="3" t="s">
        <v>26</v>
      </c>
      <c r="N2396" s="3" t="s">
        <v>24</v>
      </c>
      <c r="O2396" s="4">
        <v>1</v>
      </c>
      <c r="P2396" s="4">
        <v>2</v>
      </c>
      <c r="Q2396" s="4">
        <v>0</v>
      </c>
    </row>
    <row r="2397" spans="1:17" x14ac:dyDescent="0.25">
      <c r="A2397" s="3" t="s">
        <v>18</v>
      </c>
      <c r="B2397" s="3">
        <v>15728096</v>
      </c>
      <c r="C2397" s="3" t="s">
        <v>2444</v>
      </c>
      <c r="D2397" s="3" t="s">
        <v>20</v>
      </c>
      <c r="E2397" s="3" t="s">
        <v>21</v>
      </c>
      <c r="F2397" s="3" t="s">
        <v>21</v>
      </c>
      <c r="G2397" s="3" t="s">
        <v>30</v>
      </c>
      <c r="H2397" s="3" t="s">
        <v>31</v>
      </c>
      <c r="I2397" s="3" t="s">
        <v>24</v>
      </c>
      <c r="J2397" s="3" t="s">
        <v>24</v>
      </c>
      <c r="K2397" s="3" t="s">
        <v>25</v>
      </c>
      <c r="L2397" s="4">
        <v>0</v>
      </c>
      <c r="M2397" s="3" t="s">
        <v>26</v>
      </c>
      <c r="N2397" s="3" t="s">
        <v>24</v>
      </c>
      <c r="O2397" s="4">
        <v>0</v>
      </c>
      <c r="P2397" s="4">
        <v>9</v>
      </c>
      <c r="Q2397" s="4">
        <v>0</v>
      </c>
    </row>
    <row r="2398" spans="1:17" x14ac:dyDescent="0.25">
      <c r="A2398" s="3" t="s">
        <v>18</v>
      </c>
      <c r="B2398" s="3">
        <v>15728097</v>
      </c>
      <c r="C2398" s="3" t="s">
        <v>2445</v>
      </c>
      <c r="D2398" s="3" t="s">
        <v>20</v>
      </c>
      <c r="E2398" s="3" t="s">
        <v>21</v>
      </c>
      <c r="F2398" s="3" t="s">
        <v>21</v>
      </c>
      <c r="G2398" s="3" t="s">
        <v>30</v>
      </c>
      <c r="H2398" s="3" t="s">
        <v>31</v>
      </c>
      <c r="I2398" s="3" t="s">
        <v>24</v>
      </c>
      <c r="J2398" s="3" t="s">
        <v>24</v>
      </c>
      <c r="K2398" s="3" t="s">
        <v>25</v>
      </c>
      <c r="L2398" s="4">
        <v>0</v>
      </c>
      <c r="M2398" s="3" t="s">
        <v>26</v>
      </c>
      <c r="N2398" s="3" t="s">
        <v>24</v>
      </c>
      <c r="O2398" s="4">
        <v>0</v>
      </c>
      <c r="P2398" s="4">
        <v>4</v>
      </c>
      <c r="Q2398" s="4">
        <v>0</v>
      </c>
    </row>
    <row r="2399" spans="1:17" x14ac:dyDescent="0.25">
      <c r="A2399" s="3" t="s">
        <v>18</v>
      </c>
      <c r="B2399" s="3">
        <v>15733937</v>
      </c>
      <c r="C2399" s="3" t="s">
        <v>2446</v>
      </c>
      <c r="D2399" s="3" t="s">
        <v>20</v>
      </c>
      <c r="E2399" s="3" t="s">
        <v>21</v>
      </c>
      <c r="F2399" s="3" t="s">
        <v>21</v>
      </c>
      <c r="G2399" s="3" t="s">
        <v>36</v>
      </c>
      <c r="H2399" s="3" t="s">
        <v>37</v>
      </c>
      <c r="I2399" s="3" t="s">
        <v>24</v>
      </c>
      <c r="J2399" s="3" t="s">
        <v>24</v>
      </c>
      <c r="K2399" s="3" t="s">
        <v>25</v>
      </c>
      <c r="L2399" s="4">
        <v>0</v>
      </c>
      <c r="M2399" s="3" t="s">
        <v>26</v>
      </c>
      <c r="N2399" s="3" t="s">
        <v>24</v>
      </c>
      <c r="O2399" s="4">
        <v>1</v>
      </c>
      <c r="P2399" s="4">
        <v>5</v>
      </c>
      <c r="Q2399" s="4">
        <v>0</v>
      </c>
    </row>
    <row r="2400" spans="1:17" x14ac:dyDescent="0.25">
      <c r="A2400" s="3" t="s">
        <v>18</v>
      </c>
      <c r="B2400" s="3">
        <v>15734058</v>
      </c>
      <c r="C2400" s="3" t="s">
        <v>2447</v>
      </c>
      <c r="D2400" s="3" t="s">
        <v>20</v>
      </c>
      <c r="E2400" s="3" t="s">
        <v>21</v>
      </c>
      <c r="F2400" s="3" t="s">
        <v>21</v>
      </c>
      <c r="G2400" s="3" t="s">
        <v>36</v>
      </c>
      <c r="H2400" s="3" t="s">
        <v>37</v>
      </c>
      <c r="I2400" s="3" t="s">
        <v>24</v>
      </c>
      <c r="J2400" s="3" t="s">
        <v>24</v>
      </c>
      <c r="K2400" s="3" t="s">
        <v>25</v>
      </c>
      <c r="L2400" s="4">
        <v>0</v>
      </c>
      <c r="M2400" s="3" t="s">
        <v>26</v>
      </c>
      <c r="N2400" s="3" t="s">
        <v>24</v>
      </c>
      <c r="O2400" s="4">
        <v>0</v>
      </c>
      <c r="P2400" s="4">
        <v>8</v>
      </c>
      <c r="Q2400" s="4">
        <v>0</v>
      </c>
    </row>
    <row r="2401" spans="1:17" x14ac:dyDescent="0.25">
      <c r="A2401" s="3" t="s">
        <v>18</v>
      </c>
      <c r="B2401" s="3">
        <v>15734059</v>
      </c>
      <c r="C2401" s="3" t="s">
        <v>2448</v>
      </c>
      <c r="D2401" s="3" t="s">
        <v>20</v>
      </c>
      <c r="E2401" s="3" t="s">
        <v>21</v>
      </c>
      <c r="F2401" s="3" t="s">
        <v>24</v>
      </c>
      <c r="G2401" s="3" t="s">
        <v>36</v>
      </c>
      <c r="H2401" s="3" t="s">
        <v>37</v>
      </c>
      <c r="I2401" s="3" t="s">
        <v>24</v>
      </c>
      <c r="J2401" s="3" t="s">
        <v>24</v>
      </c>
      <c r="K2401" s="3" t="s">
        <v>25</v>
      </c>
      <c r="L2401" s="4">
        <v>0</v>
      </c>
      <c r="M2401" s="3" t="s">
        <v>26</v>
      </c>
      <c r="N2401" s="3" t="s">
        <v>24</v>
      </c>
      <c r="O2401" s="4">
        <v>0</v>
      </c>
      <c r="P2401" s="4">
        <v>8</v>
      </c>
      <c r="Q2401" s="4">
        <v>0</v>
      </c>
    </row>
    <row r="2402" spans="1:17" x14ac:dyDescent="0.25">
      <c r="A2402" s="3" t="s">
        <v>18</v>
      </c>
      <c r="B2402" s="3">
        <v>15734062</v>
      </c>
      <c r="C2402" s="3" t="s">
        <v>2449</v>
      </c>
      <c r="D2402" s="3" t="s">
        <v>20</v>
      </c>
      <c r="E2402" s="3" t="s">
        <v>21</v>
      </c>
      <c r="F2402" s="3" t="s">
        <v>24</v>
      </c>
      <c r="G2402" s="3" t="s">
        <v>36</v>
      </c>
      <c r="H2402" s="3" t="s">
        <v>37</v>
      </c>
      <c r="I2402" s="3" t="s">
        <v>24</v>
      </c>
      <c r="J2402" s="3" t="s">
        <v>24</v>
      </c>
      <c r="K2402" s="3" t="s">
        <v>25</v>
      </c>
      <c r="L2402" s="4">
        <v>0</v>
      </c>
      <c r="M2402" s="3" t="s">
        <v>26</v>
      </c>
      <c r="N2402" s="3" t="s">
        <v>24</v>
      </c>
      <c r="O2402" s="4">
        <v>0</v>
      </c>
      <c r="P2402" s="4">
        <v>8</v>
      </c>
      <c r="Q2402" s="4">
        <v>0</v>
      </c>
    </row>
    <row r="2403" spans="1:17" x14ac:dyDescent="0.25">
      <c r="A2403" s="3" t="s">
        <v>18</v>
      </c>
      <c r="B2403" s="3">
        <v>15734064</v>
      </c>
      <c r="C2403" s="3" t="s">
        <v>2450</v>
      </c>
      <c r="D2403" s="3" t="s">
        <v>20</v>
      </c>
      <c r="E2403" s="3" t="s">
        <v>21</v>
      </c>
      <c r="F2403" s="3" t="s">
        <v>21</v>
      </c>
      <c r="G2403" s="3" t="s">
        <v>36</v>
      </c>
      <c r="H2403" s="3" t="s">
        <v>37</v>
      </c>
      <c r="I2403" s="3" t="s">
        <v>24</v>
      </c>
      <c r="J2403" s="3" t="s">
        <v>24</v>
      </c>
      <c r="K2403" s="3" t="s">
        <v>25</v>
      </c>
      <c r="L2403" s="4">
        <v>0</v>
      </c>
      <c r="M2403" s="3" t="s">
        <v>26</v>
      </c>
      <c r="N2403" s="3" t="s">
        <v>24</v>
      </c>
      <c r="O2403" s="4">
        <v>0</v>
      </c>
      <c r="P2403" s="4">
        <v>8</v>
      </c>
      <c r="Q2403" s="4">
        <v>0</v>
      </c>
    </row>
    <row r="2404" spans="1:17" x14ac:dyDescent="0.25">
      <c r="A2404" s="3" t="s">
        <v>18</v>
      </c>
      <c r="B2404" s="3">
        <v>15734065</v>
      </c>
      <c r="C2404" s="3" t="s">
        <v>2451</v>
      </c>
      <c r="D2404" s="3" t="s">
        <v>20</v>
      </c>
      <c r="E2404" s="3" t="s">
        <v>21</v>
      </c>
      <c r="F2404" s="3" t="s">
        <v>24</v>
      </c>
      <c r="G2404" s="3" t="s">
        <v>36</v>
      </c>
      <c r="H2404" s="3" t="s">
        <v>37</v>
      </c>
      <c r="I2404" s="3" t="s">
        <v>24</v>
      </c>
      <c r="J2404" s="3" t="s">
        <v>24</v>
      </c>
      <c r="K2404" s="3" t="s">
        <v>25</v>
      </c>
      <c r="L2404" s="4">
        <v>0</v>
      </c>
      <c r="M2404" s="3" t="s">
        <v>26</v>
      </c>
      <c r="N2404" s="3" t="s">
        <v>24</v>
      </c>
      <c r="O2404" s="4">
        <v>0</v>
      </c>
      <c r="P2404" s="4">
        <v>8</v>
      </c>
      <c r="Q2404" s="4">
        <v>0</v>
      </c>
    </row>
    <row r="2405" spans="1:17" x14ac:dyDescent="0.25">
      <c r="A2405" s="3" t="s">
        <v>18</v>
      </c>
      <c r="B2405" s="3">
        <v>15734066</v>
      </c>
      <c r="C2405" s="3" t="s">
        <v>2452</v>
      </c>
      <c r="D2405" s="3" t="s">
        <v>20</v>
      </c>
      <c r="E2405" s="3" t="s">
        <v>21</v>
      </c>
      <c r="F2405" s="3" t="s">
        <v>21</v>
      </c>
      <c r="G2405" s="3" t="s">
        <v>36</v>
      </c>
      <c r="H2405" s="3" t="s">
        <v>37</v>
      </c>
      <c r="I2405" s="3" t="s">
        <v>24</v>
      </c>
      <c r="J2405" s="3" t="s">
        <v>24</v>
      </c>
      <c r="K2405" s="3" t="s">
        <v>25</v>
      </c>
      <c r="L2405" s="4">
        <v>0</v>
      </c>
      <c r="M2405" s="3" t="s">
        <v>26</v>
      </c>
      <c r="N2405" s="3" t="s">
        <v>24</v>
      </c>
      <c r="O2405" s="4">
        <v>0</v>
      </c>
      <c r="P2405" s="4">
        <v>8</v>
      </c>
      <c r="Q2405" s="4">
        <v>0</v>
      </c>
    </row>
    <row r="2406" spans="1:17" x14ac:dyDescent="0.25">
      <c r="A2406" s="3" t="s">
        <v>18</v>
      </c>
      <c r="B2406" s="3">
        <v>15734067</v>
      </c>
      <c r="C2406" s="3" t="s">
        <v>2453</v>
      </c>
      <c r="D2406" s="3" t="s">
        <v>20</v>
      </c>
      <c r="E2406" s="3" t="s">
        <v>21</v>
      </c>
      <c r="F2406" s="3" t="s">
        <v>24</v>
      </c>
      <c r="G2406" s="3" t="s">
        <v>36</v>
      </c>
      <c r="H2406" s="3" t="s">
        <v>37</v>
      </c>
      <c r="I2406" s="3" t="s">
        <v>24</v>
      </c>
      <c r="J2406" s="3" t="s">
        <v>24</v>
      </c>
      <c r="K2406" s="3" t="s">
        <v>25</v>
      </c>
      <c r="L2406" s="4">
        <v>0</v>
      </c>
      <c r="M2406" s="3" t="s">
        <v>26</v>
      </c>
      <c r="N2406" s="3" t="s">
        <v>24</v>
      </c>
      <c r="O2406" s="4">
        <v>0</v>
      </c>
      <c r="P2406" s="4">
        <v>8</v>
      </c>
      <c r="Q2406" s="4">
        <v>0</v>
      </c>
    </row>
    <row r="2407" spans="1:17" x14ac:dyDescent="0.25">
      <c r="A2407" s="3" t="s">
        <v>18</v>
      </c>
      <c r="B2407" s="3">
        <v>15734119</v>
      </c>
      <c r="C2407" s="3" t="s">
        <v>2454</v>
      </c>
      <c r="D2407" s="3" t="s">
        <v>20</v>
      </c>
      <c r="E2407" s="3" t="s">
        <v>21</v>
      </c>
      <c r="F2407" s="3" t="s">
        <v>21</v>
      </c>
      <c r="G2407" s="3" t="s">
        <v>36</v>
      </c>
      <c r="H2407" s="3" t="s">
        <v>37</v>
      </c>
      <c r="I2407" s="3" t="s">
        <v>24</v>
      </c>
      <c r="J2407" s="3" t="s">
        <v>24</v>
      </c>
      <c r="K2407" s="3" t="s">
        <v>25</v>
      </c>
      <c r="L2407" s="4">
        <v>0</v>
      </c>
      <c r="M2407" s="3" t="s">
        <v>26</v>
      </c>
      <c r="N2407" s="3" t="s">
        <v>24</v>
      </c>
      <c r="O2407" s="4">
        <v>0</v>
      </c>
      <c r="P2407" s="4">
        <v>8</v>
      </c>
      <c r="Q2407" s="4">
        <v>0</v>
      </c>
    </row>
    <row r="2408" spans="1:17" x14ac:dyDescent="0.25">
      <c r="A2408" s="3" t="s">
        <v>18</v>
      </c>
      <c r="B2408" s="3">
        <v>15734120</v>
      </c>
      <c r="C2408" s="3" t="s">
        <v>2455</v>
      </c>
      <c r="D2408" s="3" t="s">
        <v>20</v>
      </c>
      <c r="E2408" s="3" t="s">
        <v>21</v>
      </c>
      <c r="F2408" s="3" t="s">
        <v>24</v>
      </c>
      <c r="G2408" s="3" t="s">
        <v>36</v>
      </c>
      <c r="H2408" s="3" t="s">
        <v>37</v>
      </c>
      <c r="I2408" s="3" t="s">
        <v>24</v>
      </c>
      <c r="J2408" s="3" t="s">
        <v>24</v>
      </c>
      <c r="K2408" s="3" t="s">
        <v>25</v>
      </c>
      <c r="L2408" s="4">
        <v>0</v>
      </c>
      <c r="M2408" s="3" t="s">
        <v>26</v>
      </c>
      <c r="N2408" s="3" t="s">
        <v>24</v>
      </c>
      <c r="O2408" s="4">
        <v>0</v>
      </c>
      <c r="P2408" s="4">
        <v>8</v>
      </c>
      <c r="Q2408" s="4">
        <v>0</v>
      </c>
    </row>
    <row r="2409" spans="1:17" x14ac:dyDescent="0.25">
      <c r="A2409" s="3" t="s">
        <v>18</v>
      </c>
      <c r="B2409" s="3">
        <v>15734121</v>
      </c>
      <c r="C2409" s="3" t="s">
        <v>2456</v>
      </c>
      <c r="D2409" s="3" t="s">
        <v>20</v>
      </c>
      <c r="E2409" s="3" t="s">
        <v>21</v>
      </c>
      <c r="F2409" s="3" t="s">
        <v>21</v>
      </c>
      <c r="G2409" s="3" t="s">
        <v>36</v>
      </c>
      <c r="H2409" s="3" t="s">
        <v>37</v>
      </c>
      <c r="I2409" s="3" t="s">
        <v>24</v>
      </c>
      <c r="J2409" s="3" t="s">
        <v>24</v>
      </c>
      <c r="K2409" s="3" t="s">
        <v>25</v>
      </c>
      <c r="L2409" s="4">
        <v>0</v>
      </c>
      <c r="M2409" s="3" t="s">
        <v>26</v>
      </c>
      <c r="N2409" s="3" t="s">
        <v>24</v>
      </c>
      <c r="O2409" s="4">
        <v>0</v>
      </c>
      <c r="P2409" s="4">
        <v>8</v>
      </c>
      <c r="Q2409" s="4">
        <v>0</v>
      </c>
    </row>
    <row r="2410" spans="1:17" x14ac:dyDescent="0.25">
      <c r="A2410" s="3" t="s">
        <v>18</v>
      </c>
      <c r="B2410" s="3">
        <v>15734724</v>
      </c>
      <c r="C2410" s="3" t="s">
        <v>2457</v>
      </c>
      <c r="D2410" s="3" t="s">
        <v>20</v>
      </c>
      <c r="E2410" s="3" t="s">
        <v>21</v>
      </c>
      <c r="F2410" s="3" t="s">
        <v>21</v>
      </c>
      <c r="G2410" s="3" t="s">
        <v>22</v>
      </c>
      <c r="H2410" s="3" t="s">
        <v>23</v>
      </c>
      <c r="I2410" s="3" t="s">
        <v>24</v>
      </c>
      <c r="J2410" s="3" t="s">
        <v>24</v>
      </c>
      <c r="K2410" s="3" t="s">
        <v>25</v>
      </c>
      <c r="L2410" s="4">
        <v>0</v>
      </c>
      <c r="M2410" s="3" t="s">
        <v>26</v>
      </c>
      <c r="N2410" s="3" t="s">
        <v>24</v>
      </c>
      <c r="O2410" s="4">
        <v>1</v>
      </c>
      <c r="P2410" s="4">
        <v>4</v>
      </c>
      <c r="Q2410" s="4">
        <v>1</v>
      </c>
    </row>
    <row r="2411" spans="1:17" x14ac:dyDescent="0.25">
      <c r="A2411" s="3" t="s">
        <v>18</v>
      </c>
      <c r="B2411" s="3">
        <v>15734882</v>
      </c>
      <c r="C2411" s="3" t="s">
        <v>2458</v>
      </c>
      <c r="D2411" s="3" t="s">
        <v>20</v>
      </c>
      <c r="E2411" s="3" t="s">
        <v>21</v>
      </c>
      <c r="F2411" s="3" t="s">
        <v>24</v>
      </c>
      <c r="G2411" s="3" t="s">
        <v>36</v>
      </c>
      <c r="H2411" s="3" t="s">
        <v>37</v>
      </c>
      <c r="I2411" s="3" t="s">
        <v>24</v>
      </c>
      <c r="J2411" s="3" t="s">
        <v>24</v>
      </c>
      <c r="K2411" s="3" t="s">
        <v>25</v>
      </c>
      <c r="L2411" s="4">
        <v>0</v>
      </c>
      <c r="M2411" s="3" t="s">
        <v>26</v>
      </c>
      <c r="N2411" s="3" t="s">
        <v>24</v>
      </c>
      <c r="O2411" s="4">
        <v>0</v>
      </c>
      <c r="P2411" s="4">
        <v>8</v>
      </c>
      <c r="Q2411" s="4">
        <v>0</v>
      </c>
    </row>
    <row r="2412" spans="1:17" x14ac:dyDescent="0.25">
      <c r="A2412" s="3" t="s">
        <v>18</v>
      </c>
      <c r="B2412" s="3">
        <v>15735044</v>
      </c>
      <c r="C2412" s="3" t="s">
        <v>2459</v>
      </c>
      <c r="D2412" s="3" t="s">
        <v>20</v>
      </c>
      <c r="E2412" s="3" t="s">
        <v>21</v>
      </c>
      <c r="F2412" s="3" t="s">
        <v>21</v>
      </c>
      <c r="G2412" s="3" t="s">
        <v>36</v>
      </c>
      <c r="H2412" s="3" t="s">
        <v>37</v>
      </c>
      <c r="I2412" s="3" t="s">
        <v>24</v>
      </c>
      <c r="J2412" s="3" t="s">
        <v>24</v>
      </c>
      <c r="K2412" s="3" t="s">
        <v>25</v>
      </c>
      <c r="L2412" s="4">
        <v>0</v>
      </c>
      <c r="M2412" s="3" t="s">
        <v>26</v>
      </c>
      <c r="N2412" s="3" t="s">
        <v>24</v>
      </c>
      <c r="O2412" s="4">
        <v>1</v>
      </c>
      <c r="P2412" s="4">
        <v>8</v>
      </c>
      <c r="Q2412" s="4">
        <v>1</v>
      </c>
    </row>
    <row r="2413" spans="1:17" x14ac:dyDescent="0.25">
      <c r="A2413" s="3" t="s">
        <v>18</v>
      </c>
      <c r="B2413" s="3">
        <v>15735599</v>
      </c>
      <c r="C2413" s="3" t="s">
        <v>2460</v>
      </c>
      <c r="D2413" s="3" t="s">
        <v>20</v>
      </c>
      <c r="E2413" s="3" t="s">
        <v>21</v>
      </c>
      <c r="F2413" s="3" t="s">
        <v>21</v>
      </c>
      <c r="G2413" s="3" t="s">
        <v>22</v>
      </c>
      <c r="H2413" s="3" t="s">
        <v>23</v>
      </c>
      <c r="I2413" s="3" t="s">
        <v>24</v>
      </c>
      <c r="J2413" s="3" t="s">
        <v>24</v>
      </c>
      <c r="K2413" s="3" t="s">
        <v>25</v>
      </c>
      <c r="L2413" s="4">
        <v>0</v>
      </c>
      <c r="M2413" s="3" t="s">
        <v>26</v>
      </c>
      <c r="N2413" s="3" t="s">
        <v>24</v>
      </c>
      <c r="O2413" s="4">
        <v>1</v>
      </c>
      <c r="P2413" s="4">
        <v>4</v>
      </c>
      <c r="Q2413" s="4">
        <v>1</v>
      </c>
    </row>
    <row r="2414" spans="1:17" x14ac:dyDescent="0.25">
      <c r="A2414" s="3" t="s">
        <v>18</v>
      </c>
      <c r="B2414" s="3">
        <v>15735600</v>
      </c>
      <c r="C2414" s="3" t="s">
        <v>2461</v>
      </c>
      <c r="D2414" s="3" t="s">
        <v>20</v>
      </c>
      <c r="E2414" s="3" t="s">
        <v>21</v>
      </c>
      <c r="F2414" s="3" t="s">
        <v>21</v>
      </c>
      <c r="G2414" s="3" t="s">
        <v>22</v>
      </c>
      <c r="H2414" s="3" t="s">
        <v>23</v>
      </c>
      <c r="I2414" s="3" t="s">
        <v>24</v>
      </c>
      <c r="J2414" s="3" t="s">
        <v>24</v>
      </c>
      <c r="K2414" s="3" t="s">
        <v>25</v>
      </c>
      <c r="L2414" s="4">
        <v>0</v>
      </c>
      <c r="M2414" s="3" t="s">
        <v>26</v>
      </c>
      <c r="N2414" s="3" t="s">
        <v>24</v>
      </c>
      <c r="O2414" s="4">
        <v>1</v>
      </c>
      <c r="P2414" s="4">
        <v>4</v>
      </c>
      <c r="Q2414" s="4">
        <v>1</v>
      </c>
    </row>
    <row r="2415" spans="1:17" x14ac:dyDescent="0.25">
      <c r="A2415" s="3" t="s">
        <v>18</v>
      </c>
      <c r="B2415" s="3">
        <v>15735604</v>
      </c>
      <c r="C2415" s="3" t="s">
        <v>2462</v>
      </c>
      <c r="D2415" s="3" t="s">
        <v>20</v>
      </c>
      <c r="E2415" s="3" t="s">
        <v>21</v>
      </c>
      <c r="F2415" s="3" t="s">
        <v>21</v>
      </c>
      <c r="G2415" s="3" t="s">
        <v>22</v>
      </c>
      <c r="H2415" s="3" t="s">
        <v>23</v>
      </c>
      <c r="I2415" s="3" t="s">
        <v>24</v>
      </c>
      <c r="J2415" s="3" t="s">
        <v>24</v>
      </c>
      <c r="K2415" s="3" t="s">
        <v>25</v>
      </c>
      <c r="L2415" s="4">
        <v>0</v>
      </c>
      <c r="M2415" s="3" t="s">
        <v>26</v>
      </c>
      <c r="N2415" s="3" t="s">
        <v>24</v>
      </c>
      <c r="O2415" s="4">
        <v>1</v>
      </c>
      <c r="P2415" s="4">
        <v>4</v>
      </c>
      <c r="Q2415" s="4">
        <v>1</v>
      </c>
    </row>
    <row r="2416" spans="1:17" x14ac:dyDescent="0.25">
      <c r="A2416" s="3" t="s">
        <v>18</v>
      </c>
      <c r="B2416" s="3">
        <v>15735605</v>
      </c>
      <c r="C2416" s="3" t="s">
        <v>2463</v>
      </c>
      <c r="D2416" s="3" t="s">
        <v>20</v>
      </c>
      <c r="E2416" s="3" t="s">
        <v>21</v>
      </c>
      <c r="F2416" s="3" t="s">
        <v>21</v>
      </c>
      <c r="G2416" s="3" t="s">
        <v>22</v>
      </c>
      <c r="H2416" s="3" t="s">
        <v>23</v>
      </c>
      <c r="I2416" s="3" t="s">
        <v>24</v>
      </c>
      <c r="J2416" s="3" t="s">
        <v>24</v>
      </c>
      <c r="K2416" s="3" t="s">
        <v>25</v>
      </c>
      <c r="L2416" s="4">
        <v>0</v>
      </c>
      <c r="M2416" s="3" t="s">
        <v>26</v>
      </c>
      <c r="N2416" s="3" t="s">
        <v>24</v>
      </c>
      <c r="O2416" s="4">
        <v>1</v>
      </c>
      <c r="P2416" s="4">
        <v>4</v>
      </c>
      <c r="Q2416" s="4">
        <v>1</v>
      </c>
    </row>
    <row r="2417" spans="1:17" x14ac:dyDescent="0.25">
      <c r="A2417" s="3" t="s">
        <v>18</v>
      </c>
      <c r="B2417" s="3">
        <v>15735607</v>
      </c>
      <c r="C2417" s="3" t="s">
        <v>2464</v>
      </c>
      <c r="D2417" s="3" t="s">
        <v>20</v>
      </c>
      <c r="E2417" s="3" t="s">
        <v>21</v>
      </c>
      <c r="F2417" s="3" t="s">
        <v>21</v>
      </c>
      <c r="G2417" s="3" t="s">
        <v>22</v>
      </c>
      <c r="H2417" s="3" t="s">
        <v>23</v>
      </c>
      <c r="I2417" s="3" t="s">
        <v>24</v>
      </c>
      <c r="J2417" s="3" t="s">
        <v>24</v>
      </c>
      <c r="K2417" s="3" t="s">
        <v>25</v>
      </c>
      <c r="L2417" s="4">
        <v>0</v>
      </c>
      <c r="M2417" s="3" t="s">
        <v>26</v>
      </c>
      <c r="N2417" s="3" t="s">
        <v>24</v>
      </c>
      <c r="O2417" s="4">
        <v>1</v>
      </c>
      <c r="P2417" s="4">
        <v>4</v>
      </c>
      <c r="Q2417" s="4">
        <v>1</v>
      </c>
    </row>
    <row r="2418" spans="1:17" x14ac:dyDescent="0.25">
      <c r="A2418" s="3" t="s">
        <v>18</v>
      </c>
      <c r="B2418" s="3">
        <v>15735652</v>
      </c>
      <c r="C2418" s="3" t="s">
        <v>2465</v>
      </c>
      <c r="D2418" s="3" t="s">
        <v>20</v>
      </c>
      <c r="E2418" s="3" t="s">
        <v>21</v>
      </c>
      <c r="F2418" s="3" t="s">
        <v>21</v>
      </c>
      <c r="G2418" s="3" t="s">
        <v>233</v>
      </c>
      <c r="H2418" s="3" t="s">
        <v>234</v>
      </c>
      <c r="I2418" s="3" t="s">
        <v>24</v>
      </c>
      <c r="J2418" s="3" t="s">
        <v>24</v>
      </c>
      <c r="K2418" s="3" t="s">
        <v>25</v>
      </c>
      <c r="L2418" s="4">
        <v>0</v>
      </c>
      <c r="M2418" s="3" t="s">
        <v>26</v>
      </c>
      <c r="N2418" s="3" t="s">
        <v>24</v>
      </c>
      <c r="O2418" s="4">
        <v>0</v>
      </c>
      <c r="P2418" s="4">
        <v>4</v>
      </c>
      <c r="Q2418" s="4">
        <v>0</v>
      </c>
    </row>
    <row r="2419" spans="1:17" x14ac:dyDescent="0.25">
      <c r="A2419" s="3" t="s">
        <v>18</v>
      </c>
      <c r="B2419" s="3">
        <v>15735653</v>
      </c>
      <c r="C2419" s="3" t="s">
        <v>2466</v>
      </c>
      <c r="D2419" s="3" t="s">
        <v>20</v>
      </c>
      <c r="E2419" s="3" t="s">
        <v>21</v>
      </c>
      <c r="F2419" s="3" t="s">
        <v>21</v>
      </c>
      <c r="G2419" s="3" t="s">
        <v>233</v>
      </c>
      <c r="H2419" s="3" t="s">
        <v>234</v>
      </c>
      <c r="I2419" s="3" t="s">
        <v>24</v>
      </c>
      <c r="J2419" s="3" t="s">
        <v>24</v>
      </c>
      <c r="K2419" s="3" t="s">
        <v>25</v>
      </c>
      <c r="L2419" s="4">
        <v>0</v>
      </c>
      <c r="M2419" s="3" t="s">
        <v>26</v>
      </c>
      <c r="N2419" s="3" t="s">
        <v>24</v>
      </c>
      <c r="O2419" s="4">
        <v>0</v>
      </c>
      <c r="P2419" s="4">
        <v>4</v>
      </c>
      <c r="Q2419" s="4">
        <v>0</v>
      </c>
    </row>
    <row r="2420" spans="1:17" x14ac:dyDescent="0.25">
      <c r="A2420" s="3" t="s">
        <v>18</v>
      </c>
      <c r="B2420" s="3">
        <v>15735654</v>
      </c>
      <c r="C2420" s="3" t="s">
        <v>2467</v>
      </c>
      <c r="D2420" s="3" t="s">
        <v>20</v>
      </c>
      <c r="E2420" s="3" t="s">
        <v>21</v>
      </c>
      <c r="F2420" s="3" t="s">
        <v>21</v>
      </c>
      <c r="G2420" s="3" t="s">
        <v>233</v>
      </c>
      <c r="H2420" s="3" t="s">
        <v>234</v>
      </c>
      <c r="I2420" s="3" t="s">
        <v>24</v>
      </c>
      <c r="J2420" s="3" t="s">
        <v>24</v>
      </c>
      <c r="K2420" s="3" t="s">
        <v>25</v>
      </c>
      <c r="L2420" s="4">
        <v>0</v>
      </c>
      <c r="M2420" s="3" t="s">
        <v>26</v>
      </c>
      <c r="N2420" s="3" t="s">
        <v>24</v>
      </c>
      <c r="O2420" s="4">
        <v>0</v>
      </c>
      <c r="P2420" s="4">
        <v>4</v>
      </c>
      <c r="Q2420" s="4">
        <v>0</v>
      </c>
    </row>
    <row r="2421" spans="1:17" x14ac:dyDescent="0.25">
      <c r="A2421" s="3" t="s">
        <v>18</v>
      </c>
      <c r="B2421" s="3">
        <v>15737501</v>
      </c>
      <c r="C2421" s="3" t="s">
        <v>2468</v>
      </c>
      <c r="D2421" s="3" t="s">
        <v>20</v>
      </c>
      <c r="E2421" s="3" t="s">
        <v>21</v>
      </c>
      <c r="F2421" s="3" t="s">
        <v>21</v>
      </c>
      <c r="G2421" s="3" t="s">
        <v>233</v>
      </c>
      <c r="H2421" s="3" t="s">
        <v>234</v>
      </c>
      <c r="I2421" s="3" t="s">
        <v>24</v>
      </c>
      <c r="J2421" s="3" t="s">
        <v>24</v>
      </c>
      <c r="K2421" s="3" t="s">
        <v>25</v>
      </c>
      <c r="L2421" s="4">
        <v>0</v>
      </c>
      <c r="M2421" s="3" t="s">
        <v>26</v>
      </c>
      <c r="N2421" s="3" t="s">
        <v>24</v>
      </c>
      <c r="O2421" s="4">
        <v>0</v>
      </c>
      <c r="P2421" s="4">
        <v>4</v>
      </c>
      <c r="Q2421" s="4">
        <v>0</v>
      </c>
    </row>
    <row r="2422" spans="1:17" x14ac:dyDescent="0.25">
      <c r="A2422" s="3" t="s">
        <v>18</v>
      </c>
      <c r="B2422" s="3">
        <v>15737504</v>
      </c>
      <c r="C2422" s="3" t="s">
        <v>2469</v>
      </c>
      <c r="D2422" s="3" t="s">
        <v>20</v>
      </c>
      <c r="E2422" s="3" t="s">
        <v>21</v>
      </c>
      <c r="F2422" s="3" t="s">
        <v>21</v>
      </c>
      <c r="G2422" s="3" t="s">
        <v>233</v>
      </c>
      <c r="H2422" s="3" t="s">
        <v>234</v>
      </c>
      <c r="I2422" s="3" t="s">
        <v>24</v>
      </c>
      <c r="J2422" s="3" t="s">
        <v>24</v>
      </c>
      <c r="K2422" s="3" t="s">
        <v>25</v>
      </c>
      <c r="L2422" s="4">
        <v>0</v>
      </c>
      <c r="M2422" s="3" t="s">
        <v>26</v>
      </c>
      <c r="N2422" s="3" t="s">
        <v>24</v>
      </c>
      <c r="O2422" s="4">
        <v>0</v>
      </c>
      <c r="P2422" s="4">
        <v>4</v>
      </c>
      <c r="Q2422" s="4">
        <v>0</v>
      </c>
    </row>
    <row r="2423" spans="1:17" x14ac:dyDescent="0.25">
      <c r="A2423" s="3" t="s">
        <v>18</v>
      </c>
      <c r="B2423" s="3">
        <v>15737506</v>
      </c>
      <c r="C2423" s="3" t="s">
        <v>2470</v>
      </c>
      <c r="D2423" s="3" t="s">
        <v>20</v>
      </c>
      <c r="E2423" s="3" t="s">
        <v>21</v>
      </c>
      <c r="F2423" s="3" t="s">
        <v>21</v>
      </c>
      <c r="G2423" s="3" t="s">
        <v>233</v>
      </c>
      <c r="H2423" s="3" t="s">
        <v>234</v>
      </c>
      <c r="I2423" s="3" t="s">
        <v>24</v>
      </c>
      <c r="J2423" s="3" t="s">
        <v>24</v>
      </c>
      <c r="K2423" s="3" t="s">
        <v>25</v>
      </c>
      <c r="L2423" s="4">
        <v>0</v>
      </c>
      <c r="M2423" s="3" t="s">
        <v>26</v>
      </c>
      <c r="N2423" s="3" t="s">
        <v>24</v>
      </c>
      <c r="O2423" s="4">
        <v>0</v>
      </c>
      <c r="P2423" s="4">
        <v>4</v>
      </c>
      <c r="Q2423" s="4">
        <v>0</v>
      </c>
    </row>
    <row r="2424" spans="1:17" x14ac:dyDescent="0.25">
      <c r="A2424" s="3" t="s">
        <v>18</v>
      </c>
      <c r="B2424" s="3">
        <v>15737608</v>
      </c>
      <c r="C2424" s="3" t="s">
        <v>2471</v>
      </c>
      <c r="D2424" s="3" t="s">
        <v>20</v>
      </c>
      <c r="E2424" s="3" t="s">
        <v>21</v>
      </c>
      <c r="F2424" s="3" t="s">
        <v>21</v>
      </c>
      <c r="G2424" s="3" t="s">
        <v>233</v>
      </c>
      <c r="H2424" s="3" t="s">
        <v>234</v>
      </c>
      <c r="I2424" s="3" t="s">
        <v>24</v>
      </c>
      <c r="J2424" s="3" t="s">
        <v>24</v>
      </c>
      <c r="K2424" s="3" t="s">
        <v>25</v>
      </c>
      <c r="L2424" s="4">
        <v>0</v>
      </c>
      <c r="M2424" s="3" t="s">
        <v>26</v>
      </c>
      <c r="N2424" s="3" t="s">
        <v>24</v>
      </c>
      <c r="O2424" s="4">
        <v>0</v>
      </c>
      <c r="P2424" s="4">
        <v>4</v>
      </c>
      <c r="Q2424" s="4">
        <v>0</v>
      </c>
    </row>
    <row r="2425" spans="1:17" x14ac:dyDescent="0.25">
      <c r="A2425" s="3" t="s">
        <v>18</v>
      </c>
      <c r="B2425" s="3">
        <v>15737609</v>
      </c>
      <c r="C2425" s="3" t="s">
        <v>2472</v>
      </c>
      <c r="D2425" s="3" t="s">
        <v>20</v>
      </c>
      <c r="E2425" s="3" t="s">
        <v>21</v>
      </c>
      <c r="F2425" s="3" t="s">
        <v>21</v>
      </c>
      <c r="G2425" s="3" t="s">
        <v>233</v>
      </c>
      <c r="H2425" s="3" t="s">
        <v>234</v>
      </c>
      <c r="I2425" s="3" t="s">
        <v>24</v>
      </c>
      <c r="J2425" s="3" t="s">
        <v>24</v>
      </c>
      <c r="K2425" s="3" t="s">
        <v>25</v>
      </c>
      <c r="L2425" s="4">
        <v>0</v>
      </c>
      <c r="M2425" s="3" t="s">
        <v>26</v>
      </c>
      <c r="N2425" s="3" t="s">
        <v>24</v>
      </c>
      <c r="O2425" s="4">
        <v>0</v>
      </c>
      <c r="P2425" s="4">
        <v>2</v>
      </c>
      <c r="Q2425" s="4">
        <v>0</v>
      </c>
    </row>
    <row r="2426" spans="1:17" x14ac:dyDescent="0.25">
      <c r="A2426" s="3" t="s">
        <v>18</v>
      </c>
      <c r="B2426" s="3">
        <v>15737611</v>
      </c>
      <c r="C2426" s="3" t="s">
        <v>2473</v>
      </c>
      <c r="D2426" s="3" t="s">
        <v>20</v>
      </c>
      <c r="E2426" s="3" t="s">
        <v>21</v>
      </c>
      <c r="F2426" s="3" t="s">
        <v>21</v>
      </c>
      <c r="G2426" s="3" t="s">
        <v>233</v>
      </c>
      <c r="H2426" s="3" t="s">
        <v>234</v>
      </c>
      <c r="I2426" s="3" t="s">
        <v>24</v>
      </c>
      <c r="J2426" s="3" t="s">
        <v>24</v>
      </c>
      <c r="K2426" s="3" t="s">
        <v>25</v>
      </c>
      <c r="L2426" s="4">
        <v>0</v>
      </c>
      <c r="M2426" s="3" t="s">
        <v>26</v>
      </c>
      <c r="N2426" s="3" t="s">
        <v>24</v>
      </c>
      <c r="O2426" s="4">
        <v>0</v>
      </c>
      <c r="P2426" s="4">
        <v>4</v>
      </c>
      <c r="Q2426" s="4">
        <v>0</v>
      </c>
    </row>
    <row r="2427" spans="1:17" x14ac:dyDescent="0.25">
      <c r="A2427" s="3" t="s">
        <v>18</v>
      </c>
      <c r="B2427" s="3">
        <v>15737612</v>
      </c>
      <c r="C2427" s="3" t="s">
        <v>2474</v>
      </c>
      <c r="D2427" s="3" t="s">
        <v>20</v>
      </c>
      <c r="E2427" s="3" t="s">
        <v>21</v>
      </c>
      <c r="F2427" s="3" t="s">
        <v>21</v>
      </c>
      <c r="G2427" s="3" t="s">
        <v>233</v>
      </c>
      <c r="H2427" s="3" t="s">
        <v>234</v>
      </c>
      <c r="I2427" s="3" t="s">
        <v>24</v>
      </c>
      <c r="J2427" s="3" t="s">
        <v>24</v>
      </c>
      <c r="K2427" s="3" t="s">
        <v>25</v>
      </c>
      <c r="L2427" s="4">
        <v>0</v>
      </c>
      <c r="M2427" s="3" t="s">
        <v>26</v>
      </c>
      <c r="N2427" s="3" t="s">
        <v>24</v>
      </c>
      <c r="O2427" s="4">
        <v>0</v>
      </c>
      <c r="P2427" s="4">
        <v>4</v>
      </c>
      <c r="Q2427" s="4">
        <v>0</v>
      </c>
    </row>
    <row r="2428" spans="1:17" x14ac:dyDescent="0.25">
      <c r="A2428" s="3" t="s">
        <v>18</v>
      </c>
      <c r="B2428" s="3">
        <v>15737615</v>
      </c>
      <c r="C2428" s="3" t="s">
        <v>2475</v>
      </c>
      <c r="D2428" s="3" t="s">
        <v>20</v>
      </c>
      <c r="E2428" s="3" t="s">
        <v>21</v>
      </c>
      <c r="F2428" s="3" t="s">
        <v>21</v>
      </c>
      <c r="G2428" s="3" t="s">
        <v>233</v>
      </c>
      <c r="H2428" s="3" t="s">
        <v>234</v>
      </c>
      <c r="I2428" s="3" t="s">
        <v>24</v>
      </c>
      <c r="J2428" s="3" t="s">
        <v>24</v>
      </c>
      <c r="K2428" s="3" t="s">
        <v>25</v>
      </c>
      <c r="L2428" s="4">
        <v>0</v>
      </c>
      <c r="M2428" s="3" t="s">
        <v>26</v>
      </c>
      <c r="N2428" s="3" t="s">
        <v>24</v>
      </c>
      <c r="O2428" s="4">
        <v>0</v>
      </c>
      <c r="P2428" s="4">
        <v>4</v>
      </c>
      <c r="Q2428" s="4">
        <v>0</v>
      </c>
    </row>
    <row r="2429" spans="1:17" x14ac:dyDescent="0.25">
      <c r="A2429" s="3" t="s">
        <v>18</v>
      </c>
      <c r="B2429" s="3">
        <v>15737679</v>
      </c>
      <c r="C2429" s="3" t="s">
        <v>2476</v>
      </c>
      <c r="D2429" s="3" t="s">
        <v>20</v>
      </c>
      <c r="E2429" s="3" t="s">
        <v>21</v>
      </c>
      <c r="F2429" s="3" t="s">
        <v>21</v>
      </c>
      <c r="G2429" s="3" t="s">
        <v>233</v>
      </c>
      <c r="H2429" s="3" t="s">
        <v>234</v>
      </c>
      <c r="I2429" s="3" t="s">
        <v>24</v>
      </c>
      <c r="J2429" s="3" t="s">
        <v>24</v>
      </c>
      <c r="K2429" s="3" t="s">
        <v>25</v>
      </c>
      <c r="L2429" s="4">
        <v>0</v>
      </c>
      <c r="M2429" s="3" t="s">
        <v>26</v>
      </c>
      <c r="N2429" s="3" t="s">
        <v>24</v>
      </c>
      <c r="O2429" s="4">
        <v>0</v>
      </c>
      <c r="P2429" s="4">
        <v>4</v>
      </c>
      <c r="Q2429" s="4">
        <v>0</v>
      </c>
    </row>
    <row r="2430" spans="1:17" x14ac:dyDescent="0.25">
      <c r="A2430" s="3" t="s">
        <v>18</v>
      </c>
      <c r="B2430" s="3">
        <v>15737686</v>
      </c>
      <c r="C2430" s="3" t="s">
        <v>2477</v>
      </c>
      <c r="D2430" s="3" t="s">
        <v>20</v>
      </c>
      <c r="E2430" s="3" t="s">
        <v>21</v>
      </c>
      <c r="F2430" s="3" t="s">
        <v>21</v>
      </c>
      <c r="G2430" s="3" t="s">
        <v>233</v>
      </c>
      <c r="H2430" s="3" t="s">
        <v>234</v>
      </c>
      <c r="I2430" s="3" t="s">
        <v>24</v>
      </c>
      <c r="J2430" s="3" t="s">
        <v>24</v>
      </c>
      <c r="K2430" s="3" t="s">
        <v>25</v>
      </c>
      <c r="L2430" s="4">
        <v>0</v>
      </c>
      <c r="M2430" s="3" t="s">
        <v>26</v>
      </c>
      <c r="N2430" s="3" t="s">
        <v>24</v>
      </c>
      <c r="O2430" s="4">
        <v>1</v>
      </c>
      <c r="P2430" s="4">
        <v>3</v>
      </c>
      <c r="Q2430" s="4">
        <v>1</v>
      </c>
    </row>
    <row r="2431" spans="1:17" x14ac:dyDescent="0.25">
      <c r="A2431" s="3" t="s">
        <v>18</v>
      </c>
      <c r="B2431" s="3">
        <v>15737731</v>
      </c>
      <c r="C2431" s="3" t="s">
        <v>2478</v>
      </c>
      <c r="D2431" s="3" t="s">
        <v>20</v>
      </c>
      <c r="E2431" s="3" t="s">
        <v>21</v>
      </c>
      <c r="F2431" s="3" t="s">
        <v>21</v>
      </c>
      <c r="G2431" s="3" t="s">
        <v>233</v>
      </c>
      <c r="H2431" s="3" t="s">
        <v>234</v>
      </c>
      <c r="I2431" s="3" t="s">
        <v>24</v>
      </c>
      <c r="J2431" s="3" t="s">
        <v>24</v>
      </c>
      <c r="K2431" s="3" t="s">
        <v>25</v>
      </c>
      <c r="L2431" s="4">
        <v>0</v>
      </c>
      <c r="M2431" s="3" t="s">
        <v>26</v>
      </c>
      <c r="N2431" s="3" t="s">
        <v>24</v>
      </c>
      <c r="O2431" s="4">
        <v>1</v>
      </c>
      <c r="P2431" s="4">
        <v>3</v>
      </c>
      <c r="Q2431" s="4">
        <v>1</v>
      </c>
    </row>
    <row r="2432" spans="1:17" x14ac:dyDescent="0.25">
      <c r="A2432" s="3" t="s">
        <v>18</v>
      </c>
      <c r="B2432" s="3">
        <v>15737734</v>
      </c>
      <c r="C2432" s="3" t="s">
        <v>2479</v>
      </c>
      <c r="D2432" s="3" t="s">
        <v>20</v>
      </c>
      <c r="E2432" s="3" t="s">
        <v>21</v>
      </c>
      <c r="F2432" s="3" t="s">
        <v>21</v>
      </c>
      <c r="G2432" s="3" t="s">
        <v>233</v>
      </c>
      <c r="H2432" s="3" t="s">
        <v>234</v>
      </c>
      <c r="I2432" s="3" t="s">
        <v>24</v>
      </c>
      <c r="J2432" s="3" t="s">
        <v>24</v>
      </c>
      <c r="K2432" s="3" t="s">
        <v>25</v>
      </c>
      <c r="L2432" s="4">
        <v>0</v>
      </c>
      <c r="M2432" s="3" t="s">
        <v>26</v>
      </c>
      <c r="N2432" s="3" t="s">
        <v>24</v>
      </c>
      <c r="O2432" s="4">
        <v>1</v>
      </c>
      <c r="P2432" s="4">
        <v>3</v>
      </c>
      <c r="Q2432" s="4">
        <v>1</v>
      </c>
    </row>
    <row r="2433" spans="1:17" x14ac:dyDescent="0.25">
      <c r="A2433" s="3" t="s">
        <v>18</v>
      </c>
      <c r="B2433" s="3">
        <v>15737735</v>
      </c>
      <c r="C2433" s="3" t="s">
        <v>2480</v>
      </c>
      <c r="D2433" s="3" t="s">
        <v>20</v>
      </c>
      <c r="E2433" s="3" t="s">
        <v>21</v>
      </c>
      <c r="F2433" s="3" t="s">
        <v>21</v>
      </c>
      <c r="G2433" s="3" t="s">
        <v>233</v>
      </c>
      <c r="H2433" s="3" t="s">
        <v>234</v>
      </c>
      <c r="I2433" s="3" t="s">
        <v>24</v>
      </c>
      <c r="J2433" s="3" t="s">
        <v>24</v>
      </c>
      <c r="K2433" s="3" t="s">
        <v>25</v>
      </c>
      <c r="L2433" s="4">
        <v>0</v>
      </c>
      <c r="M2433" s="3" t="s">
        <v>26</v>
      </c>
      <c r="N2433" s="3" t="s">
        <v>24</v>
      </c>
      <c r="O2433" s="4">
        <v>1</v>
      </c>
      <c r="P2433" s="4">
        <v>3</v>
      </c>
      <c r="Q2433" s="4">
        <v>1</v>
      </c>
    </row>
    <row r="2434" spans="1:17" x14ac:dyDescent="0.25">
      <c r="A2434" s="3" t="s">
        <v>18</v>
      </c>
      <c r="B2434" s="3">
        <v>15737737</v>
      </c>
      <c r="C2434" s="3" t="s">
        <v>2481</v>
      </c>
      <c r="D2434" s="3" t="s">
        <v>20</v>
      </c>
      <c r="E2434" s="3" t="s">
        <v>21</v>
      </c>
      <c r="F2434" s="3" t="s">
        <v>21</v>
      </c>
      <c r="G2434" s="3" t="s">
        <v>233</v>
      </c>
      <c r="H2434" s="3" t="s">
        <v>234</v>
      </c>
      <c r="I2434" s="3" t="s">
        <v>24</v>
      </c>
      <c r="J2434" s="3" t="s">
        <v>24</v>
      </c>
      <c r="K2434" s="3" t="s">
        <v>25</v>
      </c>
      <c r="L2434" s="4">
        <v>0</v>
      </c>
      <c r="M2434" s="3" t="s">
        <v>26</v>
      </c>
      <c r="N2434" s="3" t="s">
        <v>24</v>
      </c>
      <c r="O2434" s="4">
        <v>1</v>
      </c>
      <c r="P2434" s="4">
        <v>3</v>
      </c>
      <c r="Q2434" s="4">
        <v>1</v>
      </c>
    </row>
    <row r="2435" spans="1:17" x14ac:dyDescent="0.25">
      <c r="A2435" s="3" t="s">
        <v>18</v>
      </c>
      <c r="B2435" s="3">
        <v>15737831</v>
      </c>
      <c r="C2435" s="3" t="s">
        <v>2482</v>
      </c>
      <c r="D2435" s="3" t="s">
        <v>20</v>
      </c>
      <c r="E2435" s="3" t="s">
        <v>21</v>
      </c>
      <c r="F2435" s="3" t="s">
        <v>21</v>
      </c>
      <c r="G2435" s="3" t="s">
        <v>233</v>
      </c>
      <c r="H2435" s="3" t="s">
        <v>234</v>
      </c>
      <c r="I2435" s="3" t="s">
        <v>24</v>
      </c>
      <c r="J2435" s="3" t="s">
        <v>24</v>
      </c>
      <c r="K2435" s="3" t="s">
        <v>25</v>
      </c>
      <c r="L2435" s="4">
        <v>0</v>
      </c>
      <c r="M2435" s="3" t="s">
        <v>26</v>
      </c>
      <c r="N2435" s="3" t="s">
        <v>24</v>
      </c>
      <c r="O2435" s="4">
        <v>1</v>
      </c>
      <c r="P2435" s="4">
        <v>3</v>
      </c>
      <c r="Q2435" s="4">
        <v>1</v>
      </c>
    </row>
    <row r="2436" spans="1:17" x14ac:dyDescent="0.25">
      <c r="A2436" s="3" t="s">
        <v>18</v>
      </c>
      <c r="B2436" s="3">
        <v>15737832</v>
      </c>
      <c r="C2436" s="3" t="s">
        <v>2483</v>
      </c>
      <c r="D2436" s="3" t="s">
        <v>20</v>
      </c>
      <c r="E2436" s="3" t="s">
        <v>21</v>
      </c>
      <c r="F2436" s="3" t="s">
        <v>21</v>
      </c>
      <c r="G2436" s="3" t="s">
        <v>233</v>
      </c>
      <c r="H2436" s="3" t="s">
        <v>234</v>
      </c>
      <c r="I2436" s="3" t="s">
        <v>24</v>
      </c>
      <c r="J2436" s="3" t="s">
        <v>24</v>
      </c>
      <c r="K2436" s="3" t="s">
        <v>25</v>
      </c>
      <c r="L2436" s="4">
        <v>0</v>
      </c>
      <c r="M2436" s="3" t="s">
        <v>26</v>
      </c>
      <c r="N2436" s="3" t="s">
        <v>24</v>
      </c>
      <c r="O2436" s="4">
        <v>1</v>
      </c>
      <c r="P2436" s="4">
        <v>3</v>
      </c>
      <c r="Q2436" s="4">
        <v>1</v>
      </c>
    </row>
    <row r="2437" spans="1:17" x14ac:dyDescent="0.25">
      <c r="A2437" s="3" t="s">
        <v>18</v>
      </c>
      <c r="B2437" s="3">
        <v>15737835</v>
      </c>
      <c r="C2437" s="3" t="s">
        <v>2484</v>
      </c>
      <c r="D2437" s="3" t="s">
        <v>20</v>
      </c>
      <c r="E2437" s="3" t="s">
        <v>21</v>
      </c>
      <c r="F2437" s="3" t="s">
        <v>21</v>
      </c>
      <c r="G2437" s="3" t="s">
        <v>233</v>
      </c>
      <c r="H2437" s="3" t="s">
        <v>234</v>
      </c>
      <c r="I2437" s="3" t="s">
        <v>24</v>
      </c>
      <c r="J2437" s="3" t="s">
        <v>24</v>
      </c>
      <c r="K2437" s="3" t="s">
        <v>25</v>
      </c>
      <c r="L2437" s="4">
        <v>0</v>
      </c>
      <c r="M2437" s="3" t="s">
        <v>26</v>
      </c>
      <c r="N2437" s="3" t="s">
        <v>24</v>
      </c>
      <c r="O2437" s="4">
        <v>1</v>
      </c>
      <c r="P2437" s="4">
        <v>3</v>
      </c>
      <c r="Q2437" s="4">
        <v>1</v>
      </c>
    </row>
    <row r="2438" spans="1:17" x14ac:dyDescent="0.25">
      <c r="A2438" s="3" t="s">
        <v>18</v>
      </c>
      <c r="B2438" s="3">
        <v>15737837</v>
      </c>
      <c r="C2438" s="3" t="s">
        <v>2485</v>
      </c>
      <c r="D2438" s="3" t="s">
        <v>20</v>
      </c>
      <c r="E2438" s="3" t="s">
        <v>21</v>
      </c>
      <c r="F2438" s="3" t="s">
        <v>21</v>
      </c>
      <c r="G2438" s="3" t="s">
        <v>233</v>
      </c>
      <c r="H2438" s="3" t="s">
        <v>234</v>
      </c>
      <c r="I2438" s="3" t="s">
        <v>24</v>
      </c>
      <c r="J2438" s="3" t="s">
        <v>24</v>
      </c>
      <c r="K2438" s="3" t="s">
        <v>25</v>
      </c>
      <c r="L2438" s="4">
        <v>0</v>
      </c>
      <c r="M2438" s="3" t="s">
        <v>26</v>
      </c>
      <c r="N2438" s="3" t="s">
        <v>24</v>
      </c>
      <c r="O2438" s="4">
        <v>1</v>
      </c>
      <c r="P2438" s="4">
        <v>3</v>
      </c>
      <c r="Q2438" s="4">
        <v>1</v>
      </c>
    </row>
    <row r="2439" spans="1:17" x14ac:dyDescent="0.25">
      <c r="A2439" s="3" t="s">
        <v>18</v>
      </c>
      <c r="B2439" s="3">
        <v>15737888</v>
      </c>
      <c r="C2439" s="3" t="s">
        <v>2486</v>
      </c>
      <c r="D2439" s="3" t="s">
        <v>20</v>
      </c>
      <c r="E2439" s="3" t="s">
        <v>21</v>
      </c>
      <c r="F2439" s="3" t="s">
        <v>21</v>
      </c>
      <c r="G2439" s="3" t="s">
        <v>233</v>
      </c>
      <c r="H2439" s="3" t="s">
        <v>234</v>
      </c>
      <c r="I2439" s="3" t="s">
        <v>24</v>
      </c>
      <c r="J2439" s="3" t="s">
        <v>24</v>
      </c>
      <c r="K2439" s="3" t="s">
        <v>25</v>
      </c>
      <c r="L2439" s="4">
        <v>0</v>
      </c>
      <c r="M2439" s="3" t="s">
        <v>26</v>
      </c>
      <c r="N2439" s="3" t="s">
        <v>24</v>
      </c>
      <c r="O2439" s="4">
        <v>1</v>
      </c>
      <c r="P2439" s="4">
        <v>3</v>
      </c>
      <c r="Q2439" s="4">
        <v>1</v>
      </c>
    </row>
    <row r="2440" spans="1:17" x14ac:dyDescent="0.25">
      <c r="A2440" s="3" t="s">
        <v>18</v>
      </c>
      <c r="B2440" s="3">
        <v>15737889</v>
      </c>
      <c r="C2440" s="3" t="s">
        <v>2487</v>
      </c>
      <c r="D2440" s="3" t="s">
        <v>20</v>
      </c>
      <c r="E2440" s="3" t="s">
        <v>21</v>
      </c>
      <c r="F2440" s="3" t="s">
        <v>21</v>
      </c>
      <c r="G2440" s="3" t="s">
        <v>233</v>
      </c>
      <c r="H2440" s="3" t="s">
        <v>234</v>
      </c>
      <c r="I2440" s="3" t="s">
        <v>24</v>
      </c>
      <c r="J2440" s="3" t="s">
        <v>24</v>
      </c>
      <c r="K2440" s="3" t="s">
        <v>25</v>
      </c>
      <c r="L2440" s="4">
        <v>0</v>
      </c>
      <c r="M2440" s="3" t="s">
        <v>26</v>
      </c>
      <c r="N2440" s="3" t="s">
        <v>24</v>
      </c>
      <c r="O2440" s="4">
        <v>1</v>
      </c>
      <c r="P2440" s="4">
        <v>3</v>
      </c>
      <c r="Q2440" s="4">
        <v>1</v>
      </c>
    </row>
    <row r="2441" spans="1:17" x14ac:dyDescent="0.25">
      <c r="A2441" s="3" t="s">
        <v>18</v>
      </c>
      <c r="B2441" s="3">
        <v>15737891</v>
      </c>
      <c r="C2441" s="3" t="s">
        <v>2488</v>
      </c>
      <c r="D2441" s="3" t="s">
        <v>20</v>
      </c>
      <c r="E2441" s="3" t="s">
        <v>21</v>
      </c>
      <c r="F2441" s="3" t="s">
        <v>21</v>
      </c>
      <c r="G2441" s="3" t="s">
        <v>233</v>
      </c>
      <c r="H2441" s="3" t="s">
        <v>234</v>
      </c>
      <c r="I2441" s="3" t="s">
        <v>24</v>
      </c>
      <c r="J2441" s="3" t="s">
        <v>24</v>
      </c>
      <c r="K2441" s="3" t="s">
        <v>25</v>
      </c>
      <c r="L2441" s="4">
        <v>0</v>
      </c>
      <c r="M2441" s="3" t="s">
        <v>26</v>
      </c>
      <c r="N2441" s="3" t="s">
        <v>24</v>
      </c>
      <c r="O2441" s="4">
        <v>1</v>
      </c>
      <c r="P2441" s="4">
        <v>3</v>
      </c>
      <c r="Q2441" s="4">
        <v>1</v>
      </c>
    </row>
    <row r="2442" spans="1:17" x14ac:dyDescent="0.25">
      <c r="A2442" s="3" t="s">
        <v>18</v>
      </c>
      <c r="B2442" s="3">
        <v>15745773</v>
      </c>
      <c r="C2442" s="3" t="s">
        <v>2489</v>
      </c>
      <c r="D2442" s="3" t="s">
        <v>20</v>
      </c>
      <c r="E2442" s="3" t="s">
        <v>21</v>
      </c>
      <c r="F2442" s="3" t="s">
        <v>21</v>
      </c>
      <c r="G2442" s="3" t="s">
        <v>36</v>
      </c>
      <c r="H2442" s="3" t="s">
        <v>37</v>
      </c>
      <c r="I2442" s="3" t="s">
        <v>24</v>
      </c>
      <c r="J2442" s="3" t="s">
        <v>24</v>
      </c>
      <c r="K2442" s="3" t="s">
        <v>25</v>
      </c>
      <c r="L2442" s="4">
        <v>0</v>
      </c>
      <c r="M2442" s="3" t="s">
        <v>26</v>
      </c>
      <c r="N2442" s="3" t="s">
        <v>24</v>
      </c>
      <c r="O2442" s="4">
        <v>0</v>
      </c>
      <c r="P2442" s="4">
        <v>10</v>
      </c>
      <c r="Q2442" s="4">
        <v>0</v>
      </c>
    </row>
    <row r="2443" spans="1:17" x14ac:dyDescent="0.25">
      <c r="A2443" s="3" t="s">
        <v>18</v>
      </c>
      <c r="B2443" s="3">
        <v>15752353</v>
      </c>
      <c r="C2443" s="3" t="s">
        <v>2490</v>
      </c>
      <c r="D2443" s="3" t="s">
        <v>20</v>
      </c>
      <c r="E2443" s="3" t="s">
        <v>21</v>
      </c>
      <c r="F2443" s="3" t="s">
        <v>21</v>
      </c>
      <c r="G2443" s="3" t="s">
        <v>30</v>
      </c>
      <c r="H2443" s="3" t="s">
        <v>31</v>
      </c>
      <c r="I2443" s="3" t="s">
        <v>24</v>
      </c>
      <c r="J2443" s="3" t="s">
        <v>24</v>
      </c>
      <c r="K2443" s="3" t="s">
        <v>25</v>
      </c>
      <c r="L2443" s="4">
        <v>0</v>
      </c>
      <c r="M2443" s="3" t="s">
        <v>26</v>
      </c>
      <c r="N2443" s="3" t="s">
        <v>24</v>
      </c>
      <c r="O2443" s="4">
        <v>1</v>
      </c>
      <c r="P2443" s="4">
        <v>9</v>
      </c>
      <c r="Q2443" s="4">
        <v>1</v>
      </c>
    </row>
    <row r="2444" spans="1:17" x14ac:dyDescent="0.25">
      <c r="A2444" s="3" t="s">
        <v>18</v>
      </c>
      <c r="B2444" s="3">
        <v>15752354</v>
      </c>
      <c r="C2444" s="3" t="s">
        <v>2491</v>
      </c>
      <c r="D2444" s="3" t="s">
        <v>20</v>
      </c>
      <c r="E2444" s="3" t="s">
        <v>21</v>
      </c>
      <c r="F2444" s="3" t="s">
        <v>21</v>
      </c>
      <c r="G2444" s="3" t="s">
        <v>30</v>
      </c>
      <c r="H2444" s="3" t="s">
        <v>31</v>
      </c>
      <c r="I2444" s="3" t="s">
        <v>24</v>
      </c>
      <c r="J2444" s="3" t="s">
        <v>24</v>
      </c>
      <c r="K2444" s="3" t="s">
        <v>25</v>
      </c>
      <c r="L2444" s="4">
        <v>0</v>
      </c>
      <c r="M2444" s="3" t="s">
        <v>26</v>
      </c>
      <c r="N2444" s="3" t="s">
        <v>24</v>
      </c>
      <c r="O2444" s="4">
        <v>0</v>
      </c>
      <c r="P2444" s="4">
        <v>1</v>
      </c>
      <c r="Q2444" s="4">
        <v>0</v>
      </c>
    </row>
    <row r="2445" spans="1:17" x14ac:dyDescent="0.25">
      <c r="A2445" s="3" t="s">
        <v>18</v>
      </c>
      <c r="B2445" s="3">
        <v>15752355</v>
      </c>
      <c r="C2445" s="3" t="s">
        <v>2492</v>
      </c>
      <c r="D2445" s="3" t="s">
        <v>20</v>
      </c>
      <c r="E2445" s="3" t="s">
        <v>21</v>
      </c>
      <c r="F2445" s="3" t="s">
        <v>21</v>
      </c>
      <c r="G2445" s="3" t="s">
        <v>30</v>
      </c>
      <c r="H2445" s="3" t="s">
        <v>31</v>
      </c>
      <c r="I2445" s="3" t="s">
        <v>24</v>
      </c>
      <c r="J2445" s="3" t="s">
        <v>24</v>
      </c>
      <c r="K2445" s="3" t="s">
        <v>25</v>
      </c>
      <c r="L2445" s="4">
        <v>0</v>
      </c>
      <c r="M2445" s="3" t="s">
        <v>26</v>
      </c>
      <c r="N2445" s="3" t="s">
        <v>24</v>
      </c>
      <c r="O2445" s="4">
        <v>0</v>
      </c>
      <c r="P2445" s="4">
        <v>4</v>
      </c>
      <c r="Q2445" s="4">
        <v>0</v>
      </c>
    </row>
    <row r="2446" spans="1:17" x14ac:dyDescent="0.25">
      <c r="A2446" s="3" t="s">
        <v>18</v>
      </c>
      <c r="B2446" s="3">
        <v>15752409</v>
      </c>
      <c r="C2446" s="3" t="s">
        <v>2493</v>
      </c>
      <c r="D2446" s="3" t="s">
        <v>20</v>
      </c>
      <c r="E2446" s="3" t="s">
        <v>21</v>
      </c>
      <c r="F2446" s="3" t="s">
        <v>21</v>
      </c>
      <c r="G2446" s="3" t="s">
        <v>30</v>
      </c>
      <c r="H2446" s="3" t="s">
        <v>31</v>
      </c>
      <c r="I2446" s="3" t="s">
        <v>24</v>
      </c>
      <c r="J2446" s="3" t="s">
        <v>24</v>
      </c>
      <c r="K2446" s="3" t="s">
        <v>25</v>
      </c>
      <c r="L2446" s="4">
        <v>0</v>
      </c>
      <c r="M2446" s="3" t="s">
        <v>26</v>
      </c>
      <c r="N2446" s="3" t="s">
        <v>24</v>
      </c>
      <c r="O2446" s="4">
        <v>0</v>
      </c>
      <c r="P2446" s="4">
        <v>4</v>
      </c>
      <c r="Q2446" s="4">
        <v>0</v>
      </c>
    </row>
    <row r="2447" spans="1:17" x14ac:dyDescent="0.25">
      <c r="A2447" s="3" t="s">
        <v>18</v>
      </c>
      <c r="B2447" s="3">
        <v>15752410</v>
      </c>
      <c r="C2447" s="3" t="s">
        <v>2494</v>
      </c>
      <c r="D2447" s="3" t="s">
        <v>20</v>
      </c>
      <c r="E2447" s="3" t="s">
        <v>21</v>
      </c>
      <c r="F2447" s="3" t="s">
        <v>21</v>
      </c>
      <c r="G2447" s="3" t="s">
        <v>42</v>
      </c>
      <c r="H2447" s="3" t="s">
        <v>43</v>
      </c>
      <c r="I2447" s="3" t="s">
        <v>24</v>
      </c>
      <c r="J2447" s="3" t="s">
        <v>24</v>
      </c>
      <c r="K2447" s="3" t="s">
        <v>25</v>
      </c>
      <c r="L2447" s="4">
        <v>0</v>
      </c>
      <c r="M2447" s="3" t="s">
        <v>26</v>
      </c>
      <c r="N2447" s="3" t="s">
        <v>24</v>
      </c>
      <c r="O2447" s="4">
        <v>1</v>
      </c>
      <c r="P2447" s="4">
        <v>8</v>
      </c>
      <c r="Q2447" s="4">
        <v>1</v>
      </c>
    </row>
    <row r="2448" spans="1:17" x14ac:dyDescent="0.25">
      <c r="A2448" s="3" t="s">
        <v>18</v>
      </c>
      <c r="B2448" s="3">
        <v>15752411</v>
      </c>
      <c r="C2448" s="3" t="s">
        <v>2495</v>
      </c>
      <c r="D2448" s="3" t="s">
        <v>20</v>
      </c>
      <c r="E2448" s="3" t="s">
        <v>21</v>
      </c>
      <c r="F2448" s="3" t="s">
        <v>21</v>
      </c>
      <c r="G2448" s="3" t="s">
        <v>42</v>
      </c>
      <c r="H2448" s="3" t="s">
        <v>43</v>
      </c>
      <c r="I2448" s="3" t="s">
        <v>24</v>
      </c>
      <c r="J2448" s="3" t="s">
        <v>24</v>
      </c>
      <c r="K2448" s="3" t="s">
        <v>25</v>
      </c>
      <c r="L2448" s="4">
        <v>0</v>
      </c>
      <c r="M2448" s="3" t="s">
        <v>26</v>
      </c>
      <c r="N2448" s="3" t="s">
        <v>24</v>
      </c>
      <c r="O2448" s="4">
        <v>1</v>
      </c>
      <c r="P2448" s="4">
        <v>8</v>
      </c>
      <c r="Q2448" s="4">
        <v>1</v>
      </c>
    </row>
    <row r="2449" spans="1:17" x14ac:dyDescent="0.25">
      <c r="A2449" s="3" t="s">
        <v>18</v>
      </c>
      <c r="B2449" s="3">
        <v>15752412</v>
      </c>
      <c r="C2449" s="3" t="s">
        <v>2496</v>
      </c>
      <c r="D2449" s="3" t="s">
        <v>20</v>
      </c>
      <c r="E2449" s="3" t="s">
        <v>21</v>
      </c>
      <c r="F2449" s="3" t="s">
        <v>21</v>
      </c>
      <c r="G2449" s="3" t="s">
        <v>42</v>
      </c>
      <c r="H2449" s="3" t="s">
        <v>43</v>
      </c>
      <c r="I2449" s="3" t="s">
        <v>24</v>
      </c>
      <c r="J2449" s="3" t="s">
        <v>24</v>
      </c>
      <c r="K2449" s="3" t="s">
        <v>25</v>
      </c>
      <c r="L2449" s="4">
        <v>0</v>
      </c>
      <c r="M2449" s="3" t="s">
        <v>26</v>
      </c>
      <c r="N2449" s="3" t="s">
        <v>24</v>
      </c>
      <c r="O2449" s="4">
        <v>1</v>
      </c>
      <c r="P2449" s="4">
        <v>8</v>
      </c>
      <c r="Q2449" s="4">
        <v>1</v>
      </c>
    </row>
    <row r="2450" spans="1:17" x14ac:dyDescent="0.25">
      <c r="A2450" s="3" t="s">
        <v>18</v>
      </c>
      <c r="B2450" s="3">
        <v>15752413</v>
      </c>
      <c r="C2450" s="3" t="s">
        <v>2497</v>
      </c>
      <c r="D2450" s="3" t="s">
        <v>20</v>
      </c>
      <c r="E2450" s="3" t="s">
        <v>21</v>
      </c>
      <c r="F2450" s="3" t="s">
        <v>21</v>
      </c>
      <c r="G2450" s="3" t="s">
        <v>22</v>
      </c>
      <c r="H2450" s="3" t="s">
        <v>23</v>
      </c>
      <c r="I2450" s="3" t="s">
        <v>24</v>
      </c>
      <c r="J2450" s="3" t="s">
        <v>24</v>
      </c>
      <c r="K2450" s="3" t="s">
        <v>25</v>
      </c>
      <c r="L2450" s="4">
        <v>0</v>
      </c>
      <c r="M2450" s="3" t="s">
        <v>26</v>
      </c>
      <c r="N2450" s="3" t="s">
        <v>24</v>
      </c>
      <c r="O2450" s="4">
        <v>1</v>
      </c>
      <c r="P2450" s="4">
        <v>4</v>
      </c>
      <c r="Q2450" s="4">
        <v>0</v>
      </c>
    </row>
    <row r="2451" spans="1:17" x14ac:dyDescent="0.25">
      <c r="A2451" s="3" t="s">
        <v>18</v>
      </c>
      <c r="B2451" s="3">
        <v>15752414</v>
      </c>
      <c r="C2451" s="3" t="s">
        <v>2498</v>
      </c>
      <c r="D2451" s="3" t="s">
        <v>20</v>
      </c>
      <c r="E2451" s="3" t="s">
        <v>21</v>
      </c>
      <c r="F2451" s="3" t="s">
        <v>21</v>
      </c>
      <c r="G2451" s="3" t="s">
        <v>22</v>
      </c>
      <c r="H2451" s="3" t="s">
        <v>23</v>
      </c>
      <c r="I2451" s="3" t="s">
        <v>24</v>
      </c>
      <c r="J2451" s="3" t="s">
        <v>24</v>
      </c>
      <c r="K2451" s="3" t="s">
        <v>25</v>
      </c>
      <c r="L2451" s="4">
        <v>0</v>
      </c>
      <c r="M2451" s="3" t="s">
        <v>26</v>
      </c>
      <c r="N2451" s="3" t="s">
        <v>24</v>
      </c>
      <c r="O2451" s="4">
        <v>1</v>
      </c>
      <c r="P2451" s="4">
        <v>4</v>
      </c>
      <c r="Q2451" s="4">
        <v>0</v>
      </c>
    </row>
    <row r="2452" spans="1:17" x14ac:dyDescent="0.25">
      <c r="A2452" s="3" t="s">
        <v>18</v>
      </c>
      <c r="B2452" s="3">
        <v>15752417</v>
      </c>
      <c r="C2452" s="3" t="s">
        <v>2499</v>
      </c>
      <c r="D2452" s="3" t="s">
        <v>20</v>
      </c>
      <c r="E2452" s="3" t="s">
        <v>21</v>
      </c>
      <c r="F2452" s="3" t="s">
        <v>21</v>
      </c>
      <c r="G2452" s="3" t="s">
        <v>22</v>
      </c>
      <c r="H2452" s="3" t="s">
        <v>23</v>
      </c>
      <c r="I2452" s="3" t="s">
        <v>24</v>
      </c>
      <c r="J2452" s="3" t="s">
        <v>24</v>
      </c>
      <c r="K2452" s="3" t="s">
        <v>25</v>
      </c>
      <c r="L2452" s="4">
        <v>0</v>
      </c>
      <c r="M2452" s="3" t="s">
        <v>26</v>
      </c>
      <c r="N2452" s="3" t="s">
        <v>24</v>
      </c>
      <c r="O2452" s="4">
        <v>1</v>
      </c>
      <c r="P2452" s="4">
        <v>4</v>
      </c>
      <c r="Q2452" s="4">
        <v>0</v>
      </c>
    </row>
    <row r="2453" spans="1:17" x14ac:dyDescent="0.25">
      <c r="A2453" s="3" t="s">
        <v>18</v>
      </c>
      <c r="B2453" s="3">
        <v>15752468</v>
      </c>
      <c r="C2453" s="3" t="s">
        <v>2500</v>
      </c>
      <c r="D2453" s="3" t="s">
        <v>20</v>
      </c>
      <c r="E2453" s="3" t="s">
        <v>21</v>
      </c>
      <c r="F2453" s="3" t="s">
        <v>21</v>
      </c>
      <c r="G2453" s="3" t="s">
        <v>36</v>
      </c>
      <c r="H2453" s="3" t="s">
        <v>37</v>
      </c>
      <c r="I2453" s="3" t="s">
        <v>24</v>
      </c>
      <c r="J2453" s="3" t="s">
        <v>24</v>
      </c>
      <c r="K2453" s="3" t="s">
        <v>25</v>
      </c>
      <c r="L2453" s="4">
        <v>0</v>
      </c>
      <c r="M2453" s="3" t="s">
        <v>26</v>
      </c>
      <c r="N2453" s="3" t="s">
        <v>24</v>
      </c>
      <c r="O2453" s="4">
        <v>1</v>
      </c>
      <c r="P2453" s="4">
        <v>10</v>
      </c>
      <c r="Q2453" s="4">
        <v>0</v>
      </c>
    </row>
    <row r="2454" spans="1:17" x14ac:dyDescent="0.25">
      <c r="A2454" s="3" t="s">
        <v>18</v>
      </c>
      <c r="B2454" s="3">
        <v>15752469</v>
      </c>
      <c r="C2454" s="3" t="s">
        <v>2501</v>
      </c>
      <c r="D2454" s="3" t="s">
        <v>20</v>
      </c>
      <c r="E2454" s="3" t="s">
        <v>21</v>
      </c>
      <c r="F2454" s="3" t="s">
        <v>21</v>
      </c>
      <c r="G2454" s="3" t="s">
        <v>36</v>
      </c>
      <c r="H2454" s="3" t="s">
        <v>37</v>
      </c>
      <c r="I2454" s="3" t="s">
        <v>24</v>
      </c>
      <c r="J2454" s="3" t="s">
        <v>24</v>
      </c>
      <c r="K2454" s="3" t="s">
        <v>25</v>
      </c>
      <c r="L2454" s="4">
        <v>0</v>
      </c>
      <c r="M2454" s="3" t="s">
        <v>26</v>
      </c>
      <c r="N2454" s="3" t="s">
        <v>24</v>
      </c>
      <c r="O2454" s="4">
        <v>1</v>
      </c>
      <c r="P2454" s="4">
        <v>10</v>
      </c>
      <c r="Q2454" s="4">
        <v>0</v>
      </c>
    </row>
    <row r="2455" spans="1:17" x14ac:dyDescent="0.25">
      <c r="A2455" s="3" t="s">
        <v>18</v>
      </c>
      <c r="B2455" s="3">
        <v>15752470</v>
      </c>
      <c r="C2455" s="3" t="s">
        <v>2502</v>
      </c>
      <c r="D2455" s="3" t="s">
        <v>20</v>
      </c>
      <c r="E2455" s="3" t="s">
        <v>21</v>
      </c>
      <c r="F2455" s="3" t="s">
        <v>21</v>
      </c>
      <c r="G2455" s="3" t="s">
        <v>233</v>
      </c>
      <c r="H2455" s="3" t="s">
        <v>234</v>
      </c>
      <c r="I2455" s="3" t="s">
        <v>24</v>
      </c>
      <c r="J2455" s="3" t="s">
        <v>24</v>
      </c>
      <c r="K2455" s="3" t="s">
        <v>25</v>
      </c>
      <c r="L2455" s="4">
        <v>0</v>
      </c>
      <c r="M2455" s="3" t="s">
        <v>26</v>
      </c>
      <c r="N2455" s="3" t="s">
        <v>24</v>
      </c>
      <c r="O2455" s="4">
        <v>1</v>
      </c>
      <c r="P2455" s="4">
        <v>3</v>
      </c>
      <c r="Q2455" s="4">
        <v>1</v>
      </c>
    </row>
    <row r="2456" spans="1:17" x14ac:dyDescent="0.25">
      <c r="A2456" s="3" t="s">
        <v>18</v>
      </c>
      <c r="B2456" s="3">
        <v>15752471</v>
      </c>
      <c r="C2456" s="3" t="s">
        <v>2503</v>
      </c>
      <c r="D2456" s="3" t="s">
        <v>20</v>
      </c>
      <c r="E2456" s="3" t="s">
        <v>21</v>
      </c>
      <c r="F2456" s="3" t="s">
        <v>21</v>
      </c>
      <c r="G2456" s="3" t="s">
        <v>233</v>
      </c>
      <c r="H2456" s="3" t="s">
        <v>234</v>
      </c>
      <c r="I2456" s="3" t="s">
        <v>24</v>
      </c>
      <c r="J2456" s="3" t="s">
        <v>24</v>
      </c>
      <c r="K2456" s="3" t="s">
        <v>25</v>
      </c>
      <c r="L2456" s="4">
        <v>0</v>
      </c>
      <c r="M2456" s="3" t="s">
        <v>26</v>
      </c>
      <c r="N2456" s="3" t="s">
        <v>24</v>
      </c>
      <c r="O2456" s="4">
        <v>1</v>
      </c>
      <c r="P2456" s="4">
        <v>2</v>
      </c>
      <c r="Q2456" s="4">
        <v>1</v>
      </c>
    </row>
    <row r="2457" spans="1:17" x14ac:dyDescent="0.25">
      <c r="A2457" s="3" t="s">
        <v>18</v>
      </c>
      <c r="B2457" s="3">
        <v>15752472</v>
      </c>
      <c r="C2457" s="3" t="s">
        <v>2504</v>
      </c>
      <c r="D2457" s="3" t="s">
        <v>20</v>
      </c>
      <c r="E2457" s="3" t="s">
        <v>21</v>
      </c>
      <c r="F2457" s="3" t="s">
        <v>21</v>
      </c>
      <c r="G2457" s="3" t="s">
        <v>233</v>
      </c>
      <c r="H2457" s="3" t="s">
        <v>234</v>
      </c>
      <c r="I2457" s="3" t="s">
        <v>24</v>
      </c>
      <c r="J2457" s="3" t="s">
        <v>24</v>
      </c>
      <c r="K2457" s="3" t="s">
        <v>25</v>
      </c>
      <c r="L2457" s="4">
        <v>0</v>
      </c>
      <c r="M2457" s="3" t="s">
        <v>26</v>
      </c>
      <c r="N2457" s="3" t="s">
        <v>24</v>
      </c>
      <c r="O2457" s="4">
        <v>1</v>
      </c>
      <c r="P2457" s="4">
        <v>2</v>
      </c>
      <c r="Q2457" s="4">
        <v>1</v>
      </c>
    </row>
    <row r="2458" spans="1:17" x14ac:dyDescent="0.25">
      <c r="A2458" s="3" t="s">
        <v>18</v>
      </c>
      <c r="B2458" s="3">
        <v>15753222</v>
      </c>
      <c r="C2458" s="3" t="s">
        <v>2505</v>
      </c>
      <c r="D2458" s="3" t="s">
        <v>20</v>
      </c>
      <c r="E2458" s="3" t="s">
        <v>21</v>
      </c>
      <c r="F2458" s="3" t="s">
        <v>21</v>
      </c>
      <c r="G2458" s="3" t="s">
        <v>30</v>
      </c>
      <c r="H2458" s="3" t="s">
        <v>31</v>
      </c>
      <c r="I2458" s="3" t="s">
        <v>24</v>
      </c>
      <c r="J2458" s="3" t="s">
        <v>24</v>
      </c>
      <c r="K2458" s="3" t="s">
        <v>25</v>
      </c>
      <c r="L2458" s="4">
        <v>0</v>
      </c>
      <c r="M2458" s="3" t="s">
        <v>26</v>
      </c>
      <c r="N2458" s="3" t="s">
        <v>24</v>
      </c>
      <c r="O2458" s="4">
        <v>1</v>
      </c>
      <c r="P2458" s="4">
        <v>8</v>
      </c>
      <c r="Q2458" s="4">
        <v>0</v>
      </c>
    </row>
    <row r="2459" spans="1:17" x14ac:dyDescent="0.25">
      <c r="A2459" s="3" t="s">
        <v>18</v>
      </c>
      <c r="B2459" s="3">
        <v>15759304</v>
      </c>
      <c r="C2459" s="3" t="s">
        <v>2506</v>
      </c>
      <c r="D2459" s="3" t="s">
        <v>20</v>
      </c>
      <c r="E2459" s="3" t="s">
        <v>21</v>
      </c>
      <c r="F2459" s="3" t="s">
        <v>21</v>
      </c>
      <c r="G2459" s="3" t="s">
        <v>30</v>
      </c>
      <c r="H2459" s="3" t="s">
        <v>31</v>
      </c>
      <c r="I2459" s="3" t="s">
        <v>24</v>
      </c>
      <c r="J2459" s="3" t="s">
        <v>24</v>
      </c>
      <c r="K2459" s="3" t="s">
        <v>25</v>
      </c>
      <c r="L2459" s="4">
        <v>0</v>
      </c>
      <c r="M2459" s="3" t="s">
        <v>26</v>
      </c>
      <c r="N2459" s="3" t="s">
        <v>24</v>
      </c>
      <c r="O2459" s="4">
        <v>1</v>
      </c>
      <c r="P2459" s="4">
        <v>9</v>
      </c>
      <c r="Q2459" s="4">
        <v>1</v>
      </c>
    </row>
    <row r="2460" spans="1:17" x14ac:dyDescent="0.25">
      <c r="A2460" s="3" t="s">
        <v>18</v>
      </c>
      <c r="B2460" s="3">
        <v>15759305</v>
      </c>
      <c r="C2460" s="3" t="s">
        <v>2507</v>
      </c>
      <c r="D2460" s="3" t="s">
        <v>20</v>
      </c>
      <c r="E2460" s="3" t="s">
        <v>21</v>
      </c>
      <c r="F2460" s="3" t="s">
        <v>21</v>
      </c>
      <c r="G2460" s="3" t="s">
        <v>30</v>
      </c>
      <c r="H2460" s="3" t="s">
        <v>31</v>
      </c>
      <c r="I2460" s="3" t="s">
        <v>24</v>
      </c>
      <c r="J2460" s="3" t="s">
        <v>24</v>
      </c>
      <c r="K2460" s="3" t="s">
        <v>25</v>
      </c>
      <c r="L2460" s="4">
        <v>0</v>
      </c>
      <c r="M2460" s="3" t="s">
        <v>26</v>
      </c>
      <c r="N2460" s="3" t="s">
        <v>24</v>
      </c>
      <c r="O2460" s="4">
        <v>1</v>
      </c>
      <c r="P2460" s="4">
        <v>9</v>
      </c>
      <c r="Q2460" s="4">
        <v>1</v>
      </c>
    </row>
    <row r="2461" spans="1:17" x14ac:dyDescent="0.25">
      <c r="A2461" s="3" t="s">
        <v>18</v>
      </c>
      <c r="B2461" s="3">
        <v>15759498</v>
      </c>
      <c r="C2461" s="3" t="s">
        <v>2508</v>
      </c>
      <c r="D2461" s="3" t="s">
        <v>20</v>
      </c>
      <c r="E2461" s="3" t="s">
        <v>21</v>
      </c>
      <c r="F2461" s="3" t="s">
        <v>21</v>
      </c>
      <c r="G2461" s="3" t="s">
        <v>30</v>
      </c>
      <c r="H2461" s="3" t="s">
        <v>31</v>
      </c>
      <c r="I2461" s="3" t="s">
        <v>24</v>
      </c>
      <c r="J2461" s="3" t="s">
        <v>24</v>
      </c>
      <c r="K2461" s="3" t="s">
        <v>25</v>
      </c>
      <c r="L2461" s="4">
        <v>0</v>
      </c>
      <c r="M2461" s="3" t="s">
        <v>26</v>
      </c>
      <c r="N2461" s="3" t="s">
        <v>24</v>
      </c>
      <c r="O2461" s="4">
        <v>1</v>
      </c>
      <c r="P2461" s="4">
        <v>9</v>
      </c>
      <c r="Q2461" s="4">
        <v>1</v>
      </c>
    </row>
    <row r="2462" spans="1:17" x14ac:dyDescent="0.25">
      <c r="A2462" s="3" t="s">
        <v>18</v>
      </c>
      <c r="B2462" s="3">
        <v>15759499</v>
      </c>
      <c r="C2462" s="3" t="s">
        <v>2509</v>
      </c>
      <c r="D2462" s="3" t="s">
        <v>20</v>
      </c>
      <c r="E2462" s="3" t="s">
        <v>21</v>
      </c>
      <c r="F2462" s="3" t="s">
        <v>21</v>
      </c>
      <c r="G2462" s="3" t="s">
        <v>30</v>
      </c>
      <c r="H2462" s="3" t="s">
        <v>31</v>
      </c>
      <c r="I2462" s="3" t="s">
        <v>24</v>
      </c>
      <c r="J2462" s="3" t="s">
        <v>24</v>
      </c>
      <c r="K2462" s="3" t="s">
        <v>25</v>
      </c>
      <c r="L2462" s="4">
        <v>0</v>
      </c>
      <c r="M2462" s="3" t="s">
        <v>26</v>
      </c>
      <c r="N2462" s="3" t="s">
        <v>24</v>
      </c>
      <c r="O2462" s="4">
        <v>0</v>
      </c>
      <c r="P2462" s="4">
        <v>4</v>
      </c>
      <c r="Q2462" s="4">
        <v>0</v>
      </c>
    </row>
    <row r="2463" spans="1:17" x14ac:dyDescent="0.25">
      <c r="A2463" s="3" t="s">
        <v>18</v>
      </c>
      <c r="B2463" s="3">
        <v>15759500</v>
      </c>
      <c r="C2463" s="3" t="s">
        <v>2510</v>
      </c>
      <c r="D2463" s="3" t="s">
        <v>20</v>
      </c>
      <c r="E2463" s="3" t="s">
        <v>21</v>
      </c>
      <c r="F2463" s="3" t="s">
        <v>21</v>
      </c>
      <c r="G2463" s="3" t="s">
        <v>30</v>
      </c>
      <c r="H2463" s="3" t="s">
        <v>31</v>
      </c>
      <c r="I2463" s="3" t="s">
        <v>24</v>
      </c>
      <c r="J2463" s="3" t="s">
        <v>24</v>
      </c>
      <c r="K2463" s="3" t="s">
        <v>25</v>
      </c>
      <c r="L2463" s="4">
        <v>0</v>
      </c>
      <c r="M2463" s="3" t="s">
        <v>26</v>
      </c>
      <c r="N2463" s="3" t="s">
        <v>24</v>
      </c>
      <c r="O2463" s="4">
        <v>0</v>
      </c>
      <c r="P2463" s="4">
        <v>4</v>
      </c>
      <c r="Q2463" s="4">
        <v>0</v>
      </c>
    </row>
    <row r="2464" spans="1:17" x14ac:dyDescent="0.25">
      <c r="A2464" s="3" t="s">
        <v>18</v>
      </c>
      <c r="B2464" s="3">
        <v>15759501</v>
      </c>
      <c r="C2464" s="3" t="s">
        <v>2511</v>
      </c>
      <c r="D2464" s="3" t="s">
        <v>20</v>
      </c>
      <c r="E2464" s="3" t="s">
        <v>21</v>
      </c>
      <c r="F2464" s="3" t="s">
        <v>21</v>
      </c>
      <c r="G2464" s="3" t="s">
        <v>42</v>
      </c>
      <c r="H2464" s="3" t="s">
        <v>43</v>
      </c>
      <c r="I2464" s="3" t="s">
        <v>24</v>
      </c>
      <c r="J2464" s="3" t="s">
        <v>24</v>
      </c>
      <c r="K2464" s="3" t="s">
        <v>25</v>
      </c>
      <c r="L2464" s="4">
        <v>0</v>
      </c>
      <c r="M2464" s="3" t="s">
        <v>26</v>
      </c>
      <c r="N2464" s="3" t="s">
        <v>24</v>
      </c>
      <c r="O2464" s="4">
        <v>1</v>
      </c>
      <c r="P2464" s="4">
        <v>8</v>
      </c>
      <c r="Q2464" s="4">
        <v>1</v>
      </c>
    </row>
    <row r="2465" spans="1:17" x14ac:dyDescent="0.25">
      <c r="A2465" s="3" t="s">
        <v>18</v>
      </c>
      <c r="B2465" s="3">
        <v>15759502</v>
      </c>
      <c r="C2465" s="3" t="s">
        <v>2512</v>
      </c>
      <c r="D2465" s="3" t="s">
        <v>20</v>
      </c>
      <c r="E2465" s="3" t="s">
        <v>21</v>
      </c>
      <c r="F2465" s="3" t="s">
        <v>21</v>
      </c>
      <c r="G2465" s="3" t="s">
        <v>42</v>
      </c>
      <c r="H2465" s="3" t="s">
        <v>43</v>
      </c>
      <c r="I2465" s="3" t="s">
        <v>24</v>
      </c>
      <c r="J2465" s="3" t="s">
        <v>24</v>
      </c>
      <c r="K2465" s="3" t="s">
        <v>25</v>
      </c>
      <c r="L2465" s="4">
        <v>0</v>
      </c>
      <c r="M2465" s="3" t="s">
        <v>26</v>
      </c>
      <c r="N2465" s="3" t="s">
        <v>24</v>
      </c>
      <c r="O2465" s="4">
        <v>1</v>
      </c>
      <c r="P2465" s="4">
        <v>8</v>
      </c>
      <c r="Q2465" s="4">
        <v>1</v>
      </c>
    </row>
    <row r="2466" spans="1:17" x14ac:dyDescent="0.25">
      <c r="A2466" s="3" t="s">
        <v>18</v>
      </c>
      <c r="B2466" s="3">
        <v>15759506</v>
      </c>
      <c r="C2466" s="3" t="s">
        <v>2513</v>
      </c>
      <c r="D2466" s="3" t="s">
        <v>20</v>
      </c>
      <c r="E2466" s="3" t="s">
        <v>21</v>
      </c>
      <c r="F2466" s="3" t="s">
        <v>21</v>
      </c>
      <c r="G2466" s="3" t="s">
        <v>42</v>
      </c>
      <c r="H2466" s="3" t="s">
        <v>43</v>
      </c>
      <c r="I2466" s="3" t="s">
        <v>24</v>
      </c>
      <c r="J2466" s="3" t="s">
        <v>24</v>
      </c>
      <c r="K2466" s="3" t="s">
        <v>25</v>
      </c>
      <c r="L2466" s="4">
        <v>0</v>
      </c>
      <c r="M2466" s="3" t="s">
        <v>26</v>
      </c>
      <c r="N2466" s="3" t="s">
        <v>24</v>
      </c>
      <c r="O2466" s="4">
        <v>1</v>
      </c>
      <c r="P2466" s="4">
        <v>8</v>
      </c>
      <c r="Q2466" s="4">
        <v>1</v>
      </c>
    </row>
    <row r="2467" spans="1:17" x14ac:dyDescent="0.25">
      <c r="A2467" s="3" t="s">
        <v>18</v>
      </c>
      <c r="B2467" s="3">
        <v>15759589</v>
      </c>
      <c r="C2467" s="3" t="s">
        <v>2514</v>
      </c>
      <c r="D2467" s="3" t="s">
        <v>20</v>
      </c>
      <c r="E2467" s="3" t="s">
        <v>21</v>
      </c>
      <c r="F2467" s="3" t="s">
        <v>21</v>
      </c>
      <c r="G2467" s="3" t="s">
        <v>22</v>
      </c>
      <c r="H2467" s="3" t="s">
        <v>23</v>
      </c>
      <c r="I2467" s="3" t="s">
        <v>24</v>
      </c>
      <c r="J2467" s="3" t="s">
        <v>24</v>
      </c>
      <c r="K2467" s="3" t="s">
        <v>25</v>
      </c>
      <c r="L2467" s="4">
        <v>0</v>
      </c>
      <c r="M2467" s="3" t="s">
        <v>26</v>
      </c>
      <c r="N2467" s="3" t="s">
        <v>24</v>
      </c>
      <c r="O2467" s="4">
        <v>1</v>
      </c>
      <c r="P2467" s="4">
        <v>4</v>
      </c>
      <c r="Q2467" s="4">
        <v>0</v>
      </c>
    </row>
    <row r="2468" spans="1:17" x14ac:dyDescent="0.25">
      <c r="A2468" s="3" t="s">
        <v>18</v>
      </c>
      <c r="B2468" s="3">
        <v>15759591</v>
      </c>
      <c r="C2468" s="3" t="s">
        <v>2515</v>
      </c>
      <c r="D2468" s="3" t="s">
        <v>20</v>
      </c>
      <c r="E2468" s="3" t="s">
        <v>21</v>
      </c>
      <c r="F2468" s="3" t="s">
        <v>21</v>
      </c>
      <c r="G2468" s="3" t="s">
        <v>22</v>
      </c>
      <c r="H2468" s="3" t="s">
        <v>23</v>
      </c>
      <c r="I2468" s="3" t="s">
        <v>24</v>
      </c>
      <c r="J2468" s="3" t="s">
        <v>24</v>
      </c>
      <c r="K2468" s="3" t="s">
        <v>25</v>
      </c>
      <c r="L2468" s="4">
        <v>0</v>
      </c>
      <c r="M2468" s="3" t="s">
        <v>26</v>
      </c>
      <c r="N2468" s="3" t="s">
        <v>24</v>
      </c>
      <c r="O2468" s="4">
        <v>1</v>
      </c>
      <c r="P2468" s="4">
        <v>4</v>
      </c>
      <c r="Q2468" s="4">
        <v>0</v>
      </c>
    </row>
    <row r="2469" spans="1:17" x14ac:dyDescent="0.25">
      <c r="A2469" s="3" t="s">
        <v>18</v>
      </c>
      <c r="B2469" s="3">
        <v>15759592</v>
      </c>
      <c r="C2469" s="3" t="s">
        <v>2516</v>
      </c>
      <c r="D2469" s="3" t="s">
        <v>20</v>
      </c>
      <c r="E2469" s="3" t="s">
        <v>21</v>
      </c>
      <c r="F2469" s="3" t="s">
        <v>21</v>
      </c>
      <c r="G2469" s="3" t="s">
        <v>22</v>
      </c>
      <c r="H2469" s="3" t="s">
        <v>23</v>
      </c>
      <c r="I2469" s="3" t="s">
        <v>24</v>
      </c>
      <c r="J2469" s="3" t="s">
        <v>24</v>
      </c>
      <c r="K2469" s="3" t="s">
        <v>25</v>
      </c>
      <c r="L2469" s="4">
        <v>0</v>
      </c>
      <c r="M2469" s="3" t="s">
        <v>26</v>
      </c>
      <c r="N2469" s="3" t="s">
        <v>24</v>
      </c>
      <c r="O2469" s="4">
        <v>1</v>
      </c>
      <c r="P2469" s="4">
        <v>4</v>
      </c>
      <c r="Q2469" s="4">
        <v>0</v>
      </c>
    </row>
    <row r="2470" spans="1:17" x14ac:dyDescent="0.25">
      <c r="A2470" s="3" t="s">
        <v>18</v>
      </c>
      <c r="B2470" s="3">
        <v>15759594</v>
      </c>
      <c r="C2470" s="3" t="s">
        <v>2517</v>
      </c>
      <c r="D2470" s="3" t="s">
        <v>20</v>
      </c>
      <c r="E2470" s="3" t="s">
        <v>21</v>
      </c>
      <c r="F2470" s="3" t="s">
        <v>21</v>
      </c>
      <c r="G2470" s="3" t="s">
        <v>36</v>
      </c>
      <c r="H2470" s="3" t="s">
        <v>37</v>
      </c>
      <c r="I2470" s="3" t="s">
        <v>24</v>
      </c>
      <c r="J2470" s="3" t="s">
        <v>24</v>
      </c>
      <c r="K2470" s="3" t="s">
        <v>25</v>
      </c>
      <c r="L2470" s="4">
        <v>0</v>
      </c>
      <c r="M2470" s="3" t="s">
        <v>26</v>
      </c>
      <c r="N2470" s="3" t="s">
        <v>24</v>
      </c>
      <c r="O2470" s="4">
        <v>1</v>
      </c>
      <c r="P2470" s="4">
        <v>10</v>
      </c>
      <c r="Q2470" s="4">
        <v>0</v>
      </c>
    </row>
    <row r="2471" spans="1:17" x14ac:dyDescent="0.25">
      <c r="A2471" s="3" t="s">
        <v>18</v>
      </c>
      <c r="B2471" s="3">
        <v>15759595</v>
      </c>
      <c r="C2471" s="3" t="s">
        <v>2518</v>
      </c>
      <c r="D2471" s="3" t="s">
        <v>20</v>
      </c>
      <c r="E2471" s="3" t="s">
        <v>21</v>
      </c>
      <c r="F2471" s="3" t="s">
        <v>21</v>
      </c>
      <c r="G2471" s="3" t="s">
        <v>36</v>
      </c>
      <c r="H2471" s="3" t="s">
        <v>37</v>
      </c>
      <c r="I2471" s="3" t="s">
        <v>24</v>
      </c>
      <c r="J2471" s="3" t="s">
        <v>24</v>
      </c>
      <c r="K2471" s="3" t="s">
        <v>25</v>
      </c>
      <c r="L2471" s="4">
        <v>0</v>
      </c>
      <c r="M2471" s="3" t="s">
        <v>26</v>
      </c>
      <c r="N2471" s="3" t="s">
        <v>24</v>
      </c>
      <c r="O2471" s="4">
        <v>1</v>
      </c>
      <c r="P2471" s="4">
        <v>10</v>
      </c>
      <c r="Q2471" s="4">
        <v>0</v>
      </c>
    </row>
    <row r="2472" spans="1:17" x14ac:dyDescent="0.25">
      <c r="A2472" s="3" t="s">
        <v>18</v>
      </c>
      <c r="B2472" s="3">
        <v>15759917</v>
      </c>
      <c r="C2472" s="3" t="s">
        <v>2519</v>
      </c>
      <c r="D2472" s="3" t="s">
        <v>20</v>
      </c>
      <c r="E2472" s="3" t="s">
        <v>21</v>
      </c>
      <c r="F2472" s="3" t="s">
        <v>21</v>
      </c>
      <c r="G2472" s="3" t="s">
        <v>233</v>
      </c>
      <c r="H2472" s="3" t="s">
        <v>234</v>
      </c>
      <c r="I2472" s="3" t="s">
        <v>24</v>
      </c>
      <c r="J2472" s="3" t="s">
        <v>24</v>
      </c>
      <c r="K2472" s="3" t="s">
        <v>25</v>
      </c>
      <c r="L2472" s="4">
        <v>0</v>
      </c>
      <c r="M2472" s="3" t="s">
        <v>26</v>
      </c>
      <c r="N2472" s="3" t="s">
        <v>24</v>
      </c>
      <c r="O2472" s="4">
        <v>1</v>
      </c>
      <c r="P2472" s="4">
        <v>3</v>
      </c>
      <c r="Q2472" s="4">
        <v>1</v>
      </c>
    </row>
    <row r="2473" spans="1:17" x14ac:dyDescent="0.25">
      <c r="A2473" s="3" t="s">
        <v>18</v>
      </c>
      <c r="B2473" s="3">
        <v>15760028</v>
      </c>
      <c r="C2473" s="3" t="s">
        <v>2520</v>
      </c>
      <c r="D2473" s="3" t="s">
        <v>20</v>
      </c>
      <c r="E2473" s="3" t="s">
        <v>21</v>
      </c>
      <c r="F2473" s="3" t="s">
        <v>21</v>
      </c>
      <c r="G2473" s="3" t="s">
        <v>233</v>
      </c>
      <c r="H2473" s="3" t="s">
        <v>234</v>
      </c>
      <c r="I2473" s="3" t="s">
        <v>24</v>
      </c>
      <c r="J2473" s="3" t="s">
        <v>24</v>
      </c>
      <c r="K2473" s="3" t="s">
        <v>25</v>
      </c>
      <c r="L2473" s="4">
        <v>0</v>
      </c>
      <c r="M2473" s="3" t="s">
        <v>26</v>
      </c>
      <c r="N2473" s="3" t="s">
        <v>24</v>
      </c>
      <c r="O2473" s="4">
        <v>1</v>
      </c>
      <c r="P2473" s="4">
        <v>3</v>
      </c>
      <c r="Q2473" s="4">
        <v>1</v>
      </c>
    </row>
    <row r="2474" spans="1:17" x14ac:dyDescent="0.25">
      <c r="A2474" s="3" t="s">
        <v>18</v>
      </c>
      <c r="B2474" s="3">
        <v>15760030</v>
      </c>
      <c r="C2474" s="3" t="s">
        <v>2521</v>
      </c>
      <c r="D2474" s="3" t="s">
        <v>20</v>
      </c>
      <c r="E2474" s="3" t="s">
        <v>21</v>
      </c>
      <c r="F2474" s="3" t="s">
        <v>21</v>
      </c>
      <c r="G2474" s="3" t="s">
        <v>233</v>
      </c>
      <c r="H2474" s="3" t="s">
        <v>234</v>
      </c>
      <c r="I2474" s="3" t="s">
        <v>24</v>
      </c>
      <c r="J2474" s="3" t="s">
        <v>24</v>
      </c>
      <c r="K2474" s="3" t="s">
        <v>25</v>
      </c>
      <c r="L2474" s="4">
        <v>0</v>
      </c>
      <c r="M2474" s="3" t="s">
        <v>26</v>
      </c>
      <c r="N2474" s="3" t="s">
        <v>24</v>
      </c>
      <c r="O2474" s="4">
        <v>1</v>
      </c>
      <c r="P2474" s="4">
        <v>3</v>
      </c>
      <c r="Q2474" s="4">
        <v>1</v>
      </c>
    </row>
    <row r="2475" spans="1:17" x14ac:dyDescent="0.25">
      <c r="A2475" s="3" t="s">
        <v>18</v>
      </c>
      <c r="B2475" s="3">
        <v>15760031</v>
      </c>
      <c r="C2475" s="3" t="s">
        <v>2522</v>
      </c>
      <c r="D2475" s="3" t="s">
        <v>20</v>
      </c>
      <c r="E2475" s="3" t="s">
        <v>21</v>
      </c>
      <c r="F2475" s="3" t="s">
        <v>21</v>
      </c>
      <c r="G2475" s="3" t="s">
        <v>233</v>
      </c>
      <c r="H2475" s="3" t="s">
        <v>234</v>
      </c>
      <c r="I2475" s="3" t="s">
        <v>24</v>
      </c>
      <c r="J2475" s="3" t="s">
        <v>24</v>
      </c>
      <c r="K2475" s="3" t="s">
        <v>25</v>
      </c>
      <c r="L2475" s="4">
        <v>0</v>
      </c>
      <c r="M2475" s="3" t="s">
        <v>26</v>
      </c>
      <c r="N2475" s="3" t="s">
        <v>24</v>
      </c>
      <c r="O2475" s="4">
        <v>0</v>
      </c>
      <c r="P2475" s="4">
        <v>3</v>
      </c>
      <c r="Q2475" s="4">
        <v>0</v>
      </c>
    </row>
    <row r="2476" spans="1:17" x14ac:dyDescent="0.25">
      <c r="A2476" s="3" t="s">
        <v>18</v>
      </c>
      <c r="B2476" s="3">
        <v>15779807</v>
      </c>
      <c r="C2476" s="3" t="s">
        <v>2523</v>
      </c>
      <c r="D2476" s="3" t="s">
        <v>20</v>
      </c>
      <c r="E2476" s="3" t="s">
        <v>21</v>
      </c>
      <c r="F2476" s="3" t="s">
        <v>21</v>
      </c>
      <c r="G2476" s="3" t="s">
        <v>36</v>
      </c>
      <c r="H2476" s="3" t="s">
        <v>37</v>
      </c>
      <c r="I2476" s="3" t="s">
        <v>24</v>
      </c>
      <c r="J2476" s="3" t="s">
        <v>24</v>
      </c>
      <c r="K2476" s="3" t="s">
        <v>25</v>
      </c>
      <c r="L2476" s="4">
        <v>0</v>
      </c>
      <c r="M2476" s="3" t="s">
        <v>26</v>
      </c>
      <c r="N2476" s="3" t="s">
        <v>24</v>
      </c>
      <c r="O2476" s="4">
        <v>0</v>
      </c>
      <c r="P2476" s="4">
        <v>4</v>
      </c>
      <c r="Q2476" s="4">
        <v>0</v>
      </c>
    </row>
    <row r="2477" spans="1:17" x14ac:dyDescent="0.25">
      <c r="A2477" s="3" t="s">
        <v>18</v>
      </c>
      <c r="B2477" s="3">
        <v>15779841</v>
      </c>
      <c r="C2477" s="3" t="s">
        <v>2524</v>
      </c>
      <c r="D2477" s="3" t="s">
        <v>20</v>
      </c>
      <c r="E2477" s="3" t="s">
        <v>21</v>
      </c>
      <c r="F2477" s="3" t="s">
        <v>21</v>
      </c>
      <c r="G2477" s="3" t="s">
        <v>36</v>
      </c>
      <c r="H2477" s="3" t="s">
        <v>37</v>
      </c>
      <c r="I2477" s="3" t="s">
        <v>24</v>
      </c>
      <c r="J2477" s="3" t="s">
        <v>24</v>
      </c>
      <c r="K2477" s="3" t="s">
        <v>25</v>
      </c>
      <c r="L2477" s="4">
        <v>0</v>
      </c>
      <c r="M2477" s="3" t="s">
        <v>26</v>
      </c>
      <c r="N2477" s="3" t="s">
        <v>24</v>
      </c>
      <c r="O2477" s="4">
        <v>0</v>
      </c>
      <c r="P2477" s="4">
        <v>4</v>
      </c>
      <c r="Q2477" s="4">
        <v>0</v>
      </c>
    </row>
    <row r="2478" spans="1:17" x14ac:dyDescent="0.25">
      <c r="A2478" s="3" t="s">
        <v>18</v>
      </c>
      <c r="B2478" s="3">
        <v>15779842</v>
      </c>
      <c r="C2478" s="3" t="s">
        <v>2525</v>
      </c>
      <c r="D2478" s="3" t="s">
        <v>20</v>
      </c>
      <c r="E2478" s="3" t="s">
        <v>21</v>
      </c>
      <c r="F2478" s="3" t="s">
        <v>21</v>
      </c>
      <c r="G2478" s="3" t="s">
        <v>36</v>
      </c>
      <c r="H2478" s="3" t="s">
        <v>37</v>
      </c>
      <c r="I2478" s="3" t="s">
        <v>24</v>
      </c>
      <c r="J2478" s="3" t="s">
        <v>24</v>
      </c>
      <c r="K2478" s="3" t="s">
        <v>25</v>
      </c>
      <c r="L2478" s="4">
        <v>0</v>
      </c>
      <c r="M2478" s="3" t="s">
        <v>26</v>
      </c>
      <c r="N2478" s="3" t="s">
        <v>24</v>
      </c>
      <c r="O2478" s="4">
        <v>0</v>
      </c>
      <c r="P2478" s="4">
        <v>4</v>
      </c>
      <c r="Q2478" s="4">
        <v>0</v>
      </c>
    </row>
    <row r="2479" spans="1:17" x14ac:dyDescent="0.25">
      <c r="A2479" s="3" t="s">
        <v>18</v>
      </c>
      <c r="B2479" s="3">
        <v>15779843</v>
      </c>
      <c r="C2479" s="3" t="s">
        <v>2526</v>
      </c>
      <c r="D2479" s="3" t="s">
        <v>20</v>
      </c>
      <c r="E2479" s="3" t="s">
        <v>21</v>
      </c>
      <c r="F2479" s="3" t="s">
        <v>21</v>
      </c>
      <c r="G2479" s="3" t="s">
        <v>36</v>
      </c>
      <c r="H2479" s="3" t="s">
        <v>37</v>
      </c>
      <c r="I2479" s="3" t="s">
        <v>24</v>
      </c>
      <c r="J2479" s="3" t="s">
        <v>24</v>
      </c>
      <c r="K2479" s="3" t="s">
        <v>25</v>
      </c>
      <c r="L2479" s="4">
        <v>0</v>
      </c>
      <c r="M2479" s="3" t="s">
        <v>26</v>
      </c>
      <c r="N2479" s="3" t="s">
        <v>24</v>
      </c>
      <c r="O2479" s="4">
        <v>0</v>
      </c>
      <c r="P2479" s="4">
        <v>4</v>
      </c>
      <c r="Q2479" s="4">
        <v>0</v>
      </c>
    </row>
    <row r="2480" spans="1:17" x14ac:dyDescent="0.25">
      <c r="A2480" s="3" t="s">
        <v>18</v>
      </c>
      <c r="B2480" s="3">
        <v>15779845</v>
      </c>
      <c r="C2480" s="3" t="s">
        <v>2527</v>
      </c>
      <c r="D2480" s="3" t="s">
        <v>20</v>
      </c>
      <c r="E2480" s="3" t="s">
        <v>21</v>
      </c>
      <c r="F2480" s="3" t="s">
        <v>21</v>
      </c>
      <c r="G2480" s="3" t="s">
        <v>36</v>
      </c>
      <c r="H2480" s="3" t="s">
        <v>37</v>
      </c>
      <c r="I2480" s="3" t="s">
        <v>24</v>
      </c>
      <c r="J2480" s="3" t="s">
        <v>24</v>
      </c>
      <c r="K2480" s="3" t="s">
        <v>25</v>
      </c>
      <c r="L2480" s="4">
        <v>0</v>
      </c>
      <c r="M2480" s="3" t="s">
        <v>26</v>
      </c>
      <c r="N2480" s="3" t="s">
        <v>24</v>
      </c>
      <c r="O2480" s="4">
        <v>0</v>
      </c>
      <c r="P2480" s="4">
        <v>2</v>
      </c>
      <c r="Q2480" s="4">
        <v>0</v>
      </c>
    </row>
    <row r="2481" spans="1:17" x14ac:dyDescent="0.25">
      <c r="A2481" s="3" t="s">
        <v>18</v>
      </c>
      <c r="B2481" s="3">
        <v>15779847</v>
      </c>
      <c r="C2481" s="3" t="s">
        <v>2528</v>
      </c>
      <c r="D2481" s="3" t="s">
        <v>20</v>
      </c>
      <c r="E2481" s="3" t="s">
        <v>21</v>
      </c>
      <c r="F2481" s="3" t="s">
        <v>21</v>
      </c>
      <c r="G2481" s="3" t="s">
        <v>36</v>
      </c>
      <c r="H2481" s="3" t="s">
        <v>37</v>
      </c>
      <c r="I2481" s="3" t="s">
        <v>24</v>
      </c>
      <c r="J2481" s="3" t="s">
        <v>24</v>
      </c>
      <c r="K2481" s="3" t="s">
        <v>25</v>
      </c>
      <c r="L2481" s="4">
        <v>0</v>
      </c>
      <c r="M2481" s="3" t="s">
        <v>26</v>
      </c>
      <c r="N2481" s="3" t="s">
        <v>24</v>
      </c>
      <c r="O2481" s="4">
        <v>0</v>
      </c>
      <c r="P2481" s="4">
        <v>2</v>
      </c>
      <c r="Q2481" s="4">
        <v>0</v>
      </c>
    </row>
    <row r="2482" spans="1:17" x14ac:dyDescent="0.25">
      <c r="A2482" s="3" t="s">
        <v>18</v>
      </c>
      <c r="B2482" s="3">
        <v>15779928</v>
      </c>
      <c r="C2482" s="3" t="s">
        <v>2529</v>
      </c>
      <c r="D2482" s="3" t="s">
        <v>20</v>
      </c>
      <c r="E2482" s="3" t="s">
        <v>21</v>
      </c>
      <c r="F2482" s="3" t="s">
        <v>21</v>
      </c>
      <c r="G2482" s="3" t="s">
        <v>362</v>
      </c>
      <c r="H2482" s="3" t="s">
        <v>363</v>
      </c>
      <c r="I2482" s="3" t="s">
        <v>24</v>
      </c>
      <c r="J2482" s="3" t="s">
        <v>24</v>
      </c>
      <c r="K2482" s="3" t="s">
        <v>25</v>
      </c>
      <c r="L2482" s="4">
        <v>0</v>
      </c>
      <c r="M2482" s="3" t="s">
        <v>26</v>
      </c>
      <c r="N2482" s="3" t="s">
        <v>24</v>
      </c>
      <c r="O2482" s="4">
        <v>1</v>
      </c>
      <c r="P2482" s="4">
        <v>1</v>
      </c>
      <c r="Q2482" s="4">
        <v>1</v>
      </c>
    </row>
    <row r="2483" spans="1:17" x14ac:dyDescent="0.25">
      <c r="A2483" s="3" t="s">
        <v>18</v>
      </c>
      <c r="B2483" s="3">
        <v>15785009</v>
      </c>
      <c r="C2483" s="3" t="s">
        <v>2530</v>
      </c>
      <c r="D2483" s="3" t="s">
        <v>20</v>
      </c>
      <c r="E2483" s="3" t="s">
        <v>21</v>
      </c>
      <c r="F2483" s="3" t="s">
        <v>21</v>
      </c>
      <c r="G2483" s="3" t="s">
        <v>30</v>
      </c>
      <c r="H2483" s="3" t="s">
        <v>31</v>
      </c>
      <c r="I2483" s="3" t="s">
        <v>24</v>
      </c>
      <c r="J2483" s="3" t="s">
        <v>24</v>
      </c>
      <c r="K2483" s="3" t="s">
        <v>25</v>
      </c>
      <c r="L2483" s="4">
        <v>0</v>
      </c>
      <c r="M2483" s="3" t="s">
        <v>26</v>
      </c>
      <c r="N2483" s="3" t="s">
        <v>24</v>
      </c>
      <c r="O2483" s="4">
        <v>0</v>
      </c>
      <c r="P2483" s="4">
        <v>4</v>
      </c>
      <c r="Q2483" s="4">
        <v>0</v>
      </c>
    </row>
    <row r="2484" spans="1:17" x14ac:dyDescent="0.25">
      <c r="A2484" s="3" t="s">
        <v>18</v>
      </c>
      <c r="B2484" s="3">
        <v>15822327</v>
      </c>
      <c r="C2484" s="3" t="s">
        <v>2531</v>
      </c>
      <c r="D2484" s="3" t="s">
        <v>20</v>
      </c>
      <c r="E2484" s="3" t="s">
        <v>21</v>
      </c>
      <c r="F2484" s="3" t="s">
        <v>24</v>
      </c>
      <c r="G2484" s="3" t="s">
        <v>36</v>
      </c>
      <c r="H2484" s="3" t="s">
        <v>37</v>
      </c>
      <c r="I2484" s="3" t="s">
        <v>24</v>
      </c>
      <c r="J2484" s="3" t="s">
        <v>24</v>
      </c>
      <c r="K2484" s="3" t="s">
        <v>25</v>
      </c>
      <c r="L2484" s="4">
        <v>0</v>
      </c>
      <c r="M2484" s="3" t="s">
        <v>26</v>
      </c>
      <c r="N2484" s="3" t="s">
        <v>24</v>
      </c>
      <c r="O2484" s="4">
        <v>1</v>
      </c>
      <c r="P2484" s="4">
        <v>8</v>
      </c>
      <c r="Q2484" s="4">
        <v>1</v>
      </c>
    </row>
    <row r="2485" spans="1:17" x14ac:dyDescent="0.25">
      <c r="A2485" s="3" t="s">
        <v>18</v>
      </c>
      <c r="B2485" s="3">
        <v>15822426</v>
      </c>
      <c r="C2485" s="3" t="s">
        <v>2532</v>
      </c>
      <c r="D2485" s="3" t="s">
        <v>20</v>
      </c>
      <c r="E2485" s="3" t="s">
        <v>21</v>
      </c>
      <c r="F2485" s="3" t="s">
        <v>24</v>
      </c>
      <c r="G2485" s="3" t="s">
        <v>36</v>
      </c>
      <c r="H2485" s="3" t="s">
        <v>37</v>
      </c>
      <c r="I2485" s="3" t="s">
        <v>24</v>
      </c>
      <c r="J2485" s="3" t="s">
        <v>24</v>
      </c>
      <c r="K2485" s="3" t="s">
        <v>25</v>
      </c>
      <c r="L2485" s="4">
        <v>0</v>
      </c>
      <c r="M2485" s="3" t="s">
        <v>26</v>
      </c>
      <c r="N2485" s="3" t="s">
        <v>24</v>
      </c>
      <c r="O2485" s="4">
        <v>1</v>
      </c>
      <c r="P2485" s="4">
        <v>8</v>
      </c>
      <c r="Q2485" s="4">
        <v>1</v>
      </c>
    </row>
    <row r="2486" spans="1:17" x14ac:dyDescent="0.25">
      <c r="A2486" s="3" t="s">
        <v>18</v>
      </c>
      <c r="B2486" s="3">
        <v>15822443</v>
      </c>
      <c r="C2486" s="3" t="s">
        <v>2533</v>
      </c>
      <c r="D2486" s="3" t="s">
        <v>20</v>
      </c>
      <c r="E2486" s="3" t="s">
        <v>21</v>
      </c>
      <c r="F2486" s="3" t="s">
        <v>24</v>
      </c>
      <c r="G2486" s="3" t="s">
        <v>36</v>
      </c>
      <c r="H2486" s="3" t="s">
        <v>37</v>
      </c>
      <c r="I2486" s="3" t="s">
        <v>24</v>
      </c>
      <c r="J2486" s="3" t="s">
        <v>24</v>
      </c>
      <c r="K2486" s="3" t="s">
        <v>25</v>
      </c>
      <c r="L2486" s="4">
        <v>0</v>
      </c>
      <c r="M2486" s="3" t="s">
        <v>26</v>
      </c>
      <c r="N2486" s="3" t="s">
        <v>24</v>
      </c>
      <c r="O2486" s="4">
        <v>1</v>
      </c>
      <c r="P2486" s="4">
        <v>8</v>
      </c>
      <c r="Q2486" s="4">
        <v>1</v>
      </c>
    </row>
    <row r="2487" spans="1:17" x14ac:dyDescent="0.25">
      <c r="A2487" s="3" t="s">
        <v>18</v>
      </c>
      <c r="B2487" s="3">
        <v>15840797</v>
      </c>
      <c r="C2487" s="3" t="s">
        <v>2534</v>
      </c>
      <c r="D2487" s="3" t="s">
        <v>20</v>
      </c>
      <c r="E2487" s="3" t="s">
        <v>21</v>
      </c>
      <c r="F2487" s="3" t="s">
        <v>21</v>
      </c>
      <c r="G2487" s="3" t="s">
        <v>362</v>
      </c>
      <c r="H2487" s="3" t="s">
        <v>363</v>
      </c>
      <c r="I2487" s="3" t="s">
        <v>24</v>
      </c>
      <c r="J2487" s="3" t="s">
        <v>24</v>
      </c>
      <c r="K2487" s="3" t="s">
        <v>25</v>
      </c>
      <c r="L2487" s="4">
        <v>0</v>
      </c>
      <c r="M2487" s="3" t="s">
        <v>26</v>
      </c>
      <c r="N2487" s="3" t="s">
        <v>24</v>
      </c>
      <c r="O2487" s="4">
        <v>1</v>
      </c>
      <c r="P2487" s="4">
        <v>1</v>
      </c>
      <c r="Q2487" s="4">
        <v>1</v>
      </c>
    </row>
    <row r="2488" spans="1:17" x14ac:dyDescent="0.25">
      <c r="A2488" s="3" t="s">
        <v>18</v>
      </c>
      <c r="B2488" s="3">
        <v>15841299</v>
      </c>
      <c r="C2488" s="3" t="s">
        <v>2535</v>
      </c>
      <c r="D2488" s="3" t="s">
        <v>20</v>
      </c>
      <c r="E2488" s="3" t="s">
        <v>21</v>
      </c>
      <c r="F2488" s="3" t="s">
        <v>21</v>
      </c>
      <c r="G2488" s="3" t="s">
        <v>362</v>
      </c>
      <c r="H2488" s="3" t="s">
        <v>363</v>
      </c>
      <c r="I2488" s="3" t="s">
        <v>24</v>
      </c>
      <c r="J2488" s="3" t="s">
        <v>24</v>
      </c>
      <c r="K2488" s="3" t="s">
        <v>25</v>
      </c>
      <c r="L2488" s="4">
        <v>0</v>
      </c>
      <c r="M2488" s="3" t="s">
        <v>26</v>
      </c>
      <c r="N2488" s="3" t="s">
        <v>24</v>
      </c>
      <c r="O2488" s="4">
        <v>1</v>
      </c>
      <c r="P2488" s="4">
        <v>1</v>
      </c>
      <c r="Q2488" s="4">
        <v>1</v>
      </c>
    </row>
    <row r="2489" spans="1:17" x14ac:dyDescent="0.25">
      <c r="A2489" s="3" t="s">
        <v>18</v>
      </c>
      <c r="B2489" s="3">
        <v>15841300</v>
      </c>
      <c r="C2489" s="3" t="s">
        <v>2536</v>
      </c>
      <c r="D2489" s="3" t="s">
        <v>20</v>
      </c>
      <c r="E2489" s="3" t="s">
        <v>21</v>
      </c>
      <c r="F2489" s="3" t="s">
        <v>21</v>
      </c>
      <c r="G2489" s="3" t="s">
        <v>362</v>
      </c>
      <c r="H2489" s="3" t="s">
        <v>363</v>
      </c>
      <c r="I2489" s="3" t="s">
        <v>24</v>
      </c>
      <c r="J2489" s="3" t="s">
        <v>24</v>
      </c>
      <c r="K2489" s="3" t="s">
        <v>25</v>
      </c>
      <c r="L2489" s="4">
        <v>0</v>
      </c>
      <c r="M2489" s="3" t="s">
        <v>26</v>
      </c>
      <c r="N2489" s="3" t="s">
        <v>24</v>
      </c>
      <c r="O2489" s="4">
        <v>1</v>
      </c>
      <c r="P2489" s="4">
        <v>1</v>
      </c>
      <c r="Q2489" s="4">
        <v>1</v>
      </c>
    </row>
    <row r="2490" spans="1:17" x14ac:dyDescent="0.25">
      <c r="A2490" s="3" t="s">
        <v>18</v>
      </c>
      <c r="B2490" s="3">
        <v>15841303</v>
      </c>
      <c r="C2490" s="3" t="s">
        <v>2537</v>
      </c>
      <c r="D2490" s="3" t="s">
        <v>20</v>
      </c>
      <c r="E2490" s="3" t="s">
        <v>21</v>
      </c>
      <c r="F2490" s="3" t="s">
        <v>21</v>
      </c>
      <c r="G2490" s="3" t="s">
        <v>362</v>
      </c>
      <c r="H2490" s="3" t="s">
        <v>363</v>
      </c>
      <c r="I2490" s="3" t="s">
        <v>24</v>
      </c>
      <c r="J2490" s="3" t="s">
        <v>24</v>
      </c>
      <c r="K2490" s="3" t="s">
        <v>25</v>
      </c>
      <c r="L2490" s="4">
        <v>0</v>
      </c>
      <c r="M2490" s="3" t="s">
        <v>26</v>
      </c>
      <c r="N2490" s="3" t="s">
        <v>24</v>
      </c>
      <c r="O2490" s="4">
        <v>1</v>
      </c>
      <c r="P2490" s="4">
        <v>1</v>
      </c>
      <c r="Q2490" s="4">
        <v>1</v>
      </c>
    </row>
    <row r="2491" spans="1:17" x14ac:dyDescent="0.25">
      <c r="A2491" s="3" t="s">
        <v>18</v>
      </c>
      <c r="B2491" s="3">
        <v>15875747</v>
      </c>
      <c r="C2491" s="3" t="s">
        <v>2538</v>
      </c>
      <c r="D2491" s="3" t="s">
        <v>20</v>
      </c>
      <c r="E2491" s="3" t="s">
        <v>21</v>
      </c>
      <c r="F2491" s="3" t="s">
        <v>21</v>
      </c>
      <c r="G2491" s="3" t="s">
        <v>233</v>
      </c>
      <c r="H2491" s="3" t="s">
        <v>234</v>
      </c>
      <c r="I2491" s="3" t="s">
        <v>24</v>
      </c>
      <c r="J2491" s="3" t="s">
        <v>24</v>
      </c>
      <c r="K2491" s="3" t="s">
        <v>25</v>
      </c>
      <c r="L2491" s="4">
        <v>0</v>
      </c>
      <c r="M2491" s="3" t="s">
        <v>26</v>
      </c>
      <c r="N2491" s="3" t="s">
        <v>24</v>
      </c>
      <c r="O2491" s="4">
        <v>0</v>
      </c>
      <c r="P2491" s="4">
        <v>3</v>
      </c>
      <c r="Q2491" s="4">
        <v>0</v>
      </c>
    </row>
    <row r="2492" spans="1:17" x14ac:dyDescent="0.25">
      <c r="A2492" s="3" t="s">
        <v>18</v>
      </c>
      <c r="B2492" s="3">
        <v>15876611</v>
      </c>
      <c r="C2492" s="3" t="s">
        <v>2539</v>
      </c>
      <c r="D2492" s="3" t="s">
        <v>20</v>
      </c>
      <c r="E2492" s="3" t="s">
        <v>21</v>
      </c>
      <c r="F2492" s="3" t="s">
        <v>21</v>
      </c>
      <c r="G2492" s="3" t="s">
        <v>36</v>
      </c>
      <c r="H2492" s="3" t="s">
        <v>37</v>
      </c>
      <c r="I2492" s="3" t="s">
        <v>24</v>
      </c>
      <c r="J2492" s="3" t="s">
        <v>24</v>
      </c>
      <c r="K2492" s="3" t="s">
        <v>25</v>
      </c>
      <c r="L2492" s="4">
        <v>0</v>
      </c>
      <c r="M2492" s="3" t="s">
        <v>26</v>
      </c>
      <c r="N2492" s="3" t="s">
        <v>24</v>
      </c>
      <c r="O2492" s="4">
        <v>1</v>
      </c>
      <c r="P2492" s="4">
        <v>8</v>
      </c>
      <c r="Q2492" s="4">
        <v>1</v>
      </c>
    </row>
    <row r="2493" spans="1:17" x14ac:dyDescent="0.25">
      <c r="A2493" s="3" t="s">
        <v>18</v>
      </c>
      <c r="B2493" s="3">
        <v>15883455</v>
      </c>
      <c r="C2493" s="3" t="s">
        <v>2540</v>
      </c>
      <c r="D2493" s="3" t="s">
        <v>20</v>
      </c>
      <c r="E2493" s="3" t="s">
        <v>21</v>
      </c>
      <c r="F2493" s="3" t="s">
        <v>21</v>
      </c>
      <c r="G2493" s="3" t="s">
        <v>42</v>
      </c>
      <c r="H2493" s="3" t="s">
        <v>43</v>
      </c>
      <c r="I2493" s="3" t="s">
        <v>24</v>
      </c>
      <c r="J2493" s="3" t="s">
        <v>24</v>
      </c>
      <c r="K2493" s="3" t="s">
        <v>25</v>
      </c>
      <c r="L2493" s="4">
        <v>0</v>
      </c>
      <c r="M2493" s="3" t="s">
        <v>26</v>
      </c>
      <c r="N2493" s="3" t="s">
        <v>24</v>
      </c>
      <c r="O2493" s="4">
        <v>0</v>
      </c>
      <c r="P2493" s="4">
        <v>8</v>
      </c>
      <c r="Q2493" s="4">
        <v>1</v>
      </c>
    </row>
    <row r="2494" spans="1:17" x14ac:dyDescent="0.25">
      <c r="A2494" s="3" t="s">
        <v>18</v>
      </c>
      <c r="B2494" s="3">
        <v>15883457</v>
      </c>
      <c r="C2494" s="3" t="s">
        <v>2541</v>
      </c>
      <c r="D2494" s="3" t="s">
        <v>20</v>
      </c>
      <c r="E2494" s="3" t="s">
        <v>21</v>
      </c>
      <c r="F2494" s="3" t="s">
        <v>21</v>
      </c>
      <c r="G2494" s="3" t="s">
        <v>233</v>
      </c>
      <c r="H2494" s="3" t="s">
        <v>234</v>
      </c>
      <c r="I2494" s="3" t="s">
        <v>24</v>
      </c>
      <c r="J2494" s="3" t="s">
        <v>24</v>
      </c>
      <c r="K2494" s="3" t="s">
        <v>25</v>
      </c>
      <c r="L2494" s="4">
        <v>0</v>
      </c>
      <c r="M2494" s="3" t="s">
        <v>26</v>
      </c>
      <c r="N2494" s="3" t="s">
        <v>24</v>
      </c>
      <c r="O2494" s="4">
        <v>0</v>
      </c>
      <c r="P2494" s="4">
        <v>3</v>
      </c>
      <c r="Q2494" s="4">
        <v>0</v>
      </c>
    </row>
    <row r="2495" spans="1:17" x14ac:dyDescent="0.25">
      <c r="A2495" s="3" t="s">
        <v>18</v>
      </c>
      <c r="B2495" s="3">
        <v>15889150</v>
      </c>
      <c r="C2495" s="3" t="s">
        <v>2542</v>
      </c>
      <c r="D2495" s="3" t="s">
        <v>20</v>
      </c>
      <c r="E2495" s="3" t="s">
        <v>21</v>
      </c>
      <c r="F2495" s="3" t="s">
        <v>21</v>
      </c>
      <c r="G2495" s="3" t="s">
        <v>233</v>
      </c>
      <c r="H2495" s="3" t="s">
        <v>234</v>
      </c>
      <c r="I2495" s="3" t="s">
        <v>24</v>
      </c>
      <c r="J2495" s="3" t="s">
        <v>24</v>
      </c>
      <c r="K2495" s="3" t="s">
        <v>25</v>
      </c>
      <c r="L2495" s="4">
        <v>0</v>
      </c>
      <c r="M2495" s="3" t="s">
        <v>26</v>
      </c>
      <c r="N2495" s="3" t="s">
        <v>24</v>
      </c>
      <c r="O2495" s="4">
        <v>1</v>
      </c>
      <c r="P2495" s="4">
        <v>3</v>
      </c>
      <c r="Q2495" s="4">
        <v>1</v>
      </c>
    </row>
    <row r="2496" spans="1:17" x14ac:dyDescent="0.25">
      <c r="A2496" s="3" t="s">
        <v>18</v>
      </c>
      <c r="B2496" s="3">
        <v>15899790</v>
      </c>
      <c r="C2496" s="3" t="s">
        <v>2543</v>
      </c>
      <c r="D2496" s="3" t="s">
        <v>20</v>
      </c>
      <c r="E2496" s="3" t="s">
        <v>21</v>
      </c>
      <c r="F2496" s="3" t="s">
        <v>21</v>
      </c>
      <c r="G2496" s="3" t="s">
        <v>233</v>
      </c>
      <c r="H2496" s="3" t="s">
        <v>234</v>
      </c>
      <c r="I2496" s="3" t="s">
        <v>24</v>
      </c>
      <c r="J2496" s="3" t="s">
        <v>24</v>
      </c>
      <c r="K2496" s="3" t="s">
        <v>25</v>
      </c>
      <c r="L2496" s="4">
        <v>0</v>
      </c>
      <c r="M2496" s="3" t="s">
        <v>26</v>
      </c>
      <c r="N2496" s="3" t="s">
        <v>24</v>
      </c>
      <c r="O2496" s="4">
        <v>1</v>
      </c>
      <c r="P2496" s="4">
        <v>3</v>
      </c>
      <c r="Q2496" s="4">
        <v>1</v>
      </c>
    </row>
    <row r="2497" spans="1:17" x14ac:dyDescent="0.25">
      <c r="A2497" s="3" t="s">
        <v>18</v>
      </c>
      <c r="B2497" s="3">
        <v>15906060</v>
      </c>
      <c r="C2497" s="3" t="s">
        <v>2544</v>
      </c>
      <c r="D2497" s="3" t="s">
        <v>1360</v>
      </c>
      <c r="E2497" s="3" t="s">
        <v>21</v>
      </c>
      <c r="F2497" s="3" t="s">
        <v>21</v>
      </c>
      <c r="G2497" s="3" t="s">
        <v>233</v>
      </c>
      <c r="H2497" s="3" t="s">
        <v>234</v>
      </c>
      <c r="I2497" s="3" t="s">
        <v>24</v>
      </c>
      <c r="J2497" s="3" t="s">
        <v>24</v>
      </c>
      <c r="K2497" s="3" t="s">
        <v>25</v>
      </c>
      <c r="L2497" s="4">
        <v>0</v>
      </c>
      <c r="M2497" s="3" t="s">
        <v>26</v>
      </c>
      <c r="N2497" s="3" t="s">
        <v>24</v>
      </c>
      <c r="O2497" s="4">
        <v>0</v>
      </c>
      <c r="P2497" s="4">
        <v>3</v>
      </c>
      <c r="Q2497" s="4">
        <v>0</v>
      </c>
    </row>
    <row r="2498" spans="1:17" x14ac:dyDescent="0.25">
      <c r="A2498" s="3" t="s">
        <v>18</v>
      </c>
      <c r="B2498" s="3">
        <v>15911162</v>
      </c>
      <c r="C2498" s="3" t="s">
        <v>2545</v>
      </c>
      <c r="D2498" s="3" t="s">
        <v>20</v>
      </c>
      <c r="E2498" s="3" t="s">
        <v>21</v>
      </c>
      <c r="F2498" s="3" t="s">
        <v>21</v>
      </c>
      <c r="G2498" s="3" t="s">
        <v>233</v>
      </c>
      <c r="H2498" s="3" t="s">
        <v>234</v>
      </c>
      <c r="I2498" s="3" t="s">
        <v>24</v>
      </c>
      <c r="J2498" s="3" t="s">
        <v>24</v>
      </c>
      <c r="K2498" s="3" t="s">
        <v>25</v>
      </c>
      <c r="L2498" s="4">
        <v>0</v>
      </c>
      <c r="M2498" s="3" t="s">
        <v>26</v>
      </c>
      <c r="N2498" s="3" t="s">
        <v>24</v>
      </c>
      <c r="O2498" s="4">
        <v>1</v>
      </c>
      <c r="P2498" s="4">
        <v>3</v>
      </c>
      <c r="Q2498" s="4">
        <v>1</v>
      </c>
    </row>
    <row r="2499" spans="1:17" x14ac:dyDescent="0.25">
      <c r="A2499" s="3" t="s">
        <v>18</v>
      </c>
      <c r="B2499" s="3">
        <v>15911166</v>
      </c>
      <c r="C2499" s="3" t="s">
        <v>2546</v>
      </c>
      <c r="D2499" s="3" t="s">
        <v>20</v>
      </c>
      <c r="E2499" s="3" t="s">
        <v>21</v>
      </c>
      <c r="F2499" s="3" t="s">
        <v>21</v>
      </c>
      <c r="G2499" s="3" t="s">
        <v>233</v>
      </c>
      <c r="H2499" s="3" t="s">
        <v>234</v>
      </c>
      <c r="I2499" s="3" t="s">
        <v>24</v>
      </c>
      <c r="J2499" s="3" t="s">
        <v>24</v>
      </c>
      <c r="K2499" s="3" t="s">
        <v>25</v>
      </c>
      <c r="L2499" s="4">
        <v>0</v>
      </c>
      <c r="M2499" s="3" t="s">
        <v>26</v>
      </c>
      <c r="N2499" s="3" t="s">
        <v>24</v>
      </c>
      <c r="O2499" s="4">
        <v>1</v>
      </c>
      <c r="P2499" s="4">
        <v>3</v>
      </c>
      <c r="Q2499" s="4">
        <v>1</v>
      </c>
    </row>
    <row r="2500" spans="1:17" x14ac:dyDescent="0.25">
      <c r="A2500" s="3" t="s">
        <v>18</v>
      </c>
      <c r="B2500" s="3">
        <v>15911228</v>
      </c>
      <c r="C2500" s="3" t="s">
        <v>2547</v>
      </c>
      <c r="D2500" s="3" t="s">
        <v>20</v>
      </c>
      <c r="E2500" s="3" t="s">
        <v>21</v>
      </c>
      <c r="F2500" s="3" t="s">
        <v>21</v>
      </c>
      <c r="G2500" s="3" t="s">
        <v>233</v>
      </c>
      <c r="H2500" s="3" t="s">
        <v>234</v>
      </c>
      <c r="I2500" s="3" t="s">
        <v>24</v>
      </c>
      <c r="J2500" s="3" t="s">
        <v>24</v>
      </c>
      <c r="K2500" s="3" t="s">
        <v>25</v>
      </c>
      <c r="L2500" s="4">
        <v>0</v>
      </c>
      <c r="M2500" s="3" t="s">
        <v>26</v>
      </c>
      <c r="N2500" s="3" t="s">
        <v>24</v>
      </c>
      <c r="O2500" s="4">
        <v>1</v>
      </c>
      <c r="P2500" s="4">
        <v>3</v>
      </c>
      <c r="Q2500" s="4">
        <v>1</v>
      </c>
    </row>
    <row r="2501" spans="1:17" x14ac:dyDescent="0.25">
      <c r="A2501" s="3" t="s">
        <v>18</v>
      </c>
      <c r="B2501" s="3">
        <v>15911230</v>
      </c>
      <c r="C2501" s="3" t="s">
        <v>2548</v>
      </c>
      <c r="D2501" s="3" t="s">
        <v>20</v>
      </c>
      <c r="E2501" s="3" t="s">
        <v>21</v>
      </c>
      <c r="F2501" s="3" t="s">
        <v>21</v>
      </c>
      <c r="G2501" s="3" t="s">
        <v>233</v>
      </c>
      <c r="H2501" s="3" t="s">
        <v>234</v>
      </c>
      <c r="I2501" s="3" t="s">
        <v>24</v>
      </c>
      <c r="J2501" s="3" t="s">
        <v>24</v>
      </c>
      <c r="K2501" s="3" t="s">
        <v>25</v>
      </c>
      <c r="L2501" s="4">
        <v>0</v>
      </c>
      <c r="M2501" s="3" t="s">
        <v>26</v>
      </c>
      <c r="N2501" s="3" t="s">
        <v>24</v>
      </c>
      <c r="O2501" s="4">
        <v>1</v>
      </c>
      <c r="P2501" s="4">
        <v>3</v>
      </c>
      <c r="Q2501" s="4">
        <v>1</v>
      </c>
    </row>
    <row r="2502" spans="1:17" x14ac:dyDescent="0.25">
      <c r="A2502" s="3" t="s">
        <v>18</v>
      </c>
      <c r="B2502" s="3">
        <v>15911237</v>
      </c>
      <c r="C2502" s="3" t="s">
        <v>2549</v>
      </c>
      <c r="D2502" s="3" t="s">
        <v>20</v>
      </c>
      <c r="E2502" s="3" t="s">
        <v>21</v>
      </c>
      <c r="F2502" s="3" t="s">
        <v>21</v>
      </c>
      <c r="G2502" s="3" t="s">
        <v>233</v>
      </c>
      <c r="H2502" s="3" t="s">
        <v>234</v>
      </c>
      <c r="I2502" s="3" t="s">
        <v>24</v>
      </c>
      <c r="J2502" s="3" t="s">
        <v>24</v>
      </c>
      <c r="K2502" s="3" t="s">
        <v>25</v>
      </c>
      <c r="L2502" s="4">
        <v>0</v>
      </c>
      <c r="M2502" s="3" t="s">
        <v>26</v>
      </c>
      <c r="N2502" s="3" t="s">
        <v>24</v>
      </c>
      <c r="O2502" s="4">
        <v>1</v>
      </c>
      <c r="P2502" s="4">
        <v>3</v>
      </c>
      <c r="Q2502" s="4">
        <v>1</v>
      </c>
    </row>
    <row r="2503" spans="1:17" x14ac:dyDescent="0.25">
      <c r="A2503" s="3" t="s">
        <v>18</v>
      </c>
      <c r="B2503" s="3">
        <v>15911289</v>
      </c>
      <c r="C2503" s="3" t="s">
        <v>2550</v>
      </c>
      <c r="D2503" s="3" t="s">
        <v>20</v>
      </c>
      <c r="E2503" s="3" t="s">
        <v>21</v>
      </c>
      <c r="F2503" s="3" t="s">
        <v>21</v>
      </c>
      <c r="G2503" s="3" t="s">
        <v>233</v>
      </c>
      <c r="H2503" s="3" t="s">
        <v>234</v>
      </c>
      <c r="I2503" s="3" t="s">
        <v>24</v>
      </c>
      <c r="J2503" s="3" t="s">
        <v>24</v>
      </c>
      <c r="K2503" s="3" t="s">
        <v>25</v>
      </c>
      <c r="L2503" s="4">
        <v>0</v>
      </c>
      <c r="M2503" s="3" t="s">
        <v>26</v>
      </c>
      <c r="N2503" s="3" t="s">
        <v>24</v>
      </c>
      <c r="O2503" s="4">
        <v>1</v>
      </c>
      <c r="P2503" s="4">
        <v>3</v>
      </c>
      <c r="Q2503" s="4">
        <v>1</v>
      </c>
    </row>
    <row r="2504" spans="1:17" x14ac:dyDescent="0.25">
      <c r="A2504" s="3" t="s">
        <v>18</v>
      </c>
      <c r="B2504" s="3">
        <v>15911543</v>
      </c>
      <c r="C2504" s="3" t="s">
        <v>2551</v>
      </c>
      <c r="D2504" s="3" t="s">
        <v>20</v>
      </c>
      <c r="E2504" s="3" t="s">
        <v>21</v>
      </c>
      <c r="F2504" s="3" t="s">
        <v>21</v>
      </c>
      <c r="G2504" s="3" t="s">
        <v>410</v>
      </c>
      <c r="H2504" s="3" t="s">
        <v>411</v>
      </c>
      <c r="I2504" s="3" t="s">
        <v>24</v>
      </c>
      <c r="J2504" s="3" t="s">
        <v>24</v>
      </c>
      <c r="K2504" s="3" t="s">
        <v>25</v>
      </c>
      <c r="L2504" s="4">
        <v>0</v>
      </c>
      <c r="M2504" s="3" t="s">
        <v>26</v>
      </c>
      <c r="N2504" s="3" t="s">
        <v>24</v>
      </c>
      <c r="O2504" s="4">
        <v>1</v>
      </c>
      <c r="P2504" s="4">
        <v>3</v>
      </c>
      <c r="Q2504" s="4">
        <v>1</v>
      </c>
    </row>
    <row r="2505" spans="1:17" x14ac:dyDescent="0.25">
      <c r="A2505" s="3" t="s">
        <v>18</v>
      </c>
      <c r="B2505" s="3">
        <v>15912111</v>
      </c>
      <c r="C2505" s="3" t="s">
        <v>2552</v>
      </c>
      <c r="D2505" s="3" t="s">
        <v>20</v>
      </c>
      <c r="E2505" s="3" t="s">
        <v>21</v>
      </c>
      <c r="F2505" s="3" t="s">
        <v>21</v>
      </c>
      <c r="G2505" s="3" t="s">
        <v>22</v>
      </c>
      <c r="H2505" s="3" t="s">
        <v>23</v>
      </c>
      <c r="I2505" s="3" t="s">
        <v>24</v>
      </c>
      <c r="J2505" s="3" t="s">
        <v>24</v>
      </c>
      <c r="K2505" s="3" t="s">
        <v>25</v>
      </c>
      <c r="L2505" s="4">
        <v>0</v>
      </c>
      <c r="M2505" s="3" t="s">
        <v>26</v>
      </c>
      <c r="N2505" s="3" t="s">
        <v>24</v>
      </c>
      <c r="O2505" s="4">
        <v>1</v>
      </c>
      <c r="P2505" s="4">
        <v>4</v>
      </c>
      <c r="Q2505" s="4">
        <v>1</v>
      </c>
    </row>
    <row r="2506" spans="1:17" x14ac:dyDescent="0.25">
      <c r="A2506" s="3" t="s">
        <v>18</v>
      </c>
      <c r="B2506" s="3">
        <v>15939278</v>
      </c>
      <c r="C2506" s="3" t="s">
        <v>2553</v>
      </c>
      <c r="D2506" s="3" t="s">
        <v>20</v>
      </c>
      <c r="E2506" s="3" t="s">
        <v>21</v>
      </c>
      <c r="F2506" s="3" t="s">
        <v>21</v>
      </c>
      <c r="G2506" s="3" t="s">
        <v>30</v>
      </c>
      <c r="H2506" s="3" t="s">
        <v>31</v>
      </c>
      <c r="I2506" s="3" t="s">
        <v>24</v>
      </c>
      <c r="J2506" s="3" t="s">
        <v>24</v>
      </c>
      <c r="K2506" s="3" t="s">
        <v>25</v>
      </c>
      <c r="L2506" s="4">
        <v>0</v>
      </c>
      <c r="M2506" s="3" t="s">
        <v>26</v>
      </c>
      <c r="N2506" s="3" t="s">
        <v>24</v>
      </c>
      <c r="O2506" s="4">
        <v>1</v>
      </c>
      <c r="P2506" s="4">
        <v>4</v>
      </c>
      <c r="Q2506" s="4">
        <v>1</v>
      </c>
    </row>
    <row r="2507" spans="1:17" x14ac:dyDescent="0.25">
      <c r="A2507" s="3" t="s">
        <v>18</v>
      </c>
      <c r="B2507" s="3">
        <v>15941825</v>
      </c>
      <c r="C2507" s="3" t="s">
        <v>2554</v>
      </c>
      <c r="D2507" s="3" t="s">
        <v>20</v>
      </c>
      <c r="E2507" s="3" t="s">
        <v>21</v>
      </c>
      <c r="F2507" s="3" t="s">
        <v>21</v>
      </c>
      <c r="G2507" s="3" t="s">
        <v>36</v>
      </c>
      <c r="H2507" s="3" t="s">
        <v>37</v>
      </c>
      <c r="I2507" s="3" t="s">
        <v>24</v>
      </c>
      <c r="J2507" s="3" t="s">
        <v>24</v>
      </c>
      <c r="K2507" s="3" t="s">
        <v>25</v>
      </c>
      <c r="L2507" s="4">
        <v>0</v>
      </c>
      <c r="M2507" s="3" t="s">
        <v>26</v>
      </c>
      <c r="N2507" s="3" t="s">
        <v>24</v>
      </c>
      <c r="O2507" s="4">
        <v>1</v>
      </c>
      <c r="P2507" s="4">
        <v>8</v>
      </c>
      <c r="Q2507" s="4">
        <v>1</v>
      </c>
    </row>
    <row r="2508" spans="1:17" x14ac:dyDescent="0.25">
      <c r="A2508" s="3" t="s">
        <v>18</v>
      </c>
      <c r="B2508" s="3">
        <v>15941826</v>
      </c>
      <c r="C2508" s="3" t="s">
        <v>2555</v>
      </c>
      <c r="D2508" s="3" t="s">
        <v>20</v>
      </c>
      <c r="E2508" s="3" t="s">
        <v>21</v>
      </c>
      <c r="F2508" s="3" t="s">
        <v>24</v>
      </c>
      <c r="G2508" s="3" t="s">
        <v>36</v>
      </c>
      <c r="H2508" s="3" t="s">
        <v>37</v>
      </c>
      <c r="I2508" s="3" t="s">
        <v>24</v>
      </c>
      <c r="J2508" s="3" t="s">
        <v>24</v>
      </c>
      <c r="K2508" s="3" t="s">
        <v>25</v>
      </c>
      <c r="L2508" s="4">
        <v>0</v>
      </c>
      <c r="M2508" s="3" t="s">
        <v>26</v>
      </c>
      <c r="N2508" s="3" t="s">
        <v>24</v>
      </c>
      <c r="O2508" s="4">
        <v>1</v>
      </c>
      <c r="P2508" s="4">
        <v>8</v>
      </c>
      <c r="Q2508" s="4">
        <v>1</v>
      </c>
    </row>
    <row r="2509" spans="1:17" x14ac:dyDescent="0.25">
      <c r="A2509" s="3" t="s">
        <v>18</v>
      </c>
      <c r="B2509" s="3">
        <v>15942029</v>
      </c>
      <c r="C2509" s="3" t="s">
        <v>2556</v>
      </c>
      <c r="D2509" s="3" t="s">
        <v>20</v>
      </c>
      <c r="E2509" s="3" t="s">
        <v>21</v>
      </c>
      <c r="F2509" s="3" t="s">
        <v>24</v>
      </c>
      <c r="G2509" s="3" t="s">
        <v>36</v>
      </c>
      <c r="H2509" s="3" t="s">
        <v>37</v>
      </c>
      <c r="I2509" s="3" t="s">
        <v>24</v>
      </c>
      <c r="J2509" s="3" t="s">
        <v>24</v>
      </c>
      <c r="K2509" s="3" t="s">
        <v>25</v>
      </c>
      <c r="L2509" s="4">
        <v>0</v>
      </c>
      <c r="M2509" s="3" t="s">
        <v>26</v>
      </c>
      <c r="N2509" s="3" t="s">
        <v>24</v>
      </c>
      <c r="O2509" s="4">
        <v>1</v>
      </c>
      <c r="P2509" s="4">
        <v>8</v>
      </c>
      <c r="Q2509" s="4">
        <v>1</v>
      </c>
    </row>
    <row r="2510" spans="1:17" x14ac:dyDescent="0.25">
      <c r="A2510" s="3" t="s">
        <v>18</v>
      </c>
      <c r="B2510" s="3">
        <v>15950583</v>
      </c>
      <c r="C2510" s="3" t="s">
        <v>2557</v>
      </c>
      <c r="D2510" s="3" t="s">
        <v>20</v>
      </c>
      <c r="E2510" s="3" t="s">
        <v>21</v>
      </c>
      <c r="F2510" s="3" t="s">
        <v>21</v>
      </c>
      <c r="G2510" s="3" t="s">
        <v>410</v>
      </c>
      <c r="H2510" s="3" t="s">
        <v>411</v>
      </c>
      <c r="I2510" s="3" t="s">
        <v>24</v>
      </c>
      <c r="J2510" s="3" t="s">
        <v>24</v>
      </c>
      <c r="K2510" s="3" t="s">
        <v>25</v>
      </c>
      <c r="L2510" s="4">
        <v>0</v>
      </c>
      <c r="M2510" s="3" t="s">
        <v>26</v>
      </c>
      <c r="N2510" s="3" t="s">
        <v>24</v>
      </c>
      <c r="O2510" s="4">
        <v>1</v>
      </c>
      <c r="P2510" s="4">
        <v>8</v>
      </c>
      <c r="Q2510" s="4">
        <v>1</v>
      </c>
    </row>
    <row r="2511" spans="1:17" x14ac:dyDescent="0.25">
      <c r="A2511" s="3" t="s">
        <v>18</v>
      </c>
      <c r="B2511" s="3">
        <v>16001176</v>
      </c>
      <c r="C2511" s="3" t="s">
        <v>2558</v>
      </c>
      <c r="D2511" s="3" t="s">
        <v>20</v>
      </c>
      <c r="E2511" s="3" t="s">
        <v>21</v>
      </c>
      <c r="F2511" s="3" t="s">
        <v>21</v>
      </c>
      <c r="G2511" s="3" t="s">
        <v>30</v>
      </c>
      <c r="H2511" s="3" t="s">
        <v>31</v>
      </c>
      <c r="I2511" s="3" t="s">
        <v>24</v>
      </c>
      <c r="J2511" s="3" t="s">
        <v>24</v>
      </c>
      <c r="K2511" s="3" t="s">
        <v>25</v>
      </c>
      <c r="L2511" s="4">
        <v>0</v>
      </c>
      <c r="M2511" s="3" t="s">
        <v>26</v>
      </c>
      <c r="N2511" s="3" t="s">
        <v>24</v>
      </c>
      <c r="O2511" s="4">
        <v>1</v>
      </c>
      <c r="P2511" s="4">
        <v>9</v>
      </c>
      <c r="Q2511" s="4">
        <v>1</v>
      </c>
    </row>
    <row r="2512" spans="1:17" x14ac:dyDescent="0.25">
      <c r="A2512" s="3" t="s">
        <v>18</v>
      </c>
      <c r="B2512" s="3">
        <v>16001218</v>
      </c>
      <c r="C2512" s="3" t="s">
        <v>2559</v>
      </c>
      <c r="D2512" s="3" t="s">
        <v>20</v>
      </c>
      <c r="E2512" s="3" t="s">
        <v>21</v>
      </c>
      <c r="F2512" s="3" t="s">
        <v>21</v>
      </c>
      <c r="G2512" s="3" t="s">
        <v>30</v>
      </c>
      <c r="H2512" s="3" t="s">
        <v>31</v>
      </c>
      <c r="I2512" s="3" t="s">
        <v>24</v>
      </c>
      <c r="J2512" s="3" t="s">
        <v>24</v>
      </c>
      <c r="K2512" s="3" t="s">
        <v>25</v>
      </c>
      <c r="L2512" s="4">
        <v>0</v>
      </c>
      <c r="M2512" s="3" t="s">
        <v>26</v>
      </c>
      <c r="N2512" s="3" t="s">
        <v>24</v>
      </c>
      <c r="O2512" s="4">
        <v>0</v>
      </c>
      <c r="P2512" s="4">
        <v>8</v>
      </c>
      <c r="Q2512" s="4">
        <v>0</v>
      </c>
    </row>
    <row r="2513" spans="1:17" x14ac:dyDescent="0.25">
      <c r="A2513" s="3" t="s">
        <v>18</v>
      </c>
      <c r="B2513" s="3">
        <v>16001219</v>
      </c>
      <c r="C2513" s="3" t="s">
        <v>2560</v>
      </c>
      <c r="D2513" s="3" t="s">
        <v>20</v>
      </c>
      <c r="E2513" s="3" t="s">
        <v>21</v>
      </c>
      <c r="F2513" s="3" t="s">
        <v>21</v>
      </c>
      <c r="G2513" s="3" t="s">
        <v>30</v>
      </c>
      <c r="H2513" s="3" t="s">
        <v>31</v>
      </c>
      <c r="I2513" s="3" t="s">
        <v>24</v>
      </c>
      <c r="J2513" s="3" t="s">
        <v>24</v>
      </c>
      <c r="K2513" s="3" t="s">
        <v>25</v>
      </c>
      <c r="L2513" s="4">
        <v>0</v>
      </c>
      <c r="M2513" s="3" t="s">
        <v>26</v>
      </c>
      <c r="N2513" s="3" t="s">
        <v>24</v>
      </c>
      <c r="O2513" s="4">
        <v>0</v>
      </c>
      <c r="P2513" s="4">
        <v>4</v>
      </c>
      <c r="Q2513" s="4">
        <v>0</v>
      </c>
    </row>
    <row r="2514" spans="1:17" x14ac:dyDescent="0.25">
      <c r="A2514" s="3" t="s">
        <v>18</v>
      </c>
      <c r="B2514" s="3">
        <v>16001220</v>
      </c>
      <c r="C2514" s="3" t="s">
        <v>2561</v>
      </c>
      <c r="D2514" s="3" t="s">
        <v>20</v>
      </c>
      <c r="E2514" s="3" t="s">
        <v>21</v>
      </c>
      <c r="F2514" s="3" t="s">
        <v>21</v>
      </c>
      <c r="G2514" s="3" t="s">
        <v>30</v>
      </c>
      <c r="H2514" s="3" t="s">
        <v>31</v>
      </c>
      <c r="I2514" s="3" t="s">
        <v>24</v>
      </c>
      <c r="J2514" s="3" t="s">
        <v>24</v>
      </c>
      <c r="K2514" s="3" t="s">
        <v>25</v>
      </c>
      <c r="L2514" s="4">
        <v>0</v>
      </c>
      <c r="M2514" s="3" t="s">
        <v>26</v>
      </c>
      <c r="N2514" s="3" t="s">
        <v>24</v>
      </c>
      <c r="O2514" s="4">
        <v>1</v>
      </c>
      <c r="P2514" s="4">
        <v>8</v>
      </c>
      <c r="Q2514" s="4">
        <v>0</v>
      </c>
    </row>
    <row r="2515" spans="1:17" x14ac:dyDescent="0.25">
      <c r="A2515" s="3" t="s">
        <v>18</v>
      </c>
      <c r="B2515" s="3">
        <v>16001221</v>
      </c>
      <c r="C2515" s="3" t="s">
        <v>2562</v>
      </c>
      <c r="D2515" s="3" t="s">
        <v>20</v>
      </c>
      <c r="E2515" s="3" t="s">
        <v>21</v>
      </c>
      <c r="F2515" s="3" t="s">
        <v>21</v>
      </c>
      <c r="G2515" s="3" t="s">
        <v>42</v>
      </c>
      <c r="H2515" s="3" t="s">
        <v>43</v>
      </c>
      <c r="I2515" s="3" t="s">
        <v>24</v>
      </c>
      <c r="J2515" s="3" t="s">
        <v>24</v>
      </c>
      <c r="K2515" s="3" t="s">
        <v>25</v>
      </c>
      <c r="L2515" s="4">
        <v>0</v>
      </c>
      <c r="M2515" s="3" t="s">
        <v>26</v>
      </c>
      <c r="N2515" s="3" t="s">
        <v>24</v>
      </c>
      <c r="O2515" s="4">
        <v>1</v>
      </c>
      <c r="P2515" s="4">
        <v>8</v>
      </c>
      <c r="Q2515" s="4">
        <v>1</v>
      </c>
    </row>
    <row r="2516" spans="1:17" x14ac:dyDescent="0.25">
      <c r="A2516" s="3" t="s">
        <v>18</v>
      </c>
      <c r="B2516" s="3">
        <v>16001223</v>
      </c>
      <c r="C2516" s="3" t="s">
        <v>2563</v>
      </c>
      <c r="D2516" s="3" t="s">
        <v>20</v>
      </c>
      <c r="E2516" s="3" t="s">
        <v>21</v>
      </c>
      <c r="F2516" s="3" t="s">
        <v>21</v>
      </c>
      <c r="G2516" s="3" t="s">
        <v>42</v>
      </c>
      <c r="H2516" s="3" t="s">
        <v>43</v>
      </c>
      <c r="I2516" s="3" t="s">
        <v>24</v>
      </c>
      <c r="J2516" s="3" t="s">
        <v>24</v>
      </c>
      <c r="K2516" s="3" t="s">
        <v>25</v>
      </c>
      <c r="L2516" s="4">
        <v>0</v>
      </c>
      <c r="M2516" s="3" t="s">
        <v>26</v>
      </c>
      <c r="N2516" s="3" t="s">
        <v>24</v>
      </c>
      <c r="O2516" s="4">
        <v>1</v>
      </c>
      <c r="P2516" s="4">
        <v>8</v>
      </c>
      <c r="Q2516" s="4">
        <v>1</v>
      </c>
    </row>
    <row r="2517" spans="1:17" x14ac:dyDescent="0.25">
      <c r="A2517" s="3" t="s">
        <v>18</v>
      </c>
      <c r="B2517" s="3">
        <v>16001226</v>
      </c>
      <c r="C2517" s="3" t="s">
        <v>2564</v>
      </c>
      <c r="D2517" s="3" t="s">
        <v>20</v>
      </c>
      <c r="E2517" s="3" t="s">
        <v>21</v>
      </c>
      <c r="F2517" s="3" t="s">
        <v>21</v>
      </c>
      <c r="G2517" s="3" t="s">
        <v>42</v>
      </c>
      <c r="H2517" s="3" t="s">
        <v>43</v>
      </c>
      <c r="I2517" s="3" t="s">
        <v>24</v>
      </c>
      <c r="J2517" s="3" t="s">
        <v>24</v>
      </c>
      <c r="K2517" s="3" t="s">
        <v>25</v>
      </c>
      <c r="L2517" s="4">
        <v>0</v>
      </c>
      <c r="M2517" s="3" t="s">
        <v>26</v>
      </c>
      <c r="N2517" s="3" t="s">
        <v>24</v>
      </c>
      <c r="O2517" s="4">
        <v>1</v>
      </c>
      <c r="P2517" s="4">
        <v>8</v>
      </c>
      <c r="Q2517" s="4">
        <v>1</v>
      </c>
    </row>
    <row r="2518" spans="1:17" x14ac:dyDescent="0.25">
      <c r="A2518" s="3" t="s">
        <v>18</v>
      </c>
      <c r="B2518" s="3">
        <v>16001227</v>
      </c>
      <c r="C2518" s="3" t="s">
        <v>2565</v>
      </c>
      <c r="D2518" s="3" t="s">
        <v>20</v>
      </c>
      <c r="E2518" s="3" t="s">
        <v>21</v>
      </c>
      <c r="F2518" s="3" t="s">
        <v>21</v>
      </c>
      <c r="G2518" s="3" t="s">
        <v>22</v>
      </c>
      <c r="H2518" s="3" t="s">
        <v>23</v>
      </c>
      <c r="I2518" s="3" t="s">
        <v>24</v>
      </c>
      <c r="J2518" s="3" t="s">
        <v>24</v>
      </c>
      <c r="K2518" s="3" t="s">
        <v>25</v>
      </c>
      <c r="L2518" s="4">
        <v>0</v>
      </c>
      <c r="M2518" s="3" t="s">
        <v>26</v>
      </c>
      <c r="N2518" s="3" t="s">
        <v>24</v>
      </c>
      <c r="O2518" s="4">
        <v>1</v>
      </c>
      <c r="P2518" s="4">
        <v>4</v>
      </c>
      <c r="Q2518" s="4">
        <v>0</v>
      </c>
    </row>
    <row r="2519" spans="1:17" x14ac:dyDescent="0.25">
      <c r="A2519" s="3" t="s">
        <v>18</v>
      </c>
      <c r="B2519" s="3">
        <v>16001278</v>
      </c>
      <c r="C2519" s="3" t="s">
        <v>2566</v>
      </c>
      <c r="D2519" s="3" t="s">
        <v>20</v>
      </c>
      <c r="E2519" s="3" t="s">
        <v>21</v>
      </c>
      <c r="F2519" s="3" t="s">
        <v>21</v>
      </c>
      <c r="G2519" s="3" t="s">
        <v>22</v>
      </c>
      <c r="H2519" s="3" t="s">
        <v>23</v>
      </c>
      <c r="I2519" s="3" t="s">
        <v>24</v>
      </c>
      <c r="J2519" s="3" t="s">
        <v>24</v>
      </c>
      <c r="K2519" s="3" t="s">
        <v>25</v>
      </c>
      <c r="L2519" s="4">
        <v>0</v>
      </c>
      <c r="M2519" s="3" t="s">
        <v>26</v>
      </c>
      <c r="N2519" s="3" t="s">
        <v>24</v>
      </c>
      <c r="O2519" s="4">
        <v>1</v>
      </c>
      <c r="P2519" s="4">
        <v>4</v>
      </c>
      <c r="Q2519" s="4">
        <v>0</v>
      </c>
    </row>
    <row r="2520" spans="1:17" x14ac:dyDescent="0.25">
      <c r="A2520" s="3" t="s">
        <v>18</v>
      </c>
      <c r="B2520" s="3">
        <v>16001279</v>
      </c>
      <c r="C2520" s="3" t="s">
        <v>2567</v>
      </c>
      <c r="D2520" s="3" t="s">
        <v>20</v>
      </c>
      <c r="E2520" s="3" t="s">
        <v>21</v>
      </c>
      <c r="F2520" s="3" t="s">
        <v>21</v>
      </c>
      <c r="G2520" s="3" t="s">
        <v>22</v>
      </c>
      <c r="H2520" s="3" t="s">
        <v>23</v>
      </c>
      <c r="I2520" s="3" t="s">
        <v>24</v>
      </c>
      <c r="J2520" s="3" t="s">
        <v>24</v>
      </c>
      <c r="K2520" s="3" t="s">
        <v>25</v>
      </c>
      <c r="L2520" s="4">
        <v>0</v>
      </c>
      <c r="M2520" s="3" t="s">
        <v>26</v>
      </c>
      <c r="N2520" s="3" t="s">
        <v>24</v>
      </c>
      <c r="O2520" s="4">
        <v>1</v>
      </c>
      <c r="P2520" s="4">
        <v>4</v>
      </c>
      <c r="Q2520" s="4">
        <v>0</v>
      </c>
    </row>
    <row r="2521" spans="1:17" x14ac:dyDescent="0.25">
      <c r="A2521" s="3" t="s">
        <v>18</v>
      </c>
      <c r="B2521" s="3">
        <v>16001280</v>
      </c>
      <c r="C2521" s="3" t="s">
        <v>2568</v>
      </c>
      <c r="D2521" s="3" t="s">
        <v>20</v>
      </c>
      <c r="E2521" s="3" t="s">
        <v>21</v>
      </c>
      <c r="F2521" s="3" t="s">
        <v>21</v>
      </c>
      <c r="G2521" s="3" t="s">
        <v>36</v>
      </c>
      <c r="H2521" s="3" t="s">
        <v>37</v>
      </c>
      <c r="I2521" s="3" t="s">
        <v>24</v>
      </c>
      <c r="J2521" s="3" t="s">
        <v>24</v>
      </c>
      <c r="K2521" s="3" t="s">
        <v>25</v>
      </c>
      <c r="L2521" s="4">
        <v>0</v>
      </c>
      <c r="M2521" s="3" t="s">
        <v>26</v>
      </c>
      <c r="N2521" s="3" t="s">
        <v>24</v>
      </c>
      <c r="O2521" s="4">
        <v>1</v>
      </c>
      <c r="P2521" s="4">
        <v>10</v>
      </c>
      <c r="Q2521" s="4">
        <v>0</v>
      </c>
    </row>
    <row r="2522" spans="1:17" x14ac:dyDescent="0.25">
      <c r="A2522" s="3" t="s">
        <v>18</v>
      </c>
      <c r="B2522" s="3">
        <v>16001281</v>
      </c>
      <c r="C2522" s="3" t="s">
        <v>2569</v>
      </c>
      <c r="D2522" s="3" t="s">
        <v>20</v>
      </c>
      <c r="E2522" s="3" t="s">
        <v>21</v>
      </c>
      <c r="F2522" s="3" t="s">
        <v>21</v>
      </c>
      <c r="G2522" s="3" t="s">
        <v>36</v>
      </c>
      <c r="H2522" s="3" t="s">
        <v>37</v>
      </c>
      <c r="I2522" s="3" t="s">
        <v>24</v>
      </c>
      <c r="J2522" s="3" t="s">
        <v>24</v>
      </c>
      <c r="K2522" s="3" t="s">
        <v>25</v>
      </c>
      <c r="L2522" s="4">
        <v>0</v>
      </c>
      <c r="M2522" s="3" t="s">
        <v>26</v>
      </c>
      <c r="N2522" s="3" t="s">
        <v>24</v>
      </c>
      <c r="O2522" s="4">
        <v>1</v>
      </c>
      <c r="P2522" s="4">
        <v>10</v>
      </c>
      <c r="Q2522" s="4">
        <v>0</v>
      </c>
    </row>
    <row r="2523" spans="1:17" x14ac:dyDescent="0.25">
      <c r="A2523" s="3" t="s">
        <v>18</v>
      </c>
      <c r="B2523" s="3">
        <v>16001283</v>
      </c>
      <c r="C2523" s="3" t="s">
        <v>2570</v>
      </c>
      <c r="D2523" s="3" t="s">
        <v>20</v>
      </c>
      <c r="E2523" s="3" t="s">
        <v>21</v>
      </c>
      <c r="F2523" s="3" t="s">
        <v>21</v>
      </c>
      <c r="G2523" s="3" t="s">
        <v>233</v>
      </c>
      <c r="H2523" s="3" t="s">
        <v>234</v>
      </c>
      <c r="I2523" s="3" t="s">
        <v>24</v>
      </c>
      <c r="J2523" s="3" t="s">
        <v>24</v>
      </c>
      <c r="K2523" s="3" t="s">
        <v>25</v>
      </c>
      <c r="L2523" s="4">
        <v>0</v>
      </c>
      <c r="M2523" s="3" t="s">
        <v>26</v>
      </c>
      <c r="N2523" s="3" t="s">
        <v>24</v>
      </c>
      <c r="O2523" s="4">
        <v>1</v>
      </c>
      <c r="P2523" s="4">
        <v>3</v>
      </c>
      <c r="Q2523" s="4">
        <v>1</v>
      </c>
    </row>
    <row r="2524" spans="1:17" x14ac:dyDescent="0.25">
      <c r="A2524" s="3" t="s">
        <v>18</v>
      </c>
      <c r="B2524" s="3">
        <v>16001284</v>
      </c>
      <c r="C2524" s="3" t="s">
        <v>2571</v>
      </c>
      <c r="D2524" s="3" t="s">
        <v>20</v>
      </c>
      <c r="E2524" s="3" t="s">
        <v>21</v>
      </c>
      <c r="F2524" s="3" t="s">
        <v>21</v>
      </c>
      <c r="G2524" s="3" t="s">
        <v>233</v>
      </c>
      <c r="H2524" s="3" t="s">
        <v>234</v>
      </c>
      <c r="I2524" s="3" t="s">
        <v>24</v>
      </c>
      <c r="J2524" s="3" t="s">
        <v>24</v>
      </c>
      <c r="K2524" s="3" t="s">
        <v>25</v>
      </c>
      <c r="L2524" s="4">
        <v>0</v>
      </c>
      <c r="M2524" s="3" t="s">
        <v>26</v>
      </c>
      <c r="N2524" s="3" t="s">
        <v>24</v>
      </c>
      <c r="O2524" s="4">
        <v>1</v>
      </c>
      <c r="P2524" s="4">
        <v>2</v>
      </c>
      <c r="Q2524" s="4">
        <v>1</v>
      </c>
    </row>
    <row r="2525" spans="1:17" x14ac:dyDescent="0.25">
      <c r="A2525" s="3" t="s">
        <v>18</v>
      </c>
      <c r="B2525" s="3">
        <v>16001285</v>
      </c>
      <c r="C2525" s="3" t="s">
        <v>2572</v>
      </c>
      <c r="D2525" s="3" t="s">
        <v>20</v>
      </c>
      <c r="E2525" s="3" t="s">
        <v>21</v>
      </c>
      <c r="F2525" s="3" t="s">
        <v>21</v>
      </c>
      <c r="G2525" s="3" t="s">
        <v>233</v>
      </c>
      <c r="H2525" s="3" t="s">
        <v>234</v>
      </c>
      <c r="I2525" s="3" t="s">
        <v>24</v>
      </c>
      <c r="J2525" s="3" t="s">
        <v>24</v>
      </c>
      <c r="K2525" s="3" t="s">
        <v>25</v>
      </c>
      <c r="L2525" s="4">
        <v>0</v>
      </c>
      <c r="M2525" s="3" t="s">
        <v>26</v>
      </c>
      <c r="N2525" s="3" t="s">
        <v>24</v>
      </c>
      <c r="O2525" s="4">
        <v>1</v>
      </c>
      <c r="P2525" s="4">
        <v>2</v>
      </c>
      <c r="Q2525" s="4">
        <v>1</v>
      </c>
    </row>
    <row r="2526" spans="1:17" x14ac:dyDescent="0.25">
      <c r="A2526" s="3" t="s">
        <v>18</v>
      </c>
      <c r="B2526" s="3">
        <v>16001349</v>
      </c>
      <c r="C2526" s="3" t="s">
        <v>2573</v>
      </c>
      <c r="D2526" s="3" t="s">
        <v>20</v>
      </c>
      <c r="E2526" s="3" t="s">
        <v>21</v>
      </c>
      <c r="F2526" s="3" t="s">
        <v>21</v>
      </c>
      <c r="G2526" s="3" t="s">
        <v>30</v>
      </c>
      <c r="H2526" s="3" t="s">
        <v>31</v>
      </c>
      <c r="I2526" s="3" t="s">
        <v>24</v>
      </c>
      <c r="J2526" s="3" t="s">
        <v>24</v>
      </c>
      <c r="K2526" s="3" t="s">
        <v>25</v>
      </c>
      <c r="L2526" s="4">
        <v>0</v>
      </c>
      <c r="M2526" s="3" t="s">
        <v>26</v>
      </c>
      <c r="N2526" s="3" t="s">
        <v>24</v>
      </c>
      <c r="O2526" s="4">
        <v>1</v>
      </c>
      <c r="P2526" s="4">
        <v>9</v>
      </c>
      <c r="Q2526" s="4">
        <v>1</v>
      </c>
    </row>
    <row r="2527" spans="1:17" x14ac:dyDescent="0.25">
      <c r="A2527" s="3" t="s">
        <v>18</v>
      </c>
      <c r="B2527" s="3">
        <v>16001352</v>
      </c>
      <c r="C2527" s="3" t="s">
        <v>2574</v>
      </c>
      <c r="D2527" s="3" t="s">
        <v>20</v>
      </c>
      <c r="E2527" s="3" t="s">
        <v>21</v>
      </c>
      <c r="F2527" s="3" t="s">
        <v>21</v>
      </c>
      <c r="G2527" s="3" t="s">
        <v>30</v>
      </c>
      <c r="H2527" s="3" t="s">
        <v>31</v>
      </c>
      <c r="I2527" s="3" t="s">
        <v>24</v>
      </c>
      <c r="J2527" s="3" t="s">
        <v>24</v>
      </c>
      <c r="K2527" s="3" t="s">
        <v>25</v>
      </c>
      <c r="L2527" s="4">
        <v>0</v>
      </c>
      <c r="M2527" s="3" t="s">
        <v>26</v>
      </c>
      <c r="N2527" s="3" t="s">
        <v>24</v>
      </c>
      <c r="O2527" s="4">
        <v>1</v>
      </c>
      <c r="P2527" s="4">
        <v>9</v>
      </c>
      <c r="Q2527" s="4">
        <v>1</v>
      </c>
    </row>
    <row r="2528" spans="1:17" x14ac:dyDescent="0.25">
      <c r="A2528" s="3" t="s">
        <v>18</v>
      </c>
      <c r="B2528" s="3">
        <v>16001353</v>
      </c>
      <c r="C2528" s="3" t="s">
        <v>2575</v>
      </c>
      <c r="D2528" s="3" t="s">
        <v>20</v>
      </c>
      <c r="E2528" s="3" t="s">
        <v>21</v>
      </c>
      <c r="F2528" s="3" t="s">
        <v>21</v>
      </c>
      <c r="G2528" s="3" t="s">
        <v>30</v>
      </c>
      <c r="H2528" s="3" t="s">
        <v>31</v>
      </c>
      <c r="I2528" s="3" t="s">
        <v>24</v>
      </c>
      <c r="J2528" s="3" t="s">
        <v>24</v>
      </c>
      <c r="K2528" s="3" t="s">
        <v>25</v>
      </c>
      <c r="L2528" s="4">
        <v>0</v>
      </c>
      <c r="M2528" s="3" t="s">
        <v>26</v>
      </c>
      <c r="N2528" s="3" t="s">
        <v>24</v>
      </c>
      <c r="O2528" s="4">
        <v>1</v>
      </c>
      <c r="P2528" s="4">
        <v>9</v>
      </c>
      <c r="Q2528" s="4">
        <v>1</v>
      </c>
    </row>
    <row r="2529" spans="1:17" x14ac:dyDescent="0.25">
      <c r="A2529" s="3" t="s">
        <v>18</v>
      </c>
      <c r="B2529" s="3">
        <v>16001354</v>
      </c>
      <c r="C2529" s="3" t="s">
        <v>2576</v>
      </c>
      <c r="D2529" s="3" t="s">
        <v>20</v>
      </c>
      <c r="E2529" s="3" t="s">
        <v>21</v>
      </c>
      <c r="F2529" s="3" t="s">
        <v>21</v>
      </c>
      <c r="G2529" s="3" t="s">
        <v>30</v>
      </c>
      <c r="H2529" s="3" t="s">
        <v>31</v>
      </c>
      <c r="I2529" s="3" t="s">
        <v>24</v>
      </c>
      <c r="J2529" s="3" t="s">
        <v>24</v>
      </c>
      <c r="K2529" s="3" t="s">
        <v>25</v>
      </c>
      <c r="L2529" s="4">
        <v>0</v>
      </c>
      <c r="M2529" s="3" t="s">
        <v>26</v>
      </c>
      <c r="N2529" s="3" t="s">
        <v>24</v>
      </c>
      <c r="O2529" s="4">
        <v>0</v>
      </c>
      <c r="P2529" s="4">
        <v>8</v>
      </c>
      <c r="Q2529" s="4">
        <v>0</v>
      </c>
    </row>
    <row r="2530" spans="1:17" x14ac:dyDescent="0.25">
      <c r="A2530" s="3" t="s">
        <v>18</v>
      </c>
      <c r="B2530" s="3">
        <v>16001355</v>
      </c>
      <c r="C2530" s="3" t="s">
        <v>2577</v>
      </c>
      <c r="D2530" s="3" t="s">
        <v>20</v>
      </c>
      <c r="E2530" s="3" t="s">
        <v>21</v>
      </c>
      <c r="F2530" s="3" t="s">
        <v>21</v>
      </c>
      <c r="G2530" s="3" t="s">
        <v>30</v>
      </c>
      <c r="H2530" s="3" t="s">
        <v>31</v>
      </c>
      <c r="I2530" s="3" t="s">
        <v>24</v>
      </c>
      <c r="J2530" s="3" t="s">
        <v>24</v>
      </c>
      <c r="K2530" s="3" t="s">
        <v>25</v>
      </c>
      <c r="L2530" s="4">
        <v>0</v>
      </c>
      <c r="M2530" s="3" t="s">
        <v>26</v>
      </c>
      <c r="N2530" s="3" t="s">
        <v>24</v>
      </c>
      <c r="O2530" s="4">
        <v>0</v>
      </c>
      <c r="P2530" s="4">
        <v>8</v>
      </c>
      <c r="Q2530" s="4">
        <v>0</v>
      </c>
    </row>
    <row r="2531" spans="1:17" x14ac:dyDescent="0.25">
      <c r="A2531" s="3" t="s">
        <v>18</v>
      </c>
      <c r="B2531" s="3">
        <v>16001356</v>
      </c>
      <c r="C2531" s="3" t="s">
        <v>2578</v>
      </c>
      <c r="D2531" s="3" t="s">
        <v>20</v>
      </c>
      <c r="E2531" s="3" t="s">
        <v>21</v>
      </c>
      <c r="F2531" s="3" t="s">
        <v>21</v>
      </c>
      <c r="G2531" s="3" t="s">
        <v>42</v>
      </c>
      <c r="H2531" s="3" t="s">
        <v>43</v>
      </c>
      <c r="I2531" s="3" t="s">
        <v>24</v>
      </c>
      <c r="J2531" s="3" t="s">
        <v>24</v>
      </c>
      <c r="K2531" s="3" t="s">
        <v>25</v>
      </c>
      <c r="L2531" s="4">
        <v>0</v>
      </c>
      <c r="M2531" s="3" t="s">
        <v>26</v>
      </c>
      <c r="N2531" s="3" t="s">
        <v>24</v>
      </c>
      <c r="O2531" s="4">
        <v>1</v>
      </c>
      <c r="P2531" s="4">
        <v>8</v>
      </c>
      <c r="Q2531" s="4">
        <v>1</v>
      </c>
    </row>
    <row r="2532" spans="1:17" x14ac:dyDescent="0.25">
      <c r="A2532" s="3" t="s">
        <v>18</v>
      </c>
      <c r="B2532" s="3">
        <v>16001402</v>
      </c>
      <c r="C2532" s="3" t="s">
        <v>2579</v>
      </c>
      <c r="D2532" s="3" t="s">
        <v>20</v>
      </c>
      <c r="E2532" s="3" t="s">
        <v>21</v>
      </c>
      <c r="F2532" s="3" t="s">
        <v>21</v>
      </c>
      <c r="G2532" s="3" t="s">
        <v>42</v>
      </c>
      <c r="H2532" s="3" t="s">
        <v>43</v>
      </c>
      <c r="I2532" s="3" t="s">
        <v>24</v>
      </c>
      <c r="J2532" s="3" t="s">
        <v>24</v>
      </c>
      <c r="K2532" s="3" t="s">
        <v>25</v>
      </c>
      <c r="L2532" s="4">
        <v>0</v>
      </c>
      <c r="M2532" s="3" t="s">
        <v>26</v>
      </c>
      <c r="N2532" s="3" t="s">
        <v>24</v>
      </c>
      <c r="O2532" s="4">
        <v>1</v>
      </c>
      <c r="P2532" s="4">
        <v>8</v>
      </c>
      <c r="Q2532" s="4">
        <v>1</v>
      </c>
    </row>
    <row r="2533" spans="1:17" x14ac:dyDescent="0.25">
      <c r="A2533" s="3" t="s">
        <v>18</v>
      </c>
      <c r="B2533" s="3">
        <v>16001404</v>
      </c>
      <c r="C2533" s="3" t="s">
        <v>2580</v>
      </c>
      <c r="D2533" s="3" t="s">
        <v>20</v>
      </c>
      <c r="E2533" s="3" t="s">
        <v>21</v>
      </c>
      <c r="F2533" s="3" t="s">
        <v>21</v>
      </c>
      <c r="G2533" s="3" t="s">
        <v>42</v>
      </c>
      <c r="H2533" s="3" t="s">
        <v>43</v>
      </c>
      <c r="I2533" s="3" t="s">
        <v>24</v>
      </c>
      <c r="J2533" s="3" t="s">
        <v>24</v>
      </c>
      <c r="K2533" s="3" t="s">
        <v>25</v>
      </c>
      <c r="L2533" s="4">
        <v>0</v>
      </c>
      <c r="M2533" s="3" t="s">
        <v>26</v>
      </c>
      <c r="N2533" s="3" t="s">
        <v>24</v>
      </c>
      <c r="O2533" s="4">
        <v>1</v>
      </c>
      <c r="P2533" s="4">
        <v>8</v>
      </c>
      <c r="Q2533" s="4">
        <v>1</v>
      </c>
    </row>
    <row r="2534" spans="1:17" x14ac:dyDescent="0.25">
      <c r="A2534" s="3" t="s">
        <v>18</v>
      </c>
      <c r="B2534" s="3">
        <v>16001405</v>
      </c>
      <c r="C2534" s="3" t="s">
        <v>2581</v>
      </c>
      <c r="D2534" s="3" t="s">
        <v>20</v>
      </c>
      <c r="E2534" s="3" t="s">
        <v>21</v>
      </c>
      <c r="F2534" s="3" t="s">
        <v>21</v>
      </c>
      <c r="G2534" s="3" t="s">
        <v>22</v>
      </c>
      <c r="H2534" s="3" t="s">
        <v>23</v>
      </c>
      <c r="I2534" s="3" t="s">
        <v>24</v>
      </c>
      <c r="J2534" s="3" t="s">
        <v>24</v>
      </c>
      <c r="K2534" s="3" t="s">
        <v>25</v>
      </c>
      <c r="L2534" s="4">
        <v>0</v>
      </c>
      <c r="M2534" s="3" t="s">
        <v>26</v>
      </c>
      <c r="N2534" s="3" t="s">
        <v>24</v>
      </c>
      <c r="O2534" s="4">
        <v>1</v>
      </c>
      <c r="P2534" s="4">
        <v>4</v>
      </c>
      <c r="Q2534" s="4">
        <v>0</v>
      </c>
    </row>
    <row r="2535" spans="1:17" x14ac:dyDescent="0.25">
      <c r="A2535" s="3" t="s">
        <v>18</v>
      </c>
      <c r="B2535" s="3">
        <v>16001406</v>
      </c>
      <c r="C2535" s="3" t="s">
        <v>2582</v>
      </c>
      <c r="D2535" s="3" t="s">
        <v>20</v>
      </c>
      <c r="E2535" s="3" t="s">
        <v>21</v>
      </c>
      <c r="F2535" s="3" t="s">
        <v>21</v>
      </c>
      <c r="G2535" s="3" t="s">
        <v>22</v>
      </c>
      <c r="H2535" s="3" t="s">
        <v>23</v>
      </c>
      <c r="I2535" s="3" t="s">
        <v>24</v>
      </c>
      <c r="J2535" s="3" t="s">
        <v>24</v>
      </c>
      <c r="K2535" s="3" t="s">
        <v>25</v>
      </c>
      <c r="L2535" s="4">
        <v>0</v>
      </c>
      <c r="M2535" s="3" t="s">
        <v>26</v>
      </c>
      <c r="N2535" s="3" t="s">
        <v>24</v>
      </c>
      <c r="O2535" s="4">
        <v>1</v>
      </c>
      <c r="P2535" s="4">
        <v>4</v>
      </c>
      <c r="Q2535" s="4">
        <v>0</v>
      </c>
    </row>
    <row r="2536" spans="1:17" x14ac:dyDescent="0.25">
      <c r="A2536" s="3" t="s">
        <v>18</v>
      </c>
      <c r="B2536" s="3">
        <v>16001448</v>
      </c>
      <c r="C2536" s="3" t="s">
        <v>2583</v>
      </c>
      <c r="D2536" s="3" t="s">
        <v>20</v>
      </c>
      <c r="E2536" s="3" t="s">
        <v>21</v>
      </c>
      <c r="F2536" s="3" t="s">
        <v>24</v>
      </c>
      <c r="G2536" s="3" t="s">
        <v>22</v>
      </c>
      <c r="H2536" s="3" t="s">
        <v>23</v>
      </c>
      <c r="I2536" s="3" t="s">
        <v>24</v>
      </c>
      <c r="J2536" s="3" t="s">
        <v>24</v>
      </c>
      <c r="K2536" s="3" t="s">
        <v>25</v>
      </c>
      <c r="L2536" s="4">
        <v>0</v>
      </c>
      <c r="M2536" s="3" t="s">
        <v>26</v>
      </c>
      <c r="N2536" s="3" t="s">
        <v>24</v>
      </c>
      <c r="O2536" s="4">
        <v>1</v>
      </c>
      <c r="P2536" s="4">
        <v>4</v>
      </c>
      <c r="Q2536" s="4">
        <v>0</v>
      </c>
    </row>
    <row r="2537" spans="1:17" x14ac:dyDescent="0.25">
      <c r="A2537" s="3" t="s">
        <v>18</v>
      </c>
      <c r="B2537" s="3">
        <v>16001449</v>
      </c>
      <c r="C2537" s="3" t="s">
        <v>2584</v>
      </c>
      <c r="D2537" s="3" t="s">
        <v>20</v>
      </c>
      <c r="E2537" s="3" t="s">
        <v>21</v>
      </c>
      <c r="F2537" s="3" t="s">
        <v>21</v>
      </c>
      <c r="G2537" s="3" t="s">
        <v>36</v>
      </c>
      <c r="H2537" s="3" t="s">
        <v>37</v>
      </c>
      <c r="I2537" s="3" t="s">
        <v>24</v>
      </c>
      <c r="J2537" s="3" t="s">
        <v>24</v>
      </c>
      <c r="K2537" s="3" t="s">
        <v>25</v>
      </c>
      <c r="L2537" s="4">
        <v>0</v>
      </c>
      <c r="M2537" s="3" t="s">
        <v>26</v>
      </c>
      <c r="N2537" s="3" t="s">
        <v>24</v>
      </c>
      <c r="O2537" s="4">
        <v>1</v>
      </c>
      <c r="P2537" s="4">
        <v>10</v>
      </c>
      <c r="Q2537" s="4">
        <v>0</v>
      </c>
    </row>
    <row r="2538" spans="1:17" x14ac:dyDescent="0.25">
      <c r="A2538" s="3" t="s">
        <v>18</v>
      </c>
      <c r="B2538" s="3">
        <v>16001450</v>
      </c>
      <c r="C2538" s="3" t="s">
        <v>2585</v>
      </c>
      <c r="D2538" s="3" t="s">
        <v>20</v>
      </c>
      <c r="E2538" s="3" t="s">
        <v>21</v>
      </c>
      <c r="F2538" s="3" t="s">
        <v>21</v>
      </c>
      <c r="G2538" s="3" t="s">
        <v>233</v>
      </c>
      <c r="H2538" s="3" t="s">
        <v>234</v>
      </c>
      <c r="I2538" s="3" t="s">
        <v>24</v>
      </c>
      <c r="J2538" s="3" t="s">
        <v>24</v>
      </c>
      <c r="K2538" s="3" t="s">
        <v>25</v>
      </c>
      <c r="L2538" s="4">
        <v>0</v>
      </c>
      <c r="M2538" s="3" t="s">
        <v>26</v>
      </c>
      <c r="N2538" s="3" t="s">
        <v>24</v>
      </c>
      <c r="O2538" s="4">
        <v>1</v>
      </c>
      <c r="P2538" s="4">
        <v>3</v>
      </c>
      <c r="Q2538" s="4">
        <v>1</v>
      </c>
    </row>
    <row r="2539" spans="1:17" x14ac:dyDescent="0.25">
      <c r="A2539" s="3" t="s">
        <v>18</v>
      </c>
      <c r="B2539" s="3">
        <v>16001451</v>
      </c>
      <c r="C2539" s="3" t="s">
        <v>2586</v>
      </c>
      <c r="D2539" s="3" t="s">
        <v>20</v>
      </c>
      <c r="E2539" s="3" t="s">
        <v>21</v>
      </c>
      <c r="F2539" s="3" t="s">
        <v>21</v>
      </c>
      <c r="G2539" s="3" t="s">
        <v>233</v>
      </c>
      <c r="H2539" s="3" t="s">
        <v>234</v>
      </c>
      <c r="I2539" s="3" t="s">
        <v>24</v>
      </c>
      <c r="J2539" s="3" t="s">
        <v>24</v>
      </c>
      <c r="K2539" s="3" t="s">
        <v>25</v>
      </c>
      <c r="L2539" s="4">
        <v>0</v>
      </c>
      <c r="M2539" s="3" t="s">
        <v>26</v>
      </c>
      <c r="N2539" s="3" t="s">
        <v>24</v>
      </c>
      <c r="O2539" s="4">
        <v>1</v>
      </c>
      <c r="P2539" s="4">
        <v>3</v>
      </c>
      <c r="Q2539" s="4">
        <v>1</v>
      </c>
    </row>
    <row r="2540" spans="1:17" x14ac:dyDescent="0.25">
      <c r="A2540" s="3" t="s">
        <v>18</v>
      </c>
      <c r="B2540" s="3">
        <v>16001453</v>
      </c>
      <c r="C2540" s="3" t="s">
        <v>2587</v>
      </c>
      <c r="D2540" s="3" t="s">
        <v>20</v>
      </c>
      <c r="E2540" s="3" t="s">
        <v>21</v>
      </c>
      <c r="F2540" s="3" t="s">
        <v>21</v>
      </c>
      <c r="G2540" s="3" t="s">
        <v>233</v>
      </c>
      <c r="H2540" s="3" t="s">
        <v>234</v>
      </c>
      <c r="I2540" s="3" t="s">
        <v>24</v>
      </c>
      <c r="J2540" s="3" t="s">
        <v>24</v>
      </c>
      <c r="K2540" s="3" t="s">
        <v>25</v>
      </c>
      <c r="L2540" s="4">
        <v>0</v>
      </c>
      <c r="M2540" s="3" t="s">
        <v>26</v>
      </c>
      <c r="N2540" s="3" t="s">
        <v>24</v>
      </c>
      <c r="O2540" s="4">
        <v>1</v>
      </c>
      <c r="P2540" s="4">
        <v>3</v>
      </c>
      <c r="Q2540" s="4">
        <v>1</v>
      </c>
    </row>
    <row r="2541" spans="1:17" x14ac:dyDescent="0.25">
      <c r="A2541" s="3" t="s">
        <v>18</v>
      </c>
      <c r="B2541" s="3">
        <v>16001455</v>
      </c>
      <c r="C2541" s="3" t="s">
        <v>2588</v>
      </c>
      <c r="D2541" s="3" t="s">
        <v>20</v>
      </c>
      <c r="E2541" s="3" t="s">
        <v>21</v>
      </c>
      <c r="F2541" s="3" t="s">
        <v>21</v>
      </c>
      <c r="G2541" s="3" t="s">
        <v>233</v>
      </c>
      <c r="H2541" s="3" t="s">
        <v>234</v>
      </c>
      <c r="I2541" s="3" t="s">
        <v>24</v>
      </c>
      <c r="J2541" s="3" t="s">
        <v>24</v>
      </c>
      <c r="K2541" s="3" t="s">
        <v>25</v>
      </c>
      <c r="L2541" s="4">
        <v>0</v>
      </c>
      <c r="M2541" s="3" t="s">
        <v>26</v>
      </c>
      <c r="N2541" s="3" t="s">
        <v>24</v>
      </c>
      <c r="O2541" s="4">
        <v>1</v>
      </c>
      <c r="P2541" s="4">
        <v>3</v>
      </c>
      <c r="Q2541" s="4">
        <v>1</v>
      </c>
    </row>
    <row r="2542" spans="1:17" x14ac:dyDescent="0.25">
      <c r="A2542" s="3" t="s">
        <v>18</v>
      </c>
      <c r="B2542" s="3">
        <v>16024204</v>
      </c>
      <c r="C2542" s="3" t="s">
        <v>2589</v>
      </c>
      <c r="D2542" s="3" t="s">
        <v>20</v>
      </c>
      <c r="E2542" s="3" t="s">
        <v>21</v>
      </c>
      <c r="F2542" s="3" t="s">
        <v>24</v>
      </c>
      <c r="G2542" s="3" t="s">
        <v>2140</v>
      </c>
      <c r="H2542" s="3" t="s">
        <v>2141</v>
      </c>
      <c r="I2542" s="3" t="s">
        <v>24</v>
      </c>
      <c r="J2542" s="3" t="s">
        <v>24</v>
      </c>
      <c r="K2542" s="3" t="s">
        <v>25</v>
      </c>
      <c r="L2542" s="4">
        <v>0</v>
      </c>
      <c r="M2542" s="3" t="s">
        <v>26</v>
      </c>
      <c r="N2542" s="3" t="s">
        <v>24</v>
      </c>
      <c r="O2542" s="4">
        <v>1</v>
      </c>
      <c r="P2542" s="4">
        <v>16</v>
      </c>
      <c r="Q2542" s="4">
        <v>1</v>
      </c>
    </row>
    <row r="2543" spans="1:17" x14ac:dyDescent="0.25">
      <c r="A2543" s="3" t="s">
        <v>18</v>
      </c>
      <c r="B2543" s="3">
        <v>16038904</v>
      </c>
      <c r="C2543" s="3" t="s">
        <v>2590</v>
      </c>
      <c r="D2543" s="3" t="s">
        <v>20</v>
      </c>
      <c r="E2543" s="3" t="s">
        <v>21</v>
      </c>
      <c r="F2543" s="3" t="s">
        <v>21</v>
      </c>
      <c r="G2543" s="3" t="s">
        <v>42</v>
      </c>
      <c r="H2543" s="3" t="s">
        <v>43</v>
      </c>
      <c r="I2543" s="3" t="s">
        <v>24</v>
      </c>
      <c r="J2543" s="3" t="s">
        <v>24</v>
      </c>
      <c r="K2543" s="3" t="s">
        <v>25</v>
      </c>
      <c r="L2543" s="4">
        <v>0</v>
      </c>
      <c r="M2543" s="3" t="s">
        <v>26</v>
      </c>
      <c r="N2543" s="3" t="s">
        <v>24</v>
      </c>
      <c r="O2543" s="4">
        <v>1</v>
      </c>
      <c r="P2543" s="4">
        <v>8</v>
      </c>
      <c r="Q2543" s="4">
        <v>1</v>
      </c>
    </row>
    <row r="2544" spans="1:17" x14ac:dyDescent="0.25">
      <c r="A2544" s="3" t="s">
        <v>18</v>
      </c>
      <c r="B2544" s="3">
        <v>16041890</v>
      </c>
      <c r="C2544" s="3" t="s">
        <v>2591</v>
      </c>
      <c r="D2544" s="3" t="s">
        <v>1360</v>
      </c>
      <c r="E2544" s="3" t="s">
        <v>21</v>
      </c>
      <c r="F2544" s="3" t="s">
        <v>21</v>
      </c>
      <c r="G2544" s="3" t="s">
        <v>233</v>
      </c>
      <c r="H2544" s="3" t="s">
        <v>234</v>
      </c>
      <c r="I2544" s="3" t="s">
        <v>24</v>
      </c>
      <c r="J2544" s="3" t="s">
        <v>24</v>
      </c>
      <c r="K2544" s="3" t="s">
        <v>25</v>
      </c>
      <c r="L2544" s="4">
        <v>0</v>
      </c>
      <c r="M2544" s="3" t="s">
        <v>26</v>
      </c>
      <c r="N2544" s="3" t="s">
        <v>24</v>
      </c>
      <c r="O2544" s="4">
        <v>1</v>
      </c>
      <c r="P2544" s="4">
        <v>3</v>
      </c>
      <c r="Q2544" s="4">
        <v>1</v>
      </c>
    </row>
    <row r="2545" spans="1:17" x14ac:dyDescent="0.25">
      <c r="A2545" s="3" t="s">
        <v>18</v>
      </c>
      <c r="B2545" s="3">
        <v>16042479</v>
      </c>
      <c r="C2545" s="3" t="s">
        <v>2592</v>
      </c>
      <c r="D2545" s="3" t="s">
        <v>1360</v>
      </c>
      <c r="E2545" s="3" t="s">
        <v>21</v>
      </c>
      <c r="F2545" s="3" t="s">
        <v>21</v>
      </c>
      <c r="G2545" s="3" t="s">
        <v>233</v>
      </c>
      <c r="H2545" s="3" t="s">
        <v>234</v>
      </c>
      <c r="I2545" s="3" t="s">
        <v>24</v>
      </c>
      <c r="J2545" s="3" t="s">
        <v>24</v>
      </c>
      <c r="K2545" s="3" t="s">
        <v>25</v>
      </c>
      <c r="L2545" s="4">
        <v>0</v>
      </c>
      <c r="M2545" s="3" t="s">
        <v>26</v>
      </c>
      <c r="N2545" s="3" t="s">
        <v>24</v>
      </c>
      <c r="O2545" s="4">
        <v>1</v>
      </c>
      <c r="P2545" s="4">
        <v>3</v>
      </c>
      <c r="Q2545" s="4">
        <v>1</v>
      </c>
    </row>
    <row r="2546" spans="1:17" x14ac:dyDescent="0.25">
      <c r="A2546" s="3" t="s">
        <v>18</v>
      </c>
      <c r="B2546" s="3">
        <v>16054984</v>
      </c>
      <c r="C2546" s="3" t="s">
        <v>2593</v>
      </c>
      <c r="D2546" s="3" t="s">
        <v>1360</v>
      </c>
      <c r="E2546" s="3" t="s">
        <v>21</v>
      </c>
      <c r="F2546" s="3" t="s">
        <v>21</v>
      </c>
      <c r="G2546" s="3" t="s">
        <v>233</v>
      </c>
      <c r="H2546" s="3" t="s">
        <v>234</v>
      </c>
      <c r="I2546" s="3" t="s">
        <v>24</v>
      </c>
      <c r="J2546" s="3" t="s">
        <v>24</v>
      </c>
      <c r="K2546" s="3" t="s">
        <v>25</v>
      </c>
      <c r="L2546" s="4">
        <v>0</v>
      </c>
      <c r="M2546" s="3" t="s">
        <v>26</v>
      </c>
      <c r="N2546" s="3" t="s">
        <v>24</v>
      </c>
      <c r="O2546" s="4">
        <v>1</v>
      </c>
      <c r="P2546" s="4">
        <v>2</v>
      </c>
      <c r="Q2546" s="4">
        <v>1</v>
      </c>
    </row>
    <row r="2547" spans="1:17" x14ac:dyDescent="0.25">
      <c r="A2547" s="3" t="s">
        <v>18</v>
      </c>
      <c r="B2547" s="3">
        <v>16080417</v>
      </c>
      <c r="C2547" s="3" t="s">
        <v>2594</v>
      </c>
      <c r="D2547" s="3" t="s">
        <v>20</v>
      </c>
      <c r="E2547" s="3" t="s">
        <v>21</v>
      </c>
      <c r="F2547" s="3" t="s">
        <v>21</v>
      </c>
      <c r="G2547" s="3" t="s">
        <v>36</v>
      </c>
      <c r="H2547" s="3" t="s">
        <v>37</v>
      </c>
      <c r="I2547" s="3" t="s">
        <v>24</v>
      </c>
      <c r="J2547" s="3" t="s">
        <v>24</v>
      </c>
      <c r="K2547" s="3" t="s">
        <v>25</v>
      </c>
      <c r="L2547" s="4">
        <v>0</v>
      </c>
      <c r="M2547" s="3" t="s">
        <v>26</v>
      </c>
      <c r="N2547" s="3" t="s">
        <v>24</v>
      </c>
      <c r="O2547" s="4">
        <v>1</v>
      </c>
      <c r="P2547" s="4">
        <v>8</v>
      </c>
      <c r="Q2547" s="4">
        <v>1</v>
      </c>
    </row>
    <row r="2548" spans="1:17" x14ac:dyDescent="0.25">
      <c r="A2548" s="3" t="s">
        <v>18</v>
      </c>
      <c r="B2548" s="3">
        <v>16080567</v>
      </c>
      <c r="C2548" s="3" t="s">
        <v>2595</v>
      </c>
      <c r="D2548" s="3" t="s">
        <v>20</v>
      </c>
      <c r="E2548" s="3" t="s">
        <v>21</v>
      </c>
      <c r="F2548" s="3" t="s">
        <v>21</v>
      </c>
      <c r="G2548" s="3" t="s">
        <v>36</v>
      </c>
      <c r="H2548" s="3" t="s">
        <v>37</v>
      </c>
      <c r="I2548" s="3" t="s">
        <v>24</v>
      </c>
      <c r="J2548" s="3" t="s">
        <v>24</v>
      </c>
      <c r="K2548" s="3" t="s">
        <v>25</v>
      </c>
      <c r="L2548" s="4">
        <v>0</v>
      </c>
      <c r="M2548" s="3" t="s">
        <v>26</v>
      </c>
      <c r="N2548" s="3" t="s">
        <v>24</v>
      </c>
      <c r="O2548" s="4">
        <v>1</v>
      </c>
      <c r="P2548" s="4">
        <v>8</v>
      </c>
      <c r="Q2548" s="4">
        <v>1</v>
      </c>
    </row>
    <row r="2549" spans="1:17" x14ac:dyDescent="0.25">
      <c r="A2549" s="3" t="s">
        <v>18</v>
      </c>
      <c r="B2549" s="3">
        <v>16080631</v>
      </c>
      <c r="C2549" s="3" t="s">
        <v>2596</v>
      </c>
      <c r="D2549" s="3" t="s">
        <v>20</v>
      </c>
      <c r="E2549" s="3" t="s">
        <v>21</v>
      </c>
      <c r="F2549" s="3" t="s">
        <v>21</v>
      </c>
      <c r="G2549" s="3" t="s">
        <v>36</v>
      </c>
      <c r="H2549" s="3" t="s">
        <v>37</v>
      </c>
      <c r="I2549" s="3" t="s">
        <v>24</v>
      </c>
      <c r="J2549" s="3" t="s">
        <v>24</v>
      </c>
      <c r="K2549" s="3" t="s">
        <v>25</v>
      </c>
      <c r="L2549" s="4">
        <v>0</v>
      </c>
      <c r="M2549" s="3" t="s">
        <v>26</v>
      </c>
      <c r="N2549" s="3" t="s">
        <v>24</v>
      </c>
      <c r="O2549" s="4">
        <v>1</v>
      </c>
      <c r="P2549" s="4">
        <v>8</v>
      </c>
      <c r="Q2549" s="4">
        <v>1</v>
      </c>
    </row>
    <row r="2550" spans="1:17" x14ac:dyDescent="0.25">
      <c r="A2550" s="3" t="s">
        <v>18</v>
      </c>
      <c r="B2550" s="3">
        <v>16082807</v>
      </c>
      <c r="C2550" s="3" t="s">
        <v>2597</v>
      </c>
      <c r="D2550" s="3" t="s">
        <v>20</v>
      </c>
      <c r="E2550" s="3" t="s">
        <v>21</v>
      </c>
      <c r="F2550" s="3" t="s">
        <v>21</v>
      </c>
      <c r="G2550" s="3" t="s">
        <v>233</v>
      </c>
      <c r="H2550" s="3" t="s">
        <v>234</v>
      </c>
      <c r="I2550" s="3" t="s">
        <v>24</v>
      </c>
      <c r="J2550" s="3" t="s">
        <v>24</v>
      </c>
      <c r="K2550" s="3" t="s">
        <v>25</v>
      </c>
      <c r="L2550" s="4">
        <v>0</v>
      </c>
      <c r="M2550" s="3" t="s">
        <v>26</v>
      </c>
      <c r="N2550" s="3" t="s">
        <v>24</v>
      </c>
      <c r="O2550" s="4">
        <v>1</v>
      </c>
      <c r="P2550" s="4">
        <v>3</v>
      </c>
      <c r="Q2550" s="4">
        <v>1</v>
      </c>
    </row>
    <row r="2551" spans="1:17" x14ac:dyDescent="0.25">
      <c r="A2551" s="3" t="s">
        <v>18</v>
      </c>
      <c r="B2551" s="3">
        <v>16082871</v>
      </c>
      <c r="C2551" s="3" t="s">
        <v>2598</v>
      </c>
      <c r="D2551" s="3" t="s">
        <v>20</v>
      </c>
      <c r="E2551" s="3" t="s">
        <v>21</v>
      </c>
      <c r="F2551" s="3" t="s">
        <v>21</v>
      </c>
      <c r="G2551" s="3" t="s">
        <v>233</v>
      </c>
      <c r="H2551" s="3" t="s">
        <v>234</v>
      </c>
      <c r="I2551" s="3" t="s">
        <v>24</v>
      </c>
      <c r="J2551" s="3" t="s">
        <v>24</v>
      </c>
      <c r="K2551" s="3" t="s">
        <v>25</v>
      </c>
      <c r="L2551" s="4">
        <v>0</v>
      </c>
      <c r="M2551" s="3" t="s">
        <v>26</v>
      </c>
      <c r="N2551" s="3" t="s">
        <v>24</v>
      </c>
      <c r="O2551" s="4">
        <v>1</v>
      </c>
      <c r="P2551" s="4">
        <v>3</v>
      </c>
      <c r="Q2551" s="4">
        <v>1</v>
      </c>
    </row>
    <row r="2552" spans="1:17" x14ac:dyDescent="0.25">
      <c r="A2552" s="3" t="s">
        <v>18</v>
      </c>
      <c r="B2552" s="3">
        <v>16082874</v>
      </c>
      <c r="C2552" s="3" t="s">
        <v>2599</v>
      </c>
      <c r="D2552" s="3" t="s">
        <v>20</v>
      </c>
      <c r="E2552" s="3" t="s">
        <v>21</v>
      </c>
      <c r="F2552" s="3" t="s">
        <v>21</v>
      </c>
      <c r="G2552" s="3" t="s">
        <v>233</v>
      </c>
      <c r="H2552" s="3" t="s">
        <v>234</v>
      </c>
      <c r="I2552" s="3" t="s">
        <v>24</v>
      </c>
      <c r="J2552" s="3" t="s">
        <v>24</v>
      </c>
      <c r="K2552" s="3" t="s">
        <v>25</v>
      </c>
      <c r="L2552" s="4">
        <v>0</v>
      </c>
      <c r="M2552" s="3" t="s">
        <v>26</v>
      </c>
      <c r="N2552" s="3" t="s">
        <v>24</v>
      </c>
      <c r="O2552" s="4">
        <v>1</v>
      </c>
      <c r="P2552" s="4">
        <v>3</v>
      </c>
      <c r="Q2552" s="4">
        <v>1</v>
      </c>
    </row>
    <row r="2553" spans="1:17" x14ac:dyDescent="0.25">
      <c r="A2553" s="3" t="s">
        <v>18</v>
      </c>
      <c r="B2553" s="3">
        <v>16082958</v>
      </c>
      <c r="C2553" s="3" t="s">
        <v>2600</v>
      </c>
      <c r="D2553" s="3" t="s">
        <v>20</v>
      </c>
      <c r="E2553" s="3" t="s">
        <v>21</v>
      </c>
      <c r="F2553" s="3" t="s">
        <v>21</v>
      </c>
      <c r="G2553" s="3" t="s">
        <v>233</v>
      </c>
      <c r="H2553" s="3" t="s">
        <v>234</v>
      </c>
      <c r="I2553" s="3" t="s">
        <v>24</v>
      </c>
      <c r="J2553" s="3" t="s">
        <v>24</v>
      </c>
      <c r="K2553" s="3" t="s">
        <v>25</v>
      </c>
      <c r="L2553" s="4">
        <v>0</v>
      </c>
      <c r="M2553" s="3" t="s">
        <v>26</v>
      </c>
      <c r="N2553" s="3" t="s">
        <v>24</v>
      </c>
      <c r="O2553" s="4">
        <v>1</v>
      </c>
      <c r="P2553" s="4">
        <v>3</v>
      </c>
      <c r="Q2553" s="4">
        <v>1</v>
      </c>
    </row>
    <row r="2554" spans="1:17" x14ac:dyDescent="0.25">
      <c r="A2554" s="3" t="s">
        <v>18</v>
      </c>
      <c r="B2554" s="3">
        <v>16083067</v>
      </c>
      <c r="C2554" s="3" t="s">
        <v>2601</v>
      </c>
      <c r="D2554" s="3" t="s">
        <v>20</v>
      </c>
      <c r="E2554" s="3" t="s">
        <v>21</v>
      </c>
      <c r="F2554" s="3" t="s">
        <v>21</v>
      </c>
      <c r="G2554" s="3" t="s">
        <v>233</v>
      </c>
      <c r="H2554" s="3" t="s">
        <v>234</v>
      </c>
      <c r="I2554" s="3" t="s">
        <v>24</v>
      </c>
      <c r="J2554" s="3" t="s">
        <v>24</v>
      </c>
      <c r="K2554" s="3" t="s">
        <v>25</v>
      </c>
      <c r="L2554" s="4">
        <v>0</v>
      </c>
      <c r="M2554" s="3" t="s">
        <v>26</v>
      </c>
      <c r="N2554" s="3" t="s">
        <v>24</v>
      </c>
      <c r="O2554" s="4">
        <v>1</v>
      </c>
      <c r="P2554" s="4">
        <v>3</v>
      </c>
      <c r="Q2554" s="4">
        <v>1</v>
      </c>
    </row>
    <row r="2555" spans="1:17" x14ac:dyDescent="0.25">
      <c r="A2555" s="3" t="s">
        <v>18</v>
      </c>
      <c r="B2555" s="3">
        <v>16083100</v>
      </c>
      <c r="C2555" s="3" t="s">
        <v>2602</v>
      </c>
      <c r="D2555" s="3" t="s">
        <v>20</v>
      </c>
      <c r="E2555" s="3" t="s">
        <v>21</v>
      </c>
      <c r="F2555" s="3" t="s">
        <v>21</v>
      </c>
      <c r="G2555" s="3" t="s">
        <v>233</v>
      </c>
      <c r="H2555" s="3" t="s">
        <v>234</v>
      </c>
      <c r="I2555" s="3" t="s">
        <v>24</v>
      </c>
      <c r="J2555" s="3" t="s">
        <v>24</v>
      </c>
      <c r="K2555" s="3" t="s">
        <v>25</v>
      </c>
      <c r="L2555" s="4">
        <v>0</v>
      </c>
      <c r="M2555" s="3" t="s">
        <v>26</v>
      </c>
      <c r="N2555" s="3" t="s">
        <v>24</v>
      </c>
      <c r="O2555" s="4">
        <v>1</v>
      </c>
      <c r="P2555" s="4">
        <v>3</v>
      </c>
      <c r="Q2555" s="4">
        <v>1</v>
      </c>
    </row>
    <row r="2556" spans="1:17" x14ac:dyDescent="0.25">
      <c r="A2556" s="3" t="s">
        <v>18</v>
      </c>
      <c r="B2556" s="3">
        <v>16084658</v>
      </c>
      <c r="C2556" s="3" t="s">
        <v>2603</v>
      </c>
      <c r="D2556" s="3" t="s">
        <v>20</v>
      </c>
      <c r="E2556" s="3" t="s">
        <v>21</v>
      </c>
      <c r="F2556" s="3" t="s">
        <v>21</v>
      </c>
      <c r="G2556" s="3" t="s">
        <v>233</v>
      </c>
      <c r="H2556" s="3" t="s">
        <v>234</v>
      </c>
      <c r="I2556" s="3" t="s">
        <v>24</v>
      </c>
      <c r="J2556" s="3" t="s">
        <v>24</v>
      </c>
      <c r="K2556" s="3" t="s">
        <v>25</v>
      </c>
      <c r="L2556" s="4">
        <v>0</v>
      </c>
      <c r="M2556" s="3" t="s">
        <v>26</v>
      </c>
      <c r="N2556" s="3" t="s">
        <v>24</v>
      </c>
      <c r="O2556" s="4">
        <v>1</v>
      </c>
      <c r="P2556" s="4">
        <v>3</v>
      </c>
      <c r="Q2556" s="4">
        <v>1</v>
      </c>
    </row>
    <row r="2557" spans="1:17" x14ac:dyDescent="0.25">
      <c r="A2557" s="3" t="s">
        <v>18</v>
      </c>
      <c r="B2557" s="3">
        <v>16087519</v>
      </c>
      <c r="C2557" s="3" t="s">
        <v>2604</v>
      </c>
      <c r="D2557" s="3" t="s">
        <v>1360</v>
      </c>
      <c r="E2557" s="3" t="s">
        <v>21</v>
      </c>
      <c r="F2557" s="3" t="s">
        <v>21</v>
      </c>
      <c r="G2557" s="3" t="s">
        <v>233</v>
      </c>
      <c r="H2557" s="3" t="s">
        <v>234</v>
      </c>
      <c r="I2557" s="3" t="s">
        <v>24</v>
      </c>
      <c r="J2557" s="3" t="s">
        <v>24</v>
      </c>
      <c r="K2557" s="3" t="s">
        <v>25</v>
      </c>
      <c r="L2557" s="4">
        <v>0</v>
      </c>
      <c r="M2557" s="3" t="s">
        <v>26</v>
      </c>
      <c r="N2557" s="3" t="s">
        <v>24</v>
      </c>
      <c r="O2557" s="4">
        <v>1</v>
      </c>
      <c r="P2557" s="4">
        <v>3</v>
      </c>
      <c r="Q2557" s="4">
        <v>1</v>
      </c>
    </row>
    <row r="2558" spans="1:17" x14ac:dyDescent="0.25">
      <c r="A2558" s="3" t="s">
        <v>18</v>
      </c>
      <c r="B2558" s="3">
        <v>16113642</v>
      </c>
      <c r="C2558" s="3" t="s">
        <v>2605</v>
      </c>
      <c r="D2558" s="3" t="s">
        <v>20</v>
      </c>
      <c r="E2558" s="3" t="s">
        <v>21</v>
      </c>
      <c r="F2558" s="3" t="s">
        <v>21</v>
      </c>
      <c r="G2558" s="3" t="s">
        <v>362</v>
      </c>
      <c r="H2558" s="3" t="s">
        <v>363</v>
      </c>
      <c r="I2558" s="3" t="s">
        <v>24</v>
      </c>
      <c r="J2558" s="3" t="s">
        <v>24</v>
      </c>
      <c r="K2558" s="3" t="s">
        <v>25</v>
      </c>
      <c r="L2558" s="4">
        <v>0</v>
      </c>
      <c r="M2558" s="3" t="s">
        <v>26</v>
      </c>
      <c r="N2558" s="3" t="s">
        <v>24</v>
      </c>
      <c r="O2558" s="4">
        <v>1</v>
      </c>
      <c r="P2558" s="4">
        <v>1</v>
      </c>
      <c r="Q2558" s="4">
        <v>1</v>
      </c>
    </row>
    <row r="2559" spans="1:17" x14ac:dyDescent="0.25">
      <c r="A2559" s="3" t="s">
        <v>18</v>
      </c>
      <c r="B2559" s="3">
        <v>16115447</v>
      </c>
      <c r="C2559" s="3" t="s">
        <v>2606</v>
      </c>
      <c r="D2559" s="3" t="s">
        <v>20</v>
      </c>
      <c r="E2559" s="3" t="s">
        <v>21</v>
      </c>
      <c r="F2559" s="3" t="s">
        <v>21</v>
      </c>
      <c r="G2559" s="3" t="s">
        <v>233</v>
      </c>
      <c r="H2559" s="3" t="s">
        <v>234</v>
      </c>
      <c r="I2559" s="3" t="s">
        <v>24</v>
      </c>
      <c r="J2559" s="3" t="s">
        <v>24</v>
      </c>
      <c r="K2559" s="3" t="s">
        <v>25</v>
      </c>
      <c r="L2559" s="4">
        <v>0</v>
      </c>
      <c r="M2559" s="3" t="s">
        <v>26</v>
      </c>
      <c r="N2559" s="3" t="s">
        <v>24</v>
      </c>
      <c r="O2559" s="4">
        <v>1</v>
      </c>
      <c r="P2559" s="4">
        <v>1</v>
      </c>
      <c r="Q2559" s="4">
        <v>1</v>
      </c>
    </row>
    <row r="2560" spans="1:17" x14ac:dyDescent="0.25">
      <c r="A2560" s="3" t="s">
        <v>18</v>
      </c>
      <c r="B2560" s="3">
        <v>16122161</v>
      </c>
      <c r="C2560" s="3" t="s">
        <v>2607</v>
      </c>
      <c r="D2560" s="3" t="s">
        <v>20</v>
      </c>
      <c r="E2560" s="3" t="s">
        <v>21</v>
      </c>
      <c r="F2560" s="3" t="s">
        <v>21</v>
      </c>
      <c r="G2560" s="3" t="s">
        <v>42</v>
      </c>
      <c r="H2560" s="3" t="s">
        <v>43</v>
      </c>
      <c r="I2560" s="3" t="s">
        <v>24</v>
      </c>
      <c r="J2560" s="3" t="s">
        <v>24</v>
      </c>
      <c r="K2560" s="3" t="s">
        <v>25</v>
      </c>
      <c r="L2560" s="4">
        <v>0</v>
      </c>
      <c r="M2560" s="3" t="s">
        <v>26</v>
      </c>
      <c r="N2560" s="3" t="s">
        <v>24</v>
      </c>
      <c r="O2560" s="4">
        <v>1</v>
      </c>
      <c r="P2560" s="4">
        <v>8</v>
      </c>
      <c r="Q2560" s="4">
        <v>1</v>
      </c>
    </row>
    <row r="2561" spans="1:17" x14ac:dyDescent="0.25">
      <c r="A2561" s="3" t="s">
        <v>18</v>
      </c>
      <c r="B2561" s="3">
        <v>16122165</v>
      </c>
      <c r="C2561" s="3" t="s">
        <v>2608</v>
      </c>
      <c r="D2561" s="3" t="s">
        <v>20</v>
      </c>
      <c r="E2561" s="3" t="s">
        <v>21</v>
      </c>
      <c r="F2561" s="3" t="s">
        <v>21</v>
      </c>
      <c r="G2561" s="3" t="s">
        <v>233</v>
      </c>
      <c r="H2561" s="3" t="s">
        <v>234</v>
      </c>
      <c r="I2561" s="3" t="s">
        <v>24</v>
      </c>
      <c r="J2561" s="3" t="s">
        <v>24</v>
      </c>
      <c r="K2561" s="3" t="s">
        <v>25</v>
      </c>
      <c r="L2561" s="4">
        <v>0</v>
      </c>
      <c r="M2561" s="3" t="s">
        <v>26</v>
      </c>
      <c r="N2561" s="3" t="s">
        <v>24</v>
      </c>
      <c r="O2561" s="4">
        <v>1</v>
      </c>
      <c r="P2561" s="4">
        <v>3</v>
      </c>
      <c r="Q2561" s="4">
        <v>1</v>
      </c>
    </row>
    <row r="2562" spans="1:17" x14ac:dyDescent="0.25">
      <c r="A2562" s="3" t="s">
        <v>18</v>
      </c>
      <c r="B2562" s="3">
        <v>16132090</v>
      </c>
      <c r="C2562" s="3" t="s">
        <v>2609</v>
      </c>
      <c r="D2562" s="3" t="s">
        <v>1360</v>
      </c>
      <c r="E2562" s="3" t="s">
        <v>21</v>
      </c>
      <c r="F2562" s="3" t="s">
        <v>21</v>
      </c>
      <c r="G2562" s="3" t="s">
        <v>233</v>
      </c>
      <c r="H2562" s="3" t="s">
        <v>234</v>
      </c>
      <c r="I2562" s="3" t="s">
        <v>24</v>
      </c>
      <c r="J2562" s="3" t="s">
        <v>24</v>
      </c>
      <c r="K2562" s="3" t="s">
        <v>25</v>
      </c>
      <c r="L2562" s="4">
        <v>0</v>
      </c>
      <c r="M2562" s="3" t="s">
        <v>26</v>
      </c>
      <c r="N2562" s="3" t="s">
        <v>24</v>
      </c>
      <c r="O2562" s="4">
        <v>1</v>
      </c>
      <c r="P2562" s="4">
        <v>3</v>
      </c>
      <c r="Q2562" s="4">
        <v>1</v>
      </c>
    </row>
    <row r="2563" spans="1:17" x14ac:dyDescent="0.25">
      <c r="A2563" s="3" t="s">
        <v>18</v>
      </c>
      <c r="B2563" s="3">
        <v>16136320</v>
      </c>
      <c r="C2563" s="3" t="s">
        <v>2610</v>
      </c>
      <c r="D2563" s="3" t="s">
        <v>20</v>
      </c>
      <c r="E2563" s="3" t="s">
        <v>21</v>
      </c>
      <c r="F2563" s="3" t="s">
        <v>21</v>
      </c>
      <c r="G2563" s="3" t="s">
        <v>410</v>
      </c>
      <c r="H2563" s="3" t="s">
        <v>411</v>
      </c>
      <c r="I2563" s="3" t="s">
        <v>24</v>
      </c>
      <c r="J2563" s="3" t="s">
        <v>24</v>
      </c>
      <c r="K2563" s="3" t="s">
        <v>25</v>
      </c>
      <c r="L2563" s="4">
        <v>0</v>
      </c>
      <c r="M2563" s="3" t="s">
        <v>26</v>
      </c>
      <c r="N2563" s="3" t="s">
        <v>24</v>
      </c>
      <c r="O2563" s="4">
        <v>1</v>
      </c>
      <c r="P2563" s="4">
        <v>4</v>
      </c>
      <c r="Q2563" s="4">
        <v>1</v>
      </c>
    </row>
    <row r="2564" spans="1:17" x14ac:dyDescent="0.25">
      <c r="A2564" s="3" t="s">
        <v>18</v>
      </c>
      <c r="B2564" s="3">
        <v>16171581</v>
      </c>
      <c r="C2564" s="3" t="s">
        <v>2611</v>
      </c>
      <c r="D2564" s="3" t="s">
        <v>20</v>
      </c>
      <c r="E2564" s="3" t="s">
        <v>21</v>
      </c>
      <c r="F2564" s="3" t="s">
        <v>21</v>
      </c>
      <c r="G2564" s="3" t="s">
        <v>36</v>
      </c>
      <c r="H2564" s="3" t="s">
        <v>37</v>
      </c>
      <c r="I2564" s="3" t="s">
        <v>24</v>
      </c>
      <c r="J2564" s="3" t="s">
        <v>24</v>
      </c>
      <c r="K2564" s="3" t="s">
        <v>25</v>
      </c>
      <c r="L2564" s="4">
        <v>0</v>
      </c>
      <c r="M2564" s="3" t="s">
        <v>26</v>
      </c>
      <c r="N2564" s="3" t="s">
        <v>24</v>
      </c>
      <c r="O2564" s="4">
        <v>1</v>
      </c>
      <c r="P2564" s="4">
        <v>2</v>
      </c>
      <c r="Q2564" s="4">
        <v>1</v>
      </c>
    </row>
    <row r="2565" spans="1:17" x14ac:dyDescent="0.25">
      <c r="A2565" s="3" t="s">
        <v>18</v>
      </c>
      <c r="B2565" s="3">
        <v>16199001</v>
      </c>
      <c r="C2565" s="3" t="s">
        <v>2612</v>
      </c>
      <c r="D2565" s="3" t="s">
        <v>1360</v>
      </c>
      <c r="E2565" s="3" t="s">
        <v>21</v>
      </c>
      <c r="F2565" s="3" t="s">
        <v>21</v>
      </c>
      <c r="G2565" s="3" t="s">
        <v>36</v>
      </c>
      <c r="H2565" s="3" t="s">
        <v>37</v>
      </c>
      <c r="I2565" s="3" t="s">
        <v>24</v>
      </c>
      <c r="J2565" s="3" t="s">
        <v>24</v>
      </c>
      <c r="K2565" s="3" t="s">
        <v>25</v>
      </c>
      <c r="L2565" s="4">
        <v>0</v>
      </c>
      <c r="M2565" s="3" t="s">
        <v>26</v>
      </c>
      <c r="N2565" s="3" t="s">
        <v>24</v>
      </c>
      <c r="O2565" s="4">
        <v>1</v>
      </c>
      <c r="P2565" s="4">
        <v>10</v>
      </c>
      <c r="Q2565" s="4">
        <v>1</v>
      </c>
    </row>
    <row r="2566" spans="1:17" x14ac:dyDescent="0.25">
      <c r="A2566" s="3" t="s">
        <v>18</v>
      </c>
      <c r="B2566" s="3">
        <v>16204628</v>
      </c>
      <c r="C2566" s="3" t="s">
        <v>2613</v>
      </c>
      <c r="D2566" s="3" t="s">
        <v>20</v>
      </c>
      <c r="E2566" s="3" t="s">
        <v>21</v>
      </c>
      <c r="F2566" s="3" t="s">
        <v>21</v>
      </c>
      <c r="G2566" s="3" t="s">
        <v>36</v>
      </c>
      <c r="H2566" s="3" t="s">
        <v>37</v>
      </c>
      <c r="I2566" s="3" t="s">
        <v>24</v>
      </c>
      <c r="J2566" s="3" t="s">
        <v>24</v>
      </c>
      <c r="K2566" s="3" t="s">
        <v>25</v>
      </c>
      <c r="L2566" s="4">
        <v>0</v>
      </c>
      <c r="M2566" s="3" t="s">
        <v>26</v>
      </c>
      <c r="N2566" s="3" t="s">
        <v>24</v>
      </c>
      <c r="O2566" s="4">
        <v>1</v>
      </c>
      <c r="P2566" s="4">
        <v>5</v>
      </c>
      <c r="Q2566" s="4">
        <v>1</v>
      </c>
    </row>
    <row r="2567" spans="1:17" x14ac:dyDescent="0.25">
      <c r="A2567" s="3" t="s">
        <v>18</v>
      </c>
      <c r="B2567" s="3">
        <v>16204632</v>
      </c>
      <c r="C2567" s="3" t="s">
        <v>2614</v>
      </c>
      <c r="D2567" s="3" t="s">
        <v>20</v>
      </c>
      <c r="E2567" s="3" t="s">
        <v>21</v>
      </c>
      <c r="F2567" s="3" t="s">
        <v>21</v>
      </c>
      <c r="G2567" s="3" t="s">
        <v>36</v>
      </c>
      <c r="H2567" s="3" t="s">
        <v>37</v>
      </c>
      <c r="I2567" s="3" t="s">
        <v>24</v>
      </c>
      <c r="J2567" s="3" t="s">
        <v>24</v>
      </c>
      <c r="K2567" s="3" t="s">
        <v>25</v>
      </c>
      <c r="L2567" s="4">
        <v>0</v>
      </c>
      <c r="M2567" s="3" t="s">
        <v>26</v>
      </c>
      <c r="N2567" s="3" t="s">
        <v>24</v>
      </c>
      <c r="O2567" s="4">
        <v>1</v>
      </c>
      <c r="P2567" s="4">
        <v>5</v>
      </c>
      <c r="Q2567" s="4">
        <v>1</v>
      </c>
    </row>
    <row r="2568" spans="1:17" x14ac:dyDescent="0.25">
      <c r="A2568" s="3" t="s">
        <v>18</v>
      </c>
      <c r="B2568" s="3">
        <v>16204792</v>
      </c>
      <c r="C2568" s="3" t="s">
        <v>2615</v>
      </c>
      <c r="D2568" s="3" t="s">
        <v>20</v>
      </c>
      <c r="E2568" s="3" t="s">
        <v>21</v>
      </c>
      <c r="F2568" s="3" t="s">
        <v>21</v>
      </c>
      <c r="G2568" s="3" t="s">
        <v>36</v>
      </c>
      <c r="H2568" s="3" t="s">
        <v>37</v>
      </c>
      <c r="I2568" s="3" t="s">
        <v>24</v>
      </c>
      <c r="J2568" s="3" t="s">
        <v>24</v>
      </c>
      <c r="K2568" s="3" t="s">
        <v>25</v>
      </c>
      <c r="L2568" s="4">
        <v>0</v>
      </c>
      <c r="M2568" s="3" t="s">
        <v>26</v>
      </c>
      <c r="N2568" s="3" t="s">
        <v>24</v>
      </c>
      <c r="O2568" s="4">
        <v>1</v>
      </c>
      <c r="P2568" s="4">
        <v>5</v>
      </c>
      <c r="Q2568" s="4">
        <v>1</v>
      </c>
    </row>
    <row r="2569" spans="1:17" x14ac:dyDescent="0.25">
      <c r="A2569" s="3" t="s">
        <v>18</v>
      </c>
      <c r="B2569" s="3">
        <v>16204838</v>
      </c>
      <c r="C2569" s="3" t="s">
        <v>2616</v>
      </c>
      <c r="D2569" s="3" t="s">
        <v>20</v>
      </c>
      <c r="E2569" s="3" t="s">
        <v>21</v>
      </c>
      <c r="F2569" s="3" t="s">
        <v>21</v>
      </c>
      <c r="G2569" s="3" t="s">
        <v>36</v>
      </c>
      <c r="H2569" s="3" t="s">
        <v>37</v>
      </c>
      <c r="I2569" s="3" t="s">
        <v>24</v>
      </c>
      <c r="J2569" s="3" t="s">
        <v>24</v>
      </c>
      <c r="K2569" s="3" t="s">
        <v>25</v>
      </c>
      <c r="L2569" s="4">
        <v>0</v>
      </c>
      <c r="M2569" s="3" t="s">
        <v>26</v>
      </c>
      <c r="N2569" s="3" t="s">
        <v>24</v>
      </c>
      <c r="O2569" s="4">
        <v>1</v>
      </c>
      <c r="P2569" s="4">
        <v>5</v>
      </c>
      <c r="Q2569" s="4">
        <v>1</v>
      </c>
    </row>
    <row r="2570" spans="1:17" x14ac:dyDescent="0.25">
      <c r="A2570" s="3" t="s">
        <v>18</v>
      </c>
      <c r="B2570" s="3">
        <v>16204844</v>
      </c>
      <c r="C2570" s="3" t="s">
        <v>2617</v>
      </c>
      <c r="D2570" s="3" t="s">
        <v>20</v>
      </c>
      <c r="E2570" s="3" t="s">
        <v>21</v>
      </c>
      <c r="F2570" s="3" t="s">
        <v>21</v>
      </c>
      <c r="G2570" s="3" t="s">
        <v>36</v>
      </c>
      <c r="H2570" s="3" t="s">
        <v>37</v>
      </c>
      <c r="I2570" s="3" t="s">
        <v>24</v>
      </c>
      <c r="J2570" s="3" t="s">
        <v>24</v>
      </c>
      <c r="K2570" s="3" t="s">
        <v>25</v>
      </c>
      <c r="L2570" s="4">
        <v>0</v>
      </c>
      <c r="M2570" s="3" t="s">
        <v>26</v>
      </c>
      <c r="N2570" s="3" t="s">
        <v>24</v>
      </c>
      <c r="O2570" s="4">
        <v>1</v>
      </c>
      <c r="P2570" s="4">
        <v>5</v>
      </c>
      <c r="Q2570" s="4">
        <v>1</v>
      </c>
    </row>
    <row r="2571" spans="1:17" x14ac:dyDescent="0.25">
      <c r="A2571" s="3" t="s">
        <v>18</v>
      </c>
      <c r="B2571" s="3">
        <v>16204858</v>
      </c>
      <c r="C2571" s="3" t="s">
        <v>2618</v>
      </c>
      <c r="D2571" s="3" t="s">
        <v>20</v>
      </c>
      <c r="E2571" s="3" t="s">
        <v>21</v>
      </c>
      <c r="F2571" s="3" t="s">
        <v>21</v>
      </c>
      <c r="G2571" s="3" t="s">
        <v>36</v>
      </c>
      <c r="H2571" s="3" t="s">
        <v>37</v>
      </c>
      <c r="I2571" s="3" t="s">
        <v>24</v>
      </c>
      <c r="J2571" s="3" t="s">
        <v>24</v>
      </c>
      <c r="K2571" s="3" t="s">
        <v>25</v>
      </c>
      <c r="L2571" s="4">
        <v>0</v>
      </c>
      <c r="M2571" s="3" t="s">
        <v>26</v>
      </c>
      <c r="N2571" s="3" t="s">
        <v>24</v>
      </c>
      <c r="O2571" s="4">
        <v>1</v>
      </c>
      <c r="P2571" s="4">
        <v>5</v>
      </c>
      <c r="Q2571" s="4">
        <v>1</v>
      </c>
    </row>
    <row r="2572" spans="1:17" x14ac:dyDescent="0.25">
      <c r="A2572" s="3" t="s">
        <v>18</v>
      </c>
      <c r="B2572" s="3">
        <v>16204862</v>
      </c>
      <c r="C2572" s="3" t="s">
        <v>2619</v>
      </c>
      <c r="D2572" s="3" t="s">
        <v>20</v>
      </c>
      <c r="E2572" s="3" t="s">
        <v>21</v>
      </c>
      <c r="F2572" s="3" t="s">
        <v>21</v>
      </c>
      <c r="G2572" s="3" t="s">
        <v>233</v>
      </c>
      <c r="H2572" s="3" t="s">
        <v>234</v>
      </c>
      <c r="I2572" s="3" t="s">
        <v>24</v>
      </c>
      <c r="J2572" s="3" t="s">
        <v>24</v>
      </c>
      <c r="K2572" s="3" t="s">
        <v>25</v>
      </c>
      <c r="L2572" s="4">
        <v>0</v>
      </c>
      <c r="M2572" s="3" t="s">
        <v>26</v>
      </c>
      <c r="N2572" s="3" t="s">
        <v>24</v>
      </c>
      <c r="O2572" s="4">
        <v>1</v>
      </c>
      <c r="P2572" s="4">
        <v>3</v>
      </c>
      <c r="Q2572" s="4">
        <v>1</v>
      </c>
    </row>
    <row r="2573" spans="1:17" x14ac:dyDescent="0.25">
      <c r="A2573" s="3" t="s">
        <v>18</v>
      </c>
      <c r="B2573" s="3">
        <v>16204888</v>
      </c>
      <c r="C2573" s="3" t="s">
        <v>2620</v>
      </c>
      <c r="D2573" s="3" t="s">
        <v>20</v>
      </c>
      <c r="E2573" s="3" t="s">
        <v>21</v>
      </c>
      <c r="F2573" s="3" t="s">
        <v>21</v>
      </c>
      <c r="G2573" s="3" t="s">
        <v>233</v>
      </c>
      <c r="H2573" s="3" t="s">
        <v>234</v>
      </c>
      <c r="I2573" s="3" t="s">
        <v>24</v>
      </c>
      <c r="J2573" s="3" t="s">
        <v>24</v>
      </c>
      <c r="K2573" s="3" t="s">
        <v>25</v>
      </c>
      <c r="L2573" s="4">
        <v>0</v>
      </c>
      <c r="M2573" s="3" t="s">
        <v>26</v>
      </c>
      <c r="N2573" s="3" t="s">
        <v>24</v>
      </c>
      <c r="O2573" s="4">
        <v>1</v>
      </c>
      <c r="P2573" s="4">
        <v>3</v>
      </c>
      <c r="Q2573" s="4">
        <v>1</v>
      </c>
    </row>
    <row r="2574" spans="1:17" x14ac:dyDescent="0.25">
      <c r="A2574" s="3" t="s">
        <v>18</v>
      </c>
      <c r="B2574" s="3">
        <v>16204896</v>
      </c>
      <c r="C2574" s="3" t="s">
        <v>2621</v>
      </c>
      <c r="D2574" s="3" t="s">
        <v>20</v>
      </c>
      <c r="E2574" s="3" t="s">
        <v>21</v>
      </c>
      <c r="F2574" s="3" t="s">
        <v>21</v>
      </c>
      <c r="G2574" s="3" t="s">
        <v>233</v>
      </c>
      <c r="H2574" s="3" t="s">
        <v>234</v>
      </c>
      <c r="I2574" s="3" t="s">
        <v>24</v>
      </c>
      <c r="J2574" s="3" t="s">
        <v>24</v>
      </c>
      <c r="K2574" s="3" t="s">
        <v>25</v>
      </c>
      <c r="L2574" s="4">
        <v>0</v>
      </c>
      <c r="M2574" s="3" t="s">
        <v>26</v>
      </c>
      <c r="N2574" s="3" t="s">
        <v>24</v>
      </c>
      <c r="O2574" s="4">
        <v>1</v>
      </c>
      <c r="P2574" s="4">
        <v>3</v>
      </c>
      <c r="Q2574" s="4">
        <v>1</v>
      </c>
    </row>
    <row r="2575" spans="1:17" x14ac:dyDescent="0.25">
      <c r="A2575" s="3" t="s">
        <v>18</v>
      </c>
      <c r="B2575" s="3">
        <v>16204989</v>
      </c>
      <c r="C2575" s="3" t="s">
        <v>2622</v>
      </c>
      <c r="D2575" s="3" t="s">
        <v>20</v>
      </c>
      <c r="E2575" s="3" t="s">
        <v>21</v>
      </c>
      <c r="F2575" s="3" t="s">
        <v>21</v>
      </c>
      <c r="G2575" s="3" t="s">
        <v>233</v>
      </c>
      <c r="H2575" s="3" t="s">
        <v>234</v>
      </c>
      <c r="I2575" s="3" t="s">
        <v>24</v>
      </c>
      <c r="J2575" s="3" t="s">
        <v>24</v>
      </c>
      <c r="K2575" s="3" t="s">
        <v>25</v>
      </c>
      <c r="L2575" s="4">
        <v>0</v>
      </c>
      <c r="M2575" s="3" t="s">
        <v>26</v>
      </c>
      <c r="N2575" s="3" t="s">
        <v>24</v>
      </c>
      <c r="O2575" s="4">
        <v>1</v>
      </c>
      <c r="P2575" s="4">
        <v>3</v>
      </c>
      <c r="Q2575" s="4">
        <v>1</v>
      </c>
    </row>
    <row r="2576" spans="1:17" x14ac:dyDescent="0.25">
      <c r="A2576" s="3" t="s">
        <v>18</v>
      </c>
      <c r="B2576" s="3">
        <v>16204992</v>
      </c>
      <c r="C2576" s="3" t="s">
        <v>2623</v>
      </c>
      <c r="D2576" s="3" t="s">
        <v>20</v>
      </c>
      <c r="E2576" s="3" t="s">
        <v>21</v>
      </c>
      <c r="F2576" s="3" t="s">
        <v>21</v>
      </c>
      <c r="G2576" s="3" t="s">
        <v>233</v>
      </c>
      <c r="H2576" s="3" t="s">
        <v>234</v>
      </c>
      <c r="I2576" s="3" t="s">
        <v>24</v>
      </c>
      <c r="J2576" s="3" t="s">
        <v>24</v>
      </c>
      <c r="K2576" s="3" t="s">
        <v>25</v>
      </c>
      <c r="L2576" s="4">
        <v>0</v>
      </c>
      <c r="M2576" s="3" t="s">
        <v>26</v>
      </c>
      <c r="N2576" s="3" t="s">
        <v>24</v>
      </c>
      <c r="O2576" s="4">
        <v>1</v>
      </c>
      <c r="P2576" s="4">
        <v>3</v>
      </c>
      <c r="Q2576" s="4">
        <v>1</v>
      </c>
    </row>
    <row r="2577" spans="1:17" x14ac:dyDescent="0.25">
      <c r="A2577" s="3" t="s">
        <v>18</v>
      </c>
      <c r="B2577" s="3">
        <v>16204994</v>
      </c>
      <c r="C2577" s="3" t="s">
        <v>2624</v>
      </c>
      <c r="D2577" s="3" t="s">
        <v>20</v>
      </c>
      <c r="E2577" s="3" t="s">
        <v>21</v>
      </c>
      <c r="F2577" s="3" t="s">
        <v>21</v>
      </c>
      <c r="G2577" s="3" t="s">
        <v>233</v>
      </c>
      <c r="H2577" s="3" t="s">
        <v>234</v>
      </c>
      <c r="I2577" s="3" t="s">
        <v>24</v>
      </c>
      <c r="J2577" s="3" t="s">
        <v>24</v>
      </c>
      <c r="K2577" s="3" t="s">
        <v>25</v>
      </c>
      <c r="L2577" s="4">
        <v>0</v>
      </c>
      <c r="M2577" s="3" t="s">
        <v>26</v>
      </c>
      <c r="N2577" s="3" t="s">
        <v>24</v>
      </c>
      <c r="O2577" s="4">
        <v>1</v>
      </c>
      <c r="P2577" s="4">
        <v>3</v>
      </c>
      <c r="Q2577" s="4">
        <v>1</v>
      </c>
    </row>
    <row r="2578" spans="1:17" x14ac:dyDescent="0.25">
      <c r="A2578" s="3" t="s">
        <v>18</v>
      </c>
      <c r="B2578" s="3">
        <v>16204995</v>
      </c>
      <c r="C2578" s="3" t="s">
        <v>2625</v>
      </c>
      <c r="D2578" s="3" t="s">
        <v>20</v>
      </c>
      <c r="E2578" s="3" t="s">
        <v>21</v>
      </c>
      <c r="F2578" s="3" t="s">
        <v>21</v>
      </c>
      <c r="G2578" s="3" t="s">
        <v>233</v>
      </c>
      <c r="H2578" s="3" t="s">
        <v>234</v>
      </c>
      <c r="I2578" s="3" t="s">
        <v>24</v>
      </c>
      <c r="J2578" s="3" t="s">
        <v>24</v>
      </c>
      <c r="K2578" s="3" t="s">
        <v>25</v>
      </c>
      <c r="L2578" s="4">
        <v>0</v>
      </c>
      <c r="M2578" s="3" t="s">
        <v>26</v>
      </c>
      <c r="N2578" s="3" t="s">
        <v>24</v>
      </c>
      <c r="O2578" s="4">
        <v>1</v>
      </c>
      <c r="P2578" s="4">
        <v>3</v>
      </c>
      <c r="Q2578" s="4">
        <v>1</v>
      </c>
    </row>
    <row r="2579" spans="1:17" x14ac:dyDescent="0.25">
      <c r="A2579" s="3" t="s">
        <v>18</v>
      </c>
      <c r="B2579" s="3">
        <v>16204997</v>
      </c>
      <c r="C2579" s="3" t="s">
        <v>2626</v>
      </c>
      <c r="D2579" s="3" t="s">
        <v>20</v>
      </c>
      <c r="E2579" s="3" t="s">
        <v>21</v>
      </c>
      <c r="F2579" s="3" t="s">
        <v>21</v>
      </c>
      <c r="G2579" s="3" t="s">
        <v>233</v>
      </c>
      <c r="H2579" s="3" t="s">
        <v>234</v>
      </c>
      <c r="I2579" s="3" t="s">
        <v>24</v>
      </c>
      <c r="J2579" s="3" t="s">
        <v>24</v>
      </c>
      <c r="K2579" s="3" t="s">
        <v>25</v>
      </c>
      <c r="L2579" s="4">
        <v>0</v>
      </c>
      <c r="M2579" s="3" t="s">
        <v>26</v>
      </c>
      <c r="N2579" s="3" t="s">
        <v>24</v>
      </c>
      <c r="O2579" s="4">
        <v>1</v>
      </c>
      <c r="P2579" s="4">
        <v>3</v>
      </c>
      <c r="Q2579" s="4">
        <v>1</v>
      </c>
    </row>
    <row r="2580" spans="1:17" x14ac:dyDescent="0.25">
      <c r="A2580" s="3" t="s">
        <v>18</v>
      </c>
      <c r="B2580" s="3">
        <v>16205099</v>
      </c>
      <c r="C2580" s="3" t="s">
        <v>2627</v>
      </c>
      <c r="D2580" s="3" t="s">
        <v>20</v>
      </c>
      <c r="E2580" s="3" t="s">
        <v>21</v>
      </c>
      <c r="F2580" s="3" t="s">
        <v>21</v>
      </c>
      <c r="G2580" s="3" t="s">
        <v>233</v>
      </c>
      <c r="H2580" s="3" t="s">
        <v>234</v>
      </c>
      <c r="I2580" s="3" t="s">
        <v>24</v>
      </c>
      <c r="J2580" s="3" t="s">
        <v>24</v>
      </c>
      <c r="K2580" s="3" t="s">
        <v>25</v>
      </c>
      <c r="L2580" s="4">
        <v>0</v>
      </c>
      <c r="M2580" s="3" t="s">
        <v>26</v>
      </c>
      <c r="N2580" s="3" t="s">
        <v>24</v>
      </c>
      <c r="O2580" s="4">
        <v>1</v>
      </c>
      <c r="P2580" s="4">
        <v>3</v>
      </c>
      <c r="Q2580" s="4">
        <v>1</v>
      </c>
    </row>
    <row r="2581" spans="1:17" x14ac:dyDescent="0.25">
      <c r="A2581" s="3" t="s">
        <v>18</v>
      </c>
      <c r="B2581" s="3">
        <v>16205972</v>
      </c>
      <c r="C2581" s="3" t="s">
        <v>2628</v>
      </c>
      <c r="D2581" s="3" t="s">
        <v>20</v>
      </c>
      <c r="E2581" s="3" t="s">
        <v>21</v>
      </c>
      <c r="F2581" s="3" t="s">
        <v>21</v>
      </c>
      <c r="G2581" s="3" t="s">
        <v>233</v>
      </c>
      <c r="H2581" s="3" t="s">
        <v>234</v>
      </c>
      <c r="I2581" s="3" t="s">
        <v>24</v>
      </c>
      <c r="J2581" s="3" t="s">
        <v>24</v>
      </c>
      <c r="K2581" s="3" t="s">
        <v>25</v>
      </c>
      <c r="L2581" s="4">
        <v>0</v>
      </c>
      <c r="M2581" s="3" t="s">
        <v>26</v>
      </c>
      <c r="N2581" s="3" t="s">
        <v>24</v>
      </c>
      <c r="O2581" s="4">
        <v>1</v>
      </c>
      <c r="P2581" s="4">
        <v>3</v>
      </c>
      <c r="Q2581" s="4">
        <v>1</v>
      </c>
    </row>
    <row r="2582" spans="1:17" x14ac:dyDescent="0.25">
      <c r="A2582" s="3" t="s">
        <v>18</v>
      </c>
      <c r="B2582" s="3">
        <v>16205973</v>
      </c>
      <c r="C2582" s="3" t="s">
        <v>2629</v>
      </c>
      <c r="D2582" s="3" t="s">
        <v>20</v>
      </c>
      <c r="E2582" s="3" t="s">
        <v>21</v>
      </c>
      <c r="F2582" s="3" t="s">
        <v>21</v>
      </c>
      <c r="G2582" s="3" t="s">
        <v>233</v>
      </c>
      <c r="H2582" s="3" t="s">
        <v>234</v>
      </c>
      <c r="I2582" s="3" t="s">
        <v>24</v>
      </c>
      <c r="J2582" s="3" t="s">
        <v>24</v>
      </c>
      <c r="K2582" s="3" t="s">
        <v>25</v>
      </c>
      <c r="L2582" s="4">
        <v>0</v>
      </c>
      <c r="M2582" s="3" t="s">
        <v>26</v>
      </c>
      <c r="N2582" s="3" t="s">
        <v>24</v>
      </c>
      <c r="O2582" s="4">
        <v>1</v>
      </c>
      <c r="P2582" s="4">
        <v>3</v>
      </c>
      <c r="Q2582" s="4">
        <v>1</v>
      </c>
    </row>
    <row r="2583" spans="1:17" x14ac:dyDescent="0.25">
      <c r="A2583" s="3" t="s">
        <v>18</v>
      </c>
      <c r="B2583" s="3">
        <v>16205974</v>
      </c>
      <c r="C2583" s="3" t="s">
        <v>2630</v>
      </c>
      <c r="D2583" s="3" t="s">
        <v>20</v>
      </c>
      <c r="E2583" s="3" t="s">
        <v>21</v>
      </c>
      <c r="F2583" s="3" t="s">
        <v>21</v>
      </c>
      <c r="G2583" s="3" t="s">
        <v>233</v>
      </c>
      <c r="H2583" s="3" t="s">
        <v>234</v>
      </c>
      <c r="I2583" s="3" t="s">
        <v>24</v>
      </c>
      <c r="J2583" s="3" t="s">
        <v>24</v>
      </c>
      <c r="K2583" s="3" t="s">
        <v>25</v>
      </c>
      <c r="L2583" s="4">
        <v>0</v>
      </c>
      <c r="M2583" s="3" t="s">
        <v>26</v>
      </c>
      <c r="N2583" s="3" t="s">
        <v>24</v>
      </c>
      <c r="O2583" s="4">
        <v>1</v>
      </c>
      <c r="P2583" s="4">
        <v>3</v>
      </c>
      <c r="Q2583" s="4">
        <v>1</v>
      </c>
    </row>
    <row r="2584" spans="1:17" x14ac:dyDescent="0.25">
      <c r="A2584" s="3" t="s">
        <v>18</v>
      </c>
      <c r="B2584" s="3">
        <v>16206512</v>
      </c>
      <c r="C2584" s="3" t="s">
        <v>2631</v>
      </c>
      <c r="D2584" s="3" t="s">
        <v>20</v>
      </c>
      <c r="E2584" s="3" t="s">
        <v>21</v>
      </c>
      <c r="F2584" s="3" t="s">
        <v>21</v>
      </c>
      <c r="G2584" s="3" t="s">
        <v>36</v>
      </c>
      <c r="H2584" s="3" t="s">
        <v>37</v>
      </c>
      <c r="I2584" s="3" t="s">
        <v>24</v>
      </c>
      <c r="J2584" s="3" t="s">
        <v>24</v>
      </c>
      <c r="K2584" s="3" t="s">
        <v>25</v>
      </c>
      <c r="L2584" s="4">
        <v>0</v>
      </c>
      <c r="M2584" s="3" t="s">
        <v>26</v>
      </c>
      <c r="N2584" s="3" t="s">
        <v>24</v>
      </c>
      <c r="O2584" s="4">
        <v>1</v>
      </c>
      <c r="P2584" s="4">
        <v>5</v>
      </c>
      <c r="Q2584" s="4">
        <v>1</v>
      </c>
    </row>
    <row r="2585" spans="1:17" x14ac:dyDescent="0.25">
      <c r="A2585" s="3" t="s">
        <v>18</v>
      </c>
      <c r="B2585" s="3">
        <v>16206513</v>
      </c>
      <c r="C2585" s="3" t="s">
        <v>2632</v>
      </c>
      <c r="D2585" s="3" t="s">
        <v>20</v>
      </c>
      <c r="E2585" s="3" t="s">
        <v>21</v>
      </c>
      <c r="F2585" s="3" t="s">
        <v>21</v>
      </c>
      <c r="G2585" s="3" t="s">
        <v>36</v>
      </c>
      <c r="H2585" s="3" t="s">
        <v>37</v>
      </c>
      <c r="I2585" s="3" t="s">
        <v>24</v>
      </c>
      <c r="J2585" s="3" t="s">
        <v>24</v>
      </c>
      <c r="K2585" s="3" t="s">
        <v>25</v>
      </c>
      <c r="L2585" s="4">
        <v>0</v>
      </c>
      <c r="M2585" s="3" t="s">
        <v>26</v>
      </c>
      <c r="N2585" s="3" t="s">
        <v>24</v>
      </c>
      <c r="O2585" s="4">
        <v>1</v>
      </c>
      <c r="P2585" s="4">
        <v>5</v>
      </c>
      <c r="Q2585" s="4">
        <v>1</v>
      </c>
    </row>
    <row r="2586" spans="1:17" x14ac:dyDescent="0.25">
      <c r="A2586" s="3" t="s">
        <v>18</v>
      </c>
      <c r="B2586" s="3">
        <v>16206515</v>
      </c>
      <c r="C2586" s="3" t="s">
        <v>2633</v>
      </c>
      <c r="D2586" s="3" t="s">
        <v>20</v>
      </c>
      <c r="E2586" s="3" t="s">
        <v>21</v>
      </c>
      <c r="F2586" s="3" t="s">
        <v>21</v>
      </c>
      <c r="G2586" s="3" t="s">
        <v>36</v>
      </c>
      <c r="H2586" s="3" t="s">
        <v>37</v>
      </c>
      <c r="I2586" s="3" t="s">
        <v>24</v>
      </c>
      <c r="J2586" s="3" t="s">
        <v>24</v>
      </c>
      <c r="K2586" s="3" t="s">
        <v>25</v>
      </c>
      <c r="L2586" s="4">
        <v>0</v>
      </c>
      <c r="M2586" s="3" t="s">
        <v>26</v>
      </c>
      <c r="N2586" s="3" t="s">
        <v>24</v>
      </c>
      <c r="O2586" s="4">
        <v>1</v>
      </c>
      <c r="P2586" s="4">
        <v>5</v>
      </c>
      <c r="Q2586" s="4">
        <v>1</v>
      </c>
    </row>
    <row r="2587" spans="1:17" x14ac:dyDescent="0.25">
      <c r="A2587" s="3" t="s">
        <v>18</v>
      </c>
      <c r="B2587" s="3">
        <v>16206528</v>
      </c>
      <c r="C2587" s="3" t="s">
        <v>2634</v>
      </c>
      <c r="D2587" s="3" t="s">
        <v>20</v>
      </c>
      <c r="E2587" s="3" t="s">
        <v>21</v>
      </c>
      <c r="F2587" s="3" t="s">
        <v>21</v>
      </c>
      <c r="G2587" s="3" t="s">
        <v>36</v>
      </c>
      <c r="H2587" s="3" t="s">
        <v>37</v>
      </c>
      <c r="I2587" s="3" t="s">
        <v>24</v>
      </c>
      <c r="J2587" s="3" t="s">
        <v>24</v>
      </c>
      <c r="K2587" s="3" t="s">
        <v>25</v>
      </c>
      <c r="L2587" s="4">
        <v>0</v>
      </c>
      <c r="M2587" s="3" t="s">
        <v>26</v>
      </c>
      <c r="N2587" s="3" t="s">
        <v>24</v>
      </c>
      <c r="O2587" s="4">
        <v>1</v>
      </c>
      <c r="P2587" s="4">
        <v>5</v>
      </c>
      <c r="Q2587" s="4">
        <v>1</v>
      </c>
    </row>
    <row r="2588" spans="1:17" x14ac:dyDescent="0.25">
      <c r="A2588" s="3" t="s">
        <v>18</v>
      </c>
      <c r="B2588" s="3">
        <v>16206530</v>
      </c>
      <c r="C2588" s="3" t="s">
        <v>2635</v>
      </c>
      <c r="D2588" s="3" t="s">
        <v>20</v>
      </c>
      <c r="E2588" s="3" t="s">
        <v>21</v>
      </c>
      <c r="F2588" s="3" t="s">
        <v>21</v>
      </c>
      <c r="G2588" s="3" t="s">
        <v>36</v>
      </c>
      <c r="H2588" s="3" t="s">
        <v>37</v>
      </c>
      <c r="I2588" s="3" t="s">
        <v>24</v>
      </c>
      <c r="J2588" s="3" t="s">
        <v>24</v>
      </c>
      <c r="K2588" s="3" t="s">
        <v>25</v>
      </c>
      <c r="L2588" s="4">
        <v>0</v>
      </c>
      <c r="M2588" s="3" t="s">
        <v>26</v>
      </c>
      <c r="N2588" s="3" t="s">
        <v>24</v>
      </c>
      <c r="O2588" s="4">
        <v>1</v>
      </c>
      <c r="P2588" s="4">
        <v>5</v>
      </c>
      <c r="Q2588" s="4">
        <v>1</v>
      </c>
    </row>
    <row r="2589" spans="1:17" x14ac:dyDescent="0.25">
      <c r="A2589" s="3" t="s">
        <v>18</v>
      </c>
      <c r="B2589" s="3">
        <v>16206531</v>
      </c>
      <c r="C2589" s="3" t="s">
        <v>2636</v>
      </c>
      <c r="D2589" s="3" t="s">
        <v>20</v>
      </c>
      <c r="E2589" s="3" t="s">
        <v>21</v>
      </c>
      <c r="F2589" s="3" t="s">
        <v>21</v>
      </c>
      <c r="G2589" s="3" t="s">
        <v>36</v>
      </c>
      <c r="H2589" s="3" t="s">
        <v>37</v>
      </c>
      <c r="I2589" s="3" t="s">
        <v>24</v>
      </c>
      <c r="J2589" s="3" t="s">
        <v>24</v>
      </c>
      <c r="K2589" s="3" t="s">
        <v>25</v>
      </c>
      <c r="L2589" s="4">
        <v>0</v>
      </c>
      <c r="M2589" s="3" t="s">
        <v>26</v>
      </c>
      <c r="N2589" s="3" t="s">
        <v>24</v>
      </c>
      <c r="O2589" s="4">
        <v>1</v>
      </c>
      <c r="P2589" s="4">
        <v>5</v>
      </c>
      <c r="Q2589" s="4">
        <v>1</v>
      </c>
    </row>
    <row r="2590" spans="1:17" x14ac:dyDescent="0.25">
      <c r="A2590" s="3" t="s">
        <v>18</v>
      </c>
      <c r="B2590" s="3">
        <v>16206532</v>
      </c>
      <c r="C2590" s="3" t="s">
        <v>2637</v>
      </c>
      <c r="D2590" s="3" t="s">
        <v>20</v>
      </c>
      <c r="E2590" s="3" t="s">
        <v>21</v>
      </c>
      <c r="F2590" s="3" t="s">
        <v>21</v>
      </c>
      <c r="G2590" s="3" t="s">
        <v>233</v>
      </c>
      <c r="H2590" s="3" t="s">
        <v>234</v>
      </c>
      <c r="I2590" s="3" t="s">
        <v>24</v>
      </c>
      <c r="J2590" s="3" t="s">
        <v>24</v>
      </c>
      <c r="K2590" s="3" t="s">
        <v>25</v>
      </c>
      <c r="L2590" s="4">
        <v>0</v>
      </c>
      <c r="M2590" s="3" t="s">
        <v>26</v>
      </c>
      <c r="N2590" s="3" t="s">
        <v>24</v>
      </c>
      <c r="O2590" s="4">
        <v>1</v>
      </c>
      <c r="P2590" s="4">
        <v>3</v>
      </c>
      <c r="Q2590" s="4">
        <v>1</v>
      </c>
    </row>
    <row r="2591" spans="1:17" x14ac:dyDescent="0.25">
      <c r="A2591" s="3" t="s">
        <v>18</v>
      </c>
      <c r="B2591" s="3">
        <v>16206533</v>
      </c>
      <c r="C2591" s="3" t="s">
        <v>2638</v>
      </c>
      <c r="D2591" s="3" t="s">
        <v>20</v>
      </c>
      <c r="E2591" s="3" t="s">
        <v>21</v>
      </c>
      <c r="F2591" s="3" t="s">
        <v>21</v>
      </c>
      <c r="G2591" s="3" t="s">
        <v>233</v>
      </c>
      <c r="H2591" s="3" t="s">
        <v>234</v>
      </c>
      <c r="I2591" s="3" t="s">
        <v>24</v>
      </c>
      <c r="J2591" s="3" t="s">
        <v>24</v>
      </c>
      <c r="K2591" s="3" t="s">
        <v>25</v>
      </c>
      <c r="L2591" s="4">
        <v>0</v>
      </c>
      <c r="M2591" s="3" t="s">
        <v>26</v>
      </c>
      <c r="N2591" s="3" t="s">
        <v>24</v>
      </c>
      <c r="O2591" s="4">
        <v>1</v>
      </c>
      <c r="P2591" s="4">
        <v>3</v>
      </c>
      <c r="Q2591" s="4">
        <v>1</v>
      </c>
    </row>
    <row r="2592" spans="1:17" x14ac:dyDescent="0.25">
      <c r="A2592" s="3" t="s">
        <v>18</v>
      </c>
      <c r="B2592" s="3">
        <v>16206536</v>
      </c>
      <c r="C2592" s="3" t="s">
        <v>2639</v>
      </c>
      <c r="D2592" s="3" t="s">
        <v>20</v>
      </c>
      <c r="E2592" s="3" t="s">
        <v>21</v>
      </c>
      <c r="F2592" s="3" t="s">
        <v>21</v>
      </c>
      <c r="G2592" s="3" t="s">
        <v>233</v>
      </c>
      <c r="H2592" s="3" t="s">
        <v>234</v>
      </c>
      <c r="I2592" s="3" t="s">
        <v>24</v>
      </c>
      <c r="J2592" s="3" t="s">
        <v>24</v>
      </c>
      <c r="K2592" s="3" t="s">
        <v>25</v>
      </c>
      <c r="L2592" s="4">
        <v>0</v>
      </c>
      <c r="M2592" s="3" t="s">
        <v>26</v>
      </c>
      <c r="N2592" s="3" t="s">
        <v>24</v>
      </c>
      <c r="O2592" s="4">
        <v>1</v>
      </c>
      <c r="P2592" s="4">
        <v>3</v>
      </c>
      <c r="Q2592" s="4">
        <v>1</v>
      </c>
    </row>
    <row r="2593" spans="1:17" x14ac:dyDescent="0.25">
      <c r="A2593" s="3" t="s">
        <v>18</v>
      </c>
      <c r="B2593" s="3">
        <v>16206639</v>
      </c>
      <c r="C2593" s="3" t="s">
        <v>2640</v>
      </c>
      <c r="D2593" s="3" t="s">
        <v>20</v>
      </c>
      <c r="E2593" s="3" t="s">
        <v>21</v>
      </c>
      <c r="F2593" s="3" t="s">
        <v>21</v>
      </c>
      <c r="G2593" s="3" t="s">
        <v>233</v>
      </c>
      <c r="H2593" s="3" t="s">
        <v>234</v>
      </c>
      <c r="I2593" s="3" t="s">
        <v>24</v>
      </c>
      <c r="J2593" s="3" t="s">
        <v>24</v>
      </c>
      <c r="K2593" s="3" t="s">
        <v>25</v>
      </c>
      <c r="L2593" s="4">
        <v>0</v>
      </c>
      <c r="M2593" s="3" t="s">
        <v>26</v>
      </c>
      <c r="N2593" s="3" t="s">
        <v>24</v>
      </c>
      <c r="O2593" s="4">
        <v>1</v>
      </c>
      <c r="P2593" s="4">
        <v>3</v>
      </c>
      <c r="Q2593" s="4">
        <v>1</v>
      </c>
    </row>
    <row r="2594" spans="1:17" x14ac:dyDescent="0.25">
      <c r="A2594" s="3" t="s">
        <v>18</v>
      </c>
      <c r="B2594" s="3">
        <v>16206640</v>
      </c>
      <c r="C2594" s="3" t="s">
        <v>2641</v>
      </c>
      <c r="D2594" s="3" t="s">
        <v>20</v>
      </c>
      <c r="E2594" s="3" t="s">
        <v>21</v>
      </c>
      <c r="F2594" s="3" t="s">
        <v>21</v>
      </c>
      <c r="G2594" s="3" t="s">
        <v>233</v>
      </c>
      <c r="H2594" s="3" t="s">
        <v>234</v>
      </c>
      <c r="I2594" s="3" t="s">
        <v>24</v>
      </c>
      <c r="J2594" s="3" t="s">
        <v>24</v>
      </c>
      <c r="K2594" s="3" t="s">
        <v>25</v>
      </c>
      <c r="L2594" s="4">
        <v>0</v>
      </c>
      <c r="M2594" s="3" t="s">
        <v>26</v>
      </c>
      <c r="N2594" s="3" t="s">
        <v>24</v>
      </c>
      <c r="O2594" s="4">
        <v>1</v>
      </c>
      <c r="P2594" s="4">
        <v>3</v>
      </c>
      <c r="Q2594" s="4">
        <v>1</v>
      </c>
    </row>
    <row r="2595" spans="1:17" x14ac:dyDescent="0.25">
      <c r="A2595" s="3" t="s">
        <v>18</v>
      </c>
      <c r="B2595" s="3">
        <v>16206641</v>
      </c>
      <c r="C2595" s="3" t="s">
        <v>2642</v>
      </c>
      <c r="D2595" s="3" t="s">
        <v>20</v>
      </c>
      <c r="E2595" s="3" t="s">
        <v>21</v>
      </c>
      <c r="F2595" s="3" t="s">
        <v>21</v>
      </c>
      <c r="G2595" s="3" t="s">
        <v>233</v>
      </c>
      <c r="H2595" s="3" t="s">
        <v>234</v>
      </c>
      <c r="I2595" s="3" t="s">
        <v>24</v>
      </c>
      <c r="J2595" s="3" t="s">
        <v>24</v>
      </c>
      <c r="K2595" s="3" t="s">
        <v>25</v>
      </c>
      <c r="L2595" s="4">
        <v>0</v>
      </c>
      <c r="M2595" s="3" t="s">
        <v>26</v>
      </c>
      <c r="N2595" s="3" t="s">
        <v>24</v>
      </c>
      <c r="O2595" s="4">
        <v>1</v>
      </c>
      <c r="P2595" s="4">
        <v>3</v>
      </c>
      <c r="Q2595" s="4">
        <v>1</v>
      </c>
    </row>
    <row r="2596" spans="1:17" x14ac:dyDescent="0.25">
      <c r="A2596" s="3" t="s">
        <v>18</v>
      </c>
      <c r="B2596" s="3">
        <v>16206642</v>
      </c>
      <c r="C2596" s="3" t="s">
        <v>2643</v>
      </c>
      <c r="D2596" s="3" t="s">
        <v>20</v>
      </c>
      <c r="E2596" s="3" t="s">
        <v>21</v>
      </c>
      <c r="F2596" s="3" t="s">
        <v>21</v>
      </c>
      <c r="G2596" s="3" t="s">
        <v>233</v>
      </c>
      <c r="H2596" s="3" t="s">
        <v>234</v>
      </c>
      <c r="I2596" s="3" t="s">
        <v>24</v>
      </c>
      <c r="J2596" s="3" t="s">
        <v>24</v>
      </c>
      <c r="K2596" s="3" t="s">
        <v>25</v>
      </c>
      <c r="L2596" s="4">
        <v>0</v>
      </c>
      <c r="M2596" s="3" t="s">
        <v>26</v>
      </c>
      <c r="N2596" s="3" t="s">
        <v>24</v>
      </c>
      <c r="O2596" s="4">
        <v>1</v>
      </c>
      <c r="P2596" s="4">
        <v>3</v>
      </c>
      <c r="Q2596" s="4">
        <v>1</v>
      </c>
    </row>
    <row r="2597" spans="1:17" x14ac:dyDescent="0.25">
      <c r="A2597" s="3" t="s">
        <v>18</v>
      </c>
      <c r="B2597" s="3">
        <v>16206644</v>
      </c>
      <c r="C2597" s="3" t="s">
        <v>2644</v>
      </c>
      <c r="D2597" s="3" t="s">
        <v>20</v>
      </c>
      <c r="E2597" s="3" t="s">
        <v>21</v>
      </c>
      <c r="F2597" s="3" t="s">
        <v>21</v>
      </c>
      <c r="G2597" s="3" t="s">
        <v>233</v>
      </c>
      <c r="H2597" s="3" t="s">
        <v>234</v>
      </c>
      <c r="I2597" s="3" t="s">
        <v>24</v>
      </c>
      <c r="J2597" s="3" t="s">
        <v>24</v>
      </c>
      <c r="K2597" s="3" t="s">
        <v>25</v>
      </c>
      <c r="L2597" s="4">
        <v>0</v>
      </c>
      <c r="M2597" s="3" t="s">
        <v>26</v>
      </c>
      <c r="N2597" s="3" t="s">
        <v>24</v>
      </c>
      <c r="O2597" s="4">
        <v>1</v>
      </c>
      <c r="P2597" s="4">
        <v>3</v>
      </c>
      <c r="Q2597" s="4">
        <v>1</v>
      </c>
    </row>
    <row r="2598" spans="1:17" x14ac:dyDescent="0.25">
      <c r="A2598" s="3" t="s">
        <v>18</v>
      </c>
      <c r="B2598" s="3">
        <v>16206645</v>
      </c>
      <c r="C2598" s="3" t="s">
        <v>2645</v>
      </c>
      <c r="D2598" s="3" t="s">
        <v>20</v>
      </c>
      <c r="E2598" s="3" t="s">
        <v>21</v>
      </c>
      <c r="F2598" s="3" t="s">
        <v>21</v>
      </c>
      <c r="G2598" s="3" t="s">
        <v>233</v>
      </c>
      <c r="H2598" s="3" t="s">
        <v>234</v>
      </c>
      <c r="I2598" s="3" t="s">
        <v>24</v>
      </c>
      <c r="J2598" s="3" t="s">
        <v>24</v>
      </c>
      <c r="K2598" s="3" t="s">
        <v>25</v>
      </c>
      <c r="L2598" s="4">
        <v>0</v>
      </c>
      <c r="M2598" s="3" t="s">
        <v>26</v>
      </c>
      <c r="N2598" s="3" t="s">
        <v>24</v>
      </c>
      <c r="O2598" s="4">
        <v>1</v>
      </c>
      <c r="P2598" s="4">
        <v>3</v>
      </c>
      <c r="Q2598" s="4">
        <v>1</v>
      </c>
    </row>
    <row r="2599" spans="1:17" x14ac:dyDescent="0.25">
      <c r="A2599" s="3" t="s">
        <v>18</v>
      </c>
      <c r="B2599" s="3">
        <v>16206646</v>
      </c>
      <c r="C2599" s="3" t="s">
        <v>2646</v>
      </c>
      <c r="D2599" s="3" t="s">
        <v>20</v>
      </c>
      <c r="E2599" s="3" t="s">
        <v>21</v>
      </c>
      <c r="F2599" s="3" t="s">
        <v>21</v>
      </c>
      <c r="G2599" s="3" t="s">
        <v>233</v>
      </c>
      <c r="H2599" s="3" t="s">
        <v>234</v>
      </c>
      <c r="I2599" s="3" t="s">
        <v>24</v>
      </c>
      <c r="J2599" s="3" t="s">
        <v>24</v>
      </c>
      <c r="K2599" s="3" t="s">
        <v>25</v>
      </c>
      <c r="L2599" s="4">
        <v>0</v>
      </c>
      <c r="M2599" s="3" t="s">
        <v>26</v>
      </c>
      <c r="N2599" s="3" t="s">
        <v>24</v>
      </c>
      <c r="O2599" s="4">
        <v>1</v>
      </c>
      <c r="P2599" s="4">
        <v>3</v>
      </c>
      <c r="Q2599" s="4">
        <v>1</v>
      </c>
    </row>
    <row r="2600" spans="1:17" x14ac:dyDescent="0.25">
      <c r="A2600" s="3" t="s">
        <v>18</v>
      </c>
      <c r="B2600" s="3">
        <v>16206660</v>
      </c>
      <c r="C2600" s="3" t="s">
        <v>2647</v>
      </c>
      <c r="D2600" s="3" t="s">
        <v>20</v>
      </c>
      <c r="E2600" s="3" t="s">
        <v>21</v>
      </c>
      <c r="F2600" s="3" t="s">
        <v>21</v>
      </c>
      <c r="G2600" s="3" t="s">
        <v>233</v>
      </c>
      <c r="H2600" s="3" t="s">
        <v>234</v>
      </c>
      <c r="I2600" s="3" t="s">
        <v>24</v>
      </c>
      <c r="J2600" s="3" t="s">
        <v>24</v>
      </c>
      <c r="K2600" s="3" t="s">
        <v>25</v>
      </c>
      <c r="L2600" s="4">
        <v>0</v>
      </c>
      <c r="M2600" s="3" t="s">
        <v>26</v>
      </c>
      <c r="N2600" s="3" t="s">
        <v>24</v>
      </c>
      <c r="O2600" s="4">
        <v>1</v>
      </c>
      <c r="P2600" s="4">
        <v>3</v>
      </c>
      <c r="Q2600" s="4">
        <v>1</v>
      </c>
    </row>
    <row r="2601" spans="1:17" x14ac:dyDescent="0.25">
      <c r="A2601" s="3" t="s">
        <v>18</v>
      </c>
      <c r="B2601" s="3">
        <v>16206661</v>
      </c>
      <c r="C2601" s="3" t="s">
        <v>2648</v>
      </c>
      <c r="D2601" s="3" t="s">
        <v>20</v>
      </c>
      <c r="E2601" s="3" t="s">
        <v>21</v>
      </c>
      <c r="F2601" s="3" t="s">
        <v>21</v>
      </c>
      <c r="G2601" s="3" t="s">
        <v>233</v>
      </c>
      <c r="H2601" s="3" t="s">
        <v>234</v>
      </c>
      <c r="I2601" s="3" t="s">
        <v>24</v>
      </c>
      <c r="J2601" s="3" t="s">
        <v>24</v>
      </c>
      <c r="K2601" s="3" t="s">
        <v>25</v>
      </c>
      <c r="L2601" s="4">
        <v>0</v>
      </c>
      <c r="M2601" s="3" t="s">
        <v>26</v>
      </c>
      <c r="N2601" s="3" t="s">
        <v>24</v>
      </c>
      <c r="O2601" s="4">
        <v>1</v>
      </c>
      <c r="P2601" s="4">
        <v>3</v>
      </c>
      <c r="Q2601" s="4">
        <v>1</v>
      </c>
    </row>
    <row r="2602" spans="1:17" x14ac:dyDescent="0.25">
      <c r="A2602" s="3" t="s">
        <v>18</v>
      </c>
      <c r="B2602" s="3">
        <v>16209705</v>
      </c>
      <c r="C2602" s="3" t="s">
        <v>2649</v>
      </c>
      <c r="D2602" s="3" t="s">
        <v>20</v>
      </c>
      <c r="E2602" s="3" t="s">
        <v>21</v>
      </c>
      <c r="F2602" s="3" t="s">
        <v>21</v>
      </c>
      <c r="G2602" s="3" t="s">
        <v>42</v>
      </c>
      <c r="H2602" s="3" t="s">
        <v>43</v>
      </c>
      <c r="I2602" s="3" t="s">
        <v>24</v>
      </c>
      <c r="J2602" s="3" t="s">
        <v>24</v>
      </c>
      <c r="K2602" s="3" t="s">
        <v>25</v>
      </c>
      <c r="L2602" s="4">
        <v>0</v>
      </c>
      <c r="M2602" s="3" t="s">
        <v>26</v>
      </c>
      <c r="N2602" s="3" t="s">
        <v>24</v>
      </c>
      <c r="O2602" s="4">
        <v>1</v>
      </c>
      <c r="P2602" s="4">
        <v>8</v>
      </c>
      <c r="Q2602" s="4">
        <v>1</v>
      </c>
    </row>
    <row r="2603" spans="1:17" x14ac:dyDescent="0.25">
      <c r="A2603" s="3" t="s">
        <v>18</v>
      </c>
      <c r="B2603" s="3">
        <v>16232286</v>
      </c>
      <c r="C2603" s="3" t="s">
        <v>2650</v>
      </c>
      <c r="D2603" s="3" t="s">
        <v>20</v>
      </c>
      <c r="E2603" s="3" t="s">
        <v>21</v>
      </c>
      <c r="F2603" s="3" t="s">
        <v>21</v>
      </c>
      <c r="G2603" s="3" t="s">
        <v>36</v>
      </c>
      <c r="H2603" s="3" t="s">
        <v>37</v>
      </c>
      <c r="I2603" s="3" t="s">
        <v>24</v>
      </c>
      <c r="J2603" s="3" t="s">
        <v>24</v>
      </c>
      <c r="K2603" s="3" t="s">
        <v>25</v>
      </c>
      <c r="L2603" s="4">
        <v>0</v>
      </c>
      <c r="M2603" s="3" t="s">
        <v>26</v>
      </c>
      <c r="N2603" s="3" t="s">
        <v>24</v>
      </c>
      <c r="O2603" s="4">
        <v>1</v>
      </c>
      <c r="P2603" s="4">
        <v>10</v>
      </c>
      <c r="Q2603" s="4">
        <v>1</v>
      </c>
    </row>
    <row r="2604" spans="1:17" x14ac:dyDescent="0.25">
      <c r="A2604" s="3" t="s">
        <v>18</v>
      </c>
      <c r="B2604" s="3">
        <v>16236839</v>
      </c>
      <c r="C2604" s="3" t="s">
        <v>2651</v>
      </c>
      <c r="D2604" s="3" t="s">
        <v>1360</v>
      </c>
      <c r="E2604" s="3" t="s">
        <v>21</v>
      </c>
      <c r="F2604" s="3" t="s">
        <v>21</v>
      </c>
      <c r="G2604" s="3" t="s">
        <v>233</v>
      </c>
      <c r="H2604" s="3" t="s">
        <v>234</v>
      </c>
      <c r="I2604" s="3" t="s">
        <v>24</v>
      </c>
      <c r="J2604" s="3" t="s">
        <v>24</v>
      </c>
      <c r="K2604" s="3" t="s">
        <v>25</v>
      </c>
      <c r="L2604" s="4">
        <v>0</v>
      </c>
      <c r="M2604" s="3" t="s">
        <v>26</v>
      </c>
      <c r="N2604" s="3" t="s">
        <v>24</v>
      </c>
      <c r="O2604" s="4">
        <v>1</v>
      </c>
      <c r="P2604" s="4">
        <v>3</v>
      </c>
      <c r="Q2604" s="4">
        <v>1</v>
      </c>
    </row>
    <row r="2605" spans="1:17" x14ac:dyDescent="0.25">
      <c r="A2605" s="3" t="s">
        <v>18</v>
      </c>
      <c r="B2605" s="3">
        <v>16236893</v>
      </c>
      <c r="C2605" s="3" t="s">
        <v>2652</v>
      </c>
      <c r="D2605" s="3" t="s">
        <v>20</v>
      </c>
      <c r="E2605" s="3" t="s">
        <v>21</v>
      </c>
      <c r="F2605" s="3" t="s">
        <v>21</v>
      </c>
      <c r="G2605" s="3" t="s">
        <v>410</v>
      </c>
      <c r="H2605" s="3" t="s">
        <v>411</v>
      </c>
      <c r="I2605" s="3" t="s">
        <v>24</v>
      </c>
      <c r="J2605" s="3" t="s">
        <v>24</v>
      </c>
      <c r="K2605" s="3" t="s">
        <v>25</v>
      </c>
      <c r="L2605" s="4">
        <v>0</v>
      </c>
      <c r="M2605" s="3" t="s">
        <v>26</v>
      </c>
      <c r="N2605" s="3" t="s">
        <v>24</v>
      </c>
      <c r="O2605" s="4">
        <v>0</v>
      </c>
      <c r="P2605" s="4">
        <v>1</v>
      </c>
      <c r="Q2605" s="4">
        <v>0</v>
      </c>
    </row>
    <row r="2606" spans="1:17" x14ac:dyDescent="0.25">
      <c r="A2606" s="3" t="s">
        <v>18</v>
      </c>
      <c r="B2606" s="3">
        <v>16236894</v>
      </c>
      <c r="C2606" s="3" t="s">
        <v>2653</v>
      </c>
      <c r="D2606" s="3" t="s">
        <v>20</v>
      </c>
      <c r="E2606" s="3" t="s">
        <v>21</v>
      </c>
      <c r="F2606" s="3" t="s">
        <v>21</v>
      </c>
      <c r="G2606" s="3" t="s">
        <v>410</v>
      </c>
      <c r="H2606" s="3" t="s">
        <v>411</v>
      </c>
      <c r="I2606" s="3" t="s">
        <v>24</v>
      </c>
      <c r="J2606" s="3" t="s">
        <v>24</v>
      </c>
      <c r="K2606" s="3" t="s">
        <v>25</v>
      </c>
      <c r="L2606" s="4">
        <v>0</v>
      </c>
      <c r="M2606" s="3" t="s">
        <v>26</v>
      </c>
      <c r="N2606" s="3" t="s">
        <v>24</v>
      </c>
      <c r="O2606" s="4">
        <v>1</v>
      </c>
      <c r="P2606" s="4">
        <v>2</v>
      </c>
      <c r="Q2606" s="4">
        <v>1</v>
      </c>
    </row>
    <row r="2607" spans="1:17" x14ac:dyDescent="0.25">
      <c r="A2607" s="3" t="s">
        <v>18</v>
      </c>
      <c r="B2607" s="3">
        <v>16236895</v>
      </c>
      <c r="C2607" s="3" t="s">
        <v>2654</v>
      </c>
      <c r="D2607" s="3" t="s">
        <v>20</v>
      </c>
      <c r="E2607" s="3" t="s">
        <v>21</v>
      </c>
      <c r="F2607" s="3" t="s">
        <v>21</v>
      </c>
      <c r="G2607" s="3" t="s">
        <v>410</v>
      </c>
      <c r="H2607" s="3" t="s">
        <v>411</v>
      </c>
      <c r="I2607" s="3" t="s">
        <v>24</v>
      </c>
      <c r="J2607" s="3" t="s">
        <v>24</v>
      </c>
      <c r="K2607" s="3" t="s">
        <v>25</v>
      </c>
      <c r="L2607" s="4">
        <v>0</v>
      </c>
      <c r="M2607" s="3" t="s">
        <v>26</v>
      </c>
      <c r="N2607" s="3" t="s">
        <v>24</v>
      </c>
      <c r="O2607" s="4">
        <v>1</v>
      </c>
      <c r="P2607" s="4">
        <v>2</v>
      </c>
      <c r="Q2607" s="4">
        <v>1</v>
      </c>
    </row>
    <row r="2608" spans="1:17" x14ac:dyDescent="0.25">
      <c r="A2608" s="3" t="s">
        <v>18</v>
      </c>
      <c r="B2608" s="3">
        <v>16236896</v>
      </c>
      <c r="C2608" s="3" t="s">
        <v>2655</v>
      </c>
      <c r="D2608" s="3" t="s">
        <v>20</v>
      </c>
      <c r="E2608" s="3" t="s">
        <v>21</v>
      </c>
      <c r="F2608" s="3" t="s">
        <v>21</v>
      </c>
      <c r="G2608" s="3" t="s">
        <v>410</v>
      </c>
      <c r="H2608" s="3" t="s">
        <v>411</v>
      </c>
      <c r="I2608" s="3" t="s">
        <v>24</v>
      </c>
      <c r="J2608" s="3" t="s">
        <v>24</v>
      </c>
      <c r="K2608" s="3" t="s">
        <v>25</v>
      </c>
      <c r="L2608" s="4">
        <v>0</v>
      </c>
      <c r="M2608" s="3" t="s">
        <v>26</v>
      </c>
      <c r="N2608" s="3" t="s">
        <v>24</v>
      </c>
      <c r="O2608" s="4">
        <v>0</v>
      </c>
      <c r="P2608" s="4">
        <v>3</v>
      </c>
      <c r="Q2608" s="4">
        <v>0</v>
      </c>
    </row>
    <row r="2609" spans="1:17" x14ac:dyDescent="0.25">
      <c r="A2609" s="3" t="s">
        <v>18</v>
      </c>
      <c r="B2609" s="3">
        <v>16236897</v>
      </c>
      <c r="C2609" s="3" t="s">
        <v>2656</v>
      </c>
      <c r="D2609" s="3" t="s">
        <v>20</v>
      </c>
      <c r="E2609" s="3" t="s">
        <v>21</v>
      </c>
      <c r="F2609" s="3" t="s">
        <v>21</v>
      </c>
      <c r="G2609" s="3" t="s">
        <v>410</v>
      </c>
      <c r="H2609" s="3" t="s">
        <v>411</v>
      </c>
      <c r="I2609" s="3" t="s">
        <v>24</v>
      </c>
      <c r="J2609" s="3" t="s">
        <v>24</v>
      </c>
      <c r="K2609" s="3" t="s">
        <v>25</v>
      </c>
      <c r="L2609" s="4">
        <v>0</v>
      </c>
      <c r="M2609" s="3" t="s">
        <v>26</v>
      </c>
      <c r="N2609" s="3" t="s">
        <v>24</v>
      </c>
      <c r="O2609" s="4">
        <v>0</v>
      </c>
      <c r="P2609" s="4">
        <v>3</v>
      </c>
      <c r="Q2609" s="4">
        <v>0</v>
      </c>
    </row>
    <row r="2610" spans="1:17" x14ac:dyDescent="0.25">
      <c r="A2610" s="3" t="s">
        <v>18</v>
      </c>
      <c r="B2610" s="3">
        <v>16237008</v>
      </c>
      <c r="C2610" s="3" t="s">
        <v>2657</v>
      </c>
      <c r="D2610" s="3" t="s">
        <v>20</v>
      </c>
      <c r="E2610" s="3" t="s">
        <v>21</v>
      </c>
      <c r="F2610" s="3" t="s">
        <v>21</v>
      </c>
      <c r="G2610" s="3" t="s">
        <v>410</v>
      </c>
      <c r="H2610" s="3" t="s">
        <v>411</v>
      </c>
      <c r="I2610" s="3" t="s">
        <v>24</v>
      </c>
      <c r="J2610" s="3" t="s">
        <v>24</v>
      </c>
      <c r="K2610" s="3" t="s">
        <v>25</v>
      </c>
      <c r="L2610" s="4">
        <v>0</v>
      </c>
      <c r="M2610" s="3" t="s">
        <v>26</v>
      </c>
      <c r="N2610" s="3" t="s">
        <v>24</v>
      </c>
      <c r="O2610" s="4">
        <v>0</v>
      </c>
      <c r="P2610" s="4">
        <v>4</v>
      </c>
      <c r="Q2610" s="4">
        <v>0</v>
      </c>
    </row>
    <row r="2611" spans="1:17" x14ac:dyDescent="0.25">
      <c r="A2611" s="3" t="s">
        <v>18</v>
      </c>
      <c r="B2611" s="3">
        <v>16237009</v>
      </c>
      <c r="C2611" s="3" t="s">
        <v>2658</v>
      </c>
      <c r="D2611" s="3" t="s">
        <v>20</v>
      </c>
      <c r="E2611" s="3" t="s">
        <v>21</v>
      </c>
      <c r="F2611" s="3" t="s">
        <v>21</v>
      </c>
      <c r="G2611" s="3" t="s">
        <v>410</v>
      </c>
      <c r="H2611" s="3" t="s">
        <v>411</v>
      </c>
      <c r="I2611" s="3" t="s">
        <v>24</v>
      </c>
      <c r="J2611" s="3" t="s">
        <v>24</v>
      </c>
      <c r="K2611" s="3" t="s">
        <v>25</v>
      </c>
      <c r="L2611" s="4">
        <v>0</v>
      </c>
      <c r="M2611" s="3" t="s">
        <v>26</v>
      </c>
      <c r="N2611" s="3" t="s">
        <v>24</v>
      </c>
      <c r="O2611" s="4">
        <v>1</v>
      </c>
      <c r="P2611" s="4">
        <v>4</v>
      </c>
      <c r="Q2611" s="4">
        <v>1</v>
      </c>
    </row>
    <row r="2612" spans="1:17" x14ac:dyDescent="0.25">
      <c r="A2612" s="3" t="s">
        <v>18</v>
      </c>
      <c r="B2612" s="3">
        <v>16237010</v>
      </c>
      <c r="C2612" s="3" t="s">
        <v>2659</v>
      </c>
      <c r="D2612" s="3" t="s">
        <v>20</v>
      </c>
      <c r="E2612" s="3" t="s">
        <v>21</v>
      </c>
      <c r="F2612" s="3" t="s">
        <v>21</v>
      </c>
      <c r="G2612" s="3" t="s">
        <v>410</v>
      </c>
      <c r="H2612" s="3" t="s">
        <v>411</v>
      </c>
      <c r="I2612" s="3" t="s">
        <v>24</v>
      </c>
      <c r="J2612" s="3" t="s">
        <v>24</v>
      </c>
      <c r="K2612" s="3" t="s">
        <v>25</v>
      </c>
      <c r="L2612" s="4">
        <v>0</v>
      </c>
      <c r="M2612" s="3" t="s">
        <v>26</v>
      </c>
      <c r="N2612" s="3" t="s">
        <v>24</v>
      </c>
      <c r="O2612" s="4">
        <v>1</v>
      </c>
      <c r="P2612" s="4">
        <v>4</v>
      </c>
      <c r="Q2612" s="4">
        <v>1</v>
      </c>
    </row>
    <row r="2613" spans="1:17" x14ac:dyDescent="0.25">
      <c r="A2613" s="3" t="s">
        <v>18</v>
      </c>
      <c r="B2613" s="3">
        <v>16237013</v>
      </c>
      <c r="C2613" s="3" t="s">
        <v>2660</v>
      </c>
      <c r="D2613" s="3" t="s">
        <v>20</v>
      </c>
      <c r="E2613" s="3" t="s">
        <v>21</v>
      </c>
      <c r="F2613" s="3" t="s">
        <v>21</v>
      </c>
      <c r="G2613" s="3" t="s">
        <v>410</v>
      </c>
      <c r="H2613" s="3" t="s">
        <v>411</v>
      </c>
      <c r="I2613" s="3" t="s">
        <v>24</v>
      </c>
      <c r="J2613" s="3" t="s">
        <v>24</v>
      </c>
      <c r="K2613" s="3" t="s">
        <v>25</v>
      </c>
      <c r="L2613" s="4">
        <v>0</v>
      </c>
      <c r="M2613" s="3" t="s">
        <v>26</v>
      </c>
      <c r="N2613" s="3" t="s">
        <v>24</v>
      </c>
      <c r="O2613" s="4">
        <v>0</v>
      </c>
      <c r="P2613" s="4">
        <v>2</v>
      </c>
      <c r="Q2613" s="4">
        <v>0</v>
      </c>
    </row>
    <row r="2614" spans="1:17" x14ac:dyDescent="0.25">
      <c r="A2614" s="3" t="s">
        <v>18</v>
      </c>
      <c r="B2614" s="3">
        <v>16237014</v>
      </c>
      <c r="C2614" s="3" t="s">
        <v>2661</v>
      </c>
      <c r="D2614" s="3" t="s">
        <v>20</v>
      </c>
      <c r="E2614" s="3" t="s">
        <v>21</v>
      </c>
      <c r="F2614" s="3" t="s">
        <v>21</v>
      </c>
      <c r="G2614" s="3" t="s">
        <v>410</v>
      </c>
      <c r="H2614" s="3" t="s">
        <v>411</v>
      </c>
      <c r="I2614" s="3" t="s">
        <v>24</v>
      </c>
      <c r="J2614" s="3" t="s">
        <v>24</v>
      </c>
      <c r="K2614" s="3" t="s">
        <v>25</v>
      </c>
      <c r="L2614" s="4">
        <v>0</v>
      </c>
      <c r="M2614" s="3" t="s">
        <v>26</v>
      </c>
      <c r="N2614" s="3" t="s">
        <v>24</v>
      </c>
      <c r="O2614" s="4">
        <v>0</v>
      </c>
      <c r="P2614" s="4">
        <v>3</v>
      </c>
      <c r="Q2614" s="4">
        <v>0</v>
      </c>
    </row>
    <row r="2615" spans="1:17" x14ac:dyDescent="0.25">
      <c r="A2615" s="3" t="s">
        <v>18</v>
      </c>
      <c r="B2615" s="3">
        <v>16237015</v>
      </c>
      <c r="C2615" s="3" t="s">
        <v>2662</v>
      </c>
      <c r="D2615" s="3" t="s">
        <v>20</v>
      </c>
      <c r="E2615" s="3" t="s">
        <v>21</v>
      </c>
      <c r="F2615" s="3" t="s">
        <v>21</v>
      </c>
      <c r="G2615" s="3" t="s">
        <v>410</v>
      </c>
      <c r="H2615" s="3" t="s">
        <v>411</v>
      </c>
      <c r="I2615" s="3" t="s">
        <v>24</v>
      </c>
      <c r="J2615" s="3" t="s">
        <v>24</v>
      </c>
      <c r="K2615" s="3" t="s">
        <v>25</v>
      </c>
      <c r="L2615" s="4">
        <v>0</v>
      </c>
      <c r="M2615" s="3" t="s">
        <v>26</v>
      </c>
      <c r="N2615" s="3" t="s">
        <v>24</v>
      </c>
      <c r="O2615" s="4">
        <v>0</v>
      </c>
      <c r="P2615" s="4">
        <v>3</v>
      </c>
      <c r="Q2615" s="4">
        <v>0</v>
      </c>
    </row>
    <row r="2616" spans="1:17" x14ac:dyDescent="0.25">
      <c r="A2616" s="3" t="s">
        <v>18</v>
      </c>
      <c r="B2616" s="3">
        <v>16237016</v>
      </c>
      <c r="C2616" s="3" t="s">
        <v>2663</v>
      </c>
      <c r="D2616" s="3" t="s">
        <v>20</v>
      </c>
      <c r="E2616" s="3" t="s">
        <v>21</v>
      </c>
      <c r="F2616" s="3" t="s">
        <v>21</v>
      </c>
      <c r="G2616" s="3" t="s">
        <v>410</v>
      </c>
      <c r="H2616" s="3" t="s">
        <v>411</v>
      </c>
      <c r="I2616" s="3" t="s">
        <v>24</v>
      </c>
      <c r="J2616" s="3" t="s">
        <v>24</v>
      </c>
      <c r="K2616" s="3" t="s">
        <v>25</v>
      </c>
      <c r="L2616" s="4">
        <v>0</v>
      </c>
      <c r="M2616" s="3" t="s">
        <v>26</v>
      </c>
      <c r="N2616" s="3" t="s">
        <v>24</v>
      </c>
      <c r="O2616" s="4">
        <v>0</v>
      </c>
      <c r="P2616" s="4">
        <v>2</v>
      </c>
      <c r="Q2616" s="4">
        <v>0</v>
      </c>
    </row>
    <row r="2617" spans="1:17" x14ac:dyDescent="0.25">
      <c r="A2617" s="3" t="s">
        <v>18</v>
      </c>
      <c r="B2617" s="3">
        <v>16237017</v>
      </c>
      <c r="C2617" s="3" t="s">
        <v>2664</v>
      </c>
      <c r="D2617" s="3" t="s">
        <v>20</v>
      </c>
      <c r="E2617" s="3" t="s">
        <v>21</v>
      </c>
      <c r="F2617" s="3" t="s">
        <v>21</v>
      </c>
      <c r="G2617" s="3" t="s">
        <v>410</v>
      </c>
      <c r="H2617" s="3" t="s">
        <v>411</v>
      </c>
      <c r="I2617" s="3" t="s">
        <v>24</v>
      </c>
      <c r="J2617" s="3" t="s">
        <v>24</v>
      </c>
      <c r="K2617" s="3" t="s">
        <v>25</v>
      </c>
      <c r="L2617" s="4">
        <v>0</v>
      </c>
      <c r="M2617" s="3" t="s">
        <v>26</v>
      </c>
      <c r="N2617" s="3" t="s">
        <v>24</v>
      </c>
      <c r="O2617" s="4">
        <v>0</v>
      </c>
      <c r="P2617" s="4">
        <v>10</v>
      </c>
      <c r="Q2617" s="4">
        <v>0</v>
      </c>
    </row>
    <row r="2618" spans="1:17" x14ac:dyDescent="0.25">
      <c r="A2618" s="3" t="s">
        <v>18</v>
      </c>
      <c r="B2618" s="3">
        <v>16237118</v>
      </c>
      <c r="C2618" s="3" t="s">
        <v>2665</v>
      </c>
      <c r="D2618" s="3" t="s">
        <v>20</v>
      </c>
      <c r="E2618" s="3" t="s">
        <v>21</v>
      </c>
      <c r="F2618" s="3" t="s">
        <v>21</v>
      </c>
      <c r="G2618" s="3" t="s">
        <v>410</v>
      </c>
      <c r="H2618" s="3" t="s">
        <v>411</v>
      </c>
      <c r="I2618" s="3" t="s">
        <v>24</v>
      </c>
      <c r="J2618" s="3" t="s">
        <v>24</v>
      </c>
      <c r="K2618" s="3" t="s">
        <v>25</v>
      </c>
      <c r="L2618" s="4">
        <v>0</v>
      </c>
      <c r="M2618" s="3" t="s">
        <v>26</v>
      </c>
      <c r="N2618" s="3" t="s">
        <v>24</v>
      </c>
      <c r="O2618" s="4">
        <v>0</v>
      </c>
      <c r="P2618" s="4">
        <v>10</v>
      </c>
      <c r="Q2618" s="4">
        <v>0</v>
      </c>
    </row>
    <row r="2619" spans="1:17" x14ac:dyDescent="0.25">
      <c r="A2619" s="3" t="s">
        <v>18</v>
      </c>
      <c r="B2619" s="3">
        <v>16237125</v>
      </c>
      <c r="C2619" s="3" t="s">
        <v>2666</v>
      </c>
      <c r="D2619" s="3" t="s">
        <v>20</v>
      </c>
      <c r="E2619" s="3" t="s">
        <v>21</v>
      </c>
      <c r="F2619" s="3" t="s">
        <v>21</v>
      </c>
      <c r="G2619" s="3" t="s">
        <v>410</v>
      </c>
      <c r="H2619" s="3" t="s">
        <v>411</v>
      </c>
      <c r="I2619" s="3" t="s">
        <v>24</v>
      </c>
      <c r="J2619" s="3" t="s">
        <v>24</v>
      </c>
      <c r="K2619" s="3" t="s">
        <v>25</v>
      </c>
      <c r="L2619" s="4">
        <v>0</v>
      </c>
      <c r="M2619" s="3" t="s">
        <v>26</v>
      </c>
      <c r="N2619" s="3" t="s">
        <v>24</v>
      </c>
      <c r="O2619" s="4">
        <v>0</v>
      </c>
      <c r="P2619" s="4">
        <v>4</v>
      </c>
      <c r="Q2619" s="4">
        <v>0</v>
      </c>
    </row>
    <row r="2620" spans="1:17" x14ac:dyDescent="0.25">
      <c r="A2620" s="3" t="s">
        <v>18</v>
      </c>
      <c r="B2620" s="3">
        <v>16237127</v>
      </c>
      <c r="C2620" s="3" t="s">
        <v>2667</v>
      </c>
      <c r="D2620" s="3" t="s">
        <v>20</v>
      </c>
      <c r="E2620" s="3" t="s">
        <v>21</v>
      </c>
      <c r="F2620" s="3" t="s">
        <v>21</v>
      </c>
      <c r="G2620" s="3" t="s">
        <v>410</v>
      </c>
      <c r="H2620" s="3" t="s">
        <v>411</v>
      </c>
      <c r="I2620" s="3" t="s">
        <v>24</v>
      </c>
      <c r="J2620" s="3" t="s">
        <v>24</v>
      </c>
      <c r="K2620" s="3" t="s">
        <v>25</v>
      </c>
      <c r="L2620" s="4">
        <v>0</v>
      </c>
      <c r="M2620" s="3" t="s">
        <v>26</v>
      </c>
      <c r="N2620" s="3" t="s">
        <v>24</v>
      </c>
      <c r="O2620" s="4">
        <v>0</v>
      </c>
      <c r="P2620" s="4">
        <v>4</v>
      </c>
      <c r="Q2620" s="4">
        <v>0</v>
      </c>
    </row>
    <row r="2621" spans="1:17" x14ac:dyDescent="0.25">
      <c r="A2621" s="3" t="s">
        <v>18</v>
      </c>
      <c r="B2621" s="3">
        <v>16237208</v>
      </c>
      <c r="C2621" s="3" t="s">
        <v>2668</v>
      </c>
      <c r="D2621" s="3" t="s">
        <v>20</v>
      </c>
      <c r="E2621" s="3" t="s">
        <v>21</v>
      </c>
      <c r="F2621" s="3" t="s">
        <v>21</v>
      </c>
      <c r="G2621" s="3" t="s">
        <v>410</v>
      </c>
      <c r="H2621" s="3" t="s">
        <v>411</v>
      </c>
      <c r="I2621" s="3" t="s">
        <v>24</v>
      </c>
      <c r="J2621" s="3" t="s">
        <v>24</v>
      </c>
      <c r="K2621" s="3" t="s">
        <v>25</v>
      </c>
      <c r="L2621" s="4">
        <v>0</v>
      </c>
      <c r="M2621" s="3" t="s">
        <v>26</v>
      </c>
      <c r="N2621" s="3" t="s">
        <v>24</v>
      </c>
      <c r="O2621" s="4">
        <v>0</v>
      </c>
      <c r="P2621" s="4">
        <v>999999999</v>
      </c>
      <c r="Q2621" s="4">
        <v>0</v>
      </c>
    </row>
    <row r="2622" spans="1:17" x14ac:dyDescent="0.25">
      <c r="A2622" s="3" t="s">
        <v>18</v>
      </c>
      <c r="B2622" s="3">
        <v>16237209</v>
      </c>
      <c r="C2622" s="3" t="s">
        <v>2669</v>
      </c>
      <c r="D2622" s="3" t="s">
        <v>20</v>
      </c>
      <c r="E2622" s="3" t="s">
        <v>21</v>
      </c>
      <c r="F2622" s="3" t="s">
        <v>21</v>
      </c>
      <c r="G2622" s="3" t="s">
        <v>410</v>
      </c>
      <c r="H2622" s="3" t="s">
        <v>411</v>
      </c>
      <c r="I2622" s="3" t="s">
        <v>24</v>
      </c>
      <c r="J2622" s="3" t="s">
        <v>24</v>
      </c>
      <c r="K2622" s="3" t="s">
        <v>25</v>
      </c>
      <c r="L2622" s="4">
        <v>0</v>
      </c>
      <c r="M2622" s="3" t="s">
        <v>26</v>
      </c>
      <c r="N2622" s="3" t="s">
        <v>24</v>
      </c>
      <c r="O2622" s="4">
        <v>0</v>
      </c>
      <c r="P2622" s="4">
        <v>8</v>
      </c>
      <c r="Q2622" s="4">
        <v>1</v>
      </c>
    </row>
    <row r="2623" spans="1:17" x14ac:dyDescent="0.25">
      <c r="A2623" s="3" t="s">
        <v>18</v>
      </c>
      <c r="B2623" s="3">
        <v>16237210</v>
      </c>
      <c r="C2623" s="3" t="s">
        <v>2670</v>
      </c>
      <c r="D2623" s="3" t="s">
        <v>20</v>
      </c>
      <c r="E2623" s="3" t="s">
        <v>21</v>
      </c>
      <c r="F2623" s="3" t="s">
        <v>21</v>
      </c>
      <c r="G2623" s="3" t="s">
        <v>410</v>
      </c>
      <c r="H2623" s="3" t="s">
        <v>411</v>
      </c>
      <c r="I2623" s="3" t="s">
        <v>24</v>
      </c>
      <c r="J2623" s="3" t="s">
        <v>24</v>
      </c>
      <c r="K2623" s="3" t="s">
        <v>25</v>
      </c>
      <c r="L2623" s="4">
        <v>0</v>
      </c>
      <c r="M2623" s="3" t="s">
        <v>26</v>
      </c>
      <c r="N2623" s="3" t="s">
        <v>24</v>
      </c>
      <c r="O2623" s="4">
        <v>0</v>
      </c>
      <c r="P2623" s="4">
        <v>8</v>
      </c>
      <c r="Q2623" s="4">
        <v>1</v>
      </c>
    </row>
    <row r="2624" spans="1:17" x14ac:dyDescent="0.25">
      <c r="A2624" s="3" t="s">
        <v>18</v>
      </c>
      <c r="B2624" s="3">
        <v>16237211</v>
      </c>
      <c r="C2624" s="3" t="s">
        <v>2671</v>
      </c>
      <c r="D2624" s="3" t="s">
        <v>20</v>
      </c>
      <c r="E2624" s="3" t="s">
        <v>21</v>
      </c>
      <c r="F2624" s="3" t="s">
        <v>21</v>
      </c>
      <c r="G2624" s="3" t="s">
        <v>410</v>
      </c>
      <c r="H2624" s="3" t="s">
        <v>411</v>
      </c>
      <c r="I2624" s="3" t="s">
        <v>24</v>
      </c>
      <c r="J2624" s="3" t="s">
        <v>24</v>
      </c>
      <c r="K2624" s="3" t="s">
        <v>25</v>
      </c>
      <c r="L2624" s="4">
        <v>0</v>
      </c>
      <c r="M2624" s="3" t="s">
        <v>26</v>
      </c>
      <c r="N2624" s="3" t="s">
        <v>24</v>
      </c>
      <c r="O2624" s="4">
        <v>0</v>
      </c>
      <c r="P2624" s="4">
        <v>8</v>
      </c>
      <c r="Q2624" s="4">
        <v>0</v>
      </c>
    </row>
    <row r="2625" spans="1:17" x14ac:dyDescent="0.25">
      <c r="A2625" s="3" t="s">
        <v>18</v>
      </c>
      <c r="B2625" s="3">
        <v>16250352</v>
      </c>
      <c r="C2625" s="3" t="s">
        <v>2672</v>
      </c>
      <c r="D2625" s="3" t="s">
        <v>20</v>
      </c>
      <c r="E2625" s="3" t="s">
        <v>21</v>
      </c>
      <c r="F2625" s="3" t="s">
        <v>21</v>
      </c>
      <c r="G2625" s="3" t="s">
        <v>36</v>
      </c>
      <c r="H2625" s="3" t="s">
        <v>37</v>
      </c>
      <c r="I2625" s="3" t="s">
        <v>24</v>
      </c>
      <c r="J2625" s="3" t="s">
        <v>24</v>
      </c>
      <c r="K2625" s="3" t="s">
        <v>25</v>
      </c>
      <c r="L2625" s="4">
        <v>0</v>
      </c>
      <c r="M2625" s="3" t="s">
        <v>26</v>
      </c>
      <c r="N2625" s="3" t="s">
        <v>24</v>
      </c>
      <c r="O2625" s="4">
        <v>1</v>
      </c>
      <c r="P2625" s="4">
        <v>2</v>
      </c>
      <c r="Q2625" s="4">
        <v>1</v>
      </c>
    </row>
    <row r="2626" spans="1:17" x14ac:dyDescent="0.25">
      <c r="A2626" s="3" t="s">
        <v>18</v>
      </c>
      <c r="B2626" s="3">
        <v>16261271</v>
      </c>
      <c r="C2626" s="3" t="s">
        <v>2673</v>
      </c>
      <c r="D2626" s="3" t="s">
        <v>20</v>
      </c>
      <c r="E2626" s="3" t="s">
        <v>21</v>
      </c>
      <c r="F2626" s="3" t="s">
        <v>21</v>
      </c>
      <c r="G2626" s="3" t="s">
        <v>362</v>
      </c>
      <c r="H2626" s="3" t="s">
        <v>363</v>
      </c>
      <c r="I2626" s="3" t="s">
        <v>24</v>
      </c>
      <c r="J2626" s="3" t="s">
        <v>24</v>
      </c>
      <c r="K2626" s="3" t="s">
        <v>25</v>
      </c>
      <c r="L2626" s="4">
        <v>0</v>
      </c>
      <c r="M2626" s="3" t="s">
        <v>26</v>
      </c>
      <c r="N2626" s="3" t="s">
        <v>24</v>
      </c>
      <c r="O2626" s="4">
        <v>1</v>
      </c>
      <c r="P2626" s="4">
        <v>1</v>
      </c>
      <c r="Q2626" s="4">
        <v>1</v>
      </c>
    </row>
    <row r="2627" spans="1:17" x14ac:dyDescent="0.25">
      <c r="A2627" s="3" t="s">
        <v>18</v>
      </c>
      <c r="B2627" s="3">
        <v>16261918</v>
      </c>
      <c r="C2627" s="3" t="s">
        <v>2674</v>
      </c>
      <c r="D2627" s="3" t="s">
        <v>20</v>
      </c>
      <c r="E2627" s="3" t="s">
        <v>21</v>
      </c>
      <c r="F2627" s="3" t="s">
        <v>21</v>
      </c>
      <c r="G2627" s="3" t="s">
        <v>410</v>
      </c>
      <c r="H2627" s="3" t="s">
        <v>411</v>
      </c>
      <c r="I2627" s="3" t="s">
        <v>24</v>
      </c>
      <c r="J2627" s="3" t="s">
        <v>24</v>
      </c>
      <c r="K2627" s="3" t="s">
        <v>25</v>
      </c>
      <c r="L2627" s="4">
        <v>0</v>
      </c>
      <c r="M2627" s="3" t="s">
        <v>26</v>
      </c>
      <c r="N2627" s="3" t="s">
        <v>24</v>
      </c>
      <c r="O2627" s="4">
        <v>1</v>
      </c>
      <c r="P2627" s="4">
        <v>1</v>
      </c>
      <c r="Q2627" s="4">
        <v>1</v>
      </c>
    </row>
    <row r="2628" spans="1:17" x14ac:dyDescent="0.25">
      <c r="A2628" s="3" t="s">
        <v>18</v>
      </c>
      <c r="B2628" s="3">
        <v>16261920</v>
      </c>
      <c r="C2628" s="3" t="s">
        <v>2675</v>
      </c>
      <c r="D2628" s="3" t="s">
        <v>20</v>
      </c>
      <c r="E2628" s="3" t="s">
        <v>21</v>
      </c>
      <c r="F2628" s="3" t="s">
        <v>21</v>
      </c>
      <c r="G2628" s="3" t="s">
        <v>410</v>
      </c>
      <c r="H2628" s="3" t="s">
        <v>411</v>
      </c>
      <c r="I2628" s="3" t="s">
        <v>24</v>
      </c>
      <c r="J2628" s="3" t="s">
        <v>24</v>
      </c>
      <c r="K2628" s="3" t="s">
        <v>25</v>
      </c>
      <c r="L2628" s="4">
        <v>0</v>
      </c>
      <c r="M2628" s="3" t="s">
        <v>26</v>
      </c>
      <c r="N2628" s="3" t="s">
        <v>24</v>
      </c>
      <c r="O2628" s="4">
        <v>1</v>
      </c>
      <c r="P2628" s="4">
        <v>1</v>
      </c>
      <c r="Q2628" s="4">
        <v>1</v>
      </c>
    </row>
    <row r="2629" spans="1:17" x14ac:dyDescent="0.25">
      <c r="A2629" s="3" t="s">
        <v>18</v>
      </c>
      <c r="B2629" s="3">
        <v>16261921</v>
      </c>
      <c r="C2629" s="3" t="s">
        <v>2676</v>
      </c>
      <c r="D2629" s="3" t="s">
        <v>20</v>
      </c>
      <c r="E2629" s="3" t="s">
        <v>21</v>
      </c>
      <c r="F2629" s="3" t="s">
        <v>21</v>
      </c>
      <c r="G2629" s="3" t="s">
        <v>410</v>
      </c>
      <c r="H2629" s="3" t="s">
        <v>411</v>
      </c>
      <c r="I2629" s="3" t="s">
        <v>24</v>
      </c>
      <c r="J2629" s="3" t="s">
        <v>24</v>
      </c>
      <c r="K2629" s="3" t="s">
        <v>25</v>
      </c>
      <c r="L2629" s="4">
        <v>0</v>
      </c>
      <c r="M2629" s="3" t="s">
        <v>26</v>
      </c>
      <c r="N2629" s="3" t="s">
        <v>24</v>
      </c>
      <c r="O2629" s="4">
        <v>1</v>
      </c>
      <c r="P2629" s="4">
        <v>1</v>
      </c>
      <c r="Q2629" s="4">
        <v>1</v>
      </c>
    </row>
    <row r="2630" spans="1:17" x14ac:dyDescent="0.25">
      <c r="A2630" s="3" t="s">
        <v>18</v>
      </c>
      <c r="B2630" s="3">
        <v>16321956</v>
      </c>
      <c r="C2630" s="3" t="s">
        <v>2677</v>
      </c>
      <c r="D2630" s="3" t="s">
        <v>20</v>
      </c>
      <c r="E2630" s="3" t="s">
        <v>21</v>
      </c>
      <c r="F2630" s="3" t="s">
        <v>24</v>
      </c>
      <c r="G2630" s="3" t="s">
        <v>22</v>
      </c>
      <c r="H2630" s="3" t="s">
        <v>23</v>
      </c>
      <c r="I2630" s="3" t="s">
        <v>24</v>
      </c>
      <c r="J2630" s="3" t="s">
        <v>24</v>
      </c>
      <c r="K2630" s="3" t="s">
        <v>25</v>
      </c>
      <c r="L2630" s="4">
        <v>0</v>
      </c>
      <c r="M2630" s="3" t="s">
        <v>26</v>
      </c>
      <c r="N2630" s="3" t="s">
        <v>24</v>
      </c>
      <c r="O2630" s="4">
        <v>1</v>
      </c>
      <c r="P2630" s="4">
        <v>4</v>
      </c>
      <c r="Q2630" s="4">
        <v>1</v>
      </c>
    </row>
    <row r="2631" spans="1:17" x14ac:dyDescent="0.25">
      <c r="A2631" s="3" t="s">
        <v>18</v>
      </c>
      <c r="B2631" s="3">
        <v>16337481</v>
      </c>
      <c r="C2631" s="3" t="s">
        <v>2678</v>
      </c>
      <c r="D2631" s="3" t="s">
        <v>20</v>
      </c>
      <c r="E2631" s="3" t="s">
        <v>21</v>
      </c>
      <c r="F2631" s="3" t="s">
        <v>21</v>
      </c>
      <c r="G2631" s="3" t="s">
        <v>30</v>
      </c>
      <c r="H2631" s="3" t="s">
        <v>31</v>
      </c>
      <c r="I2631" s="3" t="s">
        <v>24</v>
      </c>
      <c r="J2631" s="3" t="s">
        <v>24</v>
      </c>
      <c r="K2631" s="3" t="s">
        <v>25</v>
      </c>
      <c r="L2631" s="4">
        <v>0</v>
      </c>
      <c r="M2631" s="3" t="s">
        <v>26</v>
      </c>
      <c r="N2631" s="3" t="s">
        <v>24</v>
      </c>
      <c r="O2631" s="4">
        <v>1</v>
      </c>
      <c r="P2631" s="4">
        <v>8</v>
      </c>
      <c r="Q2631" s="4">
        <v>1</v>
      </c>
    </row>
    <row r="2632" spans="1:17" x14ac:dyDescent="0.25">
      <c r="A2632" s="3" t="s">
        <v>18</v>
      </c>
      <c r="B2632" s="3">
        <v>16337483</v>
      </c>
      <c r="C2632" s="3" t="s">
        <v>2679</v>
      </c>
      <c r="D2632" s="3" t="s">
        <v>20</v>
      </c>
      <c r="E2632" s="3" t="s">
        <v>21</v>
      </c>
      <c r="F2632" s="3" t="s">
        <v>21</v>
      </c>
      <c r="G2632" s="3" t="s">
        <v>42</v>
      </c>
      <c r="H2632" s="3" t="s">
        <v>43</v>
      </c>
      <c r="I2632" s="3" t="s">
        <v>24</v>
      </c>
      <c r="J2632" s="3" t="s">
        <v>24</v>
      </c>
      <c r="K2632" s="3" t="s">
        <v>25</v>
      </c>
      <c r="L2632" s="4">
        <v>0</v>
      </c>
      <c r="M2632" s="3" t="s">
        <v>26</v>
      </c>
      <c r="N2632" s="3" t="s">
        <v>24</v>
      </c>
      <c r="O2632" s="4">
        <v>1</v>
      </c>
      <c r="P2632" s="4">
        <v>8</v>
      </c>
      <c r="Q2632" s="4">
        <v>1</v>
      </c>
    </row>
    <row r="2633" spans="1:17" x14ac:dyDescent="0.25">
      <c r="A2633" s="3" t="s">
        <v>18</v>
      </c>
      <c r="B2633" s="3">
        <v>16337484</v>
      </c>
      <c r="C2633" s="3" t="s">
        <v>2680</v>
      </c>
      <c r="D2633" s="3" t="s">
        <v>20</v>
      </c>
      <c r="E2633" s="3" t="s">
        <v>21</v>
      </c>
      <c r="F2633" s="3" t="s">
        <v>21</v>
      </c>
      <c r="G2633" s="3" t="s">
        <v>42</v>
      </c>
      <c r="H2633" s="3" t="s">
        <v>43</v>
      </c>
      <c r="I2633" s="3" t="s">
        <v>24</v>
      </c>
      <c r="J2633" s="3" t="s">
        <v>24</v>
      </c>
      <c r="K2633" s="3" t="s">
        <v>25</v>
      </c>
      <c r="L2633" s="4">
        <v>0</v>
      </c>
      <c r="M2633" s="3" t="s">
        <v>26</v>
      </c>
      <c r="N2633" s="3" t="s">
        <v>24</v>
      </c>
      <c r="O2633" s="4">
        <v>1</v>
      </c>
      <c r="P2633" s="4">
        <v>8</v>
      </c>
      <c r="Q2633" s="4">
        <v>1</v>
      </c>
    </row>
    <row r="2634" spans="1:17" x14ac:dyDescent="0.25">
      <c r="A2634" s="3" t="s">
        <v>18</v>
      </c>
      <c r="B2634" s="3">
        <v>16338935</v>
      </c>
      <c r="C2634" s="3" t="s">
        <v>2681</v>
      </c>
      <c r="D2634" s="3" t="s">
        <v>20</v>
      </c>
      <c r="E2634" s="3" t="s">
        <v>21</v>
      </c>
      <c r="F2634" s="3" t="s">
        <v>21</v>
      </c>
      <c r="G2634" s="3" t="s">
        <v>36</v>
      </c>
      <c r="H2634" s="3" t="s">
        <v>37</v>
      </c>
      <c r="I2634" s="3" t="s">
        <v>24</v>
      </c>
      <c r="J2634" s="3" t="s">
        <v>24</v>
      </c>
      <c r="K2634" s="3" t="s">
        <v>25</v>
      </c>
      <c r="L2634" s="4">
        <v>0</v>
      </c>
      <c r="M2634" s="3" t="s">
        <v>26</v>
      </c>
      <c r="N2634" s="3" t="s">
        <v>24</v>
      </c>
      <c r="O2634" s="4">
        <v>1</v>
      </c>
      <c r="P2634" s="4">
        <v>2</v>
      </c>
      <c r="Q2634" s="4">
        <v>1</v>
      </c>
    </row>
    <row r="2635" spans="1:17" x14ac:dyDescent="0.25">
      <c r="A2635" s="3" t="s">
        <v>18</v>
      </c>
      <c r="B2635" s="3">
        <v>16341213</v>
      </c>
      <c r="C2635" s="3" t="s">
        <v>2682</v>
      </c>
      <c r="D2635" s="3" t="s">
        <v>20</v>
      </c>
      <c r="E2635" s="3" t="s">
        <v>21</v>
      </c>
      <c r="F2635" s="3" t="s">
        <v>21</v>
      </c>
      <c r="G2635" s="3" t="s">
        <v>36</v>
      </c>
      <c r="H2635" s="3" t="s">
        <v>37</v>
      </c>
      <c r="I2635" s="3" t="s">
        <v>24</v>
      </c>
      <c r="J2635" s="3" t="s">
        <v>24</v>
      </c>
      <c r="K2635" s="3" t="s">
        <v>25</v>
      </c>
      <c r="L2635" s="4">
        <v>0</v>
      </c>
      <c r="M2635" s="3" t="s">
        <v>26</v>
      </c>
      <c r="N2635" s="3" t="s">
        <v>24</v>
      </c>
      <c r="O2635" s="4">
        <v>1</v>
      </c>
      <c r="P2635" s="4">
        <v>4</v>
      </c>
      <c r="Q2635" s="4">
        <v>1</v>
      </c>
    </row>
    <row r="2636" spans="1:17" x14ac:dyDescent="0.25">
      <c r="A2636" s="3" t="s">
        <v>18</v>
      </c>
      <c r="B2636" s="3">
        <v>16341215</v>
      </c>
      <c r="C2636" s="3" t="s">
        <v>2683</v>
      </c>
      <c r="D2636" s="3" t="s">
        <v>20</v>
      </c>
      <c r="E2636" s="3" t="s">
        <v>21</v>
      </c>
      <c r="F2636" s="3" t="s">
        <v>21</v>
      </c>
      <c r="G2636" s="3" t="s">
        <v>36</v>
      </c>
      <c r="H2636" s="3" t="s">
        <v>37</v>
      </c>
      <c r="I2636" s="3" t="s">
        <v>24</v>
      </c>
      <c r="J2636" s="3" t="s">
        <v>24</v>
      </c>
      <c r="K2636" s="3" t="s">
        <v>25</v>
      </c>
      <c r="L2636" s="4">
        <v>0</v>
      </c>
      <c r="M2636" s="3" t="s">
        <v>26</v>
      </c>
      <c r="N2636" s="3" t="s">
        <v>24</v>
      </c>
      <c r="O2636" s="4">
        <v>1</v>
      </c>
      <c r="P2636" s="4">
        <v>4</v>
      </c>
      <c r="Q2636" s="4">
        <v>1</v>
      </c>
    </row>
    <row r="2637" spans="1:17" x14ac:dyDescent="0.25">
      <c r="A2637" s="3" t="s">
        <v>18</v>
      </c>
      <c r="B2637" s="3">
        <v>16341216</v>
      </c>
      <c r="C2637" s="3" t="s">
        <v>2684</v>
      </c>
      <c r="D2637" s="3" t="s">
        <v>20</v>
      </c>
      <c r="E2637" s="3" t="s">
        <v>21</v>
      </c>
      <c r="F2637" s="3" t="s">
        <v>21</v>
      </c>
      <c r="G2637" s="3" t="s">
        <v>36</v>
      </c>
      <c r="H2637" s="3" t="s">
        <v>37</v>
      </c>
      <c r="I2637" s="3" t="s">
        <v>24</v>
      </c>
      <c r="J2637" s="3" t="s">
        <v>24</v>
      </c>
      <c r="K2637" s="3" t="s">
        <v>25</v>
      </c>
      <c r="L2637" s="4">
        <v>0</v>
      </c>
      <c r="M2637" s="3" t="s">
        <v>26</v>
      </c>
      <c r="N2637" s="3" t="s">
        <v>24</v>
      </c>
      <c r="O2637" s="4">
        <v>1</v>
      </c>
      <c r="P2637" s="4">
        <v>4</v>
      </c>
      <c r="Q2637" s="4">
        <v>1</v>
      </c>
    </row>
    <row r="2638" spans="1:17" x14ac:dyDescent="0.25">
      <c r="A2638" s="3" t="s">
        <v>18</v>
      </c>
      <c r="B2638" s="3">
        <v>16341217</v>
      </c>
      <c r="C2638" s="3" t="s">
        <v>2685</v>
      </c>
      <c r="D2638" s="3" t="s">
        <v>20</v>
      </c>
      <c r="E2638" s="3" t="s">
        <v>21</v>
      </c>
      <c r="F2638" s="3" t="s">
        <v>21</v>
      </c>
      <c r="G2638" s="3" t="s">
        <v>36</v>
      </c>
      <c r="H2638" s="3" t="s">
        <v>37</v>
      </c>
      <c r="I2638" s="3" t="s">
        <v>24</v>
      </c>
      <c r="J2638" s="3" t="s">
        <v>24</v>
      </c>
      <c r="K2638" s="3" t="s">
        <v>25</v>
      </c>
      <c r="L2638" s="4">
        <v>0</v>
      </c>
      <c r="M2638" s="3" t="s">
        <v>26</v>
      </c>
      <c r="N2638" s="3" t="s">
        <v>24</v>
      </c>
      <c r="O2638" s="4">
        <v>1</v>
      </c>
      <c r="P2638" s="4">
        <v>4</v>
      </c>
      <c r="Q2638" s="4">
        <v>1</v>
      </c>
    </row>
    <row r="2639" spans="1:17" x14ac:dyDescent="0.25">
      <c r="A2639" s="3" t="s">
        <v>18</v>
      </c>
      <c r="B2639" s="3">
        <v>16341321</v>
      </c>
      <c r="C2639" s="3" t="s">
        <v>2686</v>
      </c>
      <c r="D2639" s="3" t="s">
        <v>20</v>
      </c>
      <c r="E2639" s="3" t="s">
        <v>21</v>
      </c>
      <c r="F2639" s="3" t="s">
        <v>21</v>
      </c>
      <c r="G2639" s="3" t="s">
        <v>36</v>
      </c>
      <c r="H2639" s="3" t="s">
        <v>37</v>
      </c>
      <c r="I2639" s="3" t="s">
        <v>24</v>
      </c>
      <c r="J2639" s="3" t="s">
        <v>24</v>
      </c>
      <c r="K2639" s="3" t="s">
        <v>25</v>
      </c>
      <c r="L2639" s="4">
        <v>0</v>
      </c>
      <c r="M2639" s="3" t="s">
        <v>26</v>
      </c>
      <c r="N2639" s="3" t="s">
        <v>24</v>
      </c>
      <c r="O2639" s="4">
        <v>1</v>
      </c>
      <c r="P2639" s="4">
        <v>2</v>
      </c>
      <c r="Q2639" s="4">
        <v>1</v>
      </c>
    </row>
    <row r="2640" spans="1:17" x14ac:dyDescent="0.25">
      <c r="A2640" s="3" t="s">
        <v>18</v>
      </c>
      <c r="B2640" s="3">
        <v>16341322</v>
      </c>
      <c r="C2640" s="3" t="s">
        <v>2687</v>
      </c>
      <c r="D2640" s="3" t="s">
        <v>20</v>
      </c>
      <c r="E2640" s="3" t="s">
        <v>21</v>
      </c>
      <c r="F2640" s="3" t="s">
        <v>21</v>
      </c>
      <c r="G2640" s="3" t="s">
        <v>36</v>
      </c>
      <c r="H2640" s="3" t="s">
        <v>37</v>
      </c>
      <c r="I2640" s="3" t="s">
        <v>24</v>
      </c>
      <c r="J2640" s="3" t="s">
        <v>24</v>
      </c>
      <c r="K2640" s="3" t="s">
        <v>25</v>
      </c>
      <c r="L2640" s="4">
        <v>0</v>
      </c>
      <c r="M2640" s="3" t="s">
        <v>26</v>
      </c>
      <c r="N2640" s="3" t="s">
        <v>24</v>
      </c>
      <c r="O2640" s="4">
        <v>1</v>
      </c>
      <c r="P2640" s="4">
        <v>2</v>
      </c>
      <c r="Q2640" s="4">
        <v>1</v>
      </c>
    </row>
    <row r="2641" spans="1:17" x14ac:dyDescent="0.25">
      <c r="A2641" s="3" t="s">
        <v>18</v>
      </c>
      <c r="B2641" s="3">
        <v>16379429</v>
      </c>
      <c r="C2641" s="3" t="s">
        <v>2688</v>
      </c>
      <c r="D2641" s="3" t="s">
        <v>20</v>
      </c>
      <c r="E2641" s="3" t="s">
        <v>21</v>
      </c>
      <c r="F2641" s="3" t="s">
        <v>21</v>
      </c>
      <c r="G2641" s="3" t="s">
        <v>233</v>
      </c>
      <c r="H2641" s="3" t="s">
        <v>234</v>
      </c>
      <c r="I2641" s="3" t="s">
        <v>24</v>
      </c>
      <c r="J2641" s="3" t="s">
        <v>24</v>
      </c>
      <c r="K2641" s="3" t="s">
        <v>25</v>
      </c>
      <c r="L2641" s="4">
        <v>0</v>
      </c>
      <c r="M2641" s="3" t="s">
        <v>26</v>
      </c>
      <c r="N2641" s="3" t="s">
        <v>24</v>
      </c>
      <c r="O2641" s="4">
        <v>1</v>
      </c>
      <c r="P2641" s="4">
        <v>2</v>
      </c>
      <c r="Q2641" s="4">
        <v>1</v>
      </c>
    </row>
    <row r="2642" spans="1:17" x14ac:dyDescent="0.25">
      <c r="A2642" s="3" t="s">
        <v>18</v>
      </c>
      <c r="B2642" s="3">
        <v>16381151</v>
      </c>
      <c r="C2642" s="3" t="s">
        <v>2689</v>
      </c>
      <c r="D2642" s="3" t="s">
        <v>20</v>
      </c>
      <c r="E2642" s="3" t="s">
        <v>21</v>
      </c>
      <c r="F2642" s="3" t="s">
        <v>21</v>
      </c>
      <c r="G2642" s="3" t="s">
        <v>42</v>
      </c>
      <c r="H2642" s="3" t="s">
        <v>43</v>
      </c>
      <c r="I2642" s="3" t="s">
        <v>24</v>
      </c>
      <c r="J2642" s="3" t="s">
        <v>24</v>
      </c>
      <c r="K2642" s="3" t="s">
        <v>25</v>
      </c>
      <c r="L2642" s="4">
        <v>0</v>
      </c>
      <c r="M2642" s="3" t="s">
        <v>26</v>
      </c>
      <c r="N2642" s="3" t="s">
        <v>24</v>
      </c>
      <c r="O2642" s="4">
        <v>1</v>
      </c>
      <c r="P2642" s="4">
        <v>8</v>
      </c>
      <c r="Q2642" s="4">
        <v>1</v>
      </c>
    </row>
    <row r="2643" spans="1:17" x14ac:dyDescent="0.25">
      <c r="A2643" s="3" t="s">
        <v>18</v>
      </c>
      <c r="B2643" s="3">
        <v>16381152</v>
      </c>
      <c r="C2643" s="3" t="s">
        <v>2690</v>
      </c>
      <c r="D2643" s="3" t="s">
        <v>20</v>
      </c>
      <c r="E2643" s="3" t="s">
        <v>21</v>
      </c>
      <c r="F2643" s="3" t="s">
        <v>21</v>
      </c>
      <c r="G2643" s="3" t="s">
        <v>22</v>
      </c>
      <c r="H2643" s="3" t="s">
        <v>23</v>
      </c>
      <c r="I2643" s="3" t="s">
        <v>24</v>
      </c>
      <c r="J2643" s="3" t="s">
        <v>24</v>
      </c>
      <c r="K2643" s="3" t="s">
        <v>25</v>
      </c>
      <c r="L2643" s="4">
        <v>0</v>
      </c>
      <c r="M2643" s="3" t="s">
        <v>26</v>
      </c>
      <c r="N2643" s="3" t="s">
        <v>24</v>
      </c>
      <c r="O2643" s="4">
        <v>1</v>
      </c>
      <c r="P2643" s="4">
        <v>4</v>
      </c>
      <c r="Q2643" s="4">
        <v>1</v>
      </c>
    </row>
    <row r="2644" spans="1:17" x14ac:dyDescent="0.25">
      <c r="A2644" s="3" t="s">
        <v>18</v>
      </c>
      <c r="B2644" s="3">
        <v>16381153</v>
      </c>
      <c r="C2644" s="3" t="s">
        <v>2691</v>
      </c>
      <c r="D2644" s="3" t="s">
        <v>20</v>
      </c>
      <c r="E2644" s="3" t="s">
        <v>21</v>
      </c>
      <c r="F2644" s="3" t="s">
        <v>21</v>
      </c>
      <c r="G2644" s="3" t="s">
        <v>36</v>
      </c>
      <c r="H2644" s="3" t="s">
        <v>37</v>
      </c>
      <c r="I2644" s="3" t="s">
        <v>24</v>
      </c>
      <c r="J2644" s="3" t="s">
        <v>24</v>
      </c>
      <c r="K2644" s="3" t="s">
        <v>25</v>
      </c>
      <c r="L2644" s="4">
        <v>0</v>
      </c>
      <c r="M2644" s="3" t="s">
        <v>26</v>
      </c>
      <c r="N2644" s="3" t="s">
        <v>24</v>
      </c>
      <c r="O2644" s="4">
        <v>1</v>
      </c>
      <c r="P2644" s="4">
        <v>10</v>
      </c>
      <c r="Q2644" s="4">
        <v>1</v>
      </c>
    </row>
    <row r="2645" spans="1:17" x14ac:dyDescent="0.25">
      <c r="A2645" s="3" t="s">
        <v>18</v>
      </c>
      <c r="B2645" s="3">
        <v>16381155</v>
      </c>
      <c r="C2645" s="3" t="s">
        <v>2692</v>
      </c>
      <c r="D2645" s="3" t="s">
        <v>20</v>
      </c>
      <c r="E2645" s="3" t="s">
        <v>21</v>
      </c>
      <c r="F2645" s="3" t="s">
        <v>21</v>
      </c>
      <c r="G2645" s="3" t="s">
        <v>36</v>
      </c>
      <c r="H2645" s="3" t="s">
        <v>37</v>
      </c>
      <c r="I2645" s="3" t="s">
        <v>24</v>
      </c>
      <c r="J2645" s="3" t="s">
        <v>24</v>
      </c>
      <c r="K2645" s="3" t="s">
        <v>25</v>
      </c>
      <c r="L2645" s="4">
        <v>0</v>
      </c>
      <c r="M2645" s="3" t="s">
        <v>26</v>
      </c>
      <c r="N2645" s="3" t="s">
        <v>24</v>
      </c>
      <c r="O2645" s="4">
        <v>1</v>
      </c>
      <c r="P2645" s="4">
        <v>10</v>
      </c>
      <c r="Q2645" s="4">
        <v>1</v>
      </c>
    </row>
    <row r="2646" spans="1:17" x14ac:dyDescent="0.25">
      <c r="A2646" s="3" t="s">
        <v>18</v>
      </c>
      <c r="B2646" s="3">
        <v>16394809</v>
      </c>
      <c r="C2646" s="3" t="s">
        <v>2693</v>
      </c>
      <c r="D2646" s="3" t="s">
        <v>20</v>
      </c>
      <c r="E2646" s="3" t="s">
        <v>21</v>
      </c>
      <c r="F2646" s="3" t="s">
        <v>24</v>
      </c>
      <c r="G2646" s="3" t="s">
        <v>22</v>
      </c>
      <c r="H2646" s="3" t="s">
        <v>23</v>
      </c>
      <c r="I2646" s="3" t="s">
        <v>24</v>
      </c>
      <c r="J2646" s="3" t="s">
        <v>24</v>
      </c>
      <c r="K2646" s="3" t="s">
        <v>25</v>
      </c>
      <c r="L2646" s="4">
        <v>0</v>
      </c>
      <c r="M2646" s="3" t="s">
        <v>26</v>
      </c>
      <c r="N2646" s="3" t="s">
        <v>24</v>
      </c>
      <c r="O2646" s="4">
        <v>1</v>
      </c>
      <c r="P2646" s="4">
        <v>4</v>
      </c>
      <c r="Q2646" s="4">
        <v>1</v>
      </c>
    </row>
    <row r="2647" spans="1:17" x14ac:dyDescent="0.25">
      <c r="A2647" s="3" t="s">
        <v>18</v>
      </c>
      <c r="B2647" s="3">
        <v>16425897</v>
      </c>
      <c r="C2647" s="3" t="s">
        <v>2694</v>
      </c>
      <c r="D2647" s="3" t="s">
        <v>20</v>
      </c>
      <c r="E2647" s="3" t="s">
        <v>21</v>
      </c>
      <c r="F2647" s="3" t="s">
        <v>21</v>
      </c>
      <c r="G2647" s="3" t="s">
        <v>233</v>
      </c>
      <c r="H2647" s="3" t="s">
        <v>234</v>
      </c>
      <c r="I2647" s="3" t="s">
        <v>24</v>
      </c>
      <c r="J2647" s="3" t="s">
        <v>24</v>
      </c>
      <c r="K2647" s="3" t="s">
        <v>25</v>
      </c>
      <c r="L2647" s="4">
        <v>0</v>
      </c>
      <c r="M2647" s="3" t="s">
        <v>26</v>
      </c>
      <c r="N2647" s="3" t="s">
        <v>24</v>
      </c>
      <c r="O2647" s="4">
        <v>1</v>
      </c>
      <c r="P2647" s="4">
        <v>3</v>
      </c>
      <c r="Q2647" s="4">
        <v>1</v>
      </c>
    </row>
    <row r="2648" spans="1:17" x14ac:dyDescent="0.25">
      <c r="A2648" s="3" t="s">
        <v>18</v>
      </c>
      <c r="B2648" s="3">
        <v>16440788</v>
      </c>
      <c r="C2648" s="3" t="s">
        <v>2695</v>
      </c>
      <c r="D2648" s="3" t="s">
        <v>20</v>
      </c>
      <c r="E2648" s="3" t="s">
        <v>21</v>
      </c>
      <c r="F2648" s="3" t="s">
        <v>21</v>
      </c>
      <c r="G2648" s="3" t="s">
        <v>362</v>
      </c>
      <c r="H2648" s="3" t="s">
        <v>363</v>
      </c>
      <c r="I2648" s="3" t="s">
        <v>24</v>
      </c>
      <c r="J2648" s="3" t="s">
        <v>24</v>
      </c>
      <c r="K2648" s="3" t="s">
        <v>25</v>
      </c>
      <c r="L2648" s="4">
        <v>0</v>
      </c>
      <c r="M2648" s="3" t="s">
        <v>26</v>
      </c>
      <c r="N2648" s="3" t="s">
        <v>24</v>
      </c>
      <c r="O2648" s="4">
        <v>1</v>
      </c>
      <c r="P2648" s="4">
        <v>1</v>
      </c>
      <c r="Q2648" s="4">
        <v>1</v>
      </c>
    </row>
    <row r="2649" spans="1:17" x14ac:dyDescent="0.25">
      <c r="A2649" s="3" t="s">
        <v>18</v>
      </c>
      <c r="B2649" s="3">
        <v>16445558</v>
      </c>
      <c r="C2649" s="3" t="s">
        <v>2696</v>
      </c>
      <c r="D2649" s="3" t="s">
        <v>20</v>
      </c>
      <c r="E2649" s="3" t="s">
        <v>21</v>
      </c>
      <c r="F2649" s="3" t="s">
        <v>21</v>
      </c>
      <c r="G2649" s="3" t="s">
        <v>30</v>
      </c>
      <c r="H2649" s="3" t="s">
        <v>31</v>
      </c>
      <c r="I2649" s="3" t="s">
        <v>24</v>
      </c>
      <c r="J2649" s="3" t="s">
        <v>24</v>
      </c>
      <c r="K2649" s="3" t="s">
        <v>25</v>
      </c>
      <c r="L2649" s="4">
        <v>0</v>
      </c>
      <c r="M2649" s="3" t="s">
        <v>26</v>
      </c>
      <c r="N2649" s="3" t="s">
        <v>24</v>
      </c>
      <c r="O2649" s="4">
        <v>1</v>
      </c>
      <c r="P2649" s="4">
        <v>8</v>
      </c>
      <c r="Q2649" s="4">
        <v>1</v>
      </c>
    </row>
    <row r="2650" spans="1:17" x14ac:dyDescent="0.25">
      <c r="A2650" s="3" t="s">
        <v>18</v>
      </c>
      <c r="B2650" s="3">
        <v>16445559</v>
      </c>
      <c r="C2650" s="3" t="s">
        <v>2697</v>
      </c>
      <c r="D2650" s="3" t="s">
        <v>20</v>
      </c>
      <c r="E2650" s="3" t="s">
        <v>21</v>
      </c>
      <c r="F2650" s="3" t="s">
        <v>21</v>
      </c>
      <c r="G2650" s="3" t="s">
        <v>30</v>
      </c>
      <c r="H2650" s="3" t="s">
        <v>31</v>
      </c>
      <c r="I2650" s="3" t="s">
        <v>24</v>
      </c>
      <c r="J2650" s="3" t="s">
        <v>24</v>
      </c>
      <c r="K2650" s="3" t="s">
        <v>25</v>
      </c>
      <c r="L2650" s="4">
        <v>0</v>
      </c>
      <c r="M2650" s="3" t="s">
        <v>26</v>
      </c>
      <c r="N2650" s="3" t="s">
        <v>24</v>
      </c>
      <c r="O2650" s="4">
        <v>1</v>
      </c>
      <c r="P2650" s="4">
        <v>8</v>
      </c>
      <c r="Q2650" s="4">
        <v>1</v>
      </c>
    </row>
    <row r="2651" spans="1:17" x14ac:dyDescent="0.25">
      <c r="A2651" s="3" t="s">
        <v>18</v>
      </c>
      <c r="B2651" s="3">
        <v>16469481</v>
      </c>
      <c r="C2651" s="3" t="s">
        <v>2698</v>
      </c>
      <c r="D2651" s="3" t="s">
        <v>20</v>
      </c>
      <c r="E2651" s="3" t="s">
        <v>21</v>
      </c>
      <c r="F2651" s="3" t="s">
        <v>21</v>
      </c>
      <c r="G2651" s="3" t="s">
        <v>233</v>
      </c>
      <c r="H2651" s="3" t="s">
        <v>234</v>
      </c>
      <c r="I2651" s="3" t="s">
        <v>24</v>
      </c>
      <c r="J2651" s="3" t="s">
        <v>24</v>
      </c>
      <c r="K2651" s="3" t="s">
        <v>25</v>
      </c>
      <c r="L2651" s="4">
        <v>0</v>
      </c>
      <c r="M2651" s="3" t="s">
        <v>26</v>
      </c>
      <c r="N2651" s="3" t="s">
        <v>24</v>
      </c>
      <c r="O2651" s="4">
        <v>1</v>
      </c>
      <c r="P2651" s="4">
        <v>3</v>
      </c>
      <c r="Q2651" s="4">
        <v>1</v>
      </c>
    </row>
    <row r="2652" spans="1:17" x14ac:dyDescent="0.25">
      <c r="A2652" s="3" t="s">
        <v>18</v>
      </c>
      <c r="B2652" s="3">
        <v>16480407</v>
      </c>
      <c r="C2652" s="3" t="s">
        <v>2699</v>
      </c>
      <c r="D2652" s="3" t="s">
        <v>1360</v>
      </c>
      <c r="E2652" s="3" t="s">
        <v>21</v>
      </c>
      <c r="F2652" s="3" t="s">
        <v>21</v>
      </c>
      <c r="G2652" s="3" t="s">
        <v>233</v>
      </c>
      <c r="H2652" s="3" t="s">
        <v>234</v>
      </c>
      <c r="I2652" s="3" t="s">
        <v>24</v>
      </c>
      <c r="J2652" s="3" t="s">
        <v>24</v>
      </c>
      <c r="K2652" s="3" t="s">
        <v>25</v>
      </c>
      <c r="L2652" s="4">
        <v>0</v>
      </c>
      <c r="M2652" s="3" t="s">
        <v>26</v>
      </c>
      <c r="N2652" s="3" t="s">
        <v>24</v>
      </c>
      <c r="O2652" s="4">
        <v>1</v>
      </c>
      <c r="P2652" s="4">
        <v>3</v>
      </c>
      <c r="Q2652" s="4">
        <v>1</v>
      </c>
    </row>
    <row r="2653" spans="1:17" x14ac:dyDescent="0.25">
      <c r="A2653" s="3" t="s">
        <v>18</v>
      </c>
      <c r="B2653" s="3">
        <v>16494882</v>
      </c>
      <c r="C2653" s="3" t="s">
        <v>2700</v>
      </c>
      <c r="D2653" s="3" t="s">
        <v>20</v>
      </c>
      <c r="E2653" s="3" t="s">
        <v>21</v>
      </c>
      <c r="F2653" s="3" t="s">
        <v>21</v>
      </c>
      <c r="G2653" s="3" t="s">
        <v>30</v>
      </c>
      <c r="H2653" s="3" t="s">
        <v>31</v>
      </c>
      <c r="I2653" s="3" t="s">
        <v>24</v>
      </c>
      <c r="J2653" s="3" t="s">
        <v>24</v>
      </c>
      <c r="K2653" s="3" t="s">
        <v>25</v>
      </c>
      <c r="L2653" s="4">
        <v>0</v>
      </c>
      <c r="M2653" s="3" t="s">
        <v>26</v>
      </c>
      <c r="N2653" s="3" t="s">
        <v>24</v>
      </c>
      <c r="O2653" s="4">
        <v>1</v>
      </c>
      <c r="P2653" s="4">
        <v>8</v>
      </c>
      <c r="Q2653" s="4">
        <v>1</v>
      </c>
    </row>
    <row r="2654" spans="1:17" x14ac:dyDescent="0.25">
      <c r="A2654" s="3" t="s">
        <v>18</v>
      </c>
      <c r="B2654" s="3">
        <v>16494928</v>
      </c>
      <c r="C2654" s="3" t="s">
        <v>2701</v>
      </c>
      <c r="D2654" s="3" t="s">
        <v>20</v>
      </c>
      <c r="E2654" s="3" t="s">
        <v>21</v>
      </c>
      <c r="F2654" s="3" t="s">
        <v>21</v>
      </c>
      <c r="G2654" s="3" t="s">
        <v>42</v>
      </c>
      <c r="H2654" s="3" t="s">
        <v>43</v>
      </c>
      <c r="I2654" s="3" t="s">
        <v>24</v>
      </c>
      <c r="J2654" s="3" t="s">
        <v>24</v>
      </c>
      <c r="K2654" s="3" t="s">
        <v>25</v>
      </c>
      <c r="L2654" s="4">
        <v>0</v>
      </c>
      <c r="M2654" s="3" t="s">
        <v>26</v>
      </c>
      <c r="N2654" s="3" t="s">
        <v>24</v>
      </c>
      <c r="O2654" s="4">
        <v>1</v>
      </c>
      <c r="P2654" s="4">
        <v>8</v>
      </c>
      <c r="Q2654" s="4">
        <v>1</v>
      </c>
    </row>
    <row r="2655" spans="1:17" x14ac:dyDescent="0.25">
      <c r="A2655" s="3" t="s">
        <v>18</v>
      </c>
      <c r="B2655" s="3">
        <v>16494931</v>
      </c>
      <c r="C2655" s="3" t="s">
        <v>2702</v>
      </c>
      <c r="D2655" s="3" t="s">
        <v>20</v>
      </c>
      <c r="E2655" s="3" t="s">
        <v>21</v>
      </c>
      <c r="F2655" s="3" t="s">
        <v>21</v>
      </c>
      <c r="G2655" s="3" t="s">
        <v>22</v>
      </c>
      <c r="H2655" s="3" t="s">
        <v>23</v>
      </c>
      <c r="I2655" s="3" t="s">
        <v>24</v>
      </c>
      <c r="J2655" s="3" t="s">
        <v>24</v>
      </c>
      <c r="K2655" s="3" t="s">
        <v>25</v>
      </c>
      <c r="L2655" s="4">
        <v>0</v>
      </c>
      <c r="M2655" s="3" t="s">
        <v>26</v>
      </c>
      <c r="N2655" s="3" t="s">
        <v>24</v>
      </c>
      <c r="O2655" s="4">
        <v>1</v>
      </c>
      <c r="P2655" s="4">
        <v>4</v>
      </c>
      <c r="Q2655" s="4">
        <v>1</v>
      </c>
    </row>
    <row r="2656" spans="1:17" x14ac:dyDescent="0.25">
      <c r="A2656" s="3" t="s">
        <v>18</v>
      </c>
      <c r="B2656" s="3">
        <v>16494932</v>
      </c>
      <c r="C2656" s="3" t="s">
        <v>2703</v>
      </c>
      <c r="D2656" s="3" t="s">
        <v>20</v>
      </c>
      <c r="E2656" s="3" t="s">
        <v>21</v>
      </c>
      <c r="F2656" s="3" t="s">
        <v>21</v>
      </c>
      <c r="G2656" s="3" t="s">
        <v>233</v>
      </c>
      <c r="H2656" s="3" t="s">
        <v>234</v>
      </c>
      <c r="I2656" s="3" t="s">
        <v>24</v>
      </c>
      <c r="J2656" s="3" t="s">
        <v>24</v>
      </c>
      <c r="K2656" s="3" t="s">
        <v>25</v>
      </c>
      <c r="L2656" s="4">
        <v>0</v>
      </c>
      <c r="M2656" s="3" t="s">
        <v>26</v>
      </c>
      <c r="N2656" s="3" t="s">
        <v>24</v>
      </c>
      <c r="O2656" s="4">
        <v>1</v>
      </c>
      <c r="P2656" s="4">
        <v>2</v>
      </c>
      <c r="Q2656" s="4">
        <v>1</v>
      </c>
    </row>
    <row r="2657" spans="1:17" x14ac:dyDescent="0.25">
      <c r="A2657" s="3" t="s">
        <v>18</v>
      </c>
      <c r="B2657" s="3">
        <v>16538368</v>
      </c>
      <c r="C2657" s="3" t="s">
        <v>2704</v>
      </c>
      <c r="D2657" s="3" t="s">
        <v>20</v>
      </c>
      <c r="E2657" s="3" t="s">
        <v>21</v>
      </c>
      <c r="F2657" s="3" t="s">
        <v>21</v>
      </c>
      <c r="G2657" s="3" t="s">
        <v>42</v>
      </c>
      <c r="H2657" s="3" t="s">
        <v>43</v>
      </c>
      <c r="I2657" s="3" t="s">
        <v>24</v>
      </c>
      <c r="J2657" s="3" t="s">
        <v>24</v>
      </c>
      <c r="K2657" s="3" t="s">
        <v>25</v>
      </c>
      <c r="L2657" s="4">
        <v>0</v>
      </c>
      <c r="M2657" s="3" t="s">
        <v>26</v>
      </c>
      <c r="N2657" s="3" t="s">
        <v>24</v>
      </c>
      <c r="O2657" s="4">
        <v>1</v>
      </c>
      <c r="P2657" s="4">
        <v>8</v>
      </c>
      <c r="Q2657" s="4">
        <v>1</v>
      </c>
    </row>
    <row r="2658" spans="1:17" x14ac:dyDescent="0.25">
      <c r="A2658" s="3" t="s">
        <v>18</v>
      </c>
      <c r="B2658" s="3">
        <v>16539463</v>
      </c>
      <c r="C2658" s="3" t="s">
        <v>2705</v>
      </c>
      <c r="D2658" s="3" t="s">
        <v>20</v>
      </c>
      <c r="E2658" s="3" t="s">
        <v>21</v>
      </c>
      <c r="F2658" s="3" t="s">
        <v>21</v>
      </c>
      <c r="G2658" s="3" t="s">
        <v>42</v>
      </c>
      <c r="H2658" s="3" t="s">
        <v>43</v>
      </c>
      <c r="I2658" s="3" t="s">
        <v>24</v>
      </c>
      <c r="J2658" s="3" t="s">
        <v>24</v>
      </c>
      <c r="K2658" s="3" t="s">
        <v>25</v>
      </c>
      <c r="L2658" s="4">
        <v>0</v>
      </c>
      <c r="M2658" s="3" t="s">
        <v>26</v>
      </c>
      <c r="N2658" s="3" t="s">
        <v>24</v>
      </c>
      <c r="O2658" s="4">
        <v>1</v>
      </c>
      <c r="P2658" s="4">
        <v>8</v>
      </c>
      <c r="Q2658" s="4">
        <v>1</v>
      </c>
    </row>
    <row r="2659" spans="1:17" x14ac:dyDescent="0.25">
      <c r="A2659" s="3" t="s">
        <v>18</v>
      </c>
      <c r="B2659" s="3">
        <v>16573343</v>
      </c>
      <c r="C2659" s="3" t="s">
        <v>2706</v>
      </c>
      <c r="D2659" s="3" t="s">
        <v>20</v>
      </c>
      <c r="E2659" s="3" t="s">
        <v>21</v>
      </c>
      <c r="F2659" s="3" t="s">
        <v>21</v>
      </c>
      <c r="G2659" s="3" t="s">
        <v>30</v>
      </c>
      <c r="H2659" s="3" t="s">
        <v>31</v>
      </c>
      <c r="I2659" s="3" t="s">
        <v>24</v>
      </c>
      <c r="J2659" s="3" t="s">
        <v>24</v>
      </c>
      <c r="K2659" s="3" t="s">
        <v>25</v>
      </c>
      <c r="L2659" s="4">
        <v>0</v>
      </c>
      <c r="M2659" s="3" t="s">
        <v>26</v>
      </c>
      <c r="N2659" s="3" t="s">
        <v>24</v>
      </c>
      <c r="O2659" s="4">
        <v>1</v>
      </c>
      <c r="P2659" s="4">
        <v>8</v>
      </c>
      <c r="Q2659" s="4">
        <v>1</v>
      </c>
    </row>
    <row r="2660" spans="1:17" x14ac:dyDescent="0.25">
      <c r="A2660" s="3" t="s">
        <v>18</v>
      </c>
      <c r="B2660" s="3">
        <v>16641542</v>
      </c>
      <c r="C2660" s="3" t="s">
        <v>2707</v>
      </c>
      <c r="D2660" s="3" t="s">
        <v>20</v>
      </c>
      <c r="E2660" s="3" t="s">
        <v>21</v>
      </c>
      <c r="F2660" s="3" t="s">
        <v>21</v>
      </c>
      <c r="G2660" s="3" t="s">
        <v>410</v>
      </c>
      <c r="H2660" s="3" t="s">
        <v>411</v>
      </c>
      <c r="I2660" s="3" t="s">
        <v>24</v>
      </c>
      <c r="J2660" s="3" t="s">
        <v>24</v>
      </c>
      <c r="K2660" s="3" t="s">
        <v>25</v>
      </c>
      <c r="L2660" s="4">
        <v>0</v>
      </c>
      <c r="M2660" s="3" t="s">
        <v>26</v>
      </c>
      <c r="N2660" s="3" t="s">
        <v>24</v>
      </c>
      <c r="O2660" s="4">
        <v>1</v>
      </c>
      <c r="P2660" s="4">
        <v>8</v>
      </c>
      <c r="Q2660" s="4">
        <v>1</v>
      </c>
    </row>
    <row r="2661" spans="1:17" x14ac:dyDescent="0.25">
      <c r="A2661" s="3" t="s">
        <v>18</v>
      </c>
      <c r="B2661" s="3">
        <v>16641543</v>
      </c>
      <c r="C2661" s="3" t="s">
        <v>2708</v>
      </c>
      <c r="D2661" s="3" t="s">
        <v>20</v>
      </c>
      <c r="E2661" s="3" t="s">
        <v>21</v>
      </c>
      <c r="F2661" s="3" t="s">
        <v>21</v>
      </c>
      <c r="G2661" s="3" t="s">
        <v>410</v>
      </c>
      <c r="H2661" s="3" t="s">
        <v>411</v>
      </c>
      <c r="I2661" s="3" t="s">
        <v>24</v>
      </c>
      <c r="J2661" s="3" t="s">
        <v>24</v>
      </c>
      <c r="K2661" s="3" t="s">
        <v>25</v>
      </c>
      <c r="L2661" s="4">
        <v>0</v>
      </c>
      <c r="M2661" s="3" t="s">
        <v>26</v>
      </c>
      <c r="N2661" s="3" t="s">
        <v>24</v>
      </c>
      <c r="O2661" s="4">
        <v>1</v>
      </c>
      <c r="P2661" s="4">
        <v>4</v>
      </c>
      <c r="Q2661" s="4">
        <v>1</v>
      </c>
    </row>
    <row r="2662" spans="1:17" x14ac:dyDescent="0.25">
      <c r="A2662" s="3" t="s">
        <v>18</v>
      </c>
      <c r="B2662" s="3">
        <v>16643110</v>
      </c>
      <c r="C2662" s="3" t="s">
        <v>2709</v>
      </c>
      <c r="D2662" s="3" t="s">
        <v>20</v>
      </c>
      <c r="E2662" s="3" t="s">
        <v>21</v>
      </c>
      <c r="F2662" s="3" t="s">
        <v>21</v>
      </c>
      <c r="G2662" s="3" t="s">
        <v>233</v>
      </c>
      <c r="H2662" s="3" t="s">
        <v>234</v>
      </c>
      <c r="I2662" s="3" t="s">
        <v>24</v>
      </c>
      <c r="J2662" s="3" t="s">
        <v>24</v>
      </c>
      <c r="K2662" s="3" t="s">
        <v>25</v>
      </c>
      <c r="L2662" s="4">
        <v>0</v>
      </c>
      <c r="M2662" s="3" t="s">
        <v>26</v>
      </c>
      <c r="N2662" s="3" t="s">
        <v>24</v>
      </c>
      <c r="O2662" s="4">
        <v>1</v>
      </c>
      <c r="P2662" s="4">
        <v>3</v>
      </c>
      <c r="Q2662" s="4">
        <v>1</v>
      </c>
    </row>
    <row r="2663" spans="1:17" x14ac:dyDescent="0.25">
      <c r="A2663" s="3" t="s">
        <v>18</v>
      </c>
      <c r="B2663" s="3">
        <v>16643727</v>
      </c>
      <c r="C2663" s="3" t="s">
        <v>2710</v>
      </c>
      <c r="D2663" s="3" t="s">
        <v>20</v>
      </c>
      <c r="E2663" s="3" t="s">
        <v>21</v>
      </c>
      <c r="F2663" s="3" t="s">
        <v>21</v>
      </c>
      <c r="G2663" s="3" t="s">
        <v>410</v>
      </c>
      <c r="H2663" s="3" t="s">
        <v>411</v>
      </c>
      <c r="I2663" s="3" t="s">
        <v>24</v>
      </c>
      <c r="J2663" s="3" t="s">
        <v>24</v>
      </c>
      <c r="K2663" s="3" t="s">
        <v>25</v>
      </c>
      <c r="L2663" s="4">
        <v>0</v>
      </c>
      <c r="M2663" s="3" t="s">
        <v>26</v>
      </c>
      <c r="N2663" s="3" t="s">
        <v>24</v>
      </c>
      <c r="O2663" s="4">
        <v>1</v>
      </c>
      <c r="P2663" s="4">
        <v>8</v>
      </c>
      <c r="Q2663" s="4">
        <v>1</v>
      </c>
    </row>
    <row r="2664" spans="1:17" x14ac:dyDescent="0.25">
      <c r="A2664" s="3" t="s">
        <v>18</v>
      </c>
      <c r="B2664" s="3">
        <v>16643858</v>
      </c>
      <c r="C2664" s="3" t="s">
        <v>2711</v>
      </c>
      <c r="D2664" s="3" t="s">
        <v>20</v>
      </c>
      <c r="E2664" s="3" t="s">
        <v>21</v>
      </c>
      <c r="F2664" s="3" t="s">
        <v>21</v>
      </c>
      <c r="G2664" s="3" t="s">
        <v>410</v>
      </c>
      <c r="H2664" s="3" t="s">
        <v>411</v>
      </c>
      <c r="I2664" s="3" t="s">
        <v>24</v>
      </c>
      <c r="J2664" s="3" t="s">
        <v>24</v>
      </c>
      <c r="K2664" s="3" t="s">
        <v>25</v>
      </c>
      <c r="L2664" s="4">
        <v>0</v>
      </c>
      <c r="M2664" s="3" t="s">
        <v>26</v>
      </c>
      <c r="N2664" s="3" t="s">
        <v>24</v>
      </c>
      <c r="O2664" s="4">
        <v>1</v>
      </c>
      <c r="P2664" s="4">
        <v>8</v>
      </c>
      <c r="Q2664" s="4">
        <v>1</v>
      </c>
    </row>
    <row r="2665" spans="1:17" x14ac:dyDescent="0.25">
      <c r="A2665" s="3" t="s">
        <v>18</v>
      </c>
      <c r="B2665" s="3">
        <v>16645438</v>
      </c>
      <c r="C2665" s="3" t="s">
        <v>2712</v>
      </c>
      <c r="D2665" s="3" t="s">
        <v>20</v>
      </c>
      <c r="E2665" s="3" t="s">
        <v>21</v>
      </c>
      <c r="F2665" s="3" t="s">
        <v>21</v>
      </c>
      <c r="G2665" s="3" t="s">
        <v>30</v>
      </c>
      <c r="H2665" s="3" t="s">
        <v>31</v>
      </c>
      <c r="I2665" s="3" t="s">
        <v>24</v>
      </c>
      <c r="J2665" s="3" t="s">
        <v>24</v>
      </c>
      <c r="K2665" s="3" t="s">
        <v>25</v>
      </c>
      <c r="L2665" s="4">
        <v>0</v>
      </c>
      <c r="M2665" s="3" t="s">
        <v>26</v>
      </c>
      <c r="N2665" s="3" t="s">
        <v>24</v>
      </c>
      <c r="O2665" s="4">
        <v>1</v>
      </c>
      <c r="P2665" s="4">
        <v>8</v>
      </c>
      <c r="Q2665" s="4">
        <v>1</v>
      </c>
    </row>
    <row r="2666" spans="1:17" x14ac:dyDescent="0.25">
      <c r="A2666" s="3" t="s">
        <v>18</v>
      </c>
      <c r="B2666" s="3">
        <v>16645439</v>
      </c>
      <c r="C2666" s="3" t="s">
        <v>2713</v>
      </c>
      <c r="D2666" s="3" t="s">
        <v>20</v>
      </c>
      <c r="E2666" s="3" t="s">
        <v>21</v>
      </c>
      <c r="F2666" s="3" t="s">
        <v>24</v>
      </c>
      <c r="G2666" s="3" t="s">
        <v>22</v>
      </c>
      <c r="H2666" s="3" t="s">
        <v>23</v>
      </c>
      <c r="I2666" s="3" t="s">
        <v>24</v>
      </c>
      <c r="J2666" s="3" t="s">
        <v>24</v>
      </c>
      <c r="K2666" s="3" t="s">
        <v>25</v>
      </c>
      <c r="L2666" s="4">
        <v>0</v>
      </c>
      <c r="M2666" s="3" t="s">
        <v>26</v>
      </c>
      <c r="N2666" s="3" t="s">
        <v>24</v>
      </c>
      <c r="O2666" s="4">
        <v>1</v>
      </c>
      <c r="P2666" s="4">
        <v>4</v>
      </c>
      <c r="Q2666" s="4">
        <v>1</v>
      </c>
    </row>
    <row r="2667" spans="1:17" x14ac:dyDescent="0.25">
      <c r="A2667" s="3" t="s">
        <v>18</v>
      </c>
      <c r="B2667" s="3">
        <v>16645442</v>
      </c>
      <c r="C2667" s="3" t="s">
        <v>2714</v>
      </c>
      <c r="D2667" s="3" t="s">
        <v>20</v>
      </c>
      <c r="E2667" s="3" t="s">
        <v>21</v>
      </c>
      <c r="F2667" s="3" t="s">
        <v>21</v>
      </c>
      <c r="G2667" s="3" t="s">
        <v>30</v>
      </c>
      <c r="H2667" s="3" t="s">
        <v>31</v>
      </c>
      <c r="I2667" s="3" t="s">
        <v>24</v>
      </c>
      <c r="J2667" s="3" t="s">
        <v>24</v>
      </c>
      <c r="K2667" s="3" t="s">
        <v>25</v>
      </c>
      <c r="L2667" s="4">
        <v>0</v>
      </c>
      <c r="M2667" s="3" t="s">
        <v>26</v>
      </c>
      <c r="N2667" s="3" t="s">
        <v>24</v>
      </c>
      <c r="O2667" s="4">
        <v>1</v>
      </c>
      <c r="P2667" s="4">
        <v>8</v>
      </c>
      <c r="Q2667" s="4">
        <v>1</v>
      </c>
    </row>
    <row r="2668" spans="1:17" x14ac:dyDescent="0.25">
      <c r="A2668" s="3" t="s">
        <v>18</v>
      </c>
      <c r="B2668" s="3">
        <v>16645612</v>
      </c>
      <c r="C2668" s="3" t="s">
        <v>2715</v>
      </c>
      <c r="D2668" s="3" t="s">
        <v>20</v>
      </c>
      <c r="E2668" s="3" t="s">
        <v>21</v>
      </c>
      <c r="F2668" s="3" t="s">
        <v>21</v>
      </c>
      <c r="G2668" s="3" t="s">
        <v>22</v>
      </c>
      <c r="H2668" s="3" t="s">
        <v>23</v>
      </c>
      <c r="I2668" s="3" t="s">
        <v>24</v>
      </c>
      <c r="J2668" s="3" t="s">
        <v>24</v>
      </c>
      <c r="K2668" s="3" t="s">
        <v>25</v>
      </c>
      <c r="L2668" s="4">
        <v>0</v>
      </c>
      <c r="M2668" s="3" t="s">
        <v>26</v>
      </c>
      <c r="N2668" s="3" t="s">
        <v>24</v>
      </c>
      <c r="O2668" s="4">
        <v>1</v>
      </c>
      <c r="P2668" s="4">
        <v>4</v>
      </c>
      <c r="Q2668" s="4">
        <v>1</v>
      </c>
    </row>
    <row r="2669" spans="1:17" x14ac:dyDescent="0.25">
      <c r="A2669" s="3" t="s">
        <v>18</v>
      </c>
      <c r="B2669" s="3">
        <v>16706018</v>
      </c>
      <c r="C2669" s="3" t="s">
        <v>2716</v>
      </c>
      <c r="D2669" s="3" t="s">
        <v>20</v>
      </c>
      <c r="E2669" s="3" t="s">
        <v>21</v>
      </c>
      <c r="F2669" s="3" t="s">
        <v>21</v>
      </c>
      <c r="G2669" s="3" t="s">
        <v>233</v>
      </c>
      <c r="H2669" s="3" t="s">
        <v>234</v>
      </c>
      <c r="I2669" s="3" t="s">
        <v>24</v>
      </c>
      <c r="J2669" s="3" t="s">
        <v>24</v>
      </c>
      <c r="K2669" s="3" t="s">
        <v>25</v>
      </c>
      <c r="L2669" s="4">
        <v>0</v>
      </c>
      <c r="M2669" s="3" t="s">
        <v>26</v>
      </c>
      <c r="N2669" s="3" t="s">
        <v>24</v>
      </c>
      <c r="O2669" s="4">
        <v>1</v>
      </c>
      <c r="P2669" s="4">
        <v>3</v>
      </c>
      <c r="Q2669" s="4">
        <v>1</v>
      </c>
    </row>
    <row r="2670" spans="1:17" x14ac:dyDescent="0.25">
      <c r="A2670" s="3" t="s">
        <v>18</v>
      </c>
      <c r="B2670" s="3">
        <v>16706021</v>
      </c>
      <c r="C2670" s="3" t="s">
        <v>2717</v>
      </c>
      <c r="D2670" s="3" t="s">
        <v>20</v>
      </c>
      <c r="E2670" s="3" t="s">
        <v>21</v>
      </c>
      <c r="F2670" s="3" t="s">
        <v>21</v>
      </c>
      <c r="G2670" s="3" t="s">
        <v>233</v>
      </c>
      <c r="H2670" s="3" t="s">
        <v>234</v>
      </c>
      <c r="I2670" s="3" t="s">
        <v>24</v>
      </c>
      <c r="J2670" s="3" t="s">
        <v>24</v>
      </c>
      <c r="K2670" s="3" t="s">
        <v>25</v>
      </c>
      <c r="L2670" s="4">
        <v>0</v>
      </c>
      <c r="M2670" s="3" t="s">
        <v>26</v>
      </c>
      <c r="N2670" s="3" t="s">
        <v>24</v>
      </c>
      <c r="O2670" s="4">
        <v>1</v>
      </c>
      <c r="P2670" s="4">
        <v>3</v>
      </c>
      <c r="Q2670" s="4">
        <v>1</v>
      </c>
    </row>
    <row r="2671" spans="1:17" x14ac:dyDescent="0.25">
      <c r="A2671" s="3" t="s">
        <v>18</v>
      </c>
      <c r="B2671" s="3">
        <v>16706025</v>
      </c>
      <c r="C2671" s="3" t="s">
        <v>2718</v>
      </c>
      <c r="D2671" s="3" t="s">
        <v>20</v>
      </c>
      <c r="E2671" s="3" t="s">
        <v>21</v>
      </c>
      <c r="F2671" s="3" t="s">
        <v>21</v>
      </c>
      <c r="G2671" s="3" t="s">
        <v>233</v>
      </c>
      <c r="H2671" s="3" t="s">
        <v>234</v>
      </c>
      <c r="I2671" s="3" t="s">
        <v>24</v>
      </c>
      <c r="J2671" s="3" t="s">
        <v>24</v>
      </c>
      <c r="K2671" s="3" t="s">
        <v>25</v>
      </c>
      <c r="L2671" s="4">
        <v>0</v>
      </c>
      <c r="M2671" s="3" t="s">
        <v>26</v>
      </c>
      <c r="N2671" s="3" t="s">
        <v>24</v>
      </c>
      <c r="O2671" s="4">
        <v>1</v>
      </c>
      <c r="P2671" s="4">
        <v>3</v>
      </c>
      <c r="Q2671" s="4">
        <v>1</v>
      </c>
    </row>
    <row r="2672" spans="1:17" x14ac:dyDescent="0.25">
      <c r="A2672" s="3" t="s">
        <v>18</v>
      </c>
      <c r="B2672" s="3">
        <v>16736520</v>
      </c>
      <c r="C2672" s="3" t="s">
        <v>2719</v>
      </c>
      <c r="D2672" s="3" t="s">
        <v>20</v>
      </c>
      <c r="E2672" s="3" t="s">
        <v>21</v>
      </c>
      <c r="F2672" s="3" t="s">
        <v>21</v>
      </c>
      <c r="G2672" s="3" t="s">
        <v>42</v>
      </c>
      <c r="H2672" s="3" t="s">
        <v>43</v>
      </c>
      <c r="I2672" s="3" t="s">
        <v>24</v>
      </c>
      <c r="J2672" s="3" t="s">
        <v>24</v>
      </c>
      <c r="K2672" s="3" t="s">
        <v>25</v>
      </c>
      <c r="L2672" s="4">
        <v>0</v>
      </c>
      <c r="M2672" s="3" t="s">
        <v>26</v>
      </c>
      <c r="N2672" s="3" t="s">
        <v>24</v>
      </c>
      <c r="O2672" s="4">
        <v>1</v>
      </c>
      <c r="P2672" s="4">
        <v>8</v>
      </c>
      <c r="Q2672" s="4">
        <v>1</v>
      </c>
    </row>
    <row r="2673" spans="1:17" x14ac:dyDescent="0.25">
      <c r="A2673" s="3" t="s">
        <v>18</v>
      </c>
      <c r="B2673" s="3">
        <v>16746943</v>
      </c>
      <c r="C2673" s="3" t="s">
        <v>2720</v>
      </c>
      <c r="D2673" s="3" t="s">
        <v>20</v>
      </c>
      <c r="E2673" s="3" t="s">
        <v>21</v>
      </c>
      <c r="F2673" s="3" t="s">
        <v>21</v>
      </c>
      <c r="G2673" s="3" t="s">
        <v>36</v>
      </c>
      <c r="H2673" s="3" t="s">
        <v>37</v>
      </c>
      <c r="I2673" s="3" t="s">
        <v>24</v>
      </c>
      <c r="J2673" s="3" t="s">
        <v>24</v>
      </c>
      <c r="K2673" s="3" t="s">
        <v>25</v>
      </c>
      <c r="L2673" s="4">
        <v>0</v>
      </c>
      <c r="M2673" s="3" t="s">
        <v>26</v>
      </c>
      <c r="N2673" s="3" t="s">
        <v>24</v>
      </c>
      <c r="O2673" s="4">
        <v>1</v>
      </c>
      <c r="P2673" s="4">
        <v>10</v>
      </c>
      <c r="Q2673" s="4">
        <v>1</v>
      </c>
    </row>
    <row r="2674" spans="1:17" x14ac:dyDescent="0.25">
      <c r="A2674" s="3" t="s">
        <v>18</v>
      </c>
      <c r="B2674" s="3">
        <v>16746947</v>
      </c>
      <c r="C2674" s="3" t="s">
        <v>2721</v>
      </c>
      <c r="D2674" s="3" t="s">
        <v>20</v>
      </c>
      <c r="E2674" s="3" t="s">
        <v>21</v>
      </c>
      <c r="F2674" s="3" t="s">
        <v>21</v>
      </c>
      <c r="G2674" s="3" t="s">
        <v>36</v>
      </c>
      <c r="H2674" s="3" t="s">
        <v>37</v>
      </c>
      <c r="I2674" s="3" t="s">
        <v>24</v>
      </c>
      <c r="J2674" s="3" t="s">
        <v>24</v>
      </c>
      <c r="K2674" s="3" t="s">
        <v>25</v>
      </c>
      <c r="L2674" s="4">
        <v>0</v>
      </c>
      <c r="M2674" s="3" t="s">
        <v>26</v>
      </c>
      <c r="N2674" s="3" t="s">
        <v>24</v>
      </c>
      <c r="O2674" s="4">
        <v>1</v>
      </c>
      <c r="P2674" s="4">
        <v>10</v>
      </c>
      <c r="Q2674" s="4">
        <v>1</v>
      </c>
    </row>
    <row r="2675" spans="1:17" x14ac:dyDescent="0.25">
      <c r="A2675" s="3" t="s">
        <v>18</v>
      </c>
      <c r="B2675" s="3">
        <v>16746978</v>
      </c>
      <c r="C2675" s="3" t="s">
        <v>2722</v>
      </c>
      <c r="D2675" s="3" t="s">
        <v>20</v>
      </c>
      <c r="E2675" s="3" t="s">
        <v>21</v>
      </c>
      <c r="F2675" s="3" t="s">
        <v>21</v>
      </c>
      <c r="G2675" s="3" t="s">
        <v>36</v>
      </c>
      <c r="H2675" s="3" t="s">
        <v>37</v>
      </c>
      <c r="I2675" s="3" t="s">
        <v>24</v>
      </c>
      <c r="J2675" s="3" t="s">
        <v>24</v>
      </c>
      <c r="K2675" s="3" t="s">
        <v>25</v>
      </c>
      <c r="L2675" s="4">
        <v>0</v>
      </c>
      <c r="M2675" s="3" t="s">
        <v>26</v>
      </c>
      <c r="N2675" s="3" t="s">
        <v>24</v>
      </c>
      <c r="O2675" s="4">
        <v>1</v>
      </c>
      <c r="P2675" s="4">
        <v>10</v>
      </c>
      <c r="Q2675" s="4">
        <v>1</v>
      </c>
    </row>
    <row r="2676" spans="1:17" x14ac:dyDescent="0.25">
      <c r="A2676" s="3" t="s">
        <v>18</v>
      </c>
      <c r="B2676" s="3">
        <v>16746980</v>
      </c>
      <c r="C2676" s="3" t="s">
        <v>2723</v>
      </c>
      <c r="D2676" s="3" t="s">
        <v>20</v>
      </c>
      <c r="E2676" s="3" t="s">
        <v>21</v>
      </c>
      <c r="F2676" s="3" t="s">
        <v>21</v>
      </c>
      <c r="G2676" s="3" t="s">
        <v>36</v>
      </c>
      <c r="H2676" s="3" t="s">
        <v>37</v>
      </c>
      <c r="I2676" s="3" t="s">
        <v>24</v>
      </c>
      <c r="J2676" s="3" t="s">
        <v>24</v>
      </c>
      <c r="K2676" s="3" t="s">
        <v>25</v>
      </c>
      <c r="L2676" s="4">
        <v>0</v>
      </c>
      <c r="M2676" s="3" t="s">
        <v>26</v>
      </c>
      <c r="N2676" s="3" t="s">
        <v>24</v>
      </c>
      <c r="O2676" s="4">
        <v>1</v>
      </c>
      <c r="P2676" s="4">
        <v>10</v>
      </c>
      <c r="Q2676" s="4">
        <v>1</v>
      </c>
    </row>
    <row r="2677" spans="1:17" x14ac:dyDescent="0.25">
      <c r="A2677" s="3" t="s">
        <v>18</v>
      </c>
      <c r="B2677" s="3">
        <v>16747045</v>
      </c>
      <c r="C2677" s="3" t="s">
        <v>2724</v>
      </c>
      <c r="D2677" s="3" t="s">
        <v>20</v>
      </c>
      <c r="E2677" s="3" t="s">
        <v>21</v>
      </c>
      <c r="F2677" s="3" t="s">
        <v>21</v>
      </c>
      <c r="G2677" s="3" t="s">
        <v>36</v>
      </c>
      <c r="H2677" s="3" t="s">
        <v>37</v>
      </c>
      <c r="I2677" s="3" t="s">
        <v>24</v>
      </c>
      <c r="J2677" s="3" t="s">
        <v>24</v>
      </c>
      <c r="K2677" s="3" t="s">
        <v>25</v>
      </c>
      <c r="L2677" s="4">
        <v>0</v>
      </c>
      <c r="M2677" s="3" t="s">
        <v>26</v>
      </c>
      <c r="N2677" s="3" t="s">
        <v>24</v>
      </c>
      <c r="O2677" s="4">
        <v>1</v>
      </c>
      <c r="P2677" s="4">
        <v>10</v>
      </c>
      <c r="Q2677" s="4">
        <v>1</v>
      </c>
    </row>
    <row r="2678" spans="1:17" x14ac:dyDescent="0.25">
      <c r="A2678" s="3" t="s">
        <v>18</v>
      </c>
      <c r="B2678" s="3">
        <v>16747614</v>
      </c>
      <c r="C2678" s="3" t="s">
        <v>2725</v>
      </c>
      <c r="D2678" s="3" t="s">
        <v>20</v>
      </c>
      <c r="E2678" s="3" t="s">
        <v>21</v>
      </c>
      <c r="F2678" s="3" t="s">
        <v>21</v>
      </c>
      <c r="G2678" s="3" t="s">
        <v>36</v>
      </c>
      <c r="H2678" s="3" t="s">
        <v>37</v>
      </c>
      <c r="I2678" s="3" t="s">
        <v>24</v>
      </c>
      <c r="J2678" s="3" t="s">
        <v>24</v>
      </c>
      <c r="K2678" s="3" t="s">
        <v>25</v>
      </c>
      <c r="L2678" s="4">
        <v>0</v>
      </c>
      <c r="M2678" s="3" t="s">
        <v>26</v>
      </c>
      <c r="N2678" s="3" t="s">
        <v>24</v>
      </c>
      <c r="O2678" s="4">
        <v>1</v>
      </c>
      <c r="P2678" s="4">
        <v>10</v>
      </c>
      <c r="Q2678" s="4">
        <v>1</v>
      </c>
    </row>
    <row r="2679" spans="1:17" x14ac:dyDescent="0.25">
      <c r="A2679" s="3" t="s">
        <v>18</v>
      </c>
      <c r="B2679" s="3">
        <v>16752066</v>
      </c>
      <c r="C2679" s="3" t="s">
        <v>2726</v>
      </c>
      <c r="D2679" s="3" t="s">
        <v>20</v>
      </c>
      <c r="E2679" s="3" t="s">
        <v>21</v>
      </c>
      <c r="F2679" s="3" t="s">
        <v>21</v>
      </c>
      <c r="G2679" s="3" t="s">
        <v>233</v>
      </c>
      <c r="H2679" s="3" t="s">
        <v>234</v>
      </c>
      <c r="I2679" s="3" t="s">
        <v>24</v>
      </c>
      <c r="J2679" s="3" t="s">
        <v>24</v>
      </c>
      <c r="K2679" s="3" t="s">
        <v>25</v>
      </c>
      <c r="L2679" s="4">
        <v>0</v>
      </c>
      <c r="M2679" s="3" t="s">
        <v>26</v>
      </c>
      <c r="N2679" s="3" t="s">
        <v>24</v>
      </c>
      <c r="O2679" s="4">
        <v>1</v>
      </c>
      <c r="P2679" s="4">
        <v>3</v>
      </c>
      <c r="Q2679" s="4">
        <v>1</v>
      </c>
    </row>
    <row r="2680" spans="1:17" x14ac:dyDescent="0.25">
      <c r="A2680" s="3" t="s">
        <v>18</v>
      </c>
      <c r="B2680" s="3">
        <v>16756855</v>
      </c>
      <c r="C2680" s="3" t="s">
        <v>2727</v>
      </c>
      <c r="D2680" s="3" t="s">
        <v>20</v>
      </c>
      <c r="E2680" s="3" t="s">
        <v>21</v>
      </c>
      <c r="F2680" s="3" t="s">
        <v>21</v>
      </c>
      <c r="G2680" s="3" t="s">
        <v>42</v>
      </c>
      <c r="H2680" s="3" t="s">
        <v>43</v>
      </c>
      <c r="I2680" s="3" t="s">
        <v>24</v>
      </c>
      <c r="J2680" s="3" t="s">
        <v>24</v>
      </c>
      <c r="K2680" s="3" t="s">
        <v>25</v>
      </c>
      <c r="L2680" s="4">
        <v>0</v>
      </c>
      <c r="M2680" s="3" t="s">
        <v>26</v>
      </c>
      <c r="N2680" s="3" t="s">
        <v>24</v>
      </c>
      <c r="O2680" s="4">
        <v>1</v>
      </c>
      <c r="P2680" s="4">
        <v>8</v>
      </c>
      <c r="Q2680" s="4">
        <v>1</v>
      </c>
    </row>
    <row r="2681" spans="1:17" x14ac:dyDescent="0.25">
      <c r="A2681" s="3" t="s">
        <v>18</v>
      </c>
      <c r="B2681" s="3">
        <v>16757331</v>
      </c>
      <c r="C2681" s="3" t="s">
        <v>2728</v>
      </c>
      <c r="D2681" s="3" t="s">
        <v>20</v>
      </c>
      <c r="E2681" s="3" t="s">
        <v>21</v>
      </c>
      <c r="F2681" s="3" t="s">
        <v>21</v>
      </c>
      <c r="G2681" s="3" t="s">
        <v>42</v>
      </c>
      <c r="H2681" s="3" t="s">
        <v>43</v>
      </c>
      <c r="I2681" s="3" t="s">
        <v>24</v>
      </c>
      <c r="J2681" s="3" t="s">
        <v>24</v>
      </c>
      <c r="K2681" s="3" t="s">
        <v>25</v>
      </c>
      <c r="L2681" s="4">
        <v>0</v>
      </c>
      <c r="M2681" s="3" t="s">
        <v>26</v>
      </c>
      <c r="N2681" s="3" t="s">
        <v>24</v>
      </c>
      <c r="O2681" s="4">
        <v>1</v>
      </c>
      <c r="P2681" s="4">
        <v>8</v>
      </c>
      <c r="Q2681" s="4">
        <v>1</v>
      </c>
    </row>
    <row r="2682" spans="1:17" x14ac:dyDescent="0.25">
      <c r="A2682" s="3" t="s">
        <v>18</v>
      </c>
      <c r="B2682" s="3">
        <v>16759696</v>
      </c>
      <c r="C2682" s="3" t="s">
        <v>2729</v>
      </c>
      <c r="D2682" s="3" t="s">
        <v>20</v>
      </c>
      <c r="E2682" s="3" t="s">
        <v>21</v>
      </c>
      <c r="F2682" s="3" t="s">
        <v>21</v>
      </c>
      <c r="G2682" s="3" t="s">
        <v>233</v>
      </c>
      <c r="H2682" s="3" t="s">
        <v>234</v>
      </c>
      <c r="I2682" s="3" t="s">
        <v>24</v>
      </c>
      <c r="J2682" s="3" t="s">
        <v>24</v>
      </c>
      <c r="K2682" s="3" t="s">
        <v>25</v>
      </c>
      <c r="L2682" s="4">
        <v>0</v>
      </c>
      <c r="M2682" s="3" t="s">
        <v>26</v>
      </c>
      <c r="N2682" s="3" t="s">
        <v>24</v>
      </c>
      <c r="O2682" s="4">
        <v>1</v>
      </c>
      <c r="P2682" s="4">
        <v>2</v>
      </c>
      <c r="Q2682" s="4">
        <v>1</v>
      </c>
    </row>
    <row r="2683" spans="1:17" x14ac:dyDescent="0.25">
      <c r="A2683" s="3" t="s">
        <v>18</v>
      </c>
      <c r="B2683" s="3">
        <v>16766369</v>
      </c>
      <c r="C2683" s="3" t="s">
        <v>2730</v>
      </c>
      <c r="D2683" s="3" t="s">
        <v>20</v>
      </c>
      <c r="E2683" s="3" t="s">
        <v>21</v>
      </c>
      <c r="F2683" s="3" t="s">
        <v>21</v>
      </c>
      <c r="G2683" s="3" t="s">
        <v>36</v>
      </c>
      <c r="H2683" s="3" t="s">
        <v>37</v>
      </c>
      <c r="I2683" s="3" t="s">
        <v>24</v>
      </c>
      <c r="J2683" s="3" t="s">
        <v>24</v>
      </c>
      <c r="K2683" s="3" t="s">
        <v>25</v>
      </c>
      <c r="L2683" s="4">
        <v>0</v>
      </c>
      <c r="M2683" s="3" t="s">
        <v>26</v>
      </c>
      <c r="N2683" s="3" t="s">
        <v>24</v>
      </c>
      <c r="O2683" s="4">
        <v>1</v>
      </c>
      <c r="P2683" s="4">
        <v>10</v>
      </c>
      <c r="Q2683" s="4">
        <v>1</v>
      </c>
    </row>
    <row r="2684" spans="1:17" x14ac:dyDescent="0.25">
      <c r="A2684" s="3" t="s">
        <v>18</v>
      </c>
      <c r="B2684" s="3">
        <v>16774388</v>
      </c>
      <c r="C2684" s="3" t="s">
        <v>2731</v>
      </c>
      <c r="D2684" s="3" t="s">
        <v>1360</v>
      </c>
      <c r="E2684" s="3" t="s">
        <v>21</v>
      </c>
      <c r="F2684" s="3" t="s">
        <v>21</v>
      </c>
      <c r="G2684" s="3" t="s">
        <v>36</v>
      </c>
      <c r="H2684" s="3" t="s">
        <v>37</v>
      </c>
      <c r="I2684" s="3" t="s">
        <v>24</v>
      </c>
      <c r="J2684" s="3" t="s">
        <v>24</v>
      </c>
      <c r="K2684" s="3" t="s">
        <v>25</v>
      </c>
      <c r="L2684" s="4">
        <v>0</v>
      </c>
      <c r="M2684" s="3" t="s">
        <v>26</v>
      </c>
      <c r="N2684" s="3" t="s">
        <v>24</v>
      </c>
      <c r="O2684" s="4">
        <v>1</v>
      </c>
      <c r="P2684" s="4">
        <v>10</v>
      </c>
      <c r="Q2684" s="4">
        <v>1</v>
      </c>
    </row>
    <row r="2685" spans="1:17" x14ac:dyDescent="0.25">
      <c r="A2685" s="3" t="s">
        <v>18</v>
      </c>
      <c r="B2685" s="3">
        <v>16774389</v>
      </c>
      <c r="C2685" s="3" t="s">
        <v>2732</v>
      </c>
      <c r="D2685" s="3" t="s">
        <v>1360</v>
      </c>
      <c r="E2685" s="3" t="s">
        <v>21</v>
      </c>
      <c r="F2685" s="3" t="s">
        <v>21</v>
      </c>
      <c r="G2685" s="3" t="s">
        <v>36</v>
      </c>
      <c r="H2685" s="3" t="s">
        <v>37</v>
      </c>
      <c r="I2685" s="3" t="s">
        <v>24</v>
      </c>
      <c r="J2685" s="3" t="s">
        <v>24</v>
      </c>
      <c r="K2685" s="3" t="s">
        <v>25</v>
      </c>
      <c r="L2685" s="4">
        <v>0</v>
      </c>
      <c r="M2685" s="3" t="s">
        <v>26</v>
      </c>
      <c r="N2685" s="3" t="s">
        <v>24</v>
      </c>
      <c r="O2685" s="4">
        <v>1</v>
      </c>
      <c r="P2685" s="4">
        <v>10</v>
      </c>
      <c r="Q2685" s="4">
        <v>1</v>
      </c>
    </row>
    <row r="2686" spans="1:17" x14ac:dyDescent="0.25">
      <c r="A2686" s="3" t="s">
        <v>18</v>
      </c>
      <c r="B2686" s="3">
        <v>16774393</v>
      </c>
      <c r="C2686" s="3" t="s">
        <v>2733</v>
      </c>
      <c r="D2686" s="3" t="s">
        <v>1360</v>
      </c>
      <c r="E2686" s="3" t="s">
        <v>21</v>
      </c>
      <c r="F2686" s="3" t="s">
        <v>21</v>
      </c>
      <c r="G2686" s="3" t="s">
        <v>36</v>
      </c>
      <c r="H2686" s="3" t="s">
        <v>37</v>
      </c>
      <c r="I2686" s="3" t="s">
        <v>24</v>
      </c>
      <c r="J2686" s="3" t="s">
        <v>24</v>
      </c>
      <c r="K2686" s="3" t="s">
        <v>25</v>
      </c>
      <c r="L2686" s="4">
        <v>0</v>
      </c>
      <c r="M2686" s="3" t="s">
        <v>26</v>
      </c>
      <c r="N2686" s="3" t="s">
        <v>24</v>
      </c>
      <c r="O2686" s="4">
        <v>1</v>
      </c>
      <c r="P2686" s="4">
        <v>10</v>
      </c>
      <c r="Q2686" s="4">
        <v>1</v>
      </c>
    </row>
    <row r="2687" spans="1:17" x14ac:dyDescent="0.25">
      <c r="A2687" s="3" t="s">
        <v>18</v>
      </c>
      <c r="B2687" s="3">
        <v>16774394</v>
      </c>
      <c r="C2687" s="3" t="s">
        <v>2734</v>
      </c>
      <c r="D2687" s="3" t="s">
        <v>1360</v>
      </c>
      <c r="E2687" s="3" t="s">
        <v>21</v>
      </c>
      <c r="F2687" s="3" t="s">
        <v>21</v>
      </c>
      <c r="G2687" s="3" t="s">
        <v>36</v>
      </c>
      <c r="H2687" s="3" t="s">
        <v>37</v>
      </c>
      <c r="I2687" s="3" t="s">
        <v>24</v>
      </c>
      <c r="J2687" s="3" t="s">
        <v>24</v>
      </c>
      <c r="K2687" s="3" t="s">
        <v>25</v>
      </c>
      <c r="L2687" s="4">
        <v>0</v>
      </c>
      <c r="M2687" s="3" t="s">
        <v>26</v>
      </c>
      <c r="N2687" s="3" t="s">
        <v>24</v>
      </c>
      <c r="O2687" s="4">
        <v>1</v>
      </c>
      <c r="P2687" s="4">
        <v>10</v>
      </c>
      <c r="Q2687" s="4">
        <v>1</v>
      </c>
    </row>
    <row r="2688" spans="1:17" x14ac:dyDescent="0.25">
      <c r="A2688" s="3" t="s">
        <v>18</v>
      </c>
      <c r="B2688" s="3">
        <v>16774396</v>
      </c>
      <c r="C2688" s="3" t="s">
        <v>2735</v>
      </c>
      <c r="D2688" s="3" t="s">
        <v>1360</v>
      </c>
      <c r="E2688" s="3" t="s">
        <v>21</v>
      </c>
      <c r="F2688" s="3" t="s">
        <v>21</v>
      </c>
      <c r="G2688" s="3" t="s">
        <v>36</v>
      </c>
      <c r="H2688" s="3" t="s">
        <v>37</v>
      </c>
      <c r="I2688" s="3" t="s">
        <v>24</v>
      </c>
      <c r="J2688" s="3" t="s">
        <v>24</v>
      </c>
      <c r="K2688" s="3" t="s">
        <v>25</v>
      </c>
      <c r="L2688" s="4">
        <v>0</v>
      </c>
      <c r="M2688" s="3" t="s">
        <v>26</v>
      </c>
      <c r="N2688" s="3" t="s">
        <v>24</v>
      </c>
      <c r="O2688" s="4">
        <v>1</v>
      </c>
      <c r="P2688" s="4">
        <v>10</v>
      </c>
      <c r="Q2688" s="4">
        <v>1</v>
      </c>
    </row>
    <row r="2689" spans="1:17" x14ac:dyDescent="0.25">
      <c r="A2689" s="3" t="s">
        <v>18</v>
      </c>
      <c r="B2689" s="3">
        <v>16774397</v>
      </c>
      <c r="C2689" s="3" t="s">
        <v>2736</v>
      </c>
      <c r="D2689" s="3" t="s">
        <v>1360</v>
      </c>
      <c r="E2689" s="3" t="s">
        <v>21</v>
      </c>
      <c r="F2689" s="3" t="s">
        <v>21</v>
      </c>
      <c r="G2689" s="3" t="s">
        <v>36</v>
      </c>
      <c r="H2689" s="3" t="s">
        <v>37</v>
      </c>
      <c r="I2689" s="3" t="s">
        <v>24</v>
      </c>
      <c r="J2689" s="3" t="s">
        <v>24</v>
      </c>
      <c r="K2689" s="3" t="s">
        <v>25</v>
      </c>
      <c r="L2689" s="4">
        <v>0</v>
      </c>
      <c r="M2689" s="3" t="s">
        <v>26</v>
      </c>
      <c r="N2689" s="3" t="s">
        <v>24</v>
      </c>
      <c r="O2689" s="4">
        <v>1</v>
      </c>
      <c r="P2689" s="4">
        <v>10</v>
      </c>
      <c r="Q2689" s="4">
        <v>1</v>
      </c>
    </row>
    <row r="2690" spans="1:17" x14ac:dyDescent="0.25">
      <c r="A2690" s="3" t="s">
        <v>18</v>
      </c>
      <c r="B2690" s="3">
        <v>16779948</v>
      </c>
      <c r="C2690" s="3" t="s">
        <v>2737</v>
      </c>
      <c r="D2690" s="3" t="s">
        <v>1360</v>
      </c>
      <c r="E2690" s="3" t="s">
        <v>21</v>
      </c>
      <c r="F2690" s="3" t="s">
        <v>21</v>
      </c>
      <c r="G2690" s="3" t="s">
        <v>233</v>
      </c>
      <c r="H2690" s="3" t="s">
        <v>234</v>
      </c>
      <c r="I2690" s="3" t="s">
        <v>24</v>
      </c>
      <c r="J2690" s="3" t="s">
        <v>24</v>
      </c>
      <c r="K2690" s="3" t="s">
        <v>25</v>
      </c>
      <c r="L2690" s="4">
        <v>0</v>
      </c>
      <c r="M2690" s="3" t="s">
        <v>26</v>
      </c>
      <c r="N2690" s="3" t="s">
        <v>24</v>
      </c>
      <c r="O2690" s="4">
        <v>1</v>
      </c>
      <c r="P2690" s="4">
        <v>2</v>
      </c>
      <c r="Q2690" s="4">
        <v>1</v>
      </c>
    </row>
    <row r="2691" spans="1:17" x14ac:dyDescent="0.25">
      <c r="A2691" s="3" t="s">
        <v>18</v>
      </c>
      <c r="B2691" s="3">
        <v>16780079</v>
      </c>
      <c r="C2691" s="3" t="s">
        <v>2738</v>
      </c>
      <c r="D2691" s="3" t="s">
        <v>1360</v>
      </c>
      <c r="E2691" s="3" t="s">
        <v>21</v>
      </c>
      <c r="F2691" s="3" t="s">
        <v>21</v>
      </c>
      <c r="G2691" s="3" t="s">
        <v>36</v>
      </c>
      <c r="H2691" s="3" t="s">
        <v>37</v>
      </c>
      <c r="I2691" s="3" t="s">
        <v>24</v>
      </c>
      <c r="J2691" s="3" t="s">
        <v>24</v>
      </c>
      <c r="K2691" s="3" t="s">
        <v>25</v>
      </c>
      <c r="L2691" s="4">
        <v>0</v>
      </c>
      <c r="M2691" s="3" t="s">
        <v>26</v>
      </c>
      <c r="N2691" s="3" t="s">
        <v>24</v>
      </c>
      <c r="O2691" s="4">
        <v>1</v>
      </c>
      <c r="P2691" s="4">
        <v>10</v>
      </c>
      <c r="Q2691" s="4">
        <v>1</v>
      </c>
    </row>
    <row r="2692" spans="1:17" x14ac:dyDescent="0.25">
      <c r="A2692" s="3" t="s">
        <v>18</v>
      </c>
      <c r="B2692" s="3">
        <v>16780085</v>
      </c>
      <c r="C2692" s="3" t="s">
        <v>2739</v>
      </c>
      <c r="D2692" s="3" t="s">
        <v>1360</v>
      </c>
      <c r="E2692" s="3" t="s">
        <v>21</v>
      </c>
      <c r="F2692" s="3" t="s">
        <v>21</v>
      </c>
      <c r="G2692" s="3" t="s">
        <v>233</v>
      </c>
      <c r="H2692" s="3" t="s">
        <v>234</v>
      </c>
      <c r="I2692" s="3" t="s">
        <v>24</v>
      </c>
      <c r="J2692" s="3" t="s">
        <v>24</v>
      </c>
      <c r="K2692" s="3" t="s">
        <v>25</v>
      </c>
      <c r="L2692" s="4">
        <v>0</v>
      </c>
      <c r="M2692" s="3" t="s">
        <v>26</v>
      </c>
      <c r="N2692" s="3" t="s">
        <v>24</v>
      </c>
      <c r="O2692" s="4">
        <v>1</v>
      </c>
      <c r="P2692" s="4">
        <v>3</v>
      </c>
      <c r="Q2692" s="4">
        <v>1</v>
      </c>
    </row>
    <row r="2693" spans="1:17" x14ac:dyDescent="0.25">
      <c r="A2693" s="3" t="s">
        <v>18</v>
      </c>
      <c r="B2693" s="3">
        <v>16800080</v>
      </c>
      <c r="C2693" s="3" t="s">
        <v>2740</v>
      </c>
      <c r="D2693" s="3" t="s">
        <v>20</v>
      </c>
      <c r="E2693" s="3" t="s">
        <v>21</v>
      </c>
      <c r="F2693" s="3" t="s">
        <v>21</v>
      </c>
      <c r="G2693" s="3" t="s">
        <v>22</v>
      </c>
      <c r="H2693" s="3" t="s">
        <v>23</v>
      </c>
      <c r="I2693" s="3" t="s">
        <v>24</v>
      </c>
      <c r="J2693" s="3" t="s">
        <v>24</v>
      </c>
      <c r="K2693" s="3" t="s">
        <v>25</v>
      </c>
      <c r="L2693" s="4">
        <v>0</v>
      </c>
      <c r="M2693" s="3" t="s">
        <v>26</v>
      </c>
      <c r="N2693" s="3" t="s">
        <v>24</v>
      </c>
      <c r="O2693" s="4">
        <v>1</v>
      </c>
      <c r="P2693" s="4">
        <v>4</v>
      </c>
      <c r="Q2693" s="4">
        <v>1</v>
      </c>
    </row>
    <row r="2694" spans="1:17" x14ac:dyDescent="0.25">
      <c r="A2694" s="3" t="s">
        <v>18</v>
      </c>
      <c r="B2694" s="3">
        <v>16800085</v>
      </c>
      <c r="C2694" s="3" t="s">
        <v>2741</v>
      </c>
      <c r="D2694" s="3" t="s">
        <v>20</v>
      </c>
      <c r="E2694" s="3" t="s">
        <v>21</v>
      </c>
      <c r="F2694" s="3" t="s">
        <v>21</v>
      </c>
      <c r="G2694" s="3" t="s">
        <v>22</v>
      </c>
      <c r="H2694" s="3" t="s">
        <v>23</v>
      </c>
      <c r="I2694" s="3" t="s">
        <v>24</v>
      </c>
      <c r="J2694" s="3" t="s">
        <v>24</v>
      </c>
      <c r="K2694" s="3" t="s">
        <v>25</v>
      </c>
      <c r="L2694" s="4">
        <v>0</v>
      </c>
      <c r="M2694" s="3" t="s">
        <v>26</v>
      </c>
      <c r="N2694" s="3" t="s">
        <v>24</v>
      </c>
      <c r="O2694" s="4">
        <v>1</v>
      </c>
      <c r="P2694" s="4">
        <v>4</v>
      </c>
      <c r="Q2694" s="4">
        <v>1</v>
      </c>
    </row>
    <row r="2695" spans="1:17" x14ac:dyDescent="0.25">
      <c r="A2695" s="3" t="s">
        <v>18</v>
      </c>
      <c r="B2695" s="3">
        <v>16825551</v>
      </c>
      <c r="C2695" s="3" t="s">
        <v>2742</v>
      </c>
      <c r="D2695" s="3" t="s">
        <v>1360</v>
      </c>
      <c r="E2695" s="3" t="s">
        <v>21</v>
      </c>
      <c r="F2695" s="3" t="s">
        <v>21</v>
      </c>
      <c r="G2695" s="3" t="s">
        <v>36</v>
      </c>
      <c r="H2695" s="3" t="s">
        <v>37</v>
      </c>
      <c r="I2695" s="3" t="s">
        <v>24</v>
      </c>
      <c r="J2695" s="3" t="s">
        <v>24</v>
      </c>
      <c r="K2695" s="3" t="s">
        <v>25</v>
      </c>
      <c r="L2695" s="4">
        <v>0</v>
      </c>
      <c r="M2695" s="3" t="s">
        <v>26</v>
      </c>
      <c r="N2695" s="3" t="s">
        <v>24</v>
      </c>
      <c r="O2695" s="4">
        <v>1</v>
      </c>
      <c r="P2695" s="4">
        <v>10</v>
      </c>
      <c r="Q2695" s="4">
        <v>1</v>
      </c>
    </row>
    <row r="2696" spans="1:17" x14ac:dyDescent="0.25">
      <c r="A2696" s="3" t="s">
        <v>18</v>
      </c>
      <c r="B2696" s="3">
        <v>16834681</v>
      </c>
      <c r="C2696" s="3" t="s">
        <v>2743</v>
      </c>
      <c r="D2696" s="3" t="s">
        <v>20</v>
      </c>
      <c r="E2696" s="3" t="s">
        <v>21</v>
      </c>
      <c r="F2696" s="3" t="s">
        <v>21</v>
      </c>
      <c r="G2696" s="3" t="s">
        <v>30</v>
      </c>
      <c r="H2696" s="3" t="s">
        <v>31</v>
      </c>
      <c r="I2696" s="3" t="s">
        <v>24</v>
      </c>
      <c r="J2696" s="3" t="s">
        <v>24</v>
      </c>
      <c r="K2696" s="3" t="s">
        <v>25</v>
      </c>
      <c r="L2696" s="4">
        <v>0</v>
      </c>
      <c r="M2696" s="3" t="s">
        <v>26</v>
      </c>
      <c r="N2696" s="3" t="s">
        <v>24</v>
      </c>
      <c r="O2696" s="4">
        <v>1</v>
      </c>
      <c r="P2696" s="4">
        <v>9</v>
      </c>
      <c r="Q2696" s="4">
        <v>1</v>
      </c>
    </row>
    <row r="2697" spans="1:17" x14ac:dyDescent="0.25">
      <c r="A2697" s="3" t="s">
        <v>18</v>
      </c>
      <c r="B2697" s="3">
        <v>16834683</v>
      </c>
      <c r="C2697" s="3" t="s">
        <v>2744</v>
      </c>
      <c r="D2697" s="3" t="s">
        <v>20</v>
      </c>
      <c r="E2697" s="3" t="s">
        <v>21</v>
      </c>
      <c r="F2697" s="3" t="s">
        <v>21</v>
      </c>
      <c r="G2697" s="3" t="s">
        <v>30</v>
      </c>
      <c r="H2697" s="3" t="s">
        <v>31</v>
      </c>
      <c r="I2697" s="3" t="s">
        <v>24</v>
      </c>
      <c r="J2697" s="3" t="s">
        <v>24</v>
      </c>
      <c r="K2697" s="3" t="s">
        <v>25</v>
      </c>
      <c r="L2697" s="4">
        <v>0</v>
      </c>
      <c r="M2697" s="3" t="s">
        <v>26</v>
      </c>
      <c r="N2697" s="3" t="s">
        <v>24</v>
      </c>
      <c r="O2697" s="4">
        <v>1</v>
      </c>
      <c r="P2697" s="4">
        <v>9</v>
      </c>
      <c r="Q2697" s="4">
        <v>1</v>
      </c>
    </row>
    <row r="2698" spans="1:17" x14ac:dyDescent="0.25">
      <c r="A2698" s="3" t="s">
        <v>18</v>
      </c>
      <c r="B2698" s="3">
        <v>16834685</v>
      </c>
      <c r="C2698" s="3" t="s">
        <v>2745</v>
      </c>
      <c r="D2698" s="3" t="s">
        <v>20</v>
      </c>
      <c r="E2698" s="3" t="s">
        <v>21</v>
      </c>
      <c r="F2698" s="3" t="s">
        <v>21</v>
      </c>
      <c r="G2698" s="3" t="s">
        <v>30</v>
      </c>
      <c r="H2698" s="3" t="s">
        <v>31</v>
      </c>
      <c r="I2698" s="3" t="s">
        <v>24</v>
      </c>
      <c r="J2698" s="3" t="s">
        <v>24</v>
      </c>
      <c r="K2698" s="3" t="s">
        <v>25</v>
      </c>
      <c r="L2698" s="4">
        <v>0</v>
      </c>
      <c r="M2698" s="3" t="s">
        <v>26</v>
      </c>
      <c r="N2698" s="3" t="s">
        <v>24</v>
      </c>
      <c r="O2698" s="4">
        <v>1</v>
      </c>
      <c r="P2698" s="4">
        <v>8</v>
      </c>
      <c r="Q2698" s="4">
        <v>1</v>
      </c>
    </row>
    <row r="2699" spans="1:17" x14ac:dyDescent="0.25">
      <c r="A2699" s="3" t="s">
        <v>18</v>
      </c>
      <c r="B2699" s="3">
        <v>16834687</v>
      </c>
      <c r="C2699" s="3" t="s">
        <v>2746</v>
      </c>
      <c r="D2699" s="3" t="s">
        <v>20</v>
      </c>
      <c r="E2699" s="3" t="s">
        <v>21</v>
      </c>
      <c r="F2699" s="3" t="s">
        <v>21</v>
      </c>
      <c r="G2699" s="3" t="s">
        <v>42</v>
      </c>
      <c r="H2699" s="3" t="s">
        <v>43</v>
      </c>
      <c r="I2699" s="3" t="s">
        <v>24</v>
      </c>
      <c r="J2699" s="3" t="s">
        <v>24</v>
      </c>
      <c r="K2699" s="3" t="s">
        <v>25</v>
      </c>
      <c r="L2699" s="4">
        <v>0</v>
      </c>
      <c r="M2699" s="3" t="s">
        <v>26</v>
      </c>
      <c r="N2699" s="3" t="s">
        <v>24</v>
      </c>
      <c r="O2699" s="4">
        <v>1</v>
      </c>
      <c r="P2699" s="4">
        <v>8</v>
      </c>
      <c r="Q2699" s="4">
        <v>1</v>
      </c>
    </row>
    <row r="2700" spans="1:17" x14ac:dyDescent="0.25">
      <c r="A2700" s="3" t="s">
        <v>18</v>
      </c>
      <c r="B2700" s="3">
        <v>16834731</v>
      </c>
      <c r="C2700" s="3" t="s">
        <v>2747</v>
      </c>
      <c r="D2700" s="3" t="s">
        <v>20</v>
      </c>
      <c r="E2700" s="3" t="s">
        <v>21</v>
      </c>
      <c r="F2700" s="3" t="s">
        <v>21</v>
      </c>
      <c r="G2700" s="3" t="s">
        <v>42</v>
      </c>
      <c r="H2700" s="3" t="s">
        <v>43</v>
      </c>
      <c r="I2700" s="3" t="s">
        <v>24</v>
      </c>
      <c r="J2700" s="3" t="s">
        <v>24</v>
      </c>
      <c r="K2700" s="3" t="s">
        <v>25</v>
      </c>
      <c r="L2700" s="4">
        <v>0</v>
      </c>
      <c r="M2700" s="3" t="s">
        <v>26</v>
      </c>
      <c r="N2700" s="3" t="s">
        <v>24</v>
      </c>
      <c r="O2700" s="4">
        <v>1</v>
      </c>
      <c r="P2700" s="4">
        <v>8</v>
      </c>
      <c r="Q2700" s="4">
        <v>1</v>
      </c>
    </row>
    <row r="2701" spans="1:17" x14ac:dyDescent="0.25">
      <c r="A2701" s="3" t="s">
        <v>18</v>
      </c>
      <c r="B2701" s="3">
        <v>16834734</v>
      </c>
      <c r="C2701" s="3" t="s">
        <v>2748</v>
      </c>
      <c r="D2701" s="3" t="s">
        <v>20</v>
      </c>
      <c r="E2701" s="3" t="s">
        <v>21</v>
      </c>
      <c r="F2701" s="3" t="s">
        <v>21</v>
      </c>
      <c r="G2701" s="3" t="s">
        <v>36</v>
      </c>
      <c r="H2701" s="3" t="s">
        <v>37</v>
      </c>
      <c r="I2701" s="3" t="s">
        <v>24</v>
      </c>
      <c r="J2701" s="3" t="s">
        <v>24</v>
      </c>
      <c r="K2701" s="3" t="s">
        <v>25</v>
      </c>
      <c r="L2701" s="4">
        <v>0</v>
      </c>
      <c r="M2701" s="3" t="s">
        <v>26</v>
      </c>
      <c r="N2701" s="3" t="s">
        <v>24</v>
      </c>
      <c r="O2701" s="4">
        <v>1</v>
      </c>
      <c r="P2701" s="4">
        <v>10</v>
      </c>
      <c r="Q2701" s="4">
        <v>1</v>
      </c>
    </row>
    <row r="2702" spans="1:17" x14ac:dyDescent="0.25">
      <c r="A2702" s="3" t="s">
        <v>18</v>
      </c>
      <c r="B2702" s="3">
        <v>16853430</v>
      </c>
      <c r="C2702" s="3" t="s">
        <v>2749</v>
      </c>
      <c r="D2702" s="3" t="s">
        <v>20</v>
      </c>
      <c r="E2702" s="3" t="s">
        <v>21</v>
      </c>
      <c r="F2702" s="3" t="s">
        <v>21</v>
      </c>
      <c r="G2702" s="3" t="s">
        <v>30</v>
      </c>
      <c r="H2702" s="3" t="s">
        <v>31</v>
      </c>
      <c r="I2702" s="3" t="s">
        <v>24</v>
      </c>
      <c r="J2702" s="3" t="s">
        <v>24</v>
      </c>
      <c r="K2702" s="3" t="s">
        <v>25</v>
      </c>
      <c r="L2702" s="4">
        <v>0</v>
      </c>
      <c r="M2702" s="3" t="s">
        <v>26</v>
      </c>
      <c r="N2702" s="3" t="s">
        <v>24</v>
      </c>
      <c r="O2702" s="4">
        <v>1</v>
      </c>
      <c r="P2702" s="4">
        <v>9</v>
      </c>
      <c r="Q2702" s="4">
        <v>1</v>
      </c>
    </row>
    <row r="2703" spans="1:17" x14ac:dyDescent="0.25">
      <c r="A2703" s="3" t="s">
        <v>18</v>
      </c>
      <c r="B2703" s="3">
        <v>16857858</v>
      </c>
      <c r="C2703" s="3" t="s">
        <v>2750</v>
      </c>
      <c r="D2703" s="3" t="s">
        <v>20</v>
      </c>
      <c r="E2703" s="3" t="s">
        <v>21</v>
      </c>
      <c r="F2703" s="3" t="s">
        <v>21</v>
      </c>
      <c r="G2703" s="3" t="s">
        <v>42</v>
      </c>
      <c r="H2703" s="3" t="s">
        <v>43</v>
      </c>
      <c r="I2703" s="3" t="s">
        <v>24</v>
      </c>
      <c r="J2703" s="3" t="s">
        <v>24</v>
      </c>
      <c r="K2703" s="3" t="s">
        <v>25</v>
      </c>
      <c r="L2703" s="4">
        <v>0</v>
      </c>
      <c r="M2703" s="3" t="s">
        <v>26</v>
      </c>
      <c r="N2703" s="3" t="s">
        <v>24</v>
      </c>
      <c r="O2703" s="4">
        <v>1</v>
      </c>
      <c r="P2703" s="4">
        <v>8</v>
      </c>
      <c r="Q2703" s="4">
        <v>1</v>
      </c>
    </row>
    <row r="2704" spans="1:17" x14ac:dyDescent="0.25">
      <c r="A2704" s="3" t="s">
        <v>18</v>
      </c>
      <c r="B2704" s="3">
        <v>16893735</v>
      </c>
      <c r="C2704" s="3" t="s">
        <v>2751</v>
      </c>
      <c r="D2704" s="3" t="s">
        <v>20</v>
      </c>
      <c r="E2704" s="3" t="s">
        <v>21</v>
      </c>
      <c r="F2704" s="3" t="s">
        <v>21</v>
      </c>
      <c r="G2704" s="3" t="s">
        <v>30</v>
      </c>
      <c r="H2704" s="3" t="s">
        <v>31</v>
      </c>
      <c r="I2704" s="3" t="s">
        <v>24</v>
      </c>
      <c r="J2704" s="3" t="s">
        <v>24</v>
      </c>
      <c r="K2704" s="3" t="s">
        <v>25</v>
      </c>
      <c r="L2704" s="4">
        <v>0</v>
      </c>
      <c r="M2704" s="3" t="s">
        <v>26</v>
      </c>
      <c r="N2704" s="3" t="s">
        <v>24</v>
      </c>
      <c r="O2704" s="4">
        <v>1</v>
      </c>
      <c r="P2704" s="4">
        <v>8</v>
      </c>
      <c r="Q2704" s="4">
        <v>1</v>
      </c>
    </row>
    <row r="2705" spans="1:17" x14ac:dyDescent="0.25">
      <c r="A2705" s="3" t="s">
        <v>18</v>
      </c>
      <c r="B2705" s="3">
        <v>16903876</v>
      </c>
      <c r="C2705" s="3" t="s">
        <v>2752</v>
      </c>
      <c r="D2705" s="3" t="s">
        <v>20</v>
      </c>
      <c r="E2705" s="3" t="s">
        <v>21</v>
      </c>
      <c r="F2705" s="3" t="s">
        <v>21</v>
      </c>
      <c r="G2705" s="3" t="s">
        <v>30</v>
      </c>
      <c r="H2705" s="3" t="s">
        <v>31</v>
      </c>
      <c r="I2705" s="3" t="s">
        <v>24</v>
      </c>
      <c r="J2705" s="3" t="s">
        <v>24</v>
      </c>
      <c r="K2705" s="3" t="s">
        <v>25</v>
      </c>
      <c r="L2705" s="4">
        <v>0</v>
      </c>
      <c r="M2705" s="3" t="s">
        <v>26</v>
      </c>
      <c r="N2705" s="3" t="s">
        <v>24</v>
      </c>
      <c r="O2705" s="4">
        <v>1</v>
      </c>
      <c r="P2705" s="4">
        <v>8</v>
      </c>
      <c r="Q2705" s="4">
        <v>1</v>
      </c>
    </row>
    <row r="2706" spans="1:17" x14ac:dyDescent="0.25">
      <c r="A2706" s="3" t="s">
        <v>18</v>
      </c>
      <c r="B2706" s="3">
        <v>16903939</v>
      </c>
      <c r="C2706" s="3" t="s">
        <v>2753</v>
      </c>
      <c r="D2706" s="3" t="s">
        <v>20</v>
      </c>
      <c r="E2706" s="3" t="s">
        <v>21</v>
      </c>
      <c r="F2706" s="3" t="s">
        <v>21</v>
      </c>
      <c r="G2706" s="3" t="s">
        <v>30</v>
      </c>
      <c r="H2706" s="3" t="s">
        <v>31</v>
      </c>
      <c r="I2706" s="3" t="s">
        <v>24</v>
      </c>
      <c r="J2706" s="3" t="s">
        <v>24</v>
      </c>
      <c r="K2706" s="3" t="s">
        <v>25</v>
      </c>
      <c r="L2706" s="4">
        <v>0</v>
      </c>
      <c r="M2706" s="3" t="s">
        <v>26</v>
      </c>
      <c r="N2706" s="3" t="s">
        <v>24</v>
      </c>
      <c r="O2706" s="4">
        <v>1</v>
      </c>
      <c r="P2706" s="4">
        <v>8</v>
      </c>
      <c r="Q2706" s="4">
        <v>1</v>
      </c>
    </row>
    <row r="2707" spans="1:17" x14ac:dyDescent="0.25">
      <c r="A2707" s="3" t="s">
        <v>18</v>
      </c>
      <c r="B2707" s="3">
        <v>16905623</v>
      </c>
      <c r="C2707" s="3" t="s">
        <v>2754</v>
      </c>
      <c r="D2707" s="3" t="s">
        <v>20</v>
      </c>
      <c r="E2707" s="3" t="s">
        <v>21</v>
      </c>
      <c r="F2707" s="3" t="s">
        <v>21</v>
      </c>
      <c r="G2707" s="3" t="s">
        <v>2755</v>
      </c>
      <c r="H2707" s="3" t="s">
        <v>2756</v>
      </c>
      <c r="I2707" s="3" t="s">
        <v>24</v>
      </c>
      <c r="J2707" s="3" t="s">
        <v>24</v>
      </c>
      <c r="K2707" s="3" t="s">
        <v>25</v>
      </c>
      <c r="L2707" s="4">
        <v>0</v>
      </c>
      <c r="M2707" s="3" t="s">
        <v>26</v>
      </c>
      <c r="N2707" s="3" t="s">
        <v>24</v>
      </c>
      <c r="O2707" s="4">
        <v>0</v>
      </c>
      <c r="P2707" s="4">
        <v>3</v>
      </c>
      <c r="Q2707" s="4">
        <v>0</v>
      </c>
    </row>
    <row r="2708" spans="1:17" x14ac:dyDescent="0.25">
      <c r="A2708" s="3" t="s">
        <v>18</v>
      </c>
      <c r="B2708" s="3">
        <v>16942680</v>
      </c>
      <c r="C2708" s="3" t="s">
        <v>2757</v>
      </c>
      <c r="D2708" s="3" t="s">
        <v>20</v>
      </c>
      <c r="E2708" s="3" t="s">
        <v>21</v>
      </c>
      <c r="F2708" s="3" t="s">
        <v>21</v>
      </c>
      <c r="G2708" s="3" t="s">
        <v>30</v>
      </c>
      <c r="H2708" s="3" t="s">
        <v>31</v>
      </c>
      <c r="I2708" s="3" t="s">
        <v>24</v>
      </c>
      <c r="J2708" s="3" t="s">
        <v>24</v>
      </c>
      <c r="K2708" s="3" t="s">
        <v>25</v>
      </c>
      <c r="L2708" s="4">
        <v>0</v>
      </c>
      <c r="M2708" s="3" t="s">
        <v>26</v>
      </c>
      <c r="N2708" s="3" t="s">
        <v>24</v>
      </c>
      <c r="O2708" s="4">
        <v>1</v>
      </c>
      <c r="P2708" s="4">
        <v>8</v>
      </c>
      <c r="Q2708" s="4">
        <v>1</v>
      </c>
    </row>
    <row r="2709" spans="1:17" x14ac:dyDescent="0.25">
      <c r="A2709" s="3" t="s">
        <v>18</v>
      </c>
      <c r="B2709" s="3">
        <v>16943092</v>
      </c>
      <c r="C2709" s="3" t="s">
        <v>2758</v>
      </c>
      <c r="D2709" s="3" t="s">
        <v>20</v>
      </c>
      <c r="E2709" s="3" t="s">
        <v>21</v>
      </c>
      <c r="F2709" s="3" t="s">
        <v>21</v>
      </c>
      <c r="G2709" s="3" t="s">
        <v>30</v>
      </c>
      <c r="H2709" s="3" t="s">
        <v>31</v>
      </c>
      <c r="I2709" s="3" t="s">
        <v>24</v>
      </c>
      <c r="J2709" s="3" t="s">
        <v>24</v>
      </c>
      <c r="K2709" s="3" t="s">
        <v>25</v>
      </c>
      <c r="L2709" s="4">
        <v>0</v>
      </c>
      <c r="M2709" s="3" t="s">
        <v>26</v>
      </c>
      <c r="N2709" s="3" t="s">
        <v>24</v>
      </c>
      <c r="O2709" s="4">
        <v>1</v>
      </c>
      <c r="P2709" s="4">
        <v>8</v>
      </c>
      <c r="Q2709" s="4">
        <v>1</v>
      </c>
    </row>
    <row r="2710" spans="1:17" x14ac:dyDescent="0.25">
      <c r="A2710" s="3" t="s">
        <v>18</v>
      </c>
      <c r="B2710" s="3">
        <v>16943095</v>
      </c>
      <c r="C2710" s="3" t="s">
        <v>2759</v>
      </c>
      <c r="D2710" s="3" t="s">
        <v>20</v>
      </c>
      <c r="E2710" s="3" t="s">
        <v>21</v>
      </c>
      <c r="F2710" s="3" t="s">
        <v>21</v>
      </c>
      <c r="G2710" s="3" t="s">
        <v>36</v>
      </c>
      <c r="H2710" s="3" t="s">
        <v>37</v>
      </c>
      <c r="I2710" s="3" t="s">
        <v>24</v>
      </c>
      <c r="J2710" s="3" t="s">
        <v>24</v>
      </c>
      <c r="K2710" s="3" t="s">
        <v>25</v>
      </c>
      <c r="L2710" s="4">
        <v>0</v>
      </c>
      <c r="M2710" s="3" t="s">
        <v>26</v>
      </c>
      <c r="N2710" s="3" t="s">
        <v>24</v>
      </c>
      <c r="O2710" s="4">
        <v>1</v>
      </c>
      <c r="P2710" s="4">
        <v>2</v>
      </c>
      <c r="Q2710" s="4">
        <v>1</v>
      </c>
    </row>
    <row r="2711" spans="1:17" x14ac:dyDescent="0.25">
      <c r="A2711" s="3" t="s">
        <v>18</v>
      </c>
      <c r="B2711" s="3">
        <v>16960590</v>
      </c>
      <c r="C2711" s="3" t="s">
        <v>2760</v>
      </c>
      <c r="D2711" s="3" t="s">
        <v>20</v>
      </c>
      <c r="E2711" s="3" t="s">
        <v>21</v>
      </c>
      <c r="F2711" s="3" t="s">
        <v>24</v>
      </c>
      <c r="G2711" s="3" t="s">
        <v>36</v>
      </c>
      <c r="H2711" s="3" t="s">
        <v>37</v>
      </c>
      <c r="I2711" s="3" t="s">
        <v>24</v>
      </c>
      <c r="J2711" s="3" t="s">
        <v>24</v>
      </c>
      <c r="K2711" s="3" t="s">
        <v>25</v>
      </c>
      <c r="L2711" s="4">
        <v>0</v>
      </c>
      <c r="M2711" s="3" t="s">
        <v>26</v>
      </c>
      <c r="N2711" s="3" t="s">
        <v>24</v>
      </c>
      <c r="O2711" s="4">
        <v>1</v>
      </c>
      <c r="P2711" s="4">
        <v>8</v>
      </c>
      <c r="Q2711" s="4">
        <v>1</v>
      </c>
    </row>
    <row r="2712" spans="1:17" x14ac:dyDescent="0.25">
      <c r="A2712" s="3" t="s">
        <v>18</v>
      </c>
      <c r="B2712" s="3">
        <v>16980232</v>
      </c>
      <c r="C2712" s="3" t="s">
        <v>2761</v>
      </c>
      <c r="D2712" s="3" t="s">
        <v>20</v>
      </c>
      <c r="E2712" s="3" t="s">
        <v>21</v>
      </c>
      <c r="F2712" s="3" t="s">
        <v>21</v>
      </c>
      <c r="G2712" s="3" t="s">
        <v>36</v>
      </c>
      <c r="H2712" s="3" t="s">
        <v>37</v>
      </c>
      <c r="I2712" s="3" t="s">
        <v>24</v>
      </c>
      <c r="J2712" s="3" t="s">
        <v>24</v>
      </c>
      <c r="K2712" s="3" t="s">
        <v>25</v>
      </c>
      <c r="L2712" s="4">
        <v>0</v>
      </c>
      <c r="M2712" s="3" t="s">
        <v>26</v>
      </c>
      <c r="N2712" s="3" t="s">
        <v>24</v>
      </c>
      <c r="O2712" s="4">
        <v>1</v>
      </c>
      <c r="P2712" s="4">
        <v>8</v>
      </c>
      <c r="Q2712" s="4">
        <v>1</v>
      </c>
    </row>
    <row r="2713" spans="1:17" x14ac:dyDescent="0.25">
      <c r="A2713" s="3" t="s">
        <v>18</v>
      </c>
      <c r="B2713" s="3">
        <v>16991316</v>
      </c>
      <c r="C2713" s="3" t="s">
        <v>2762</v>
      </c>
      <c r="D2713" s="3" t="s">
        <v>20</v>
      </c>
      <c r="E2713" s="3" t="s">
        <v>21</v>
      </c>
      <c r="F2713" s="3" t="s">
        <v>21</v>
      </c>
      <c r="G2713" s="3" t="s">
        <v>233</v>
      </c>
      <c r="H2713" s="3" t="s">
        <v>234</v>
      </c>
      <c r="I2713" s="3" t="s">
        <v>24</v>
      </c>
      <c r="J2713" s="3" t="s">
        <v>24</v>
      </c>
      <c r="K2713" s="3" t="s">
        <v>25</v>
      </c>
      <c r="L2713" s="4">
        <v>0</v>
      </c>
      <c r="M2713" s="3" t="s">
        <v>26</v>
      </c>
      <c r="N2713" s="3" t="s">
        <v>24</v>
      </c>
      <c r="O2713" s="4">
        <v>1</v>
      </c>
      <c r="P2713" s="4">
        <v>2</v>
      </c>
      <c r="Q2713" s="4">
        <v>1</v>
      </c>
    </row>
    <row r="2714" spans="1:17" x14ac:dyDescent="0.25">
      <c r="A2714" s="3" t="s">
        <v>18</v>
      </c>
      <c r="B2714" s="3">
        <v>16996698</v>
      </c>
      <c r="C2714" s="3" t="s">
        <v>2763</v>
      </c>
      <c r="D2714" s="3" t="s">
        <v>20</v>
      </c>
      <c r="E2714" s="3" t="s">
        <v>21</v>
      </c>
      <c r="F2714" s="3" t="s">
        <v>21</v>
      </c>
      <c r="G2714" s="3" t="s">
        <v>42</v>
      </c>
      <c r="H2714" s="3" t="s">
        <v>43</v>
      </c>
      <c r="I2714" s="3" t="s">
        <v>24</v>
      </c>
      <c r="J2714" s="3" t="s">
        <v>24</v>
      </c>
      <c r="K2714" s="3" t="s">
        <v>25</v>
      </c>
      <c r="L2714" s="4">
        <v>0</v>
      </c>
      <c r="M2714" s="3" t="s">
        <v>26</v>
      </c>
      <c r="N2714" s="3" t="s">
        <v>24</v>
      </c>
      <c r="O2714" s="4">
        <v>1</v>
      </c>
      <c r="P2714" s="4">
        <v>8</v>
      </c>
      <c r="Q2714" s="4">
        <v>1</v>
      </c>
    </row>
    <row r="2715" spans="1:17" x14ac:dyDescent="0.25">
      <c r="A2715" s="3" t="s">
        <v>18</v>
      </c>
      <c r="B2715" s="3">
        <v>16996795</v>
      </c>
      <c r="C2715" s="3" t="s">
        <v>2764</v>
      </c>
      <c r="D2715" s="3" t="s">
        <v>20</v>
      </c>
      <c r="E2715" s="3" t="s">
        <v>21</v>
      </c>
      <c r="F2715" s="3" t="s">
        <v>24</v>
      </c>
      <c r="G2715" s="3" t="s">
        <v>36</v>
      </c>
      <c r="H2715" s="3" t="s">
        <v>37</v>
      </c>
      <c r="I2715" s="3" t="s">
        <v>24</v>
      </c>
      <c r="J2715" s="3" t="s">
        <v>24</v>
      </c>
      <c r="K2715" s="3" t="s">
        <v>25</v>
      </c>
      <c r="L2715" s="4">
        <v>0</v>
      </c>
      <c r="M2715" s="3" t="s">
        <v>26</v>
      </c>
      <c r="N2715" s="3" t="s">
        <v>24</v>
      </c>
      <c r="O2715" s="4">
        <v>1</v>
      </c>
      <c r="P2715" s="4">
        <v>8</v>
      </c>
      <c r="Q2715" s="4">
        <v>1</v>
      </c>
    </row>
    <row r="2716" spans="1:17" x14ac:dyDescent="0.25">
      <c r="A2716" s="3" t="s">
        <v>18</v>
      </c>
      <c r="B2716" s="3">
        <v>16996883</v>
      </c>
      <c r="C2716" s="3" t="s">
        <v>2765</v>
      </c>
      <c r="D2716" s="3" t="s">
        <v>20</v>
      </c>
      <c r="E2716" s="3" t="s">
        <v>21</v>
      </c>
      <c r="F2716" s="3" t="s">
        <v>21</v>
      </c>
      <c r="G2716" s="3" t="s">
        <v>36</v>
      </c>
      <c r="H2716" s="3" t="s">
        <v>37</v>
      </c>
      <c r="I2716" s="3" t="s">
        <v>24</v>
      </c>
      <c r="J2716" s="3" t="s">
        <v>24</v>
      </c>
      <c r="K2716" s="3" t="s">
        <v>25</v>
      </c>
      <c r="L2716" s="4">
        <v>0</v>
      </c>
      <c r="M2716" s="3" t="s">
        <v>26</v>
      </c>
      <c r="N2716" s="3" t="s">
        <v>24</v>
      </c>
      <c r="O2716" s="4">
        <v>1</v>
      </c>
      <c r="P2716" s="4">
        <v>10</v>
      </c>
      <c r="Q2716" s="4">
        <v>1</v>
      </c>
    </row>
    <row r="2717" spans="1:17" x14ac:dyDescent="0.25">
      <c r="A2717" s="3" t="s">
        <v>18</v>
      </c>
      <c r="B2717" s="3">
        <v>17008406</v>
      </c>
      <c r="C2717" s="3" t="s">
        <v>2766</v>
      </c>
      <c r="D2717" s="3" t="s">
        <v>1360</v>
      </c>
      <c r="E2717" s="3" t="s">
        <v>21</v>
      </c>
      <c r="F2717" s="3" t="s">
        <v>21</v>
      </c>
      <c r="G2717" s="3" t="s">
        <v>233</v>
      </c>
      <c r="H2717" s="3" t="s">
        <v>234</v>
      </c>
      <c r="I2717" s="3" t="s">
        <v>24</v>
      </c>
      <c r="J2717" s="3" t="s">
        <v>24</v>
      </c>
      <c r="K2717" s="3" t="s">
        <v>25</v>
      </c>
      <c r="L2717" s="4">
        <v>0</v>
      </c>
      <c r="M2717" s="3" t="s">
        <v>26</v>
      </c>
      <c r="N2717" s="3" t="s">
        <v>24</v>
      </c>
      <c r="O2717" s="4">
        <v>1</v>
      </c>
      <c r="P2717" s="4">
        <v>2</v>
      </c>
      <c r="Q2717" s="4">
        <v>1</v>
      </c>
    </row>
    <row r="2718" spans="1:17" x14ac:dyDescent="0.25">
      <c r="A2718" s="3" t="s">
        <v>18</v>
      </c>
      <c r="B2718" s="3">
        <v>17019773</v>
      </c>
      <c r="C2718" s="3" t="s">
        <v>2767</v>
      </c>
      <c r="D2718" s="3" t="s">
        <v>1360</v>
      </c>
      <c r="E2718" s="3" t="s">
        <v>21</v>
      </c>
      <c r="F2718" s="3" t="s">
        <v>21</v>
      </c>
      <c r="G2718" s="3" t="s">
        <v>36</v>
      </c>
      <c r="H2718" s="3" t="s">
        <v>37</v>
      </c>
      <c r="I2718" s="3" t="s">
        <v>24</v>
      </c>
      <c r="J2718" s="3" t="s">
        <v>24</v>
      </c>
      <c r="K2718" s="3" t="s">
        <v>25</v>
      </c>
      <c r="L2718" s="4">
        <v>0</v>
      </c>
      <c r="M2718" s="3" t="s">
        <v>26</v>
      </c>
      <c r="N2718" s="3" t="s">
        <v>24</v>
      </c>
      <c r="O2718" s="4">
        <v>1</v>
      </c>
      <c r="P2718" s="4">
        <v>10</v>
      </c>
      <c r="Q2718" s="4">
        <v>1</v>
      </c>
    </row>
    <row r="2719" spans="1:17" x14ac:dyDescent="0.25">
      <c r="A2719" s="3" t="s">
        <v>18</v>
      </c>
      <c r="B2719" s="3">
        <v>17026781</v>
      </c>
      <c r="C2719" s="3" t="s">
        <v>2768</v>
      </c>
      <c r="D2719" s="3" t="s">
        <v>20</v>
      </c>
      <c r="E2719" s="3" t="s">
        <v>21</v>
      </c>
      <c r="F2719" s="3" t="s">
        <v>21</v>
      </c>
      <c r="G2719" s="3" t="s">
        <v>36</v>
      </c>
      <c r="H2719" s="3" t="s">
        <v>37</v>
      </c>
      <c r="I2719" s="3" t="s">
        <v>24</v>
      </c>
      <c r="J2719" s="3" t="s">
        <v>24</v>
      </c>
      <c r="K2719" s="3" t="s">
        <v>25</v>
      </c>
      <c r="L2719" s="4">
        <v>0</v>
      </c>
      <c r="M2719" s="3" t="s">
        <v>26</v>
      </c>
      <c r="N2719" s="3" t="s">
        <v>24</v>
      </c>
      <c r="O2719" s="4">
        <v>1</v>
      </c>
      <c r="P2719" s="4">
        <v>8</v>
      </c>
      <c r="Q2719" s="4">
        <v>1</v>
      </c>
    </row>
    <row r="2720" spans="1:17" x14ac:dyDescent="0.25">
      <c r="A2720" s="3" t="s">
        <v>18</v>
      </c>
      <c r="B2720" s="3">
        <v>17026783</v>
      </c>
      <c r="C2720" s="3" t="s">
        <v>2769</v>
      </c>
      <c r="D2720" s="3" t="s">
        <v>20</v>
      </c>
      <c r="E2720" s="3" t="s">
        <v>21</v>
      </c>
      <c r="F2720" s="3" t="s">
        <v>21</v>
      </c>
      <c r="G2720" s="3" t="s">
        <v>36</v>
      </c>
      <c r="H2720" s="3" t="s">
        <v>37</v>
      </c>
      <c r="I2720" s="3" t="s">
        <v>24</v>
      </c>
      <c r="J2720" s="3" t="s">
        <v>24</v>
      </c>
      <c r="K2720" s="3" t="s">
        <v>25</v>
      </c>
      <c r="L2720" s="4">
        <v>0</v>
      </c>
      <c r="M2720" s="3" t="s">
        <v>26</v>
      </c>
      <c r="N2720" s="3" t="s">
        <v>24</v>
      </c>
      <c r="O2720" s="4">
        <v>1</v>
      </c>
      <c r="P2720" s="4">
        <v>8</v>
      </c>
      <c r="Q2720" s="4">
        <v>1</v>
      </c>
    </row>
    <row r="2721" spans="1:17" x14ac:dyDescent="0.25">
      <c r="A2721" s="3" t="s">
        <v>18</v>
      </c>
      <c r="B2721" s="3">
        <v>17026787</v>
      </c>
      <c r="C2721" s="3" t="s">
        <v>2770</v>
      </c>
      <c r="D2721" s="3" t="s">
        <v>20</v>
      </c>
      <c r="E2721" s="3" t="s">
        <v>21</v>
      </c>
      <c r="F2721" s="3" t="s">
        <v>21</v>
      </c>
      <c r="G2721" s="3" t="s">
        <v>36</v>
      </c>
      <c r="H2721" s="3" t="s">
        <v>37</v>
      </c>
      <c r="I2721" s="3" t="s">
        <v>24</v>
      </c>
      <c r="J2721" s="3" t="s">
        <v>24</v>
      </c>
      <c r="K2721" s="3" t="s">
        <v>25</v>
      </c>
      <c r="L2721" s="4">
        <v>0</v>
      </c>
      <c r="M2721" s="3" t="s">
        <v>26</v>
      </c>
      <c r="N2721" s="3" t="s">
        <v>24</v>
      </c>
      <c r="O2721" s="4">
        <v>1</v>
      </c>
      <c r="P2721" s="4">
        <v>8</v>
      </c>
      <c r="Q2721" s="4">
        <v>1</v>
      </c>
    </row>
    <row r="2722" spans="1:17" x14ac:dyDescent="0.25">
      <c r="A2722" s="3" t="s">
        <v>18</v>
      </c>
      <c r="B2722" s="3">
        <v>17026832</v>
      </c>
      <c r="C2722" s="3" t="s">
        <v>2771</v>
      </c>
      <c r="D2722" s="3" t="s">
        <v>20</v>
      </c>
      <c r="E2722" s="3" t="s">
        <v>21</v>
      </c>
      <c r="F2722" s="3" t="s">
        <v>21</v>
      </c>
      <c r="G2722" s="3" t="s">
        <v>233</v>
      </c>
      <c r="H2722" s="3" t="s">
        <v>234</v>
      </c>
      <c r="I2722" s="3" t="s">
        <v>24</v>
      </c>
      <c r="J2722" s="3" t="s">
        <v>24</v>
      </c>
      <c r="K2722" s="3" t="s">
        <v>25</v>
      </c>
      <c r="L2722" s="4">
        <v>0</v>
      </c>
      <c r="M2722" s="3" t="s">
        <v>26</v>
      </c>
      <c r="N2722" s="3" t="s">
        <v>24</v>
      </c>
      <c r="O2722" s="4">
        <v>1</v>
      </c>
      <c r="P2722" s="4">
        <v>3</v>
      </c>
      <c r="Q2722" s="4">
        <v>1</v>
      </c>
    </row>
    <row r="2723" spans="1:17" x14ac:dyDescent="0.25">
      <c r="A2723" s="3" t="s">
        <v>18</v>
      </c>
      <c r="B2723" s="3">
        <v>17026836</v>
      </c>
      <c r="C2723" s="3" t="s">
        <v>2772</v>
      </c>
      <c r="D2723" s="3" t="s">
        <v>20</v>
      </c>
      <c r="E2723" s="3" t="s">
        <v>21</v>
      </c>
      <c r="F2723" s="3" t="s">
        <v>21</v>
      </c>
      <c r="G2723" s="3" t="s">
        <v>233</v>
      </c>
      <c r="H2723" s="3" t="s">
        <v>234</v>
      </c>
      <c r="I2723" s="3" t="s">
        <v>24</v>
      </c>
      <c r="J2723" s="3" t="s">
        <v>24</v>
      </c>
      <c r="K2723" s="3" t="s">
        <v>25</v>
      </c>
      <c r="L2723" s="4">
        <v>0</v>
      </c>
      <c r="M2723" s="3" t="s">
        <v>26</v>
      </c>
      <c r="N2723" s="3" t="s">
        <v>24</v>
      </c>
      <c r="O2723" s="4">
        <v>1</v>
      </c>
      <c r="P2723" s="4">
        <v>3</v>
      </c>
      <c r="Q2723" s="4">
        <v>1</v>
      </c>
    </row>
    <row r="2724" spans="1:17" x14ac:dyDescent="0.25">
      <c r="A2724" s="3" t="s">
        <v>18</v>
      </c>
      <c r="B2724" s="3">
        <v>17026949</v>
      </c>
      <c r="C2724" s="3" t="s">
        <v>2773</v>
      </c>
      <c r="D2724" s="3" t="s">
        <v>20</v>
      </c>
      <c r="E2724" s="3" t="s">
        <v>21</v>
      </c>
      <c r="F2724" s="3" t="s">
        <v>21</v>
      </c>
      <c r="G2724" s="3" t="s">
        <v>233</v>
      </c>
      <c r="H2724" s="3" t="s">
        <v>234</v>
      </c>
      <c r="I2724" s="3" t="s">
        <v>24</v>
      </c>
      <c r="J2724" s="3" t="s">
        <v>24</v>
      </c>
      <c r="K2724" s="3" t="s">
        <v>25</v>
      </c>
      <c r="L2724" s="4">
        <v>0</v>
      </c>
      <c r="M2724" s="3" t="s">
        <v>26</v>
      </c>
      <c r="N2724" s="3" t="s">
        <v>24</v>
      </c>
      <c r="O2724" s="4">
        <v>1</v>
      </c>
      <c r="P2724" s="4">
        <v>3</v>
      </c>
      <c r="Q2724" s="4">
        <v>1</v>
      </c>
    </row>
    <row r="2725" spans="1:17" x14ac:dyDescent="0.25">
      <c r="A2725" s="3" t="s">
        <v>18</v>
      </c>
      <c r="B2725" s="3">
        <v>17027211</v>
      </c>
      <c r="C2725" s="3" t="s">
        <v>2774</v>
      </c>
      <c r="D2725" s="3" t="s">
        <v>20</v>
      </c>
      <c r="E2725" s="3" t="s">
        <v>21</v>
      </c>
      <c r="F2725" s="3" t="s">
        <v>24</v>
      </c>
      <c r="G2725" s="3" t="s">
        <v>36</v>
      </c>
      <c r="H2725" s="3" t="s">
        <v>37</v>
      </c>
      <c r="I2725" s="3" t="s">
        <v>24</v>
      </c>
      <c r="J2725" s="3" t="s">
        <v>24</v>
      </c>
      <c r="K2725" s="3" t="s">
        <v>25</v>
      </c>
      <c r="L2725" s="4">
        <v>0</v>
      </c>
      <c r="M2725" s="3" t="s">
        <v>26</v>
      </c>
      <c r="N2725" s="3" t="s">
        <v>24</v>
      </c>
      <c r="O2725" s="4">
        <v>1</v>
      </c>
      <c r="P2725" s="4">
        <v>8</v>
      </c>
      <c r="Q2725" s="4">
        <v>1</v>
      </c>
    </row>
    <row r="2726" spans="1:17" x14ac:dyDescent="0.25">
      <c r="A2726" s="3" t="s">
        <v>18</v>
      </c>
      <c r="B2726" s="3">
        <v>17027212</v>
      </c>
      <c r="C2726" s="3" t="s">
        <v>2775</v>
      </c>
      <c r="D2726" s="3" t="s">
        <v>20</v>
      </c>
      <c r="E2726" s="3" t="s">
        <v>21</v>
      </c>
      <c r="F2726" s="3" t="s">
        <v>24</v>
      </c>
      <c r="G2726" s="3" t="s">
        <v>36</v>
      </c>
      <c r="H2726" s="3" t="s">
        <v>37</v>
      </c>
      <c r="I2726" s="3" t="s">
        <v>24</v>
      </c>
      <c r="J2726" s="3" t="s">
        <v>24</v>
      </c>
      <c r="K2726" s="3" t="s">
        <v>25</v>
      </c>
      <c r="L2726" s="4">
        <v>0</v>
      </c>
      <c r="M2726" s="3" t="s">
        <v>26</v>
      </c>
      <c r="N2726" s="3" t="s">
        <v>24</v>
      </c>
      <c r="O2726" s="4">
        <v>1</v>
      </c>
      <c r="P2726" s="4">
        <v>8</v>
      </c>
      <c r="Q2726" s="4">
        <v>1</v>
      </c>
    </row>
    <row r="2727" spans="1:17" x14ac:dyDescent="0.25">
      <c r="A2727" s="3" t="s">
        <v>18</v>
      </c>
      <c r="B2727" s="3">
        <v>17027213</v>
      </c>
      <c r="C2727" s="3" t="s">
        <v>2776</v>
      </c>
      <c r="D2727" s="3" t="s">
        <v>20</v>
      </c>
      <c r="E2727" s="3" t="s">
        <v>21</v>
      </c>
      <c r="F2727" s="3" t="s">
        <v>21</v>
      </c>
      <c r="G2727" s="3" t="s">
        <v>233</v>
      </c>
      <c r="H2727" s="3" t="s">
        <v>234</v>
      </c>
      <c r="I2727" s="3" t="s">
        <v>24</v>
      </c>
      <c r="J2727" s="3" t="s">
        <v>24</v>
      </c>
      <c r="K2727" s="3" t="s">
        <v>25</v>
      </c>
      <c r="L2727" s="4">
        <v>0</v>
      </c>
      <c r="M2727" s="3" t="s">
        <v>26</v>
      </c>
      <c r="N2727" s="3" t="s">
        <v>24</v>
      </c>
      <c r="O2727" s="4">
        <v>1</v>
      </c>
      <c r="P2727" s="4">
        <v>3</v>
      </c>
      <c r="Q2727" s="4">
        <v>1</v>
      </c>
    </row>
    <row r="2728" spans="1:17" x14ac:dyDescent="0.25">
      <c r="A2728" s="3" t="s">
        <v>18</v>
      </c>
      <c r="B2728" s="3">
        <v>17027214</v>
      </c>
      <c r="C2728" s="3" t="s">
        <v>2777</v>
      </c>
      <c r="D2728" s="3" t="s">
        <v>20</v>
      </c>
      <c r="E2728" s="3" t="s">
        <v>21</v>
      </c>
      <c r="F2728" s="3" t="s">
        <v>21</v>
      </c>
      <c r="G2728" s="3" t="s">
        <v>233</v>
      </c>
      <c r="H2728" s="3" t="s">
        <v>234</v>
      </c>
      <c r="I2728" s="3" t="s">
        <v>24</v>
      </c>
      <c r="J2728" s="3" t="s">
        <v>24</v>
      </c>
      <c r="K2728" s="3" t="s">
        <v>25</v>
      </c>
      <c r="L2728" s="4">
        <v>0</v>
      </c>
      <c r="M2728" s="3" t="s">
        <v>26</v>
      </c>
      <c r="N2728" s="3" t="s">
        <v>24</v>
      </c>
      <c r="O2728" s="4">
        <v>1</v>
      </c>
      <c r="P2728" s="4">
        <v>3</v>
      </c>
      <c r="Q2728" s="4">
        <v>1</v>
      </c>
    </row>
    <row r="2729" spans="1:17" x14ac:dyDescent="0.25">
      <c r="A2729" s="3" t="s">
        <v>18</v>
      </c>
      <c r="B2729" s="3">
        <v>17027215</v>
      </c>
      <c r="C2729" s="3" t="s">
        <v>2778</v>
      </c>
      <c r="D2729" s="3" t="s">
        <v>20</v>
      </c>
      <c r="E2729" s="3" t="s">
        <v>21</v>
      </c>
      <c r="F2729" s="3" t="s">
        <v>21</v>
      </c>
      <c r="G2729" s="3" t="s">
        <v>233</v>
      </c>
      <c r="H2729" s="3" t="s">
        <v>234</v>
      </c>
      <c r="I2729" s="3" t="s">
        <v>24</v>
      </c>
      <c r="J2729" s="3" t="s">
        <v>24</v>
      </c>
      <c r="K2729" s="3" t="s">
        <v>25</v>
      </c>
      <c r="L2729" s="4">
        <v>0</v>
      </c>
      <c r="M2729" s="3" t="s">
        <v>26</v>
      </c>
      <c r="N2729" s="3" t="s">
        <v>24</v>
      </c>
      <c r="O2729" s="4">
        <v>1</v>
      </c>
      <c r="P2729" s="4">
        <v>3</v>
      </c>
      <c r="Q2729" s="4">
        <v>1</v>
      </c>
    </row>
    <row r="2730" spans="1:17" x14ac:dyDescent="0.25">
      <c r="A2730" s="3" t="s">
        <v>18</v>
      </c>
      <c r="B2730" s="3">
        <v>17036517</v>
      </c>
      <c r="C2730" s="3" t="s">
        <v>2779</v>
      </c>
      <c r="D2730" s="3" t="s">
        <v>20</v>
      </c>
      <c r="E2730" s="3" t="s">
        <v>21</v>
      </c>
      <c r="F2730" s="3" t="s">
        <v>21</v>
      </c>
      <c r="G2730" s="3" t="s">
        <v>36</v>
      </c>
      <c r="H2730" s="3" t="s">
        <v>37</v>
      </c>
      <c r="I2730" s="3" t="s">
        <v>24</v>
      </c>
      <c r="J2730" s="3" t="s">
        <v>24</v>
      </c>
      <c r="K2730" s="3" t="s">
        <v>25</v>
      </c>
      <c r="L2730" s="4">
        <v>0</v>
      </c>
      <c r="M2730" s="3" t="s">
        <v>26</v>
      </c>
      <c r="N2730" s="3" t="s">
        <v>24</v>
      </c>
      <c r="O2730" s="4">
        <v>1</v>
      </c>
      <c r="P2730" s="4">
        <v>2</v>
      </c>
      <c r="Q2730" s="4">
        <v>1</v>
      </c>
    </row>
    <row r="2731" spans="1:17" x14ac:dyDescent="0.25">
      <c r="A2731" s="3" t="s">
        <v>18</v>
      </c>
      <c r="B2731" s="3">
        <v>17036790</v>
      </c>
      <c r="C2731" s="3" t="s">
        <v>2780</v>
      </c>
      <c r="D2731" s="3" t="s">
        <v>20</v>
      </c>
      <c r="E2731" s="3" t="s">
        <v>21</v>
      </c>
      <c r="F2731" s="3" t="s">
        <v>21</v>
      </c>
      <c r="G2731" s="3" t="s">
        <v>36</v>
      </c>
      <c r="H2731" s="3" t="s">
        <v>37</v>
      </c>
      <c r="I2731" s="3" t="s">
        <v>24</v>
      </c>
      <c r="J2731" s="3" t="s">
        <v>24</v>
      </c>
      <c r="K2731" s="3" t="s">
        <v>25</v>
      </c>
      <c r="L2731" s="4">
        <v>0</v>
      </c>
      <c r="M2731" s="3" t="s">
        <v>26</v>
      </c>
      <c r="N2731" s="3" t="s">
        <v>24</v>
      </c>
      <c r="O2731" s="4">
        <v>1</v>
      </c>
      <c r="P2731" s="4">
        <v>2</v>
      </c>
      <c r="Q2731" s="4">
        <v>1</v>
      </c>
    </row>
    <row r="2732" spans="1:17" x14ac:dyDescent="0.25">
      <c r="A2732" s="3" t="s">
        <v>18</v>
      </c>
      <c r="B2732" s="3">
        <v>17079323</v>
      </c>
      <c r="C2732" s="3" t="s">
        <v>2781</v>
      </c>
      <c r="D2732" s="3" t="s">
        <v>20</v>
      </c>
      <c r="E2732" s="3" t="s">
        <v>21</v>
      </c>
      <c r="F2732" s="3" t="s">
        <v>21</v>
      </c>
      <c r="G2732" s="3" t="s">
        <v>30</v>
      </c>
      <c r="H2732" s="3" t="s">
        <v>31</v>
      </c>
      <c r="I2732" s="3" t="s">
        <v>24</v>
      </c>
      <c r="J2732" s="3" t="s">
        <v>24</v>
      </c>
      <c r="K2732" s="3" t="s">
        <v>25</v>
      </c>
      <c r="L2732" s="4">
        <v>0</v>
      </c>
      <c r="M2732" s="3" t="s">
        <v>26</v>
      </c>
      <c r="N2732" s="3" t="s">
        <v>24</v>
      </c>
      <c r="O2732" s="4">
        <v>1</v>
      </c>
      <c r="P2732" s="4">
        <v>4</v>
      </c>
      <c r="Q2732" s="4">
        <v>1</v>
      </c>
    </row>
    <row r="2733" spans="1:17" x14ac:dyDescent="0.25">
      <c r="A2733" s="3" t="s">
        <v>18</v>
      </c>
      <c r="B2733" s="3">
        <v>17086316</v>
      </c>
      <c r="C2733" s="3" t="s">
        <v>2782</v>
      </c>
      <c r="D2733" s="3" t="s">
        <v>20</v>
      </c>
      <c r="E2733" s="3" t="s">
        <v>21</v>
      </c>
      <c r="F2733" s="3" t="s">
        <v>21</v>
      </c>
      <c r="G2733" s="3" t="s">
        <v>36</v>
      </c>
      <c r="H2733" s="3" t="s">
        <v>37</v>
      </c>
      <c r="I2733" s="3" t="s">
        <v>24</v>
      </c>
      <c r="J2733" s="3" t="s">
        <v>24</v>
      </c>
      <c r="K2733" s="3" t="s">
        <v>25</v>
      </c>
      <c r="L2733" s="4">
        <v>0</v>
      </c>
      <c r="M2733" s="3" t="s">
        <v>26</v>
      </c>
      <c r="N2733" s="3" t="s">
        <v>24</v>
      </c>
      <c r="O2733" s="4">
        <v>1</v>
      </c>
      <c r="P2733" s="4">
        <v>2</v>
      </c>
      <c r="Q2733" s="4">
        <v>1</v>
      </c>
    </row>
    <row r="2734" spans="1:17" x14ac:dyDescent="0.25">
      <c r="A2734" s="3" t="s">
        <v>18</v>
      </c>
      <c r="B2734" s="3">
        <v>17096014</v>
      </c>
      <c r="C2734" s="3" t="s">
        <v>2783</v>
      </c>
      <c r="D2734" s="3" t="s">
        <v>20</v>
      </c>
      <c r="E2734" s="3" t="s">
        <v>21</v>
      </c>
      <c r="F2734" s="3" t="s">
        <v>21</v>
      </c>
      <c r="G2734" s="3" t="s">
        <v>30</v>
      </c>
      <c r="H2734" s="3" t="s">
        <v>31</v>
      </c>
      <c r="I2734" s="3" t="s">
        <v>24</v>
      </c>
      <c r="J2734" s="3" t="s">
        <v>24</v>
      </c>
      <c r="K2734" s="3" t="s">
        <v>25</v>
      </c>
      <c r="L2734" s="4">
        <v>0</v>
      </c>
      <c r="M2734" s="3" t="s">
        <v>26</v>
      </c>
      <c r="N2734" s="3" t="s">
        <v>24</v>
      </c>
      <c r="O2734" s="4">
        <v>1</v>
      </c>
      <c r="P2734" s="4">
        <v>8</v>
      </c>
      <c r="Q2734" s="4">
        <v>1</v>
      </c>
    </row>
    <row r="2735" spans="1:17" x14ac:dyDescent="0.25">
      <c r="A2735" s="3" t="s">
        <v>18</v>
      </c>
      <c r="B2735" s="3">
        <v>17096015</v>
      </c>
      <c r="C2735" s="3" t="s">
        <v>2784</v>
      </c>
      <c r="D2735" s="3" t="s">
        <v>20</v>
      </c>
      <c r="E2735" s="3" t="s">
        <v>21</v>
      </c>
      <c r="F2735" s="3" t="s">
        <v>21</v>
      </c>
      <c r="G2735" s="3" t="s">
        <v>30</v>
      </c>
      <c r="H2735" s="3" t="s">
        <v>31</v>
      </c>
      <c r="I2735" s="3" t="s">
        <v>24</v>
      </c>
      <c r="J2735" s="3" t="s">
        <v>24</v>
      </c>
      <c r="K2735" s="3" t="s">
        <v>25</v>
      </c>
      <c r="L2735" s="4">
        <v>0</v>
      </c>
      <c r="M2735" s="3" t="s">
        <v>26</v>
      </c>
      <c r="N2735" s="3" t="s">
        <v>24</v>
      </c>
      <c r="O2735" s="4">
        <v>1</v>
      </c>
      <c r="P2735" s="4">
        <v>8</v>
      </c>
      <c r="Q2735" s="4">
        <v>1</v>
      </c>
    </row>
    <row r="2736" spans="1:17" x14ac:dyDescent="0.25">
      <c r="A2736" s="3" t="s">
        <v>18</v>
      </c>
      <c r="B2736" s="3">
        <v>17096016</v>
      </c>
      <c r="C2736" s="3" t="s">
        <v>2785</v>
      </c>
      <c r="D2736" s="3" t="s">
        <v>20</v>
      </c>
      <c r="E2736" s="3" t="s">
        <v>21</v>
      </c>
      <c r="F2736" s="3" t="s">
        <v>21</v>
      </c>
      <c r="G2736" s="3" t="s">
        <v>22</v>
      </c>
      <c r="H2736" s="3" t="s">
        <v>23</v>
      </c>
      <c r="I2736" s="3" t="s">
        <v>24</v>
      </c>
      <c r="J2736" s="3" t="s">
        <v>24</v>
      </c>
      <c r="K2736" s="3" t="s">
        <v>25</v>
      </c>
      <c r="L2736" s="4">
        <v>0</v>
      </c>
      <c r="M2736" s="3" t="s">
        <v>26</v>
      </c>
      <c r="N2736" s="3" t="s">
        <v>24</v>
      </c>
      <c r="O2736" s="4">
        <v>1</v>
      </c>
      <c r="P2736" s="4">
        <v>4</v>
      </c>
      <c r="Q2736" s="4">
        <v>1</v>
      </c>
    </row>
    <row r="2737" spans="1:17" x14ac:dyDescent="0.25">
      <c r="A2737" s="3" t="s">
        <v>18</v>
      </c>
      <c r="B2737" s="3">
        <v>17096017</v>
      </c>
      <c r="C2737" s="3" t="s">
        <v>2786</v>
      </c>
      <c r="D2737" s="3" t="s">
        <v>20</v>
      </c>
      <c r="E2737" s="3" t="s">
        <v>21</v>
      </c>
      <c r="F2737" s="3" t="s">
        <v>21</v>
      </c>
      <c r="G2737" s="3" t="s">
        <v>233</v>
      </c>
      <c r="H2737" s="3" t="s">
        <v>234</v>
      </c>
      <c r="I2737" s="3" t="s">
        <v>24</v>
      </c>
      <c r="J2737" s="3" t="s">
        <v>24</v>
      </c>
      <c r="K2737" s="3" t="s">
        <v>25</v>
      </c>
      <c r="L2737" s="4">
        <v>0</v>
      </c>
      <c r="M2737" s="3" t="s">
        <v>26</v>
      </c>
      <c r="N2737" s="3" t="s">
        <v>24</v>
      </c>
      <c r="O2737" s="4">
        <v>1</v>
      </c>
      <c r="P2737" s="4">
        <v>2</v>
      </c>
      <c r="Q2737" s="4">
        <v>1</v>
      </c>
    </row>
    <row r="2738" spans="1:17" x14ac:dyDescent="0.25">
      <c r="A2738" s="3" t="s">
        <v>18</v>
      </c>
      <c r="B2738" s="3">
        <v>17112913</v>
      </c>
      <c r="C2738" s="3" t="s">
        <v>2787</v>
      </c>
      <c r="D2738" s="3" t="s">
        <v>20</v>
      </c>
      <c r="E2738" s="3" t="s">
        <v>21</v>
      </c>
      <c r="F2738" s="3" t="s">
        <v>21</v>
      </c>
      <c r="G2738" s="3" t="s">
        <v>42</v>
      </c>
      <c r="H2738" s="3" t="s">
        <v>43</v>
      </c>
      <c r="I2738" s="3" t="s">
        <v>24</v>
      </c>
      <c r="J2738" s="3" t="s">
        <v>24</v>
      </c>
      <c r="K2738" s="3" t="s">
        <v>25</v>
      </c>
      <c r="L2738" s="4">
        <v>0</v>
      </c>
      <c r="M2738" s="3" t="s">
        <v>26</v>
      </c>
      <c r="N2738" s="3" t="s">
        <v>24</v>
      </c>
      <c r="O2738" s="4">
        <v>1</v>
      </c>
      <c r="P2738" s="4">
        <v>8</v>
      </c>
      <c r="Q2738" s="4">
        <v>1</v>
      </c>
    </row>
    <row r="2739" spans="1:17" x14ac:dyDescent="0.25">
      <c r="A2739" s="3" t="s">
        <v>18</v>
      </c>
      <c r="B2739" s="3">
        <v>17123985</v>
      </c>
      <c r="C2739" s="3" t="s">
        <v>2788</v>
      </c>
      <c r="D2739" s="3" t="s">
        <v>20</v>
      </c>
      <c r="E2739" s="3" t="s">
        <v>21</v>
      </c>
      <c r="F2739" s="3" t="s">
        <v>21</v>
      </c>
      <c r="G2739" s="3" t="s">
        <v>477</v>
      </c>
      <c r="H2739" s="3" t="s">
        <v>478</v>
      </c>
      <c r="I2739" s="3" t="s">
        <v>24</v>
      </c>
      <c r="J2739" s="3" t="s">
        <v>24</v>
      </c>
      <c r="K2739" s="3" t="s">
        <v>25</v>
      </c>
      <c r="L2739" s="4">
        <v>0</v>
      </c>
      <c r="M2739" s="3" t="s">
        <v>26</v>
      </c>
      <c r="N2739" s="3" t="s">
        <v>24</v>
      </c>
      <c r="O2739" s="4">
        <v>1</v>
      </c>
      <c r="P2739" s="4">
        <v>1</v>
      </c>
      <c r="Q2739" s="4">
        <v>1</v>
      </c>
    </row>
    <row r="2740" spans="1:17" x14ac:dyDescent="0.25">
      <c r="A2740" s="3" t="s">
        <v>18</v>
      </c>
      <c r="B2740" s="3">
        <v>17124158</v>
      </c>
      <c r="C2740" s="3" t="s">
        <v>2789</v>
      </c>
      <c r="D2740" s="3" t="s">
        <v>20</v>
      </c>
      <c r="E2740" s="3" t="s">
        <v>21</v>
      </c>
      <c r="F2740" s="3" t="s">
        <v>21</v>
      </c>
      <c r="G2740" s="3" t="s">
        <v>477</v>
      </c>
      <c r="H2740" s="3" t="s">
        <v>478</v>
      </c>
      <c r="I2740" s="3" t="s">
        <v>24</v>
      </c>
      <c r="J2740" s="3" t="s">
        <v>24</v>
      </c>
      <c r="K2740" s="3" t="s">
        <v>25</v>
      </c>
      <c r="L2740" s="4">
        <v>0</v>
      </c>
      <c r="M2740" s="3" t="s">
        <v>26</v>
      </c>
      <c r="N2740" s="3" t="s">
        <v>24</v>
      </c>
      <c r="O2740" s="4">
        <v>1</v>
      </c>
      <c r="P2740" s="4">
        <v>1</v>
      </c>
      <c r="Q2740" s="4">
        <v>1</v>
      </c>
    </row>
    <row r="2741" spans="1:17" x14ac:dyDescent="0.25">
      <c r="A2741" s="3" t="s">
        <v>18</v>
      </c>
      <c r="B2741" s="3">
        <v>17128529</v>
      </c>
      <c r="C2741" s="3" t="s">
        <v>2790</v>
      </c>
      <c r="D2741" s="3" t="s">
        <v>1360</v>
      </c>
      <c r="E2741" s="3" t="s">
        <v>21</v>
      </c>
      <c r="F2741" s="3" t="s">
        <v>21</v>
      </c>
      <c r="G2741" s="3" t="s">
        <v>477</v>
      </c>
      <c r="H2741" s="3" t="s">
        <v>478</v>
      </c>
      <c r="I2741" s="3" t="s">
        <v>24</v>
      </c>
      <c r="J2741" s="3" t="s">
        <v>24</v>
      </c>
      <c r="K2741" s="3" t="s">
        <v>25</v>
      </c>
      <c r="L2741" s="4">
        <v>0</v>
      </c>
      <c r="M2741" s="3" t="s">
        <v>26</v>
      </c>
      <c r="N2741" s="3" t="s">
        <v>24</v>
      </c>
      <c r="O2741" s="4">
        <v>1</v>
      </c>
      <c r="P2741" s="4">
        <v>1</v>
      </c>
      <c r="Q2741" s="4">
        <v>1</v>
      </c>
    </row>
    <row r="2742" spans="1:17" x14ac:dyDescent="0.25">
      <c r="A2742" s="3" t="s">
        <v>18</v>
      </c>
      <c r="B2742" s="3">
        <v>17128697</v>
      </c>
      <c r="C2742" s="3" t="s">
        <v>2791</v>
      </c>
      <c r="D2742" s="3" t="s">
        <v>1360</v>
      </c>
      <c r="E2742" s="3" t="s">
        <v>21</v>
      </c>
      <c r="F2742" s="3" t="s">
        <v>21</v>
      </c>
      <c r="G2742" s="3" t="s">
        <v>477</v>
      </c>
      <c r="H2742" s="3" t="s">
        <v>478</v>
      </c>
      <c r="I2742" s="3" t="s">
        <v>24</v>
      </c>
      <c r="J2742" s="3" t="s">
        <v>24</v>
      </c>
      <c r="K2742" s="3" t="s">
        <v>25</v>
      </c>
      <c r="L2742" s="4">
        <v>0</v>
      </c>
      <c r="M2742" s="3" t="s">
        <v>26</v>
      </c>
      <c r="N2742" s="3" t="s">
        <v>24</v>
      </c>
      <c r="O2742" s="4">
        <v>1</v>
      </c>
      <c r="P2742" s="4">
        <v>1</v>
      </c>
      <c r="Q2742" s="4">
        <v>1</v>
      </c>
    </row>
    <row r="2743" spans="1:17" x14ac:dyDescent="0.25">
      <c r="A2743" s="3" t="s">
        <v>18</v>
      </c>
      <c r="B2743" s="3">
        <v>17131186</v>
      </c>
      <c r="C2743" s="3" t="s">
        <v>2792</v>
      </c>
      <c r="D2743" s="3" t="s">
        <v>20</v>
      </c>
      <c r="E2743" s="3" t="s">
        <v>21</v>
      </c>
      <c r="F2743" s="3" t="s">
        <v>21</v>
      </c>
      <c r="G2743" s="3" t="s">
        <v>30</v>
      </c>
      <c r="H2743" s="3" t="s">
        <v>31</v>
      </c>
      <c r="I2743" s="3" t="s">
        <v>24</v>
      </c>
      <c r="J2743" s="3" t="s">
        <v>24</v>
      </c>
      <c r="K2743" s="3" t="s">
        <v>25</v>
      </c>
      <c r="L2743" s="4">
        <v>0</v>
      </c>
      <c r="M2743" s="3" t="s">
        <v>26</v>
      </c>
      <c r="N2743" s="3" t="s">
        <v>24</v>
      </c>
      <c r="O2743" s="4">
        <v>1</v>
      </c>
      <c r="P2743" s="4">
        <v>8</v>
      </c>
      <c r="Q2743" s="4">
        <v>1</v>
      </c>
    </row>
    <row r="2744" spans="1:17" x14ac:dyDescent="0.25">
      <c r="A2744" s="3" t="s">
        <v>18</v>
      </c>
      <c r="B2744" s="3">
        <v>17135593</v>
      </c>
      <c r="C2744" s="3" t="s">
        <v>2793</v>
      </c>
      <c r="D2744" s="3" t="s">
        <v>20</v>
      </c>
      <c r="E2744" s="3" t="s">
        <v>21</v>
      </c>
      <c r="F2744" s="3" t="s">
        <v>21</v>
      </c>
      <c r="G2744" s="3" t="s">
        <v>42</v>
      </c>
      <c r="H2744" s="3" t="s">
        <v>43</v>
      </c>
      <c r="I2744" s="3" t="s">
        <v>24</v>
      </c>
      <c r="J2744" s="3" t="s">
        <v>24</v>
      </c>
      <c r="K2744" s="3" t="s">
        <v>25</v>
      </c>
      <c r="L2744" s="4">
        <v>0</v>
      </c>
      <c r="M2744" s="3" t="s">
        <v>26</v>
      </c>
      <c r="N2744" s="3" t="s">
        <v>24</v>
      </c>
      <c r="O2744" s="4">
        <v>1</v>
      </c>
      <c r="P2744" s="4">
        <v>8</v>
      </c>
      <c r="Q2744" s="4">
        <v>1</v>
      </c>
    </row>
    <row r="2745" spans="1:17" x14ac:dyDescent="0.25">
      <c r="A2745" s="3" t="s">
        <v>18</v>
      </c>
      <c r="B2745" s="3">
        <v>17135594</v>
      </c>
      <c r="C2745" s="3" t="s">
        <v>2794</v>
      </c>
      <c r="D2745" s="3" t="s">
        <v>20</v>
      </c>
      <c r="E2745" s="3" t="s">
        <v>21</v>
      </c>
      <c r="F2745" s="3" t="s">
        <v>21</v>
      </c>
      <c r="G2745" s="3" t="s">
        <v>36</v>
      </c>
      <c r="H2745" s="3" t="s">
        <v>37</v>
      </c>
      <c r="I2745" s="3" t="s">
        <v>24</v>
      </c>
      <c r="J2745" s="3" t="s">
        <v>24</v>
      </c>
      <c r="K2745" s="3" t="s">
        <v>25</v>
      </c>
      <c r="L2745" s="4">
        <v>0</v>
      </c>
      <c r="M2745" s="3" t="s">
        <v>26</v>
      </c>
      <c r="N2745" s="3" t="s">
        <v>24</v>
      </c>
      <c r="O2745" s="4">
        <v>1</v>
      </c>
      <c r="P2745" s="4">
        <v>10</v>
      </c>
      <c r="Q2745" s="4">
        <v>1</v>
      </c>
    </row>
    <row r="2746" spans="1:17" x14ac:dyDescent="0.25">
      <c r="A2746" s="3" t="s">
        <v>18</v>
      </c>
      <c r="B2746" s="3">
        <v>17160494</v>
      </c>
      <c r="C2746" s="3" t="s">
        <v>2795</v>
      </c>
      <c r="D2746" s="3" t="s">
        <v>20</v>
      </c>
      <c r="E2746" s="3" t="s">
        <v>21</v>
      </c>
      <c r="F2746" s="3" t="s">
        <v>21</v>
      </c>
      <c r="G2746" s="3" t="s">
        <v>233</v>
      </c>
      <c r="H2746" s="3" t="s">
        <v>234</v>
      </c>
      <c r="I2746" s="3" t="s">
        <v>24</v>
      </c>
      <c r="J2746" s="3" t="s">
        <v>24</v>
      </c>
      <c r="K2746" s="3" t="s">
        <v>25</v>
      </c>
      <c r="L2746" s="4">
        <v>0</v>
      </c>
      <c r="M2746" s="3" t="s">
        <v>26</v>
      </c>
      <c r="N2746" s="3" t="s">
        <v>24</v>
      </c>
      <c r="O2746" s="4">
        <v>1</v>
      </c>
      <c r="P2746" s="4">
        <v>3</v>
      </c>
      <c r="Q2746" s="4">
        <v>1</v>
      </c>
    </row>
    <row r="2747" spans="1:17" x14ac:dyDescent="0.25">
      <c r="A2747" s="3" t="s">
        <v>18</v>
      </c>
      <c r="B2747" s="3">
        <v>17161526</v>
      </c>
      <c r="C2747" s="3" t="s">
        <v>2796</v>
      </c>
      <c r="D2747" s="3" t="s">
        <v>1360</v>
      </c>
      <c r="E2747" s="3" t="s">
        <v>21</v>
      </c>
      <c r="F2747" s="3" t="s">
        <v>21</v>
      </c>
      <c r="G2747" s="3" t="s">
        <v>233</v>
      </c>
      <c r="H2747" s="3" t="s">
        <v>234</v>
      </c>
      <c r="I2747" s="3" t="s">
        <v>24</v>
      </c>
      <c r="J2747" s="3" t="s">
        <v>24</v>
      </c>
      <c r="K2747" s="3" t="s">
        <v>25</v>
      </c>
      <c r="L2747" s="4">
        <v>0</v>
      </c>
      <c r="M2747" s="3" t="s">
        <v>26</v>
      </c>
      <c r="N2747" s="3" t="s">
        <v>24</v>
      </c>
      <c r="O2747" s="4">
        <v>1</v>
      </c>
      <c r="P2747" s="4">
        <v>3</v>
      </c>
      <c r="Q2747" s="4">
        <v>1</v>
      </c>
    </row>
    <row r="2748" spans="1:17" x14ac:dyDescent="0.25">
      <c r="A2748" s="3" t="s">
        <v>18</v>
      </c>
      <c r="B2748" s="3">
        <v>17179209</v>
      </c>
      <c r="C2748" s="3" t="s">
        <v>2797</v>
      </c>
      <c r="D2748" s="3" t="s">
        <v>20</v>
      </c>
      <c r="E2748" s="3" t="s">
        <v>21</v>
      </c>
      <c r="F2748" s="3" t="s">
        <v>21</v>
      </c>
      <c r="G2748" s="3" t="s">
        <v>233</v>
      </c>
      <c r="H2748" s="3" t="s">
        <v>234</v>
      </c>
      <c r="I2748" s="3" t="s">
        <v>24</v>
      </c>
      <c r="J2748" s="3" t="s">
        <v>24</v>
      </c>
      <c r="K2748" s="3" t="s">
        <v>25</v>
      </c>
      <c r="L2748" s="4">
        <v>0</v>
      </c>
      <c r="M2748" s="3" t="s">
        <v>26</v>
      </c>
      <c r="N2748" s="3" t="s">
        <v>24</v>
      </c>
      <c r="O2748" s="4">
        <v>1</v>
      </c>
      <c r="P2748" s="4">
        <v>2</v>
      </c>
      <c r="Q2748" s="4">
        <v>1</v>
      </c>
    </row>
    <row r="2749" spans="1:17" x14ac:dyDescent="0.25">
      <c r="A2749" s="3" t="s">
        <v>18</v>
      </c>
      <c r="B2749" s="3">
        <v>17185760</v>
      </c>
      <c r="C2749" s="3" t="s">
        <v>2798</v>
      </c>
      <c r="D2749" s="3" t="s">
        <v>1360</v>
      </c>
      <c r="E2749" s="3" t="s">
        <v>21</v>
      </c>
      <c r="F2749" s="3" t="s">
        <v>21</v>
      </c>
      <c r="G2749" s="3" t="s">
        <v>233</v>
      </c>
      <c r="H2749" s="3" t="s">
        <v>234</v>
      </c>
      <c r="I2749" s="3" t="s">
        <v>24</v>
      </c>
      <c r="J2749" s="3" t="s">
        <v>24</v>
      </c>
      <c r="K2749" s="3" t="s">
        <v>25</v>
      </c>
      <c r="L2749" s="4">
        <v>0</v>
      </c>
      <c r="M2749" s="3" t="s">
        <v>26</v>
      </c>
      <c r="N2749" s="3" t="s">
        <v>24</v>
      </c>
      <c r="O2749" s="4">
        <v>1</v>
      </c>
      <c r="P2749" s="4">
        <v>2</v>
      </c>
      <c r="Q2749" s="4">
        <v>1</v>
      </c>
    </row>
    <row r="2750" spans="1:17" x14ac:dyDescent="0.25">
      <c r="A2750" s="3" t="s">
        <v>18</v>
      </c>
      <c r="B2750" s="3">
        <v>17222154</v>
      </c>
      <c r="C2750" s="3" t="s">
        <v>2799</v>
      </c>
      <c r="D2750" s="3" t="s">
        <v>20</v>
      </c>
      <c r="E2750" s="3" t="s">
        <v>21</v>
      </c>
      <c r="F2750" s="3" t="s">
        <v>21</v>
      </c>
      <c r="G2750" s="3" t="s">
        <v>30</v>
      </c>
      <c r="H2750" s="3" t="s">
        <v>31</v>
      </c>
      <c r="I2750" s="3" t="s">
        <v>24</v>
      </c>
      <c r="J2750" s="3" t="s">
        <v>24</v>
      </c>
      <c r="K2750" s="3" t="s">
        <v>25</v>
      </c>
      <c r="L2750" s="4">
        <v>0</v>
      </c>
      <c r="M2750" s="3" t="s">
        <v>26</v>
      </c>
      <c r="N2750" s="3" t="s">
        <v>24</v>
      </c>
      <c r="O2750" s="4">
        <v>1</v>
      </c>
      <c r="P2750" s="4">
        <v>8</v>
      </c>
      <c r="Q2750" s="4">
        <v>1</v>
      </c>
    </row>
    <row r="2751" spans="1:17" x14ac:dyDescent="0.25">
      <c r="A2751" s="3" t="s">
        <v>18</v>
      </c>
      <c r="B2751" s="3">
        <v>17222155</v>
      </c>
      <c r="C2751" s="3" t="s">
        <v>2800</v>
      </c>
      <c r="D2751" s="3" t="s">
        <v>20</v>
      </c>
      <c r="E2751" s="3" t="s">
        <v>21</v>
      </c>
      <c r="F2751" s="3" t="s">
        <v>21</v>
      </c>
      <c r="G2751" s="3" t="s">
        <v>36</v>
      </c>
      <c r="H2751" s="3" t="s">
        <v>37</v>
      </c>
      <c r="I2751" s="3" t="s">
        <v>24</v>
      </c>
      <c r="J2751" s="3" t="s">
        <v>24</v>
      </c>
      <c r="K2751" s="3" t="s">
        <v>25</v>
      </c>
      <c r="L2751" s="4">
        <v>0</v>
      </c>
      <c r="M2751" s="3" t="s">
        <v>26</v>
      </c>
      <c r="N2751" s="3" t="s">
        <v>24</v>
      </c>
      <c r="O2751" s="4">
        <v>1</v>
      </c>
      <c r="P2751" s="4">
        <v>10</v>
      </c>
      <c r="Q2751" s="4">
        <v>1</v>
      </c>
    </row>
    <row r="2752" spans="1:17" x14ac:dyDescent="0.25">
      <c r="A2752" s="3" t="s">
        <v>18</v>
      </c>
      <c r="B2752" s="3">
        <v>17223171</v>
      </c>
      <c r="C2752" s="3" t="s">
        <v>2801</v>
      </c>
      <c r="D2752" s="3" t="s">
        <v>1360</v>
      </c>
      <c r="E2752" s="3" t="s">
        <v>21</v>
      </c>
      <c r="F2752" s="3" t="s">
        <v>21</v>
      </c>
      <c r="G2752" s="3" t="s">
        <v>36</v>
      </c>
      <c r="H2752" s="3" t="s">
        <v>37</v>
      </c>
      <c r="I2752" s="3" t="s">
        <v>24</v>
      </c>
      <c r="J2752" s="3" t="s">
        <v>24</v>
      </c>
      <c r="K2752" s="3" t="s">
        <v>25</v>
      </c>
      <c r="L2752" s="4">
        <v>0</v>
      </c>
      <c r="M2752" s="3" t="s">
        <v>26</v>
      </c>
      <c r="N2752" s="3" t="s">
        <v>24</v>
      </c>
      <c r="O2752" s="4">
        <v>1</v>
      </c>
      <c r="P2752" s="4">
        <v>10</v>
      </c>
      <c r="Q2752" s="4">
        <v>1</v>
      </c>
    </row>
    <row r="2753" spans="1:17" x14ac:dyDescent="0.25">
      <c r="A2753" s="3" t="s">
        <v>18</v>
      </c>
      <c r="B2753" s="3">
        <v>17224122</v>
      </c>
      <c r="C2753" s="3" t="s">
        <v>2802</v>
      </c>
      <c r="D2753" s="3" t="s">
        <v>20</v>
      </c>
      <c r="E2753" s="3" t="s">
        <v>21</v>
      </c>
      <c r="F2753" s="3" t="s">
        <v>21</v>
      </c>
      <c r="G2753" s="3" t="s">
        <v>30</v>
      </c>
      <c r="H2753" s="3" t="s">
        <v>31</v>
      </c>
      <c r="I2753" s="3" t="s">
        <v>24</v>
      </c>
      <c r="J2753" s="3" t="s">
        <v>24</v>
      </c>
      <c r="K2753" s="3" t="s">
        <v>25</v>
      </c>
      <c r="L2753" s="4">
        <v>0</v>
      </c>
      <c r="M2753" s="3" t="s">
        <v>26</v>
      </c>
      <c r="N2753" s="3" t="s">
        <v>24</v>
      </c>
      <c r="O2753" s="4">
        <v>1</v>
      </c>
      <c r="P2753" s="4">
        <v>8</v>
      </c>
      <c r="Q2753" s="4">
        <v>1</v>
      </c>
    </row>
    <row r="2754" spans="1:17" x14ac:dyDescent="0.25">
      <c r="A2754" s="3" t="s">
        <v>18</v>
      </c>
      <c r="B2754" s="3">
        <v>17224125</v>
      </c>
      <c r="C2754" s="3" t="s">
        <v>2803</v>
      </c>
      <c r="D2754" s="3" t="s">
        <v>20</v>
      </c>
      <c r="E2754" s="3" t="s">
        <v>21</v>
      </c>
      <c r="F2754" s="3" t="s">
        <v>21</v>
      </c>
      <c r="G2754" s="3" t="s">
        <v>42</v>
      </c>
      <c r="H2754" s="3" t="s">
        <v>43</v>
      </c>
      <c r="I2754" s="3" t="s">
        <v>24</v>
      </c>
      <c r="J2754" s="3" t="s">
        <v>24</v>
      </c>
      <c r="K2754" s="3" t="s">
        <v>25</v>
      </c>
      <c r="L2754" s="4">
        <v>0</v>
      </c>
      <c r="M2754" s="3" t="s">
        <v>26</v>
      </c>
      <c r="N2754" s="3" t="s">
        <v>24</v>
      </c>
      <c r="O2754" s="4">
        <v>1</v>
      </c>
      <c r="P2754" s="4">
        <v>8</v>
      </c>
      <c r="Q2754" s="4">
        <v>1</v>
      </c>
    </row>
    <row r="2755" spans="1:17" x14ac:dyDescent="0.25">
      <c r="A2755" s="3" t="s">
        <v>18</v>
      </c>
      <c r="B2755" s="3">
        <v>17224338</v>
      </c>
      <c r="C2755" s="3" t="s">
        <v>2804</v>
      </c>
      <c r="D2755" s="3" t="s">
        <v>20</v>
      </c>
      <c r="E2755" s="3" t="s">
        <v>21</v>
      </c>
      <c r="F2755" s="3" t="s">
        <v>21</v>
      </c>
      <c r="G2755" s="3" t="s">
        <v>36</v>
      </c>
      <c r="H2755" s="3" t="s">
        <v>37</v>
      </c>
      <c r="I2755" s="3" t="s">
        <v>24</v>
      </c>
      <c r="J2755" s="3" t="s">
        <v>24</v>
      </c>
      <c r="K2755" s="3" t="s">
        <v>25</v>
      </c>
      <c r="L2755" s="4">
        <v>0</v>
      </c>
      <c r="M2755" s="3" t="s">
        <v>26</v>
      </c>
      <c r="N2755" s="3" t="s">
        <v>24</v>
      </c>
      <c r="O2755" s="4">
        <v>1</v>
      </c>
      <c r="P2755" s="4">
        <v>4</v>
      </c>
      <c r="Q2755" s="4">
        <v>1</v>
      </c>
    </row>
    <row r="2756" spans="1:17" x14ac:dyDescent="0.25">
      <c r="A2756" s="3" t="s">
        <v>18</v>
      </c>
      <c r="B2756" s="3">
        <v>17224342</v>
      </c>
      <c r="C2756" s="3" t="s">
        <v>2805</v>
      </c>
      <c r="D2756" s="3" t="s">
        <v>20</v>
      </c>
      <c r="E2756" s="3" t="s">
        <v>21</v>
      </c>
      <c r="F2756" s="3" t="s">
        <v>21</v>
      </c>
      <c r="G2756" s="3" t="s">
        <v>36</v>
      </c>
      <c r="H2756" s="3" t="s">
        <v>37</v>
      </c>
      <c r="I2756" s="3" t="s">
        <v>24</v>
      </c>
      <c r="J2756" s="3" t="s">
        <v>24</v>
      </c>
      <c r="K2756" s="3" t="s">
        <v>25</v>
      </c>
      <c r="L2756" s="4">
        <v>0</v>
      </c>
      <c r="M2756" s="3" t="s">
        <v>26</v>
      </c>
      <c r="N2756" s="3" t="s">
        <v>24</v>
      </c>
      <c r="O2756" s="4">
        <v>1</v>
      </c>
      <c r="P2756" s="4">
        <v>4</v>
      </c>
      <c r="Q2756" s="4">
        <v>1</v>
      </c>
    </row>
    <row r="2757" spans="1:17" x14ac:dyDescent="0.25">
      <c r="A2757" s="3" t="s">
        <v>18</v>
      </c>
      <c r="B2757" s="3">
        <v>17224346</v>
      </c>
      <c r="C2757" s="3" t="s">
        <v>2806</v>
      </c>
      <c r="D2757" s="3" t="s">
        <v>20</v>
      </c>
      <c r="E2757" s="3" t="s">
        <v>21</v>
      </c>
      <c r="F2757" s="3" t="s">
        <v>21</v>
      </c>
      <c r="G2757" s="3" t="s">
        <v>36</v>
      </c>
      <c r="H2757" s="3" t="s">
        <v>37</v>
      </c>
      <c r="I2757" s="3" t="s">
        <v>24</v>
      </c>
      <c r="J2757" s="3" t="s">
        <v>24</v>
      </c>
      <c r="K2757" s="3" t="s">
        <v>25</v>
      </c>
      <c r="L2757" s="4">
        <v>0</v>
      </c>
      <c r="M2757" s="3" t="s">
        <v>26</v>
      </c>
      <c r="N2757" s="3" t="s">
        <v>24</v>
      </c>
      <c r="O2757" s="4">
        <v>1</v>
      </c>
      <c r="P2757" s="4">
        <v>4</v>
      </c>
      <c r="Q2757" s="4">
        <v>1</v>
      </c>
    </row>
    <row r="2758" spans="1:17" x14ac:dyDescent="0.25">
      <c r="A2758" s="3" t="s">
        <v>18</v>
      </c>
      <c r="B2758" s="3">
        <v>17224347</v>
      </c>
      <c r="C2758" s="3" t="s">
        <v>2807</v>
      </c>
      <c r="D2758" s="3" t="s">
        <v>20</v>
      </c>
      <c r="E2758" s="3" t="s">
        <v>21</v>
      </c>
      <c r="F2758" s="3" t="s">
        <v>21</v>
      </c>
      <c r="G2758" s="3" t="s">
        <v>36</v>
      </c>
      <c r="H2758" s="3" t="s">
        <v>37</v>
      </c>
      <c r="I2758" s="3" t="s">
        <v>24</v>
      </c>
      <c r="J2758" s="3" t="s">
        <v>24</v>
      </c>
      <c r="K2758" s="3" t="s">
        <v>25</v>
      </c>
      <c r="L2758" s="4">
        <v>0</v>
      </c>
      <c r="M2758" s="3" t="s">
        <v>26</v>
      </c>
      <c r="N2758" s="3" t="s">
        <v>24</v>
      </c>
      <c r="O2758" s="4">
        <v>1</v>
      </c>
      <c r="P2758" s="4">
        <v>3</v>
      </c>
      <c r="Q2758" s="4">
        <v>1</v>
      </c>
    </row>
    <row r="2759" spans="1:17" x14ac:dyDescent="0.25">
      <c r="A2759" s="3" t="s">
        <v>18</v>
      </c>
      <c r="B2759" s="3">
        <v>17229588</v>
      </c>
      <c r="C2759" s="3" t="s">
        <v>2808</v>
      </c>
      <c r="D2759" s="3" t="s">
        <v>20</v>
      </c>
      <c r="E2759" s="3" t="s">
        <v>21</v>
      </c>
      <c r="F2759" s="3" t="s">
        <v>21</v>
      </c>
      <c r="G2759" s="3" t="s">
        <v>22</v>
      </c>
      <c r="H2759" s="3" t="s">
        <v>23</v>
      </c>
      <c r="I2759" s="3" t="s">
        <v>24</v>
      </c>
      <c r="J2759" s="3" t="s">
        <v>24</v>
      </c>
      <c r="K2759" s="3" t="s">
        <v>25</v>
      </c>
      <c r="L2759" s="4">
        <v>0</v>
      </c>
      <c r="M2759" s="3" t="s">
        <v>26</v>
      </c>
      <c r="N2759" s="3" t="s">
        <v>24</v>
      </c>
      <c r="O2759" s="4">
        <v>1</v>
      </c>
      <c r="P2759" s="4">
        <v>4</v>
      </c>
      <c r="Q2759" s="4">
        <v>1</v>
      </c>
    </row>
    <row r="2760" spans="1:17" x14ac:dyDescent="0.25">
      <c r="A2760" s="3" t="s">
        <v>18</v>
      </c>
      <c r="B2760" s="3">
        <v>17229594</v>
      </c>
      <c r="C2760" s="3" t="s">
        <v>2809</v>
      </c>
      <c r="D2760" s="3" t="s">
        <v>20</v>
      </c>
      <c r="E2760" s="3" t="s">
        <v>21</v>
      </c>
      <c r="F2760" s="3" t="s">
        <v>21</v>
      </c>
      <c r="G2760" s="3" t="s">
        <v>36</v>
      </c>
      <c r="H2760" s="3" t="s">
        <v>37</v>
      </c>
      <c r="I2760" s="3" t="s">
        <v>24</v>
      </c>
      <c r="J2760" s="3" t="s">
        <v>24</v>
      </c>
      <c r="K2760" s="3" t="s">
        <v>25</v>
      </c>
      <c r="L2760" s="4">
        <v>0</v>
      </c>
      <c r="M2760" s="3" t="s">
        <v>26</v>
      </c>
      <c r="N2760" s="3" t="s">
        <v>24</v>
      </c>
      <c r="O2760" s="4">
        <v>1</v>
      </c>
      <c r="P2760" s="4">
        <v>10</v>
      </c>
      <c r="Q2760" s="4">
        <v>1</v>
      </c>
    </row>
    <row r="2761" spans="1:17" x14ac:dyDescent="0.25">
      <c r="A2761" s="3" t="s">
        <v>18</v>
      </c>
      <c r="B2761" s="3">
        <v>17229734</v>
      </c>
      <c r="C2761" s="3" t="s">
        <v>2810</v>
      </c>
      <c r="D2761" s="3" t="s">
        <v>20</v>
      </c>
      <c r="E2761" s="3" t="s">
        <v>21</v>
      </c>
      <c r="F2761" s="3" t="s">
        <v>21</v>
      </c>
      <c r="G2761" s="3" t="s">
        <v>36</v>
      </c>
      <c r="H2761" s="3" t="s">
        <v>37</v>
      </c>
      <c r="I2761" s="3" t="s">
        <v>24</v>
      </c>
      <c r="J2761" s="3" t="s">
        <v>24</v>
      </c>
      <c r="K2761" s="3" t="s">
        <v>25</v>
      </c>
      <c r="L2761" s="4">
        <v>0</v>
      </c>
      <c r="M2761" s="3" t="s">
        <v>26</v>
      </c>
      <c r="N2761" s="3" t="s">
        <v>24</v>
      </c>
      <c r="O2761" s="4">
        <v>1</v>
      </c>
      <c r="P2761" s="4">
        <v>10</v>
      </c>
      <c r="Q2761" s="4">
        <v>1</v>
      </c>
    </row>
    <row r="2762" spans="1:17" x14ac:dyDescent="0.25">
      <c r="A2762" s="3" t="s">
        <v>18</v>
      </c>
      <c r="B2762" s="3">
        <v>17229737</v>
      </c>
      <c r="C2762" s="3" t="s">
        <v>2811</v>
      </c>
      <c r="D2762" s="3" t="s">
        <v>20</v>
      </c>
      <c r="E2762" s="3" t="s">
        <v>21</v>
      </c>
      <c r="F2762" s="3" t="s">
        <v>21</v>
      </c>
      <c r="G2762" s="3" t="s">
        <v>233</v>
      </c>
      <c r="H2762" s="3" t="s">
        <v>234</v>
      </c>
      <c r="I2762" s="3" t="s">
        <v>24</v>
      </c>
      <c r="J2762" s="3" t="s">
        <v>24</v>
      </c>
      <c r="K2762" s="3" t="s">
        <v>25</v>
      </c>
      <c r="L2762" s="4">
        <v>0</v>
      </c>
      <c r="M2762" s="3" t="s">
        <v>26</v>
      </c>
      <c r="N2762" s="3" t="s">
        <v>24</v>
      </c>
      <c r="O2762" s="4">
        <v>1</v>
      </c>
      <c r="P2762" s="4">
        <v>2</v>
      </c>
      <c r="Q2762" s="4">
        <v>1</v>
      </c>
    </row>
    <row r="2763" spans="1:17" x14ac:dyDescent="0.25">
      <c r="A2763" s="3" t="s">
        <v>18</v>
      </c>
      <c r="B2763" s="3">
        <v>17230118</v>
      </c>
      <c r="C2763" s="3" t="s">
        <v>2812</v>
      </c>
      <c r="D2763" s="3" t="s">
        <v>20</v>
      </c>
      <c r="E2763" s="3" t="s">
        <v>21</v>
      </c>
      <c r="F2763" s="3" t="s">
        <v>21</v>
      </c>
      <c r="G2763" s="3" t="s">
        <v>42</v>
      </c>
      <c r="H2763" s="3" t="s">
        <v>43</v>
      </c>
      <c r="I2763" s="3" t="s">
        <v>24</v>
      </c>
      <c r="J2763" s="3" t="s">
        <v>24</v>
      </c>
      <c r="K2763" s="3" t="s">
        <v>25</v>
      </c>
      <c r="L2763" s="4">
        <v>0</v>
      </c>
      <c r="M2763" s="3" t="s">
        <v>26</v>
      </c>
      <c r="N2763" s="3" t="s">
        <v>24</v>
      </c>
      <c r="O2763" s="4">
        <v>1</v>
      </c>
      <c r="P2763" s="4">
        <v>8</v>
      </c>
      <c r="Q2763" s="4">
        <v>1</v>
      </c>
    </row>
    <row r="2764" spans="1:17" x14ac:dyDescent="0.25">
      <c r="A2764" s="3" t="s">
        <v>18</v>
      </c>
      <c r="B2764" s="3">
        <v>17248032</v>
      </c>
      <c r="C2764" s="3" t="s">
        <v>2813</v>
      </c>
      <c r="D2764" s="3" t="s">
        <v>20</v>
      </c>
      <c r="E2764" s="3" t="s">
        <v>21</v>
      </c>
      <c r="F2764" s="3" t="s">
        <v>21</v>
      </c>
      <c r="G2764" s="3" t="s">
        <v>42</v>
      </c>
      <c r="H2764" s="3" t="s">
        <v>43</v>
      </c>
      <c r="I2764" s="3" t="s">
        <v>24</v>
      </c>
      <c r="J2764" s="3" t="s">
        <v>24</v>
      </c>
      <c r="K2764" s="3" t="s">
        <v>25</v>
      </c>
      <c r="L2764" s="4">
        <v>0</v>
      </c>
      <c r="M2764" s="3" t="s">
        <v>26</v>
      </c>
      <c r="N2764" s="3" t="s">
        <v>24</v>
      </c>
      <c r="O2764" s="4">
        <v>1</v>
      </c>
      <c r="P2764" s="4">
        <v>8</v>
      </c>
      <c r="Q2764" s="4">
        <v>1</v>
      </c>
    </row>
    <row r="2765" spans="1:17" x14ac:dyDescent="0.25">
      <c r="A2765" s="3" t="s">
        <v>18</v>
      </c>
      <c r="B2765" s="3">
        <v>17249805</v>
      </c>
      <c r="C2765" s="3" t="s">
        <v>2814</v>
      </c>
      <c r="D2765" s="3" t="s">
        <v>20</v>
      </c>
      <c r="E2765" s="3" t="s">
        <v>21</v>
      </c>
      <c r="F2765" s="3" t="s">
        <v>21</v>
      </c>
      <c r="G2765" s="3" t="s">
        <v>30</v>
      </c>
      <c r="H2765" s="3" t="s">
        <v>31</v>
      </c>
      <c r="I2765" s="3" t="s">
        <v>24</v>
      </c>
      <c r="J2765" s="3" t="s">
        <v>24</v>
      </c>
      <c r="K2765" s="3" t="s">
        <v>25</v>
      </c>
      <c r="L2765" s="4">
        <v>0</v>
      </c>
      <c r="M2765" s="3" t="s">
        <v>26</v>
      </c>
      <c r="N2765" s="3" t="s">
        <v>24</v>
      </c>
      <c r="O2765" s="4">
        <v>1</v>
      </c>
      <c r="P2765" s="4">
        <v>9</v>
      </c>
      <c r="Q2765" s="4">
        <v>1</v>
      </c>
    </row>
    <row r="2766" spans="1:17" x14ac:dyDescent="0.25">
      <c r="A2766" s="3" t="s">
        <v>18</v>
      </c>
      <c r="B2766" s="3">
        <v>17249938</v>
      </c>
      <c r="C2766" s="3" t="s">
        <v>2815</v>
      </c>
      <c r="D2766" s="3" t="s">
        <v>20</v>
      </c>
      <c r="E2766" s="3" t="s">
        <v>21</v>
      </c>
      <c r="F2766" s="3" t="s">
        <v>21</v>
      </c>
      <c r="G2766" s="3" t="s">
        <v>233</v>
      </c>
      <c r="H2766" s="3" t="s">
        <v>234</v>
      </c>
      <c r="I2766" s="3" t="s">
        <v>24</v>
      </c>
      <c r="J2766" s="3" t="s">
        <v>24</v>
      </c>
      <c r="K2766" s="3" t="s">
        <v>25</v>
      </c>
      <c r="L2766" s="4">
        <v>0</v>
      </c>
      <c r="M2766" s="3" t="s">
        <v>26</v>
      </c>
      <c r="N2766" s="3" t="s">
        <v>24</v>
      </c>
      <c r="O2766" s="4">
        <v>1</v>
      </c>
      <c r="P2766" s="4">
        <v>3</v>
      </c>
      <c r="Q2766" s="4">
        <v>1</v>
      </c>
    </row>
    <row r="2767" spans="1:17" x14ac:dyDescent="0.25">
      <c r="A2767" s="3" t="s">
        <v>18</v>
      </c>
      <c r="B2767" s="3">
        <v>17257516</v>
      </c>
      <c r="C2767" s="3" t="s">
        <v>2816</v>
      </c>
      <c r="D2767" s="3" t="s">
        <v>1360</v>
      </c>
      <c r="E2767" s="3" t="s">
        <v>21</v>
      </c>
      <c r="F2767" s="3" t="s">
        <v>21</v>
      </c>
      <c r="G2767" s="3" t="s">
        <v>233</v>
      </c>
      <c r="H2767" s="3" t="s">
        <v>234</v>
      </c>
      <c r="I2767" s="3" t="s">
        <v>24</v>
      </c>
      <c r="J2767" s="3" t="s">
        <v>24</v>
      </c>
      <c r="K2767" s="3" t="s">
        <v>25</v>
      </c>
      <c r="L2767" s="4">
        <v>0</v>
      </c>
      <c r="M2767" s="3" t="s">
        <v>26</v>
      </c>
      <c r="N2767" s="3" t="s">
        <v>24</v>
      </c>
      <c r="O2767" s="4">
        <v>1</v>
      </c>
      <c r="P2767" s="4">
        <v>3</v>
      </c>
      <c r="Q2767" s="4">
        <v>1</v>
      </c>
    </row>
    <row r="2768" spans="1:17" x14ac:dyDescent="0.25">
      <c r="A2768" s="3" t="s">
        <v>18</v>
      </c>
      <c r="B2768" s="3">
        <v>17262550</v>
      </c>
      <c r="C2768" s="3" t="s">
        <v>2817</v>
      </c>
      <c r="D2768" s="3" t="s">
        <v>20</v>
      </c>
      <c r="E2768" s="3" t="s">
        <v>21</v>
      </c>
      <c r="F2768" s="3" t="s">
        <v>21</v>
      </c>
      <c r="G2768" s="3" t="s">
        <v>36</v>
      </c>
      <c r="H2768" s="3" t="s">
        <v>37</v>
      </c>
      <c r="I2768" s="3" t="s">
        <v>24</v>
      </c>
      <c r="J2768" s="3" t="s">
        <v>24</v>
      </c>
      <c r="K2768" s="3" t="s">
        <v>25</v>
      </c>
      <c r="L2768" s="4">
        <v>0</v>
      </c>
      <c r="M2768" s="3" t="s">
        <v>26</v>
      </c>
      <c r="N2768" s="3" t="s">
        <v>24</v>
      </c>
      <c r="O2768" s="4">
        <v>1</v>
      </c>
      <c r="P2768" s="4">
        <v>10</v>
      </c>
      <c r="Q2768" s="4">
        <v>1</v>
      </c>
    </row>
    <row r="2769" spans="1:17" x14ac:dyDescent="0.25">
      <c r="A2769" s="3" t="s">
        <v>18</v>
      </c>
      <c r="B2769" s="3">
        <v>17262554</v>
      </c>
      <c r="C2769" s="3" t="s">
        <v>2818</v>
      </c>
      <c r="D2769" s="3" t="s">
        <v>20</v>
      </c>
      <c r="E2769" s="3" t="s">
        <v>21</v>
      </c>
      <c r="F2769" s="3" t="s">
        <v>21</v>
      </c>
      <c r="G2769" s="3" t="s">
        <v>30</v>
      </c>
      <c r="H2769" s="3" t="s">
        <v>31</v>
      </c>
      <c r="I2769" s="3" t="s">
        <v>24</v>
      </c>
      <c r="J2769" s="3" t="s">
        <v>24</v>
      </c>
      <c r="K2769" s="3" t="s">
        <v>25</v>
      </c>
      <c r="L2769" s="4">
        <v>0</v>
      </c>
      <c r="M2769" s="3" t="s">
        <v>26</v>
      </c>
      <c r="N2769" s="3" t="s">
        <v>24</v>
      </c>
      <c r="O2769" s="4">
        <v>1</v>
      </c>
      <c r="P2769" s="4">
        <v>8</v>
      </c>
      <c r="Q2769" s="4">
        <v>1</v>
      </c>
    </row>
    <row r="2770" spans="1:17" x14ac:dyDescent="0.25">
      <c r="A2770" s="3" t="s">
        <v>18</v>
      </c>
      <c r="B2770" s="3">
        <v>17262555</v>
      </c>
      <c r="C2770" s="3" t="s">
        <v>2819</v>
      </c>
      <c r="D2770" s="3" t="s">
        <v>20</v>
      </c>
      <c r="E2770" s="3" t="s">
        <v>21</v>
      </c>
      <c r="F2770" s="3" t="s">
        <v>21</v>
      </c>
      <c r="G2770" s="3" t="s">
        <v>42</v>
      </c>
      <c r="H2770" s="3" t="s">
        <v>43</v>
      </c>
      <c r="I2770" s="3" t="s">
        <v>24</v>
      </c>
      <c r="J2770" s="3" t="s">
        <v>24</v>
      </c>
      <c r="K2770" s="3" t="s">
        <v>25</v>
      </c>
      <c r="L2770" s="4">
        <v>0</v>
      </c>
      <c r="M2770" s="3" t="s">
        <v>26</v>
      </c>
      <c r="N2770" s="3" t="s">
        <v>24</v>
      </c>
      <c r="O2770" s="4">
        <v>1</v>
      </c>
      <c r="P2770" s="4">
        <v>4</v>
      </c>
      <c r="Q2770" s="4">
        <v>1</v>
      </c>
    </row>
    <row r="2771" spans="1:17" x14ac:dyDescent="0.25">
      <c r="A2771" s="3" t="s">
        <v>18</v>
      </c>
      <c r="B2771" s="3">
        <v>17262557</v>
      </c>
      <c r="C2771" s="3" t="s">
        <v>2820</v>
      </c>
      <c r="D2771" s="3" t="s">
        <v>20</v>
      </c>
      <c r="E2771" s="3" t="s">
        <v>21</v>
      </c>
      <c r="F2771" s="3" t="s">
        <v>21</v>
      </c>
      <c r="G2771" s="3" t="s">
        <v>42</v>
      </c>
      <c r="H2771" s="3" t="s">
        <v>43</v>
      </c>
      <c r="I2771" s="3" t="s">
        <v>24</v>
      </c>
      <c r="J2771" s="3" t="s">
        <v>24</v>
      </c>
      <c r="K2771" s="3" t="s">
        <v>25</v>
      </c>
      <c r="L2771" s="4">
        <v>0</v>
      </c>
      <c r="M2771" s="3" t="s">
        <v>26</v>
      </c>
      <c r="N2771" s="3" t="s">
        <v>24</v>
      </c>
      <c r="O2771" s="4">
        <v>1</v>
      </c>
      <c r="P2771" s="4">
        <v>8</v>
      </c>
      <c r="Q2771" s="4">
        <v>1</v>
      </c>
    </row>
    <row r="2772" spans="1:17" x14ac:dyDescent="0.25">
      <c r="A2772" s="3" t="s">
        <v>18</v>
      </c>
      <c r="B2772" s="3">
        <v>17262630</v>
      </c>
      <c r="C2772" s="3" t="s">
        <v>2821</v>
      </c>
      <c r="D2772" s="3" t="s">
        <v>20</v>
      </c>
      <c r="E2772" s="3" t="s">
        <v>21</v>
      </c>
      <c r="F2772" s="3" t="s">
        <v>21</v>
      </c>
      <c r="G2772" s="3" t="s">
        <v>22</v>
      </c>
      <c r="H2772" s="3" t="s">
        <v>23</v>
      </c>
      <c r="I2772" s="3" t="s">
        <v>24</v>
      </c>
      <c r="J2772" s="3" t="s">
        <v>24</v>
      </c>
      <c r="K2772" s="3" t="s">
        <v>25</v>
      </c>
      <c r="L2772" s="4">
        <v>0</v>
      </c>
      <c r="M2772" s="3" t="s">
        <v>26</v>
      </c>
      <c r="N2772" s="3" t="s">
        <v>24</v>
      </c>
      <c r="O2772" s="4">
        <v>1</v>
      </c>
      <c r="P2772" s="4">
        <v>4</v>
      </c>
      <c r="Q2772" s="4">
        <v>1</v>
      </c>
    </row>
    <row r="2773" spans="1:17" x14ac:dyDescent="0.25">
      <c r="A2773" s="3" t="s">
        <v>18</v>
      </c>
      <c r="B2773" s="3">
        <v>17262635</v>
      </c>
      <c r="C2773" s="3" t="s">
        <v>2822</v>
      </c>
      <c r="D2773" s="3" t="s">
        <v>20</v>
      </c>
      <c r="E2773" s="3" t="s">
        <v>21</v>
      </c>
      <c r="F2773" s="3" t="s">
        <v>21</v>
      </c>
      <c r="G2773" s="3" t="s">
        <v>22</v>
      </c>
      <c r="H2773" s="3" t="s">
        <v>23</v>
      </c>
      <c r="I2773" s="3" t="s">
        <v>24</v>
      </c>
      <c r="J2773" s="3" t="s">
        <v>24</v>
      </c>
      <c r="K2773" s="3" t="s">
        <v>25</v>
      </c>
      <c r="L2773" s="4">
        <v>0</v>
      </c>
      <c r="M2773" s="3" t="s">
        <v>26</v>
      </c>
      <c r="N2773" s="3" t="s">
        <v>24</v>
      </c>
      <c r="O2773" s="4">
        <v>1</v>
      </c>
      <c r="P2773" s="4">
        <v>4</v>
      </c>
      <c r="Q2773" s="4">
        <v>1</v>
      </c>
    </row>
    <row r="2774" spans="1:17" x14ac:dyDescent="0.25">
      <c r="A2774" s="3" t="s">
        <v>18</v>
      </c>
      <c r="B2774" s="3">
        <v>17270579</v>
      </c>
      <c r="C2774" s="3" t="s">
        <v>2823</v>
      </c>
      <c r="D2774" s="3" t="s">
        <v>20</v>
      </c>
      <c r="E2774" s="3" t="s">
        <v>21</v>
      </c>
      <c r="F2774" s="3" t="s">
        <v>21</v>
      </c>
      <c r="G2774" s="3" t="s">
        <v>36</v>
      </c>
      <c r="H2774" s="3" t="s">
        <v>37</v>
      </c>
      <c r="I2774" s="3" t="s">
        <v>24</v>
      </c>
      <c r="J2774" s="3" t="s">
        <v>24</v>
      </c>
      <c r="K2774" s="3" t="s">
        <v>25</v>
      </c>
      <c r="L2774" s="4">
        <v>0</v>
      </c>
      <c r="M2774" s="3" t="s">
        <v>26</v>
      </c>
      <c r="N2774" s="3" t="s">
        <v>24</v>
      </c>
      <c r="O2774" s="4">
        <v>1</v>
      </c>
      <c r="P2774" s="4">
        <v>10</v>
      </c>
      <c r="Q2774" s="4">
        <v>1</v>
      </c>
    </row>
    <row r="2775" spans="1:17" x14ac:dyDescent="0.25">
      <c r="A2775" s="3" t="s">
        <v>18</v>
      </c>
      <c r="B2775" s="3">
        <v>17279506</v>
      </c>
      <c r="C2775" s="3" t="s">
        <v>2824</v>
      </c>
      <c r="D2775" s="3" t="s">
        <v>20</v>
      </c>
      <c r="E2775" s="3" t="s">
        <v>21</v>
      </c>
      <c r="F2775" s="3" t="s">
        <v>21</v>
      </c>
      <c r="G2775" s="3" t="s">
        <v>30</v>
      </c>
      <c r="H2775" s="3" t="s">
        <v>31</v>
      </c>
      <c r="I2775" s="3" t="s">
        <v>24</v>
      </c>
      <c r="J2775" s="3" t="s">
        <v>24</v>
      </c>
      <c r="K2775" s="3" t="s">
        <v>25</v>
      </c>
      <c r="L2775" s="4">
        <v>0</v>
      </c>
      <c r="M2775" s="3" t="s">
        <v>26</v>
      </c>
      <c r="N2775" s="3" t="s">
        <v>24</v>
      </c>
      <c r="O2775" s="4">
        <v>1</v>
      </c>
      <c r="P2775" s="4">
        <v>9</v>
      </c>
      <c r="Q2775" s="4">
        <v>1</v>
      </c>
    </row>
    <row r="2776" spans="1:17" x14ac:dyDescent="0.25">
      <c r="A2776" s="3" t="s">
        <v>18</v>
      </c>
      <c r="B2776" s="3">
        <v>17279507</v>
      </c>
      <c r="C2776" s="3" t="s">
        <v>2825</v>
      </c>
      <c r="D2776" s="3" t="s">
        <v>20</v>
      </c>
      <c r="E2776" s="3" t="s">
        <v>21</v>
      </c>
      <c r="F2776" s="3" t="s">
        <v>21</v>
      </c>
      <c r="G2776" s="3" t="s">
        <v>30</v>
      </c>
      <c r="H2776" s="3" t="s">
        <v>31</v>
      </c>
      <c r="I2776" s="3" t="s">
        <v>24</v>
      </c>
      <c r="J2776" s="3" t="s">
        <v>24</v>
      </c>
      <c r="K2776" s="3" t="s">
        <v>25</v>
      </c>
      <c r="L2776" s="4">
        <v>0</v>
      </c>
      <c r="M2776" s="3" t="s">
        <v>26</v>
      </c>
      <c r="N2776" s="3" t="s">
        <v>24</v>
      </c>
      <c r="O2776" s="4">
        <v>1</v>
      </c>
      <c r="P2776" s="4">
        <v>8</v>
      </c>
      <c r="Q2776" s="4">
        <v>1</v>
      </c>
    </row>
    <row r="2777" spans="1:17" x14ac:dyDescent="0.25">
      <c r="A2777" s="3" t="s">
        <v>18</v>
      </c>
      <c r="B2777" s="3">
        <v>17279888</v>
      </c>
      <c r="C2777" s="3" t="s">
        <v>2826</v>
      </c>
      <c r="D2777" s="3" t="s">
        <v>20</v>
      </c>
      <c r="E2777" s="3" t="s">
        <v>21</v>
      </c>
      <c r="F2777" s="3" t="s">
        <v>21</v>
      </c>
      <c r="G2777" s="3" t="s">
        <v>30</v>
      </c>
      <c r="H2777" s="3" t="s">
        <v>31</v>
      </c>
      <c r="I2777" s="3" t="s">
        <v>24</v>
      </c>
      <c r="J2777" s="3" t="s">
        <v>24</v>
      </c>
      <c r="K2777" s="3" t="s">
        <v>25</v>
      </c>
      <c r="L2777" s="4">
        <v>0</v>
      </c>
      <c r="M2777" s="3" t="s">
        <v>26</v>
      </c>
      <c r="N2777" s="3" t="s">
        <v>24</v>
      </c>
      <c r="O2777" s="4">
        <v>1</v>
      </c>
      <c r="P2777" s="4">
        <v>8</v>
      </c>
      <c r="Q2777" s="4">
        <v>1</v>
      </c>
    </row>
    <row r="2778" spans="1:17" x14ac:dyDescent="0.25">
      <c r="A2778" s="3" t="s">
        <v>18</v>
      </c>
      <c r="B2778" s="3">
        <v>17279891</v>
      </c>
      <c r="C2778" s="3" t="s">
        <v>2827</v>
      </c>
      <c r="D2778" s="3" t="s">
        <v>20</v>
      </c>
      <c r="E2778" s="3" t="s">
        <v>21</v>
      </c>
      <c r="F2778" s="3" t="s">
        <v>21</v>
      </c>
      <c r="G2778" s="3" t="s">
        <v>42</v>
      </c>
      <c r="H2778" s="3" t="s">
        <v>43</v>
      </c>
      <c r="I2778" s="3" t="s">
        <v>24</v>
      </c>
      <c r="J2778" s="3" t="s">
        <v>24</v>
      </c>
      <c r="K2778" s="3" t="s">
        <v>25</v>
      </c>
      <c r="L2778" s="4">
        <v>0</v>
      </c>
      <c r="M2778" s="3" t="s">
        <v>26</v>
      </c>
      <c r="N2778" s="3" t="s">
        <v>24</v>
      </c>
      <c r="O2778" s="4">
        <v>1</v>
      </c>
      <c r="P2778" s="4">
        <v>8</v>
      </c>
      <c r="Q2778" s="4">
        <v>1</v>
      </c>
    </row>
    <row r="2779" spans="1:17" x14ac:dyDescent="0.25">
      <c r="A2779" s="3" t="s">
        <v>18</v>
      </c>
      <c r="B2779" s="3">
        <v>17291357</v>
      </c>
      <c r="C2779" s="3" t="s">
        <v>2828</v>
      </c>
      <c r="D2779" s="3" t="s">
        <v>20</v>
      </c>
      <c r="E2779" s="3" t="s">
        <v>21</v>
      </c>
      <c r="F2779" s="3" t="s">
        <v>21</v>
      </c>
      <c r="G2779" s="3" t="s">
        <v>42</v>
      </c>
      <c r="H2779" s="3" t="s">
        <v>43</v>
      </c>
      <c r="I2779" s="3" t="s">
        <v>24</v>
      </c>
      <c r="J2779" s="3" t="s">
        <v>24</v>
      </c>
      <c r="K2779" s="3" t="s">
        <v>25</v>
      </c>
      <c r="L2779" s="4">
        <v>0</v>
      </c>
      <c r="M2779" s="3" t="s">
        <v>26</v>
      </c>
      <c r="N2779" s="3" t="s">
        <v>24</v>
      </c>
      <c r="O2779" s="4">
        <v>1</v>
      </c>
      <c r="P2779" s="4">
        <v>8</v>
      </c>
      <c r="Q2779" s="4">
        <v>1</v>
      </c>
    </row>
    <row r="2780" spans="1:17" x14ac:dyDescent="0.25">
      <c r="A2780" s="3" t="s">
        <v>18</v>
      </c>
      <c r="B2780" s="3">
        <v>17312709</v>
      </c>
      <c r="C2780" s="3" t="s">
        <v>2829</v>
      </c>
      <c r="D2780" s="3" t="s">
        <v>20</v>
      </c>
      <c r="E2780" s="3" t="s">
        <v>21</v>
      </c>
      <c r="F2780" s="3" t="s">
        <v>21</v>
      </c>
      <c r="G2780" s="3" t="s">
        <v>30</v>
      </c>
      <c r="H2780" s="3" t="s">
        <v>31</v>
      </c>
      <c r="I2780" s="3" t="s">
        <v>24</v>
      </c>
      <c r="J2780" s="3" t="s">
        <v>24</v>
      </c>
      <c r="K2780" s="3" t="s">
        <v>25</v>
      </c>
      <c r="L2780" s="4">
        <v>0</v>
      </c>
      <c r="M2780" s="3" t="s">
        <v>26</v>
      </c>
      <c r="N2780" s="3" t="s">
        <v>24</v>
      </c>
      <c r="O2780" s="4">
        <v>1</v>
      </c>
      <c r="P2780" s="4">
        <v>9</v>
      </c>
      <c r="Q2780" s="4">
        <v>1</v>
      </c>
    </row>
    <row r="2781" spans="1:17" x14ac:dyDescent="0.25">
      <c r="A2781" s="3" t="s">
        <v>18</v>
      </c>
      <c r="B2781" s="3">
        <v>17313354</v>
      </c>
      <c r="C2781" s="3" t="s">
        <v>2830</v>
      </c>
      <c r="D2781" s="3" t="s">
        <v>20</v>
      </c>
      <c r="E2781" s="3" t="s">
        <v>21</v>
      </c>
      <c r="F2781" s="3" t="s">
        <v>21</v>
      </c>
      <c r="G2781" s="3" t="s">
        <v>233</v>
      </c>
      <c r="H2781" s="3" t="s">
        <v>234</v>
      </c>
      <c r="I2781" s="3" t="s">
        <v>24</v>
      </c>
      <c r="J2781" s="3" t="s">
        <v>24</v>
      </c>
      <c r="K2781" s="3" t="s">
        <v>25</v>
      </c>
      <c r="L2781" s="4">
        <v>0</v>
      </c>
      <c r="M2781" s="3" t="s">
        <v>26</v>
      </c>
      <c r="N2781" s="3" t="s">
        <v>24</v>
      </c>
      <c r="O2781" s="4">
        <v>1</v>
      </c>
      <c r="P2781" s="4">
        <v>3</v>
      </c>
      <c r="Q2781" s="4">
        <v>1</v>
      </c>
    </row>
    <row r="2782" spans="1:17" x14ac:dyDescent="0.25">
      <c r="A2782" s="3" t="s">
        <v>18</v>
      </c>
      <c r="B2782" s="3">
        <v>17313355</v>
      </c>
      <c r="C2782" s="3" t="s">
        <v>2831</v>
      </c>
      <c r="D2782" s="3" t="s">
        <v>20</v>
      </c>
      <c r="E2782" s="3" t="s">
        <v>21</v>
      </c>
      <c r="F2782" s="3" t="s">
        <v>21</v>
      </c>
      <c r="G2782" s="3" t="s">
        <v>233</v>
      </c>
      <c r="H2782" s="3" t="s">
        <v>234</v>
      </c>
      <c r="I2782" s="3" t="s">
        <v>24</v>
      </c>
      <c r="J2782" s="3" t="s">
        <v>24</v>
      </c>
      <c r="K2782" s="3" t="s">
        <v>25</v>
      </c>
      <c r="L2782" s="4">
        <v>0</v>
      </c>
      <c r="M2782" s="3" t="s">
        <v>26</v>
      </c>
      <c r="N2782" s="3" t="s">
        <v>24</v>
      </c>
      <c r="O2782" s="4">
        <v>1</v>
      </c>
      <c r="P2782" s="4">
        <v>3</v>
      </c>
      <c r="Q2782" s="4">
        <v>1</v>
      </c>
    </row>
    <row r="2783" spans="1:17" x14ac:dyDescent="0.25">
      <c r="A2783" s="3" t="s">
        <v>18</v>
      </c>
      <c r="B2783" s="3">
        <v>17313356</v>
      </c>
      <c r="C2783" s="3" t="s">
        <v>2832</v>
      </c>
      <c r="D2783" s="3" t="s">
        <v>20</v>
      </c>
      <c r="E2783" s="3" t="s">
        <v>21</v>
      </c>
      <c r="F2783" s="3" t="s">
        <v>21</v>
      </c>
      <c r="G2783" s="3" t="s">
        <v>233</v>
      </c>
      <c r="H2783" s="3" t="s">
        <v>234</v>
      </c>
      <c r="I2783" s="3" t="s">
        <v>24</v>
      </c>
      <c r="J2783" s="3" t="s">
        <v>24</v>
      </c>
      <c r="K2783" s="3" t="s">
        <v>25</v>
      </c>
      <c r="L2783" s="4">
        <v>0</v>
      </c>
      <c r="M2783" s="3" t="s">
        <v>26</v>
      </c>
      <c r="N2783" s="3" t="s">
        <v>24</v>
      </c>
      <c r="O2783" s="4">
        <v>1</v>
      </c>
      <c r="P2783" s="4">
        <v>3</v>
      </c>
      <c r="Q2783" s="4">
        <v>1</v>
      </c>
    </row>
    <row r="2784" spans="1:17" x14ac:dyDescent="0.25">
      <c r="A2784" s="3" t="s">
        <v>18</v>
      </c>
      <c r="B2784" s="3">
        <v>17313459</v>
      </c>
      <c r="C2784" s="3" t="s">
        <v>2833</v>
      </c>
      <c r="D2784" s="3" t="s">
        <v>20</v>
      </c>
      <c r="E2784" s="3" t="s">
        <v>21</v>
      </c>
      <c r="F2784" s="3" t="s">
        <v>21</v>
      </c>
      <c r="G2784" s="3" t="s">
        <v>233</v>
      </c>
      <c r="H2784" s="3" t="s">
        <v>234</v>
      </c>
      <c r="I2784" s="3" t="s">
        <v>24</v>
      </c>
      <c r="J2784" s="3" t="s">
        <v>24</v>
      </c>
      <c r="K2784" s="3" t="s">
        <v>25</v>
      </c>
      <c r="L2784" s="4">
        <v>0</v>
      </c>
      <c r="M2784" s="3" t="s">
        <v>26</v>
      </c>
      <c r="N2784" s="3" t="s">
        <v>24</v>
      </c>
      <c r="O2784" s="4">
        <v>1</v>
      </c>
      <c r="P2784" s="4">
        <v>3</v>
      </c>
      <c r="Q2784" s="4">
        <v>1</v>
      </c>
    </row>
    <row r="2785" spans="1:17" x14ac:dyDescent="0.25">
      <c r="A2785" s="3" t="s">
        <v>18</v>
      </c>
      <c r="B2785" s="3">
        <v>17317765</v>
      </c>
      <c r="C2785" s="3" t="s">
        <v>2834</v>
      </c>
      <c r="D2785" s="3" t="s">
        <v>20</v>
      </c>
      <c r="E2785" s="3" t="s">
        <v>21</v>
      </c>
      <c r="F2785" s="3" t="s">
        <v>21</v>
      </c>
      <c r="G2785" s="3" t="s">
        <v>36</v>
      </c>
      <c r="H2785" s="3" t="s">
        <v>37</v>
      </c>
      <c r="I2785" s="3" t="s">
        <v>24</v>
      </c>
      <c r="J2785" s="3" t="s">
        <v>24</v>
      </c>
      <c r="K2785" s="3" t="s">
        <v>25</v>
      </c>
      <c r="L2785" s="4">
        <v>0</v>
      </c>
      <c r="M2785" s="3" t="s">
        <v>26</v>
      </c>
      <c r="N2785" s="3" t="s">
        <v>24</v>
      </c>
      <c r="O2785" s="4">
        <v>1</v>
      </c>
      <c r="P2785" s="4">
        <v>10</v>
      </c>
      <c r="Q2785" s="4">
        <v>1</v>
      </c>
    </row>
    <row r="2786" spans="1:17" x14ac:dyDescent="0.25">
      <c r="A2786" s="3" t="s">
        <v>18</v>
      </c>
      <c r="B2786" s="3">
        <v>17319653</v>
      </c>
      <c r="C2786" s="3" t="s">
        <v>2835</v>
      </c>
      <c r="D2786" s="3" t="s">
        <v>20</v>
      </c>
      <c r="E2786" s="3" t="s">
        <v>21</v>
      </c>
      <c r="F2786" s="3" t="s">
        <v>21</v>
      </c>
      <c r="G2786" s="3" t="s">
        <v>36</v>
      </c>
      <c r="H2786" s="3" t="s">
        <v>37</v>
      </c>
      <c r="I2786" s="3" t="s">
        <v>24</v>
      </c>
      <c r="J2786" s="3" t="s">
        <v>24</v>
      </c>
      <c r="K2786" s="3" t="s">
        <v>25</v>
      </c>
      <c r="L2786" s="4">
        <v>0</v>
      </c>
      <c r="M2786" s="3" t="s">
        <v>26</v>
      </c>
      <c r="N2786" s="3" t="s">
        <v>24</v>
      </c>
      <c r="O2786" s="4">
        <v>1</v>
      </c>
      <c r="P2786" s="4">
        <v>10</v>
      </c>
      <c r="Q2786" s="4">
        <v>1</v>
      </c>
    </row>
    <row r="2787" spans="1:17" x14ac:dyDescent="0.25">
      <c r="A2787" s="3" t="s">
        <v>18</v>
      </c>
      <c r="B2787" s="3">
        <v>17319655</v>
      </c>
      <c r="C2787" s="3" t="s">
        <v>2836</v>
      </c>
      <c r="D2787" s="3" t="s">
        <v>20</v>
      </c>
      <c r="E2787" s="3" t="s">
        <v>21</v>
      </c>
      <c r="F2787" s="3" t="s">
        <v>21</v>
      </c>
      <c r="G2787" s="3" t="s">
        <v>233</v>
      </c>
      <c r="H2787" s="3" t="s">
        <v>234</v>
      </c>
      <c r="I2787" s="3" t="s">
        <v>24</v>
      </c>
      <c r="J2787" s="3" t="s">
        <v>24</v>
      </c>
      <c r="K2787" s="3" t="s">
        <v>25</v>
      </c>
      <c r="L2787" s="4">
        <v>0</v>
      </c>
      <c r="M2787" s="3" t="s">
        <v>26</v>
      </c>
      <c r="N2787" s="3" t="s">
        <v>24</v>
      </c>
      <c r="O2787" s="4">
        <v>1</v>
      </c>
      <c r="P2787" s="4">
        <v>3</v>
      </c>
      <c r="Q2787" s="4">
        <v>1</v>
      </c>
    </row>
    <row r="2788" spans="1:17" x14ac:dyDescent="0.25">
      <c r="A2788" s="3" t="s">
        <v>18</v>
      </c>
      <c r="B2788" s="3">
        <v>17326598</v>
      </c>
      <c r="C2788" s="3" t="s">
        <v>2837</v>
      </c>
      <c r="D2788" s="3" t="s">
        <v>1360</v>
      </c>
      <c r="E2788" s="3" t="s">
        <v>21</v>
      </c>
      <c r="F2788" s="3" t="s">
        <v>21</v>
      </c>
      <c r="G2788" s="3" t="s">
        <v>233</v>
      </c>
      <c r="H2788" s="3" t="s">
        <v>234</v>
      </c>
      <c r="I2788" s="3" t="s">
        <v>24</v>
      </c>
      <c r="J2788" s="3" t="s">
        <v>24</v>
      </c>
      <c r="K2788" s="3" t="s">
        <v>25</v>
      </c>
      <c r="L2788" s="4">
        <v>0</v>
      </c>
      <c r="M2788" s="3" t="s">
        <v>26</v>
      </c>
      <c r="N2788" s="3" t="s">
        <v>24</v>
      </c>
      <c r="O2788" s="4">
        <v>1</v>
      </c>
      <c r="P2788" s="4">
        <v>3</v>
      </c>
      <c r="Q2788" s="4">
        <v>1</v>
      </c>
    </row>
    <row r="2789" spans="1:17" x14ac:dyDescent="0.25">
      <c r="A2789" s="3" t="s">
        <v>18</v>
      </c>
      <c r="B2789" s="3">
        <v>17327410</v>
      </c>
      <c r="C2789" s="3" t="s">
        <v>2838</v>
      </c>
      <c r="D2789" s="3" t="s">
        <v>20</v>
      </c>
      <c r="E2789" s="3" t="s">
        <v>21</v>
      </c>
      <c r="F2789" s="3" t="s">
        <v>21</v>
      </c>
      <c r="G2789" s="3" t="s">
        <v>22</v>
      </c>
      <c r="H2789" s="3" t="s">
        <v>23</v>
      </c>
      <c r="I2789" s="3" t="s">
        <v>24</v>
      </c>
      <c r="J2789" s="3" t="s">
        <v>24</v>
      </c>
      <c r="K2789" s="3" t="s">
        <v>25</v>
      </c>
      <c r="L2789" s="4">
        <v>0</v>
      </c>
      <c r="M2789" s="3" t="s">
        <v>26</v>
      </c>
      <c r="N2789" s="3" t="s">
        <v>24</v>
      </c>
      <c r="O2789" s="4">
        <v>1</v>
      </c>
      <c r="P2789" s="4">
        <v>4</v>
      </c>
      <c r="Q2789" s="4">
        <v>1</v>
      </c>
    </row>
    <row r="2790" spans="1:17" x14ac:dyDescent="0.25">
      <c r="A2790" s="3" t="s">
        <v>18</v>
      </c>
      <c r="B2790" s="3">
        <v>17327412</v>
      </c>
      <c r="C2790" s="3" t="s">
        <v>2839</v>
      </c>
      <c r="D2790" s="3" t="s">
        <v>20</v>
      </c>
      <c r="E2790" s="3" t="s">
        <v>21</v>
      </c>
      <c r="F2790" s="3" t="s">
        <v>21</v>
      </c>
      <c r="G2790" s="3" t="s">
        <v>22</v>
      </c>
      <c r="H2790" s="3" t="s">
        <v>23</v>
      </c>
      <c r="I2790" s="3" t="s">
        <v>24</v>
      </c>
      <c r="J2790" s="3" t="s">
        <v>24</v>
      </c>
      <c r="K2790" s="3" t="s">
        <v>25</v>
      </c>
      <c r="L2790" s="4">
        <v>0</v>
      </c>
      <c r="M2790" s="3" t="s">
        <v>26</v>
      </c>
      <c r="N2790" s="3" t="s">
        <v>24</v>
      </c>
      <c r="O2790" s="4">
        <v>1</v>
      </c>
      <c r="P2790" s="4">
        <v>4</v>
      </c>
      <c r="Q2790" s="4">
        <v>1</v>
      </c>
    </row>
    <row r="2791" spans="1:17" x14ac:dyDescent="0.25">
      <c r="A2791" s="3" t="s">
        <v>18</v>
      </c>
      <c r="B2791" s="3">
        <v>17327413</v>
      </c>
      <c r="C2791" s="3" t="s">
        <v>2840</v>
      </c>
      <c r="D2791" s="3" t="s">
        <v>20</v>
      </c>
      <c r="E2791" s="3" t="s">
        <v>21</v>
      </c>
      <c r="F2791" s="3" t="s">
        <v>21</v>
      </c>
      <c r="G2791" s="3" t="s">
        <v>22</v>
      </c>
      <c r="H2791" s="3" t="s">
        <v>23</v>
      </c>
      <c r="I2791" s="3" t="s">
        <v>24</v>
      </c>
      <c r="J2791" s="3" t="s">
        <v>24</v>
      </c>
      <c r="K2791" s="3" t="s">
        <v>25</v>
      </c>
      <c r="L2791" s="4">
        <v>0</v>
      </c>
      <c r="M2791" s="3" t="s">
        <v>26</v>
      </c>
      <c r="N2791" s="3" t="s">
        <v>24</v>
      </c>
      <c r="O2791" s="4">
        <v>1</v>
      </c>
      <c r="P2791" s="4">
        <v>4</v>
      </c>
      <c r="Q2791" s="4">
        <v>1</v>
      </c>
    </row>
    <row r="2792" spans="1:17" x14ac:dyDescent="0.25">
      <c r="A2792" s="3" t="s">
        <v>18</v>
      </c>
      <c r="B2792" s="3">
        <v>17329012</v>
      </c>
      <c r="C2792" s="3" t="s">
        <v>2841</v>
      </c>
      <c r="D2792" s="3" t="s">
        <v>20</v>
      </c>
      <c r="E2792" s="3" t="s">
        <v>21</v>
      </c>
      <c r="F2792" s="3" t="s">
        <v>21</v>
      </c>
      <c r="G2792" s="3" t="s">
        <v>22</v>
      </c>
      <c r="H2792" s="3" t="s">
        <v>23</v>
      </c>
      <c r="I2792" s="3" t="s">
        <v>24</v>
      </c>
      <c r="J2792" s="3" t="s">
        <v>24</v>
      </c>
      <c r="K2792" s="3" t="s">
        <v>25</v>
      </c>
      <c r="L2792" s="4">
        <v>0</v>
      </c>
      <c r="M2792" s="3" t="s">
        <v>26</v>
      </c>
      <c r="N2792" s="3" t="s">
        <v>24</v>
      </c>
      <c r="O2792" s="4">
        <v>1</v>
      </c>
      <c r="P2792" s="4">
        <v>4</v>
      </c>
      <c r="Q2792" s="4">
        <v>1</v>
      </c>
    </row>
    <row r="2793" spans="1:17" x14ac:dyDescent="0.25">
      <c r="A2793" s="3" t="s">
        <v>18</v>
      </c>
      <c r="B2793" s="3">
        <v>17329015</v>
      </c>
      <c r="C2793" s="3" t="s">
        <v>2842</v>
      </c>
      <c r="D2793" s="3" t="s">
        <v>20</v>
      </c>
      <c r="E2793" s="3" t="s">
        <v>21</v>
      </c>
      <c r="F2793" s="3" t="s">
        <v>21</v>
      </c>
      <c r="G2793" s="3" t="s">
        <v>22</v>
      </c>
      <c r="H2793" s="3" t="s">
        <v>23</v>
      </c>
      <c r="I2793" s="3" t="s">
        <v>24</v>
      </c>
      <c r="J2793" s="3" t="s">
        <v>24</v>
      </c>
      <c r="K2793" s="3" t="s">
        <v>25</v>
      </c>
      <c r="L2793" s="4">
        <v>0</v>
      </c>
      <c r="M2793" s="3" t="s">
        <v>26</v>
      </c>
      <c r="N2793" s="3" t="s">
        <v>24</v>
      </c>
      <c r="O2793" s="4">
        <v>1</v>
      </c>
      <c r="P2793" s="4">
        <v>4</v>
      </c>
      <c r="Q2793" s="4">
        <v>1</v>
      </c>
    </row>
    <row r="2794" spans="1:17" x14ac:dyDescent="0.25">
      <c r="A2794" s="3" t="s">
        <v>18</v>
      </c>
      <c r="B2794" s="3">
        <v>17329125</v>
      </c>
      <c r="C2794" s="3" t="s">
        <v>2843</v>
      </c>
      <c r="D2794" s="3" t="s">
        <v>20</v>
      </c>
      <c r="E2794" s="3" t="s">
        <v>21</v>
      </c>
      <c r="F2794" s="3" t="s">
        <v>21</v>
      </c>
      <c r="G2794" s="3" t="s">
        <v>22</v>
      </c>
      <c r="H2794" s="3" t="s">
        <v>23</v>
      </c>
      <c r="I2794" s="3" t="s">
        <v>24</v>
      </c>
      <c r="J2794" s="3" t="s">
        <v>24</v>
      </c>
      <c r="K2794" s="3" t="s">
        <v>25</v>
      </c>
      <c r="L2794" s="4">
        <v>0</v>
      </c>
      <c r="M2794" s="3" t="s">
        <v>26</v>
      </c>
      <c r="N2794" s="3" t="s">
        <v>24</v>
      </c>
      <c r="O2794" s="4">
        <v>1</v>
      </c>
      <c r="P2794" s="4">
        <v>4</v>
      </c>
      <c r="Q2794" s="4">
        <v>1</v>
      </c>
    </row>
    <row r="2795" spans="1:17" x14ac:dyDescent="0.25">
      <c r="A2795" s="3" t="s">
        <v>18</v>
      </c>
      <c r="B2795" s="3">
        <v>17329481</v>
      </c>
      <c r="C2795" s="3" t="s">
        <v>2844</v>
      </c>
      <c r="D2795" s="3" t="s">
        <v>1360</v>
      </c>
      <c r="E2795" s="3" t="s">
        <v>21</v>
      </c>
      <c r="F2795" s="3" t="s">
        <v>21</v>
      </c>
      <c r="G2795" s="3" t="s">
        <v>233</v>
      </c>
      <c r="H2795" s="3" t="s">
        <v>234</v>
      </c>
      <c r="I2795" s="3" t="s">
        <v>24</v>
      </c>
      <c r="J2795" s="3" t="s">
        <v>24</v>
      </c>
      <c r="K2795" s="3" t="s">
        <v>25</v>
      </c>
      <c r="L2795" s="4">
        <v>0</v>
      </c>
      <c r="M2795" s="3" t="s">
        <v>26</v>
      </c>
      <c r="N2795" s="3" t="s">
        <v>24</v>
      </c>
      <c r="O2795" s="4">
        <v>1</v>
      </c>
      <c r="P2795" s="4">
        <v>3</v>
      </c>
      <c r="Q2795" s="4">
        <v>1</v>
      </c>
    </row>
    <row r="2796" spans="1:17" x14ac:dyDescent="0.25">
      <c r="A2796" s="3" t="s">
        <v>18</v>
      </c>
      <c r="B2796" s="3">
        <v>17329610</v>
      </c>
      <c r="C2796" s="3" t="s">
        <v>2845</v>
      </c>
      <c r="D2796" s="3" t="s">
        <v>1360</v>
      </c>
      <c r="E2796" s="3" t="s">
        <v>21</v>
      </c>
      <c r="F2796" s="3" t="s">
        <v>21</v>
      </c>
      <c r="G2796" s="3" t="s">
        <v>36</v>
      </c>
      <c r="H2796" s="3" t="s">
        <v>37</v>
      </c>
      <c r="I2796" s="3" t="s">
        <v>24</v>
      </c>
      <c r="J2796" s="3" t="s">
        <v>24</v>
      </c>
      <c r="K2796" s="3" t="s">
        <v>25</v>
      </c>
      <c r="L2796" s="4">
        <v>0</v>
      </c>
      <c r="M2796" s="3" t="s">
        <v>26</v>
      </c>
      <c r="N2796" s="3" t="s">
        <v>24</v>
      </c>
      <c r="O2796" s="4">
        <v>1</v>
      </c>
      <c r="P2796" s="4">
        <v>10</v>
      </c>
      <c r="Q2796" s="4">
        <v>1</v>
      </c>
    </row>
    <row r="2797" spans="1:17" x14ac:dyDescent="0.25">
      <c r="A2797" s="3" t="s">
        <v>18</v>
      </c>
      <c r="B2797" s="3">
        <v>17329611</v>
      </c>
      <c r="C2797" s="3" t="s">
        <v>2846</v>
      </c>
      <c r="D2797" s="3" t="s">
        <v>1360</v>
      </c>
      <c r="E2797" s="3" t="s">
        <v>21</v>
      </c>
      <c r="F2797" s="3" t="s">
        <v>21</v>
      </c>
      <c r="G2797" s="3" t="s">
        <v>233</v>
      </c>
      <c r="H2797" s="3" t="s">
        <v>234</v>
      </c>
      <c r="I2797" s="3" t="s">
        <v>24</v>
      </c>
      <c r="J2797" s="3" t="s">
        <v>24</v>
      </c>
      <c r="K2797" s="3" t="s">
        <v>25</v>
      </c>
      <c r="L2797" s="4">
        <v>0</v>
      </c>
      <c r="M2797" s="3" t="s">
        <v>26</v>
      </c>
      <c r="N2797" s="3" t="s">
        <v>24</v>
      </c>
      <c r="O2797" s="4">
        <v>1</v>
      </c>
      <c r="P2797" s="4">
        <v>3</v>
      </c>
      <c r="Q2797" s="4">
        <v>1</v>
      </c>
    </row>
    <row r="2798" spans="1:17" x14ac:dyDescent="0.25">
      <c r="A2798" s="3" t="s">
        <v>18</v>
      </c>
      <c r="B2798" s="3">
        <v>17329614</v>
      </c>
      <c r="C2798" s="3" t="s">
        <v>2847</v>
      </c>
      <c r="D2798" s="3" t="s">
        <v>1360</v>
      </c>
      <c r="E2798" s="3" t="s">
        <v>21</v>
      </c>
      <c r="F2798" s="3" t="s">
        <v>21</v>
      </c>
      <c r="G2798" s="3" t="s">
        <v>233</v>
      </c>
      <c r="H2798" s="3" t="s">
        <v>234</v>
      </c>
      <c r="I2798" s="3" t="s">
        <v>24</v>
      </c>
      <c r="J2798" s="3" t="s">
        <v>24</v>
      </c>
      <c r="K2798" s="3" t="s">
        <v>25</v>
      </c>
      <c r="L2798" s="4">
        <v>0</v>
      </c>
      <c r="M2798" s="3" t="s">
        <v>26</v>
      </c>
      <c r="N2798" s="3" t="s">
        <v>24</v>
      </c>
      <c r="O2798" s="4">
        <v>1</v>
      </c>
      <c r="P2798" s="4">
        <v>2</v>
      </c>
      <c r="Q2798" s="4">
        <v>1</v>
      </c>
    </row>
    <row r="2799" spans="1:17" x14ac:dyDescent="0.25">
      <c r="A2799" s="3" t="s">
        <v>18</v>
      </c>
      <c r="B2799" s="3">
        <v>17334488</v>
      </c>
      <c r="C2799" s="3" t="s">
        <v>2848</v>
      </c>
      <c r="D2799" s="3" t="s">
        <v>20</v>
      </c>
      <c r="E2799" s="3" t="s">
        <v>21</v>
      </c>
      <c r="F2799" s="3" t="s">
        <v>21</v>
      </c>
      <c r="G2799" s="3" t="s">
        <v>233</v>
      </c>
      <c r="H2799" s="3" t="s">
        <v>234</v>
      </c>
      <c r="I2799" s="3" t="s">
        <v>24</v>
      </c>
      <c r="J2799" s="3" t="s">
        <v>24</v>
      </c>
      <c r="K2799" s="3" t="s">
        <v>25</v>
      </c>
      <c r="L2799" s="4">
        <v>0</v>
      </c>
      <c r="M2799" s="3" t="s">
        <v>26</v>
      </c>
      <c r="N2799" s="3" t="s">
        <v>24</v>
      </c>
      <c r="O2799" s="4">
        <v>1</v>
      </c>
      <c r="P2799" s="4">
        <v>2</v>
      </c>
      <c r="Q2799" s="4">
        <v>1</v>
      </c>
    </row>
    <row r="2800" spans="1:17" x14ac:dyDescent="0.25">
      <c r="A2800" s="3" t="s">
        <v>18</v>
      </c>
      <c r="B2800" s="3">
        <v>17338849</v>
      </c>
      <c r="C2800" s="3" t="s">
        <v>2849</v>
      </c>
      <c r="D2800" s="3" t="s">
        <v>1360</v>
      </c>
      <c r="E2800" s="3" t="s">
        <v>21</v>
      </c>
      <c r="F2800" s="3" t="s">
        <v>21</v>
      </c>
      <c r="G2800" s="3" t="s">
        <v>233</v>
      </c>
      <c r="H2800" s="3" t="s">
        <v>234</v>
      </c>
      <c r="I2800" s="3" t="s">
        <v>24</v>
      </c>
      <c r="J2800" s="3" t="s">
        <v>24</v>
      </c>
      <c r="K2800" s="3" t="s">
        <v>25</v>
      </c>
      <c r="L2800" s="4">
        <v>0</v>
      </c>
      <c r="M2800" s="3" t="s">
        <v>26</v>
      </c>
      <c r="N2800" s="3" t="s">
        <v>24</v>
      </c>
      <c r="O2800" s="4">
        <v>0</v>
      </c>
      <c r="P2800" s="4">
        <v>2</v>
      </c>
      <c r="Q2800" s="4">
        <v>1</v>
      </c>
    </row>
    <row r="2801" spans="1:17" x14ac:dyDescent="0.25">
      <c r="A2801" s="3" t="s">
        <v>18</v>
      </c>
      <c r="B2801" s="3">
        <v>17347206</v>
      </c>
      <c r="C2801" s="3" t="s">
        <v>2850</v>
      </c>
      <c r="D2801" s="3" t="s">
        <v>20</v>
      </c>
      <c r="E2801" s="3" t="s">
        <v>21</v>
      </c>
      <c r="F2801" s="3" t="s">
        <v>21</v>
      </c>
      <c r="G2801" s="3" t="s">
        <v>362</v>
      </c>
      <c r="H2801" s="3" t="s">
        <v>363</v>
      </c>
      <c r="I2801" s="3" t="s">
        <v>24</v>
      </c>
      <c r="J2801" s="3" t="s">
        <v>24</v>
      </c>
      <c r="K2801" s="3" t="s">
        <v>25</v>
      </c>
      <c r="L2801" s="4">
        <v>0</v>
      </c>
      <c r="M2801" s="3" t="s">
        <v>26</v>
      </c>
      <c r="N2801" s="3" t="s">
        <v>24</v>
      </c>
      <c r="O2801" s="4">
        <v>1</v>
      </c>
      <c r="P2801" s="4">
        <v>1</v>
      </c>
      <c r="Q2801" s="4">
        <v>1</v>
      </c>
    </row>
    <row r="2802" spans="1:17" x14ac:dyDescent="0.25">
      <c r="A2802" s="3" t="s">
        <v>18</v>
      </c>
      <c r="B2802" s="3">
        <v>17358108</v>
      </c>
      <c r="C2802" s="3" t="s">
        <v>2851</v>
      </c>
      <c r="D2802" s="3" t="s">
        <v>20</v>
      </c>
      <c r="E2802" s="3" t="s">
        <v>21</v>
      </c>
      <c r="F2802" s="3" t="s">
        <v>21</v>
      </c>
      <c r="G2802" s="3" t="s">
        <v>233</v>
      </c>
      <c r="H2802" s="3" t="s">
        <v>234</v>
      </c>
      <c r="I2802" s="3" t="s">
        <v>24</v>
      </c>
      <c r="J2802" s="3" t="s">
        <v>24</v>
      </c>
      <c r="K2802" s="3" t="s">
        <v>25</v>
      </c>
      <c r="L2802" s="4">
        <v>0</v>
      </c>
      <c r="M2802" s="3" t="s">
        <v>26</v>
      </c>
      <c r="N2802" s="3" t="s">
        <v>24</v>
      </c>
      <c r="O2802" s="4">
        <v>1</v>
      </c>
      <c r="P2802" s="4">
        <v>2</v>
      </c>
      <c r="Q2802" s="4">
        <v>1</v>
      </c>
    </row>
    <row r="2803" spans="1:17" x14ac:dyDescent="0.25">
      <c r="A2803" s="3" t="s">
        <v>18</v>
      </c>
      <c r="B2803" s="3">
        <v>17358110</v>
      </c>
      <c r="C2803" s="3" t="s">
        <v>2852</v>
      </c>
      <c r="D2803" s="3" t="s">
        <v>20</v>
      </c>
      <c r="E2803" s="3" t="s">
        <v>21</v>
      </c>
      <c r="F2803" s="3" t="s">
        <v>21</v>
      </c>
      <c r="G2803" s="3" t="s">
        <v>36</v>
      </c>
      <c r="H2803" s="3" t="s">
        <v>37</v>
      </c>
      <c r="I2803" s="3" t="s">
        <v>24</v>
      </c>
      <c r="J2803" s="3" t="s">
        <v>24</v>
      </c>
      <c r="K2803" s="3" t="s">
        <v>25</v>
      </c>
      <c r="L2803" s="4">
        <v>0</v>
      </c>
      <c r="M2803" s="3" t="s">
        <v>26</v>
      </c>
      <c r="N2803" s="3" t="s">
        <v>24</v>
      </c>
      <c r="O2803" s="4">
        <v>1</v>
      </c>
      <c r="P2803" s="4">
        <v>10</v>
      </c>
      <c r="Q2803" s="4">
        <v>1</v>
      </c>
    </row>
    <row r="2804" spans="1:17" x14ac:dyDescent="0.25">
      <c r="A2804" s="3" t="s">
        <v>18</v>
      </c>
      <c r="B2804" s="3">
        <v>17406035</v>
      </c>
      <c r="C2804" s="3" t="s">
        <v>2853</v>
      </c>
      <c r="D2804" s="3" t="s">
        <v>20</v>
      </c>
      <c r="E2804" s="3" t="s">
        <v>21</v>
      </c>
      <c r="F2804" s="3" t="s">
        <v>21</v>
      </c>
      <c r="G2804" s="3" t="s">
        <v>362</v>
      </c>
      <c r="H2804" s="3" t="s">
        <v>363</v>
      </c>
      <c r="I2804" s="3" t="s">
        <v>24</v>
      </c>
      <c r="J2804" s="3" t="s">
        <v>24</v>
      </c>
      <c r="K2804" s="3" t="s">
        <v>25</v>
      </c>
      <c r="L2804" s="4">
        <v>0</v>
      </c>
      <c r="M2804" s="3" t="s">
        <v>26</v>
      </c>
      <c r="N2804" s="3" t="s">
        <v>24</v>
      </c>
      <c r="O2804" s="4">
        <v>1</v>
      </c>
      <c r="P2804" s="4">
        <v>1</v>
      </c>
      <c r="Q2804" s="4">
        <v>1</v>
      </c>
    </row>
    <row r="2805" spans="1:17" x14ac:dyDescent="0.25">
      <c r="A2805" s="3" t="s">
        <v>18</v>
      </c>
      <c r="B2805" s="3">
        <v>17411480</v>
      </c>
      <c r="C2805" s="3" t="s">
        <v>2854</v>
      </c>
      <c r="D2805" s="3" t="s">
        <v>20</v>
      </c>
      <c r="E2805" s="3" t="s">
        <v>21</v>
      </c>
      <c r="F2805" s="3" t="s">
        <v>21</v>
      </c>
      <c r="G2805" s="3" t="s">
        <v>30</v>
      </c>
      <c r="H2805" s="3" t="s">
        <v>31</v>
      </c>
      <c r="I2805" s="3" t="s">
        <v>24</v>
      </c>
      <c r="J2805" s="3" t="s">
        <v>24</v>
      </c>
      <c r="K2805" s="3" t="s">
        <v>25</v>
      </c>
      <c r="L2805" s="4">
        <v>0</v>
      </c>
      <c r="M2805" s="3" t="s">
        <v>26</v>
      </c>
      <c r="N2805" s="3" t="s">
        <v>24</v>
      </c>
      <c r="O2805" s="4">
        <v>1</v>
      </c>
      <c r="P2805" s="4">
        <v>9</v>
      </c>
      <c r="Q2805" s="4">
        <v>1</v>
      </c>
    </row>
    <row r="2806" spans="1:17" x14ac:dyDescent="0.25">
      <c r="A2806" s="3" t="s">
        <v>18</v>
      </c>
      <c r="B2806" s="3">
        <v>17411569</v>
      </c>
      <c r="C2806" s="3" t="s">
        <v>2855</v>
      </c>
      <c r="D2806" s="3" t="s">
        <v>20</v>
      </c>
      <c r="E2806" s="3" t="s">
        <v>21</v>
      </c>
      <c r="F2806" s="3" t="s">
        <v>21</v>
      </c>
      <c r="G2806" s="3" t="s">
        <v>30</v>
      </c>
      <c r="H2806" s="3" t="s">
        <v>31</v>
      </c>
      <c r="I2806" s="3" t="s">
        <v>24</v>
      </c>
      <c r="J2806" s="3" t="s">
        <v>24</v>
      </c>
      <c r="K2806" s="3" t="s">
        <v>25</v>
      </c>
      <c r="L2806" s="4">
        <v>0</v>
      </c>
      <c r="M2806" s="3" t="s">
        <v>26</v>
      </c>
      <c r="N2806" s="3" t="s">
        <v>24</v>
      </c>
      <c r="O2806" s="4">
        <v>1</v>
      </c>
      <c r="P2806" s="4">
        <v>9</v>
      </c>
      <c r="Q2806" s="4">
        <v>1</v>
      </c>
    </row>
    <row r="2807" spans="1:17" x14ac:dyDescent="0.25">
      <c r="A2807" s="3" t="s">
        <v>18</v>
      </c>
      <c r="B2807" s="3">
        <v>17411570</v>
      </c>
      <c r="C2807" s="3" t="s">
        <v>2856</v>
      </c>
      <c r="D2807" s="3" t="s">
        <v>20</v>
      </c>
      <c r="E2807" s="3" t="s">
        <v>21</v>
      </c>
      <c r="F2807" s="3" t="s">
        <v>21</v>
      </c>
      <c r="G2807" s="3" t="s">
        <v>30</v>
      </c>
      <c r="H2807" s="3" t="s">
        <v>31</v>
      </c>
      <c r="I2807" s="3" t="s">
        <v>24</v>
      </c>
      <c r="J2807" s="3" t="s">
        <v>24</v>
      </c>
      <c r="K2807" s="3" t="s">
        <v>25</v>
      </c>
      <c r="L2807" s="4">
        <v>0</v>
      </c>
      <c r="M2807" s="3" t="s">
        <v>26</v>
      </c>
      <c r="N2807" s="3" t="s">
        <v>24</v>
      </c>
      <c r="O2807" s="4">
        <v>1</v>
      </c>
      <c r="P2807" s="4">
        <v>8</v>
      </c>
      <c r="Q2807" s="4">
        <v>1</v>
      </c>
    </row>
    <row r="2808" spans="1:17" x14ac:dyDescent="0.25">
      <c r="A2808" s="3" t="s">
        <v>18</v>
      </c>
      <c r="B2808" s="3">
        <v>17411571</v>
      </c>
      <c r="C2808" s="3" t="s">
        <v>2857</v>
      </c>
      <c r="D2808" s="3" t="s">
        <v>20</v>
      </c>
      <c r="E2808" s="3" t="s">
        <v>21</v>
      </c>
      <c r="F2808" s="3" t="s">
        <v>21</v>
      </c>
      <c r="G2808" s="3" t="s">
        <v>22</v>
      </c>
      <c r="H2808" s="3" t="s">
        <v>23</v>
      </c>
      <c r="I2808" s="3" t="s">
        <v>24</v>
      </c>
      <c r="J2808" s="3" t="s">
        <v>24</v>
      </c>
      <c r="K2808" s="3" t="s">
        <v>25</v>
      </c>
      <c r="L2808" s="4">
        <v>0</v>
      </c>
      <c r="M2808" s="3" t="s">
        <v>26</v>
      </c>
      <c r="N2808" s="3" t="s">
        <v>24</v>
      </c>
      <c r="O2808" s="4">
        <v>1</v>
      </c>
      <c r="P2808" s="4">
        <v>4</v>
      </c>
      <c r="Q2808" s="4">
        <v>1</v>
      </c>
    </row>
    <row r="2809" spans="1:17" x14ac:dyDescent="0.25">
      <c r="A2809" s="3" t="s">
        <v>18</v>
      </c>
      <c r="B2809" s="3">
        <v>17412023</v>
      </c>
      <c r="C2809" s="3" t="s">
        <v>2858</v>
      </c>
      <c r="D2809" s="3" t="s">
        <v>20</v>
      </c>
      <c r="E2809" s="3" t="s">
        <v>21</v>
      </c>
      <c r="F2809" s="3" t="s">
        <v>24</v>
      </c>
      <c r="G2809" s="3" t="s">
        <v>22</v>
      </c>
      <c r="H2809" s="3" t="s">
        <v>23</v>
      </c>
      <c r="I2809" s="3" t="s">
        <v>24</v>
      </c>
      <c r="J2809" s="3" t="s">
        <v>24</v>
      </c>
      <c r="K2809" s="3" t="s">
        <v>25</v>
      </c>
      <c r="L2809" s="4">
        <v>0</v>
      </c>
      <c r="M2809" s="3" t="s">
        <v>26</v>
      </c>
      <c r="N2809" s="3" t="s">
        <v>24</v>
      </c>
      <c r="O2809" s="4">
        <v>1</v>
      </c>
      <c r="P2809" s="4">
        <v>4</v>
      </c>
      <c r="Q2809" s="4">
        <v>1</v>
      </c>
    </row>
    <row r="2810" spans="1:17" x14ac:dyDescent="0.25">
      <c r="A2810" s="3" t="s">
        <v>18</v>
      </c>
      <c r="B2810" s="3">
        <v>17412024</v>
      </c>
      <c r="C2810" s="3" t="s">
        <v>2859</v>
      </c>
      <c r="D2810" s="3" t="s">
        <v>20</v>
      </c>
      <c r="E2810" s="3" t="s">
        <v>21</v>
      </c>
      <c r="F2810" s="3" t="s">
        <v>21</v>
      </c>
      <c r="G2810" s="3" t="s">
        <v>36</v>
      </c>
      <c r="H2810" s="3" t="s">
        <v>37</v>
      </c>
      <c r="I2810" s="3" t="s">
        <v>24</v>
      </c>
      <c r="J2810" s="3" t="s">
        <v>24</v>
      </c>
      <c r="K2810" s="3" t="s">
        <v>25</v>
      </c>
      <c r="L2810" s="4">
        <v>0</v>
      </c>
      <c r="M2810" s="3" t="s">
        <v>26</v>
      </c>
      <c r="N2810" s="3" t="s">
        <v>24</v>
      </c>
      <c r="O2810" s="4">
        <v>1</v>
      </c>
      <c r="P2810" s="4">
        <v>10</v>
      </c>
      <c r="Q2810" s="4">
        <v>1</v>
      </c>
    </row>
    <row r="2811" spans="1:17" x14ac:dyDescent="0.25">
      <c r="A2811" s="3" t="s">
        <v>18</v>
      </c>
      <c r="B2811" s="3">
        <v>17412026</v>
      </c>
      <c r="C2811" s="3" t="s">
        <v>2860</v>
      </c>
      <c r="D2811" s="3" t="s">
        <v>20</v>
      </c>
      <c r="E2811" s="3" t="s">
        <v>21</v>
      </c>
      <c r="F2811" s="3" t="s">
        <v>21</v>
      </c>
      <c r="G2811" s="3" t="s">
        <v>36</v>
      </c>
      <c r="H2811" s="3" t="s">
        <v>37</v>
      </c>
      <c r="I2811" s="3" t="s">
        <v>24</v>
      </c>
      <c r="J2811" s="3" t="s">
        <v>24</v>
      </c>
      <c r="K2811" s="3" t="s">
        <v>25</v>
      </c>
      <c r="L2811" s="4">
        <v>0</v>
      </c>
      <c r="M2811" s="3" t="s">
        <v>26</v>
      </c>
      <c r="N2811" s="3" t="s">
        <v>24</v>
      </c>
      <c r="O2811" s="4">
        <v>1</v>
      </c>
      <c r="P2811" s="4">
        <v>10</v>
      </c>
      <c r="Q2811" s="4">
        <v>1</v>
      </c>
    </row>
    <row r="2812" spans="1:17" x14ac:dyDescent="0.25">
      <c r="A2812" s="3" t="s">
        <v>18</v>
      </c>
      <c r="B2812" s="3">
        <v>17412027</v>
      </c>
      <c r="C2812" s="3" t="s">
        <v>2861</v>
      </c>
      <c r="D2812" s="3" t="s">
        <v>20</v>
      </c>
      <c r="E2812" s="3" t="s">
        <v>21</v>
      </c>
      <c r="F2812" s="3" t="s">
        <v>21</v>
      </c>
      <c r="G2812" s="3" t="s">
        <v>233</v>
      </c>
      <c r="H2812" s="3" t="s">
        <v>234</v>
      </c>
      <c r="I2812" s="3" t="s">
        <v>24</v>
      </c>
      <c r="J2812" s="3" t="s">
        <v>24</v>
      </c>
      <c r="K2812" s="3" t="s">
        <v>25</v>
      </c>
      <c r="L2812" s="4">
        <v>0</v>
      </c>
      <c r="M2812" s="3" t="s">
        <v>26</v>
      </c>
      <c r="N2812" s="3" t="s">
        <v>24</v>
      </c>
      <c r="O2812" s="4">
        <v>1</v>
      </c>
      <c r="P2812" s="4">
        <v>2</v>
      </c>
      <c r="Q2812" s="4">
        <v>1</v>
      </c>
    </row>
    <row r="2813" spans="1:17" x14ac:dyDescent="0.25">
      <c r="A2813" s="3" t="s">
        <v>18</v>
      </c>
      <c r="B2813" s="3">
        <v>17412188</v>
      </c>
      <c r="C2813" s="3" t="s">
        <v>2862</v>
      </c>
      <c r="D2813" s="3" t="s">
        <v>20</v>
      </c>
      <c r="E2813" s="3" t="s">
        <v>21</v>
      </c>
      <c r="F2813" s="3" t="s">
        <v>21</v>
      </c>
      <c r="G2813" s="3" t="s">
        <v>233</v>
      </c>
      <c r="H2813" s="3" t="s">
        <v>234</v>
      </c>
      <c r="I2813" s="3" t="s">
        <v>24</v>
      </c>
      <c r="J2813" s="3" t="s">
        <v>24</v>
      </c>
      <c r="K2813" s="3" t="s">
        <v>25</v>
      </c>
      <c r="L2813" s="4">
        <v>0</v>
      </c>
      <c r="M2813" s="3" t="s">
        <v>26</v>
      </c>
      <c r="N2813" s="3" t="s">
        <v>24</v>
      </c>
      <c r="O2813" s="4">
        <v>1</v>
      </c>
      <c r="P2813" s="4">
        <v>2</v>
      </c>
      <c r="Q2813" s="4">
        <v>1</v>
      </c>
    </row>
    <row r="2814" spans="1:17" x14ac:dyDescent="0.25">
      <c r="A2814" s="3" t="s">
        <v>18</v>
      </c>
      <c r="B2814" s="3">
        <v>17412192</v>
      </c>
      <c r="C2814" s="3" t="s">
        <v>2863</v>
      </c>
      <c r="D2814" s="3" t="s">
        <v>20</v>
      </c>
      <c r="E2814" s="3" t="s">
        <v>21</v>
      </c>
      <c r="F2814" s="3" t="s">
        <v>21</v>
      </c>
      <c r="G2814" s="3" t="s">
        <v>22</v>
      </c>
      <c r="H2814" s="3" t="s">
        <v>23</v>
      </c>
      <c r="I2814" s="3" t="s">
        <v>24</v>
      </c>
      <c r="J2814" s="3" t="s">
        <v>24</v>
      </c>
      <c r="K2814" s="3" t="s">
        <v>25</v>
      </c>
      <c r="L2814" s="4">
        <v>0</v>
      </c>
      <c r="M2814" s="3" t="s">
        <v>26</v>
      </c>
      <c r="N2814" s="3" t="s">
        <v>24</v>
      </c>
      <c r="O2814" s="4">
        <v>1</v>
      </c>
      <c r="P2814" s="4">
        <v>4</v>
      </c>
      <c r="Q2814" s="4">
        <v>1</v>
      </c>
    </row>
    <row r="2815" spans="1:17" x14ac:dyDescent="0.25">
      <c r="A2815" s="3" t="s">
        <v>18</v>
      </c>
      <c r="B2815" s="3">
        <v>17416361</v>
      </c>
      <c r="C2815" s="3" t="s">
        <v>2864</v>
      </c>
      <c r="D2815" s="3" t="s">
        <v>1360</v>
      </c>
      <c r="E2815" s="3" t="s">
        <v>21</v>
      </c>
      <c r="F2815" s="3" t="s">
        <v>21</v>
      </c>
      <c r="G2815" s="3" t="s">
        <v>36</v>
      </c>
      <c r="H2815" s="3" t="s">
        <v>37</v>
      </c>
      <c r="I2815" s="3" t="s">
        <v>24</v>
      </c>
      <c r="J2815" s="3" t="s">
        <v>24</v>
      </c>
      <c r="K2815" s="3" t="s">
        <v>25</v>
      </c>
      <c r="L2815" s="4">
        <v>0</v>
      </c>
      <c r="M2815" s="3" t="s">
        <v>26</v>
      </c>
      <c r="N2815" s="3" t="s">
        <v>24</v>
      </c>
      <c r="O2815" s="4">
        <v>1</v>
      </c>
      <c r="P2815" s="4">
        <v>10</v>
      </c>
      <c r="Q2815" s="4">
        <v>1</v>
      </c>
    </row>
    <row r="2816" spans="1:17" x14ac:dyDescent="0.25">
      <c r="A2816" s="3" t="s">
        <v>18</v>
      </c>
      <c r="B2816" s="3">
        <v>17416552</v>
      </c>
      <c r="C2816" s="3" t="s">
        <v>2865</v>
      </c>
      <c r="D2816" s="3" t="s">
        <v>1360</v>
      </c>
      <c r="E2816" s="3" t="s">
        <v>21</v>
      </c>
      <c r="F2816" s="3" t="s">
        <v>21</v>
      </c>
      <c r="G2816" s="3" t="s">
        <v>36</v>
      </c>
      <c r="H2816" s="3" t="s">
        <v>37</v>
      </c>
      <c r="I2816" s="3" t="s">
        <v>24</v>
      </c>
      <c r="J2816" s="3" t="s">
        <v>24</v>
      </c>
      <c r="K2816" s="3" t="s">
        <v>25</v>
      </c>
      <c r="L2816" s="4">
        <v>0</v>
      </c>
      <c r="M2816" s="3" t="s">
        <v>26</v>
      </c>
      <c r="N2816" s="3" t="s">
        <v>24</v>
      </c>
      <c r="O2816" s="4">
        <v>1</v>
      </c>
      <c r="P2816" s="4">
        <v>10</v>
      </c>
      <c r="Q2816" s="4">
        <v>1</v>
      </c>
    </row>
    <row r="2817" spans="1:17" x14ac:dyDescent="0.25">
      <c r="A2817" s="3" t="s">
        <v>18</v>
      </c>
      <c r="B2817" s="3">
        <v>17416553</v>
      </c>
      <c r="C2817" s="3" t="s">
        <v>2866</v>
      </c>
      <c r="D2817" s="3" t="s">
        <v>1360</v>
      </c>
      <c r="E2817" s="3" t="s">
        <v>21</v>
      </c>
      <c r="F2817" s="3" t="s">
        <v>21</v>
      </c>
      <c r="G2817" s="3" t="s">
        <v>233</v>
      </c>
      <c r="H2817" s="3" t="s">
        <v>234</v>
      </c>
      <c r="I2817" s="3" t="s">
        <v>24</v>
      </c>
      <c r="J2817" s="3" t="s">
        <v>24</v>
      </c>
      <c r="K2817" s="3" t="s">
        <v>25</v>
      </c>
      <c r="L2817" s="4">
        <v>0</v>
      </c>
      <c r="M2817" s="3" t="s">
        <v>26</v>
      </c>
      <c r="N2817" s="3" t="s">
        <v>24</v>
      </c>
      <c r="O2817" s="4">
        <v>1</v>
      </c>
      <c r="P2817" s="4">
        <v>2</v>
      </c>
      <c r="Q2817" s="4">
        <v>1</v>
      </c>
    </row>
    <row r="2818" spans="1:17" x14ac:dyDescent="0.25">
      <c r="A2818" s="3" t="s">
        <v>18</v>
      </c>
      <c r="B2818" s="3">
        <v>17416554</v>
      </c>
      <c r="C2818" s="3" t="s">
        <v>2867</v>
      </c>
      <c r="D2818" s="3" t="s">
        <v>1360</v>
      </c>
      <c r="E2818" s="3" t="s">
        <v>21</v>
      </c>
      <c r="F2818" s="3" t="s">
        <v>21</v>
      </c>
      <c r="G2818" s="3" t="s">
        <v>233</v>
      </c>
      <c r="H2818" s="3" t="s">
        <v>234</v>
      </c>
      <c r="I2818" s="3" t="s">
        <v>24</v>
      </c>
      <c r="J2818" s="3" t="s">
        <v>24</v>
      </c>
      <c r="K2818" s="3" t="s">
        <v>25</v>
      </c>
      <c r="L2818" s="4">
        <v>0</v>
      </c>
      <c r="M2818" s="3" t="s">
        <v>26</v>
      </c>
      <c r="N2818" s="3" t="s">
        <v>24</v>
      </c>
      <c r="O2818" s="4">
        <v>1</v>
      </c>
      <c r="P2818" s="4">
        <v>2</v>
      </c>
      <c r="Q2818" s="4">
        <v>1</v>
      </c>
    </row>
    <row r="2819" spans="1:17" x14ac:dyDescent="0.25">
      <c r="A2819" s="3" t="s">
        <v>18</v>
      </c>
      <c r="B2819" s="3">
        <v>17436902</v>
      </c>
      <c r="C2819" s="3" t="s">
        <v>2868</v>
      </c>
      <c r="D2819" s="3" t="s">
        <v>20</v>
      </c>
      <c r="E2819" s="3" t="s">
        <v>21</v>
      </c>
      <c r="F2819" s="3" t="s">
        <v>21</v>
      </c>
      <c r="G2819" s="3" t="s">
        <v>36</v>
      </c>
      <c r="H2819" s="3" t="s">
        <v>37</v>
      </c>
      <c r="I2819" s="3" t="s">
        <v>24</v>
      </c>
      <c r="J2819" s="3" t="s">
        <v>24</v>
      </c>
      <c r="K2819" s="3" t="s">
        <v>25</v>
      </c>
      <c r="L2819" s="4">
        <v>0</v>
      </c>
      <c r="M2819" s="3" t="s">
        <v>26</v>
      </c>
      <c r="N2819" s="3" t="s">
        <v>24</v>
      </c>
      <c r="O2819" s="4">
        <v>1</v>
      </c>
      <c r="P2819" s="4">
        <v>10</v>
      </c>
      <c r="Q2819" s="4">
        <v>1</v>
      </c>
    </row>
    <row r="2820" spans="1:17" x14ac:dyDescent="0.25">
      <c r="A2820" s="3" t="s">
        <v>18</v>
      </c>
      <c r="B2820" s="3">
        <v>17450583</v>
      </c>
      <c r="C2820" s="3" t="s">
        <v>2869</v>
      </c>
      <c r="D2820" s="3" t="s">
        <v>20</v>
      </c>
      <c r="E2820" s="3" t="s">
        <v>21</v>
      </c>
      <c r="F2820" s="3" t="s">
        <v>21</v>
      </c>
      <c r="G2820" s="3" t="s">
        <v>30</v>
      </c>
      <c r="H2820" s="3" t="s">
        <v>31</v>
      </c>
      <c r="I2820" s="3" t="s">
        <v>24</v>
      </c>
      <c r="J2820" s="3" t="s">
        <v>24</v>
      </c>
      <c r="K2820" s="3" t="s">
        <v>25</v>
      </c>
      <c r="L2820" s="4">
        <v>0</v>
      </c>
      <c r="M2820" s="3" t="s">
        <v>26</v>
      </c>
      <c r="N2820" s="3" t="s">
        <v>24</v>
      </c>
      <c r="O2820" s="4">
        <v>1</v>
      </c>
      <c r="P2820" s="4">
        <v>8</v>
      </c>
      <c r="Q2820" s="4">
        <v>1</v>
      </c>
    </row>
    <row r="2821" spans="1:17" x14ac:dyDescent="0.25">
      <c r="A2821" s="3" t="s">
        <v>18</v>
      </c>
      <c r="B2821" s="3">
        <v>17450646</v>
      </c>
      <c r="C2821" s="3" t="s">
        <v>2870</v>
      </c>
      <c r="D2821" s="3" t="s">
        <v>20</v>
      </c>
      <c r="E2821" s="3" t="s">
        <v>21</v>
      </c>
      <c r="F2821" s="3" t="s">
        <v>21</v>
      </c>
      <c r="G2821" s="3" t="s">
        <v>36</v>
      </c>
      <c r="H2821" s="3" t="s">
        <v>37</v>
      </c>
      <c r="I2821" s="3" t="s">
        <v>24</v>
      </c>
      <c r="J2821" s="3" t="s">
        <v>24</v>
      </c>
      <c r="K2821" s="3" t="s">
        <v>25</v>
      </c>
      <c r="L2821" s="4">
        <v>0</v>
      </c>
      <c r="M2821" s="3" t="s">
        <v>26</v>
      </c>
      <c r="N2821" s="3" t="s">
        <v>24</v>
      </c>
      <c r="O2821" s="4">
        <v>1</v>
      </c>
      <c r="P2821" s="4">
        <v>4</v>
      </c>
      <c r="Q2821" s="4">
        <v>1</v>
      </c>
    </row>
    <row r="2822" spans="1:17" x14ac:dyDescent="0.25">
      <c r="A2822" s="3" t="s">
        <v>18</v>
      </c>
      <c r="B2822" s="3">
        <v>17450844</v>
      </c>
      <c r="C2822" s="3" t="s">
        <v>2871</v>
      </c>
      <c r="D2822" s="3" t="s">
        <v>20</v>
      </c>
      <c r="E2822" s="3" t="s">
        <v>21</v>
      </c>
      <c r="F2822" s="3" t="s">
        <v>21</v>
      </c>
      <c r="G2822" s="3" t="s">
        <v>36</v>
      </c>
      <c r="H2822" s="3" t="s">
        <v>37</v>
      </c>
      <c r="I2822" s="3" t="s">
        <v>24</v>
      </c>
      <c r="J2822" s="3" t="s">
        <v>24</v>
      </c>
      <c r="K2822" s="3" t="s">
        <v>25</v>
      </c>
      <c r="L2822" s="4">
        <v>0</v>
      </c>
      <c r="M2822" s="3" t="s">
        <v>26</v>
      </c>
      <c r="N2822" s="3" t="s">
        <v>24</v>
      </c>
      <c r="O2822" s="4">
        <v>1</v>
      </c>
      <c r="P2822" s="4">
        <v>4</v>
      </c>
      <c r="Q2822" s="4">
        <v>1</v>
      </c>
    </row>
    <row r="2823" spans="1:17" x14ac:dyDescent="0.25">
      <c r="A2823" s="3" t="s">
        <v>18</v>
      </c>
      <c r="B2823" s="3">
        <v>17455568</v>
      </c>
      <c r="C2823" s="3" t="s">
        <v>2872</v>
      </c>
      <c r="D2823" s="3" t="s">
        <v>20</v>
      </c>
      <c r="E2823" s="3" t="s">
        <v>21</v>
      </c>
      <c r="F2823" s="3" t="s">
        <v>21</v>
      </c>
      <c r="G2823" s="3" t="s">
        <v>233</v>
      </c>
      <c r="H2823" s="3" t="s">
        <v>234</v>
      </c>
      <c r="I2823" s="3" t="s">
        <v>24</v>
      </c>
      <c r="J2823" s="3" t="s">
        <v>24</v>
      </c>
      <c r="K2823" s="3" t="s">
        <v>25</v>
      </c>
      <c r="L2823" s="4">
        <v>0</v>
      </c>
      <c r="M2823" s="3" t="s">
        <v>26</v>
      </c>
      <c r="N2823" s="3" t="s">
        <v>24</v>
      </c>
      <c r="O2823" s="4">
        <v>1</v>
      </c>
      <c r="P2823" s="4">
        <v>2</v>
      </c>
      <c r="Q2823" s="4">
        <v>1</v>
      </c>
    </row>
    <row r="2824" spans="1:17" x14ac:dyDescent="0.25">
      <c r="A2824" s="3" t="s">
        <v>18</v>
      </c>
      <c r="B2824" s="3">
        <v>17458688</v>
      </c>
      <c r="C2824" s="3" t="s">
        <v>2873</v>
      </c>
      <c r="D2824" s="3" t="s">
        <v>20</v>
      </c>
      <c r="E2824" s="3" t="s">
        <v>21</v>
      </c>
      <c r="F2824" s="3" t="s">
        <v>21</v>
      </c>
      <c r="G2824" s="3" t="s">
        <v>233</v>
      </c>
      <c r="H2824" s="3" t="s">
        <v>234</v>
      </c>
      <c r="I2824" s="3" t="s">
        <v>24</v>
      </c>
      <c r="J2824" s="3" t="s">
        <v>24</v>
      </c>
      <c r="K2824" s="3" t="s">
        <v>25</v>
      </c>
      <c r="L2824" s="4">
        <v>0</v>
      </c>
      <c r="M2824" s="3" t="s">
        <v>26</v>
      </c>
      <c r="N2824" s="3" t="s">
        <v>24</v>
      </c>
      <c r="O2824" s="4">
        <v>1</v>
      </c>
      <c r="P2824" s="4">
        <v>4</v>
      </c>
      <c r="Q2824" s="4">
        <v>1</v>
      </c>
    </row>
    <row r="2825" spans="1:17" x14ac:dyDescent="0.25">
      <c r="A2825" s="3" t="s">
        <v>18</v>
      </c>
      <c r="B2825" s="3">
        <v>17458689</v>
      </c>
      <c r="C2825" s="3" t="s">
        <v>2874</v>
      </c>
      <c r="D2825" s="3" t="s">
        <v>20</v>
      </c>
      <c r="E2825" s="3" t="s">
        <v>21</v>
      </c>
      <c r="F2825" s="3" t="s">
        <v>21</v>
      </c>
      <c r="G2825" s="3" t="s">
        <v>233</v>
      </c>
      <c r="H2825" s="3" t="s">
        <v>234</v>
      </c>
      <c r="I2825" s="3" t="s">
        <v>24</v>
      </c>
      <c r="J2825" s="3" t="s">
        <v>24</v>
      </c>
      <c r="K2825" s="3" t="s">
        <v>25</v>
      </c>
      <c r="L2825" s="4">
        <v>0</v>
      </c>
      <c r="M2825" s="3" t="s">
        <v>26</v>
      </c>
      <c r="N2825" s="3" t="s">
        <v>24</v>
      </c>
      <c r="O2825" s="4">
        <v>1</v>
      </c>
      <c r="P2825" s="4">
        <v>4</v>
      </c>
      <c r="Q2825" s="4">
        <v>1</v>
      </c>
    </row>
    <row r="2826" spans="1:17" x14ac:dyDescent="0.25">
      <c r="A2826" s="3" t="s">
        <v>18</v>
      </c>
      <c r="B2826" s="3">
        <v>17458690</v>
      </c>
      <c r="C2826" s="3" t="s">
        <v>2875</v>
      </c>
      <c r="D2826" s="3" t="s">
        <v>20</v>
      </c>
      <c r="E2826" s="3" t="s">
        <v>21</v>
      </c>
      <c r="F2826" s="3" t="s">
        <v>21</v>
      </c>
      <c r="G2826" s="3" t="s">
        <v>233</v>
      </c>
      <c r="H2826" s="3" t="s">
        <v>234</v>
      </c>
      <c r="I2826" s="3" t="s">
        <v>24</v>
      </c>
      <c r="J2826" s="3" t="s">
        <v>24</v>
      </c>
      <c r="K2826" s="3" t="s">
        <v>25</v>
      </c>
      <c r="L2826" s="4">
        <v>0</v>
      </c>
      <c r="M2826" s="3" t="s">
        <v>26</v>
      </c>
      <c r="N2826" s="3" t="s">
        <v>24</v>
      </c>
      <c r="O2826" s="4">
        <v>1</v>
      </c>
      <c r="P2826" s="4">
        <v>4</v>
      </c>
      <c r="Q2826" s="4">
        <v>1</v>
      </c>
    </row>
    <row r="2827" spans="1:17" x14ac:dyDescent="0.25">
      <c r="A2827" s="3" t="s">
        <v>18</v>
      </c>
      <c r="B2827" s="3">
        <v>17458692</v>
      </c>
      <c r="C2827" s="3" t="s">
        <v>2876</v>
      </c>
      <c r="D2827" s="3" t="s">
        <v>20</v>
      </c>
      <c r="E2827" s="3" t="s">
        <v>21</v>
      </c>
      <c r="F2827" s="3" t="s">
        <v>21</v>
      </c>
      <c r="G2827" s="3" t="s">
        <v>233</v>
      </c>
      <c r="H2827" s="3" t="s">
        <v>234</v>
      </c>
      <c r="I2827" s="3" t="s">
        <v>24</v>
      </c>
      <c r="J2827" s="3" t="s">
        <v>24</v>
      </c>
      <c r="K2827" s="3" t="s">
        <v>25</v>
      </c>
      <c r="L2827" s="4">
        <v>0</v>
      </c>
      <c r="M2827" s="3" t="s">
        <v>26</v>
      </c>
      <c r="N2827" s="3" t="s">
        <v>24</v>
      </c>
      <c r="O2827" s="4">
        <v>1</v>
      </c>
      <c r="P2827" s="4">
        <v>3</v>
      </c>
      <c r="Q2827" s="4">
        <v>1</v>
      </c>
    </row>
    <row r="2828" spans="1:17" x14ac:dyDescent="0.25">
      <c r="A2828" s="3" t="s">
        <v>18</v>
      </c>
      <c r="B2828" s="3">
        <v>17458694</v>
      </c>
      <c r="C2828" s="3" t="s">
        <v>2877</v>
      </c>
      <c r="D2828" s="3" t="s">
        <v>20</v>
      </c>
      <c r="E2828" s="3" t="s">
        <v>21</v>
      </c>
      <c r="F2828" s="3" t="s">
        <v>21</v>
      </c>
      <c r="G2828" s="3" t="s">
        <v>233</v>
      </c>
      <c r="H2828" s="3" t="s">
        <v>234</v>
      </c>
      <c r="I2828" s="3" t="s">
        <v>24</v>
      </c>
      <c r="J2828" s="3" t="s">
        <v>24</v>
      </c>
      <c r="K2828" s="3" t="s">
        <v>25</v>
      </c>
      <c r="L2828" s="4">
        <v>0</v>
      </c>
      <c r="M2828" s="3" t="s">
        <v>26</v>
      </c>
      <c r="N2828" s="3" t="s">
        <v>24</v>
      </c>
      <c r="O2828" s="4">
        <v>1</v>
      </c>
      <c r="P2828" s="4">
        <v>3</v>
      </c>
      <c r="Q2828" s="4">
        <v>1</v>
      </c>
    </row>
    <row r="2829" spans="1:17" x14ac:dyDescent="0.25">
      <c r="A2829" s="3" t="s">
        <v>18</v>
      </c>
      <c r="B2829" s="3">
        <v>17458696</v>
      </c>
      <c r="C2829" s="3" t="s">
        <v>2878</v>
      </c>
      <c r="D2829" s="3" t="s">
        <v>20</v>
      </c>
      <c r="E2829" s="3" t="s">
        <v>21</v>
      </c>
      <c r="F2829" s="3" t="s">
        <v>21</v>
      </c>
      <c r="G2829" s="3" t="s">
        <v>233</v>
      </c>
      <c r="H2829" s="3" t="s">
        <v>234</v>
      </c>
      <c r="I2829" s="3" t="s">
        <v>24</v>
      </c>
      <c r="J2829" s="3" t="s">
        <v>24</v>
      </c>
      <c r="K2829" s="3" t="s">
        <v>25</v>
      </c>
      <c r="L2829" s="4">
        <v>0</v>
      </c>
      <c r="M2829" s="3" t="s">
        <v>26</v>
      </c>
      <c r="N2829" s="3" t="s">
        <v>24</v>
      </c>
      <c r="O2829" s="4">
        <v>1</v>
      </c>
      <c r="P2829" s="4">
        <v>3</v>
      </c>
      <c r="Q2829" s="4">
        <v>1</v>
      </c>
    </row>
    <row r="2830" spans="1:17" x14ac:dyDescent="0.25">
      <c r="A2830" s="3" t="s">
        <v>18</v>
      </c>
      <c r="B2830" s="3">
        <v>17459941</v>
      </c>
      <c r="C2830" s="3" t="s">
        <v>2879</v>
      </c>
      <c r="D2830" s="3" t="s">
        <v>1360</v>
      </c>
      <c r="E2830" s="3" t="s">
        <v>21</v>
      </c>
      <c r="F2830" s="3" t="s">
        <v>21</v>
      </c>
      <c r="G2830" s="3" t="s">
        <v>233</v>
      </c>
      <c r="H2830" s="3" t="s">
        <v>234</v>
      </c>
      <c r="I2830" s="3" t="s">
        <v>24</v>
      </c>
      <c r="J2830" s="3" t="s">
        <v>24</v>
      </c>
      <c r="K2830" s="3" t="s">
        <v>25</v>
      </c>
      <c r="L2830" s="4">
        <v>0</v>
      </c>
      <c r="M2830" s="3" t="s">
        <v>26</v>
      </c>
      <c r="N2830" s="3" t="s">
        <v>24</v>
      </c>
      <c r="O2830" s="4">
        <v>1</v>
      </c>
      <c r="P2830" s="4">
        <v>2</v>
      </c>
      <c r="Q2830" s="4">
        <v>1</v>
      </c>
    </row>
    <row r="2831" spans="1:17" x14ac:dyDescent="0.25">
      <c r="A2831" s="3" t="s">
        <v>18</v>
      </c>
      <c r="B2831" s="3">
        <v>17463649</v>
      </c>
      <c r="C2831" s="3" t="s">
        <v>2880</v>
      </c>
      <c r="D2831" s="3" t="s">
        <v>20</v>
      </c>
      <c r="E2831" s="3" t="s">
        <v>21</v>
      </c>
      <c r="F2831" s="3" t="s">
        <v>21</v>
      </c>
      <c r="G2831" s="3" t="s">
        <v>233</v>
      </c>
      <c r="H2831" s="3" t="s">
        <v>234</v>
      </c>
      <c r="I2831" s="3" t="s">
        <v>24</v>
      </c>
      <c r="J2831" s="3" t="s">
        <v>24</v>
      </c>
      <c r="K2831" s="3" t="s">
        <v>25</v>
      </c>
      <c r="L2831" s="4">
        <v>0</v>
      </c>
      <c r="M2831" s="3" t="s">
        <v>26</v>
      </c>
      <c r="N2831" s="3" t="s">
        <v>24</v>
      </c>
      <c r="O2831" s="4">
        <v>1</v>
      </c>
      <c r="P2831" s="4">
        <v>3</v>
      </c>
      <c r="Q2831" s="4">
        <v>1</v>
      </c>
    </row>
    <row r="2832" spans="1:17" x14ac:dyDescent="0.25">
      <c r="A2832" s="3" t="s">
        <v>18</v>
      </c>
      <c r="B2832" s="3">
        <v>17472690</v>
      </c>
      <c r="C2832" s="3" t="s">
        <v>2881</v>
      </c>
      <c r="D2832" s="3" t="s">
        <v>20</v>
      </c>
      <c r="E2832" s="3" t="s">
        <v>21</v>
      </c>
      <c r="F2832" s="3" t="s">
        <v>21</v>
      </c>
      <c r="G2832" s="3" t="s">
        <v>22</v>
      </c>
      <c r="H2832" s="3" t="s">
        <v>23</v>
      </c>
      <c r="I2832" s="3" t="s">
        <v>24</v>
      </c>
      <c r="J2832" s="3" t="s">
        <v>24</v>
      </c>
      <c r="K2832" s="3" t="s">
        <v>25</v>
      </c>
      <c r="L2832" s="4">
        <v>0</v>
      </c>
      <c r="M2832" s="3" t="s">
        <v>26</v>
      </c>
      <c r="N2832" s="3" t="s">
        <v>24</v>
      </c>
      <c r="O2832" s="4">
        <v>1</v>
      </c>
      <c r="P2832" s="4">
        <v>4</v>
      </c>
      <c r="Q2832" s="4">
        <v>1</v>
      </c>
    </row>
    <row r="2833" spans="1:17" x14ac:dyDescent="0.25">
      <c r="A2833" s="3" t="s">
        <v>18</v>
      </c>
      <c r="B2833" s="3">
        <v>17499774</v>
      </c>
      <c r="C2833" s="3" t="s">
        <v>2882</v>
      </c>
      <c r="D2833" s="3" t="s">
        <v>20</v>
      </c>
      <c r="E2833" s="3" t="s">
        <v>21</v>
      </c>
      <c r="F2833" s="3" t="s">
        <v>21</v>
      </c>
      <c r="G2833" s="3" t="s">
        <v>30</v>
      </c>
      <c r="H2833" s="3" t="s">
        <v>31</v>
      </c>
      <c r="I2833" s="3" t="s">
        <v>24</v>
      </c>
      <c r="J2833" s="3" t="s">
        <v>24</v>
      </c>
      <c r="K2833" s="3" t="s">
        <v>25</v>
      </c>
      <c r="L2833" s="4">
        <v>0</v>
      </c>
      <c r="M2833" s="3" t="s">
        <v>26</v>
      </c>
      <c r="N2833" s="3" t="s">
        <v>24</v>
      </c>
      <c r="O2833" s="4">
        <v>1</v>
      </c>
      <c r="P2833" s="4">
        <v>8</v>
      </c>
      <c r="Q2833" s="4">
        <v>1</v>
      </c>
    </row>
    <row r="2834" spans="1:17" x14ac:dyDescent="0.25">
      <c r="A2834" s="3" t="s">
        <v>18</v>
      </c>
      <c r="B2834" s="3">
        <v>17533500</v>
      </c>
      <c r="C2834" s="3" t="s">
        <v>2883</v>
      </c>
      <c r="D2834" s="3" t="s">
        <v>20</v>
      </c>
      <c r="E2834" s="3" t="s">
        <v>21</v>
      </c>
      <c r="F2834" s="3" t="s">
        <v>24</v>
      </c>
      <c r="G2834" s="3" t="s">
        <v>36</v>
      </c>
      <c r="H2834" s="3" t="s">
        <v>37</v>
      </c>
      <c r="I2834" s="3" t="s">
        <v>24</v>
      </c>
      <c r="J2834" s="3" t="s">
        <v>24</v>
      </c>
      <c r="K2834" s="3" t="s">
        <v>25</v>
      </c>
      <c r="L2834" s="4">
        <v>0</v>
      </c>
      <c r="M2834" s="3" t="s">
        <v>26</v>
      </c>
      <c r="N2834" s="3" t="s">
        <v>24</v>
      </c>
      <c r="O2834" s="4">
        <v>1</v>
      </c>
      <c r="P2834" s="4">
        <v>8</v>
      </c>
      <c r="Q2834" s="4">
        <v>1</v>
      </c>
    </row>
    <row r="2835" spans="1:17" x14ac:dyDescent="0.25">
      <c r="A2835" s="3" t="s">
        <v>18</v>
      </c>
      <c r="B2835" s="3">
        <v>17541242</v>
      </c>
      <c r="C2835" s="3" t="s">
        <v>2884</v>
      </c>
      <c r="D2835" s="3" t="s">
        <v>1360</v>
      </c>
      <c r="E2835" s="3" t="s">
        <v>21</v>
      </c>
      <c r="F2835" s="3" t="s">
        <v>21</v>
      </c>
      <c r="G2835" s="3" t="s">
        <v>36</v>
      </c>
      <c r="H2835" s="3" t="s">
        <v>37</v>
      </c>
      <c r="I2835" s="3" t="s">
        <v>24</v>
      </c>
      <c r="J2835" s="3" t="s">
        <v>24</v>
      </c>
      <c r="K2835" s="3" t="s">
        <v>25</v>
      </c>
      <c r="L2835" s="4">
        <v>0</v>
      </c>
      <c r="M2835" s="3" t="s">
        <v>26</v>
      </c>
      <c r="N2835" s="3" t="s">
        <v>24</v>
      </c>
      <c r="O2835" s="4">
        <v>1</v>
      </c>
      <c r="P2835" s="4">
        <v>10</v>
      </c>
      <c r="Q2835" s="4">
        <v>1</v>
      </c>
    </row>
    <row r="2836" spans="1:17" x14ac:dyDescent="0.25">
      <c r="A2836" s="3" t="s">
        <v>18</v>
      </c>
      <c r="B2836" s="3">
        <v>17546991</v>
      </c>
      <c r="C2836" s="3" t="s">
        <v>2885</v>
      </c>
      <c r="D2836" s="3" t="s">
        <v>20</v>
      </c>
      <c r="E2836" s="3" t="s">
        <v>21</v>
      </c>
      <c r="F2836" s="3" t="s">
        <v>21</v>
      </c>
      <c r="G2836" s="3" t="s">
        <v>233</v>
      </c>
      <c r="H2836" s="3" t="s">
        <v>234</v>
      </c>
      <c r="I2836" s="3" t="s">
        <v>24</v>
      </c>
      <c r="J2836" s="3" t="s">
        <v>24</v>
      </c>
      <c r="K2836" s="3" t="s">
        <v>25</v>
      </c>
      <c r="L2836" s="4">
        <v>0</v>
      </c>
      <c r="M2836" s="3" t="s">
        <v>26</v>
      </c>
      <c r="N2836" s="3" t="s">
        <v>24</v>
      </c>
      <c r="O2836" s="4">
        <v>1</v>
      </c>
      <c r="P2836" s="4">
        <v>2</v>
      </c>
      <c r="Q2836" s="4">
        <v>1</v>
      </c>
    </row>
    <row r="2837" spans="1:17" x14ac:dyDescent="0.25">
      <c r="A2837" s="3" t="s">
        <v>18</v>
      </c>
      <c r="B2837" s="3">
        <v>17554278</v>
      </c>
      <c r="C2837" s="3" t="s">
        <v>2886</v>
      </c>
      <c r="D2837" s="3" t="s">
        <v>20</v>
      </c>
      <c r="E2837" s="3" t="s">
        <v>21</v>
      </c>
      <c r="F2837" s="3" t="s">
        <v>21</v>
      </c>
      <c r="G2837" s="3" t="s">
        <v>477</v>
      </c>
      <c r="H2837" s="3" t="s">
        <v>478</v>
      </c>
      <c r="I2837" s="3" t="s">
        <v>24</v>
      </c>
      <c r="J2837" s="3" t="s">
        <v>24</v>
      </c>
      <c r="K2837" s="3" t="s">
        <v>25</v>
      </c>
      <c r="L2837" s="4">
        <v>0</v>
      </c>
      <c r="M2837" s="3" t="s">
        <v>26</v>
      </c>
      <c r="N2837" s="3" t="s">
        <v>24</v>
      </c>
      <c r="O2837" s="4">
        <v>1</v>
      </c>
      <c r="P2837" s="4">
        <v>1</v>
      </c>
      <c r="Q2837" s="4">
        <v>0</v>
      </c>
    </row>
    <row r="2838" spans="1:17" x14ac:dyDescent="0.25">
      <c r="A2838" s="3" t="s">
        <v>18</v>
      </c>
      <c r="B2838" s="3">
        <v>17597197</v>
      </c>
      <c r="C2838" s="3" t="s">
        <v>2887</v>
      </c>
      <c r="D2838" s="3" t="s">
        <v>20</v>
      </c>
      <c r="E2838" s="3" t="s">
        <v>21</v>
      </c>
      <c r="F2838" s="3" t="s">
        <v>21</v>
      </c>
      <c r="G2838" s="3" t="s">
        <v>22</v>
      </c>
      <c r="H2838" s="3" t="s">
        <v>23</v>
      </c>
      <c r="I2838" s="3" t="s">
        <v>24</v>
      </c>
      <c r="J2838" s="3" t="s">
        <v>24</v>
      </c>
      <c r="K2838" s="3" t="s">
        <v>25</v>
      </c>
      <c r="L2838" s="4">
        <v>0</v>
      </c>
      <c r="M2838" s="3" t="s">
        <v>26</v>
      </c>
      <c r="N2838" s="3" t="s">
        <v>24</v>
      </c>
      <c r="O2838" s="4">
        <v>1</v>
      </c>
      <c r="P2838" s="4">
        <v>4</v>
      </c>
      <c r="Q2838" s="4">
        <v>1</v>
      </c>
    </row>
    <row r="2839" spans="1:17" x14ac:dyDescent="0.25">
      <c r="A2839" s="3" t="s">
        <v>18</v>
      </c>
      <c r="B2839" s="3">
        <v>17598938</v>
      </c>
      <c r="C2839" s="3" t="s">
        <v>2888</v>
      </c>
      <c r="D2839" s="3" t="s">
        <v>20</v>
      </c>
      <c r="E2839" s="3" t="s">
        <v>21</v>
      </c>
      <c r="F2839" s="3" t="s">
        <v>21</v>
      </c>
      <c r="G2839" s="3" t="s">
        <v>22</v>
      </c>
      <c r="H2839" s="3" t="s">
        <v>23</v>
      </c>
      <c r="I2839" s="3" t="s">
        <v>24</v>
      </c>
      <c r="J2839" s="3" t="s">
        <v>24</v>
      </c>
      <c r="K2839" s="3" t="s">
        <v>25</v>
      </c>
      <c r="L2839" s="4">
        <v>0</v>
      </c>
      <c r="M2839" s="3" t="s">
        <v>26</v>
      </c>
      <c r="N2839" s="3" t="s">
        <v>24</v>
      </c>
      <c r="O2839" s="4">
        <v>1</v>
      </c>
      <c r="P2839" s="4">
        <v>4</v>
      </c>
      <c r="Q2839" s="4">
        <v>1</v>
      </c>
    </row>
    <row r="2840" spans="1:17" x14ac:dyDescent="0.25">
      <c r="A2840" s="3" t="s">
        <v>18</v>
      </c>
      <c r="B2840" s="3">
        <v>17600348</v>
      </c>
      <c r="C2840" s="3" t="s">
        <v>2889</v>
      </c>
      <c r="D2840" s="3" t="s">
        <v>1360</v>
      </c>
      <c r="E2840" s="3" t="s">
        <v>21</v>
      </c>
      <c r="F2840" s="3" t="s">
        <v>21</v>
      </c>
      <c r="G2840" s="3" t="s">
        <v>233</v>
      </c>
      <c r="H2840" s="3" t="s">
        <v>234</v>
      </c>
      <c r="I2840" s="3" t="s">
        <v>24</v>
      </c>
      <c r="J2840" s="3" t="s">
        <v>24</v>
      </c>
      <c r="K2840" s="3" t="s">
        <v>25</v>
      </c>
      <c r="L2840" s="4">
        <v>0</v>
      </c>
      <c r="M2840" s="3" t="s">
        <v>26</v>
      </c>
      <c r="N2840" s="3" t="s">
        <v>24</v>
      </c>
      <c r="O2840" s="4">
        <v>1</v>
      </c>
      <c r="P2840" s="4">
        <v>2</v>
      </c>
      <c r="Q2840" s="4">
        <v>1</v>
      </c>
    </row>
    <row r="2841" spans="1:17" x14ac:dyDescent="0.25">
      <c r="A2841" s="3" t="s">
        <v>18</v>
      </c>
      <c r="B2841" s="3">
        <v>17647853</v>
      </c>
      <c r="C2841" s="3" t="s">
        <v>2890</v>
      </c>
      <c r="D2841" s="3" t="s">
        <v>20</v>
      </c>
      <c r="E2841" s="3" t="s">
        <v>21</v>
      </c>
      <c r="F2841" s="3" t="s">
        <v>21</v>
      </c>
      <c r="G2841" s="3" t="s">
        <v>233</v>
      </c>
      <c r="H2841" s="3" t="s">
        <v>234</v>
      </c>
      <c r="I2841" s="3" t="s">
        <v>24</v>
      </c>
      <c r="J2841" s="3" t="s">
        <v>24</v>
      </c>
      <c r="K2841" s="3" t="s">
        <v>25</v>
      </c>
      <c r="L2841" s="4">
        <v>0</v>
      </c>
      <c r="M2841" s="3" t="s">
        <v>26</v>
      </c>
      <c r="N2841" s="3" t="s">
        <v>24</v>
      </c>
      <c r="O2841" s="4">
        <v>1</v>
      </c>
      <c r="P2841" s="4">
        <v>2</v>
      </c>
      <c r="Q2841" s="4">
        <v>1</v>
      </c>
    </row>
    <row r="2842" spans="1:17" x14ac:dyDescent="0.25">
      <c r="A2842" s="3" t="s">
        <v>18</v>
      </c>
      <c r="B2842" s="3">
        <v>17692043</v>
      </c>
      <c r="C2842" s="3" t="s">
        <v>2891</v>
      </c>
      <c r="D2842" s="3" t="s">
        <v>20</v>
      </c>
      <c r="E2842" s="3" t="s">
        <v>21</v>
      </c>
      <c r="F2842" s="3" t="s">
        <v>24</v>
      </c>
      <c r="G2842" s="3" t="s">
        <v>233</v>
      </c>
      <c r="H2842" s="3" t="s">
        <v>234</v>
      </c>
      <c r="I2842" s="3" t="s">
        <v>24</v>
      </c>
      <c r="J2842" s="3" t="s">
        <v>24</v>
      </c>
      <c r="K2842" s="3" t="s">
        <v>25</v>
      </c>
      <c r="L2842" s="4">
        <v>0</v>
      </c>
      <c r="M2842" s="3" t="s">
        <v>26</v>
      </c>
      <c r="N2842" s="3" t="s">
        <v>24</v>
      </c>
      <c r="O2842" s="4">
        <v>1</v>
      </c>
      <c r="P2842" s="4">
        <v>2</v>
      </c>
      <c r="Q2842" s="4">
        <v>1</v>
      </c>
    </row>
    <row r="2843" spans="1:17" x14ac:dyDescent="0.25">
      <c r="A2843" s="3" t="s">
        <v>18</v>
      </c>
      <c r="B2843" s="3">
        <v>17692045</v>
      </c>
      <c r="C2843" s="3" t="s">
        <v>2892</v>
      </c>
      <c r="D2843" s="3" t="s">
        <v>20</v>
      </c>
      <c r="E2843" s="3" t="s">
        <v>21</v>
      </c>
      <c r="F2843" s="3" t="s">
        <v>21</v>
      </c>
      <c r="G2843" s="3" t="s">
        <v>233</v>
      </c>
      <c r="H2843" s="3" t="s">
        <v>234</v>
      </c>
      <c r="I2843" s="3" t="s">
        <v>24</v>
      </c>
      <c r="J2843" s="3" t="s">
        <v>24</v>
      </c>
      <c r="K2843" s="3" t="s">
        <v>25</v>
      </c>
      <c r="L2843" s="4">
        <v>0</v>
      </c>
      <c r="M2843" s="3" t="s">
        <v>26</v>
      </c>
      <c r="N2843" s="3" t="s">
        <v>24</v>
      </c>
      <c r="O2843" s="4">
        <v>1</v>
      </c>
      <c r="P2843" s="4">
        <v>2</v>
      </c>
      <c r="Q2843" s="4">
        <v>1</v>
      </c>
    </row>
    <row r="2844" spans="1:17" x14ac:dyDescent="0.25">
      <c r="A2844" s="3" t="s">
        <v>18</v>
      </c>
      <c r="B2844" s="3">
        <v>17704110</v>
      </c>
      <c r="C2844" s="3" t="s">
        <v>2893</v>
      </c>
      <c r="D2844" s="3" t="s">
        <v>1360</v>
      </c>
      <c r="E2844" s="3" t="s">
        <v>21</v>
      </c>
      <c r="F2844" s="3" t="s">
        <v>21</v>
      </c>
      <c r="G2844" s="3" t="s">
        <v>233</v>
      </c>
      <c r="H2844" s="3" t="s">
        <v>234</v>
      </c>
      <c r="I2844" s="3" t="s">
        <v>24</v>
      </c>
      <c r="J2844" s="3" t="s">
        <v>24</v>
      </c>
      <c r="K2844" s="3" t="s">
        <v>25</v>
      </c>
      <c r="L2844" s="4">
        <v>0</v>
      </c>
      <c r="M2844" s="3" t="s">
        <v>26</v>
      </c>
      <c r="N2844" s="3" t="s">
        <v>24</v>
      </c>
      <c r="O2844" s="4">
        <v>1</v>
      </c>
      <c r="P2844" s="4">
        <v>2</v>
      </c>
      <c r="Q2844" s="4">
        <v>1</v>
      </c>
    </row>
    <row r="2845" spans="1:17" x14ac:dyDescent="0.25">
      <c r="A2845" s="3" t="s">
        <v>18</v>
      </c>
      <c r="B2845" s="3">
        <v>17704111</v>
      </c>
      <c r="C2845" s="3" t="s">
        <v>2894</v>
      </c>
      <c r="D2845" s="3" t="s">
        <v>1360</v>
      </c>
      <c r="E2845" s="3" t="s">
        <v>21</v>
      </c>
      <c r="F2845" s="3" t="s">
        <v>21</v>
      </c>
      <c r="G2845" s="3" t="s">
        <v>233</v>
      </c>
      <c r="H2845" s="3" t="s">
        <v>234</v>
      </c>
      <c r="I2845" s="3" t="s">
        <v>24</v>
      </c>
      <c r="J2845" s="3" t="s">
        <v>24</v>
      </c>
      <c r="K2845" s="3" t="s">
        <v>25</v>
      </c>
      <c r="L2845" s="4">
        <v>0</v>
      </c>
      <c r="M2845" s="3" t="s">
        <v>26</v>
      </c>
      <c r="N2845" s="3" t="s">
        <v>24</v>
      </c>
      <c r="O2845" s="4">
        <v>1</v>
      </c>
      <c r="P2845" s="4">
        <v>2</v>
      </c>
      <c r="Q2845" s="4">
        <v>1</v>
      </c>
    </row>
    <row r="2846" spans="1:17" x14ac:dyDescent="0.25">
      <c r="A2846" s="3" t="s">
        <v>18</v>
      </c>
      <c r="B2846" s="3">
        <v>17738868</v>
      </c>
      <c r="C2846" s="3" t="s">
        <v>2895</v>
      </c>
      <c r="D2846" s="3" t="s">
        <v>20</v>
      </c>
      <c r="E2846" s="3" t="s">
        <v>21</v>
      </c>
      <c r="F2846" s="3" t="s">
        <v>21</v>
      </c>
      <c r="G2846" s="3" t="s">
        <v>30</v>
      </c>
      <c r="H2846" s="3" t="s">
        <v>31</v>
      </c>
      <c r="I2846" s="3" t="s">
        <v>24</v>
      </c>
      <c r="J2846" s="3" t="s">
        <v>24</v>
      </c>
      <c r="K2846" s="3" t="s">
        <v>25</v>
      </c>
      <c r="L2846" s="4">
        <v>0</v>
      </c>
      <c r="M2846" s="3" t="s">
        <v>26</v>
      </c>
      <c r="N2846" s="3" t="s">
        <v>24</v>
      </c>
      <c r="O2846" s="4">
        <v>1</v>
      </c>
      <c r="P2846" s="4">
        <v>8</v>
      </c>
      <c r="Q2846" s="4">
        <v>1</v>
      </c>
    </row>
    <row r="2847" spans="1:17" x14ac:dyDescent="0.25">
      <c r="A2847" s="3" t="s">
        <v>18</v>
      </c>
      <c r="B2847" s="3">
        <v>17739814</v>
      </c>
      <c r="C2847" s="3" t="s">
        <v>2896</v>
      </c>
      <c r="D2847" s="3" t="s">
        <v>20</v>
      </c>
      <c r="E2847" s="3" t="s">
        <v>21</v>
      </c>
      <c r="F2847" s="3" t="s">
        <v>21</v>
      </c>
      <c r="G2847" s="3" t="s">
        <v>22</v>
      </c>
      <c r="H2847" s="3" t="s">
        <v>23</v>
      </c>
      <c r="I2847" s="3" t="s">
        <v>24</v>
      </c>
      <c r="J2847" s="3" t="s">
        <v>24</v>
      </c>
      <c r="K2847" s="3" t="s">
        <v>25</v>
      </c>
      <c r="L2847" s="4">
        <v>0</v>
      </c>
      <c r="M2847" s="3" t="s">
        <v>26</v>
      </c>
      <c r="N2847" s="3" t="s">
        <v>24</v>
      </c>
      <c r="O2847" s="4">
        <v>1</v>
      </c>
      <c r="P2847" s="4">
        <v>4</v>
      </c>
      <c r="Q2847" s="4">
        <v>1</v>
      </c>
    </row>
    <row r="2848" spans="1:17" x14ac:dyDescent="0.25">
      <c r="A2848" s="3" t="s">
        <v>18</v>
      </c>
      <c r="B2848" s="3">
        <v>17739816</v>
      </c>
      <c r="C2848" s="3" t="s">
        <v>2897</v>
      </c>
      <c r="D2848" s="3" t="s">
        <v>20</v>
      </c>
      <c r="E2848" s="3" t="s">
        <v>21</v>
      </c>
      <c r="F2848" s="3" t="s">
        <v>24</v>
      </c>
      <c r="G2848" s="3" t="s">
        <v>22</v>
      </c>
      <c r="H2848" s="3" t="s">
        <v>23</v>
      </c>
      <c r="I2848" s="3" t="s">
        <v>24</v>
      </c>
      <c r="J2848" s="3" t="s">
        <v>24</v>
      </c>
      <c r="K2848" s="3" t="s">
        <v>25</v>
      </c>
      <c r="L2848" s="4">
        <v>0</v>
      </c>
      <c r="M2848" s="3" t="s">
        <v>26</v>
      </c>
      <c r="N2848" s="3" t="s">
        <v>24</v>
      </c>
      <c r="O2848" s="4">
        <v>1</v>
      </c>
      <c r="P2848" s="4">
        <v>4</v>
      </c>
      <c r="Q2848" s="4">
        <v>1</v>
      </c>
    </row>
    <row r="2849" spans="1:17" x14ac:dyDescent="0.25">
      <c r="A2849" s="3" t="s">
        <v>18</v>
      </c>
      <c r="B2849" s="3">
        <v>17830389</v>
      </c>
      <c r="C2849" s="3" t="s">
        <v>2898</v>
      </c>
      <c r="D2849" s="3" t="s">
        <v>20</v>
      </c>
      <c r="E2849" s="3" t="s">
        <v>21</v>
      </c>
      <c r="F2849" s="3" t="s">
        <v>21</v>
      </c>
      <c r="G2849" s="3" t="s">
        <v>2282</v>
      </c>
      <c r="H2849" s="3" t="s">
        <v>2283</v>
      </c>
      <c r="I2849" s="3" t="s">
        <v>24</v>
      </c>
      <c r="J2849" s="3" t="s">
        <v>24</v>
      </c>
      <c r="K2849" s="3" t="s">
        <v>25</v>
      </c>
      <c r="L2849" s="4">
        <v>0</v>
      </c>
      <c r="M2849" s="3" t="s">
        <v>26</v>
      </c>
      <c r="N2849" s="3" t="s">
        <v>24</v>
      </c>
      <c r="O2849" s="4">
        <v>0</v>
      </c>
      <c r="P2849" s="4">
        <v>4</v>
      </c>
      <c r="Q2849" s="4">
        <v>0</v>
      </c>
    </row>
    <row r="2850" spans="1:17" x14ac:dyDescent="0.25">
      <c r="A2850" s="3" t="s">
        <v>18</v>
      </c>
      <c r="B2850" s="3">
        <v>17837715</v>
      </c>
      <c r="C2850" s="3" t="s">
        <v>2899</v>
      </c>
      <c r="D2850" s="3" t="s">
        <v>20</v>
      </c>
      <c r="E2850" s="3" t="s">
        <v>21</v>
      </c>
      <c r="F2850" s="3" t="s">
        <v>21</v>
      </c>
      <c r="G2850" s="3" t="s">
        <v>2282</v>
      </c>
      <c r="H2850" s="3" t="s">
        <v>2283</v>
      </c>
      <c r="I2850" s="3" t="s">
        <v>24</v>
      </c>
      <c r="J2850" s="3" t="s">
        <v>24</v>
      </c>
      <c r="K2850" s="3" t="s">
        <v>25</v>
      </c>
      <c r="L2850" s="4">
        <v>0</v>
      </c>
      <c r="M2850" s="3" t="s">
        <v>26</v>
      </c>
      <c r="N2850" s="3" t="s">
        <v>24</v>
      </c>
      <c r="O2850" s="4">
        <v>0</v>
      </c>
      <c r="P2850" s="4">
        <v>4</v>
      </c>
      <c r="Q2850" s="4">
        <v>0</v>
      </c>
    </row>
    <row r="2851" spans="1:17" x14ac:dyDescent="0.25">
      <c r="A2851" s="3" t="s">
        <v>18</v>
      </c>
      <c r="B2851" s="3">
        <v>17838061</v>
      </c>
      <c r="C2851" s="3" t="s">
        <v>2900</v>
      </c>
      <c r="D2851" s="3" t="s">
        <v>20</v>
      </c>
      <c r="E2851" s="3" t="s">
        <v>21</v>
      </c>
      <c r="F2851" s="3" t="s">
        <v>21</v>
      </c>
      <c r="G2851" s="3" t="s">
        <v>2282</v>
      </c>
      <c r="H2851" s="3" t="s">
        <v>2283</v>
      </c>
      <c r="I2851" s="3" t="s">
        <v>24</v>
      </c>
      <c r="J2851" s="3" t="s">
        <v>24</v>
      </c>
      <c r="K2851" s="3" t="s">
        <v>25</v>
      </c>
      <c r="L2851" s="4">
        <v>0</v>
      </c>
      <c r="M2851" s="3" t="s">
        <v>26</v>
      </c>
      <c r="N2851" s="3" t="s">
        <v>24</v>
      </c>
      <c r="O2851" s="4">
        <v>0</v>
      </c>
      <c r="P2851" s="4">
        <v>4</v>
      </c>
      <c r="Q2851" s="4">
        <v>0</v>
      </c>
    </row>
    <row r="2852" spans="1:17" x14ac:dyDescent="0.25">
      <c r="A2852" s="3" t="s">
        <v>18</v>
      </c>
      <c r="B2852" s="3">
        <v>17838063</v>
      </c>
      <c r="C2852" s="3" t="s">
        <v>2901</v>
      </c>
      <c r="D2852" s="3" t="s">
        <v>20</v>
      </c>
      <c r="E2852" s="3" t="s">
        <v>21</v>
      </c>
      <c r="F2852" s="3" t="s">
        <v>21</v>
      </c>
      <c r="G2852" s="3" t="s">
        <v>2282</v>
      </c>
      <c r="H2852" s="3" t="s">
        <v>2283</v>
      </c>
      <c r="I2852" s="3" t="s">
        <v>24</v>
      </c>
      <c r="J2852" s="3" t="s">
        <v>24</v>
      </c>
      <c r="K2852" s="3" t="s">
        <v>25</v>
      </c>
      <c r="L2852" s="4">
        <v>0</v>
      </c>
      <c r="M2852" s="3" t="s">
        <v>26</v>
      </c>
      <c r="N2852" s="3" t="s">
        <v>24</v>
      </c>
      <c r="O2852" s="4">
        <v>0</v>
      </c>
      <c r="P2852" s="4">
        <v>4</v>
      </c>
      <c r="Q2852" s="4">
        <v>0</v>
      </c>
    </row>
    <row r="2853" spans="1:17" x14ac:dyDescent="0.25">
      <c r="A2853" s="3" t="s">
        <v>18</v>
      </c>
      <c r="B2853" s="3">
        <v>17838064</v>
      </c>
      <c r="C2853" s="3" t="s">
        <v>2902</v>
      </c>
      <c r="D2853" s="3" t="s">
        <v>20</v>
      </c>
      <c r="E2853" s="3" t="s">
        <v>21</v>
      </c>
      <c r="F2853" s="3" t="s">
        <v>21</v>
      </c>
      <c r="G2853" s="3" t="s">
        <v>2282</v>
      </c>
      <c r="H2853" s="3" t="s">
        <v>2283</v>
      </c>
      <c r="I2853" s="3" t="s">
        <v>24</v>
      </c>
      <c r="J2853" s="3" t="s">
        <v>24</v>
      </c>
      <c r="K2853" s="3" t="s">
        <v>25</v>
      </c>
      <c r="L2853" s="4">
        <v>0</v>
      </c>
      <c r="M2853" s="3" t="s">
        <v>26</v>
      </c>
      <c r="N2853" s="3" t="s">
        <v>24</v>
      </c>
      <c r="O2853" s="4">
        <v>0</v>
      </c>
      <c r="P2853" s="4">
        <v>4</v>
      </c>
      <c r="Q2853" s="4">
        <v>0</v>
      </c>
    </row>
    <row r="2854" spans="1:17" x14ac:dyDescent="0.25">
      <c r="A2854" s="3" t="s">
        <v>18</v>
      </c>
      <c r="B2854" s="3">
        <v>17838066</v>
      </c>
      <c r="C2854" s="3" t="s">
        <v>2903</v>
      </c>
      <c r="D2854" s="3" t="s">
        <v>20</v>
      </c>
      <c r="E2854" s="3" t="s">
        <v>21</v>
      </c>
      <c r="F2854" s="3" t="s">
        <v>21</v>
      </c>
      <c r="G2854" s="3" t="s">
        <v>2282</v>
      </c>
      <c r="H2854" s="3" t="s">
        <v>2283</v>
      </c>
      <c r="I2854" s="3" t="s">
        <v>24</v>
      </c>
      <c r="J2854" s="3" t="s">
        <v>24</v>
      </c>
      <c r="K2854" s="3" t="s">
        <v>25</v>
      </c>
      <c r="L2854" s="4">
        <v>0</v>
      </c>
      <c r="M2854" s="3" t="s">
        <v>26</v>
      </c>
      <c r="N2854" s="3" t="s">
        <v>24</v>
      </c>
      <c r="O2854" s="4">
        <v>0</v>
      </c>
      <c r="P2854" s="4">
        <v>4</v>
      </c>
      <c r="Q2854" s="4">
        <v>0</v>
      </c>
    </row>
    <row r="2855" spans="1:17" x14ac:dyDescent="0.25">
      <c r="A2855" s="3" t="s">
        <v>18</v>
      </c>
      <c r="B2855" s="3">
        <v>17838288</v>
      </c>
      <c r="C2855" s="3" t="s">
        <v>2904</v>
      </c>
      <c r="D2855" s="3" t="s">
        <v>20</v>
      </c>
      <c r="E2855" s="3" t="s">
        <v>21</v>
      </c>
      <c r="F2855" s="3" t="s">
        <v>21</v>
      </c>
      <c r="G2855" s="3" t="s">
        <v>2282</v>
      </c>
      <c r="H2855" s="3" t="s">
        <v>2283</v>
      </c>
      <c r="I2855" s="3" t="s">
        <v>24</v>
      </c>
      <c r="J2855" s="3" t="s">
        <v>24</v>
      </c>
      <c r="K2855" s="3" t="s">
        <v>25</v>
      </c>
      <c r="L2855" s="4">
        <v>0</v>
      </c>
      <c r="M2855" s="3" t="s">
        <v>26</v>
      </c>
      <c r="N2855" s="3" t="s">
        <v>24</v>
      </c>
      <c r="O2855" s="4">
        <v>0</v>
      </c>
      <c r="P2855" s="4">
        <v>4</v>
      </c>
      <c r="Q2855" s="4">
        <v>0</v>
      </c>
    </row>
    <row r="2856" spans="1:17" x14ac:dyDescent="0.25">
      <c r="A2856" s="3" t="s">
        <v>18</v>
      </c>
      <c r="B2856" s="3">
        <v>17838290</v>
      </c>
      <c r="C2856" s="3" t="s">
        <v>2905</v>
      </c>
      <c r="D2856" s="3" t="s">
        <v>20</v>
      </c>
      <c r="E2856" s="3" t="s">
        <v>21</v>
      </c>
      <c r="F2856" s="3" t="s">
        <v>21</v>
      </c>
      <c r="G2856" s="3" t="s">
        <v>2282</v>
      </c>
      <c r="H2856" s="3" t="s">
        <v>2283</v>
      </c>
      <c r="I2856" s="3" t="s">
        <v>24</v>
      </c>
      <c r="J2856" s="3" t="s">
        <v>24</v>
      </c>
      <c r="K2856" s="3" t="s">
        <v>25</v>
      </c>
      <c r="L2856" s="4">
        <v>0</v>
      </c>
      <c r="M2856" s="3" t="s">
        <v>26</v>
      </c>
      <c r="N2856" s="3" t="s">
        <v>24</v>
      </c>
      <c r="O2856" s="4">
        <v>0</v>
      </c>
      <c r="P2856" s="4">
        <v>4</v>
      </c>
      <c r="Q2856" s="4">
        <v>0</v>
      </c>
    </row>
    <row r="2857" spans="1:17" x14ac:dyDescent="0.25">
      <c r="A2857" s="3" t="s">
        <v>18</v>
      </c>
      <c r="B2857" s="3">
        <v>17838291</v>
      </c>
      <c r="C2857" s="3" t="s">
        <v>2906</v>
      </c>
      <c r="D2857" s="3" t="s">
        <v>20</v>
      </c>
      <c r="E2857" s="3" t="s">
        <v>21</v>
      </c>
      <c r="F2857" s="3" t="s">
        <v>21</v>
      </c>
      <c r="G2857" s="3" t="s">
        <v>2282</v>
      </c>
      <c r="H2857" s="3" t="s">
        <v>2283</v>
      </c>
      <c r="I2857" s="3" t="s">
        <v>24</v>
      </c>
      <c r="J2857" s="3" t="s">
        <v>24</v>
      </c>
      <c r="K2857" s="3" t="s">
        <v>25</v>
      </c>
      <c r="L2857" s="4">
        <v>0</v>
      </c>
      <c r="M2857" s="3" t="s">
        <v>26</v>
      </c>
      <c r="N2857" s="3" t="s">
        <v>24</v>
      </c>
      <c r="O2857" s="4">
        <v>0</v>
      </c>
      <c r="P2857" s="4">
        <v>4</v>
      </c>
      <c r="Q2857" s="4">
        <v>0</v>
      </c>
    </row>
    <row r="2858" spans="1:17" x14ac:dyDescent="0.25">
      <c r="A2858" s="3" t="s">
        <v>18</v>
      </c>
      <c r="B2858" s="3">
        <v>17838292</v>
      </c>
      <c r="C2858" s="3" t="s">
        <v>2907</v>
      </c>
      <c r="D2858" s="3" t="s">
        <v>20</v>
      </c>
      <c r="E2858" s="3" t="s">
        <v>21</v>
      </c>
      <c r="F2858" s="3" t="s">
        <v>21</v>
      </c>
      <c r="G2858" s="3" t="s">
        <v>2282</v>
      </c>
      <c r="H2858" s="3" t="s">
        <v>2283</v>
      </c>
      <c r="I2858" s="3" t="s">
        <v>24</v>
      </c>
      <c r="J2858" s="3" t="s">
        <v>24</v>
      </c>
      <c r="K2858" s="3" t="s">
        <v>25</v>
      </c>
      <c r="L2858" s="4">
        <v>0</v>
      </c>
      <c r="M2858" s="3" t="s">
        <v>26</v>
      </c>
      <c r="N2858" s="3" t="s">
        <v>24</v>
      </c>
      <c r="O2858" s="4">
        <v>0</v>
      </c>
      <c r="P2858" s="4">
        <v>4</v>
      </c>
      <c r="Q2858" s="4">
        <v>0</v>
      </c>
    </row>
    <row r="2859" spans="1:17" x14ac:dyDescent="0.25">
      <c r="A2859" s="3" t="s">
        <v>18</v>
      </c>
      <c r="B2859" s="3">
        <v>17838295</v>
      </c>
      <c r="C2859" s="3" t="s">
        <v>2908</v>
      </c>
      <c r="D2859" s="3" t="s">
        <v>20</v>
      </c>
      <c r="E2859" s="3" t="s">
        <v>21</v>
      </c>
      <c r="F2859" s="3" t="s">
        <v>21</v>
      </c>
      <c r="G2859" s="3" t="s">
        <v>2282</v>
      </c>
      <c r="H2859" s="3" t="s">
        <v>2283</v>
      </c>
      <c r="I2859" s="3" t="s">
        <v>24</v>
      </c>
      <c r="J2859" s="3" t="s">
        <v>24</v>
      </c>
      <c r="K2859" s="3" t="s">
        <v>25</v>
      </c>
      <c r="L2859" s="4">
        <v>0</v>
      </c>
      <c r="M2859" s="3" t="s">
        <v>26</v>
      </c>
      <c r="N2859" s="3" t="s">
        <v>24</v>
      </c>
      <c r="O2859" s="4">
        <v>0</v>
      </c>
      <c r="P2859" s="4">
        <v>4</v>
      </c>
      <c r="Q2859" s="4">
        <v>0</v>
      </c>
    </row>
    <row r="2860" spans="1:17" x14ac:dyDescent="0.25">
      <c r="A2860" s="3" t="s">
        <v>18</v>
      </c>
      <c r="B2860" s="3">
        <v>17838421</v>
      </c>
      <c r="C2860" s="3" t="s">
        <v>2909</v>
      </c>
      <c r="D2860" s="3" t="s">
        <v>20</v>
      </c>
      <c r="E2860" s="3" t="s">
        <v>21</v>
      </c>
      <c r="F2860" s="3" t="s">
        <v>21</v>
      </c>
      <c r="G2860" s="3" t="s">
        <v>2282</v>
      </c>
      <c r="H2860" s="3" t="s">
        <v>2283</v>
      </c>
      <c r="I2860" s="3" t="s">
        <v>24</v>
      </c>
      <c r="J2860" s="3" t="s">
        <v>24</v>
      </c>
      <c r="K2860" s="3" t="s">
        <v>25</v>
      </c>
      <c r="L2860" s="4">
        <v>0</v>
      </c>
      <c r="M2860" s="3" t="s">
        <v>26</v>
      </c>
      <c r="N2860" s="3" t="s">
        <v>24</v>
      </c>
      <c r="O2860" s="4">
        <v>0</v>
      </c>
      <c r="P2860" s="4">
        <v>4</v>
      </c>
      <c r="Q2860" s="4">
        <v>0</v>
      </c>
    </row>
    <row r="2861" spans="1:17" x14ac:dyDescent="0.25">
      <c r="A2861" s="3" t="s">
        <v>18</v>
      </c>
      <c r="B2861" s="3">
        <v>17838422</v>
      </c>
      <c r="C2861" s="3" t="s">
        <v>2910</v>
      </c>
      <c r="D2861" s="3" t="s">
        <v>20</v>
      </c>
      <c r="E2861" s="3" t="s">
        <v>21</v>
      </c>
      <c r="F2861" s="3" t="s">
        <v>21</v>
      </c>
      <c r="G2861" s="3" t="s">
        <v>2282</v>
      </c>
      <c r="H2861" s="3" t="s">
        <v>2283</v>
      </c>
      <c r="I2861" s="3" t="s">
        <v>24</v>
      </c>
      <c r="J2861" s="3" t="s">
        <v>24</v>
      </c>
      <c r="K2861" s="3" t="s">
        <v>25</v>
      </c>
      <c r="L2861" s="4">
        <v>0</v>
      </c>
      <c r="M2861" s="3" t="s">
        <v>26</v>
      </c>
      <c r="N2861" s="3" t="s">
        <v>24</v>
      </c>
      <c r="O2861" s="4">
        <v>0</v>
      </c>
      <c r="P2861" s="4">
        <v>4</v>
      </c>
      <c r="Q2861" s="4">
        <v>0</v>
      </c>
    </row>
    <row r="2862" spans="1:17" x14ac:dyDescent="0.25">
      <c r="A2862" s="3" t="s">
        <v>18</v>
      </c>
      <c r="B2862" s="3">
        <v>17838423</v>
      </c>
      <c r="C2862" s="3" t="s">
        <v>2911</v>
      </c>
      <c r="D2862" s="3" t="s">
        <v>20</v>
      </c>
      <c r="E2862" s="3" t="s">
        <v>21</v>
      </c>
      <c r="F2862" s="3" t="s">
        <v>21</v>
      </c>
      <c r="G2862" s="3" t="s">
        <v>2282</v>
      </c>
      <c r="H2862" s="3" t="s">
        <v>2283</v>
      </c>
      <c r="I2862" s="3" t="s">
        <v>24</v>
      </c>
      <c r="J2862" s="3" t="s">
        <v>24</v>
      </c>
      <c r="K2862" s="3" t="s">
        <v>25</v>
      </c>
      <c r="L2862" s="4">
        <v>0</v>
      </c>
      <c r="M2862" s="3" t="s">
        <v>26</v>
      </c>
      <c r="N2862" s="3" t="s">
        <v>24</v>
      </c>
      <c r="O2862" s="4">
        <v>0</v>
      </c>
      <c r="P2862" s="4">
        <v>4</v>
      </c>
      <c r="Q2862" s="4">
        <v>0</v>
      </c>
    </row>
    <row r="2863" spans="1:17" x14ac:dyDescent="0.25">
      <c r="A2863" s="3" t="s">
        <v>18</v>
      </c>
      <c r="B2863" s="3">
        <v>17838425</v>
      </c>
      <c r="C2863" s="3" t="s">
        <v>2912</v>
      </c>
      <c r="D2863" s="3" t="s">
        <v>20</v>
      </c>
      <c r="E2863" s="3" t="s">
        <v>21</v>
      </c>
      <c r="F2863" s="3" t="s">
        <v>21</v>
      </c>
      <c r="G2863" s="3" t="s">
        <v>2282</v>
      </c>
      <c r="H2863" s="3" t="s">
        <v>2283</v>
      </c>
      <c r="I2863" s="3" t="s">
        <v>24</v>
      </c>
      <c r="J2863" s="3" t="s">
        <v>24</v>
      </c>
      <c r="K2863" s="3" t="s">
        <v>25</v>
      </c>
      <c r="L2863" s="4">
        <v>0</v>
      </c>
      <c r="M2863" s="3" t="s">
        <v>26</v>
      </c>
      <c r="N2863" s="3" t="s">
        <v>24</v>
      </c>
      <c r="O2863" s="4">
        <v>0</v>
      </c>
      <c r="P2863" s="4">
        <v>4</v>
      </c>
      <c r="Q2863" s="4">
        <v>0</v>
      </c>
    </row>
    <row r="2864" spans="1:17" x14ac:dyDescent="0.25">
      <c r="A2864" s="3" t="s">
        <v>18</v>
      </c>
      <c r="B2864" s="3">
        <v>17838427</v>
      </c>
      <c r="C2864" s="3" t="s">
        <v>2913</v>
      </c>
      <c r="D2864" s="3" t="s">
        <v>20</v>
      </c>
      <c r="E2864" s="3" t="s">
        <v>21</v>
      </c>
      <c r="F2864" s="3" t="s">
        <v>21</v>
      </c>
      <c r="G2864" s="3" t="s">
        <v>2282</v>
      </c>
      <c r="H2864" s="3" t="s">
        <v>2283</v>
      </c>
      <c r="I2864" s="3" t="s">
        <v>24</v>
      </c>
      <c r="J2864" s="3" t="s">
        <v>24</v>
      </c>
      <c r="K2864" s="3" t="s">
        <v>25</v>
      </c>
      <c r="L2864" s="4">
        <v>0</v>
      </c>
      <c r="M2864" s="3" t="s">
        <v>26</v>
      </c>
      <c r="N2864" s="3" t="s">
        <v>24</v>
      </c>
      <c r="O2864" s="4">
        <v>0</v>
      </c>
      <c r="P2864" s="4">
        <v>4</v>
      </c>
      <c r="Q2864" s="4">
        <v>0</v>
      </c>
    </row>
    <row r="2865" spans="1:17" x14ac:dyDescent="0.25">
      <c r="A2865" s="3" t="s">
        <v>18</v>
      </c>
      <c r="B2865" s="3">
        <v>17838479</v>
      </c>
      <c r="C2865" s="3" t="s">
        <v>2914</v>
      </c>
      <c r="D2865" s="3" t="s">
        <v>20</v>
      </c>
      <c r="E2865" s="3" t="s">
        <v>21</v>
      </c>
      <c r="F2865" s="3" t="s">
        <v>21</v>
      </c>
      <c r="G2865" s="3" t="s">
        <v>233</v>
      </c>
      <c r="H2865" s="3" t="s">
        <v>234</v>
      </c>
      <c r="I2865" s="3" t="s">
        <v>24</v>
      </c>
      <c r="J2865" s="3" t="s">
        <v>24</v>
      </c>
      <c r="K2865" s="3" t="s">
        <v>25</v>
      </c>
      <c r="L2865" s="4">
        <v>0</v>
      </c>
      <c r="M2865" s="3" t="s">
        <v>26</v>
      </c>
      <c r="N2865" s="3" t="s">
        <v>24</v>
      </c>
      <c r="O2865" s="4">
        <v>1</v>
      </c>
      <c r="P2865" s="4">
        <v>3</v>
      </c>
      <c r="Q2865" s="4">
        <v>1</v>
      </c>
    </row>
    <row r="2866" spans="1:17" x14ac:dyDescent="0.25">
      <c r="A2866" s="3" t="s">
        <v>18</v>
      </c>
      <c r="B2866" s="3">
        <v>17838528</v>
      </c>
      <c r="C2866" s="3" t="s">
        <v>2915</v>
      </c>
      <c r="D2866" s="3" t="s">
        <v>20</v>
      </c>
      <c r="E2866" s="3" t="s">
        <v>21</v>
      </c>
      <c r="F2866" s="3" t="s">
        <v>21</v>
      </c>
      <c r="G2866" s="3" t="s">
        <v>2282</v>
      </c>
      <c r="H2866" s="3" t="s">
        <v>2283</v>
      </c>
      <c r="I2866" s="3" t="s">
        <v>24</v>
      </c>
      <c r="J2866" s="3" t="s">
        <v>24</v>
      </c>
      <c r="K2866" s="3" t="s">
        <v>25</v>
      </c>
      <c r="L2866" s="4">
        <v>0</v>
      </c>
      <c r="M2866" s="3" t="s">
        <v>26</v>
      </c>
      <c r="N2866" s="3" t="s">
        <v>24</v>
      </c>
      <c r="O2866" s="4">
        <v>0</v>
      </c>
      <c r="P2866" s="4">
        <v>4</v>
      </c>
      <c r="Q2866" s="4">
        <v>0</v>
      </c>
    </row>
    <row r="2867" spans="1:17" x14ac:dyDescent="0.25">
      <c r="A2867" s="3" t="s">
        <v>18</v>
      </c>
      <c r="B2867" s="3">
        <v>17838530</v>
      </c>
      <c r="C2867" s="3" t="s">
        <v>2916</v>
      </c>
      <c r="D2867" s="3" t="s">
        <v>20</v>
      </c>
      <c r="E2867" s="3" t="s">
        <v>21</v>
      </c>
      <c r="F2867" s="3" t="s">
        <v>21</v>
      </c>
      <c r="G2867" s="3" t="s">
        <v>2282</v>
      </c>
      <c r="H2867" s="3" t="s">
        <v>2283</v>
      </c>
      <c r="I2867" s="3" t="s">
        <v>24</v>
      </c>
      <c r="J2867" s="3" t="s">
        <v>24</v>
      </c>
      <c r="K2867" s="3" t="s">
        <v>25</v>
      </c>
      <c r="L2867" s="4">
        <v>0</v>
      </c>
      <c r="M2867" s="3" t="s">
        <v>26</v>
      </c>
      <c r="N2867" s="3" t="s">
        <v>24</v>
      </c>
      <c r="O2867" s="4">
        <v>0</v>
      </c>
      <c r="P2867" s="4">
        <v>4</v>
      </c>
      <c r="Q2867" s="4">
        <v>0</v>
      </c>
    </row>
    <row r="2868" spans="1:17" x14ac:dyDescent="0.25">
      <c r="A2868" s="3" t="s">
        <v>18</v>
      </c>
      <c r="B2868" s="3">
        <v>17838531</v>
      </c>
      <c r="C2868" s="3" t="s">
        <v>2917</v>
      </c>
      <c r="D2868" s="3" t="s">
        <v>20</v>
      </c>
      <c r="E2868" s="3" t="s">
        <v>21</v>
      </c>
      <c r="F2868" s="3" t="s">
        <v>21</v>
      </c>
      <c r="G2868" s="3" t="s">
        <v>2282</v>
      </c>
      <c r="H2868" s="3" t="s">
        <v>2283</v>
      </c>
      <c r="I2868" s="3" t="s">
        <v>24</v>
      </c>
      <c r="J2868" s="3" t="s">
        <v>24</v>
      </c>
      <c r="K2868" s="3" t="s">
        <v>25</v>
      </c>
      <c r="L2868" s="4">
        <v>0</v>
      </c>
      <c r="M2868" s="3" t="s">
        <v>26</v>
      </c>
      <c r="N2868" s="3" t="s">
        <v>24</v>
      </c>
      <c r="O2868" s="4">
        <v>0</v>
      </c>
      <c r="P2868" s="4">
        <v>4</v>
      </c>
      <c r="Q2868" s="4">
        <v>0</v>
      </c>
    </row>
    <row r="2869" spans="1:17" x14ac:dyDescent="0.25">
      <c r="A2869" s="3" t="s">
        <v>18</v>
      </c>
      <c r="B2869" s="3">
        <v>17838532</v>
      </c>
      <c r="C2869" s="3" t="s">
        <v>2918</v>
      </c>
      <c r="D2869" s="3" t="s">
        <v>20</v>
      </c>
      <c r="E2869" s="3" t="s">
        <v>21</v>
      </c>
      <c r="F2869" s="3" t="s">
        <v>21</v>
      </c>
      <c r="G2869" s="3" t="s">
        <v>2282</v>
      </c>
      <c r="H2869" s="3" t="s">
        <v>2283</v>
      </c>
      <c r="I2869" s="3" t="s">
        <v>24</v>
      </c>
      <c r="J2869" s="3" t="s">
        <v>24</v>
      </c>
      <c r="K2869" s="3" t="s">
        <v>25</v>
      </c>
      <c r="L2869" s="4">
        <v>0</v>
      </c>
      <c r="M2869" s="3" t="s">
        <v>26</v>
      </c>
      <c r="N2869" s="3" t="s">
        <v>24</v>
      </c>
      <c r="O2869" s="4">
        <v>0</v>
      </c>
      <c r="P2869" s="4">
        <v>4</v>
      </c>
      <c r="Q2869" s="4">
        <v>0</v>
      </c>
    </row>
    <row r="2870" spans="1:17" x14ac:dyDescent="0.25">
      <c r="A2870" s="3" t="s">
        <v>18</v>
      </c>
      <c r="B2870" s="3">
        <v>17838534</v>
      </c>
      <c r="C2870" s="3" t="s">
        <v>2919</v>
      </c>
      <c r="D2870" s="3" t="s">
        <v>20</v>
      </c>
      <c r="E2870" s="3" t="s">
        <v>21</v>
      </c>
      <c r="F2870" s="3" t="s">
        <v>21</v>
      </c>
      <c r="G2870" s="3" t="s">
        <v>2282</v>
      </c>
      <c r="H2870" s="3" t="s">
        <v>2283</v>
      </c>
      <c r="I2870" s="3" t="s">
        <v>24</v>
      </c>
      <c r="J2870" s="3" t="s">
        <v>24</v>
      </c>
      <c r="K2870" s="3" t="s">
        <v>25</v>
      </c>
      <c r="L2870" s="4">
        <v>0</v>
      </c>
      <c r="M2870" s="3" t="s">
        <v>26</v>
      </c>
      <c r="N2870" s="3" t="s">
        <v>24</v>
      </c>
      <c r="O2870" s="4">
        <v>0</v>
      </c>
      <c r="P2870" s="4">
        <v>4</v>
      </c>
      <c r="Q2870" s="4">
        <v>0</v>
      </c>
    </row>
    <row r="2871" spans="1:17" x14ac:dyDescent="0.25">
      <c r="A2871" s="3" t="s">
        <v>18</v>
      </c>
      <c r="B2871" s="3">
        <v>17838535</v>
      </c>
      <c r="C2871" s="3" t="s">
        <v>2920</v>
      </c>
      <c r="D2871" s="3" t="s">
        <v>20</v>
      </c>
      <c r="E2871" s="3" t="s">
        <v>21</v>
      </c>
      <c r="F2871" s="3" t="s">
        <v>21</v>
      </c>
      <c r="G2871" s="3" t="s">
        <v>2282</v>
      </c>
      <c r="H2871" s="3" t="s">
        <v>2283</v>
      </c>
      <c r="I2871" s="3" t="s">
        <v>24</v>
      </c>
      <c r="J2871" s="3" t="s">
        <v>24</v>
      </c>
      <c r="K2871" s="3" t="s">
        <v>25</v>
      </c>
      <c r="L2871" s="4">
        <v>0</v>
      </c>
      <c r="M2871" s="3" t="s">
        <v>26</v>
      </c>
      <c r="N2871" s="3" t="s">
        <v>24</v>
      </c>
      <c r="O2871" s="4">
        <v>0</v>
      </c>
      <c r="P2871" s="4">
        <v>4</v>
      </c>
      <c r="Q2871" s="4">
        <v>0</v>
      </c>
    </row>
    <row r="2872" spans="1:17" x14ac:dyDescent="0.25">
      <c r="A2872" s="3" t="s">
        <v>18</v>
      </c>
      <c r="B2872" s="3">
        <v>17838798</v>
      </c>
      <c r="C2872" s="3" t="s">
        <v>2921</v>
      </c>
      <c r="D2872" s="3" t="s">
        <v>20</v>
      </c>
      <c r="E2872" s="3" t="s">
        <v>21</v>
      </c>
      <c r="F2872" s="3" t="s">
        <v>21</v>
      </c>
      <c r="G2872" s="3" t="s">
        <v>2282</v>
      </c>
      <c r="H2872" s="3" t="s">
        <v>2283</v>
      </c>
      <c r="I2872" s="3" t="s">
        <v>24</v>
      </c>
      <c r="J2872" s="3" t="s">
        <v>24</v>
      </c>
      <c r="K2872" s="3" t="s">
        <v>25</v>
      </c>
      <c r="L2872" s="4">
        <v>0</v>
      </c>
      <c r="M2872" s="3" t="s">
        <v>26</v>
      </c>
      <c r="N2872" s="3" t="s">
        <v>24</v>
      </c>
      <c r="O2872" s="4">
        <v>0</v>
      </c>
      <c r="P2872" s="4">
        <v>4</v>
      </c>
      <c r="Q2872" s="4">
        <v>0</v>
      </c>
    </row>
    <row r="2873" spans="1:17" x14ac:dyDescent="0.25">
      <c r="A2873" s="3" t="s">
        <v>18</v>
      </c>
      <c r="B2873" s="3">
        <v>17839145</v>
      </c>
      <c r="C2873" s="3" t="s">
        <v>2922</v>
      </c>
      <c r="D2873" s="3" t="s">
        <v>20</v>
      </c>
      <c r="E2873" s="3" t="s">
        <v>21</v>
      </c>
      <c r="F2873" s="3" t="s">
        <v>21</v>
      </c>
      <c r="G2873" s="3" t="s">
        <v>2282</v>
      </c>
      <c r="H2873" s="3" t="s">
        <v>2283</v>
      </c>
      <c r="I2873" s="3" t="s">
        <v>24</v>
      </c>
      <c r="J2873" s="3" t="s">
        <v>24</v>
      </c>
      <c r="K2873" s="3" t="s">
        <v>25</v>
      </c>
      <c r="L2873" s="4">
        <v>0</v>
      </c>
      <c r="M2873" s="3" t="s">
        <v>26</v>
      </c>
      <c r="N2873" s="3" t="s">
        <v>24</v>
      </c>
      <c r="O2873" s="4">
        <v>0</v>
      </c>
      <c r="P2873" s="4">
        <v>4</v>
      </c>
      <c r="Q2873" s="4">
        <v>0</v>
      </c>
    </row>
    <row r="2874" spans="1:17" x14ac:dyDescent="0.25">
      <c r="A2874" s="3" t="s">
        <v>18</v>
      </c>
      <c r="B2874" s="3">
        <v>17839146</v>
      </c>
      <c r="C2874" s="3" t="s">
        <v>2923</v>
      </c>
      <c r="D2874" s="3" t="s">
        <v>20</v>
      </c>
      <c r="E2874" s="3" t="s">
        <v>21</v>
      </c>
      <c r="F2874" s="3" t="s">
        <v>21</v>
      </c>
      <c r="G2874" s="3" t="s">
        <v>2282</v>
      </c>
      <c r="H2874" s="3" t="s">
        <v>2283</v>
      </c>
      <c r="I2874" s="3" t="s">
        <v>24</v>
      </c>
      <c r="J2874" s="3" t="s">
        <v>24</v>
      </c>
      <c r="K2874" s="3" t="s">
        <v>25</v>
      </c>
      <c r="L2874" s="4">
        <v>0</v>
      </c>
      <c r="M2874" s="3" t="s">
        <v>26</v>
      </c>
      <c r="N2874" s="3" t="s">
        <v>24</v>
      </c>
      <c r="O2874" s="4">
        <v>0</v>
      </c>
      <c r="P2874" s="4">
        <v>4</v>
      </c>
      <c r="Q2874" s="4">
        <v>0</v>
      </c>
    </row>
    <row r="2875" spans="1:17" x14ac:dyDescent="0.25">
      <c r="A2875" s="3" t="s">
        <v>18</v>
      </c>
      <c r="B2875" s="3">
        <v>17839509</v>
      </c>
      <c r="C2875" s="3" t="s">
        <v>2924</v>
      </c>
      <c r="D2875" s="3" t="s">
        <v>20</v>
      </c>
      <c r="E2875" s="3" t="s">
        <v>21</v>
      </c>
      <c r="F2875" s="3" t="s">
        <v>21</v>
      </c>
      <c r="G2875" s="3" t="s">
        <v>2282</v>
      </c>
      <c r="H2875" s="3" t="s">
        <v>2283</v>
      </c>
      <c r="I2875" s="3" t="s">
        <v>24</v>
      </c>
      <c r="J2875" s="3" t="s">
        <v>24</v>
      </c>
      <c r="K2875" s="3" t="s">
        <v>25</v>
      </c>
      <c r="L2875" s="4">
        <v>0</v>
      </c>
      <c r="M2875" s="3" t="s">
        <v>26</v>
      </c>
      <c r="N2875" s="3" t="s">
        <v>24</v>
      </c>
      <c r="O2875" s="4">
        <v>0</v>
      </c>
      <c r="P2875" s="4">
        <v>4</v>
      </c>
      <c r="Q2875" s="4">
        <v>0</v>
      </c>
    </row>
    <row r="2876" spans="1:17" x14ac:dyDescent="0.25">
      <c r="A2876" s="3" t="s">
        <v>18</v>
      </c>
      <c r="B2876" s="3">
        <v>17839511</v>
      </c>
      <c r="C2876" s="3" t="s">
        <v>2925</v>
      </c>
      <c r="D2876" s="3" t="s">
        <v>20</v>
      </c>
      <c r="E2876" s="3" t="s">
        <v>21</v>
      </c>
      <c r="F2876" s="3" t="s">
        <v>21</v>
      </c>
      <c r="G2876" s="3" t="s">
        <v>2282</v>
      </c>
      <c r="H2876" s="3" t="s">
        <v>2283</v>
      </c>
      <c r="I2876" s="3" t="s">
        <v>24</v>
      </c>
      <c r="J2876" s="3" t="s">
        <v>24</v>
      </c>
      <c r="K2876" s="3" t="s">
        <v>25</v>
      </c>
      <c r="L2876" s="4">
        <v>0</v>
      </c>
      <c r="M2876" s="3" t="s">
        <v>26</v>
      </c>
      <c r="N2876" s="3" t="s">
        <v>24</v>
      </c>
      <c r="O2876" s="4">
        <v>0</v>
      </c>
      <c r="P2876" s="4">
        <v>4</v>
      </c>
      <c r="Q2876" s="4">
        <v>0</v>
      </c>
    </row>
    <row r="2877" spans="1:17" x14ac:dyDescent="0.25">
      <c r="A2877" s="3" t="s">
        <v>18</v>
      </c>
      <c r="B2877" s="3">
        <v>17839512</v>
      </c>
      <c r="C2877" s="3" t="s">
        <v>2926</v>
      </c>
      <c r="D2877" s="3" t="s">
        <v>20</v>
      </c>
      <c r="E2877" s="3" t="s">
        <v>21</v>
      </c>
      <c r="F2877" s="3" t="s">
        <v>21</v>
      </c>
      <c r="G2877" s="3" t="s">
        <v>2282</v>
      </c>
      <c r="H2877" s="3" t="s">
        <v>2283</v>
      </c>
      <c r="I2877" s="3" t="s">
        <v>24</v>
      </c>
      <c r="J2877" s="3" t="s">
        <v>24</v>
      </c>
      <c r="K2877" s="3" t="s">
        <v>25</v>
      </c>
      <c r="L2877" s="4">
        <v>0</v>
      </c>
      <c r="M2877" s="3" t="s">
        <v>26</v>
      </c>
      <c r="N2877" s="3" t="s">
        <v>24</v>
      </c>
      <c r="O2877" s="4">
        <v>0</v>
      </c>
      <c r="P2877" s="4">
        <v>4</v>
      </c>
      <c r="Q2877" s="4">
        <v>0</v>
      </c>
    </row>
    <row r="2878" spans="1:17" x14ac:dyDescent="0.25">
      <c r="A2878" s="3" t="s">
        <v>18</v>
      </c>
      <c r="B2878" s="3">
        <v>17839966</v>
      </c>
      <c r="C2878" s="3" t="s">
        <v>2927</v>
      </c>
      <c r="D2878" s="3" t="s">
        <v>20</v>
      </c>
      <c r="E2878" s="3" t="s">
        <v>21</v>
      </c>
      <c r="F2878" s="3" t="s">
        <v>21</v>
      </c>
      <c r="G2878" s="3" t="s">
        <v>233</v>
      </c>
      <c r="H2878" s="3" t="s">
        <v>234</v>
      </c>
      <c r="I2878" s="3" t="s">
        <v>24</v>
      </c>
      <c r="J2878" s="3" t="s">
        <v>24</v>
      </c>
      <c r="K2878" s="3" t="s">
        <v>25</v>
      </c>
      <c r="L2878" s="4">
        <v>0</v>
      </c>
      <c r="M2878" s="3" t="s">
        <v>26</v>
      </c>
      <c r="N2878" s="3" t="s">
        <v>24</v>
      </c>
      <c r="O2878" s="4">
        <v>1</v>
      </c>
      <c r="P2878" s="4">
        <v>3</v>
      </c>
      <c r="Q2878" s="4">
        <v>1</v>
      </c>
    </row>
    <row r="2879" spans="1:17" x14ac:dyDescent="0.25">
      <c r="A2879" s="3" t="s">
        <v>18</v>
      </c>
      <c r="B2879" s="3">
        <v>17874787</v>
      </c>
      <c r="C2879" s="3" t="s">
        <v>2928</v>
      </c>
      <c r="D2879" s="3" t="s">
        <v>20</v>
      </c>
      <c r="E2879" s="3" t="s">
        <v>21</v>
      </c>
      <c r="F2879" s="3" t="s">
        <v>21</v>
      </c>
      <c r="G2879" s="3" t="s">
        <v>36</v>
      </c>
      <c r="H2879" s="3" t="s">
        <v>37</v>
      </c>
      <c r="I2879" s="3" t="s">
        <v>24</v>
      </c>
      <c r="J2879" s="3" t="s">
        <v>24</v>
      </c>
      <c r="K2879" s="3" t="s">
        <v>25</v>
      </c>
      <c r="L2879" s="4">
        <v>0</v>
      </c>
      <c r="M2879" s="3" t="s">
        <v>26</v>
      </c>
      <c r="N2879" s="3" t="s">
        <v>24</v>
      </c>
      <c r="O2879" s="4">
        <v>1</v>
      </c>
      <c r="P2879" s="4">
        <v>4</v>
      </c>
      <c r="Q2879" s="4">
        <v>1</v>
      </c>
    </row>
    <row r="2880" spans="1:17" x14ac:dyDescent="0.25">
      <c r="A2880" s="3" t="s">
        <v>18</v>
      </c>
      <c r="B2880" s="3">
        <v>17896623</v>
      </c>
      <c r="C2880" s="3" t="s">
        <v>2929</v>
      </c>
      <c r="D2880" s="3" t="s">
        <v>20</v>
      </c>
      <c r="E2880" s="3" t="s">
        <v>21</v>
      </c>
      <c r="F2880" s="3" t="s">
        <v>24</v>
      </c>
      <c r="G2880" s="3" t="s">
        <v>22</v>
      </c>
      <c r="H2880" s="3" t="s">
        <v>23</v>
      </c>
      <c r="I2880" s="3" t="s">
        <v>24</v>
      </c>
      <c r="J2880" s="3" t="s">
        <v>24</v>
      </c>
      <c r="K2880" s="3" t="s">
        <v>25</v>
      </c>
      <c r="L2880" s="4">
        <v>0</v>
      </c>
      <c r="M2880" s="3" t="s">
        <v>26</v>
      </c>
      <c r="N2880" s="3" t="s">
        <v>24</v>
      </c>
      <c r="O2880" s="4">
        <v>1</v>
      </c>
      <c r="P2880" s="4">
        <v>3</v>
      </c>
      <c r="Q2880" s="4">
        <v>1</v>
      </c>
    </row>
    <row r="2881" spans="1:17" x14ac:dyDescent="0.25">
      <c r="A2881" s="3" t="s">
        <v>18</v>
      </c>
      <c r="B2881" s="3">
        <v>17902110</v>
      </c>
      <c r="C2881" s="3" t="s">
        <v>2930</v>
      </c>
      <c r="D2881" s="3" t="s">
        <v>20</v>
      </c>
      <c r="E2881" s="3" t="s">
        <v>21</v>
      </c>
      <c r="F2881" s="3" t="s">
        <v>21</v>
      </c>
      <c r="G2881" s="3" t="s">
        <v>22</v>
      </c>
      <c r="H2881" s="3" t="s">
        <v>23</v>
      </c>
      <c r="I2881" s="3" t="s">
        <v>24</v>
      </c>
      <c r="J2881" s="3" t="s">
        <v>24</v>
      </c>
      <c r="K2881" s="3" t="s">
        <v>25</v>
      </c>
      <c r="L2881" s="4">
        <v>0</v>
      </c>
      <c r="M2881" s="3" t="s">
        <v>26</v>
      </c>
      <c r="N2881" s="3" t="s">
        <v>24</v>
      </c>
      <c r="O2881" s="4">
        <v>1</v>
      </c>
      <c r="P2881" s="4">
        <v>4</v>
      </c>
      <c r="Q2881" s="4">
        <v>1</v>
      </c>
    </row>
    <row r="2882" spans="1:17" x14ac:dyDescent="0.25">
      <c r="A2882" s="3" t="s">
        <v>18</v>
      </c>
      <c r="B2882" s="3">
        <v>17902111</v>
      </c>
      <c r="C2882" s="3" t="s">
        <v>2931</v>
      </c>
      <c r="D2882" s="3" t="s">
        <v>20</v>
      </c>
      <c r="E2882" s="3" t="s">
        <v>21</v>
      </c>
      <c r="F2882" s="3" t="s">
        <v>21</v>
      </c>
      <c r="G2882" s="3" t="s">
        <v>42</v>
      </c>
      <c r="H2882" s="3" t="s">
        <v>43</v>
      </c>
      <c r="I2882" s="3" t="s">
        <v>24</v>
      </c>
      <c r="J2882" s="3" t="s">
        <v>24</v>
      </c>
      <c r="K2882" s="3" t="s">
        <v>25</v>
      </c>
      <c r="L2882" s="4">
        <v>0</v>
      </c>
      <c r="M2882" s="3" t="s">
        <v>26</v>
      </c>
      <c r="N2882" s="3" t="s">
        <v>24</v>
      </c>
      <c r="O2882" s="4">
        <v>1</v>
      </c>
      <c r="P2882" s="4">
        <v>8</v>
      </c>
      <c r="Q2882" s="4">
        <v>1</v>
      </c>
    </row>
    <row r="2883" spans="1:17" x14ac:dyDescent="0.25">
      <c r="A2883" s="3" t="s">
        <v>18</v>
      </c>
      <c r="B2883" s="3">
        <v>17902112</v>
      </c>
      <c r="C2883" s="3" t="s">
        <v>2932</v>
      </c>
      <c r="D2883" s="3" t="s">
        <v>20</v>
      </c>
      <c r="E2883" s="3" t="s">
        <v>21</v>
      </c>
      <c r="F2883" s="3" t="s">
        <v>21</v>
      </c>
      <c r="G2883" s="3" t="s">
        <v>42</v>
      </c>
      <c r="H2883" s="3" t="s">
        <v>43</v>
      </c>
      <c r="I2883" s="3" t="s">
        <v>24</v>
      </c>
      <c r="J2883" s="3" t="s">
        <v>24</v>
      </c>
      <c r="K2883" s="3" t="s">
        <v>25</v>
      </c>
      <c r="L2883" s="4">
        <v>0</v>
      </c>
      <c r="M2883" s="3" t="s">
        <v>26</v>
      </c>
      <c r="N2883" s="3" t="s">
        <v>24</v>
      </c>
      <c r="O2883" s="4">
        <v>1</v>
      </c>
      <c r="P2883" s="4">
        <v>8</v>
      </c>
      <c r="Q2883" s="4">
        <v>1</v>
      </c>
    </row>
    <row r="2884" spans="1:17" x14ac:dyDescent="0.25">
      <c r="A2884" s="3" t="s">
        <v>18</v>
      </c>
      <c r="B2884" s="3">
        <v>17902113</v>
      </c>
      <c r="C2884" s="3" t="s">
        <v>2933</v>
      </c>
      <c r="D2884" s="3" t="s">
        <v>20</v>
      </c>
      <c r="E2884" s="3" t="s">
        <v>21</v>
      </c>
      <c r="F2884" s="3" t="s">
        <v>21</v>
      </c>
      <c r="G2884" s="3" t="s">
        <v>42</v>
      </c>
      <c r="H2884" s="3" t="s">
        <v>43</v>
      </c>
      <c r="I2884" s="3" t="s">
        <v>24</v>
      </c>
      <c r="J2884" s="3" t="s">
        <v>24</v>
      </c>
      <c r="K2884" s="3" t="s">
        <v>25</v>
      </c>
      <c r="L2884" s="4">
        <v>0</v>
      </c>
      <c r="M2884" s="3" t="s">
        <v>26</v>
      </c>
      <c r="N2884" s="3" t="s">
        <v>24</v>
      </c>
      <c r="O2884" s="4">
        <v>1</v>
      </c>
      <c r="P2884" s="4">
        <v>8</v>
      </c>
      <c r="Q2884" s="4">
        <v>1</v>
      </c>
    </row>
    <row r="2885" spans="1:17" x14ac:dyDescent="0.25">
      <c r="A2885" s="3" t="s">
        <v>18</v>
      </c>
      <c r="B2885" s="3">
        <v>17909627</v>
      </c>
      <c r="C2885" s="3" t="s">
        <v>2934</v>
      </c>
      <c r="D2885" s="3" t="s">
        <v>20</v>
      </c>
      <c r="E2885" s="3" t="s">
        <v>21</v>
      </c>
      <c r="F2885" s="3" t="s">
        <v>21</v>
      </c>
      <c r="G2885" s="3" t="s">
        <v>30</v>
      </c>
      <c r="H2885" s="3" t="s">
        <v>31</v>
      </c>
      <c r="I2885" s="3" t="s">
        <v>24</v>
      </c>
      <c r="J2885" s="3" t="s">
        <v>24</v>
      </c>
      <c r="K2885" s="3" t="s">
        <v>25</v>
      </c>
      <c r="L2885" s="4">
        <v>0</v>
      </c>
      <c r="M2885" s="3" t="s">
        <v>26</v>
      </c>
      <c r="N2885" s="3" t="s">
        <v>24</v>
      </c>
      <c r="O2885" s="4">
        <v>1</v>
      </c>
      <c r="P2885" s="4">
        <v>8</v>
      </c>
      <c r="Q2885" s="4">
        <v>1</v>
      </c>
    </row>
    <row r="2886" spans="1:17" x14ac:dyDescent="0.25">
      <c r="A2886" s="3" t="s">
        <v>18</v>
      </c>
      <c r="B2886" s="3">
        <v>17910078</v>
      </c>
      <c r="C2886" s="3" t="s">
        <v>2935</v>
      </c>
      <c r="D2886" s="3" t="s">
        <v>20</v>
      </c>
      <c r="E2886" s="3" t="s">
        <v>21</v>
      </c>
      <c r="F2886" s="3" t="s">
        <v>21</v>
      </c>
      <c r="G2886" s="3" t="s">
        <v>22</v>
      </c>
      <c r="H2886" s="3" t="s">
        <v>23</v>
      </c>
      <c r="I2886" s="3" t="s">
        <v>24</v>
      </c>
      <c r="J2886" s="3" t="s">
        <v>24</v>
      </c>
      <c r="K2886" s="3" t="s">
        <v>25</v>
      </c>
      <c r="L2886" s="4">
        <v>0</v>
      </c>
      <c r="M2886" s="3" t="s">
        <v>26</v>
      </c>
      <c r="N2886" s="3" t="s">
        <v>24</v>
      </c>
      <c r="O2886" s="4">
        <v>1</v>
      </c>
      <c r="P2886" s="4">
        <v>4</v>
      </c>
      <c r="Q2886" s="4">
        <v>1</v>
      </c>
    </row>
    <row r="2887" spans="1:17" x14ac:dyDescent="0.25">
      <c r="A2887" s="3" t="s">
        <v>18</v>
      </c>
      <c r="B2887" s="3">
        <v>17979999</v>
      </c>
      <c r="C2887" s="3" t="s">
        <v>2936</v>
      </c>
      <c r="D2887" s="3" t="s">
        <v>20</v>
      </c>
      <c r="E2887" s="3" t="s">
        <v>21</v>
      </c>
      <c r="F2887" s="3" t="s">
        <v>21</v>
      </c>
      <c r="G2887" s="3" t="s">
        <v>30</v>
      </c>
      <c r="H2887" s="3" t="s">
        <v>31</v>
      </c>
      <c r="I2887" s="3" t="s">
        <v>24</v>
      </c>
      <c r="J2887" s="3" t="s">
        <v>24</v>
      </c>
      <c r="K2887" s="3" t="s">
        <v>25</v>
      </c>
      <c r="L2887" s="4">
        <v>0</v>
      </c>
      <c r="M2887" s="3" t="s">
        <v>26</v>
      </c>
      <c r="N2887" s="3" t="s">
        <v>24</v>
      </c>
      <c r="O2887" s="4">
        <v>1</v>
      </c>
      <c r="P2887" s="4">
        <v>8</v>
      </c>
      <c r="Q2887" s="4">
        <v>1</v>
      </c>
    </row>
    <row r="2888" spans="1:17" x14ac:dyDescent="0.25">
      <c r="A2888" s="3" t="s">
        <v>18</v>
      </c>
      <c r="B2888" s="3">
        <v>17990642</v>
      </c>
      <c r="C2888" s="3" t="s">
        <v>2937</v>
      </c>
      <c r="D2888" s="3" t="s">
        <v>20</v>
      </c>
      <c r="E2888" s="3" t="s">
        <v>21</v>
      </c>
      <c r="F2888" s="3" t="s">
        <v>21</v>
      </c>
      <c r="G2888" s="3" t="s">
        <v>30</v>
      </c>
      <c r="H2888" s="3" t="s">
        <v>31</v>
      </c>
      <c r="I2888" s="3" t="s">
        <v>24</v>
      </c>
      <c r="J2888" s="3" t="s">
        <v>24</v>
      </c>
      <c r="K2888" s="3" t="s">
        <v>25</v>
      </c>
      <c r="L2888" s="4">
        <v>0</v>
      </c>
      <c r="M2888" s="3" t="s">
        <v>26</v>
      </c>
      <c r="N2888" s="3" t="s">
        <v>24</v>
      </c>
      <c r="O2888" s="4">
        <v>1</v>
      </c>
      <c r="P2888" s="4">
        <v>8</v>
      </c>
      <c r="Q2888" s="4">
        <v>1</v>
      </c>
    </row>
    <row r="2889" spans="1:17" x14ac:dyDescent="0.25">
      <c r="A2889" s="3" t="s">
        <v>18</v>
      </c>
      <c r="B2889" s="3">
        <v>18026674</v>
      </c>
      <c r="C2889" s="3" t="s">
        <v>2938</v>
      </c>
      <c r="D2889" s="3" t="s">
        <v>20</v>
      </c>
      <c r="E2889" s="3" t="s">
        <v>21</v>
      </c>
      <c r="F2889" s="3" t="s">
        <v>21</v>
      </c>
      <c r="G2889" s="3" t="s">
        <v>30</v>
      </c>
      <c r="H2889" s="3" t="s">
        <v>31</v>
      </c>
      <c r="I2889" s="3" t="s">
        <v>24</v>
      </c>
      <c r="J2889" s="3" t="s">
        <v>24</v>
      </c>
      <c r="K2889" s="3" t="s">
        <v>25</v>
      </c>
      <c r="L2889" s="4">
        <v>0</v>
      </c>
      <c r="M2889" s="3" t="s">
        <v>26</v>
      </c>
      <c r="N2889" s="3" t="s">
        <v>24</v>
      </c>
      <c r="O2889" s="4">
        <v>1</v>
      </c>
      <c r="P2889" s="4">
        <v>8</v>
      </c>
      <c r="Q2889" s="4">
        <v>1</v>
      </c>
    </row>
    <row r="2890" spans="1:17" x14ac:dyDescent="0.25">
      <c r="A2890" s="3" t="s">
        <v>18</v>
      </c>
      <c r="B2890" s="3">
        <v>18072511</v>
      </c>
      <c r="C2890" s="3" t="s">
        <v>2939</v>
      </c>
      <c r="D2890" s="3" t="s">
        <v>20</v>
      </c>
      <c r="E2890" s="3" t="s">
        <v>21</v>
      </c>
      <c r="F2890" s="3" t="s">
        <v>21</v>
      </c>
      <c r="G2890" s="3" t="s">
        <v>22</v>
      </c>
      <c r="H2890" s="3" t="s">
        <v>23</v>
      </c>
      <c r="I2890" s="3" t="s">
        <v>24</v>
      </c>
      <c r="J2890" s="3" t="s">
        <v>24</v>
      </c>
      <c r="K2890" s="3" t="s">
        <v>25</v>
      </c>
      <c r="L2890" s="4">
        <v>0</v>
      </c>
      <c r="M2890" s="3" t="s">
        <v>26</v>
      </c>
      <c r="N2890" s="3" t="s">
        <v>24</v>
      </c>
      <c r="O2890" s="4">
        <v>1</v>
      </c>
      <c r="P2890" s="4">
        <v>4</v>
      </c>
      <c r="Q2890" s="4">
        <v>1</v>
      </c>
    </row>
    <row r="2891" spans="1:17" x14ac:dyDescent="0.25">
      <c r="A2891" s="3" t="s">
        <v>18</v>
      </c>
      <c r="B2891" s="3">
        <v>18072512</v>
      </c>
      <c r="C2891" s="3" t="s">
        <v>2940</v>
      </c>
      <c r="D2891" s="3" t="s">
        <v>20</v>
      </c>
      <c r="E2891" s="3" t="s">
        <v>21</v>
      </c>
      <c r="F2891" s="3" t="s">
        <v>24</v>
      </c>
      <c r="G2891" s="3" t="s">
        <v>22</v>
      </c>
      <c r="H2891" s="3" t="s">
        <v>23</v>
      </c>
      <c r="I2891" s="3" t="s">
        <v>24</v>
      </c>
      <c r="J2891" s="3" t="s">
        <v>24</v>
      </c>
      <c r="K2891" s="3" t="s">
        <v>25</v>
      </c>
      <c r="L2891" s="4">
        <v>0</v>
      </c>
      <c r="M2891" s="3" t="s">
        <v>26</v>
      </c>
      <c r="N2891" s="3" t="s">
        <v>24</v>
      </c>
      <c r="O2891" s="4">
        <v>1</v>
      </c>
      <c r="P2891" s="4">
        <v>4</v>
      </c>
      <c r="Q2891" s="4">
        <v>1</v>
      </c>
    </row>
    <row r="2892" spans="1:17" x14ac:dyDescent="0.25">
      <c r="A2892" s="3" t="s">
        <v>18</v>
      </c>
      <c r="B2892" s="3">
        <v>18073239</v>
      </c>
      <c r="C2892" s="3" t="s">
        <v>2941</v>
      </c>
      <c r="D2892" s="3" t="s">
        <v>20</v>
      </c>
      <c r="E2892" s="3" t="s">
        <v>21</v>
      </c>
      <c r="F2892" s="3" t="s">
        <v>21</v>
      </c>
      <c r="G2892" s="3" t="s">
        <v>36</v>
      </c>
      <c r="H2892" s="3" t="s">
        <v>37</v>
      </c>
      <c r="I2892" s="3" t="s">
        <v>24</v>
      </c>
      <c r="J2892" s="3" t="s">
        <v>24</v>
      </c>
      <c r="K2892" s="3" t="s">
        <v>25</v>
      </c>
      <c r="L2892" s="4">
        <v>0</v>
      </c>
      <c r="M2892" s="3" t="s">
        <v>26</v>
      </c>
      <c r="N2892" s="3" t="s">
        <v>24</v>
      </c>
      <c r="O2892" s="4">
        <v>1</v>
      </c>
      <c r="P2892" s="4">
        <v>10</v>
      </c>
      <c r="Q2892" s="4">
        <v>1</v>
      </c>
    </row>
    <row r="2893" spans="1:17" x14ac:dyDescent="0.25">
      <c r="A2893" s="3" t="s">
        <v>18</v>
      </c>
      <c r="B2893" s="3">
        <v>18085932</v>
      </c>
      <c r="C2893" s="3" t="s">
        <v>2942</v>
      </c>
      <c r="D2893" s="3" t="s">
        <v>1360</v>
      </c>
      <c r="E2893" s="3" t="s">
        <v>21</v>
      </c>
      <c r="F2893" s="3" t="s">
        <v>21</v>
      </c>
      <c r="G2893" s="3" t="s">
        <v>36</v>
      </c>
      <c r="H2893" s="3" t="s">
        <v>37</v>
      </c>
      <c r="I2893" s="3" t="s">
        <v>24</v>
      </c>
      <c r="J2893" s="3" t="s">
        <v>24</v>
      </c>
      <c r="K2893" s="3" t="s">
        <v>25</v>
      </c>
      <c r="L2893" s="4">
        <v>0</v>
      </c>
      <c r="M2893" s="3" t="s">
        <v>26</v>
      </c>
      <c r="N2893" s="3" t="s">
        <v>24</v>
      </c>
      <c r="O2893" s="4">
        <v>1</v>
      </c>
      <c r="P2893" s="4">
        <v>10</v>
      </c>
      <c r="Q2893" s="4">
        <v>1</v>
      </c>
    </row>
    <row r="2894" spans="1:17" x14ac:dyDescent="0.25">
      <c r="A2894" s="3" t="s">
        <v>18</v>
      </c>
      <c r="B2894" s="3">
        <v>18093121</v>
      </c>
      <c r="C2894" s="3" t="s">
        <v>2943</v>
      </c>
      <c r="D2894" s="3" t="s">
        <v>20</v>
      </c>
      <c r="E2894" s="3" t="s">
        <v>21</v>
      </c>
      <c r="F2894" s="3" t="s">
        <v>21</v>
      </c>
      <c r="G2894" s="3" t="s">
        <v>30</v>
      </c>
      <c r="H2894" s="3" t="s">
        <v>31</v>
      </c>
      <c r="I2894" s="3" t="s">
        <v>24</v>
      </c>
      <c r="J2894" s="3" t="s">
        <v>24</v>
      </c>
      <c r="K2894" s="3" t="s">
        <v>25</v>
      </c>
      <c r="L2894" s="4">
        <v>0</v>
      </c>
      <c r="M2894" s="3" t="s">
        <v>26</v>
      </c>
      <c r="N2894" s="3" t="s">
        <v>24</v>
      </c>
      <c r="O2894" s="4">
        <v>1</v>
      </c>
      <c r="P2894" s="4">
        <v>8</v>
      </c>
      <c r="Q2894" s="4">
        <v>1</v>
      </c>
    </row>
    <row r="2895" spans="1:17" x14ac:dyDescent="0.25">
      <c r="A2895" s="3" t="s">
        <v>18</v>
      </c>
      <c r="B2895" s="3">
        <v>18093312</v>
      </c>
      <c r="C2895" s="3" t="s">
        <v>2944</v>
      </c>
      <c r="D2895" s="3" t="s">
        <v>20</v>
      </c>
      <c r="E2895" s="3" t="s">
        <v>21</v>
      </c>
      <c r="F2895" s="3" t="s">
        <v>21</v>
      </c>
      <c r="G2895" s="3" t="s">
        <v>42</v>
      </c>
      <c r="H2895" s="3" t="s">
        <v>43</v>
      </c>
      <c r="I2895" s="3" t="s">
        <v>24</v>
      </c>
      <c r="J2895" s="3" t="s">
        <v>24</v>
      </c>
      <c r="K2895" s="3" t="s">
        <v>25</v>
      </c>
      <c r="L2895" s="4">
        <v>0</v>
      </c>
      <c r="M2895" s="3" t="s">
        <v>26</v>
      </c>
      <c r="N2895" s="3" t="s">
        <v>24</v>
      </c>
      <c r="O2895" s="4">
        <v>1</v>
      </c>
      <c r="P2895" s="4">
        <v>8</v>
      </c>
      <c r="Q2895" s="4">
        <v>1</v>
      </c>
    </row>
    <row r="2896" spans="1:17" x14ac:dyDescent="0.25">
      <c r="A2896" s="3" t="s">
        <v>18</v>
      </c>
      <c r="B2896" s="3">
        <v>18093313</v>
      </c>
      <c r="C2896" s="3" t="s">
        <v>2945</v>
      </c>
      <c r="D2896" s="3" t="s">
        <v>20</v>
      </c>
      <c r="E2896" s="3" t="s">
        <v>21</v>
      </c>
      <c r="F2896" s="3" t="s">
        <v>21</v>
      </c>
      <c r="G2896" s="3" t="s">
        <v>36</v>
      </c>
      <c r="H2896" s="3" t="s">
        <v>37</v>
      </c>
      <c r="I2896" s="3" t="s">
        <v>24</v>
      </c>
      <c r="J2896" s="3" t="s">
        <v>24</v>
      </c>
      <c r="K2896" s="3" t="s">
        <v>25</v>
      </c>
      <c r="L2896" s="4">
        <v>0</v>
      </c>
      <c r="M2896" s="3" t="s">
        <v>26</v>
      </c>
      <c r="N2896" s="3" t="s">
        <v>24</v>
      </c>
      <c r="O2896" s="4">
        <v>1</v>
      </c>
      <c r="P2896" s="4">
        <v>10</v>
      </c>
      <c r="Q2896" s="4">
        <v>1</v>
      </c>
    </row>
    <row r="2897" spans="1:17" x14ac:dyDescent="0.25">
      <c r="A2897" s="3" t="s">
        <v>18</v>
      </c>
      <c r="B2897" s="3">
        <v>18112405</v>
      </c>
      <c r="C2897" s="3" t="s">
        <v>2946</v>
      </c>
      <c r="D2897" s="3" t="s">
        <v>20</v>
      </c>
      <c r="E2897" s="3" t="s">
        <v>21</v>
      </c>
      <c r="F2897" s="3" t="s">
        <v>21</v>
      </c>
      <c r="G2897" s="3" t="s">
        <v>487</v>
      </c>
      <c r="H2897" s="3" t="s">
        <v>488</v>
      </c>
      <c r="I2897" s="3" t="s">
        <v>24</v>
      </c>
      <c r="J2897" s="3" t="s">
        <v>24</v>
      </c>
      <c r="K2897" s="3" t="s">
        <v>25</v>
      </c>
      <c r="L2897" s="4">
        <v>0</v>
      </c>
      <c r="M2897" s="3" t="s">
        <v>26</v>
      </c>
      <c r="N2897" s="3" t="s">
        <v>24</v>
      </c>
      <c r="O2897" s="4">
        <v>1</v>
      </c>
      <c r="P2897" s="4">
        <v>1</v>
      </c>
      <c r="Q2897" s="4">
        <v>1</v>
      </c>
    </row>
    <row r="2898" spans="1:17" x14ac:dyDescent="0.25">
      <c r="A2898" s="3" t="s">
        <v>18</v>
      </c>
      <c r="B2898" s="3">
        <v>18121613</v>
      </c>
      <c r="C2898" s="3" t="s">
        <v>2947</v>
      </c>
      <c r="D2898" s="3" t="s">
        <v>20</v>
      </c>
      <c r="E2898" s="3" t="s">
        <v>21</v>
      </c>
      <c r="F2898" s="3" t="s">
        <v>21</v>
      </c>
      <c r="G2898" s="3" t="s">
        <v>477</v>
      </c>
      <c r="H2898" s="3" t="s">
        <v>478</v>
      </c>
      <c r="I2898" s="3" t="s">
        <v>24</v>
      </c>
      <c r="J2898" s="3" t="s">
        <v>24</v>
      </c>
      <c r="K2898" s="3" t="s">
        <v>25</v>
      </c>
      <c r="L2898" s="4">
        <v>0</v>
      </c>
      <c r="M2898" s="3" t="s">
        <v>26</v>
      </c>
      <c r="N2898" s="3" t="s">
        <v>24</v>
      </c>
      <c r="O2898" s="4">
        <v>1</v>
      </c>
      <c r="P2898" s="4">
        <v>1</v>
      </c>
      <c r="Q2898" s="4">
        <v>1</v>
      </c>
    </row>
    <row r="2899" spans="1:17" x14ac:dyDescent="0.25">
      <c r="A2899" s="3" t="s">
        <v>18</v>
      </c>
      <c r="B2899" s="3">
        <v>18126703</v>
      </c>
      <c r="C2899" s="3" t="s">
        <v>2948</v>
      </c>
      <c r="D2899" s="3" t="s">
        <v>20</v>
      </c>
      <c r="E2899" s="3" t="s">
        <v>21</v>
      </c>
      <c r="F2899" s="3" t="s">
        <v>21</v>
      </c>
      <c r="G2899" s="3" t="s">
        <v>30</v>
      </c>
      <c r="H2899" s="3" t="s">
        <v>31</v>
      </c>
      <c r="I2899" s="3" t="s">
        <v>24</v>
      </c>
      <c r="J2899" s="3" t="s">
        <v>24</v>
      </c>
      <c r="K2899" s="3" t="s">
        <v>25</v>
      </c>
      <c r="L2899" s="4">
        <v>0</v>
      </c>
      <c r="M2899" s="3" t="s">
        <v>26</v>
      </c>
      <c r="N2899" s="3" t="s">
        <v>24</v>
      </c>
      <c r="O2899" s="4">
        <v>1</v>
      </c>
      <c r="P2899" s="4">
        <v>9</v>
      </c>
      <c r="Q2899" s="4">
        <v>1</v>
      </c>
    </row>
    <row r="2900" spans="1:17" x14ac:dyDescent="0.25">
      <c r="A2900" s="3" t="s">
        <v>18</v>
      </c>
      <c r="B2900" s="3">
        <v>18143964</v>
      </c>
      <c r="C2900" s="3" t="s">
        <v>2949</v>
      </c>
      <c r="D2900" s="3" t="s">
        <v>1360</v>
      </c>
      <c r="E2900" s="3" t="s">
        <v>21</v>
      </c>
      <c r="F2900" s="3" t="s">
        <v>21</v>
      </c>
      <c r="G2900" s="3" t="s">
        <v>477</v>
      </c>
      <c r="H2900" s="3" t="s">
        <v>478</v>
      </c>
      <c r="I2900" s="3" t="s">
        <v>24</v>
      </c>
      <c r="J2900" s="3" t="s">
        <v>24</v>
      </c>
      <c r="K2900" s="3" t="s">
        <v>25</v>
      </c>
      <c r="L2900" s="4">
        <v>0</v>
      </c>
      <c r="M2900" s="3" t="s">
        <v>26</v>
      </c>
      <c r="N2900" s="3" t="s">
        <v>24</v>
      </c>
      <c r="O2900" s="4">
        <v>1</v>
      </c>
      <c r="P2900" s="4">
        <v>1</v>
      </c>
      <c r="Q2900" s="4">
        <v>1</v>
      </c>
    </row>
    <row r="2901" spans="1:17" x14ac:dyDescent="0.25">
      <c r="A2901" s="3" t="s">
        <v>18</v>
      </c>
      <c r="B2901" s="3">
        <v>18154120</v>
      </c>
      <c r="C2901" s="3" t="s">
        <v>2950</v>
      </c>
      <c r="D2901" s="3" t="s">
        <v>20</v>
      </c>
      <c r="E2901" s="3" t="s">
        <v>21</v>
      </c>
      <c r="F2901" s="3" t="s">
        <v>21</v>
      </c>
      <c r="G2901" s="3" t="s">
        <v>30</v>
      </c>
      <c r="H2901" s="3" t="s">
        <v>31</v>
      </c>
      <c r="I2901" s="3" t="s">
        <v>24</v>
      </c>
      <c r="J2901" s="3" t="s">
        <v>24</v>
      </c>
      <c r="K2901" s="3" t="s">
        <v>25</v>
      </c>
      <c r="L2901" s="4">
        <v>0</v>
      </c>
      <c r="M2901" s="3" t="s">
        <v>26</v>
      </c>
      <c r="N2901" s="3" t="s">
        <v>24</v>
      </c>
      <c r="O2901" s="4">
        <v>1</v>
      </c>
      <c r="P2901" s="4">
        <v>8</v>
      </c>
      <c r="Q2901" s="4">
        <v>1</v>
      </c>
    </row>
    <row r="2902" spans="1:17" x14ac:dyDescent="0.25">
      <c r="A2902" s="3" t="s">
        <v>18</v>
      </c>
      <c r="B2902" s="3">
        <v>18154122</v>
      </c>
      <c r="C2902" s="3" t="s">
        <v>2951</v>
      </c>
      <c r="D2902" s="3" t="s">
        <v>20</v>
      </c>
      <c r="E2902" s="3" t="s">
        <v>21</v>
      </c>
      <c r="F2902" s="3" t="s">
        <v>21</v>
      </c>
      <c r="G2902" s="3" t="s">
        <v>22</v>
      </c>
      <c r="H2902" s="3" t="s">
        <v>23</v>
      </c>
      <c r="I2902" s="3" t="s">
        <v>24</v>
      </c>
      <c r="J2902" s="3" t="s">
        <v>24</v>
      </c>
      <c r="K2902" s="3" t="s">
        <v>25</v>
      </c>
      <c r="L2902" s="4">
        <v>0</v>
      </c>
      <c r="M2902" s="3" t="s">
        <v>26</v>
      </c>
      <c r="N2902" s="3" t="s">
        <v>24</v>
      </c>
      <c r="O2902" s="4">
        <v>1</v>
      </c>
      <c r="P2902" s="4">
        <v>4</v>
      </c>
      <c r="Q2902" s="4">
        <v>1</v>
      </c>
    </row>
    <row r="2903" spans="1:17" x14ac:dyDescent="0.25">
      <c r="A2903" s="3" t="s">
        <v>18</v>
      </c>
      <c r="B2903" s="3">
        <v>18169203</v>
      </c>
      <c r="C2903" s="3" t="s">
        <v>2952</v>
      </c>
      <c r="D2903" s="3" t="s">
        <v>20</v>
      </c>
      <c r="E2903" s="3" t="s">
        <v>21</v>
      </c>
      <c r="F2903" s="3" t="s">
        <v>21</v>
      </c>
      <c r="G2903" s="3" t="s">
        <v>233</v>
      </c>
      <c r="H2903" s="3" t="s">
        <v>234</v>
      </c>
      <c r="I2903" s="3" t="s">
        <v>24</v>
      </c>
      <c r="J2903" s="3" t="s">
        <v>24</v>
      </c>
      <c r="K2903" s="3" t="s">
        <v>25</v>
      </c>
      <c r="L2903" s="4">
        <v>0</v>
      </c>
      <c r="M2903" s="3" t="s">
        <v>26</v>
      </c>
      <c r="N2903" s="3" t="s">
        <v>24</v>
      </c>
      <c r="O2903" s="4">
        <v>1</v>
      </c>
      <c r="P2903" s="4">
        <v>4</v>
      </c>
      <c r="Q2903" s="4">
        <v>1</v>
      </c>
    </row>
    <row r="2904" spans="1:17" x14ac:dyDescent="0.25">
      <c r="A2904" s="3" t="s">
        <v>18</v>
      </c>
      <c r="B2904" s="3">
        <v>18169204</v>
      </c>
      <c r="C2904" s="3" t="s">
        <v>2953</v>
      </c>
      <c r="D2904" s="3" t="s">
        <v>20</v>
      </c>
      <c r="E2904" s="3" t="s">
        <v>21</v>
      </c>
      <c r="F2904" s="3" t="s">
        <v>21</v>
      </c>
      <c r="G2904" s="3" t="s">
        <v>233</v>
      </c>
      <c r="H2904" s="3" t="s">
        <v>234</v>
      </c>
      <c r="I2904" s="3" t="s">
        <v>24</v>
      </c>
      <c r="J2904" s="3" t="s">
        <v>24</v>
      </c>
      <c r="K2904" s="3" t="s">
        <v>25</v>
      </c>
      <c r="L2904" s="4">
        <v>0</v>
      </c>
      <c r="M2904" s="3" t="s">
        <v>26</v>
      </c>
      <c r="N2904" s="3" t="s">
        <v>24</v>
      </c>
      <c r="O2904" s="4">
        <v>1</v>
      </c>
      <c r="P2904" s="4">
        <v>4</v>
      </c>
      <c r="Q2904" s="4">
        <v>1</v>
      </c>
    </row>
    <row r="2905" spans="1:17" x14ac:dyDescent="0.25">
      <c r="A2905" s="3" t="s">
        <v>18</v>
      </c>
      <c r="B2905" s="3">
        <v>18169205</v>
      </c>
      <c r="C2905" s="3" t="s">
        <v>2954</v>
      </c>
      <c r="D2905" s="3" t="s">
        <v>20</v>
      </c>
      <c r="E2905" s="3" t="s">
        <v>21</v>
      </c>
      <c r="F2905" s="3" t="s">
        <v>21</v>
      </c>
      <c r="G2905" s="3" t="s">
        <v>233</v>
      </c>
      <c r="H2905" s="3" t="s">
        <v>234</v>
      </c>
      <c r="I2905" s="3" t="s">
        <v>24</v>
      </c>
      <c r="J2905" s="3" t="s">
        <v>24</v>
      </c>
      <c r="K2905" s="3" t="s">
        <v>25</v>
      </c>
      <c r="L2905" s="4">
        <v>0</v>
      </c>
      <c r="M2905" s="3" t="s">
        <v>26</v>
      </c>
      <c r="N2905" s="3" t="s">
        <v>24</v>
      </c>
      <c r="O2905" s="4">
        <v>1</v>
      </c>
      <c r="P2905" s="4">
        <v>4</v>
      </c>
      <c r="Q2905" s="4">
        <v>1</v>
      </c>
    </row>
    <row r="2906" spans="1:17" x14ac:dyDescent="0.25">
      <c r="A2906" s="3" t="s">
        <v>18</v>
      </c>
      <c r="B2906" s="3">
        <v>18169206</v>
      </c>
      <c r="C2906" s="3" t="s">
        <v>2955</v>
      </c>
      <c r="D2906" s="3" t="s">
        <v>20</v>
      </c>
      <c r="E2906" s="3" t="s">
        <v>21</v>
      </c>
      <c r="F2906" s="3" t="s">
        <v>21</v>
      </c>
      <c r="G2906" s="3" t="s">
        <v>233</v>
      </c>
      <c r="H2906" s="3" t="s">
        <v>234</v>
      </c>
      <c r="I2906" s="3" t="s">
        <v>24</v>
      </c>
      <c r="J2906" s="3" t="s">
        <v>24</v>
      </c>
      <c r="K2906" s="3" t="s">
        <v>25</v>
      </c>
      <c r="L2906" s="4">
        <v>0</v>
      </c>
      <c r="M2906" s="3" t="s">
        <v>26</v>
      </c>
      <c r="N2906" s="3" t="s">
        <v>24</v>
      </c>
      <c r="O2906" s="4">
        <v>1</v>
      </c>
      <c r="P2906" s="4">
        <v>3</v>
      </c>
      <c r="Q2906" s="4">
        <v>1</v>
      </c>
    </row>
    <row r="2907" spans="1:17" x14ac:dyDescent="0.25">
      <c r="A2907" s="3" t="s">
        <v>18</v>
      </c>
      <c r="B2907" s="3">
        <v>18169207</v>
      </c>
      <c r="C2907" s="3" t="s">
        <v>2956</v>
      </c>
      <c r="D2907" s="3" t="s">
        <v>20</v>
      </c>
      <c r="E2907" s="3" t="s">
        <v>21</v>
      </c>
      <c r="F2907" s="3" t="s">
        <v>21</v>
      </c>
      <c r="G2907" s="3" t="s">
        <v>233</v>
      </c>
      <c r="H2907" s="3" t="s">
        <v>234</v>
      </c>
      <c r="I2907" s="3" t="s">
        <v>24</v>
      </c>
      <c r="J2907" s="3" t="s">
        <v>24</v>
      </c>
      <c r="K2907" s="3" t="s">
        <v>25</v>
      </c>
      <c r="L2907" s="4">
        <v>0</v>
      </c>
      <c r="M2907" s="3" t="s">
        <v>26</v>
      </c>
      <c r="N2907" s="3" t="s">
        <v>24</v>
      </c>
      <c r="O2907" s="4">
        <v>1</v>
      </c>
      <c r="P2907" s="4">
        <v>3</v>
      </c>
      <c r="Q2907" s="4">
        <v>1</v>
      </c>
    </row>
    <row r="2908" spans="1:17" x14ac:dyDescent="0.25">
      <c r="A2908" s="3" t="s">
        <v>18</v>
      </c>
      <c r="B2908" s="3">
        <v>18169528</v>
      </c>
      <c r="C2908" s="3" t="s">
        <v>2957</v>
      </c>
      <c r="D2908" s="3" t="s">
        <v>20</v>
      </c>
      <c r="E2908" s="3" t="s">
        <v>21</v>
      </c>
      <c r="F2908" s="3" t="s">
        <v>21</v>
      </c>
      <c r="G2908" s="3" t="s">
        <v>233</v>
      </c>
      <c r="H2908" s="3" t="s">
        <v>234</v>
      </c>
      <c r="I2908" s="3" t="s">
        <v>24</v>
      </c>
      <c r="J2908" s="3" t="s">
        <v>24</v>
      </c>
      <c r="K2908" s="3" t="s">
        <v>25</v>
      </c>
      <c r="L2908" s="4">
        <v>0</v>
      </c>
      <c r="M2908" s="3" t="s">
        <v>26</v>
      </c>
      <c r="N2908" s="3" t="s">
        <v>24</v>
      </c>
      <c r="O2908" s="4">
        <v>1</v>
      </c>
      <c r="P2908" s="4">
        <v>3</v>
      </c>
      <c r="Q2908" s="4">
        <v>1</v>
      </c>
    </row>
    <row r="2909" spans="1:17" x14ac:dyDescent="0.25">
      <c r="A2909" s="3" t="s">
        <v>18</v>
      </c>
      <c r="B2909" s="3">
        <v>18179801</v>
      </c>
      <c r="C2909" s="3" t="s">
        <v>2958</v>
      </c>
      <c r="D2909" s="3" t="s">
        <v>20</v>
      </c>
      <c r="E2909" s="3" t="s">
        <v>21</v>
      </c>
      <c r="F2909" s="3" t="s">
        <v>21</v>
      </c>
      <c r="G2909" s="3" t="s">
        <v>233</v>
      </c>
      <c r="H2909" s="3" t="s">
        <v>234</v>
      </c>
      <c r="I2909" s="3" t="s">
        <v>24</v>
      </c>
      <c r="J2909" s="3" t="s">
        <v>24</v>
      </c>
      <c r="K2909" s="3" t="s">
        <v>25</v>
      </c>
      <c r="L2909" s="4">
        <v>0</v>
      </c>
      <c r="M2909" s="3" t="s">
        <v>26</v>
      </c>
      <c r="N2909" s="3" t="s">
        <v>24</v>
      </c>
      <c r="O2909" s="4">
        <v>1</v>
      </c>
      <c r="P2909" s="4">
        <v>2</v>
      </c>
      <c r="Q2909" s="4">
        <v>1</v>
      </c>
    </row>
    <row r="2910" spans="1:17" x14ac:dyDescent="0.25">
      <c r="A2910" s="3" t="s">
        <v>18</v>
      </c>
      <c r="B2910" s="3">
        <v>18189968</v>
      </c>
      <c r="C2910" s="3" t="s">
        <v>2959</v>
      </c>
      <c r="D2910" s="3" t="s">
        <v>20</v>
      </c>
      <c r="E2910" s="3" t="s">
        <v>21</v>
      </c>
      <c r="F2910" s="3" t="s">
        <v>21</v>
      </c>
      <c r="G2910" s="3" t="s">
        <v>36</v>
      </c>
      <c r="H2910" s="3" t="s">
        <v>37</v>
      </c>
      <c r="I2910" s="3" t="s">
        <v>24</v>
      </c>
      <c r="J2910" s="3" t="s">
        <v>24</v>
      </c>
      <c r="K2910" s="3" t="s">
        <v>25</v>
      </c>
      <c r="L2910" s="4">
        <v>0</v>
      </c>
      <c r="M2910" s="3" t="s">
        <v>26</v>
      </c>
      <c r="N2910" s="3" t="s">
        <v>24</v>
      </c>
      <c r="O2910" s="4">
        <v>1</v>
      </c>
      <c r="P2910" s="4">
        <v>10</v>
      </c>
      <c r="Q2910" s="4">
        <v>1</v>
      </c>
    </row>
    <row r="2911" spans="1:17" x14ac:dyDescent="0.25">
      <c r="A2911" s="3" t="s">
        <v>18</v>
      </c>
      <c r="B2911" s="3">
        <v>18214320</v>
      </c>
      <c r="C2911" s="3" t="s">
        <v>2960</v>
      </c>
      <c r="D2911" s="3" t="s">
        <v>1360</v>
      </c>
      <c r="E2911" s="3" t="s">
        <v>21</v>
      </c>
      <c r="F2911" s="3" t="s">
        <v>21</v>
      </c>
      <c r="G2911" s="3" t="s">
        <v>233</v>
      </c>
      <c r="H2911" s="3" t="s">
        <v>234</v>
      </c>
      <c r="I2911" s="3" t="s">
        <v>24</v>
      </c>
      <c r="J2911" s="3" t="s">
        <v>24</v>
      </c>
      <c r="K2911" s="3" t="s">
        <v>25</v>
      </c>
      <c r="L2911" s="4">
        <v>0</v>
      </c>
      <c r="M2911" s="3" t="s">
        <v>26</v>
      </c>
      <c r="N2911" s="3" t="s">
        <v>24</v>
      </c>
      <c r="O2911" s="4">
        <v>1</v>
      </c>
      <c r="P2911" s="4">
        <v>3</v>
      </c>
      <c r="Q2911" s="4">
        <v>1</v>
      </c>
    </row>
    <row r="2912" spans="1:17" x14ac:dyDescent="0.25">
      <c r="A2912" s="3" t="s">
        <v>18</v>
      </c>
      <c r="B2912" s="3">
        <v>18236640</v>
      </c>
      <c r="C2912" s="3" t="s">
        <v>2961</v>
      </c>
      <c r="D2912" s="3" t="s">
        <v>1360</v>
      </c>
      <c r="E2912" s="3" t="s">
        <v>21</v>
      </c>
      <c r="F2912" s="3" t="s">
        <v>21</v>
      </c>
      <c r="G2912" s="3" t="s">
        <v>233</v>
      </c>
      <c r="H2912" s="3" t="s">
        <v>234</v>
      </c>
      <c r="I2912" s="3" t="s">
        <v>24</v>
      </c>
      <c r="J2912" s="3" t="s">
        <v>24</v>
      </c>
      <c r="K2912" s="3" t="s">
        <v>25</v>
      </c>
      <c r="L2912" s="4">
        <v>0</v>
      </c>
      <c r="M2912" s="3" t="s">
        <v>26</v>
      </c>
      <c r="N2912" s="3" t="s">
        <v>24</v>
      </c>
      <c r="O2912" s="4">
        <v>1</v>
      </c>
      <c r="P2912" s="4">
        <v>2</v>
      </c>
      <c r="Q2912" s="4">
        <v>1</v>
      </c>
    </row>
    <row r="2913" spans="1:17" x14ac:dyDescent="0.25">
      <c r="A2913" s="3" t="s">
        <v>18</v>
      </c>
      <c r="B2913" s="3">
        <v>18289595</v>
      </c>
      <c r="C2913" s="3" t="s">
        <v>2962</v>
      </c>
      <c r="D2913" s="3" t="s">
        <v>20</v>
      </c>
      <c r="E2913" s="3" t="s">
        <v>21</v>
      </c>
      <c r="F2913" s="3" t="s">
        <v>21</v>
      </c>
      <c r="G2913" s="3" t="s">
        <v>2755</v>
      </c>
      <c r="H2913" s="3" t="s">
        <v>2756</v>
      </c>
      <c r="I2913" s="3" t="s">
        <v>24</v>
      </c>
      <c r="J2913" s="3" t="s">
        <v>24</v>
      </c>
      <c r="K2913" s="3" t="s">
        <v>25</v>
      </c>
      <c r="L2913" s="4">
        <v>0</v>
      </c>
      <c r="M2913" s="3" t="s">
        <v>26</v>
      </c>
      <c r="N2913" s="3" t="s">
        <v>24</v>
      </c>
      <c r="O2913" s="4">
        <v>1</v>
      </c>
      <c r="P2913" s="4">
        <v>3</v>
      </c>
      <c r="Q2913" s="4">
        <v>1</v>
      </c>
    </row>
    <row r="2914" spans="1:17" x14ac:dyDescent="0.25">
      <c r="A2914" s="3" t="s">
        <v>18</v>
      </c>
      <c r="B2914" s="3">
        <v>18289599</v>
      </c>
      <c r="C2914" s="3" t="s">
        <v>2963</v>
      </c>
      <c r="D2914" s="3" t="s">
        <v>20</v>
      </c>
      <c r="E2914" s="3" t="s">
        <v>21</v>
      </c>
      <c r="F2914" s="3" t="s">
        <v>21</v>
      </c>
      <c r="G2914" s="3" t="s">
        <v>2755</v>
      </c>
      <c r="H2914" s="3" t="s">
        <v>2756</v>
      </c>
      <c r="I2914" s="3" t="s">
        <v>24</v>
      </c>
      <c r="J2914" s="3" t="s">
        <v>24</v>
      </c>
      <c r="K2914" s="3" t="s">
        <v>25</v>
      </c>
      <c r="L2914" s="4">
        <v>0</v>
      </c>
      <c r="M2914" s="3" t="s">
        <v>26</v>
      </c>
      <c r="N2914" s="3" t="s">
        <v>24</v>
      </c>
      <c r="O2914" s="4">
        <v>1</v>
      </c>
      <c r="P2914" s="4">
        <v>3</v>
      </c>
      <c r="Q2914" s="4">
        <v>1</v>
      </c>
    </row>
    <row r="2915" spans="1:17" x14ac:dyDescent="0.25">
      <c r="A2915" s="3" t="s">
        <v>18</v>
      </c>
      <c r="B2915" s="3">
        <v>18289648</v>
      </c>
      <c r="C2915" s="3" t="s">
        <v>2964</v>
      </c>
      <c r="D2915" s="3" t="s">
        <v>20</v>
      </c>
      <c r="E2915" s="3" t="s">
        <v>21</v>
      </c>
      <c r="F2915" s="3" t="s">
        <v>21</v>
      </c>
      <c r="G2915" s="3" t="s">
        <v>36</v>
      </c>
      <c r="H2915" s="3" t="s">
        <v>37</v>
      </c>
      <c r="I2915" s="3" t="s">
        <v>24</v>
      </c>
      <c r="J2915" s="3" t="s">
        <v>24</v>
      </c>
      <c r="K2915" s="3" t="s">
        <v>25</v>
      </c>
      <c r="L2915" s="4">
        <v>0</v>
      </c>
      <c r="M2915" s="3" t="s">
        <v>26</v>
      </c>
      <c r="N2915" s="3" t="s">
        <v>24</v>
      </c>
      <c r="O2915" s="4">
        <v>1</v>
      </c>
      <c r="P2915" s="4">
        <v>8</v>
      </c>
      <c r="Q2915" s="4">
        <v>1</v>
      </c>
    </row>
    <row r="2916" spans="1:17" x14ac:dyDescent="0.25">
      <c r="A2916" s="3" t="s">
        <v>18</v>
      </c>
      <c r="B2916" s="3">
        <v>18289649</v>
      </c>
      <c r="C2916" s="3" t="s">
        <v>2965</v>
      </c>
      <c r="D2916" s="3" t="s">
        <v>20</v>
      </c>
      <c r="E2916" s="3" t="s">
        <v>21</v>
      </c>
      <c r="F2916" s="3" t="s">
        <v>21</v>
      </c>
      <c r="G2916" s="3" t="s">
        <v>36</v>
      </c>
      <c r="H2916" s="3" t="s">
        <v>37</v>
      </c>
      <c r="I2916" s="3" t="s">
        <v>24</v>
      </c>
      <c r="J2916" s="3" t="s">
        <v>24</v>
      </c>
      <c r="K2916" s="3" t="s">
        <v>25</v>
      </c>
      <c r="L2916" s="4">
        <v>0</v>
      </c>
      <c r="M2916" s="3" t="s">
        <v>26</v>
      </c>
      <c r="N2916" s="3" t="s">
        <v>24</v>
      </c>
      <c r="O2916" s="4">
        <v>1</v>
      </c>
      <c r="P2916" s="4">
        <v>8</v>
      </c>
      <c r="Q2916" s="4">
        <v>1</v>
      </c>
    </row>
    <row r="2917" spans="1:17" x14ac:dyDescent="0.25">
      <c r="A2917" s="3" t="s">
        <v>18</v>
      </c>
      <c r="B2917" s="3">
        <v>18289650</v>
      </c>
      <c r="C2917" s="3" t="s">
        <v>2966</v>
      </c>
      <c r="D2917" s="3" t="s">
        <v>20</v>
      </c>
      <c r="E2917" s="3" t="s">
        <v>21</v>
      </c>
      <c r="F2917" s="3" t="s">
        <v>21</v>
      </c>
      <c r="G2917" s="3" t="s">
        <v>36</v>
      </c>
      <c r="H2917" s="3" t="s">
        <v>37</v>
      </c>
      <c r="I2917" s="3" t="s">
        <v>24</v>
      </c>
      <c r="J2917" s="3" t="s">
        <v>24</v>
      </c>
      <c r="K2917" s="3" t="s">
        <v>25</v>
      </c>
      <c r="L2917" s="4">
        <v>0</v>
      </c>
      <c r="M2917" s="3" t="s">
        <v>26</v>
      </c>
      <c r="N2917" s="3" t="s">
        <v>24</v>
      </c>
      <c r="O2917" s="4">
        <v>1</v>
      </c>
      <c r="P2917" s="4">
        <v>8</v>
      </c>
      <c r="Q2917" s="4">
        <v>1</v>
      </c>
    </row>
    <row r="2918" spans="1:17" x14ac:dyDescent="0.25">
      <c r="A2918" s="3" t="s">
        <v>18</v>
      </c>
      <c r="B2918" s="3">
        <v>18289651</v>
      </c>
      <c r="C2918" s="3" t="s">
        <v>2967</v>
      </c>
      <c r="D2918" s="3" t="s">
        <v>20</v>
      </c>
      <c r="E2918" s="3" t="s">
        <v>21</v>
      </c>
      <c r="F2918" s="3" t="s">
        <v>21</v>
      </c>
      <c r="G2918" s="3" t="s">
        <v>36</v>
      </c>
      <c r="H2918" s="3" t="s">
        <v>37</v>
      </c>
      <c r="I2918" s="3" t="s">
        <v>24</v>
      </c>
      <c r="J2918" s="3" t="s">
        <v>24</v>
      </c>
      <c r="K2918" s="3" t="s">
        <v>25</v>
      </c>
      <c r="L2918" s="4">
        <v>0</v>
      </c>
      <c r="M2918" s="3" t="s">
        <v>26</v>
      </c>
      <c r="N2918" s="3" t="s">
        <v>24</v>
      </c>
      <c r="O2918" s="4">
        <v>1</v>
      </c>
      <c r="P2918" s="4">
        <v>8</v>
      </c>
      <c r="Q2918" s="4">
        <v>1</v>
      </c>
    </row>
    <row r="2919" spans="1:17" x14ac:dyDescent="0.25">
      <c r="A2919" s="3" t="s">
        <v>18</v>
      </c>
      <c r="B2919" s="3">
        <v>18289652</v>
      </c>
      <c r="C2919" s="3" t="s">
        <v>2968</v>
      </c>
      <c r="D2919" s="3" t="s">
        <v>20</v>
      </c>
      <c r="E2919" s="3" t="s">
        <v>21</v>
      </c>
      <c r="F2919" s="3" t="s">
        <v>21</v>
      </c>
      <c r="G2919" s="3" t="s">
        <v>36</v>
      </c>
      <c r="H2919" s="3" t="s">
        <v>37</v>
      </c>
      <c r="I2919" s="3" t="s">
        <v>24</v>
      </c>
      <c r="J2919" s="3" t="s">
        <v>24</v>
      </c>
      <c r="K2919" s="3" t="s">
        <v>25</v>
      </c>
      <c r="L2919" s="4">
        <v>0</v>
      </c>
      <c r="M2919" s="3" t="s">
        <v>26</v>
      </c>
      <c r="N2919" s="3" t="s">
        <v>24</v>
      </c>
      <c r="O2919" s="4">
        <v>1</v>
      </c>
      <c r="P2919" s="4">
        <v>8</v>
      </c>
      <c r="Q2919" s="4">
        <v>1</v>
      </c>
    </row>
    <row r="2920" spans="1:17" x14ac:dyDescent="0.25">
      <c r="A2920" s="3" t="s">
        <v>18</v>
      </c>
      <c r="B2920" s="3">
        <v>18289653</v>
      </c>
      <c r="C2920" s="3" t="s">
        <v>2969</v>
      </c>
      <c r="D2920" s="3" t="s">
        <v>20</v>
      </c>
      <c r="E2920" s="3" t="s">
        <v>21</v>
      </c>
      <c r="F2920" s="3" t="s">
        <v>21</v>
      </c>
      <c r="G2920" s="3" t="s">
        <v>36</v>
      </c>
      <c r="H2920" s="3" t="s">
        <v>37</v>
      </c>
      <c r="I2920" s="3" t="s">
        <v>24</v>
      </c>
      <c r="J2920" s="3" t="s">
        <v>24</v>
      </c>
      <c r="K2920" s="3" t="s">
        <v>25</v>
      </c>
      <c r="L2920" s="4">
        <v>0</v>
      </c>
      <c r="M2920" s="3" t="s">
        <v>26</v>
      </c>
      <c r="N2920" s="3" t="s">
        <v>24</v>
      </c>
      <c r="O2920" s="4">
        <v>1</v>
      </c>
      <c r="P2920" s="4">
        <v>8</v>
      </c>
      <c r="Q2920" s="4">
        <v>1</v>
      </c>
    </row>
    <row r="2921" spans="1:17" x14ac:dyDescent="0.25">
      <c r="A2921" s="3" t="s">
        <v>18</v>
      </c>
      <c r="B2921" s="3">
        <v>18289654</v>
      </c>
      <c r="C2921" s="3" t="s">
        <v>2970</v>
      </c>
      <c r="D2921" s="3" t="s">
        <v>20</v>
      </c>
      <c r="E2921" s="3" t="s">
        <v>21</v>
      </c>
      <c r="F2921" s="3" t="s">
        <v>21</v>
      </c>
      <c r="G2921" s="3" t="s">
        <v>36</v>
      </c>
      <c r="H2921" s="3" t="s">
        <v>37</v>
      </c>
      <c r="I2921" s="3" t="s">
        <v>24</v>
      </c>
      <c r="J2921" s="3" t="s">
        <v>24</v>
      </c>
      <c r="K2921" s="3" t="s">
        <v>25</v>
      </c>
      <c r="L2921" s="4">
        <v>0</v>
      </c>
      <c r="M2921" s="3" t="s">
        <v>26</v>
      </c>
      <c r="N2921" s="3" t="s">
        <v>24</v>
      </c>
      <c r="O2921" s="4">
        <v>1</v>
      </c>
      <c r="P2921" s="4">
        <v>8</v>
      </c>
      <c r="Q2921" s="4">
        <v>1</v>
      </c>
    </row>
    <row r="2922" spans="1:17" x14ac:dyDescent="0.25">
      <c r="A2922" s="3" t="s">
        <v>18</v>
      </c>
      <c r="B2922" s="3">
        <v>18289655</v>
      </c>
      <c r="C2922" s="3" t="s">
        <v>2971</v>
      </c>
      <c r="D2922" s="3" t="s">
        <v>20</v>
      </c>
      <c r="E2922" s="3" t="s">
        <v>21</v>
      </c>
      <c r="F2922" s="3" t="s">
        <v>21</v>
      </c>
      <c r="G2922" s="3" t="s">
        <v>36</v>
      </c>
      <c r="H2922" s="3" t="s">
        <v>37</v>
      </c>
      <c r="I2922" s="3" t="s">
        <v>24</v>
      </c>
      <c r="J2922" s="3" t="s">
        <v>24</v>
      </c>
      <c r="K2922" s="3" t="s">
        <v>25</v>
      </c>
      <c r="L2922" s="4">
        <v>0</v>
      </c>
      <c r="M2922" s="3" t="s">
        <v>26</v>
      </c>
      <c r="N2922" s="3" t="s">
        <v>24</v>
      </c>
      <c r="O2922" s="4">
        <v>1</v>
      </c>
      <c r="P2922" s="4">
        <v>8</v>
      </c>
      <c r="Q2922" s="4">
        <v>1</v>
      </c>
    </row>
    <row r="2923" spans="1:17" x14ac:dyDescent="0.25">
      <c r="A2923" s="3" t="s">
        <v>18</v>
      </c>
      <c r="B2923" s="3">
        <v>18289656</v>
      </c>
      <c r="C2923" s="3" t="s">
        <v>2972</v>
      </c>
      <c r="D2923" s="3" t="s">
        <v>20</v>
      </c>
      <c r="E2923" s="3" t="s">
        <v>21</v>
      </c>
      <c r="F2923" s="3" t="s">
        <v>21</v>
      </c>
      <c r="G2923" s="3" t="s">
        <v>36</v>
      </c>
      <c r="H2923" s="3" t="s">
        <v>37</v>
      </c>
      <c r="I2923" s="3" t="s">
        <v>24</v>
      </c>
      <c r="J2923" s="3" t="s">
        <v>24</v>
      </c>
      <c r="K2923" s="3" t="s">
        <v>25</v>
      </c>
      <c r="L2923" s="4">
        <v>0</v>
      </c>
      <c r="M2923" s="3" t="s">
        <v>26</v>
      </c>
      <c r="N2923" s="3" t="s">
        <v>24</v>
      </c>
      <c r="O2923" s="4">
        <v>1</v>
      </c>
      <c r="P2923" s="4">
        <v>8</v>
      </c>
      <c r="Q2923" s="4">
        <v>1</v>
      </c>
    </row>
    <row r="2924" spans="1:17" x14ac:dyDescent="0.25">
      <c r="A2924" s="3" t="s">
        <v>18</v>
      </c>
      <c r="B2924" s="3">
        <v>18289657</v>
      </c>
      <c r="C2924" s="3" t="s">
        <v>2973</v>
      </c>
      <c r="D2924" s="3" t="s">
        <v>20</v>
      </c>
      <c r="E2924" s="3" t="s">
        <v>21</v>
      </c>
      <c r="F2924" s="3" t="s">
        <v>21</v>
      </c>
      <c r="G2924" s="3" t="s">
        <v>36</v>
      </c>
      <c r="H2924" s="3" t="s">
        <v>37</v>
      </c>
      <c r="I2924" s="3" t="s">
        <v>24</v>
      </c>
      <c r="J2924" s="3" t="s">
        <v>24</v>
      </c>
      <c r="K2924" s="3" t="s">
        <v>25</v>
      </c>
      <c r="L2924" s="4">
        <v>0</v>
      </c>
      <c r="M2924" s="3" t="s">
        <v>26</v>
      </c>
      <c r="N2924" s="3" t="s">
        <v>24</v>
      </c>
      <c r="O2924" s="4">
        <v>1</v>
      </c>
      <c r="P2924" s="4">
        <v>8</v>
      </c>
      <c r="Q2924" s="4">
        <v>1</v>
      </c>
    </row>
    <row r="2925" spans="1:17" x14ac:dyDescent="0.25">
      <c r="A2925" s="3" t="s">
        <v>18</v>
      </c>
      <c r="B2925" s="3">
        <v>18289658</v>
      </c>
      <c r="C2925" s="3" t="s">
        <v>2974</v>
      </c>
      <c r="D2925" s="3" t="s">
        <v>20</v>
      </c>
      <c r="E2925" s="3" t="s">
        <v>21</v>
      </c>
      <c r="F2925" s="3" t="s">
        <v>21</v>
      </c>
      <c r="G2925" s="3" t="s">
        <v>36</v>
      </c>
      <c r="H2925" s="3" t="s">
        <v>37</v>
      </c>
      <c r="I2925" s="3" t="s">
        <v>24</v>
      </c>
      <c r="J2925" s="3" t="s">
        <v>24</v>
      </c>
      <c r="K2925" s="3" t="s">
        <v>25</v>
      </c>
      <c r="L2925" s="4">
        <v>0</v>
      </c>
      <c r="M2925" s="3" t="s">
        <v>26</v>
      </c>
      <c r="N2925" s="3" t="s">
        <v>24</v>
      </c>
      <c r="O2925" s="4">
        <v>1</v>
      </c>
      <c r="P2925" s="4">
        <v>8</v>
      </c>
      <c r="Q2925" s="4">
        <v>1</v>
      </c>
    </row>
    <row r="2926" spans="1:17" x14ac:dyDescent="0.25">
      <c r="A2926" s="3" t="s">
        <v>18</v>
      </c>
      <c r="B2926" s="3">
        <v>18289659</v>
      </c>
      <c r="C2926" s="3" t="s">
        <v>2975</v>
      </c>
      <c r="D2926" s="3" t="s">
        <v>20</v>
      </c>
      <c r="E2926" s="3" t="s">
        <v>21</v>
      </c>
      <c r="F2926" s="3" t="s">
        <v>21</v>
      </c>
      <c r="G2926" s="3" t="s">
        <v>36</v>
      </c>
      <c r="H2926" s="3" t="s">
        <v>37</v>
      </c>
      <c r="I2926" s="3" t="s">
        <v>24</v>
      </c>
      <c r="J2926" s="3" t="s">
        <v>24</v>
      </c>
      <c r="K2926" s="3" t="s">
        <v>25</v>
      </c>
      <c r="L2926" s="4">
        <v>0</v>
      </c>
      <c r="M2926" s="3" t="s">
        <v>26</v>
      </c>
      <c r="N2926" s="3" t="s">
        <v>24</v>
      </c>
      <c r="O2926" s="4">
        <v>1</v>
      </c>
      <c r="P2926" s="4">
        <v>8</v>
      </c>
      <c r="Q2926" s="4">
        <v>1</v>
      </c>
    </row>
    <row r="2927" spans="1:17" x14ac:dyDescent="0.25">
      <c r="A2927" s="3" t="s">
        <v>18</v>
      </c>
      <c r="B2927" s="3">
        <v>18289660</v>
      </c>
      <c r="C2927" s="3" t="s">
        <v>2976</v>
      </c>
      <c r="D2927" s="3" t="s">
        <v>20</v>
      </c>
      <c r="E2927" s="3" t="s">
        <v>21</v>
      </c>
      <c r="F2927" s="3" t="s">
        <v>21</v>
      </c>
      <c r="G2927" s="3" t="s">
        <v>233</v>
      </c>
      <c r="H2927" s="3" t="s">
        <v>234</v>
      </c>
      <c r="I2927" s="3" t="s">
        <v>24</v>
      </c>
      <c r="J2927" s="3" t="s">
        <v>24</v>
      </c>
      <c r="K2927" s="3" t="s">
        <v>25</v>
      </c>
      <c r="L2927" s="4">
        <v>0</v>
      </c>
      <c r="M2927" s="3" t="s">
        <v>26</v>
      </c>
      <c r="N2927" s="3" t="s">
        <v>24</v>
      </c>
      <c r="O2927" s="4">
        <v>1</v>
      </c>
      <c r="P2927" s="4">
        <v>3</v>
      </c>
      <c r="Q2927" s="4">
        <v>1</v>
      </c>
    </row>
    <row r="2928" spans="1:17" x14ac:dyDescent="0.25">
      <c r="A2928" s="3" t="s">
        <v>18</v>
      </c>
      <c r="B2928" s="3">
        <v>18289661</v>
      </c>
      <c r="C2928" s="3" t="s">
        <v>2977</v>
      </c>
      <c r="D2928" s="3" t="s">
        <v>20</v>
      </c>
      <c r="E2928" s="3" t="s">
        <v>21</v>
      </c>
      <c r="F2928" s="3" t="s">
        <v>21</v>
      </c>
      <c r="G2928" s="3" t="s">
        <v>233</v>
      </c>
      <c r="H2928" s="3" t="s">
        <v>234</v>
      </c>
      <c r="I2928" s="3" t="s">
        <v>24</v>
      </c>
      <c r="J2928" s="3" t="s">
        <v>24</v>
      </c>
      <c r="K2928" s="3" t="s">
        <v>25</v>
      </c>
      <c r="L2928" s="4">
        <v>0</v>
      </c>
      <c r="M2928" s="3" t="s">
        <v>26</v>
      </c>
      <c r="N2928" s="3" t="s">
        <v>24</v>
      </c>
      <c r="O2928" s="4">
        <v>1</v>
      </c>
      <c r="P2928" s="4">
        <v>3</v>
      </c>
      <c r="Q2928" s="4">
        <v>1</v>
      </c>
    </row>
    <row r="2929" spans="1:17" x14ac:dyDescent="0.25">
      <c r="A2929" s="3" t="s">
        <v>18</v>
      </c>
      <c r="B2929" s="3">
        <v>18289663</v>
      </c>
      <c r="C2929" s="3" t="s">
        <v>2978</v>
      </c>
      <c r="D2929" s="3" t="s">
        <v>20</v>
      </c>
      <c r="E2929" s="3" t="s">
        <v>21</v>
      </c>
      <c r="F2929" s="3" t="s">
        <v>21</v>
      </c>
      <c r="G2929" s="3" t="s">
        <v>233</v>
      </c>
      <c r="H2929" s="3" t="s">
        <v>234</v>
      </c>
      <c r="I2929" s="3" t="s">
        <v>24</v>
      </c>
      <c r="J2929" s="3" t="s">
        <v>24</v>
      </c>
      <c r="K2929" s="3" t="s">
        <v>25</v>
      </c>
      <c r="L2929" s="4">
        <v>0</v>
      </c>
      <c r="M2929" s="3" t="s">
        <v>26</v>
      </c>
      <c r="N2929" s="3" t="s">
        <v>24</v>
      </c>
      <c r="O2929" s="4">
        <v>1</v>
      </c>
      <c r="P2929" s="4">
        <v>3</v>
      </c>
      <c r="Q2929" s="4">
        <v>1</v>
      </c>
    </row>
    <row r="2930" spans="1:17" x14ac:dyDescent="0.25">
      <c r="A2930" s="3" t="s">
        <v>18</v>
      </c>
      <c r="B2930" s="3">
        <v>18289664</v>
      </c>
      <c r="C2930" s="3" t="s">
        <v>2979</v>
      </c>
      <c r="D2930" s="3" t="s">
        <v>20</v>
      </c>
      <c r="E2930" s="3" t="s">
        <v>21</v>
      </c>
      <c r="F2930" s="3" t="s">
        <v>21</v>
      </c>
      <c r="G2930" s="3" t="s">
        <v>233</v>
      </c>
      <c r="H2930" s="3" t="s">
        <v>234</v>
      </c>
      <c r="I2930" s="3" t="s">
        <v>24</v>
      </c>
      <c r="J2930" s="3" t="s">
        <v>24</v>
      </c>
      <c r="K2930" s="3" t="s">
        <v>25</v>
      </c>
      <c r="L2930" s="4">
        <v>0</v>
      </c>
      <c r="M2930" s="3" t="s">
        <v>26</v>
      </c>
      <c r="N2930" s="3" t="s">
        <v>24</v>
      </c>
      <c r="O2930" s="4">
        <v>1</v>
      </c>
      <c r="P2930" s="4">
        <v>3</v>
      </c>
      <c r="Q2930" s="4">
        <v>1</v>
      </c>
    </row>
    <row r="2931" spans="1:17" x14ac:dyDescent="0.25">
      <c r="A2931" s="3" t="s">
        <v>18</v>
      </c>
      <c r="B2931" s="3">
        <v>18289665</v>
      </c>
      <c r="C2931" s="3" t="s">
        <v>2980</v>
      </c>
      <c r="D2931" s="3" t="s">
        <v>20</v>
      </c>
      <c r="E2931" s="3" t="s">
        <v>21</v>
      </c>
      <c r="F2931" s="3" t="s">
        <v>21</v>
      </c>
      <c r="G2931" s="3" t="s">
        <v>233</v>
      </c>
      <c r="H2931" s="3" t="s">
        <v>234</v>
      </c>
      <c r="I2931" s="3" t="s">
        <v>24</v>
      </c>
      <c r="J2931" s="3" t="s">
        <v>24</v>
      </c>
      <c r="K2931" s="3" t="s">
        <v>25</v>
      </c>
      <c r="L2931" s="4">
        <v>0</v>
      </c>
      <c r="M2931" s="3" t="s">
        <v>26</v>
      </c>
      <c r="N2931" s="3" t="s">
        <v>24</v>
      </c>
      <c r="O2931" s="4">
        <v>1</v>
      </c>
      <c r="P2931" s="4">
        <v>3</v>
      </c>
      <c r="Q2931" s="4">
        <v>1</v>
      </c>
    </row>
    <row r="2932" spans="1:17" x14ac:dyDescent="0.25">
      <c r="A2932" s="3" t="s">
        <v>18</v>
      </c>
      <c r="B2932" s="3">
        <v>18289666</v>
      </c>
      <c r="C2932" s="3" t="s">
        <v>2981</v>
      </c>
      <c r="D2932" s="3" t="s">
        <v>20</v>
      </c>
      <c r="E2932" s="3" t="s">
        <v>21</v>
      </c>
      <c r="F2932" s="3" t="s">
        <v>21</v>
      </c>
      <c r="G2932" s="3" t="s">
        <v>233</v>
      </c>
      <c r="H2932" s="3" t="s">
        <v>234</v>
      </c>
      <c r="I2932" s="3" t="s">
        <v>24</v>
      </c>
      <c r="J2932" s="3" t="s">
        <v>24</v>
      </c>
      <c r="K2932" s="3" t="s">
        <v>25</v>
      </c>
      <c r="L2932" s="4">
        <v>0</v>
      </c>
      <c r="M2932" s="3" t="s">
        <v>26</v>
      </c>
      <c r="N2932" s="3" t="s">
        <v>24</v>
      </c>
      <c r="O2932" s="4">
        <v>1</v>
      </c>
      <c r="P2932" s="4">
        <v>3</v>
      </c>
      <c r="Q2932" s="4">
        <v>1</v>
      </c>
    </row>
    <row r="2933" spans="1:17" x14ac:dyDescent="0.25">
      <c r="A2933" s="3" t="s">
        <v>18</v>
      </c>
      <c r="B2933" s="3">
        <v>18289667</v>
      </c>
      <c r="C2933" s="3" t="s">
        <v>2982</v>
      </c>
      <c r="D2933" s="3" t="s">
        <v>20</v>
      </c>
      <c r="E2933" s="3" t="s">
        <v>21</v>
      </c>
      <c r="F2933" s="3" t="s">
        <v>21</v>
      </c>
      <c r="G2933" s="3" t="s">
        <v>233</v>
      </c>
      <c r="H2933" s="3" t="s">
        <v>234</v>
      </c>
      <c r="I2933" s="3" t="s">
        <v>24</v>
      </c>
      <c r="J2933" s="3" t="s">
        <v>24</v>
      </c>
      <c r="K2933" s="3" t="s">
        <v>25</v>
      </c>
      <c r="L2933" s="4">
        <v>0</v>
      </c>
      <c r="M2933" s="3" t="s">
        <v>26</v>
      </c>
      <c r="N2933" s="3" t="s">
        <v>24</v>
      </c>
      <c r="O2933" s="4">
        <v>1</v>
      </c>
      <c r="P2933" s="4">
        <v>3</v>
      </c>
      <c r="Q2933" s="4">
        <v>1</v>
      </c>
    </row>
    <row r="2934" spans="1:17" x14ac:dyDescent="0.25">
      <c r="A2934" s="3" t="s">
        <v>18</v>
      </c>
      <c r="B2934" s="3">
        <v>18289678</v>
      </c>
      <c r="C2934" s="3" t="s">
        <v>2983</v>
      </c>
      <c r="D2934" s="3" t="s">
        <v>20</v>
      </c>
      <c r="E2934" s="3" t="s">
        <v>21</v>
      </c>
      <c r="F2934" s="3" t="s">
        <v>21</v>
      </c>
      <c r="G2934" s="3" t="s">
        <v>233</v>
      </c>
      <c r="H2934" s="3" t="s">
        <v>234</v>
      </c>
      <c r="I2934" s="3" t="s">
        <v>24</v>
      </c>
      <c r="J2934" s="3" t="s">
        <v>24</v>
      </c>
      <c r="K2934" s="3" t="s">
        <v>25</v>
      </c>
      <c r="L2934" s="4">
        <v>0</v>
      </c>
      <c r="M2934" s="3" t="s">
        <v>26</v>
      </c>
      <c r="N2934" s="3" t="s">
        <v>24</v>
      </c>
      <c r="O2934" s="4">
        <v>1</v>
      </c>
      <c r="P2934" s="4">
        <v>3</v>
      </c>
      <c r="Q2934" s="4">
        <v>1</v>
      </c>
    </row>
    <row r="2935" spans="1:17" x14ac:dyDescent="0.25">
      <c r="A2935" s="3" t="s">
        <v>18</v>
      </c>
      <c r="B2935" s="3">
        <v>18289679</v>
      </c>
      <c r="C2935" s="3" t="s">
        <v>2984</v>
      </c>
      <c r="D2935" s="3" t="s">
        <v>20</v>
      </c>
      <c r="E2935" s="3" t="s">
        <v>21</v>
      </c>
      <c r="F2935" s="3" t="s">
        <v>21</v>
      </c>
      <c r="G2935" s="3" t="s">
        <v>233</v>
      </c>
      <c r="H2935" s="3" t="s">
        <v>234</v>
      </c>
      <c r="I2935" s="3" t="s">
        <v>24</v>
      </c>
      <c r="J2935" s="3" t="s">
        <v>24</v>
      </c>
      <c r="K2935" s="3" t="s">
        <v>25</v>
      </c>
      <c r="L2935" s="4">
        <v>0</v>
      </c>
      <c r="M2935" s="3" t="s">
        <v>26</v>
      </c>
      <c r="N2935" s="3" t="s">
        <v>24</v>
      </c>
      <c r="O2935" s="4">
        <v>1</v>
      </c>
      <c r="P2935" s="4">
        <v>3</v>
      </c>
      <c r="Q2935" s="4">
        <v>1</v>
      </c>
    </row>
    <row r="2936" spans="1:17" x14ac:dyDescent="0.25">
      <c r="A2936" s="3" t="s">
        <v>18</v>
      </c>
      <c r="B2936" s="3">
        <v>18289680</v>
      </c>
      <c r="C2936" s="3" t="s">
        <v>2985</v>
      </c>
      <c r="D2936" s="3" t="s">
        <v>20</v>
      </c>
      <c r="E2936" s="3" t="s">
        <v>21</v>
      </c>
      <c r="F2936" s="3" t="s">
        <v>21</v>
      </c>
      <c r="G2936" s="3" t="s">
        <v>233</v>
      </c>
      <c r="H2936" s="3" t="s">
        <v>234</v>
      </c>
      <c r="I2936" s="3" t="s">
        <v>24</v>
      </c>
      <c r="J2936" s="3" t="s">
        <v>24</v>
      </c>
      <c r="K2936" s="3" t="s">
        <v>25</v>
      </c>
      <c r="L2936" s="4">
        <v>0</v>
      </c>
      <c r="M2936" s="3" t="s">
        <v>26</v>
      </c>
      <c r="N2936" s="3" t="s">
        <v>24</v>
      </c>
      <c r="O2936" s="4">
        <v>1</v>
      </c>
      <c r="P2936" s="4">
        <v>3</v>
      </c>
      <c r="Q2936" s="4">
        <v>1</v>
      </c>
    </row>
    <row r="2937" spans="1:17" x14ac:dyDescent="0.25">
      <c r="A2937" s="3" t="s">
        <v>18</v>
      </c>
      <c r="B2937" s="3">
        <v>18289681</v>
      </c>
      <c r="C2937" s="3" t="s">
        <v>2986</v>
      </c>
      <c r="D2937" s="3" t="s">
        <v>20</v>
      </c>
      <c r="E2937" s="3" t="s">
        <v>21</v>
      </c>
      <c r="F2937" s="3" t="s">
        <v>21</v>
      </c>
      <c r="G2937" s="3" t="s">
        <v>233</v>
      </c>
      <c r="H2937" s="3" t="s">
        <v>234</v>
      </c>
      <c r="I2937" s="3" t="s">
        <v>24</v>
      </c>
      <c r="J2937" s="3" t="s">
        <v>24</v>
      </c>
      <c r="K2937" s="3" t="s">
        <v>25</v>
      </c>
      <c r="L2937" s="4">
        <v>0</v>
      </c>
      <c r="M2937" s="3" t="s">
        <v>26</v>
      </c>
      <c r="N2937" s="3" t="s">
        <v>24</v>
      </c>
      <c r="O2937" s="4">
        <v>1</v>
      </c>
      <c r="P2937" s="4">
        <v>3</v>
      </c>
      <c r="Q2937" s="4">
        <v>1</v>
      </c>
    </row>
    <row r="2938" spans="1:17" x14ac:dyDescent="0.25">
      <c r="A2938" s="3" t="s">
        <v>18</v>
      </c>
      <c r="B2938" s="3">
        <v>18289682</v>
      </c>
      <c r="C2938" s="3" t="s">
        <v>2987</v>
      </c>
      <c r="D2938" s="3" t="s">
        <v>20</v>
      </c>
      <c r="E2938" s="3" t="s">
        <v>21</v>
      </c>
      <c r="F2938" s="3" t="s">
        <v>21</v>
      </c>
      <c r="G2938" s="3" t="s">
        <v>233</v>
      </c>
      <c r="H2938" s="3" t="s">
        <v>234</v>
      </c>
      <c r="I2938" s="3" t="s">
        <v>24</v>
      </c>
      <c r="J2938" s="3" t="s">
        <v>24</v>
      </c>
      <c r="K2938" s="3" t="s">
        <v>25</v>
      </c>
      <c r="L2938" s="4">
        <v>0</v>
      </c>
      <c r="M2938" s="3" t="s">
        <v>26</v>
      </c>
      <c r="N2938" s="3" t="s">
        <v>24</v>
      </c>
      <c r="O2938" s="4">
        <v>1</v>
      </c>
      <c r="P2938" s="4">
        <v>3</v>
      </c>
      <c r="Q2938" s="4">
        <v>1</v>
      </c>
    </row>
    <row r="2939" spans="1:17" x14ac:dyDescent="0.25">
      <c r="A2939" s="3" t="s">
        <v>18</v>
      </c>
      <c r="B2939" s="3">
        <v>18289683</v>
      </c>
      <c r="C2939" s="3" t="s">
        <v>2988</v>
      </c>
      <c r="D2939" s="3" t="s">
        <v>20</v>
      </c>
      <c r="E2939" s="3" t="s">
        <v>21</v>
      </c>
      <c r="F2939" s="3" t="s">
        <v>21</v>
      </c>
      <c r="G2939" s="3" t="s">
        <v>233</v>
      </c>
      <c r="H2939" s="3" t="s">
        <v>234</v>
      </c>
      <c r="I2939" s="3" t="s">
        <v>24</v>
      </c>
      <c r="J2939" s="3" t="s">
        <v>24</v>
      </c>
      <c r="K2939" s="3" t="s">
        <v>25</v>
      </c>
      <c r="L2939" s="4">
        <v>0</v>
      </c>
      <c r="M2939" s="3" t="s">
        <v>26</v>
      </c>
      <c r="N2939" s="3" t="s">
        <v>24</v>
      </c>
      <c r="O2939" s="4">
        <v>1</v>
      </c>
      <c r="P2939" s="4">
        <v>3</v>
      </c>
      <c r="Q2939" s="4">
        <v>1</v>
      </c>
    </row>
    <row r="2940" spans="1:17" x14ac:dyDescent="0.25">
      <c r="A2940" s="3" t="s">
        <v>18</v>
      </c>
      <c r="B2940" s="3">
        <v>18289684</v>
      </c>
      <c r="C2940" s="3" t="s">
        <v>2989</v>
      </c>
      <c r="D2940" s="3" t="s">
        <v>20</v>
      </c>
      <c r="E2940" s="3" t="s">
        <v>21</v>
      </c>
      <c r="F2940" s="3" t="s">
        <v>21</v>
      </c>
      <c r="G2940" s="3" t="s">
        <v>233</v>
      </c>
      <c r="H2940" s="3" t="s">
        <v>234</v>
      </c>
      <c r="I2940" s="3" t="s">
        <v>24</v>
      </c>
      <c r="J2940" s="3" t="s">
        <v>24</v>
      </c>
      <c r="K2940" s="3" t="s">
        <v>25</v>
      </c>
      <c r="L2940" s="4">
        <v>0</v>
      </c>
      <c r="M2940" s="3" t="s">
        <v>26</v>
      </c>
      <c r="N2940" s="3" t="s">
        <v>24</v>
      </c>
      <c r="O2940" s="4">
        <v>1</v>
      </c>
      <c r="P2940" s="4">
        <v>3</v>
      </c>
      <c r="Q2940" s="4">
        <v>1</v>
      </c>
    </row>
    <row r="2941" spans="1:17" x14ac:dyDescent="0.25">
      <c r="A2941" s="3" t="s">
        <v>18</v>
      </c>
      <c r="B2941" s="3">
        <v>18289685</v>
      </c>
      <c r="C2941" s="3" t="s">
        <v>2990</v>
      </c>
      <c r="D2941" s="3" t="s">
        <v>20</v>
      </c>
      <c r="E2941" s="3" t="s">
        <v>21</v>
      </c>
      <c r="F2941" s="3" t="s">
        <v>21</v>
      </c>
      <c r="G2941" s="3" t="s">
        <v>233</v>
      </c>
      <c r="H2941" s="3" t="s">
        <v>234</v>
      </c>
      <c r="I2941" s="3" t="s">
        <v>24</v>
      </c>
      <c r="J2941" s="3" t="s">
        <v>24</v>
      </c>
      <c r="K2941" s="3" t="s">
        <v>25</v>
      </c>
      <c r="L2941" s="4">
        <v>0</v>
      </c>
      <c r="M2941" s="3" t="s">
        <v>26</v>
      </c>
      <c r="N2941" s="3" t="s">
        <v>24</v>
      </c>
      <c r="O2941" s="4">
        <v>1</v>
      </c>
      <c r="P2941" s="4">
        <v>3</v>
      </c>
      <c r="Q2941" s="4">
        <v>1</v>
      </c>
    </row>
    <row r="2942" spans="1:17" x14ac:dyDescent="0.25">
      <c r="A2942" s="3" t="s">
        <v>18</v>
      </c>
      <c r="B2942" s="3">
        <v>18289686</v>
      </c>
      <c r="C2942" s="3" t="s">
        <v>2991</v>
      </c>
      <c r="D2942" s="3" t="s">
        <v>20</v>
      </c>
      <c r="E2942" s="3" t="s">
        <v>21</v>
      </c>
      <c r="F2942" s="3" t="s">
        <v>21</v>
      </c>
      <c r="G2942" s="3" t="s">
        <v>233</v>
      </c>
      <c r="H2942" s="3" t="s">
        <v>234</v>
      </c>
      <c r="I2942" s="3" t="s">
        <v>24</v>
      </c>
      <c r="J2942" s="3" t="s">
        <v>24</v>
      </c>
      <c r="K2942" s="3" t="s">
        <v>25</v>
      </c>
      <c r="L2942" s="4">
        <v>0</v>
      </c>
      <c r="M2942" s="3" t="s">
        <v>26</v>
      </c>
      <c r="N2942" s="3" t="s">
        <v>24</v>
      </c>
      <c r="O2942" s="4">
        <v>1</v>
      </c>
      <c r="P2942" s="4">
        <v>3</v>
      </c>
      <c r="Q2942" s="4">
        <v>1</v>
      </c>
    </row>
    <row r="2943" spans="1:17" x14ac:dyDescent="0.25">
      <c r="A2943" s="3" t="s">
        <v>18</v>
      </c>
      <c r="B2943" s="3">
        <v>18289687</v>
      </c>
      <c r="C2943" s="3" t="s">
        <v>2992</v>
      </c>
      <c r="D2943" s="3" t="s">
        <v>20</v>
      </c>
      <c r="E2943" s="3" t="s">
        <v>21</v>
      </c>
      <c r="F2943" s="3" t="s">
        <v>21</v>
      </c>
      <c r="G2943" s="3" t="s">
        <v>233</v>
      </c>
      <c r="H2943" s="3" t="s">
        <v>234</v>
      </c>
      <c r="I2943" s="3" t="s">
        <v>24</v>
      </c>
      <c r="J2943" s="3" t="s">
        <v>24</v>
      </c>
      <c r="K2943" s="3" t="s">
        <v>25</v>
      </c>
      <c r="L2943" s="4">
        <v>0</v>
      </c>
      <c r="M2943" s="3" t="s">
        <v>26</v>
      </c>
      <c r="N2943" s="3" t="s">
        <v>24</v>
      </c>
      <c r="O2943" s="4">
        <v>1</v>
      </c>
      <c r="P2943" s="4">
        <v>3</v>
      </c>
      <c r="Q2943" s="4">
        <v>1</v>
      </c>
    </row>
    <row r="2944" spans="1:17" x14ac:dyDescent="0.25">
      <c r="A2944" s="3" t="s">
        <v>18</v>
      </c>
      <c r="B2944" s="3">
        <v>18289698</v>
      </c>
      <c r="C2944" s="3" t="s">
        <v>2993</v>
      </c>
      <c r="D2944" s="3" t="s">
        <v>20</v>
      </c>
      <c r="E2944" s="3" t="s">
        <v>21</v>
      </c>
      <c r="F2944" s="3" t="s">
        <v>21</v>
      </c>
      <c r="G2944" s="3" t="s">
        <v>233</v>
      </c>
      <c r="H2944" s="3" t="s">
        <v>234</v>
      </c>
      <c r="I2944" s="3" t="s">
        <v>24</v>
      </c>
      <c r="J2944" s="3" t="s">
        <v>24</v>
      </c>
      <c r="K2944" s="3" t="s">
        <v>25</v>
      </c>
      <c r="L2944" s="4">
        <v>0</v>
      </c>
      <c r="M2944" s="3" t="s">
        <v>26</v>
      </c>
      <c r="N2944" s="3" t="s">
        <v>24</v>
      </c>
      <c r="O2944" s="4">
        <v>1</v>
      </c>
      <c r="P2944" s="4">
        <v>3</v>
      </c>
      <c r="Q2944" s="4">
        <v>1</v>
      </c>
    </row>
    <row r="2945" spans="1:17" x14ac:dyDescent="0.25">
      <c r="A2945" s="3" t="s">
        <v>18</v>
      </c>
      <c r="B2945" s="3">
        <v>18289699</v>
      </c>
      <c r="C2945" s="3" t="s">
        <v>2994</v>
      </c>
      <c r="D2945" s="3" t="s">
        <v>20</v>
      </c>
      <c r="E2945" s="3" t="s">
        <v>21</v>
      </c>
      <c r="F2945" s="3" t="s">
        <v>21</v>
      </c>
      <c r="G2945" s="3" t="s">
        <v>233</v>
      </c>
      <c r="H2945" s="3" t="s">
        <v>234</v>
      </c>
      <c r="I2945" s="3" t="s">
        <v>24</v>
      </c>
      <c r="J2945" s="3" t="s">
        <v>24</v>
      </c>
      <c r="K2945" s="3" t="s">
        <v>25</v>
      </c>
      <c r="L2945" s="4">
        <v>0</v>
      </c>
      <c r="M2945" s="3" t="s">
        <v>26</v>
      </c>
      <c r="N2945" s="3" t="s">
        <v>24</v>
      </c>
      <c r="O2945" s="4">
        <v>1</v>
      </c>
      <c r="P2945" s="4">
        <v>3</v>
      </c>
      <c r="Q2945" s="4">
        <v>1</v>
      </c>
    </row>
    <row r="2946" spans="1:17" x14ac:dyDescent="0.25">
      <c r="A2946" s="3" t="s">
        <v>18</v>
      </c>
      <c r="B2946" s="3">
        <v>18289700</v>
      </c>
      <c r="C2946" s="3" t="s">
        <v>2995</v>
      </c>
      <c r="D2946" s="3" t="s">
        <v>20</v>
      </c>
      <c r="E2946" s="3" t="s">
        <v>21</v>
      </c>
      <c r="F2946" s="3" t="s">
        <v>21</v>
      </c>
      <c r="G2946" s="3" t="s">
        <v>233</v>
      </c>
      <c r="H2946" s="3" t="s">
        <v>234</v>
      </c>
      <c r="I2946" s="3" t="s">
        <v>24</v>
      </c>
      <c r="J2946" s="3" t="s">
        <v>24</v>
      </c>
      <c r="K2946" s="3" t="s">
        <v>25</v>
      </c>
      <c r="L2946" s="4">
        <v>0</v>
      </c>
      <c r="M2946" s="3" t="s">
        <v>26</v>
      </c>
      <c r="N2946" s="3" t="s">
        <v>24</v>
      </c>
      <c r="O2946" s="4">
        <v>1</v>
      </c>
      <c r="P2946" s="4">
        <v>3</v>
      </c>
      <c r="Q2946" s="4">
        <v>1</v>
      </c>
    </row>
    <row r="2947" spans="1:17" x14ac:dyDescent="0.25">
      <c r="A2947" s="3" t="s">
        <v>18</v>
      </c>
      <c r="B2947" s="3">
        <v>18289701</v>
      </c>
      <c r="C2947" s="3" t="s">
        <v>2996</v>
      </c>
      <c r="D2947" s="3" t="s">
        <v>20</v>
      </c>
      <c r="E2947" s="3" t="s">
        <v>21</v>
      </c>
      <c r="F2947" s="3" t="s">
        <v>21</v>
      </c>
      <c r="G2947" s="3" t="s">
        <v>233</v>
      </c>
      <c r="H2947" s="3" t="s">
        <v>234</v>
      </c>
      <c r="I2947" s="3" t="s">
        <v>24</v>
      </c>
      <c r="J2947" s="3" t="s">
        <v>24</v>
      </c>
      <c r="K2947" s="3" t="s">
        <v>25</v>
      </c>
      <c r="L2947" s="4">
        <v>0</v>
      </c>
      <c r="M2947" s="3" t="s">
        <v>26</v>
      </c>
      <c r="N2947" s="3" t="s">
        <v>24</v>
      </c>
      <c r="O2947" s="4">
        <v>1</v>
      </c>
      <c r="P2947" s="4">
        <v>3</v>
      </c>
      <c r="Q2947" s="4">
        <v>1</v>
      </c>
    </row>
    <row r="2948" spans="1:17" x14ac:dyDescent="0.25">
      <c r="A2948" s="3" t="s">
        <v>18</v>
      </c>
      <c r="B2948" s="3">
        <v>18289702</v>
      </c>
      <c r="C2948" s="3" t="s">
        <v>2997</v>
      </c>
      <c r="D2948" s="3" t="s">
        <v>20</v>
      </c>
      <c r="E2948" s="3" t="s">
        <v>21</v>
      </c>
      <c r="F2948" s="3" t="s">
        <v>21</v>
      </c>
      <c r="G2948" s="3" t="s">
        <v>233</v>
      </c>
      <c r="H2948" s="3" t="s">
        <v>234</v>
      </c>
      <c r="I2948" s="3" t="s">
        <v>24</v>
      </c>
      <c r="J2948" s="3" t="s">
        <v>24</v>
      </c>
      <c r="K2948" s="3" t="s">
        <v>25</v>
      </c>
      <c r="L2948" s="4">
        <v>0</v>
      </c>
      <c r="M2948" s="3" t="s">
        <v>26</v>
      </c>
      <c r="N2948" s="3" t="s">
        <v>24</v>
      </c>
      <c r="O2948" s="4">
        <v>1</v>
      </c>
      <c r="P2948" s="4">
        <v>3</v>
      </c>
      <c r="Q2948" s="4">
        <v>1</v>
      </c>
    </row>
    <row r="2949" spans="1:17" x14ac:dyDescent="0.25">
      <c r="A2949" s="3" t="s">
        <v>18</v>
      </c>
      <c r="B2949" s="3">
        <v>18289703</v>
      </c>
      <c r="C2949" s="3" t="s">
        <v>2998</v>
      </c>
      <c r="D2949" s="3" t="s">
        <v>20</v>
      </c>
      <c r="E2949" s="3" t="s">
        <v>21</v>
      </c>
      <c r="F2949" s="3" t="s">
        <v>21</v>
      </c>
      <c r="G2949" s="3" t="s">
        <v>233</v>
      </c>
      <c r="H2949" s="3" t="s">
        <v>234</v>
      </c>
      <c r="I2949" s="3" t="s">
        <v>24</v>
      </c>
      <c r="J2949" s="3" t="s">
        <v>24</v>
      </c>
      <c r="K2949" s="3" t="s">
        <v>25</v>
      </c>
      <c r="L2949" s="4">
        <v>0</v>
      </c>
      <c r="M2949" s="3" t="s">
        <v>26</v>
      </c>
      <c r="N2949" s="3" t="s">
        <v>24</v>
      </c>
      <c r="O2949" s="4">
        <v>1</v>
      </c>
      <c r="P2949" s="4">
        <v>3</v>
      </c>
      <c r="Q2949" s="4">
        <v>1</v>
      </c>
    </row>
    <row r="2950" spans="1:17" x14ac:dyDescent="0.25">
      <c r="A2950" s="3" t="s">
        <v>18</v>
      </c>
      <c r="B2950" s="3">
        <v>18289704</v>
      </c>
      <c r="C2950" s="3" t="s">
        <v>2999</v>
      </c>
      <c r="D2950" s="3" t="s">
        <v>20</v>
      </c>
      <c r="E2950" s="3" t="s">
        <v>21</v>
      </c>
      <c r="F2950" s="3" t="s">
        <v>21</v>
      </c>
      <c r="G2950" s="3" t="s">
        <v>233</v>
      </c>
      <c r="H2950" s="3" t="s">
        <v>234</v>
      </c>
      <c r="I2950" s="3" t="s">
        <v>24</v>
      </c>
      <c r="J2950" s="3" t="s">
        <v>24</v>
      </c>
      <c r="K2950" s="3" t="s">
        <v>25</v>
      </c>
      <c r="L2950" s="4">
        <v>0</v>
      </c>
      <c r="M2950" s="3" t="s">
        <v>26</v>
      </c>
      <c r="N2950" s="3" t="s">
        <v>24</v>
      </c>
      <c r="O2950" s="4">
        <v>1</v>
      </c>
      <c r="P2950" s="4">
        <v>3</v>
      </c>
      <c r="Q2950" s="4">
        <v>1</v>
      </c>
    </row>
    <row r="2951" spans="1:17" x14ac:dyDescent="0.25">
      <c r="A2951" s="3" t="s">
        <v>18</v>
      </c>
      <c r="B2951" s="3">
        <v>18295134</v>
      </c>
      <c r="C2951" s="3" t="s">
        <v>3000</v>
      </c>
      <c r="D2951" s="3" t="s">
        <v>20</v>
      </c>
      <c r="E2951" s="3" t="s">
        <v>21</v>
      </c>
      <c r="F2951" s="3" t="s">
        <v>21</v>
      </c>
      <c r="G2951" s="3" t="s">
        <v>36</v>
      </c>
      <c r="H2951" s="3" t="s">
        <v>37</v>
      </c>
      <c r="I2951" s="3" t="s">
        <v>24</v>
      </c>
      <c r="J2951" s="3" t="s">
        <v>24</v>
      </c>
      <c r="K2951" s="3" t="s">
        <v>25</v>
      </c>
      <c r="L2951" s="4">
        <v>0</v>
      </c>
      <c r="M2951" s="3" t="s">
        <v>26</v>
      </c>
      <c r="N2951" s="3" t="s">
        <v>24</v>
      </c>
      <c r="O2951" s="4">
        <v>1</v>
      </c>
      <c r="P2951" s="4">
        <v>2</v>
      </c>
      <c r="Q2951" s="4">
        <v>1</v>
      </c>
    </row>
    <row r="2952" spans="1:17" x14ac:dyDescent="0.25">
      <c r="A2952" s="3" t="s">
        <v>18</v>
      </c>
      <c r="B2952" s="3">
        <v>18308911</v>
      </c>
      <c r="C2952" s="3" t="s">
        <v>3001</v>
      </c>
      <c r="D2952" s="3" t="s">
        <v>20</v>
      </c>
      <c r="E2952" s="3" t="s">
        <v>21</v>
      </c>
      <c r="F2952" s="3" t="s">
        <v>21</v>
      </c>
      <c r="G2952" s="3" t="s">
        <v>487</v>
      </c>
      <c r="H2952" s="3" t="s">
        <v>488</v>
      </c>
      <c r="I2952" s="3" t="s">
        <v>24</v>
      </c>
      <c r="J2952" s="3" t="s">
        <v>24</v>
      </c>
      <c r="K2952" s="3" t="s">
        <v>25</v>
      </c>
      <c r="L2952" s="4">
        <v>0</v>
      </c>
      <c r="M2952" s="3" t="s">
        <v>26</v>
      </c>
      <c r="N2952" s="3" t="s">
        <v>24</v>
      </c>
      <c r="O2952" s="4">
        <v>1</v>
      </c>
      <c r="P2952" s="4">
        <v>1</v>
      </c>
      <c r="Q2952" s="4">
        <v>1</v>
      </c>
    </row>
    <row r="2953" spans="1:17" x14ac:dyDescent="0.25">
      <c r="A2953" s="3" t="s">
        <v>18</v>
      </c>
      <c r="B2953" s="3">
        <v>18309269</v>
      </c>
      <c r="C2953" s="3" t="s">
        <v>3002</v>
      </c>
      <c r="D2953" s="3" t="s">
        <v>1360</v>
      </c>
      <c r="E2953" s="3" t="s">
        <v>21</v>
      </c>
      <c r="F2953" s="3" t="s">
        <v>21</v>
      </c>
      <c r="G2953" s="3" t="s">
        <v>487</v>
      </c>
      <c r="H2953" s="3" t="s">
        <v>488</v>
      </c>
      <c r="I2953" s="3" t="s">
        <v>24</v>
      </c>
      <c r="J2953" s="3" t="s">
        <v>24</v>
      </c>
      <c r="K2953" s="3" t="s">
        <v>25</v>
      </c>
      <c r="L2953" s="4">
        <v>0</v>
      </c>
      <c r="M2953" s="3" t="s">
        <v>26</v>
      </c>
      <c r="N2953" s="3" t="s">
        <v>24</v>
      </c>
      <c r="O2953" s="4">
        <v>1</v>
      </c>
      <c r="P2953" s="4">
        <v>1</v>
      </c>
      <c r="Q2953" s="4">
        <v>1</v>
      </c>
    </row>
    <row r="2954" spans="1:17" x14ac:dyDescent="0.25">
      <c r="A2954" s="3" t="s">
        <v>18</v>
      </c>
      <c r="B2954" s="3">
        <v>18309578</v>
      </c>
      <c r="C2954" s="3" t="s">
        <v>3003</v>
      </c>
      <c r="D2954" s="3" t="s">
        <v>1360</v>
      </c>
      <c r="E2954" s="3" t="s">
        <v>21</v>
      </c>
      <c r="F2954" s="3" t="s">
        <v>21</v>
      </c>
      <c r="G2954" s="3" t="s">
        <v>487</v>
      </c>
      <c r="H2954" s="3" t="s">
        <v>488</v>
      </c>
      <c r="I2954" s="3" t="s">
        <v>24</v>
      </c>
      <c r="J2954" s="3" t="s">
        <v>24</v>
      </c>
      <c r="K2954" s="3" t="s">
        <v>25</v>
      </c>
      <c r="L2954" s="4">
        <v>0</v>
      </c>
      <c r="M2954" s="3" t="s">
        <v>26</v>
      </c>
      <c r="N2954" s="3" t="s">
        <v>24</v>
      </c>
      <c r="O2954" s="4">
        <v>1</v>
      </c>
      <c r="P2954" s="4">
        <v>2</v>
      </c>
      <c r="Q2954" s="4">
        <v>1</v>
      </c>
    </row>
    <row r="2955" spans="1:17" x14ac:dyDescent="0.25">
      <c r="A2955" s="3" t="s">
        <v>18</v>
      </c>
      <c r="B2955" s="3">
        <v>18310872</v>
      </c>
      <c r="C2955" s="3" t="s">
        <v>3004</v>
      </c>
      <c r="D2955" s="3" t="s">
        <v>1360</v>
      </c>
      <c r="E2955" s="3" t="s">
        <v>21</v>
      </c>
      <c r="F2955" s="3" t="s">
        <v>21</v>
      </c>
      <c r="G2955" s="3" t="s">
        <v>477</v>
      </c>
      <c r="H2955" s="3" t="s">
        <v>478</v>
      </c>
      <c r="I2955" s="3" t="s">
        <v>24</v>
      </c>
      <c r="J2955" s="3" t="s">
        <v>24</v>
      </c>
      <c r="K2955" s="3" t="s">
        <v>25</v>
      </c>
      <c r="L2955" s="4">
        <v>0</v>
      </c>
      <c r="M2955" s="3" t="s">
        <v>26</v>
      </c>
      <c r="N2955" s="3" t="s">
        <v>24</v>
      </c>
      <c r="O2955" s="4">
        <v>1</v>
      </c>
      <c r="P2955" s="4">
        <v>1</v>
      </c>
      <c r="Q2955" s="4">
        <v>1</v>
      </c>
    </row>
    <row r="2956" spans="1:17" x14ac:dyDescent="0.25">
      <c r="A2956" s="3" t="s">
        <v>18</v>
      </c>
      <c r="B2956" s="3">
        <v>18334146</v>
      </c>
      <c r="C2956" s="3" t="s">
        <v>3005</v>
      </c>
      <c r="D2956" s="3" t="s">
        <v>20</v>
      </c>
      <c r="E2956" s="3" t="s">
        <v>21</v>
      </c>
      <c r="F2956" s="3" t="s">
        <v>21</v>
      </c>
      <c r="G2956" s="3" t="s">
        <v>233</v>
      </c>
      <c r="H2956" s="3" t="s">
        <v>234</v>
      </c>
      <c r="I2956" s="3" t="s">
        <v>24</v>
      </c>
      <c r="J2956" s="3" t="s">
        <v>24</v>
      </c>
      <c r="K2956" s="3" t="s">
        <v>25</v>
      </c>
      <c r="L2956" s="4">
        <v>0</v>
      </c>
      <c r="M2956" s="3" t="s">
        <v>26</v>
      </c>
      <c r="N2956" s="3" t="s">
        <v>24</v>
      </c>
      <c r="O2956" s="4">
        <v>1</v>
      </c>
      <c r="P2956" s="4">
        <v>2</v>
      </c>
      <c r="Q2956" s="4">
        <v>1</v>
      </c>
    </row>
    <row r="2957" spans="1:17" x14ac:dyDescent="0.25">
      <c r="A2957" s="3" t="s">
        <v>18</v>
      </c>
      <c r="B2957" s="3">
        <v>18341360</v>
      </c>
      <c r="C2957" s="3" t="s">
        <v>3006</v>
      </c>
      <c r="D2957" s="3" t="s">
        <v>1360</v>
      </c>
      <c r="E2957" s="3" t="s">
        <v>21</v>
      </c>
      <c r="F2957" s="3" t="s">
        <v>21</v>
      </c>
      <c r="G2957" s="3" t="s">
        <v>233</v>
      </c>
      <c r="H2957" s="3" t="s">
        <v>234</v>
      </c>
      <c r="I2957" s="3" t="s">
        <v>24</v>
      </c>
      <c r="J2957" s="3" t="s">
        <v>24</v>
      </c>
      <c r="K2957" s="3" t="s">
        <v>25</v>
      </c>
      <c r="L2957" s="4">
        <v>0</v>
      </c>
      <c r="M2957" s="3" t="s">
        <v>26</v>
      </c>
      <c r="N2957" s="3" t="s">
        <v>24</v>
      </c>
      <c r="O2957" s="4">
        <v>1</v>
      </c>
      <c r="P2957" s="4">
        <v>2</v>
      </c>
      <c r="Q2957" s="4">
        <v>1</v>
      </c>
    </row>
    <row r="2958" spans="1:17" x14ac:dyDescent="0.25">
      <c r="A2958" s="3" t="s">
        <v>18</v>
      </c>
      <c r="B2958" s="3">
        <v>18341854</v>
      </c>
      <c r="C2958" s="3" t="s">
        <v>3007</v>
      </c>
      <c r="D2958" s="3" t="s">
        <v>1360</v>
      </c>
      <c r="E2958" s="3" t="s">
        <v>21</v>
      </c>
      <c r="F2958" s="3" t="s">
        <v>21</v>
      </c>
      <c r="G2958" s="3" t="s">
        <v>233</v>
      </c>
      <c r="H2958" s="3" t="s">
        <v>234</v>
      </c>
      <c r="I2958" s="3" t="s">
        <v>24</v>
      </c>
      <c r="J2958" s="3" t="s">
        <v>24</v>
      </c>
      <c r="K2958" s="3" t="s">
        <v>25</v>
      </c>
      <c r="L2958" s="4">
        <v>0</v>
      </c>
      <c r="M2958" s="3" t="s">
        <v>26</v>
      </c>
      <c r="N2958" s="3" t="s">
        <v>24</v>
      </c>
      <c r="O2958" s="4">
        <v>1</v>
      </c>
      <c r="P2958" s="4">
        <v>2</v>
      </c>
      <c r="Q2958" s="4">
        <v>1</v>
      </c>
    </row>
    <row r="2959" spans="1:17" x14ac:dyDescent="0.25">
      <c r="A2959" s="3" t="s">
        <v>18</v>
      </c>
      <c r="B2959" s="3">
        <v>18407625</v>
      </c>
      <c r="C2959" s="3" t="s">
        <v>3008</v>
      </c>
      <c r="D2959" s="3" t="s">
        <v>20</v>
      </c>
      <c r="E2959" s="3" t="s">
        <v>21</v>
      </c>
      <c r="F2959" s="3" t="s">
        <v>21</v>
      </c>
      <c r="G2959" s="3" t="s">
        <v>233</v>
      </c>
      <c r="H2959" s="3" t="s">
        <v>234</v>
      </c>
      <c r="I2959" s="3" t="s">
        <v>24</v>
      </c>
      <c r="J2959" s="3" t="s">
        <v>24</v>
      </c>
      <c r="K2959" s="3" t="s">
        <v>25</v>
      </c>
      <c r="L2959" s="4">
        <v>0</v>
      </c>
      <c r="M2959" s="3" t="s">
        <v>26</v>
      </c>
      <c r="N2959" s="3" t="s">
        <v>24</v>
      </c>
      <c r="O2959" s="4">
        <v>1</v>
      </c>
      <c r="P2959" s="4">
        <v>4</v>
      </c>
      <c r="Q2959" s="4">
        <v>1</v>
      </c>
    </row>
    <row r="2960" spans="1:17" x14ac:dyDescent="0.25">
      <c r="A2960" s="3" t="s">
        <v>18</v>
      </c>
      <c r="B2960" s="3">
        <v>18412323</v>
      </c>
      <c r="C2960" s="3" t="s">
        <v>3009</v>
      </c>
      <c r="D2960" s="3" t="s">
        <v>20</v>
      </c>
      <c r="E2960" s="3" t="s">
        <v>21</v>
      </c>
      <c r="F2960" s="3" t="s">
        <v>21</v>
      </c>
      <c r="G2960" s="3" t="s">
        <v>2282</v>
      </c>
      <c r="H2960" s="3" t="s">
        <v>2283</v>
      </c>
      <c r="I2960" s="3" t="s">
        <v>24</v>
      </c>
      <c r="J2960" s="3" t="s">
        <v>24</v>
      </c>
      <c r="K2960" s="3" t="s">
        <v>25</v>
      </c>
      <c r="L2960" s="4">
        <v>0</v>
      </c>
      <c r="M2960" s="3" t="s">
        <v>26</v>
      </c>
      <c r="N2960" s="3" t="s">
        <v>24</v>
      </c>
      <c r="O2960" s="4">
        <v>0</v>
      </c>
      <c r="P2960" s="4">
        <v>4</v>
      </c>
      <c r="Q2960" s="4">
        <v>0</v>
      </c>
    </row>
    <row r="2961" spans="1:17" x14ac:dyDescent="0.25">
      <c r="A2961" s="3" t="s">
        <v>18</v>
      </c>
      <c r="B2961" s="3">
        <v>18412324</v>
      </c>
      <c r="C2961" s="3" t="s">
        <v>3010</v>
      </c>
      <c r="D2961" s="3" t="s">
        <v>20</v>
      </c>
      <c r="E2961" s="3" t="s">
        <v>21</v>
      </c>
      <c r="F2961" s="3" t="s">
        <v>21</v>
      </c>
      <c r="G2961" s="3" t="s">
        <v>2282</v>
      </c>
      <c r="H2961" s="3" t="s">
        <v>2283</v>
      </c>
      <c r="I2961" s="3" t="s">
        <v>24</v>
      </c>
      <c r="J2961" s="3" t="s">
        <v>24</v>
      </c>
      <c r="K2961" s="3" t="s">
        <v>25</v>
      </c>
      <c r="L2961" s="4">
        <v>0</v>
      </c>
      <c r="M2961" s="3" t="s">
        <v>26</v>
      </c>
      <c r="N2961" s="3" t="s">
        <v>24</v>
      </c>
      <c r="O2961" s="4">
        <v>0</v>
      </c>
      <c r="P2961" s="4">
        <v>4</v>
      </c>
      <c r="Q2961" s="4">
        <v>0</v>
      </c>
    </row>
    <row r="2962" spans="1:17" x14ac:dyDescent="0.25">
      <c r="A2962" s="3" t="s">
        <v>18</v>
      </c>
      <c r="B2962" s="3">
        <v>18412326</v>
      </c>
      <c r="C2962" s="3" t="s">
        <v>3011</v>
      </c>
      <c r="D2962" s="3" t="s">
        <v>20</v>
      </c>
      <c r="E2962" s="3" t="s">
        <v>21</v>
      </c>
      <c r="F2962" s="3" t="s">
        <v>21</v>
      </c>
      <c r="G2962" s="3" t="s">
        <v>2282</v>
      </c>
      <c r="H2962" s="3" t="s">
        <v>2283</v>
      </c>
      <c r="I2962" s="3" t="s">
        <v>24</v>
      </c>
      <c r="J2962" s="3" t="s">
        <v>24</v>
      </c>
      <c r="K2962" s="3" t="s">
        <v>25</v>
      </c>
      <c r="L2962" s="4">
        <v>0</v>
      </c>
      <c r="M2962" s="3" t="s">
        <v>26</v>
      </c>
      <c r="N2962" s="3" t="s">
        <v>24</v>
      </c>
      <c r="O2962" s="4">
        <v>0</v>
      </c>
      <c r="P2962" s="4">
        <v>4</v>
      </c>
      <c r="Q2962" s="4">
        <v>0</v>
      </c>
    </row>
    <row r="2963" spans="1:17" x14ac:dyDescent="0.25">
      <c r="A2963" s="3" t="s">
        <v>18</v>
      </c>
      <c r="B2963" s="3">
        <v>18412466</v>
      </c>
      <c r="C2963" s="3" t="s">
        <v>3012</v>
      </c>
      <c r="D2963" s="3" t="s">
        <v>20</v>
      </c>
      <c r="E2963" s="3" t="s">
        <v>21</v>
      </c>
      <c r="F2963" s="3" t="s">
        <v>21</v>
      </c>
      <c r="G2963" s="3" t="s">
        <v>2282</v>
      </c>
      <c r="H2963" s="3" t="s">
        <v>2283</v>
      </c>
      <c r="I2963" s="3" t="s">
        <v>24</v>
      </c>
      <c r="J2963" s="3" t="s">
        <v>24</v>
      </c>
      <c r="K2963" s="3" t="s">
        <v>25</v>
      </c>
      <c r="L2963" s="4">
        <v>0</v>
      </c>
      <c r="M2963" s="3" t="s">
        <v>26</v>
      </c>
      <c r="N2963" s="3" t="s">
        <v>24</v>
      </c>
      <c r="O2963" s="4">
        <v>0</v>
      </c>
      <c r="P2963" s="4">
        <v>4</v>
      </c>
      <c r="Q2963" s="4">
        <v>0</v>
      </c>
    </row>
    <row r="2964" spans="1:17" x14ac:dyDescent="0.25">
      <c r="A2964" s="3" t="s">
        <v>18</v>
      </c>
      <c r="B2964" s="3">
        <v>18412538</v>
      </c>
      <c r="C2964" s="3" t="s">
        <v>3013</v>
      </c>
      <c r="D2964" s="3" t="s">
        <v>20</v>
      </c>
      <c r="E2964" s="3" t="s">
        <v>21</v>
      </c>
      <c r="F2964" s="3" t="s">
        <v>21</v>
      </c>
      <c r="G2964" s="3" t="s">
        <v>2282</v>
      </c>
      <c r="H2964" s="3" t="s">
        <v>2283</v>
      </c>
      <c r="I2964" s="3" t="s">
        <v>24</v>
      </c>
      <c r="J2964" s="3" t="s">
        <v>24</v>
      </c>
      <c r="K2964" s="3" t="s">
        <v>25</v>
      </c>
      <c r="L2964" s="4">
        <v>0</v>
      </c>
      <c r="M2964" s="3" t="s">
        <v>26</v>
      </c>
      <c r="N2964" s="3" t="s">
        <v>24</v>
      </c>
      <c r="O2964" s="4">
        <v>0</v>
      </c>
      <c r="P2964" s="4">
        <v>4</v>
      </c>
      <c r="Q2964" s="4">
        <v>0</v>
      </c>
    </row>
    <row r="2965" spans="1:17" x14ac:dyDescent="0.25">
      <c r="A2965" s="3" t="s">
        <v>18</v>
      </c>
      <c r="B2965" s="3">
        <v>18412540</v>
      </c>
      <c r="C2965" s="3" t="s">
        <v>3014</v>
      </c>
      <c r="D2965" s="3" t="s">
        <v>20</v>
      </c>
      <c r="E2965" s="3" t="s">
        <v>21</v>
      </c>
      <c r="F2965" s="3" t="s">
        <v>21</v>
      </c>
      <c r="G2965" s="3" t="s">
        <v>2282</v>
      </c>
      <c r="H2965" s="3" t="s">
        <v>2283</v>
      </c>
      <c r="I2965" s="3" t="s">
        <v>24</v>
      </c>
      <c r="J2965" s="3" t="s">
        <v>24</v>
      </c>
      <c r="K2965" s="3" t="s">
        <v>25</v>
      </c>
      <c r="L2965" s="4">
        <v>0</v>
      </c>
      <c r="M2965" s="3" t="s">
        <v>26</v>
      </c>
      <c r="N2965" s="3" t="s">
        <v>24</v>
      </c>
      <c r="O2965" s="4">
        <v>0</v>
      </c>
      <c r="P2965" s="4">
        <v>4</v>
      </c>
      <c r="Q2965" s="4">
        <v>0</v>
      </c>
    </row>
    <row r="2966" spans="1:17" x14ac:dyDescent="0.25">
      <c r="A2966" s="3" t="s">
        <v>18</v>
      </c>
      <c r="B2966" s="3">
        <v>18412542</v>
      </c>
      <c r="C2966" s="3" t="s">
        <v>3015</v>
      </c>
      <c r="D2966" s="3" t="s">
        <v>20</v>
      </c>
      <c r="E2966" s="3" t="s">
        <v>21</v>
      </c>
      <c r="F2966" s="3" t="s">
        <v>21</v>
      </c>
      <c r="G2966" s="3" t="s">
        <v>2282</v>
      </c>
      <c r="H2966" s="3" t="s">
        <v>2283</v>
      </c>
      <c r="I2966" s="3" t="s">
        <v>24</v>
      </c>
      <c r="J2966" s="3" t="s">
        <v>24</v>
      </c>
      <c r="K2966" s="3" t="s">
        <v>25</v>
      </c>
      <c r="L2966" s="4">
        <v>0</v>
      </c>
      <c r="M2966" s="3" t="s">
        <v>26</v>
      </c>
      <c r="N2966" s="3" t="s">
        <v>24</v>
      </c>
      <c r="O2966" s="4">
        <v>0</v>
      </c>
      <c r="P2966" s="4">
        <v>4</v>
      </c>
      <c r="Q2966" s="4">
        <v>0</v>
      </c>
    </row>
    <row r="2967" spans="1:17" x14ac:dyDescent="0.25">
      <c r="A2967" s="3" t="s">
        <v>18</v>
      </c>
      <c r="B2967" s="3">
        <v>18412942</v>
      </c>
      <c r="C2967" s="3" t="s">
        <v>3016</v>
      </c>
      <c r="D2967" s="3" t="s">
        <v>20</v>
      </c>
      <c r="E2967" s="3" t="s">
        <v>21</v>
      </c>
      <c r="F2967" s="3" t="s">
        <v>21</v>
      </c>
      <c r="G2967" s="3" t="s">
        <v>2282</v>
      </c>
      <c r="H2967" s="3" t="s">
        <v>2283</v>
      </c>
      <c r="I2967" s="3" t="s">
        <v>24</v>
      </c>
      <c r="J2967" s="3" t="s">
        <v>24</v>
      </c>
      <c r="K2967" s="3" t="s">
        <v>25</v>
      </c>
      <c r="L2967" s="4">
        <v>0</v>
      </c>
      <c r="M2967" s="3" t="s">
        <v>26</v>
      </c>
      <c r="N2967" s="3" t="s">
        <v>24</v>
      </c>
      <c r="O2967" s="4">
        <v>0</v>
      </c>
      <c r="P2967" s="4">
        <v>4</v>
      </c>
      <c r="Q2967" s="4">
        <v>0</v>
      </c>
    </row>
    <row r="2968" spans="1:17" x14ac:dyDescent="0.25">
      <c r="A2968" s="3" t="s">
        <v>18</v>
      </c>
      <c r="B2968" s="3">
        <v>18412944</v>
      </c>
      <c r="C2968" s="3" t="s">
        <v>3017</v>
      </c>
      <c r="D2968" s="3" t="s">
        <v>20</v>
      </c>
      <c r="E2968" s="3" t="s">
        <v>21</v>
      </c>
      <c r="F2968" s="3" t="s">
        <v>21</v>
      </c>
      <c r="G2968" s="3" t="s">
        <v>2282</v>
      </c>
      <c r="H2968" s="3" t="s">
        <v>2283</v>
      </c>
      <c r="I2968" s="3" t="s">
        <v>24</v>
      </c>
      <c r="J2968" s="3" t="s">
        <v>24</v>
      </c>
      <c r="K2968" s="3" t="s">
        <v>25</v>
      </c>
      <c r="L2968" s="4">
        <v>0</v>
      </c>
      <c r="M2968" s="3" t="s">
        <v>26</v>
      </c>
      <c r="N2968" s="3" t="s">
        <v>24</v>
      </c>
      <c r="O2968" s="4">
        <v>0</v>
      </c>
      <c r="P2968" s="4">
        <v>4</v>
      </c>
      <c r="Q2968" s="4">
        <v>0</v>
      </c>
    </row>
    <row r="2969" spans="1:17" x14ac:dyDescent="0.25">
      <c r="A2969" s="3" t="s">
        <v>18</v>
      </c>
      <c r="B2969" s="3">
        <v>18412946</v>
      </c>
      <c r="C2969" s="3" t="s">
        <v>3018</v>
      </c>
      <c r="D2969" s="3" t="s">
        <v>20</v>
      </c>
      <c r="E2969" s="3" t="s">
        <v>21</v>
      </c>
      <c r="F2969" s="3" t="s">
        <v>21</v>
      </c>
      <c r="G2969" s="3" t="s">
        <v>2282</v>
      </c>
      <c r="H2969" s="3" t="s">
        <v>2283</v>
      </c>
      <c r="I2969" s="3" t="s">
        <v>24</v>
      </c>
      <c r="J2969" s="3" t="s">
        <v>24</v>
      </c>
      <c r="K2969" s="3" t="s">
        <v>25</v>
      </c>
      <c r="L2969" s="4">
        <v>0</v>
      </c>
      <c r="M2969" s="3" t="s">
        <v>26</v>
      </c>
      <c r="N2969" s="3" t="s">
        <v>24</v>
      </c>
      <c r="O2969" s="4">
        <v>0</v>
      </c>
      <c r="P2969" s="4">
        <v>4</v>
      </c>
      <c r="Q2969" s="4">
        <v>0</v>
      </c>
    </row>
    <row r="2970" spans="1:17" x14ac:dyDescent="0.25">
      <c r="A2970" s="3" t="s">
        <v>18</v>
      </c>
      <c r="B2970" s="3">
        <v>18412947</v>
      </c>
      <c r="C2970" s="3" t="s">
        <v>3019</v>
      </c>
      <c r="D2970" s="3" t="s">
        <v>20</v>
      </c>
      <c r="E2970" s="3" t="s">
        <v>21</v>
      </c>
      <c r="F2970" s="3" t="s">
        <v>21</v>
      </c>
      <c r="G2970" s="3" t="s">
        <v>2282</v>
      </c>
      <c r="H2970" s="3" t="s">
        <v>2283</v>
      </c>
      <c r="I2970" s="3" t="s">
        <v>24</v>
      </c>
      <c r="J2970" s="3" t="s">
        <v>24</v>
      </c>
      <c r="K2970" s="3" t="s">
        <v>25</v>
      </c>
      <c r="L2970" s="4">
        <v>0</v>
      </c>
      <c r="M2970" s="3" t="s">
        <v>26</v>
      </c>
      <c r="N2970" s="3" t="s">
        <v>24</v>
      </c>
      <c r="O2970" s="4">
        <v>0</v>
      </c>
      <c r="P2970" s="4">
        <v>4</v>
      </c>
      <c r="Q2970" s="4">
        <v>0</v>
      </c>
    </row>
    <row r="2971" spans="1:17" x14ac:dyDescent="0.25">
      <c r="A2971" s="3" t="s">
        <v>18</v>
      </c>
      <c r="B2971" s="3">
        <v>18413230</v>
      </c>
      <c r="C2971" s="3" t="s">
        <v>3020</v>
      </c>
      <c r="D2971" s="3" t="s">
        <v>20</v>
      </c>
      <c r="E2971" s="3" t="s">
        <v>21</v>
      </c>
      <c r="F2971" s="3" t="s">
        <v>21</v>
      </c>
      <c r="G2971" s="3" t="s">
        <v>2282</v>
      </c>
      <c r="H2971" s="3" t="s">
        <v>2283</v>
      </c>
      <c r="I2971" s="3" t="s">
        <v>24</v>
      </c>
      <c r="J2971" s="3" t="s">
        <v>24</v>
      </c>
      <c r="K2971" s="3" t="s">
        <v>25</v>
      </c>
      <c r="L2971" s="4">
        <v>0</v>
      </c>
      <c r="M2971" s="3" t="s">
        <v>26</v>
      </c>
      <c r="N2971" s="3" t="s">
        <v>24</v>
      </c>
      <c r="O2971" s="4">
        <v>0</v>
      </c>
      <c r="P2971" s="4">
        <v>4</v>
      </c>
      <c r="Q2971" s="4">
        <v>0</v>
      </c>
    </row>
    <row r="2972" spans="1:17" x14ac:dyDescent="0.25">
      <c r="A2972" s="3" t="s">
        <v>18</v>
      </c>
      <c r="B2972" s="3">
        <v>18413231</v>
      </c>
      <c r="C2972" s="3" t="s">
        <v>3021</v>
      </c>
      <c r="D2972" s="3" t="s">
        <v>20</v>
      </c>
      <c r="E2972" s="3" t="s">
        <v>21</v>
      </c>
      <c r="F2972" s="3" t="s">
        <v>21</v>
      </c>
      <c r="G2972" s="3" t="s">
        <v>2282</v>
      </c>
      <c r="H2972" s="3" t="s">
        <v>2283</v>
      </c>
      <c r="I2972" s="3" t="s">
        <v>24</v>
      </c>
      <c r="J2972" s="3" t="s">
        <v>24</v>
      </c>
      <c r="K2972" s="3" t="s">
        <v>25</v>
      </c>
      <c r="L2972" s="4">
        <v>0</v>
      </c>
      <c r="M2972" s="3" t="s">
        <v>26</v>
      </c>
      <c r="N2972" s="3" t="s">
        <v>24</v>
      </c>
      <c r="O2972" s="4">
        <v>0</v>
      </c>
      <c r="P2972" s="4">
        <v>4</v>
      </c>
      <c r="Q2972" s="4">
        <v>0</v>
      </c>
    </row>
    <row r="2973" spans="1:17" x14ac:dyDescent="0.25">
      <c r="A2973" s="3" t="s">
        <v>18</v>
      </c>
      <c r="B2973" s="3">
        <v>18413736</v>
      </c>
      <c r="C2973" s="3" t="s">
        <v>3022</v>
      </c>
      <c r="D2973" s="3" t="s">
        <v>20</v>
      </c>
      <c r="E2973" s="3" t="s">
        <v>21</v>
      </c>
      <c r="F2973" s="3" t="s">
        <v>21</v>
      </c>
      <c r="G2973" s="3" t="s">
        <v>2282</v>
      </c>
      <c r="H2973" s="3" t="s">
        <v>2283</v>
      </c>
      <c r="I2973" s="3" t="s">
        <v>24</v>
      </c>
      <c r="J2973" s="3" t="s">
        <v>24</v>
      </c>
      <c r="K2973" s="3" t="s">
        <v>25</v>
      </c>
      <c r="L2973" s="4">
        <v>0</v>
      </c>
      <c r="M2973" s="3" t="s">
        <v>26</v>
      </c>
      <c r="N2973" s="3" t="s">
        <v>24</v>
      </c>
      <c r="O2973" s="4">
        <v>0</v>
      </c>
      <c r="P2973" s="4">
        <v>4</v>
      </c>
      <c r="Q2973" s="4">
        <v>0</v>
      </c>
    </row>
    <row r="2974" spans="1:17" x14ac:dyDescent="0.25">
      <c r="A2974" s="3" t="s">
        <v>18</v>
      </c>
      <c r="B2974" s="3">
        <v>18414778</v>
      </c>
      <c r="C2974" s="3" t="s">
        <v>3023</v>
      </c>
      <c r="D2974" s="3" t="s">
        <v>20</v>
      </c>
      <c r="E2974" s="3" t="s">
        <v>21</v>
      </c>
      <c r="F2974" s="3" t="s">
        <v>21</v>
      </c>
      <c r="G2974" s="3" t="s">
        <v>2282</v>
      </c>
      <c r="H2974" s="3" t="s">
        <v>2283</v>
      </c>
      <c r="I2974" s="3" t="s">
        <v>24</v>
      </c>
      <c r="J2974" s="3" t="s">
        <v>24</v>
      </c>
      <c r="K2974" s="3" t="s">
        <v>25</v>
      </c>
      <c r="L2974" s="4">
        <v>0</v>
      </c>
      <c r="M2974" s="3" t="s">
        <v>26</v>
      </c>
      <c r="N2974" s="3" t="s">
        <v>24</v>
      </c>
      <c r="O2974" s="4">
        <v>0</v>
      </c>
      <c r="P2974" s="4">
        <v>4</v>
      </c>
      <c r="Q2974" s="4">
        <v>0</v>
      </c>
    </row>
    <row r="2975" spans="1:17" x14ac:dyDescent="0.25">
      <c r="A2975" s="3" t="s">
        <v>18</v>
      </c>
      <c r="B2975" s="3">
        <v>18414779</v>
      </c>
      <c r="C2975" s="3" t="s">
        <v>3024</v>
      </c>
      <c r="D2975" s="3" t="s">
        <v>20</v>
      </c>
      <c r="E2975" s="3" t="s">
        <v>21</v>
      </c>
      <c r="F2975" s="3" t="s">
        <v>21</v>
      </c>
      <c r="G2975" s="3" t="s">
        <v>2282</v>
      </c>
      <c r="H2975" s="3" t="s">
        <v>2283</v>
      </c>
      <c r="I2975" s="3" t="s">
        <v>24</v>
      </c>
      <c r="J2975" s="3" t="s">
        <v>24</v>
      </c>
      <c r="K2975" s="3" t="s">
        <v>25</v>
      </c>
      <c r="L2975" s="4">
        <v>0</v>
      </c>
      <c r="M2975" s="3" t="s">
        <v>26</v>
      </c>
      <c r="N2975" s="3" t="s">
        <v>24</v>
      </c>
      <c r="O2975" s="4">
        <v>0</v>
      </c>
      <c r="P2975" s="4">
        <v>4</v>
      </c>
      <c r="Q2975" s="4">
        <v>0</v>
      </c>
    </row>
    <row r="2976" spans="1:17" x14ac:dyDescent="0.25">
      <c r="A2976" s="3" t="s">
        <v>18</v>
      </c>
      <c r="B2976" s="3">
        <v>18414784</v>
      </c>
      <c r="C2976" s="3" t="s">
        <v>3025</v>
      </c>
      <c r="D2976" s="3" t="s">
        <v>20</v>
      </c>
      <c r="E2976" s="3" t="s">
        <v>21</v>
      </c>
      <c r="F2976" s="3" t="s">
        <v>21</v>
      </c>
      <c r="G2976" s="3" t="s">
        <v>2282</v>
      </c>
      <c r="H2976" s="3" t="s">
        <v>2283</v>
      </c>
      <c r="I2976" s="3" t="s">
        <v>24</v>
      </c>
      <c r="J2976" s="3" t="s">
        <v>24</v>
      </c>
      <c r="K2976" s="3" t="s">
        <v>25</v>
      </c>
      <c r="L2976" s="4">
        <v>0</v>
      </c>
      <c r="M2976" s="3" t="s">
        <v>26</v>
      </c>
      <c r="N2976" s="3" t="s">
        <v>24</v>
      </c>
      <c r="O2976" s="4">
        <v>0</v>
      </c>
      <c r="P2976" s="4">
        <v>4</v>
      </c>
      <c r="Q2976" s="4">
        <v>0</v>
      </c>
    </row>
    <row r="2977" spans="1:17" x14ac:dyDescent="0.25">
      <c r="A2977" s="3" t="s">
        <v>18</v>
      </c>
      <c r="B2977" s="3">
        <v>18414785</v>
      </c>
      <c r="C2977" s="3" t="s">
        <v>3026</v>
      </c>
      <c r="D2977" s="3" t="s">
        <v>20</v>
      </c>
      <c r="E2977" s="3" t="s">
        <v>21</v>
      </c>
      <c r="F2977" s="3" t="s">
        <v>21</v>
      </c>
      <c r="G2977" s="3" t="s">
        <v>2282</v>
      </c>
      <c r="H2977" s="3" t="s">
        <v>2283</v>
      </c>
      <c r="I2977" s="3" t="s">
        <v>24</v>
      </c>
      <c r="J2977" s="3" t="s">
        <v>24</v>
      </c>
      <c r="K2977" s="3" t="s">
        <v>25</v>
      </c>
      <c r="L2977" s="4">
        <v>0</v>
      </c>
      <c r="M2977" s="3" t="s">
        <v>26</v>
      </c>
      <c r="N2977" s="3" t="s">
        <v>24</v>
      </c>
      <c r="O2977" s="4">
        <v>0</v>
      </c>
      <c r="P2977" s="4">
        <v>4</v>
      </c>
      <c r="Q2977" s="4">
        <v>0</v>
      </c>
    </row>
    <row r="2978" spans="1:17" x14ac:dyDescent="0.25">
      <c r="A2978" s="3" t="s">
        <v>18</v>
      </c>
      <c r="B2978" s="3">
        <v>18414787</v>
      </c>
      <c r="C2978" s="3" t="s">
        <v>3027</v>
      </c>
      <c r="D2978" s="3" t="s">
        <v>20</v>
      </c>
      <c r="E2978" s="3" t="s">
        <v>21</v>
      </c>
      <c r="F2978" s="3" t="s">
        <v>21</v>
      </c>
      <c r="G2978" s="3" t="s">
        <v>2282</v>
      </c>
      <c r="H2978" s="3" t="s">
        <v>2283</v>
      </c>
      <c r="I2978" s="3" t="s">
        <v>24</v>
      </c>
      <c r="J2978" s="3" t="s">
        <v>24</v>
      </c>
      <c r="K2978" s="3" t="s">
        <v>25</v>
      </c>
      <c r="L2978" s="4">
        <v>0</v>
      </c>
      <c r="M2978" s="3" t="s">
        <v>26</v>
      </c>
      <c r="N2978" s="3" t="s">
        <v>24</v>
      </c>
      <c r="O2978" s="4">
        <v>0</v>
      </c>
      <c r="P2978" s="4">
        <v>4</v>
      </c>
      <c r="Q2978" s="4">
        <v>0</v>
      </c>
    </row>
    <row r="2979" spans="1:17" x14ac:dyDescent="0.25">
      <c r="A2979" s="3" t="s">
        <v>18</v>
      </c>
      <c r="B2979" s="3">
        <v>18414898</v>
      </c>
      <c r="C2979" s="3" t="s">
        <v>3028</v>
      </c>
      <c r="D2979" s="3" t="s">
        <v>20</v>
      </c>
      <c r="E2979" s="3" t="s">
        <v>21</v>
      </c>
      <c r="F2979" s="3" t="s">
        <v>21</v>
      </c>
      <c r="G2979" s="3" t="s">
        <v>2282</v>
      </c>
      <c r="H2979" s="3" t="s">
        <v>2283</v>
      </c>
      <c r="I2979" s="3" t="s">
        <v>24</v>
      </c>
      <c r="J2979" s="3" t="s">
        <v>24</v>
      </c>
      <c r="K2979" s="3" t="s">
        <v>25</v>
      </c>
      <c r="L2979" s="4">
        <v>0</v>
      </c>
      <c r="M2979" s="3" t="s">
        <v>26</v>
      </c>
      <c r="N2979" s="3" t="s">
        <v>24</v>
      </c>
      <c r="O2979" s="4">
        <v>0</v>
      </c>
      <c r="P2979" s="4">
        <v>4</v>
      </c>
      <c r="Q2979" s="4">
        <v>0</v>
      </c>
    </row>
    <row r="2980" spans="1:17" x14ac:dyDescent="0.25">
      <c r="A2980" s="3" t="s">
        <v>18</v>
      </c>
      <c r="B2980" s="3">
        <v>18414901</v>
      </c>
      <c r="C2980" s="3" t="s">
        <v>3029</v>
      </c>
      <c r="D2980" s="3" t="s">
        <v>20</v>
      </c>
      <c r="E2980" s="3" t="s">
        <v>21</v>
      </c>
      <c r="F2980" s="3" t="s">
        <v>21</v>
      </c>
      <c r="G2980" s="3" t="s">
        <v>2282</v>
      </c>
      <c r="H2980" s="3" t="s">
        <v>2283</v>
      </c>
      <c r="I2980" s="3" t="s">
        <v>24</v>
      </c>
      <c r="J2980" s="3" t="s">
        <v>24</v>
      </c>
      <c r="K2980" s="3" t="s">
        <v>25</v>
      </c>
      <c r="L2980" s="4">
        <v>0</v>
      </c>
      <c r="M2980" s="3" t="s">
        <v>26</v>
      </c>
      <c r="N2980" s="3" t="s">
        <v>24</v>
      </c>
      <c r="O2980" s="4">
        <v>0</v>
      </c>
      <c r="P2980" s="4">
        <v>4</v>
      </c>
      <c r="Q2980" s="4">
        <v>0</v>
      </c>
    </row>
    <row r="2981" spans="1:17" x14ac:dyDescent="0.25">
      <c r="A2981" s="3" t="s">
        <v>18</v>
      </c>
      <c r="B2981" s="3">
        <v>18414903</v>
      </c>
      <c r="C2981" s="3" t="s">
        <v>3030</v>
      </c>
      <c r="D2981" s="3" t="s">
        <v>20</v>
      </c>
      <c r="E2981" s="3" t="s">
        <v>21</v>
      </c>
      <c r="F2981" s="3" t="s">
        <v>21</v>
      </c>
      <c r="G2981" s="3" t="s">
        <v>2282</v>
      </c>
      <c r="H2981" s="3" t="s">
        <v>2283</v>
      </c>
      <c r="I2981" s="3" t="s">
        <v>24</v>
      </c>
      <c r="J2981" s="3" t="s">
        <v>24</v>
      </c>
      <c r="K2981" s="3" t="s">
        <v>25</v>
      </c>
      <c r="L2981" s="4">
        <v>0</v>
      </c>
      <c r="M2981" s="3" t="s">
        <v>26</v>
      </c>
      <c r="N2981" s="3" t="s">
        <v>24</v>
      </c>
      <c r="O2981" s="4">
        <v>0</v>
      </c>
      <c r="P2981" s="4">
        <v>4</v>
      </c>
      <c r="Q2981" s="4">
        <v>0</v>
      </c>
    </row>
    <row r="2982" spans="1:17" x14ac:dyDescent="0.25">
      <c r="A2982" s="3" t="s">
        <v>18</v>
      </c>
      <c r="B2982" s="3">
        <v>18414904</v>
      </c>
      <c r="C2982" s="3" t="s">
        <v>3031</v>
      </c>
      <c r="D2982" s="3" t="s">
        <v>20</v>
      </c>
      <c r="E2982" s="3" t="s">
        <v>21</v>
      </c>
      <c r="F2982" s="3" t="s">
        <v>21</v>
      </c>
      <c r="G2982" s="3" t="s">
        <v>2282</v>
      </c>
      <c r="H2982" s="3" t="s">
        <v>2283</v>
      </c>
      <c r="I2982" s="3" t="s">
        <v>24</v>
      </c>
      <c r="J2982" s="3" t="s">
        <v>24</v>
      </c>
      <c r="K2982" s="3" t="s">
        <v>25</v>
      </c>
      <c r="L2982" s="4">
        <v>0</v>
      </c>
      <c r="M2982" s="3" t="s">
        <v>26</v>
      </c>
      <c r="N2982" s="3" t="s">
        <v>24</v>
      </c>
      <c r="O2982" s="4">
        <v>0</v>
      </c>
      <c r="P2982" s="4">
        <v>4</v>
      </c>
      <c r="Q2982" s="4">
        <v>0</v>
      </c>
    </row>
    <row r="2983" spans="1:17" x14ac:dyDescent="0.25">
      <c r="A2983" s="3" t="s">
        <v>18</v>
      </c>
      <c r="B2983" s="3">
        <v>18414906</v>
      </c>
      <c r="C2983" s="3" t="s">
        <v>3032</v>
      </c>
      <c r="D2983" s="3" t="s">
        <v>20</v>
      </c>
      <c r="E2983" s="3" t="s">
        <v>21</v>
      </c>
      <c r="F2983" s="3" t="s">
        <v>21</v>
      </c>
      <c r="G2983" s="3" t="s">
        <v>2282</v>
      </c>
      <c r="H2983" s="3" t="s">
        <v>2283</v>
      </c>
      <c r="I2983" s="3" t="s">
        <v>24</v>
      </c>
      <c r="J2983" s="3" t="s">
        <v>24</v>
      </c>
      <c r="K2983" s="3" t="s">
        <v>25</v>
      </c>
      <c r="L2983" s="4">
        <v>0</v>
      </c>
      <c r="M2983" s="3" t="s">
        <v>26</v>
      </c>
      <c r="N2983" s="3" t="s">
        <v>24</v>
      </c>
      <c r="O2983" s="4">
        <v>0</v>
      </c>
      <c r="P2983" s="4">
        <v>4</v>
      </c>
      <c r="Q2983" s="4">
        <v>0</v>
      </c>
    </row>
    <row r="2984" spans="1:17" x14ac:dyDescent="0.25">
      <c r="A2984" s="3" t="s">
        <v>18</v>
      </c>
      <c r="B2984" s="3">
        <v>18414907</v>
      </c>
      <c r="C2984" s="3" t="s">
        <v>3033</v>
      </c>
      <c r="D2984" s="3" t="s">
        <v>20</v>
      </c>
      <c r="E2984" s="3" t="s">
        <v>21</v>
      </c>
      <c r="F2984" s="3" t="s">
        <v>21</v>
      </c>
      <c r="G2984" s="3" t="s">
        <v>2282</v>
      </c>
      <c r="H2984" s="3" t="s">
        <v>2283</v>
      </c>
      <c r="I2984" s="3" t="s">
        <v>24</v>
      </c>
      <c r="J2984" s="3" t="s">
        <v>24</v>
      </c>
      <c r="K2984" s="3" t="s">
        <v>25</v>
      </c>
      <c r="L2984" s="4">
        <v>0</v>
      </c>
      <c r="M2984" s="3" t="s">
        <v>26</v>
      </c>
      <c r="N2984" s="3" t="s">
        <v>24</v>
      </c>
      <c r="O2984" s="4">
        <v>0</v>
      </c>
      <c r="P2984" s="4">
        <v>4</v>
      </c>
      <c r="Q2984" s="4">
        <v>0</v>
      </c>
    </row>
    <row r="2985" spans="1:17" x14ac:dyDescent="0.25">
      <c r="A2985" s="3" t="s">
        <v>18</v>
      </c>
      <c r="B2985" s="3">
        <v>18415028</v>
      </c>
      <c r="C2985" s="3" t="s">
        <v>3034</v>
      </c>
      <c r="D2985" s="3" t="s">
        <v>20</v>
      </c>
      <c r="E2985" s="3" t="s">
        <v>21</v>
      </c>
      <c r="F2985" s="3" t="s">
        <v>21</v>
      </c>
      <c r="G2985" s="3" t="s">
        <v>2282</v>
      </c>
      <c r="H2985" s="3" t="s">
        <v>2283</v>
      </c>
      <c r="I2985" s="3" t="s">
        <v>24</v>
      </c>
      <c r="J2985" s="3" t="s">
        <v>24</v>
      </c>
      <c r="K2985" s="3" t="s">
        <v>25</v>
      </c>
      <c r="L2985" s="4">
        <v>0</v>
      </c>
      <c r="M2985" s="3" t="s">
        <v>26</v>
      </c>
      <c r="N2985" s="3" t="s">
        <v>24</v>
      </c>
      <c r="O2985" s="4">
        <v>0</v>
      </c>
      <c r="P2985" s="4">
        <v>4</v>
      </c>
      <c r="Q2985" s="4">
        <v>0</v>
      </c>
    </row>
    <row r="2986" spans="1:17" x14ac:dyDescent="0.25">
      <c r="A2986" s="3" t="s">
        <v>18</v>
      </c>
      <c r="B2986" s="3">
        <v>18415032</v>
      </c>
      <c r="C2986" s="3" t="s">
        <v>3035</v>
      </c>
      <c r="D2986" s="3" t="s">
        <v>20</v>
      </c>
      <c r="E2986" s="3" t="s">
        <v>21</v>
      </c>
      <c r="F2986" s="3" t="s">
        <v>21</v>
      </c>
      <c r="G2986" s="3" t="s">
        <v>2282</v>
      </c>
      <c r="H2986" s="3" t="s">
        <v>2283</v>
      </c>
      <c r="I2986" s="3" t="s">
        <v>24</v>
      </c>
      <c r="J2986" s="3" t="s">
        <v>24</v>
      </c>
      <c r="K2986" s="3" t="s">
        <v>25</v>
      </c>
      <c r="L2986" s="4">
        <v>0</v>
      </c>
      <c r="M2986" s="3" t="s">
        <v>26</v>
      </c>
      <c r="N2986" s="3" t="s">
        <v>24</v>
      </c>
      <c r="O2986" s="4">
        <v>0</v>
      </c>
      <c r="P2986" s="4">
        <v>4</v>
      </c>
      <c r="Q2986" s="4">
        <v>0</v>
      </c>
    </row>
    <row r="2987" spans="1:17" x14ac:dyDescent="0.25">
      <c r="A2987" s="3" t="s">
        <v>18</v>
      </c>
      <c r="B2987" s="3">
        <v>18415034</v>
      </c>
      <c r="C2987" s="3" t="s">
        <v>3036</v>
      </c>
      <c r="D2987" s="3" t="s">
        <v>20</v>
      </c>
      <c r="E2987" s="3" t="s">
        <v>21</v>
      </c>
      <c r="F2987" s="3" t="s">
        <v>21</v>
      </c>
      <c r="G2987" s="3" t="s">
        <v>2282</v>
      </c>
      <c r="H2987" s="3" t="s">
        <v>2283</v>
      </c>
      <c r="I2987" s="3" t="s">
        <v>24</v>
      </c>
      <c r="J2987" s="3" t="s">
        <v>24</v>
      </c>
      <c r="K2987" s="3" t="s">
        <v>25</v>
      </c>
      <c r="L2987" s="4">
        <v>0</v>
      </c>
      <c r="M2987" s="3" t="s">
        <v>26</v>
      </c>
      <c r="N2987" s="3" t="s">
        <v>24</v>
      </c>
      <c r="O2987" s="4">
        <v>0</v>
      </c>
      <c r="P2987" s="4">
        <v>4</v>
      </c>
      <c r="Q2987" s="4">
        <v>0</v>
      </c>
    </row>
    <row r="2988" spans="1:17" x14ac:dyDescent="0.25">
      <c r="A2988" s="3" t="s">
        <v>18</v>
      </c>
      <c r="B2988" s="3">
        <v>18422657</v>
      </c>
      <c r="C2988" s="3" t="s">
        <v>2303</v>
      </c>
      <c r="D2988" s="3" t="s">
        <v>20</v>
      </c>
      <c r="E2988" s="3" t="s">
        <v>21</v>
      </c>
      <c r="F2988" s="3" t="s">
        <v>21</v>
      </c>
      <c r="G2988" s="3" t="s">
        <v>22</v>
      </c>
      <c r="H2988" s="3" t="s">
        <v>23</v>
      </c>
      <c r="I2988" s="3" t="s">
        <v>24</v>
      </c>
      <c r="J2988" s="3" t="s">
        <v>24</v>
      </c>
      <c r="K2988" s="3" t="s">
        <v>25</v>
      </c>
      <c r="L2988" s="4">
        <v>0</v>
      </c>
      <c r="M2988" s="3" t="s">
        <v>26</v>
      </c>
      <c r="N2988" s="3" t="s">
        <v>24</v>
      </c>
      <c r="O2988" s="4">
        <v>1</v>
      </c>
      <c r="P2988" s="4">
        <v>4</v>
      </c>
      <c r="Q2988" s="4">
        <v>1</v>
      </c>
    </row>
    <row r="2989" spans="1:17" x14ac:dyDescent="0.25">
      <c r="A2989" s="3" t="s">
        <v>18</v>
      </c>
      <c r="B2989" s="3">
        <v>18422959</v>
      </c>
      <c r="C2989" s="3" t="s">
        <v>2462</v>
      </c>
      <c r="D2989" s="3" t="s">
        <v>20</v>
      </c>
      <c r="E2989" s="3" t="s">
        <v>21</v>
      </c>
      <c r="F2989" s="3" t="s">
        <v>21</v>
      </c>
      <c r="G2989" s="3" t="s">
        <v>22</v>
      </c>
      <c r="H2989" s="3" t="s">
        <v>23</v>
      </c>
      <c r="I2989" s="3" t="s">
        <v>24</v>
      </c>
      <c r="J2989" s="3" t="s">
        <v>24</v>
      </c>
      <c r="K2989" s="3" t="s">
        <v>25</v>
      </c>
      <c r="L2989" s="4">
        <v>0</v>
      </c>
      <c r="M2989" s="3" t="s">
        <v>26</v>
      </c>
      <c r="N2989" s="3" t="s">
        <v>24</v>
      </c>
      <c r="O2989" s="4">
        <v>1</v>
      </c>
      <c r="P2989" s="4">
        <v>4</v>
      </c>
      <c r="Q2989" s="4">
        <v>1</v>
      </c>
    </row>
    <row r="2990" spans="1:17" x14ac:dyDescent="0.25">
      <c r="A2990" s="3" t="s">
        <v>18</v>
      </c>
      <c r="B2990" s="3">
        <v>18422961</v>
      </c>
      <c r="C2990" s="3" t="s">
        <v>2304</v>
      </c>
      <c r="D2990" s="3" t="s">
        <v>20</v>
      </c>
      <c r="E2990" s="3" t="s">
        <v>21</v>
      </c>
      <c r="F2990" s="3" t="s">
        <v>21</v>
      </c>
      <c r="G2990" s="3" t="s">
        <v>22</v>
      </c>
      <c r="H2990" s="3" t="s">
        <v>23</v>
      </c>
      <c r="I2990" s="3" t="s">
        <v>24</v>
      </c>
      <c r="J2990" s="3" t="s">
        <v>24</v>
      </c>
      <c r="K2990" s="3" t="s">
        <v>25</v>
      </c>
      <c r="L2990" s="4">
        <v>0</v>
      </c>
      <c r="M2990" s="3" t="s">
        <v>26</v>
      </c>
      <c r="N2990" s="3" t="s">
        <v>24</v>
      </c>
      <c r="O2990" s="4">
        <v>1</v>
      </c>
      <c r="P2990" s="4">
        <v>4</v>
      </c>
      <c r="Q2990" s="4">
        <v>1</v>
      </c>
    </row>
    <row r="2991" spans="1:17" x14ac:dyDescent="0.25">
      <c r="A2991" s="3" t="s">
        <v>18</v>
      </c>
      <c r="B2991" s="3">
        <v>18422962</v>
      </c>
      <c r="C2991" s="3" t="s">
        <v>2463</v>
      </c>
      <c r="D2991" s="3" t="s">
        <v>20</v>
      </c>
      <c r="E2991" s="3" t="s">
        <v>21</v>
      </c>
      <c r="F2991" s="3" t="s">
        <v>21</v>
      </c>
      <c r="G2991" s="3" t="s">
        <v>22</v>
      </c>
      <c r="H2991" s="3" t="s">
        <v>23</v>
      </c>
      <c r="I2991" s="3" t="s">
        <v>24</v>
      </c>
      <c r="J2991" s="3" t="s">
        <v>24</v>
      </c>
      <c r="K2991" s="3" t="s">
        <v>25</v>
      </c>
      <c r="L2991" s="4">
        <v>0</v>
      </c>
      <c r="M2991" s="3" t="s">
        <v>26</v>
      </c>
      <c r="N2991" s="3" t="s">
        <v>24</v>
      </c>
      <c r="O2991" s="4">
        <v>1</v>
      </c>
      <c r="P2991" s="4">
        <v>4</v>
      </c>
      <c r="Q2991" s="4">
        <v>1</v>
      </c>
    </row>
    <row r="2992" spans="1:17" x14ac:dyDescent="0.25">
      <c r="A2992" s="3" t="s">
        <v>18</v>
      </c>
      <c r="B2992" s="3">
        <v>18422963</v>
      </c>
      <c r="C2992" s="3" t="s">
        <v>2305</v>
      </c>
      <c r="D2992" s="3" t="s">
        <v>20</v>
      </c>
      <c r="E2992" s="3" t="s">
        <v>21</v>
      </c>
      <c r="F2992" s="3" t="s">
        <v>21</v>
      </c>
      <c r="G2992" s="3" t="s">
        <v>22</v>
      </c>
      <c r="H2992" s="3" t="s">
        <v>23</v>
      </c>
      <c r="I2992" s="3" t="s">
        <v>24</v>
      </c>
      <c r="J2992" s="3" t="s">
        <v>24</v>
      </c>
      <c r="K2992" s="3" t="s">
        <v>25</v>
      </c>
      <c r="L2992" s="4">
        <v>0</v>
      </c>
      <c r="M2992" s="3" t="s">
        <v>26</v>
      </c>
      <c r="N2992" s="3" t="s">
        <v>24</v>
      </c>
      <c r="O2992" s="4">
        <v>1</v>
      </c>
      <c r="P2992" s="4">
        <v>4</v>
      </c>
      <c r="Q2992" s="4">
        <v>1</v>
      </c>
    </row>
    <row r="2993" spans="1:17" x14ac:dyDescent="0.25">
      <c r="A2993" s="3" t="s">
        <v>18</v>
      </c>
      <c r="B2993" s="3">
        <v>18422967</v>
      </c>
      <c r="C2993" s="3" t="s">
        <v>2464</v>
      </c>
      <c r="D2993" s="3" t="s">
        <v>20</v>
      </c>
      <c r="E2993" s="3" t="s">
        <v>21</v>
      </c>
      <c r="F2993" s="3" t="s">
        <v>21</v>
      </c>
      <c r="G2993" s="3" t="s">
        <v>22</v>
      </c>
      <c r="H2993" s="3" t="s">
        <v>23</v>
      </c>
      <c r="I2993" s="3" t="s">
        <v>24</v>
      </c>
      <c r="J2993" s="3" t="s">
        <v>24</v>
      </c>
      <c r="K2993" s="3" t="s">
        <v>25</v>
      </c>
      <c r="L2993" s="4">
        <v>0</v>
      </c>
      <c r="M2993" s="3" t="s">
        <v>26</v>
      </c>
      <c r="N2993" s="3" t="s">
        <v>24</v>
      </c>
      <c r="O2993" s="4">
        <v>1</v>
      </c>
      <c r="P2993" s="4">
        <v>4</v>
      </c>
      <c r="Q2993" s="4">
        <v>1</v>
      </c>
    </row>
    <row r="2994" spans="1:17" x14ac:dyDescent="0.25">
      <c r="A2994" s="3" t="s">
        <v>18</v>
      </c>
      <c r="B2994" s="3">
        <v>18424519</v>
      </c>
      <c r="C2994" s="3" t="s">
        <v>2394</v>
      </c>
      <c r="D2994" s="3" t="s">
        <v>20</v>
      </c>
      <c r="E2994" s="3" t="s">
        <v>21</v>
      </c>
      <c r="F2994" s="3" t="s">
        <v>21</v>
      </c>
      <c r="G2994" s="3" t="s">
        <v>233</v>
      </c>
      <c r="H2994" s="3" t="s">
        <v>234</v>
      </c>
      <c r="I2994" s="3" t="s">
        <v>24</v>
      </c>
      <c r="J2994" s="3" t="s">
        <v>24</v>
      </c>
      <c r="K2994" s="3" t="s">
        <v>25</v>
      </c>
      <c r="L2994" s="4">
        <v>0</v>
      </c>
      <c r="M2994" s="3" t="s">
        <v>26</v>
      </c>
      <c r="N2994" s="3" t="s">
        <v>24</v>
      </c>
      <c r="O2994" s="4">
        <v>1</v>
      </c>
      <c r="P2994" s="4">
        <v>4</v>
      </c>
      <c r="Q2994" s="4">
        <v>1</v>
      </c>
    </row>
    <row r="2995" spans="1:17" x14ac:dyDescent="0.25">
      <c r="A2995" s="3" t="s">
        <v>18</v>
      </c>
      <c r="B2995" s="3">
        <v>18424521</v>
      </c>
      <c r="C2995" s="3" t="s">
        <v>2400</v>
      </c>
      <c r="D2995" s="3" t="s">
        <v>20</v>
      </c>
      <c r="E2995" s="3" t="s">
        <v>21</v>
      </c>
      <c r="F2995" s="3" t="s">
        <v>21</v>
      </c>
      <c r="G2995" s="3" t="s">
        <v>233</v>
      </c>
      <c r="H2995" s="3" t="s">
        <v>234</v>
      </c>
      <c r="I2995" s="3" t="s">
        <v>24</v>
      </c>
      <c r="J2995" s="3" t="s">
        <v>24</v>
      </c>
      <c r="K2995" s="3" t="s">
        <v>25</v>
      </c>
      <c r="L2995" s="4">
        <v>0</v>
      </c>
      <c r="M2995" s="3" t="s">
        <v>26</v>
      </c>
      <c r="N2995" s="3" t="s">
        <v>24</v>
      </c>
      <c r="O2995" s="4">
        <v>1</v>
      </c>
      <c r="P2995" s="4">
        <v>4</v>
      </c>
      <c r="Q2995" s="4">
        <v>1</v>
      </c>
    </row>
    <row r="2996" spans="1:17" x14ac:dyDescent="0.25">
      <c r="A2996" s="3" t="s">
        <v>18</v>
      </c>
      <c r="B2996" s="3">
        <v>18424568</v>
      </c>
      <c r="C2996" s="3" t="s">
        <v>2468</v>
      </c>
      <c r="D2996" s="3" t="s">
        <v>20</v>
      </c>
      <c r="E2996" s="3" t="s">
        <v>21</v>
      </c>
      <c r="F2996" s="3" t="s">
        <v>21</v>
      </c>
      <c r="G2996" s="3" t="s">
        <v>233</v>
      </c>
      <c r="H2996" s="3" t="s">
        <v>234</v>
      </c>
      <c r="I2996" s="3" t="s">
        <v>24</v>
      </c>
      <c r="J2996" s="3" t="s">
        <v>24</v>
      </c>
      <c r="K2996" s="3" t="s">
        <v>25</v>
      </c>
      <c r="L2996" s="4">
        <v>0</v>
      </c>
      <c r="M2996" s="3" t="s">
        <v>26</v>
      </c>
      <c r="N2996" s="3" t="s">
        <v>24</v>
      </c>
      <c r="O2996" s="4">
        <v>1</v>
      </c>
      <c r="P2996" s="4">
        <v>4</v>
      </c>
      <c r="Q2996" s="4">
        <v>1</v>
      </c>
    </row>
    <row r="2997" spans="1:17" x14ac:dyDescent="0.25">
      <c r="A2997" s="3" t="s">
        <v>18</v>
      </c>
      <c r="B2997" s="3">
        <v>18424574</v>
      </c>
      <c r="C2997" s="3" t="s">
        <v>2474</v>
      </c>
      <c r="D2997" s="3" t="s">
        <v>20</v>
      </c>
      <c r="E2997" s="3" t="s">
        <v>21</v>
      </c>
      <c r="F2997" s="3" t="s">
        <v>21</v>
      </c>
      <c r="G2997" s="3" t="s">
        <v>233</v>
      </c>
      <c r="H2997" s="3" t="s">
        <v>234</v>
      </c>
      <c r="I2997" s="3" t="s">
        <v>24</v>
      </c>
      <c r="J2997" s="3" t="s">
        <v>24</v>
      </c>
      <c r="K2997" s="3" t="s">
        <v>25</v>
      </c>
      <c r="L2997" s="4">
        <v>0</v>
      </c>
      <c r="M2997" s="3" t="s">
        <v>26</v>
      </c>
      <c r="N2997" s="3" t="s">
        <v>24</v>
      </c>
      <c r="O2997" s="4">
        <v>1</v>
      </c>
      <c r="P2997" s="4">
        <v>4</v>
      </c>
      <c r="Q2997" s="4">
        <v>1</v>
      </c>
    </row>
    <row r="2998" spans="1:17" x14ac:dyDescent="0.25">
      <c r="A2998" s="3" t="s">
        <v>18</v>
      </c>
      <c r="B2998" s="3">
        <v>18424606</v>
      </c>
      <c r="C2998" s="3" t="s">
        <v>2395</v>
      </c>
      <c r="D2998" s="3" t="s">
        <v>20</v>
      </c>
      <c r="E2998" s="3" t="s">
        <v>21</v>
      </c>
      <c r="F2998" s="3" t="s">
        <v>21</v>
      </c>
      <c r="G2998" s="3" t="s">
        <v>233</v>
      </c>
      <c r="H2998" s="3" t="s">
        <v>234</v>
      </c>
      <c r="I2998" s="3" t="s">
        <v>24</v>
      </c>
      <c r="J2998" s="3" t="s">
        <v>24</v>
      </c>
      <c r="K2998" s="3" t="s">
        <v>25</v>
      </c>
      <c r="L2998" s="4">
        <v>0</v>
      </c>
      <c r="M2998" s="3" t="s">
        <v>26</v>
      </c>
      <c r="N2998" s="3" t="s">
        <v>24</v>
      </c>
      <c r="O2998" s="4">
        <v>1</v>
      </c>
      <c r="P2998" s="4">
        <v>4</v>
      </c>
      <c r="Q2998" s="4">
        <v>1</v>
      </c>
    </row>
    <row r="2999" spans="1:17" x14ac:dyDescent="0.25">
      <c r="A2999" s="3" t="s">
        <v>18</v>
      </c>
      <c r="B2999" s="3">
        <v>18424629</v>
      </c>
      <c r="C2999" s="3" t="s">
        <v>2401</v>
      </c>
      <c r="D2999" s="3" t="s">
        <v>20</v>
      </c>
      <c r="E2999" s="3" t="s">
        <v>21</v>
      </c>
      <c r="F2999" s="3" t="s">
        <v>21</v>
      </c>
      <c r="G2999" s="3" t="s">
        <v>233</v>
      </c>
      <c r="H2999" s="3" t="s">
        <v>234</v>
      </c>
      <c r="I2999" s="3" t="s">
        <v>24</v>
      </c>
      <c r="J2999" s="3" t="s">
        <v>24</v>
      </c>
      <c r="K2999" s="3" t="s">
        <v>25</v>
      </c>
      <c r="L2999" s="4">
        <v>0</v>
      </c>
      <c r="M2999" s="3" t="s">
        <v>26</v>
      </c>
      <c r="N2999" s="3" t="s">
        <v>24</v>
      </c>
      <c r="O2999" s="4">
        <v>1</v>
      </c>
      <c r="P2999" s="4">
        <v>4</v>
      </c>
      <c r="Q2999" s="4">
        <v>1</v>
      </c>
    </row>
    <row r="3000" spans="1:17" x14ac:dyDescent="0.25">
      <c r="A3000" s="3" t="s">
        <v>18</v>
      </c>
      <c r="B3000" s="3">
        <v>18424633</v>
      </c>
      <c r="C3000" s="3" t="s">
        <v>2469</v>
      </c>
      <c r="D3000" s="3" t="s">
        <v>20</v>
      </c>
      <c r="E3000" s="3" t="s">
        <v>21</v>
      </c>
      <c r="F3000" s="3" t="s">
        <v>21</v>
      </c>
      <c r="G3000" s="3" t="s">
        <v>233</v>
      </c>
      <c r="H3000" s="3" t="s">
        <v>234</v>
      </c>
      <c r="I3000" s="3" t="s">
        <v>24</v>
      </c>
      <c r="J3000" s="3" t="s">
        <v>24</v>
      </c>
      <c r="K3000" s="3" t="s">
        <v>25</v>
      </c>
      <c r="L3000" s="4">
        <v>0</v>
      </c>
      <c r="M3000" s="3" t="s">
        <v>26</v>
      </c>
      <c r="N3000" s="3" t="s">
        <v>24</v>
      </c>
      <c r="O3000" s="4">
        <v>1</v>
      </c>
      <c r="P3000" s="4">
        <v>4</v>
      </c>
      <c r="Q3000" s="4">
        <v>1</v>
      </c>
    </row>
    <row r="3001" spans="1:17" x14ac:dyDescent="0.25">
      <c r="A3001" s="3" t="s">
        <v>18</v>
      </c>
      <c r="B3001" s="3">
        <v>18424635</v>
      </c>
      <c r="C3001" s="3" t="s">
        <v>2475</v>
      </c>
      <c r="D3001" s="3" t="s">
        <v>20</v>
      </c>
      <c r="E3001" s="3" t="s">
        <v>21</v>
      </c>
      <c r="F3001" s="3" t="s">
        <v>21</v>
      </c>
      <c r="G3001" s="3" t="s">
        <v>233</v>
      </c>
      <c r="H3001" s="3" t="s">
        <v>234</v>
      </c>
      <c r="I3001" s="3" t="s">
        <v>24</v>
      </c>
      <c r="J3001" s="3" t="s">
        <v>24</v>
      </c>
      <c r="K3001" s="3" t="s">
        <v>25</v>
      </c>
      <c r="L3001" s="4">
        <v>0</v>
      </c>
      <c r="M3001" s="3" t="s">
        <v>26</v>
      </c>
      <c r="N3001" s="3" t="s">
        <v>24</v>
      </c>
      <c r="O3001" s="4">
        <v>1</v>
      </c>
      <c r="P3001" s="4">
        <v>4</v>
      </c>
      <c r="Q3001" s="4">
        <v>1</v>
      </c>
    </row>
    <row r="3002" spans="1:17" x14ac:dyDescent="0.25">
      <c r="A3002" s="3" t="s">
        <v>18</v>
      </c>
      <c r="B3002" s="3">
        <v>18424637</v>
      </c>
      <c r="C3002" s="3" t="s">
        <v>2396</v>
      </c>
      <c r="D3002" s="3" t="s">
        <v>20</v>
      </c>
      <c r="E3002" s="3" t="s">
        <v>21</v>
      </c>
      <c r="F3002" s="3" t="s">
        <v>21</v>
      </c>
      <c r="G3002" s="3" t="s">
        <v>233</v>
      </c>
      <c r="H3002" s="3" t="s">
        <v>234</v>
      </c>
      <c r="I3002" s="3" t="s">
        <v>24</v>
      </c>
      <c r="J3002" s="3" t="s">
        <v>24</v>
      </c>
      <c r="K3002" s="3" t="s">
        <v>25</v>
      </c>
      <c r="L3002" s="4">
        <v>0</v>
      </c>
      <c r="M3002" s="3" t="s">
        <v>26</v>
      </c>
      <c r="N3002" s="3" t="s">
        <v>24</v>
      </c>
      <c r="O3002" s="4">
        <v>1</v>
      </c>
      <c r="P3002" s="4">
        <v>4</v>
      </c>
      <c r="Q3002" s="4">
        <v>1</v>
      </c>
    </row>
    <row r="3003" spans="1:17" x14ac:dyDescent="0.25">
      <c r="A3003" s="3" t="s">
        <v>18</v>
      </c>
      <c r="B3003" s="3">
        <v>18424718</v>
      </c>
      <c r="C3003" s="3" t="s">
        <v>2402</v>
      </c>
      <c r="D3003" s="3" t="s">
        <v>20</v>
      </c>
      <c r="E3003" s="3" t="s">
        <v>21</v>
      </c>
      <c r="F3003" s="3" t="s">
        <v>21</v>
      </c>
      <c r="G3003" s="3" t="s">
        <v>233</v>
      </c>
      <c r="H3003" s="3" t="s">
        <v>234</v>
      </c>
      <c r="I3003" s="3" t="s">
        <v>24</v>
      </c>
      <c r="J3003" s="3" t="s">
        <v>24</v>
      </c>
      <c r="K3003" s="3" t="s">
        <v>25</v>
      </c>
      <c r="L3003" s="4">
        <v>0</v>
      </c>
      <c r="M3003" s="3" t="s">
        <v>26</v>
      </c>
      <c r="N3003" s="3" t="s">
        <v>24</v>
      </c>
      <c r="O3003" s="4">
        <v>1</v>
      </c>
      <c r="P3003" s="4">
        <v>4</v>
      </c>
      <c r="Q3003" s="4">
        <v>1</v>
      </c>
    </row>
    <row r="3004" spans="1:17" x14ac:dyDescent="0.25">
      <c r="A3004" s="3" t="s">
        <v>18</v>
      </c>
      <c r="B3004" s="3">
        <v>18424720</v>
      </c>
      <c r="C3004" s="3" t="s">
        <v>2470</v>
      </c>
      <c r="D3004" s="3" t="s">
        <v>20</v>
      </c>
      <c r="E3004" s="3" t="s">
        <v>21</v>
      </c>
      <c r="F3004" s="3" t="s">
        <v>21</v>
      </c>
      <c r="G3004" s="3" t="s">
        <v>233</v>
      </c>
      <c r="H3004" s="3" t="s">
        <v>234</v>
      </c>
      <c r="I3004" s="3" t="s">
        <v>24</v>
      </c>
      <c r="J3004" s="3" t="s">
        <v>24</v>
      </c>
      <c r="K3004" s="3" t="s">
        <v>25</v>
      </c>
      <c r="L3004" s="4">
        <v>0</v>
      </c>
      <c r="M3004" s="3" t="s">
        <v>26</v>
      </c>
      <c r="N3004" s="3" t="s">
        <v>24</v>
      </c>
      <c r="O3004" s="4">
        <v>1</v>
      </c>
      <c r="P3004" s="4">
        <v>4</v>
      </c>
      <c r="Q3004" s="4">
        <v>1</v>
      </c>
    </row>
    <row r="3005" spans="1:17" x14ac:dyDescent="0.25">
      <c r="A3005" s="3" t="s">
        <v>18</v>
      </c>
      <c r="B3005" s="3">
        <v>18424722</v>
      </c>
      <c r="C3005" s="3" t="s">
        <v>2476</v>
      </c>
      <c r="D3005" s="3" t="s">
        <v>20</v>
      </c>
      <c r="E3005" s="3" t="s">
        <v>21</v>
      </c>
      <c r="F3005" s="3" t="s">
        <v>21</v>
      </c>
      <c r="G3005" s="3" t="s">
        <v>233</v>
      </c>
      <c r="H3005" s="3" t="s">
        <v>234</v>
      </c>
      <c r="I3005" s="3" t="s">
        <v>24</v>
      </c>
      <c r="J3005" s="3" t="s">
        <v>24</v>
      </c>
      <c r="K3005" s="3" t="s">
        <v>25</v>
      </c>
      <c r="L3005" s="4">
        <v>0</v>
      </c>
      <c r="M3005" s="3" t="s">
        <v>26</v>
      </c>
      <c r="N3005" s="3" t="s">
        <v>24</v>
      </c>
      <c r="O3005" s="4">
        <v>1</v>
      </c>
      <c r="P3005" s="4">
        <v>4</v>
      </c>
      <c r="Q3005" s="4">
        <v>1</v>
      </c>
    </row>
    <row r="3006" spans="1:17" x14ac:dyDescent="0.25">
      <c r="A3006" s="3" t="s">
        <v>18</v>
      </c>
      <c r="B3006" s="3">
        <v>18424778</v>
      </c>
      <c r="C3006" s="3" t="s">
        <v>2405</v>
      </c>
      <c r="D3006" s="3" t="s">
        <v>20</v>
      </c>
      <c r="E3006" s="3" t="s">
        <v>21</v>
      </c>
      <c r="F3006" s="3" t="s">
        <v>21</v>
      </c>
      <c r="G3006" s="3" t="s">
        <v>233</v>
      </c>
      <c r="H3006" s="3" t="s">
        <v>234</v>
      </c>
      <c r="I3006" s="3" t="s">
        <v>24</v>
      </c>
      <c r="J3006" s="3" t="s">
        <v>24</v>
      </c>
      <c r="K3006" s="3" t="s">
        <v>25</v>
      </c>
      <c r="L3006" s="4">
        <v>0</v>
      </c>
      <c r="M3006" s="3" t="s">
        <v>26</v>
      </c>
      <c r="N3006" s="3" t="s">
        <v>24</v>
      </c>
      <c r="O3006" s="4">
        <v>1</v>
      </c>
      <c r="P3006" s="4">
        <v>3</v>
      </c>
      <c r="Q3006" s="4">
        <v>1</v>
      </c>
    </row>
    <row r="3007" spans="1:17" x14ac:dyDescent="0.25">
      <c r="A3007" s="3" t="s">
        <v>18</v>
      </c>
      <c r="B3007" s="3">
        <v>18424780</v>
      </c>
      <c r="C3007" s="3" t="s">
        <v>2406</v>
      </c>
      <c r="D3007" s="3" t="s">
        <v>20</v>
      </c>
      <c r="E3007" s="3" t="s">
        <v>21</v>
      </c>
      <c r="F3007" s="3" t="s">
        <v>21</v>
      </c>
      <c r="G3007" s="3" t="s">
        <v>233</v>
      </c>
      <c r="H3007" s="3" t="s">
        <v>234</v>
      </c>
      <c r="I3007" s="3" t="s">
        <v>24</v>
      </c>
      <c r="J3007" s="3" t="s">
        <v>24</v>
      </c>
      <c r="K3007" s="3" t="s">
        <v>25</v>
      </c>
      <c r="L3007" s="4">
        <v>0</v>
      </c>
      <c r="M3007" s="3" t="s">
        <v>26</v>
      </c>
      <c r="N3007" s="3" t="s">
        <v>24</v>
      </c>
      <c r="O3007" s="4">
        <v>1</v>
      </c>
      <c r="P3007" s="4">
        <v>3</v>
      </c>
      <c r="Q3007" s="4">
        <v>1</v>
      </c>
    </row>
    <row r="3008" spans="1:17" x14ac:dyDescent="0.25">
      <c r="A3008" s="3" t="s">
        <v>18</v>
      </c>
      <c r="B3008" s="3">
        <v>18424782</v>
      </c>
      <c r="C3008" s="3" t="s">
        <v>2480</v>
      </c>
      <c r="D3008" s="3" t="s">
        <v>20</v>
      </c>
      <c r="E3008" s="3" t="s">
        <v>21</v>
      </c>
      <c r="F3008" s="3" t="s">
        <v>21</v>
      </c>
      <c r="G3008" s="3" t="s">
        <v>233</v>
      </c>
      <c r="H3008" s="3" t="s">
        <v>234</v>
      </c>
      <c r="I3008" s="3" t="s">
        <v>24</v>
      </c>
      <c r="J3008" s="3" t="s">
        <v>24</v>
      </c>
      <c r="K3008" s="3" t="s">
        <v>25</v>
      </c>
      <c r="L3008" s="4">
        <v>0</v>
      </c>
      <c r="M3008" s="3" t="s">
        <v>26</v>
      </c>
      <c r="N3008" s="3" t="s">
        <v>24</v>
      </c>
      <c r="O3008" s="4">
        <v>1</v>
      </c>
      <c r="P3008" s="4">
        <v>3</v>
      </c>
      <c r="Q3008" s="4">
        <v>1</v>
      </c>
    </row>
    <row r="3009" spans="1:17" x14ac:dyDescent="0.25">
      <c r="A3009" s="3" t="s">
        <v>18</v>
      </c>
      <c r="B3009" s="3">
        <v>18424784</v>
      </c>
      <c r="C3009" s="3" t="s">
        <v>2486</v>
      </c>
      <c r="D3009" s="3" t="s">
        <v>20</v>
      </c>
      <c r="E3009" s="3" t="s">
        <v>21</v>
      </c>
      <c r="F3009" s="3" t="s">
        <v>21</v>
      </c>
      <c r="G3009" s="3" t="s">
        <v>233</v>
      </c>
      <c r="H3009" s="3" t="s">
        <v>234</v>
      </c>
      <c r="I3009" s="3" t="s">
        <v>24</v>
      </c>
      <c r="J3009" s="3" t="s">
        <v>24</v>
      </c>
      <c r="K3009" s="3" t="s">
        <v>25</v>
      </c>
      <c r="L3009" s="4">
        <v>0</v>
      </c>
      <c r="M3009" s="3" t="s">
        <v>26</v>
      </c>
      <c r="N3009" s="3" t="s">
        <v>24</v>
      </c>
      <c r="O3009" s="4">
        <v>1</v>
      </c>
      <c r="P3009" s="4">
        <v>3</v>
      </c>
      <c r="Q3009" s="4">
        <v>1</v>
      </c>
    </row>
    <row r="3010" spans="1:17" x14ac:dyDescent="0.25">
      <c r="A3010" s="3" t="s">
        <v>18</v>
      </c>
      <c r="B3010" s="3">
        <v>18424822</v>
      </c>
      <c r="C3010" s="3" t="s">
        <v>2174</v>
      </c>
      <c r="D3010" s="3" t="s">
        <v>20</v>
      </c>
      <c r="E3010" s="3" t="s">
        <v>21</v>
      </c>
      <c r="F3010" s="3" t="s">
        <v>21</v>
      </c>
      <c r="G3010" s="3" t="s">
        <v>233</v>
      </c>
      <c r="H3010" s="3" t="s">
        <v>234</v>
      </c>
      <c r="I3010" s="3" t="s">
        <v>24</v>
      </c>
      <c r="J3010" s="3" t="s">
        <v>24</v>
      </c>
      <c r="K3010" s="3" t="s">
        <v>25</v>
      </c>
      <c r="L3010" s="4">
        <v>0</v>
      </c>
      <c r="M3010" s="3" t="s">
        <v>26</v>
      </c>
      <c r="N3010" s="3" t="s">
        <v>24</v>
      </c>
      <c r="O3010" s="4">
        <v>1</v>
      </c>
      <c r="P3010" s="4">
        <v>3</v>
      </c>
      <c r="Q3010" s="4">
        <v>1</v>
      </c>
    </row>
    <row r="3011" spans="1:17" x14ac:dyDescent="0.25">
      <c r="A3011" s="3" t="s">
        <v>18</v>
      </c>
      <c r="B3011" s="3">
        <v>18424823</v>
      </c>
      <c r="C3011" s="3" t="s">
        <v>2181</v>
      </c>
      <c r="D3011" s="3" t="s">
        <v>20</v>
      </c>
      <c r="E3011" s="3" t="s">
        <v>21</v>
      </c>
      <c r="F3011" s="3" t="s">
        <v>21</v>
      </c>
      <c r="G3011" s="3" t="s">
        <v>233</v>
      </c>
      <c r="H3011" s="3" t="s">
        <v>234</v>
      </c>
      <c r="I3011" s="3" t="s">
        <v>24</v>
      </c>
      <c r="J3011" s="3" t="s">
        <v>24</v>
      </c>
      <c r="K3011" s="3" t="s">
        <v>25</v>
      </c>
      <c r="L3011" s="4">
        <v>0</v>
      </c>
      <c r="M3011" s="3" t="s">
        <v>26</v>
      </c>
      <c r="N3011" s="3" t="s">
        <v>24</v>
      </c>
      <c r="O3011" s="4">
        <v>1</v>
      </c>
      <c r="P3011" s="4">
        <v>3</v>
      </c>
      <c r="Q3011" s="4">
        <v>1</v>
      </c>
    </row>
    <row r="3012" spans="1:17" x14ac:dyDescent="0.25">
      <c r="A3012" s="3" t="s">
        <v>18</v>
      </c>
      <c r="B3012" s="3">
        <v>18424824</v>
      </c>
      <c r="C3012" s="3" t="s">
        <v>2481</v>
      </c>
      <c r="D3012" s="3" t="s">
        <v>20</v>
      </c>
      <c r="E3012" s="3" t="s">
        <v>21</v>
      </c>
      <c r="F3012" s="3" t="s">
        <v>21</v>
      </c>
      <c r="G3012" s="3" t="s">
        <v>233</v>
      </c>
      <c r="H3012" s="3" t="s">
        <v>234</v>
      </c>
      <c r="I3012" s="3" t="s">
        <v>24</v>
      </c>
      <c r="J3012" s="3" t="s">
        <v>24</v>
      </c>
      <c r="K3012" s="3" t="s">
        <v>25</v>
      </c>
      <c r="L3012" s="4">
        <v>0</v>
      </c>
      <c r="M3012" s="3" t="s">
        <v>26</v>
      </c>
      <c r="N3012" s="3" t="s">
        <v>24</v>
      </c>
      <c r="O3012" s="4">
        <v>1</v>
      </c>
      <c r="P3012" s="4">
        <v>3</v>
      </c>
      <c r="Q3012" s="4">
        <v>1</v>
      </c>
    </row>
    <row r="3013" spans="1:17" x14ac:dyDescent="0.25">
      <c r="A3013" s="3" t="s">
        <v>18</v>
      </c>
      <c r="B3013" s="3">
        <v>18424825</v>
      </c>
      <c r="C3013" s="3" t="s">
        <v>2487</v>
      </c>
      <c r="D3013" s="3" t="s">
        <v>20</v>
      </c>
      <c r="E3013" s="3" t="s">
        <v>21</v>
      </c>
      <c r="F3013" s="3" t="s">
        <v>21</v>
      </c>
      <c r="G3013" s="3" t="s">
        <v>233</v>
      </c>
      <c r="H3013" s="3" t="s">
        <v>234</v>
      </c>
      <c r="I3013" s="3" t="s">
        <v>24</v>
      </c>
      <c r="J3013" s="3" t="s">
        <v>24</v>
      </c>
      <c r="K3013" s="3" t="s">
        <v>25</v>
      </c>
      <c r="L3013" s="4">
        <v>0</v>
      </c>
      <c r="M3013" s="3" t="s">
        <v>26</v>
      </c>
      <c r="N3013" s="3" t="s">
        <v>24</v>
      </c>
      <c r="O3013" s="4">
        <v>1</v>
      </c>
      <c r="P3013" s="4">
        <v>3</v>
      </c>
      <c r="Q3013" s="4">
        <v>1</v>
      </c>
    </row>
    <row r="3014" spans="1:17" x14ac:dyDescent="0.25">
      <c r="A3014" s="3" t="s">
        <v>18</v>
      </c>
      <c r="B3014" s="3">
        <v>18424827</v>
      </c>
      <c r="C3014" s="3" t="s">
        <v>2175</v>
      </c>
      <c r="D3014" s="3" t="s">
        <v>20</v>
      </c>
      <c r="E3014" s="3" t="s">
        <v>21</v>
      </c>
      <c r="F3014" s="3" t="s">
        <v>21</v>
      </c>
      <c r="G3014" s="3" t="s">
        <v>233</v>
      </c>
      <c r="H3014" s="3" t="s">
        <v>234</v>
      </c>
      <c r="I3014" s="3" t="s">
        <v>24</v>
      </c>
      <c r="J3014" s="3" t="s">
        <v>24</v>
      </c>
      <c r="K3014" s="3" t="s">
        <v>25</v>
      </c>
      <c r="L3014" s="4">
        <v>0</v>
      </c>
      <c r="M3014" s="3" t="s">
        <v>26</v>
      </c>
      <c r="N3014" s="3" t="s">
        <v>24</v>
      </c>
      <c r="O3014" s="4">
        <v>1</v>
      </c>
      <c r="P3014" s="4">
        <v>3</v>
      </c>
      <c r="Q3014" s="4">
        <v>1</v>
      </c>
    </row>
    <row r="3015" spans="1:17" x14ac:dyDescent="0.25">
      <c r="A3015" s="3" t="s">
        <v>18</v>
      </c>
      <c r="B3015" s="3">
        <v>18424938</v>
      </c>
      <c r="C3015" s="3" t="s">
        <v>2182</v>
      </c>
      <c r="D3015" s="3" t="s">
        <v>20</v>
      </c>
      <c r="E3015" s="3" t="s">
        <v>21</v>
      </c>
      <c r="F3015" s="3" t="s">
        <v>21</v>
      </c>
      <c r="G3015" s="3" t="s">
        <v>233</v>
      </c>
      <c r="H3015" s="3" t="s">
        <v>234</v>
      </c>
      <c r="I3015" s="3" t="s">
        <v>24</v>
      </c>
      <c r="J3015" s="3" t="s">
        <v>24</v>
      </c>
      <c r="K3015" s="3" t="s">
        <v>25</v>
      </c>
      <c r="L3015" s="4">
        <v>0</v>
      </c>
      <c r="M3015" s="3" t="s">
        <v>26</v>
      </c>
      <c r="N3015" s="3" t="s">
        <v>24</v>
      </c>
      <c r="O3015" s="4">
        <v>1</v>
      </c>
      <c r="P3015" s="4">
        <v>3</v>
      </c>
      <c r="Q3015" s="4">
        <v>1</v>
      </c>
    </row>
    <row r="3016" spans="1:17" x14ac:dyDescent="0.25">
      <c r="A3016" s="3" t="s">
        <v>18</v>
      </c>
      <c r="B3016" s="3">
        <v>18424940</v>
      </c>
      <c r="C3016" s="3" t="s">
        <v>2482</v>
      </c>
      <c r="D3016" s="3" t="s">
        <v>20</v>
      </c>
      <c r="E3016" s="3" t="s">
        <v>21</v>
      </c>
      <c r="F3016" s="3" t="s">
        <v>21</v>
      </c>
      <c r="G3016" s="3" t="s">
        <v>233</v>
      </c>
      <c r="H3016" s="3" t="s">
        <v>234</v>
      </c>
      <c r="I3016" s="3" t="s">
        <v>24</v>
      </c>
      <c r="J3016" s="3" t="s">
        <v>24</v>
      </c>
      <c r="K3016" s="3" t="s">
        <v>25</v>
      </c>
      <c r="L3016" s="4">
        <v>0</v>
      </c>
      <c r="M3016" s="3" t="s">
        <v>26</v>
      </c>
      <c r="N3016" s="3" t="s">
        <v>24</v>
      </c>
      <c r="O3016" s="4">
        <v>1</v>
      </c>
      <c r="P3016" s="4">
        <v>3</v>
      </c>
      <c r="Q3016" s="4">
        <v>1</v>
      </c>
    </row>
    <row r="3017" spans="1:17" x14ac:dyDescent="0.25">
      <c r="A3017" s="3" t="s">
        <v>18</v>
      </c>
      <c r="B3017" s="3">
        <v>18424943</v>
      </c>
      <c r="C3017" s="3" t="s">
        <v>2488</v>
      </c>
      <c r="D3017" s="3" t="s">
        <v>20</v>
      </c>
      <c r="E3017" s="3" t="s">
        <v>21</v>
      </c>
      <c r="F3017" s="3" t="s">
        <v>21</v>
      </c>
      <c r="G3017" s="3" t="s">
        <v>233</v>
      </c>
      <c r="H3017" s="3" t="s">
        <v>234</v>
      </c>
      <c r="I3017" s="3" t="s">
        <v>24</v>
      </c>
      <c r="J3017" s="3" t="s">
        <v>24</v>
      </c>
      <c r="K3017" s="3" t="s">
        <v>25</v>
      </c>
      <c r="L3017" s="4">
        <v>0</v>
      </c>
      <c r="M3017" s="3" t="s">
        <v>26</v>
      </c>
      <c r="N3017" s="3" t="s">
        <v>24</v>
      </c>
      <c r="O3017" s="4">
        <v>1</v>
      </c>
      <c r="P3017" s="4">
        <v>3</v>
      </c>
      <c r="Q3017" s="4">
        <v>1</v>
      </c>
    </row>
    <row r="3018" spans="1:17" x14ac:dyDescent="0.25">
      <c r="A3018" s="3" t="s">
        <v>18</v>
      </c>
      <c r="B3018" s="3">
        <v>18425554</v>
      </c>
      <c r="C3018" s="3" t="s">
        <v>2407</v>
      </c>
      <c r="D3018" s="3" t="s">
        <v>20</v>
      </c>
      <c r="E3018" s="3" t="s">
        <v>21</v>
      </c>
      <c r="F3018" s="3" t="s">
        <v>21</v>
      </c>
      <c r="G3018" s="3" t="s">
        <v>233</v>
      </c>
      <c r="H3018" s="3" t="s">
        <v>234</v>
      </c>
      <c r="I3018" s="3" t="s">
        <v>24</v>
      </c>
      <c r="J3018" s="3" t="s">
        <v>24</v>
      </c>
      <c r="K3018" s="3" t="s">
        <v>25</v>
      </c>
      <c r="L3018" s="4">
        <v>0</v>
      </c>
      <c r="M3018" s="3" t="s">
        <v>26</v>
      </c>
      <c r="N3018" s="3" t="s">
        <v>24</v>
      </c>
      <c r="O3018" s="4">
        <v>1</v>
      </c>
      <c r="P3018" s="4">
        <v>3</v>
      </c>
      <c r="Q3018" s="4">
        <v>1</v>
      </c>
    </row>
    <row r="3019" spans="1:17" x14ac:dyDescent="0.25">
      <c r="A3019" s="3" t="s">
        <v>18</v>
      </c>
      <c r="B3019" s="3">
        <v>18433456</v>
      </c>
      <c r="C3019" s="3" t="s">
        <v>3037</v>
      </c>
      <c r="D3019" s="3" t="s">
        <v>20</v>
      </c>
      <c r="E3019" s="3" t="s">
        <v>21</v>
      </c>
      <c r="F3019" s="3" t="s">
        <v>21</v>
      </c>
      <c r="G3019" s="3" t="s">
        <v>2282</v>
      </c>
      <c r="H3019" s="3" t="s">
        <v>2283</v>
      </c>
      <c r="I3019" s="3" t="s">
        <v>24</v>
      </c>
      <c r="J3019" s="3" t="s">
        <v>24</v>
      </c>
      <c r="K3019" s="3" t="s">
        <v>25</v>
      </c>
      <c r="L3019" s="4">
        <v>0</v>
      </c>
      <c r="M3019" s="3" t="s">
        <v>26</v>
      </c>
      <c r="N3019" s="3" t="s">
        <v>24</v>
      </c>
      <c r="O3019" s="4">
        <v>0</v>
      </c>
      <c r="P3019" s="4">
        <v>3</v>
      </c>
      <c r="Q3019" s="4">
        <v>0</v>
      </c>
    </row>
    <row r="3020" spans="1:17" x14ac:dyDescent="0.25">
      <c r="A3020" s="3" t="s">
        <v>18</v>
      </c>
      <c r="B3020" s="3">
        <v>18433528</v>
      </c>
      <c r="C3020" s="3" t="s">
        <v>3038</v>
      </c>
      <c r="D3020" s="3" t="s">
        <v>20</v>
      </c>
      <c r="E3020" s="3" t="s">
        <v>21</v>
      </c>
      <c r="F3020" s="3" t="s">
        <v>21</v>
      </c>
      <c r="G3020" s="3" t="s">
        <v>2282</v>
      </c>
      <c r="H3020" s="3" t="s">
        <v>2283</v>
      </c>
      <c r="I3020" s="3" t="s">
        <v>24</v>
      </c>
      <c r="J3020" s="3" t="s">
        <v>24</v>
      </c>
      <c r="K3020" s="3" t="s">
        <v>25</v>
      </c>
      <c r="L3020" s="4">
        <v>0</v>
      </c>
      <c r="M3020" s="3" t="s">
        <v>26</v>
      </c>
      <c r="N3020" s="3" t="s">
        <v>24</v>
      </c>
      <c r="O3020" s="4">
        <v>0</v>
      </c>
      <c r="P3020" s="4">
        <v>3</v>
      </c>
      <c r="Q3020" s="4">
        <v>0</v>
      </c>
    </row>
    <row r="3021" spans="1:17" x14ac:dyDescent="0.25">
      <c r="A3021" s="3" t="s">
        <v>18</v>
      </c>
      <c r="B3021" s="3">
        <v>18433628</v>
      </c>
      <c r="C3021" s="3" t="s">
        <v>3039</v>
      </c>
      <c r="D3021" s="3" t="s">
        <v>20</v>
      </c>
      <c r="E3021" s="3" t="s">
        <v>21</v>
      </c>
      <c r="F3021" s="3" t="s">
        <v>21</v>
      </c>
      <c r="G3021" s="3" t="s">
        <v>2282</v>
      </c>
      <c r="H3021" s="3" t="s">
        <v>2283</v>
      </c>
      <c r="I3021" s="3" t="s">
        <v>24</v>
      </c>
      <c r="J3021" s="3" t="s">
        <v>24</v>
      </c>
      <c r="K3021" s="3" t="s">
        <v>25</v>
      </c>
      <c r="L3021" s="4">
        <v>0</v>
      </c>
      <c r="M3021" s="3" t="s">
        <v>26</v>
      </c>
      <c r="N3021" s="3" t="s">
        <v>24</v>
      </c>
      <c r="O3021" s="4">
        <v>0</v>
      </c>
      <c r="P3021" s="4">
        <v>3</v>
      </c>
      <c r="Q3021" s="4">
        <v>0</v>
      </c>
    </row>
    <row r="3022" spans="1:17" x14ac:dyDescent="0.25">
      <c r="A3022" s="3" t="s">
        <v>18</v>
      </c>
      <c r="B3022" s="3">
        <v>18433633</v>
      </c>
      <c r="C3022" s="3" t="s">
        <v>3040</v>
      </c>
      <c r="D3022" s="3" t="s">
        <v>20</v>
      </c>
      <c r="E3022" s="3" t="s">
        <v>21</v>
      </c>
      <c r="F3022" s="3" t="s">
        <v>21</v>
      </c>
      <c r="G3022" s="3" t="s">
        <v>233</v>
      </c>
      <c r="H3022" s="3" t="s">
        <v>234</v>
      </c>
      <c r="I3022" s="3" t="s">
        <v>24</v>
      </c>
      <c r="J3022" s="3" t="s">
        <v>24</v>
      </c>
      <c r="K3022" s="3" t="s">
        <v>25</v>
      </c>
      <c r="L3022" s="4">
        <v>0</v>
      </c>
      <c r="M3022" s="3" t="s">
        <v>26</v>
      </c>
      <c r="N3022" s="3" t="s">
        <v>24</v>
      </c>
      <c r="O3022" s="4">
        <v>0</v>
      </c>
      <c r="P3022" s="4">
        <v>3</v>
      </c>
      <c r="Q3022" s="4">
        <v>0</v>
      </c>
    </row>
    <row r="3023" spans="1:17" x14ac:dyDescent="0.25">
      <c r="A3023" s="3" t="s">
        <v>18</v>
      </c>
      <c r="B3023" s="3">
        <v>18433635</v>
      </c>
      <c r="C3023" s="3" t="s">
        <v>3041</v>
      </c>
      <c r="D3023" s="3" t="s">
        <v>20</v>
      </c>
      <c r="E3023" s="3" t="s">
        <v>21</v>
      </c>
      <c r="F3023" s="3" t="s">
        <v>21</v>
      </c>
      <c r="G3023" s="3" t="s">
        <v>2282</v>
      </c>
      <c r="H3023" s="3" t="s">
        <v>2283</v>
      </c>
      <c r="I3023" s="3" t="s">
        <v>24</v>
      </c>
      <c r="J3023" s="3" t="s">
        <v>24</v>
      </c>
      <c r="K3023" s="3" t="s">
        <v>25</v>
      </c>
      <c r="L3023" s="4">
        <v>0</v>
      </c>
      <c r="M3023" s="3" t="s">
        <v>26</v>
      </c>
      <c r="N3023" s="3" t="s">
        <v>24</v>
      </c>
      <c r="O3023" s="4">
        <v>0</v>
      </c>
      <c r="P3023" s="4">
        <v>3</v>
      </c>
      <c r="Q3023" s="4">
        <v>0</v>
      </c>
    </row>
    <row r="3024" spans="1:17" x14ac:dyDescent="0.25">
      <c r="A3024" s="3" t="s">
        <v>18</v>
      </c>
      <c r="B3024" s="3">
        <v>18434378</v>
      </c>
      <c r="C3024" s="3" t="s">
        <v>3042</v>
      </c>
      <c r="D3024" s="3" t="s">
        <v>20</v>
      </c>
      <c r="E3024" s="3" t="s">
        <v>21</v>
      </c>
      <c r="F3024" s="3" t="s">
        <v>21</v>
      </c>
      <c r="G3024" s="3" t="s">
        <v>2282</v>
      </c>
      <c r="H3024" s="3" t="s">
        <v>2283</v>
      </c>
      <c r="I3024" s="3" t="s">
        <v>24</v>
      </c>
      <c r="J3024" s="3" t="s">
        <v>24</v>
      </c>
      <c r="K3024" s="3" t="s">
        <v>25</v>
      </c>
      <c r="L3024" s="4">
        <v>0</v>
      </c>
      <c r="M3024" s="3" t="s">
        <v>26</v>
      </c>
      <c r="N3024" s="3" t="s">
        <v>24</v>
      </c>
      <c r="O3024" s="4">
        <v>0</v>
      </c>
      <c r="P3024" s="4">
        <v>3</v>
      </c>
      <c r="Q3024" s="4">
        <v>0</v>
      </c>
    </row>
    <row r="3025" spans="1:17" x14ac:dyDescent="0.25">
      <c r="A3025" s="3" t="s">
        <v>18</v>
      </c>
      <c r="B3025" s="3">
        <v>18434380</v>
      </c>
      <c r="C3025" s="3" t="s">
        <v>3043</v>
      </c>
      <c r="D3025" s="3" t="s">
        <v>20</v>
      </c>
      <c r="E3025" s="3" t="s">
        <v>21</v>
      </c>
      <c r="F3025" s="3" t="s">
        <v>21</v>
      </c>
      <c r="G3025" s="3" t="s">
        <v>2282</v>
      </c>
      <c r="H3025" s="3" t="s">
        <v>2283</v>
      </c>
      <c r="I3025" s="3" t="s">
        <v>24</v>
      </c>
      <c r="J3025" s="3" t="s">
        <v>24</v>
      </c>
      <c r="K3025" s="3" t="s">
        <v>25</v>
      </c>
      <c r="L3025" s="4">
        <v>0</v>
      </c>
      <c r="M3025" s="3" t="s">
        <v>26</v>
      </c>
      <c r="N3025" s="3" t="s">
        <v>24</v>
      </c>
      <c r="O3025" s="4">
        <v>0</v>
      </c>
      <c r="P3025" s="4">
        <v>3</v>
      </c>
      <c r="Q3025" s="4">
        <v>0</v>
      </c>
    </row>
    <row r="3026" spans="1:17" x14ac:dyDescent="0.25">
      <c r="A3026" s="3" t="s">
        <v>18</v>
      </c>
      <c r="B3026" s="3">
        <v>18434381</v>
      </c>
      <c r="C3026" s="3" t="s">
        <v>3044</v>
      </c>
      <c r="D3026" s="3" t="s">
        <v>20</v>
      </c>
      <c r="E3026" s="3" t="s">
        <v>21</v>
      </c>
      <c r="F3026" s="3" t="s">
        <v>21</v>
      </c>
      <c r="G3026" s="3" t="s">
        <v>2282</v>
      </c>
      <c r="H3026" s="3" t="s">
        <v>2283</v>
      </c>
      <c r="I3026" s="3" t="s">
        <v>24</v>
      </c>
      <c r="J3026" s="3" t="s">
        <v>24</v>
      </c>
      <c r="K3026" s="3" t="s">
        <v>25</v>
      </c>
      <c r="L3026" s="4">
        <v>0</v>
      </c>
      <c r="M3026" s="3" t="s">
        <v>26</v>
      </c>
      <c r="N3026" s="3" t="s">
        <v>24</v>
      </c>
      <c r="O3026" s="4">
        <v>0</v>
      </c>
      <c r="P3026" s="4">
        <v>3</v>
      </c>
      <c r="Q3026" s="4">
        <v>0</v>
      </c>
    </row>
    <row r="3027" spans="1:17" x14ac:dyDescent="0.25">
      <c r="A3027" s="3" t="s">
        <v>18</v>
      </c>
      <c r="B3027" s="3">
        <v>18434461</v>
      </c>
      <c r="C3027" s="3" t="s">
        <v>3045</v>
      </c>
      <c r="D3027" s="3" t="s">
        <v>20</v>
      </c>
      <c r="E3027" s="3" t="s">
        <v>21</v>
      </c>
      <c r="F3027" s="3" t="s">
        <v>21</v>
      </c>
      <c r="G3027" s="3" t="s">
        <v>2282</v>
      </c>
      <c r="H3027" s="3" t="s">
        <v>2283</v>
      </c>
      <c r="I3027" s="3" t="s">
        <v>24</v>
      </c>
      <c r="J3027" s="3" t="s">
        <v>24</v>
      </c>
      <c r="K3027" s="3" t="s">
        <v>25</v>
      </c>
      <c r="L3027" s="4">
        <v>0</v>
      </c>
      <c r="M3027" s="3" t="s">
        <v>26</v>
      </c>
      <c r="N3027" s="3" t="s">
        <v>24</v>
      </c>
      <c r="O3027" s="4">
        <v>0</v>
      </c>
      <c r="P3027" s="4">
        <v>3</v>
      </c>
      <c r="Q3027" s="4">
        <v>0</v>
      </c>
    </row>
    <row r="3028" spans="1:17" x14ac:dyDescent="0.25">
      <c r="A3028" s="3" t="s">
        <v>18</v>
      </c>
      <c r="B3028" s="3">
        <v>18434464</v>
      </c>
      <c r="C3028" s="3" t="s">
        <v>3046</v>
      </c>
      <c r="D3028" s="3" t="s">
        <v>20</v>
      </c>
      <c r="E3028" s="3" t="s">
        <v>21</v>
      </c>
      <c r="F3028" s="3" t="s">
        <v>21</v>
      </c>
      <c r="G3028" s="3" t="s">
        <v>2282</v>
      </c>
      <c r="H3028" s="3" t="s">
        <v>2283</v>
      </c>
      <c r="I3028" s="3" t="s">
        <v>24</v>
      </c>
      <c r="J3028" s="3" t="s">
        <v>24</v>
      </c>
      <c r="K3028" s="3" t="s">
        <v>25</v>
      </c>
      <c r="L3028" s="4">
        <v>0</v>
      </c>
      <c r="M3028" s="3" t="s">
        <v>26</v>
      </c>
      <c r="N3028" s="3" t="s">
        <v>24</v>
      </c>
      <c r="O3028" s="4">
        <v>0</v>
      </c>
      <c r="P3028" s="4">
        <v>3</v>
      </c>
      <c r="Q3028" s="4">
        <v>0</v>
      </c>
    </row>
    <row r="3029" spans="1:17" x14ac:dyDescent="0.25">
      <c r="A3029" s="3" t="s">
        <v>18</v>
      </c>
      <c r="B3029" s="3">
        <v>18434467</v>
      </c>
      <c r="C3029" s="3" t="s">
        <v>3047</v>
      </c>
      <c r="D3029" s="3" t="s">
        <v>20</v>
      </c>
      <c r="E3029" s="3" t="s">
        <v>21</v>
      </c>
      <c r="F3029" s="3" t="s">
        <v>21</v>
      </c>
      <c r="G3029" s="3" t="s">
        <v>2282</v>
      </c>
      <c r="H3029" s="3" t="s">
        <v>2283</v>
      </c>
      <c r="I3029" s="3" t="s">
        <v>24</v>
      </c>
      <c r="J3029" s="3" t="s">
        <v>24</v>
      </c>
      <c r="K3029" s="3" t="s">
        <v>25</v>
      </c>
      <c r="L3029" s="4">
        <v>0</v>
      </c>
      <c r="M3029" s="3" t="s">
        <v>26</v>
      </c>
      <c r="N3029" s="3" t="s">
        <v>24</v>
      </c>
      <c r="O3029" s="4">
        <v>0</v>
      </c>
      <c r="P3029" s="4">
        <v>3</v>
      </c>
      <c r="Q3029" s="4">
        <v>0</v>
      </c>
    </row>
    <row r="3030" spans="1:17" x14ac:dyDescent="0.25">
      <c r="A3030" s="3" t="s">
        <v>18</v>
      </c>
      <c r="B3030" s="3">
        <v>18434601</v>
      </c>
      <c r="C3030" s="3" t="s">
        <v>3048</v>
      </c>
      <c r="D3030" s="3" t="s">
        <v>20</v>
      </c>
      <c r="E3030" s="3" t="s">
        <v>21</v>
      </c>
      <c r="F3030" s="3" t="s">
        <v>21</v>
      </c>
      <c r="G3030" s="3" t="s">
        <v>2282</v>
      </c>
      <c r="H3030" s="3" t="s">
        <v>2283</v>
      </c>
      <c r="I3030" s="3" t="s">
        <v>24</v>
      </c>
      <c r="J3030" s="3" t="s">
        <v>24</v>
      </c>
      <c r="K3030" s="3" t="s">
        <v>25</v>
      </c>
      <c r="L3030" s="4">
        <v>0</v>
      </c>
      <c r="M3030" s="3" t="s">
        <v>26</v>
      </c>
      <c r="N3030" s="3" t="s">
        <v>24</v>
      </c>
      <c r="O3030" s="4">
        <v>0</v>
      </c>
      <c r="P3030" s="4">
        <v>3</v>
      </c>
      <c r="Q3030" s="4">
        <v>0</v>
      </c>
    </row>
    <row r="3031" spans="1:17" x14ac:dyDescent="0.25">
      <c r="A3031" s="3" t="s">
        <v>18</v>
      </c>
      <c r="B3031" s="3">
        <v>18434602</v>
      </c>
      <c r="C3031" s="3" t="s">
        <v>3049</v>
      </c>
      <c r="D3031" s="3" t="s">
        <v>20</v>
      </c>
      <c r="E3031" s="3" t="s">
        <v>21</v>
      </c>
      <c r="F3031" s="3" t="s">
        <v>21</v>
      </c>
      <c r="G3031" s="3" t="s">
        <v>2282</v>
      </c>
      <c r="H3031" s="3" t="s">
        <v>2283</v>
      </c>
      <c r="I3031" s="3" t="s">
        <v>24</v>
      </c>
      <c r="J3031" s="3" t="s">
        <v>24</v>
      </c>
      <c r="K3031" s="3" t="s">
        <v>25</v>
      </c>
      <c r="L3031" s="4">
        <v>0</v>
      </c>
      <c r="M3031" s="3" t="s">
        <v>26</v>
      </c>
      <c r="N3031" s="3" t="s">
        <v>24</v>
      </c>
      <c r="O3031" s="4">
        <v>0</v>
      </c>
      <c r="P3031" s="4">
        <v>3</v>
      </c>
      <c r="Q3031" s="4">
        <v>0</v>
      </c>
    </row>
    <row r="3032" spans="1:17" x14ac:dyDescent="0.25">
      <c r="A3032" s="3" t="s">
        <v>18</v>
      </c>
      <c r="B3032" s="3">
        <v>18434605</v>
      </c>
      <c r="C3032" s="3" t="s">
        <v>3050</v>
      </c>
      <c r="D3032" s="3" t="s">
        <v>20</v>
      </c>
      <c r="E3032" s="3" t="s">
        <v>21</v>
      </c>
      <c r="F3032" s="3" t="s">
        <v>21</v>
      </c>
      <c r="G3032" s="3" t="s">
        <v>2282</v>
      </c>
      <c r="H3032" s="3" t="s">
        <v>2283</v>
      </c>
      <c r="I3032" s="3" t="s">
        <v>24</v>
      </c>
      <c r="J3032" s="3" t="s">
        <v>24</v>
      </c>
      <c r="K3032" s="3" t="s">
        <v>25</v>
      </c>
      <c r="L3032" s="4">
        <v>0</v>
      </c>
      <c r="M3032" s="3" t="s">
        <v>26</v>
      </c>
      <c r="N3032" s="3" t="s">
        <v>24</v>
      </c>
      <c r="O3032" s="4">
        <v>0</v>
      </c>
      <c r="P3032" s="4">
        <v>3</v>
      </c>
      <c r="Q3032" s="4">
        <v>0</v>
      </c>
    </row>
    <row r="3033" spans="1:17" x14ac:dyDescent="0.25">
      <c r="A3033" s="3" t="s">
        <v>18</v>
      </c>
      <c r="B3033" s="3">
        <v>18434663</v>
      </c>
      <c r="C3033" s="3" t="s">
        <v>3051</v>
      </c>
      <c r="D3033" s="3" t="s">
        <v>20</v>
      </c>
      <c r="E3033" s="3" t="s">
        <v>21</v>
      </c>
      <c r="F3033" s="3" t="s">
        <v>21</v>
      </c>
      <c r="G3033" s="3" t="s">
        <v>2282</v>
      </c>
      <c r="H3033" s="3" t="s">
        <v>2283</v>
      </c>
      <c r="I3033" s="3" t="s">
        <v>24</v>
      </c>
      <c r="J3033" s="3" t="s">
        <v>24</v>
      </c>
      <c r="K3033" s="3" t="s">
        <v>25</v>
      </c>
      <c r="L3033" s="4">
        <v>0</v>
      </c>
      <c r="M3033" s="3" t="s">
        <v>26</v>
      </c>
      <c r="N3033" s="3" t="s">
        <v>24</v>
      </c>
      <c r="O3033" s="4">
        <v>0</v>
      </c>
      <c r="P3033" s="4">
        <v>3</v>
      </c>
      <c r="Q3033" s="4">
        <v>0</v>
      </c>
    </row>
    <row r="3034" spans="1:17" x14ac:dyDescent="0.25">
      <c r="A3034" s="3" t="s">
        <v>18</v>
      </c>
      <c r="B3034" s="3">
        <v>18434805</v>
      </c>
      <c r="C3034" s="3" t="s">
        <v>3052</v>
      </c>
      <c r="D3034" s="3" t="s">
        <v>20</v>
      </c>
      <c r="E3034" s="3" t="s">
        <v>21</v>
      </c>
      <c r="F3034" s="3" t="s">
        <v>21</v>
      </c>
      <c r="G3034" s="3" t="s">
        <v>2282</v>
      </c>
      <c r="H3034" s="3" t="s">
        <v>2283</v>
      </c>
      <c r="I3034" s="3" t="s">
        <v>24</v>
      </c>
      <c r="J3034" s="3" t="s">
        <v>24</v>
      </c>
      <c r="K3034" s="3" t="s">
        <v>25</v>
      </c>
      <c r="L3034" s="4">
        <v>0</v>
      </c>
      <c r="M3034" s="3" t="s">
        <v>26</v>
      </c>
      <c r="N3034" s="3" t="s">
        <v>24</v>
      </c>
      <c r="O3034" s="4">
        <v>0</v>
      </c>
      <c r="P3034" s="4">
        <v>3</v>
      </c>
      <c r="Q3034" s="4">
        <v>0</v>
      </c>
    </row>
    <row r="3035" spans="1:17" x14ac:dyDescent="0.25">
      <c r="A3035" s="3" t="s">
        <v>18</v>
      </c>
      <c r="B3035" s="3">
        <v>18434914</v>
      </c>
      <c r="C3035" s="3" t="s">
        <v>3053</v>
      </c>
      <c r="D3035" s="3" t="s">
        <v>20</v>
      </c>
      <c r="E3035" s="3" t="s">
        <v>21</v>
      </c>
      <c r="F3035" s="3" t="s">
        <v>21</v>
      </c>
      <c r="G3035" s="3" t="s">
        <v>2282</v>
      </c>
      <c r="H3035" s="3" t="s">
        <v>2283</v>
      </c>
      <c r="I3035" s="3" t="s">
        <v>24</v>
      </c>
      <c r="J3035" s="3" t="s">
        <v>24</v>
      </c>
      <c r="K3035" s="3" t="s">
        <v>25</v>
      </c>
      <c r="L3035" s="4">
        <v>0</v>
      </c>
      <c r="M3035" s="3" t="s">
        <v>26</v>
      </c>
      <c r="N3035" s="3" t="s">
        <v>24</v>
      </c>
      <c r="O3035" s="4">
        <v>0</v>
      </c>
      <c r="P3035" s="4">
        <v>3</v>
      </c>
      <c r="Q3035" s="4">
        <v>0</v>
      </c>
    </row>
    <row r="3036" spans="1:17" x14ac:dyDescent="0.25">
      <c r="A3036" s="3" t="s">
        <v>18</v>
      </c>
      <c r="B3036" s="3">
        <v>18435073</v>
      </c>
      <c r="C3036" s="3" t="s">
        <v>3054</v>
      </c>
      <c r="D3036" s="3" t="s">
        <v>20</v>
      </c>
      <c r="E3036" s="3" t="s">
        <v>21</v>
      </c>
      <c r="F3036" s="3" t="s">
        <v>21</v>
      </c>
      <c r="G3036" s="3" t="s">
        <v>2282</v>
      </c>
      <c r="H3036" s="3" t="s">
        <v>2283</v>
      </c>
      <c r="I3036" s="3" t="s">
        <v>24</v>
      </c>
      <c r="J3036" s="3" t="s">
        <v>24</v>
      </c>
      <c r="K3036" s="3" t="s">
        <v>25</v>
      </c>
      <c r="L3036" s="4">
        <v>0</v>
      </c>
      <c r="M3036" s="3" t="s">
        <v>26</v>
      </c>
      <c r="N3036" s="3" t="s">
        <v>24</v>
      </c>
      <c r="O3036" s="4">
        <v>0</v>
      </c>
      <c r="P3036" s="4">
        <v>3</v>
      </c>
      <c r="Q3036" s="4">
        <v>0</v>
      </c>
    </row>
    <row r="3037" spans="1:17" x14ac:dyDescent="0.25">
      <c r="A3037" s="3" t="s">
        <v>18</v>
      </c>
      <c r="B3037" s="3">
        <v>18435076</v>
      </c>
      <c r="C3037" s="3" t="s">
        <v>3055</v>
      </c>
      <c r="D3037" s="3" t="s">
        <v>20</v>
      </c>
      <c r="E3037" s="3" t="s">
        <v>21</v>
      </c>
      <c r="F3037" s="3" t="s">
        <v>21</v>
      </c>
      <c r="G3037" s="3" t="s">
        <v>2282</v>
      </c>
      <c r="H3037" s="3" t="s">
        <v>2283</v>
      </c>
      <c r="I3037" s="3" t="s">
        <v>24</v>
      </c>
      <c r="J3037" s="3" t="s">
        <v>24</v>
      </c>
      <c r="K3037" s="3" t="s">
        <v>25</v>
      </c>
      <c r="L3037" s="4">
        <v>0</v>
      </c>
      <c r="M3037" s="3" t="s">
        <v>26</v>
      </c>
      <c r="N3037" s="3" t="s">
        <v>24</v>
      </c>
      <c r="O3037" s="4">
        <v>0</v>
      </c>
      <c r="P3037" s="4">
        <v>3</v>
      </c>
      <c r="Q3037" s="4">
        <v>0</v>
      </c>
    </row>
    <row r="3038" spans="1:17" x14ac:dyDescent="0.25">
      <c r="A3038" s="3" t="s">
        <v>18</v>
      </c>
      <c r="B3038" s="3">
        <v>18435161</v>
      </c>
      <c r="C3038" s="3" t="s">
        <v>3056</v>
      </c>
      <c r="D3038" s="3" t="s">
        <v>20</v>
      </c>
      <c r="E3038" s="3" t="s">
        <v>21</v>
      </c>
      <c r="F3038" s="3" t="s">
        <v>21</v>
      </c>
      <c r="G3038" s="3" t="s">
        <v>2282</v>
      </c>
      <c r="H3038" s="3" t="s">
        <v>2283</v>
      </c>
      <c r="I3038" s="3" t="s">
        <v>24</v>
      </c>
      <c r="J3038" s="3" t="s">
        <v>24</v>
      </c>
      <c r="K3038" s="3" t="s">
        <v>25</v>
      </c>
      <c r="L3038" s="4">
        <v>0</v>
      </c>
      <c r="M3038" s="3" t="s">
        <v>26</v>
      </c>
      <c r="N3038" s="3" t="s">
        <v>24</v>
      </c>
      <c r="O3038" s="4">
        <v>0</v>
      </c>
      <c r="P3038" s="4">
        <v>3</v>
      </c>
      <c r="Q3038" s="4">
        <v>0</v>
      </c>
    </row>
    <row r="3039" spans="1:17" x14ac:dyDescent="0.25">
      <c r="A3039" s="3" t="s">
        <v>18</v>
      </c>
      <c r="B3039" s="3">
        <v>18455099</v>
      </c>
      <c r="C3039" s="3" t="s">
        <v>2873</v>
      </c>
      <c r="D3039" s="3" t="s">
        <v>20</v>
      </c>
      <c r="E3039" s="3" t="s">
        <v>21</v>
      </c>
      <c r="F3039" s="3" t="s">
        <v>21</v>
      </c>
      <c r="G3039" s="3" t="s">
        <v>233</v>
      </c>
      <c r="H3039" s="3" t="s">
        <v>234</v>
      </c>
      <c r="I3039" s="3" t="s">
        <v>24</v>
      </c>
      <c r="J3039" s="3" t="s">
        <v>24</v>
      </c>
      <c r="K3039" s="3" t="s">
        <v>25</v>
      </c>
      <c r="L3039" s="4">
        <v>0</v>
      </c>
      <c r="M3039" s="3" t="s">
        <v>26</v>
      </c>
      <c r="N3039" s="3" t="s">
        <v>24</v>
      </c>
      <c r="O3039" s="4">
        <v>1</v>
      </c>
      <c r="P3039" s="4">
        <v>4</v>
      </c>
      <c r="Q3039" s="4">
        <v>1</v>
      </c>
    </row>
    <row r="3040" spans="1:17" x14ac:dyDescent="0.25">
      <c r="A3040" s="3" t="s">
        <v>18</v>
      </c>
      <c r="B3040" s="3">
        <v>18455101</v>
      </c>
      <c r="C3040" s="3" t="s">
        <v>2874</v>
      </c>
      <c r="D3040" s="3" t="s">
        <v>20</v>
      </c>
      <c r="E3040" s="3" t="s">
        <v>21</v>
      </c>
      <c r="F3040" s="3" t="s">
        <v>21</v>
      </c>
      <c r="G3040" s="3" t="s">
        <v>233</v>
      </c>
      <c r="H3040" s="3" t="s">
        <v>234</v>
      </c>
      <c r="I3040" s="3" t="s">
        <v>24</v>
      </c>
      <c r="J3040" s="3" t="s">
        <v>24</v>
      </c>
      <c r="K3040" s="3" t="s">
        <v>25</v>
      </c>
      <c r="L3040" s="4">
        <v>0</v>
      </c>
      <c r="M3040" s="3" t="s">
        <v>26</v>
      </c>
      <c r="N3040" s="3" t="s">
        <v>24</v>
      </c>
      <c r="O3040" s="4">
        <v>1</v>
      </c>
      <c r="P3040" s="4">
        <v>4</v>
      </c>
      <c r="Q3040" s="4">
        <v>1</v>
      </c>
    </row>
    <row r="3041" spans="1:17" x14ac:dyDescent="0.25">
      <c r="A3041" s="3" t="s">
        <v>18</v>
      </c>
      <c r="B3041" s="3">
        <v>18455102</v>
      </c>
      <c r="C3041" s="3" t="s">
        <v>2875</v>
      </c>
      <c r="D3041" s="3" t="s">
        <v>20</v>
      </c>
      <c r="E3041" s="3" t="s">
        <v>21</v>
      </c>
      <c r="F3041" s="3" t="s">
        <v>21</v>
      </c>
      <c r="G3041" s="3" t="s">
        <v>233</v>
      </c>
      <c r="H3041" s="3" t="s">
        <v>234</v>
      </c>
      <c r="I3041" s="3" t="s">
        <v>24</v>
      </c>
      <c r="J3041" s="3" t="s">
        <v>24</v>
      </c>
      <c r="K3041" s="3" t="s">
        <v>25</v>
      </c>
      <c r="L3041" s="4">
        <v>0</v>
      </c>
      <c r="M3041" s="3" t="s">
        <v>26</v>
      </c>
      <c r="N3041" s="3" t="s">
        <v>24</v>
      </c>
      <c r="O3041" s="4">
        <v>1</v>
      </c>
      <c r="P3041" s="4">
        <v>4</v>
      </c>
      <c r="Q3041" s="4">
        <v>1</v>
      </c>
    </row>
    <row r="3042" spans="1:17" x14ac:dyDescent="0.25">
      <c r="A3042" s="3" t="s">
        <v>18</v>
      </c>
      <c r="B3042" s="3">
        <v>18455103</v>
      </c>
      <c r="C3042" s="3" t="s">
        <v>2876</v>
      </c>
      <c r="D3042" s="3" t="s">
        <v>20</v>
      </c>
      <c r="E3042" s="3" t="s">
        <v>21</v>
      </c>
      <c r="F3042" s="3" t="s">
        <v>21</v>
      </c>
      <c r="G3042" s="3" t="s">
        <v>233</v>
      </c>
      <c r="H3042" s="3" t="s">
        <v>234</v>
      </c>
      <c r="I3042" s="3" t="s">
        <v>24</v>
      </c>
      <c r="J3042" s="3" t="s">
        <v>24</v>
      </c>
      <c r="K3042" s="3" t="s">
        <v>25</v>
      </c>
      <c r="L3042" s="4">
        <v>0</v>
      </c>
      <c r="M3042" s="3" t="s">
        <v>26</v>
      </c>
      <c r="N3042" s="3" t="s">
        <v>24</v>
      </c>
      <c r="O3042" s="4">
        <v>1</v>
      </c>
      <c r="P3042" s="4">
        <v>3</v>
      </c>
      <c r="Q3042" s="4">
        <v>1</v>
      </c>
    </row>
    <row r="3043" spans="1:17" x14ac:dyDescent="0.25">
      <c r="A3043" s="3" t="s">
        <v>18</v>
      </c>
      <c r="B3043" s="3">
        <v>18455104</v>
      </c>
      <c r="C3043" s="3" t="s">
        <v>2877</v>
      </c>
      <c r="D3043" s="3" t="s">
        <v>20</v>
      </c>
      <c r="E3043" s="3" t="s">
        <v>21</v>
      </c>
      <c r="F3043" s="3" t="s">
        <v>21</v>
      </c>
      <c r="G3043" s="3" t="s">
        <v>233</v>
      </c>
      <c r="H3043" s="3" t="s">
        <v>234</v>
      </c>
      <c r="I3043" s="3" t="s">
        <v>24</v>
      </c>
      <c r="J3043" s="3" t="s">
        <v>24</v>
      </c>
      <c r="K3043" s="3" t="s">
        <v>25</v>
      </c>
      <c r="L3043" s="4">
        <v>0</v>
      </c>
      <c r="M3043" s="3" t="s">
        <v>26</v>
      </c>
      <c r="N3043" s="3" t="s">
        <v>24</v>
      </c>
      <c r="O3043" s="4">
        <v>1</v>
      </c>
      <c r="P3043" s="4">
        <v>3</v>
      </c>
      <c r="Q3043" s="4">
        <v>1</v>
      </c>
    </row>
    <row r="3044" spans="1:17" x14ac:dyDescent="0.25">
      <c r="A3044" s="3" t="s">
        <v>18</v>
      </c>
      <c r="B3044" s="3">
        <v>18455105</v>
      </c>
      <c r="C3044" s="3" t="s">
        <v>2878</v>
      </c>
      <c r="D3044" s="3" t="s">
        <v>20</v>
      </c>
      <c r="E3044" s="3" t="s">
        <v>21</v>
      </c>
      <c r="F3044" s="3" t="s">
        <v>21</v>
      </c>
      <c r="G3044" s="3" t="s">
        <v>233</v>
      </c>
      <c r="H3044" s="3" t="s">
        <v>234</v>
      </c>
      <c r="I3044" s="3" t="s">
        <v>24</v>
      </c>
      <c r="J3044" s="3" t="s">
        <v>24</v>
      </c>
      <c r="K3044" s="3" t="s">
        <v>25</v>
      </c>
      <c r="L3044" s="4">
        <v>0</v>
      </c>
      <c r="M3044" s="3" t="s">
        <v>26</v>
      </c>
      <c r="N3044" s="3" t="s">
        <v>24</v>
      </c>
      <c r="O3044" s="4">
        <v>1</v>
      </c>
      <c r="P3044" s="4">
        <v>3</v>
      </c>
      <c r="Q3044" s="4">
        <v>1</v>
      </c>
    </row>
    <row r="3045" spans="1:17" x14ac:dyDescent="0.25">
      <c r="A3045" s="3" t="s">
        <v>18</v>
      </c>
      <c r="B3045" s="3">
        <v>18457667</v>
      </c>
      <c r="C3045" s="3" t="s">
        <v>2881</v>
      </c>
      <c r="D3045" s="3" t="s">
        <v>20</v>
      </c>
      <c r="E3045" s="3" t="s">
        <v>21</v>
      </c>
      <c r="F3045" s="3" t="s">
        <v>21</v>
      </c>
      <c r="G3045" s="3" t="s">
        <v>22</v>
      </c>
      <c r="H3045" s="3" t="s">
        <v>23</v>
      </c>
      <c r="I3045" s="3" t="s">
        <v>24</v>
      </c>
      <c r="J3045" s="3" t="s">
        <v>24</v>
      </c>
      <c r="K3045" s="3" t="s">
        <v>25</v>
      </c>
      <c r="L3045" s="4">
        <v>0</v>
      </c>
      <c r="M3045" s="3" t="s">
        <v>26</v>
      </c>
      <c r="N3045" s="3" t="s">
        <v>24</v>
      </c>
      <c r="O3045" s="4">
        <v>1</v>
      </c>
      <c r="P3045" s="4">
        <v>4</v>
      </c>
      <c r="Q3045" s="4">
        <v>1</v>
      </c>
    </row>
    <row r="3046" spans="1:17" x14ac:dyDescent="0.25">
      <c r="A3046" s="3" t="s">
        <v>18</v>
      </c>
      <c r="B3046" s="3">
        <v>18486066</v>
      </c>
      <c r="C3046" s="3" t="s">
        <v>3057</v>
      </c>
      <c r="D3046" s="3" t="s">
        <v>20</v>
      </c>
      <c r="E3046" s="3" t="s">
        <v>21</v>
      </c>
      <c r="F3046" s="3" t="s">
        <v>21</v>
      </c>
      <c r="G3046" s="3" t="s">
        <v>36</v>
      </c>
      <c r="H3046" s="3" t="s">
        <v>37</v>
      </c>
      <c r="I3046" s="3" t="s">
        <v>24</v>
      </c>
      <c r="J3046" s="3" t="s">
        <v>24</v>
      </c>
      <c r="K3046" s="3" t="s">
        <v>25</v>
      </c>
      <c r="L3046" s="4">
        <v>0</v>
      </c>
      <c r="M3046" s="3" t="s">
        <v>26</v>
      </c>
      <c r="N3046" s="3" t="s">
        <v>24</v>
      </c>
      <c r="O3046" s="4">
        <v>1</v>
      </c>
      <c r="P3046" s="4">
        <v>1</v>
      </c>
      <c r="Q3046" s="4">
        <v>1</v>
      </c>
    </row>
    <row r="3047" spans="1:17" x14ac:dyDescent="0.25">
      <c r="A3047" s="3" t="s">
        <v>18</v>
      </c>
      <c r="B3047" s="3">
        <v>18488108</v>
      </c>
      <c r="C3047" s="3" t="s">
        <v>3058</v>
      </c>
      <c r="D3047" s="3" t="s">
        <v>20</v>
      </c>
      <c r="E3047" s="3" t="s">
        <v>21</v>
      </c>
      <c r="F3047" s="3" t="s">
        <v>21</v>
      </c>
      <c r="G3047" s="3" t="s">
        <v>36</v>
      </c>
      <c r="H3047" s="3" t="s">
        <v>37</v>
      </c>
      <c r="I3047" s="3" t="s">
        <v>24</v>
      </c>
      <c r="J3047" s="3" t="s">
        <v>24</v>
      </c>
      <c r="K3047" s="3" t="s">
        <v>25</v>
      </c>
      <c r="L3047" s="4">
        <v>0</v>
      </c>
      <c r="M3047" s="3" t="s">
        <v>26</v>
      </c>
      <c r="N3047" s="3" t="s">
        <v>24</v>
      </c>
      <c r="O3047" s="4">
        <v>1</v>
      </c>
      <c r="P3047" s="4">
        <v>1</v>
      </c>
      <c r="Q3047" s="4">
        <v>1</v>
      </c>
    </row>
    <row r="3048" spans="1:17" x14ac:dyDescent="0.25">
      <c r="A3048" s="3" t="s">
        <v>18</v>
      </c>
      <c r="B3048" s="3">
        <v>18488777</v>
      </c>
      <c r="C3048" s="3" t="s">
        <v>3059</v>
      </c>
      <c r="D3048" s="3" t="s">
        <v>20</v>
      </c>
      <c r="E3048" s="3" t="s">
        <v>21</v>
      </c>
      <c r="F3048" s="3" t="s">
        <v>21</v>
      </c>
      <c r="G3048" s="3" t="s">
        <v>36</v>
      </c>
      <c r="H3048" s="3" t="s">
        <v>37</v>
      </c>
      <c r="I3048" s="3" t="s">
        <v>24</v>
      </c>
      <c r="J3048" s="3" t="s">
        <v>24</v>
      </c>
      <c r="K3048" s="3" t="s">
        <v>25</v>
      </c>
      <c r="L3048" s="4">
        <v>0</v>
      </c>
      <c r="M3048" s="3" t="s">
        <v>26</v>
      </c>
      <c r="N3048" s="3" t="s">
        <v>24</v>
      </c>
      <c r="O3048" s="4">
        <v>1</v>
      </c>
      <c r="P3048" s="4">
        <v>1</v>
      </c>
      <c r="Q3048" s="4">
        <v>1</v>
      </c>
    </row>
    <row r="3049" spans="1:17" x14ac:dyDescent="0.25">
      <c r="A3049" s="3" t="s">
        <v>18</v>
      </c>
      <c r="B3049" s="3">
        <v>18489386</v>
      </c>
      <c r="C3049" s="3" t="s">
        <v>3060</v>
      </c>
      <c r="D3049" s="3" t="s">
        <v>20</v>
      </c>
      <c r="E3049" s="3" t="s">
        <v>21</v>
      </c>
      <c r="F3049" s="3" t="s">
        <v>21</v>
      </c>
      <c r="G3049" s="3" t="s">
        <v>362</v>
      </c>
      <c r="H3049" s="3" t="s">
        <v>363</v>
      </c>
      <c r="I3049" s="3" t="s">
        <v>24</v>
      </c>
      <c r="J3049" s="3" t="s">
        <v>24</v>
      </c>
      <c r="K3049" s="3" t="s">
        <v>25</v>
      </c>
      <c r="L3049" s="4">
        <v>0</v>
      </c>
      <c r="M3049" s="3" t="s">
        <v>26</v>
      </c>
      <c r="N3049" s="3" t="s">
        <v>24</v>
      </c>
      <c r="O3049" s="4">
        <v>1</v>
      </c>
      <c r="P3049" s="4">
        <v>1</v>
      </c>
      <c r="Q3049" s="4">
        <v>1</v>
      </c>
    </row>
    <row r="3050" spans="1:17" x14ac:dyDescent="0.25">
      <c r="A3050" s="3" t="s">
        <v>18</v>
      </c>
      <c r="B3050" s="3">
        <v>18504967</v>
      </c>
      <c r="C3050" s="3" t="s">
        <v>3061</v>
      </c>
      <c r="D3050" s="3" t="s">
        <v>20</v>
      </c>
      <c r="E3050" s="3" t="s">
        <v>21</v>
      </c>
      <c r="F3050" s="3" t="s">
        <v>21</v>
      </c>
      <c r="G3050" s="3" t="s">
        <v>362</v>
      </c>
      <c r="H3050" s="3" t="s">
        <v>363</v>
      </c>
      <c r="I3050" s="3" t="s">
        <v>24</v>
      </c>
      <c r="J3050" s="3" t="s">
        <v>24</v>
      </c>
      <c r="K3050" s="3" t="s">
        <v>25</v>
      </c>
      <c r="L3050" s="4">
        <v>0</v>
      </c>
      <c r="M3050" s="3" t="s">
        <v>26</v>
      </c>
      <c r="N3050" s="3" t="s">
        <v>24</v>
      </c>
      <c r="O3050" s="4">
        <v>1</v>
      </c>
      <c r="P3050" s="4">
        <v>1</v>
      </c>
      <c r="Q3050" s="4">
        <v>1</v>
      </c>
    </row>
    <row r="3051" spans="1:17" x14ac:dyDescent="0.25">
      <c r="A3051" s="3" t="s">
        <v>18</v>
      </c>
      <c r="B3051" s="3">
        <v>18506375</v>
      </c>
      <c r="C3051" s="3" t="s">
        <v>3062</v>
      </c>
      <c r="D3051" s="3" t="s">
        <v>20</v>
      </c>
      <c r="E3051" s="3" t="s">
        <v>21</v>
      </c>
      <c r="F3051" s="3" t="s">
        <v>21</v>
      </c>
      <c r="G3051" s="3" t="s">
        <v>362</v>
      </c>
      <c r="H3051" s="3" t="s">
        <v>363</v>
      </c>
      <c r="I3051" s="3" t="s">
        <v>24</v>
      </c>
      <c r="J3051" s="3" t="s">
        <v>24</v>
      </c>
      <c r="K3051" s="3" t="s">
        <v>25</v>
      </c>
      <c r="L3051" s="4">
        <v>0</v>
      </c>
      <c r="M3051" s="3" t="s">
        <v>26</v>
      </c>
      <c r="N3051" s="3" t="s">
        <v>24</v>
      </c>
      <c r="O3051" s="4">
        <v>1</v>
      </c>
      <c r="P3051" s="4">
        <v>1</v>
      </c>
      <c r="Q3051" s="4">
        <v>1</v>
      </c>
    </row>
    <row r="3052" spans="1:17" x14ac:dyDescent="0.25">
      <c r="A3052" s="3" t="s">
        <v>18</v>
      </c>
      <c r="B3052" s="3">
        <v>18522632</v>
      </c>
      <c r="C3052" s="3" t="s">
        <v>3063</v>
      </c>
      <c r="D3052" s="3" t="s">
        <v>20</v>
      </c>
      <c r="E3052" s="3" t="s">
        <v>21</v>
      </c>
      <c r="F3052" s="3" t="s">
        <v>21</v>
      </c>
      <c r="G3052" s="3" t="s">
        <v>22</v>
      </c>
      <c r="H3052" s="3" t="s">
        <v>23</v>
      </c>
      <c r="I3052" s="3" t="s">
        <v>24</v>
      </c>
      <c r="J3052" s="3" t="s">
        <v>24</v>
      </c>
      <c r="K3052" s="3" t="s">
        <v>25</v>
      </c>
      <c r="L3052" s="4">
        <v>0</v>
      </c>
      <c r="M3052" s="3" t="s">
        <v>26</v>
      </c>
      <c r="N3052" s="3" t="s">
        <v>24</v>
      </c>
      <c r="O3052" s="4">
        <v>1</v>
      </c>
      <c r="P3052" s="4">
        <v>4</v>
      </c>
      <c r="Q3052" s="4">
        <v>1</v>
      </c>
    </row>
    <row r="3053" spans="1:17" x14ac:dyDescent="0.25">
      <c r="A3053" s="3" t="s">
        <v>18</v>
      </c>
      <c r="B3053" s="3">
        <v>18522850</v>
      </c>
      <c r="C3053" s="3" t="s">
        <v>3064</v>
      </c>
      <c r="D3053" s="3" t="s">
        <v>20</v>
      </c>
      <c r="E3053" s="3" t="s">
        <v>21</v>
      </c>
      <c r="F3053" s="3" t="s">
        <v>21</v>
      </c>
      <c r="G3053" s="3" t="s">
        <v>22</v>
      </c>
      <c r="H3053" s="3" t="s">
        <v>23</v>
      </c>
      <c r="I3053" s="3" t="s">
        <v>24</v>
      </c>
      <c r="J3053" s="3" t="s">
        <v>24</v>
      </c>
      <c r="K3053" s="3" t="s">
        <v>25</v>
      </c>
      <c r="L3053" s="4">
        <v>0</v>
      </c>
      <c r="M3053" s="3" t="s">
        <v>26</v>
      </c>
      <c r="N3053" s="3" t="s">
        <v>24</v>
      </c>
      <c r="O3053" s="4">
        <v>1</v>
      </c>
      <c r="P3053" s="4">
        <v>4</v>
      </c>
      <c r="Q3053" s="4">
        <v>1</v>
      </c>
    </row>
    <row r="3054" spans="1:17" x14ac:dyDescent="0.25">
      <c r="A3054" s="3" t="s">
        <v>18</v>
      </c>
      <c r="B3054" s="3">
        <v>18523302</v>
      </c>
      <c r="C3054" s="3" t="s">
        <v>3065</v>
      </c>
      <c r="D3054" s="3" t="s">
        <v>20</v>
      </c>
      <c r="E3054" s="3" t="s">
        <v>21</v>
      </c>
      <c r="F3054" s="3" t="s">
        <v>21</v>
      </c>
      <c r="G3054" s="3" t="s">
        <v>233</v>
      </c>
      <c r="H3054" s="3" t="s">
        <v>234</v>
      </c>
      <c r="I3054" s="3" t="s">
        <v>24</v>
      </c>
      <c r="J3054" s="3" t="s">
        <v>24</v>
      </c>
      <c r="K3054" s="3" t="s">
        <v>25</v>
      </c>
      <c r="L3054" s="4">
        <v>0</v>
      </c>
      <c r="M3054" s="3" t="s">
        <v>26</v>
      </c>
      <c r="N3054" s="3" t="s">
        <v>24</v>
      </c>
      <c r="O3054" s="4">
        <v>1</v>
      </c>
      <c r="P3054" s="4">
        <v>4</v>
      </c>
      <c r="Q3054" s="4">
        <v>1</v>
      </c>
    </row>
    <row r="3055" spans="1:17" x14ac:dyDescent="0.25">
      <c r="A3055" s="3" t="s">
        <v>18</v>
      </c>
      <c r="B3055" s="3">
        <v>18525932</v>
      </c>
      <c r="C3055" s="3" t="s">
        <v>3066</v>
      </c>
      <c r="D3055" s="3" t="s">
        <v>20</v>
      </c>
      <c r="E3055" s="3" t="s">
        <v>21</v>
      </c>
      <c r="F3055" s="3" t="s">
        <v>21</v>
      </c>
      <c r="G3055" s="3" t="s">
        <v>233</v>
      </c>
      <c r="H3055" s="3" t="s">
        <v>234</v>
      </c>
      <c r="I3055" s="3" t="s">
        <v>24</v>
      </c>
      <c r="J3055" s="3" t="s">
        <v>24</v>
      </c>
      <c r="K3055" s="3" t="s">
        <v>25</v>
      </c>
      <c r="L3055" s="4">
        <v>0</v>
      </c>
      <c r="M3055" s="3" t="s">
        <v>26</v>
      </c>
      <c r="N3055" s="3" t="s">
        <v>24</v>
      </c>
      <c r="O3055" s="4">
        <v>1</v>
      </c>
      <c r="P3055" s="4">
        <v>4</v>
      </c>
      <c r="Q3055" s="4">
        <v>1</v>
      </c>
    </row>
    <row r="3056" spans="1:17" x14ac:dyDescent="0.25">
      <c r="A3056" s="3" t="s">
        <v>18</v>
      </c>
      <c r="B3056" s="3">
        <v>18531111</v>
      </c>
      <c r="C3056" s="3" t="s">
        <v>3067</v>
      </c>
      <c r="D3056" s="3" t="s">
        <v>20</v>
      </c>
      <c r="E3056" s="3" t="s">
        <v>21</v>
      </c>
      <c r="F3056" s="3" t="s">
        <v>21</v>
      </c>
      <c r="G3056" s="3" t="s">
        <v>477</v>
      </c>
      <c r="H3056" s="3" t="s">
        <v>478</v>
      </c>
      <c r="I3056" s="3" t="s">
        <v>24</v>
      </c>
      <c r="J3056" s="3" t="s">
        <v>24</v>
      </c>
      <c r="K3056" s="3" t="s">
        <v>25</v>
      </c>
      <c r="L3056" s="4">
        <v>0</v>
      </c>
      <c r="M3056" s="3" t="s">
        <v>26</v>
      </c>
      <c r="N3056" s="3" t="s">
        <v>24</v>
      </c>
      <c r="O3056" s="4">
        <v>1</v>
      </c>
      <c r="P3056" s="4">
        <v>1</v>
      </c>
      <c r="Q3056" s="4">
        <v>1</v>
      </c>
    </row>
    <row r="3057" spans="1:17" x14ac:dyDescent="0.25">
      <c r="A3057" s="3" t="s">
        <v>18</v>
      </c>
      <c r="B3057" s="3">
        <v>18531113</v>
      </c>
      <c r="C3057" s="3" t="s">
        <v>3068</v>
      </c>
      <c r="D3057" s="3" t="s">
        <v>20</v>
      </c>
      <c r="E3057" s="3" t="s">
        <v>21</v>
      </c>
      <c r="F3057" s="3" t="s">
        <v>21</v>
      </c>
      <c r="G3057" s="3" t="s">
        <v>487</v>
      </c>
      <c r="H3057" s="3" t="s">
        <v>488</v>
      </c>
      <c r="I3057" s="3" t="s">
        <v>24</v>
      </c>
      <c r="J3057" s="3" t="s">
        <v>24</v>
      </c>
      <c r="K3057" s="3" t="s">
        <v>25</v>
      </c>
      <c r="L3057" s="4">
        <v>0</v>
      </c>
      <c r="M3057" s="3" t="s">
        <v>26</v>
      </c>
      <c r="N3057" s="3" t="s">
        <v>24</v>
      </c>
      <c r="O3057" s="4">
        <v>1</v>
      </c>
      <c r="P3057" s="4">
        <v>2</v>
      </c>
      <c r="Q3057" s="4">
        <v>1</v>
      </c>
    </row>
    <row r="3058" spans="1:17" x14ac:dyDescent="0.25">
      <c r="A3058" s="3" t="s">
        <v>18</v>
      </c>
      <c r="B3058" s="3">
        <v>18531115</v>
      </c>
      <c r="C3058" s="3" t="s">
        <v>3069</v>
      </c>
      <c r="D3058" s="3" t="s">
        <v>20</v>
      </c>
      <c r="E3058" s="3" t="s">
        <v>21</v>
      </c>
      <c r="F3058" s="3" t="s">
        <v>21</v>
      </c>
      <c r="G3058" s="3" t="s">
        <v>487</v>
      </c>
      <c r="H3058" s="3" t="s">
        <v>488</v>
      </c>
      <c r="I3058" s="3" t="s">
        <v>24</v>
      </c>
      <c r="J3058" s="3" t="s">
        <v>24</v>
      </c>
      <c r="K3058" s="3" t="s">
        <v>25</v>
      </c>
      <c r="L3058" s="4">
        <v>0</v>
      </c>
      <c r="M3058" s="3" t="s">
        <v>26</v>
      </c>
      <c r="N3058" s="3" t="s">
        <v>24</v>
      </c>
      <c r="O3058" s="4">
        <v>1</v>
      </c>
      <c r="P3058" s="4">
        <v>2</v>
      </c>
      <c r="Q3058" s="4">
        <v>1</v>
      </c>
    </row>
    <row r="3059" spans="1:17" x14ac:dyDescent="0.25">
      <c r="A3059" s="3" t="s">
        <v>18</v>
      </c>
      <c r="B3059" s="3">
        <v>18539545</v>
      </c>
      <c r="C3059" s="3" t="s">
        <v>3070</v>
      </c>
      <c r="D3059" s="3" t="s">
        <v>20</v>
      </c>
      <c r="E3059" s="3" t="s">
        <v>21</v>
      </c>
      <c r="F3059" s="3" t="s">
        <v>21</v>
      </c>
      <c r="G3059" s="3" t="s">
        <v>233</v>
      </c>
      <c r="H3059" s="3" t="s">
        <v>234</v>
      </c>
      <c r="I3059" s="3" t="s">
        <v>24</v>
      </c>
      <c r="J3059" s="3" t="s">
        <v>24</v>
      </c>
      <c r="K3059" s="3" t="s">
        <v>25</v>
      </c>
      <c r="L3059" s="4">
        <v>0</v>
      </c>
      <c r="M3059" s="3" t="s">
        <v>26</v>
      </c>
      <c r="N3059" s="3" t="s">
        <v>24</v>
      </c>
      <c r="O3059" s="4">
        <v>1</v>
      </c>
      <c r="P3059" s="4">
        <v>3</v>
      </c>
      <c r="Q3059" s="4">
        <v>1</v>
      </c>
    </row>
    <row r="3060" spans="1:17" x14ac:dyDescent="0.25">
      <c r="A3060" s="3" t="s">
        <v>18</v>
      </c>
      <c r="B3060" s="3">
        <v>18541076</v>
      </c>
      <c r="C3060" s="3" t="s">
        <v>3071</v>
      </c>
      <c r="D3060" s="3" t="s">
        <v>20</v>
      </c>
      <c r="E3060" s="3" t="s">
        <v>21</v>
      </c>
      <c r="F3060" s="3" t="s">
        <v>21</v>
      </c>
      <c r="G3060" s="3" t="s">
        <v>22</v>
      </c>
      <c r="H3060" s="3" t="s">
        <v>23</v>
      </c>
      <c r="I3060" s="3" t="s">
        <v>24</v>
      </c>
      <c r="J3060" s="3" t="s">
        <v>24</v>
      </c>
      <c r="K3060" s="3" t="s">
        <v>25</v>
      </c>
      <c r="L3060" s="4">
        <v>0</v>
      </c>
      <c r="M3060" s="3" t="s">
        <v>26</v>
      </c>
      <c r="N3060" s="3" t="s">
        <v>24</v>
      </c>
      <c r="O3060" s="4">
        <v>1</v>
      </c>
      <c r="P3060" s="4">
        <v>4</v>
      </c>
      <c r="Q3060" s="4">
        <v>1</v>
      </c>
    </row>
    <row r="3061" spans="1:17" x14ac:dyDescent="0.25">
      <c r="A3061" s="3" t="s">
        <v>18</v>
      </c>
      <c r="B3061" s="3">
        <v>18543139</v>
      </c>
      <c r="C3061" s="3" t="s">
        <v>3072</v>
      </c>
      <c r="D3061" s="3" t="s">
        <v>20</v>
      </c>
      <c r="E3061" s="3" t="s">
        <v>21</v>
      </c>
      <c r="F3061" s="3" t="s">
        <v>21</v>
      </c>
      <c r="G3061" s="3" t="s">
        <v>233</v>
      </c>
      <c r="H3061" s="3" t="s">
        <v>234</v>
      </c>
      <c r="I3061" s="3" t="s">
        <v>24</v>
      </c>
      <c r="J3061" s="3" t="s">
        <v>24</v>
      </c>
      <c r="K3061" s="3" t="s">
        <v>25</v>
      </c>
      <c r="L3061" s="4">
        <v>0</v>
      </c>
      <c r="M3061" s="3" t="s">
        <v>26</v>
      </c>
      <c r="N3061" s="3" t="s">
        <v>24</v>
      </c>
      <c r="O3061" s="4">
        <v>1</v>
      </c>
      <c r="P3061" s="4">
        <v>3</v>
      </c>
      <c r="Q3061" s="4">
        <v>1</v>
      </c>
    </row>
    <row r="3062" spans="1:17" x14ac:dyDescent="0.25">
      <c r="A3062" s="3" t="s">
        <v>18</v>
      </c>
      <c r="B3062" s="3">
        <v>18546294</v>
      </c>
      <c r="C3062" s="3" t="s">
        <v>3073</v>
      </c>
      <c r="D3062" s="3" t="s">
        <v>1360</v>
      </c>
      <c r="E3062" s="3" t="s">
        <v>21</v>
      </c>
      <c r="F3062" s="3" t="s">
        <v>21</v>
      </c>
      <c r="G3062" s="3" t="s">
        <v>487</v>
      </c>
      <c r="H3062" s="3" t="s">
        <v>488</v>
      </c>
      <c r="I3062" s="3" t="s">
        <v>24</v>
      </c>
      <c r="J3062" s="3" t="s">
        <v>24</v>
      </c>
      <c r="K3062" s="3" t="s">
        <v>25</v>
      </c>
      <c r="L3062" s="4">
        <v>0</v>
      </c>
      <c r="M3062" s="3" t="s">
        <v>26</v>
      </c>
      <c r="N3062" s="3" t="s">
        <v>24</v>
      </c>
      <c r="O3062" s="4">
        <v>1</v>
      </c>
      <c r="P3062" s="4">
        <v>2</v>
      </c>
      <c r="Q3062" s="4">
        <v>1</v>
      </c>
    </row>
    <row r="3063" spans="1:17" x14ac:dyDescent="0.25">
      <c r="A3063" s="3" t="s">
        <v>18</v>
      </c>
      <c r="B3063" s="3">
        <v>18553029</v>
      </c>
      <c r="C3063" s="3" t="s">
        <v>3074</v>
      </c>
      <c r="D3063" s="3" t="s">
        <v>1360</v>
      </c>
      <c r="E3063" s="3" t="s">
        <v>21</v>
      </c>
      <c r="F3063" s="3" t="s">
        <v>21</v>
      </c>
      <c r="G3063" s="3" t="s">
        <v>487</v>
      </c>
      <c r="H3063" s="3" t="s">
        <v>488</v>
      </c>
      <c r="I3063" s="3" t="s">
        <v>24</v>
      </c>
      <c r="J3063" s="3" t="s">
        <v>24</v>
      </c>
      <c r="K3063" s="3" t="s">
        <v>25</v>
      </c>
      <c r="L3063" s="4">
        <v>0</v>
      </c>
      <c r="M3063" s="3" t="s">
        <v>26</v>
      </c>
      <c r="N3063" s="3" t="s">
        <v>24</v>
      </c>
      <c r="O3063" s="4">
        <v>1</v>
      </c>
      <c r="P3063" s="4">
        <v>2</v>
      </c>
      <c r="Q3063" s="4">
        <v>1</v>
      </c>
    </row>
    <row r="3064" spans="1:17" x14ac:dyDescent="0.25">
      <c r="A3064" s="3" t="s">
        <v>18</v>
      </c>
      <c r="B3064" s="3">
        <v>18553036</v>
      </c>
      <c r="C3064" s="3" t="s">
        <v>3075</v>
      </c>
      <c r="D3064" s="3" t="s">
        <v>1360</v>
      </c>
      <c r="E3064" s="3" t="s">
        <v>21</v>
      </c>
      <c r="F3064" s="3" t="s">
        <v>21</v>
      </c>
      <c r="G3064" s="3" t="s">
        <v>477</v>
      </c>
      <c r="H3064" s="3" t="s">
        <v>478</v>
      </c>
      <c r="I3064" s="3" t="s">
        <v>24</v>
      </c>
      <c r="J3064" s="3" t="s">
        <v>24</v>
      </c>
      <c r="K3064" s="3" t="s">
        <v>25</v>
      </c>
      <c r="L3064" s="4">
        <v>0</v>
      </c>
      <c r="M3064" s="3" t="s">
        <v>26</v>
      </c>
      <c r="N3064" s="3" t="s">
        <v>24</v>
      </c>
      <c r="O3064" s="4">
        <v>1</v>
      </c>
      <c r="P3064" s="4">
        <v>1</v>
      </c>
      <c r="Q3064" s="4">
        <v>1</v>
      </c>
    </row>
    <row r="3065" spans="1:17" x14ac:dyDescent="0.25">
      <c r="A3065" s="3" t="s">
        <v>18</v>
      </c>
      <c r="B3065" s="3">
        <v>18577660</v>
      </c>
      <c r="C3065" s="3" t="s">
        <v>3076</v>
      </c>
      <c r="D3065" s="3" t="s">
        <v>20</v>
      </c>
      <c r="E3065" s="3" t="s">
        <v>21</v>
      </c>
      <c r="F3065" s="3" t="s">
        <v>21</v>
      </c>
      <c r="G3065" s="3" t="s">
        <v>233</v>
      </c>
      <c r="H3065" s="3" t="s">
        <v>234</v>
      </c>
      <c r="I3065" s="3" t="s">
        <v>24</v>
      </c>
      <c r="J3065" s="3" t="s">
        <v>24</v>
      </c>
      <c r="K3065" s="3" t="s">
        <v>25</v>
      </c>
      <c r="L3065" s="4">
        <v>0</v>
      </c>
      <c r="M3065" s="3" t="s">
        <v>26</v>
      </c>
      <c r="N3065" s="3" t="s">
        <v>24</v>
      </c>
      <c r="O3065" s="4">
        <v>1</v>
      </c>
      <c r="P3065" s="4">
        <v>2</v>
      </c>
      <c r="Q3065" s="4">
        <v>1</v>
      </c>
    </row>
    <row r="3066" spans="1:17" x14ac:dyDescent="0.25">
      <c r="A3066" s="3" t="s">
        <v>18</v>
      </c>
      <c r="B3066" s="3">
        <v>18580869</v>
      </c>
      <c r="C3066" s="3" t="s">
        <v>3077</v>
      </c>
      <c r="D3066" s="3" t="s">
        <v>20</v>
      </c>
      <c r="E3066" s="3" t="s">
        <v>21</v>
      </c>
      <c r="F3066" s="3" t="s">
        <v>21</v>
      </c>
      <c r="G3066" s="3" t="s">
        <v>487</v>
      </c>
      <c r="H3066" s="3" t="s">
        <v>488</v>
      </c>
      <c r="I3066" s="3" t="s">
        <v>24</v>
      </c>
      <c r="J3066" s="3" t="s">
        <v>24</v>
      </c>
      <c r="K3066" s="3" t="s">
        <v>25</v>
      </c>
      <c r="L3066" s="4">
        <v>0</v>
      </c>
      <c r="M3066" s="3" t="s">
        <v>26</v>
      </c>
      <c r="N3066" s="3" t="s">
        <v>24</v>
      </c>
      <c r="O3066" s="4">
        <v>1</v>
      </c>
      <c r="P3066" s="4">
        <v>2</v>
      </c>
      <c r="Q3066" s="4">
        <v>1</v>
      </c>
    </row>
    <row r="3067" spans="1:17" x14ac:dyDescent="0.25">
      <c r="A3067" s="3" t="s">
        <v>18</v>
      </c>
      <c r="B3067" s="3">
        <v>18580964</v>
      </c>
      <c r="C3067" s="3" t="s">
        <v>3078</v>
      </c>
      <c r="D3067" s="3" t="s">
        <v>20</v>
      </c>
      <c r="E3067" s="3" t="s">
        <v>21</v>
      </c>
      <c r="F3067" s="3" t="s">
        <v>21</v>
      </c>
      <c r="G3067" s="3" t="s">
        <v>477</v>
      </c>
      <c r="H3067" s="3" t="s">
        <v>478</v>
      </c>
      <c r="I3067" s="3" t="s">
        <v>24</v>
      </c>
      <c r="J3067" s="3" t="s">
        <v>24</v>
      </c>
      <c r="K3067" s="3" t="s">
        <v>25</v>
      </c>
      <c r="L3067" s="4">
        <v>0</v>
      </c>
      <c r="M3067" s="3" t="s">
        <v>26</v>
      </c>
      <c r="N3067" s="3" t="s">
        <v>24</v>
      </c>
      <c r="O3067" s="4">
        <v>1</v>
      </c>
      <c r="P3067" s="4">
        <v>1</v>
      </c>
      <c r="Q3067" s="4">
        <v>1</v>
      </c>
    </row>
    <row r="3068" spans="1:17" x14ac:dyDescent="0.25">
      <c r="A3068" s="3" t="s">
        <v>18</v>
      </c>
      <c r="B3068" s="3">
        <v>18581749</v>
      </c>
      <c r="C3068" s="3" t="s">
        <v>3079</v>
      </c>
      <c r="D3068" s="3" t="s">
        <v>20</v>
      </c>
      <c r="E3068" s="3" t="s">
        <v>21</v>
      </c>
      <c r="F3068" s="3" t="s">
        <v>21</v>
      </c>
      <c r="G3068" s="3" t="s">
        <v>487</v>
      </c>
      <c r="H3068" s="3" t="s">
        <v>488</v>
      </c>
      <c r="I3068" s="3" t="s">
        <v>24</v>
      </c>
      <c r="J3068" s="3" t="s">
        <v>24</v>
      </c>
      <c r="K3068" s="3" t="s">
        <v>25</v>
      </c>
      <c r="L3068" s="4">
        <v>0</v>
      </c>
      <c r="M3068" s="3" t="s">
        <v>26</v>
      </c>
      <c r="N3068" s="3" t="s">
        <v>24</v>
      </c>
      <c r="O3068" s="4">
        <v>1</v>
      </c>
      <c r="P3068" s="4">
        <v>2</v>
      </c>
      <c r="Q3068" s="4">
        <v>1</v>
      </c>
    </row>
    <row r="3069" spans="1:17" x14ac:dyDescent="0.25">
      <c r="A3069" s="3" t="s">
        <v>18</v>
      </c>
      <c r="B3069" s="3">
        <v>18582258</v>
      </c>
      <c r="C3069" s="3" t="s">
        <v>3080</v>
      </c>
      <c r="D3069" s="3" t="s">
        <v>1360</v>
      </c>
      <c r="E3069" s="3" t="s">
        <v>21</v>
      </c>
      <c r="F3069" s="3" t="s">
        <v>21</v>
      </c>
      <c r="G3069" s="3" t="s">
        <v>487</v>
      </c>
      <c r="H3069" s="3" t="s">
        <v>488</v>
      </c>
      <c r="I3069" s="3" t="s">
        <v>24</v>
      </c>
      <c r="J3069" s="3" t="s">
        <v>24</v>
      </c>
      <c r="K3069" s="3" t="s">
        <v>25</v>
      </c>
      <c r="L3069" s="4">
        <v>0</v>
      </c>
      <c r="M3069" s="3" t="s">
        <v>26</v>
      </c>
      <c r="N3069" s="3" t="s">
        <v>24</v>
      </c>
      <c r="O3069" s="4">
        <v>1</v>
      </c>
      <c r="P3069" s="4">
        <v>2</v>
      </c>
      <c r="Q3069" s="4">
        <v>1</v>
      </c>
    </row>
    <row r="3070" spans="1:17" x14ac:dyDescent="0.25">
      <c r="A3070" s="3" t="s">
        <v>18</v>
      </c>
      <c r="B3070" s="3">
        <v>18582262</v>
      </c>
      <c r="C3070" s="3" t="s">
        <v>3081</v>
      </c>
      <c r="D3070" s="3" t="s">
        <v>1360</v>
      </c>
      <c r="E3070" s="3" t="s">
        <v>21</v>
      </c>
      <c r="F3070" s="3" t="s">
        <v>21</v>
      </c>
      <c r="G3070" s="3" t="s">
        <v>477</v>
      </c>
      <c r="H3070" s="3" t="s">
        <v>478</v>
      </c>
      <c r="I3070" s="3" t="s">
        <v>24</v>
      </c>
      <c r="J3070" s="3" t="s">
        <v>24</v>
      </c>
      <c r="K3070" s="3" t="s">
        <v>25</v>
      </c>
      <c r="L3070" s="4">
        <v>0</v>
      </c>
      <c r="M3070" s="3" t="s">
        <v>26</v>
      </c>
      <c r="N3070" s="3" t="s">
        <v>24</v>
      </c>
      <c r="O3070" s="4">
        <v>1</v>
      </c>
      <c r="P3070" s="4">
        <v>1</v>
      </c>
      <c r="Q3070" s="4">
        <v>1</v>
      </c>
    </row>
    <row r="3071" spans="1:17" x14ac:dyDescent="0.25">
      <c r="A3071" s="3" t="s">
        <v>18</v>
      </c>
      <c r="B3071" s="3">
        <v>18582265</v>
      </c>
      <c r="C3071" s="3" t="s">
        <v>3082</v>
      </c>
      <c r="D3071" s="3" t="s">
        <v>1360</v>
      </c>
      <c r="E3071" s="3" t="s">
        <v>21</v>
      </c>
      <c r="F3071" s="3" t="s">
        <v>21</v>
      </c>
      <c r="G3071" s="3" t="s">
        <v>487</v>
      </c>
      <c r="H3071" s="3" t="s">
        <v>488</v>
      </c>
      <c r="I3071" s="3" t="s">
        <v>24</v>
      </c>
      <c r="J3071" s="3" t="s">
        <v>24</v>
      </c>
      <c r="K3071" s="3" t="s">
        <v>25</v>
      </c>
      <c r="L3071" s="4">
        <v>0</v>
      </c>
      <c r="M3071" s="3" t="s">
        <v>26</v>
      </c>
      <c r="N3071" s="3" t="s">
        <v>24</v>
      </c>
      <c r="O3071" s="4">
        <v>1</v>
      </c>
      <c r="P3071" s="4">
        <v>2</v>
      </c>
      <c r="Q3071" s="4">
        <v>1</v>
      </c>
    </row>
    <row r="3072" spans="1:17" x14ac:dyDescent="0.25">
      <c r="A3072" s="3" t="s">
        <v>18</v>
      </c>
      <c r="B3072" s="3">
        <v>18637652</v>
      </c>
      <c r="C3072" s="3" t="s">
        <v>3083</v>
      </c>
      <c r="D3072" s="3" t="s">
        <v>1360</v>
      </c>
      <c r="E3072" s="3" t="s">
        <v>21</v>
      </c>
      <c r="F3072" s="3" t="s">
        <v>21</v>
      </c>
      <c r="G3072" s="3" t="s">
        <v>233</v>
      </c>
      <c r="H3072" s="3" t="s">
        <v>234</v>
      </c>
      <c r="I3072" s="3" t="s">
        <v>24</v>
      </c>
      <c r="J3072" s="3" t="s">
        <v>24</v>
      </c>
      <c r="K3072" s="3" t="s">
        <v>25</v>
      </c>
      <c r="L3072" s="4">
        <v>0</v>
      </c>
      <c r="M3072" s="3" t="s">
        <v>26</v>
      </c>
      <c r="N3072" s="3" t="s">
        <v>24</v>
      </c>
      <c r="O3072" s="4">
        <v>1</v>
      </c>
      <c r="P3072" s="4">
        <v>2</v>
      </c>
      <c r="Q3072" s="4">
        <v>1</v>
      </c>
    </row>
    <row r="3073" spans="1:17" x14ac:dyDescent="0.25">
      <c r="A3073" s="3" t="s">
        <v>18</v>
      </c>
      <c r="B3073" s="3">
        <v>18687443</v>
      </c>
      <c r="C3073" s="3" t="s">
        <v>3084</v>
      </c>
      <c r="D3073" s="3" t="s">
        <v>20</v>
      </c>
      <c r="E3073" s="3" t="s">
        <v>21</v>
      </c>
      <c r="F3073" s="3" t="s">
        <v>21</v>
      </c>
      <c r="G3073" s="3" t="s">
        <v>36</v>
      </c>
      <c r="H3073" s="3" t="s">
        <v>37</v>
      </c>
      <c r="I3073" s="3" t="s">
        <v>24</v>
      </c>
      <c r="J3073" s="3" t="s">
        <v>24</v>
      </c>
      <c r="K3073" s="3" t="s">
        <v>25</v>
      </c>
      <c r="L3073" s="4">
        <v>0</v>
      </c>
      <c r="M3073" s="3" t="s">
        <v>26</v>
      </c>
      <c r="N3073" s="3" t="s">
        <v>24</v>
      </c>
      <c r="O3073" s="4">
        <v>1</v>
      </c>
      <c r="P3073" s="4">
        <v>4</v>
      </c>
      <c r="Q3073" s="4">
        <v>1</v>
      </c>
    </row>
    <row r="3074" spans="1:17" x14ac:dyDescent="0.25">
      <c r="A3074" s="3" t="s">
        <v>18</v>
      </c>
      <c r="B3074" s="3">
        <v>18687953</v>
      </c>
      <c r="C3074" s="3" t="s">
        <v>3085</v>
      </c>
      <c r="D3074" s="3" t="s">
        <v>20</v>
      </c>
      <c r="E3074" s="3" t="s">
        <v>21</v>
      </c>
      <c r="F3074" s="3" t="s">
        <v>21</v>
      </c>
      <c r="G3074" s="3" t="s">
        <v>36</v>
      </c>
      <c r="H3074" s="3" t="s">
        <v>37</v>
      </c>
      <c r="I3074" s="3" t="s">
        <v>24</v>
      </c>
      <c r="J3074" s="3" t="s">
        <v>24</v>
      </c>
      <c r="K3074" s="3" t="s">
        <v>25</v>
      </c>
      <c r="L3074" s="4">
        <v>0</v>
      </c>
      <c r="M3074" s="3" t="s">
        <v>26</v>
      </c>
      <c r="N3074" s="3" t="s">
        <v>24</v>
      </c>
      <c r="O3074" s="4">
        <v>1</v>
      </c>
      <c r="P3074" s="4">
        <v>4</v>
      </c>
      <c r="Q3074" s="4">
        <v>1</v>
      </c>
    </row>
    <row r="3075" spans="1:17" x14ac:dyDescent="0.25">
      <c r="A3075" s="3" t="s">
        <v>18</v>
      </c>
      <c r="B3075" s="3">
        <v>18689798</v>
      </c>
      <c r="C3075" s="3" t="s">
        <v>3086</v>
      </c>
      <c r="D3075" s="3" t="s">
        <v>20</v>
      </c>
      <c r="E3075" s="3" t="s">
        <v>21</v>
      </c>
      <c r="F3075" s="3" t="s">
        <v>21</v>
      </c>
      <c r="G3075" s="3" t="s">
        <v>36</v>
      </c>
      <c r="H3075" s="3" t="s">
        <v>37</v>
      </c>
      <c r="I3075" s="3" t="s">
        <v>24</v>
      </c>
      <c r="J3075" s="3" t="s">
        <v>24</v>
      </c>
      <c r="K3075" s="3" t="s">
        <v>25</v>
      </c>
      <c r="L3075" s="4">
        <v>0</v>
      </c>
      <c r="M3075" s="3" t="s">
        <v>26</v>
      </c>
      <c r="N3075" s="3" t="s">
        <v>24</v>
      </c>
      <c r="O3075" s="4">
        <v>1</v>
      </c>
      <c r="P3075" s="4">
        <v>4</v>
      </c>
      <c r="Q3075" s="4">
        <v>1</v>
      </c>
    </row>
    <row r="3076" spans="1:17" x14ac:dyDescent="0.25">
      <c r="A3076" s="3" t="s">
        <v>18</v>
      </c>
      <c r="B3076" s="3">
        <v>18690910</v>
      </c>
      <c r="C3076" s="3" t="s">
        <v>3087</v>
      </c>
      <c r="D3076" s="3" t="s">
        <v>20</v>
      </c>
      <c r="E3076" s="3" t="s">
        <v>21</v>
      </c>
      <c r="F3076" s="3" t="s">
        <v>21</v>
      </c>
      <c r="G3076" s="3" t="s">
        <v>233</v>
      </c>
      <c r="H3076" s="3" t="s">
        <v>234</v>
      </c>
      <c r="I3076" s="3" t="s">
        <v>24</v>
      </c>
      <c r="J3076" s="3" t="s">
        <v>24</v>
      </c>
      <c r="K3076" s="3" t="s">
        <v>25</v>
      </c>
      <c r="L3076" s="4">
        <v>0</v>
      </c>
      <c r="M3076" s="3" t="s">
        <v>26</v>
      </c>
      <c r="N3076" s="3" t="s">
        <v>24</v>
      </c>
      <c r="O3076" s="4">
        <v>1</v>
      </c>
      <c r="P3076" s="4">
        <v>3</v>
      </c>
      <c r="Q3076" s="4">
        <v>1</v>
      </c>
    </row>
    <row r="3077" spans="1:17" x14ac:dyDescent="0.25">
      <c r="A3077" s="3" t="s">
        <v>18</v>
      </c>
      <c r="B3077" s="3">
        <v>18694315</v>
      </c>
      <c r="C3077" s="3" t="s">
        <v>3088</v>
      </c>
      <c r="D3077" s="3" t="s">
        <v>1360</v>
      </c>
      <c r="E3077" s="3" t="s">
        <v>21</v>
      </c>
      <c r="F3077" s="3" t="s">
        <v>21</v>
      </c>
      <c r="G3077" s="3" t="s">
        <v>36</v>
      </c>
      <c r="H3077" s="3" t="s">
        <v>37</v>
      </c>
      <c r="I3077" s="3" t="s">
        <v>24</v>
      </c>
      <c r="J3077" s="3" t="s">
        <v>24</v>
      </c>
      <c r="K3077" s="3" t="s">
        <v>25</v>
      </c>
      <c r="L3077" s="4">
        <v>0</v>
      </c>
      <c r="M3077" s="3" t="s">
        <v>26</v>
      </c>
      <c r="N3077" s="3" t="s">
        <v>24</v>
      </c>
      <c r="O3077" s="4">
        <v>1</v>
      </c>
      <c r="P3077" s="4">
        <v>8</v>
      </c>
      <c r="Q3077" s="4">
        <v>1</v>
      </c>
    </row>
    <row r="3078" spans="1:17" x14ac:dyDescent="0.25">
      <c r="A3078" s="3" t="s">
        <v>18</v>
      </c>
      <c r="B3078" s="3">
        <v>18694401</v>
      </c>
      <c r="C3078" s="3" t="s">
        <v>3089</v>
      </c>
      <c r="D3078" s="3" t="s">
        <v>1360</v>
      </c>
      <c r="E3078" s="3" t="s">
        <v>21</v>
      </c>
      <c r="F3078" s="3" t="s">
        <v>21</v>
      </c>
      <c r="G3078" s="3" t="s">
        <v>36</v>
      </c>
      <c r="H3078" s="3" t="s">
        <v>37</v>
      </c>
      <c r="I3078" s="3" t="s">
        <v>24</v>
      </c>
      <c r="J3078" s="3" t="s">
        <v>24</v>
      </c>
      <c r="K3078" s="3" t="s">
        <v>25</v>
      </c>
      <c r="L3078" s="4">
        <v>0</v>
      </c>
      <c r="M3078" s="3" t="s">
        <v>26</v>
      </c>
      <c r="N3078" s="3" t="s">
        <v>24</v>
      </c>
      <c r="O3078" s="4">
        <v>1</v>
      </c>
      <c r="P3078" s="4">
        <v>8</v>
      </c>
      <c r="Q3078" s="4">
        <v>1</v>
      </c>
    </row>
    <row r="3079" spans="1:17" x14ac:dyDescent="0.25">
      <c r="A3079" s="3" t="s">
        <v>18</v>
      </c>
      <c r="B3079" s="3">
        <v>18694404</v>
      </c>
      <c r="C3079" s="3" t="s">
        <v>3090</v>
      </c>
      <c r="D3079" s="3" t="s">
        <v>1360</v>
      </c>
      <c r="E3079" s="3" t="s">
        <v>21</v>
      </c>
      <c r="F3079" s="3" t="s">
        <v>21</v>
      </c>
      <c r="G3079" s="3" t="s">
        <v>36</v>
      </c>
      <c r="H3079" s="3" t="s">
        <v>37</v>
      </c>
      <c r="I3079" s="3" t="s">
        <v>24</v>
      </c>
      <c r="J3079" s="3" t="s">
        <v>24</v>
      </c>
      <c r="K3079" s="3" t="s">
        <v>25</v>
      </c>
      <c r="L3079" s="4">
        <v>0</v>
      </c>
      <c r="M3079" s="3" t="s">
        <v>26</v>
      </c>
      <c r="N3079" s="3" t="s">
        <v>24</v>
      </c>
      <c r="O3079" s="4">
        <v>1</v>
      </c>
      <c r="P3079" s="4">
        <v>8</v>
      </c>
      <c r="Q3079" s="4">
        <v>1</v>
      </c>
    </row>
    <row r="3080" spans="1:17" x14ac:dyDescent="0.25">
      <c r="A3080" s="3" t="s">
        <v>18</v>
      </c>
      <c r="B3080" s="3">
        <v>18694490</v>
      </c>
      <c r="C3080" s="3" t="s">
        <v>3091</v>
      </c>
      <c r="D3080" s="3" t="s">
        <v>1360</v>
      </c>
      <c r="E3080" s="3" t="s">
        <v>21</v>
      </c>
      <c r="F3080" s="3" t="s">
        <v>21</v>
      </c>
      <c r="G3080" s="3" t="s">
        <v>233</v>
      </c>
      <c r="H3080" s="3" t="s">
        <v>234</v>
      </c>
      <c r="I3080" s="3" t="s">
        <v>24</v>
      </c>
      <c r="J3080" s="3" t="s">
        <v>24</v>
      </c>
      <c r="K3080" s="3" t="s">
        <v>25</v>
      </c>
      <c r="L3080" s="4">
        <v>0</v>
      </c>
      <c r="M3080" s="3" t="s">
        <v>26</v>
      </c>
      <c r="N3080" s="3" t="s">
        <v>24</v>
      </c>
      <c r="O3080" s="4">
        <v>1</v>
      </c>
      <c r="P3080" s="4">
        <v>3</v>
      </c>
      <c r="Q3080" s="4">
        <v>1</v>
      </c>
    </row>
    <row r="3081" spans="1:17" x14ac:dyDescent="0.25">
      <c r="A3081" s="3" t="s">
        <v>18</v>
      </c>
      <c r="B3081" s="3">
        <v>18694493</v>
      </c>
      <c r="C3081" s="3" t="s">
        <v>3092</v>
      </c>
      <c r="D3081" s="3" t="s">
        <v>1360</v>
      </c>
      <c r="E3081" s="3" t="s">
        <v>21</v>
      </c>
      <c r="F3081" s="3" t="s">
        <v>21</v>
      </c>
      <c r="G3081" s="3" t="s">
        <v>233</v>
      </c>
      <c r="H3081" s="3" t="s">
        <v>234</v>
      </c>
      <c r="I3081" s="3" t="s">
        <v>24</v>
      </c>
      <c r="J3081" s="3" t="s">
        <v>24</v>
      </c>
      <c r="K3081" s="3" t="s">
        <v>25</v>
      </c>
      <c r="L3081" s="4">
        <v>0</v>
      </c>
      <c r="M3081" s="3" t="s">
        <v>26</v>
      </c>
      <c r="N3081" s="3" t="s">
        <v>24</v>
      </c>
      <c r="O3081" s="4">
        <v>1</v>
      </c>
      <c r="P3081" s="4">
        <v>3</v>
      </c>
      <c r="Q3081" s="4">
        <v>1</v>
      </c>
    </row>
    <row r="3082" spans="1:17" x14ac:dyDescent="0.25">
      <c r="A3082" s="3" t="s">
        <v>18</v>
      </c>
      <c r="B3082" s="3">
        <v>18694494</v>
      </c>
      <c r="C3082" s="3" t="s">
        <v>3093</v>
      </c>
      <c r="D3082" s="3" t="s">
        <v>1360</v>
      </c>
      <c r="E3082" s="3" t="s">
        <v>21</v>
      </c>
      <c r="F3082" s="3" t="s">
        <v>21</v>
      </c>
      <c r="G3082" s="3" t="s">
        <v>233</v>
      </c>
      <c r="H3082" s="3" t="s">
        <v>234</v>
      </c>
      <c r="I3082" s="3" t="s">
        <v>24</v>
      </c>
      <c r="J3082" s="3" t="s">
        <v>24</v>
      </c>
      <c r="K3082" s="3" t="s">
        <v>25</v>
      </c>
      <c r="L3082" s="4">
        <v>0</v>
      </c>
      <c r="M3082" s="3" t="s">
        <v>26</v>
      </c>
      <c r="N3082" s="3" t="s">
        <v>24</v>
      </c>
      <c r="O3082" s="4">
        <v>1</v>
      </c>
      <c r="P3082" s="4">
        <v>3</v>
      </c>
      <c r="Q3082" s="4">
        <v>1</v>
      </c>
    </row>
    <row r="3083" spans="1:17" x14ac:dyDescent="0.25">
      <c r="A3083" s="3" t="s">
        <v>18</v>
      </c>
      <c r="B3083" s="3">
        <v>18705105</v>
      </c>
      <c r="C3083" s="3" t="s">
        <v>3094</v>
      </c>
      <c r="D3083" s="3" t="s">
        <v>20</v>
      </c>
      <c r="E3083" s="3" t="s">
        <v>21</v>
      </c>
      <c r="F3083" s="3" t="s">
        <v>21</v>
      </c>
      <c r="G3083" s="3" t="s">
        <v>42</v>
      </c>
      <c r="H3083" s="3" t="s">
        <v>43</v>
      </c>
      <c r="I3083" s="3" t="s">
        <v>24</v>
      </c>
      <c r="J3083" s="3" t="s">
        <v>24</v>
      </c>
      <c r="K3083" s="3" t="s">
        <v>25</v>
      </c>
      <c r="L3083" s="4">
        <v>0</v>
      </c>
      <c r="M3083" s="3" t="s">
        <v>26</v>
      </c>
      <c r="N3083" s="3" t="s">
        <v>24</v>
      </c>
      <c r="O3083" s="4">
        <v>1</v>
      </c>
      <c r="P3083" s="4">
        <v>8</v>
      </c>
      <c r="Q3083" s="4">
        <v>1</v>
      </c>
    </row>
    <row r="3084" spans="1:17" x14ac:dyDescent="0.25">
      <c r="A3084" s="3" t="s">
        <v>18</v>
      </c>
      <c r="B3084" s="3">
        <v>18708985</v>
      </c>
      <c r="C3084" s="3" t="s">
        <v>3095</v>
      </c>
      <c r="D3084" s="3" t="s">
        <v>20</v>
      </c>
      <c r="E3084" s="3" t="s">
        <v>21</v>
      </c>
      <c r="F3084" s="3" t="s">
        <v>21</v>
      </c>
      <c r="G3084" s="3" t="s">
        <v>42</v>
      </c>
      <c r="H3084" s="3" t="s">
        <v>43</v>
      </c>
      <c r="I3084" s="3" t="s">
        <v>24</v>
      </c>
      <c r="J3084" s="3" t="s">
        <v>24</v>
      </c>
      <c r="K3084" s="3" t="s">
        <v>25</v>
      </c>
      <c r="L3084" s="4">
        <v>0</v>
      </c>
      <c r="M3084" s="3" t="s">
        <v>26</v>
      </c>
      <c r="N3084" s="3" t="s">
        <v>24</v>
      </c>
      <c r="O3084" s="4">
        <v>1</v>
      </c>
      <c r="P3084" s="4">
        <v>8</v>
      </c>
      <c r="Q3084" s="4">
        <v>1</v>
      </c>
    </row>
    <row r="3085" spans="1:17" x14ac:dyDescent="0.25">
      <c r="A3085" s="3" t="s">
        <v>18</v>
      </c>
      <c r="B3085" s="3">
        <v>18712383</v>
      </c>
      <c r="C3085" s="3" t="s">
        <v>3096</v>
      </c>
      <c r="D3085" s="3" t="s">
        <v>20</v>
      </c>
      <c r="E3085" s="3" t="s">
        <v>21</v>
      </c>
      <c r="F3085" s="3" t="s">
        <v>21</v>
      </c>
      <c r="G3085" s="3" t="s">
        <v>22</v>
      </c>
      <c r="H3085" s="3" t="s">
        <v>23</v>
      </c>
      <c r="I3085" s="3" t="s">
        <v>24</v>
      </c>
      <c r="J3085" s="3" t="s">
        <v>24</v>
      </c>
      <c r="K3085" s="3" t="s">
        <v>25</v>
      </c>
      <c r="L3085" s="4">
        <v>0</v>
      </c>
      <c r="M3085" s="3" t="s">
        <v>26</v>
      </c>
      <c r="N3085" s="3" t="s">
        <v>24</v>
      </c>
      <c r="O3085" s="4">
        <v>1</v>
      </c>
      <c r="P3085" s="4">
        <v>4</v>
      </c>
      <c r="Q3085" s="4">
        <v>1</v>
      </c>
    </row>
    <row r="3086" spans="1:17" x14ac:dyDescent="0.25">
      <c r="A3086" s="3" t="s">
        <v>18</v>
      </c>
      <c r="B3086" s="3">
        <v>18712386</v>
      </c>
      <c r="C3086" s="3" t="s">
        <v>3097</v>
      </c>
      <c r="D3086" s="3" t="s">
        <v>20</v>
      </c>
      <c r="E3086" s="3" t="s">
        <v>21</v>
      </c>
      <c r="F3086" s="3" t="s">
        <v>21</v>
      </c>
      <c r="G3086" s="3" t="s">
        <v>22</v>
      </c>
      <c r="H3086" s="3" t="s">
        <v>23</v>
      </c>
      <c r="I3086" s="3" t="s">
        <v>24</v>
      </c>
      <c r="J3086" s="3" t="s">
        <v>24</v>
      </c>
      <c r="K3086" s="3" t="s">
        <v>25</v>
      </c>
      <c r="L3086" s="4">
        <v>0</v>
      </c>
      <c r="M3086" s="3" t="s">
        <v>26</v>
      </c>
      <c r="N3086" s="3" t="s">
        <v>24</v>
      </c>
      <c r="O3086" s="4">
        <v>1</v>
      </c>
      <c r="P3086" s="4">
        <v>4</v>
      </c>
      <c r="Q3086" s="4">
        <v>1</v>
      </c>
    </row>
    <row r="3087" spans="1:17" x14ac:dyDescent="0.25">
      <c r="A3087" s="3" t="s">
        <v>18</v>
      </c>
      <c r="B3087" s="3">
        <v>18712638</v>
      </c>
      <c r="C3087" s="3" t="s">
        <v>3098</v>
      </c>
      <c r="D3087" s="3" t="s">
        <v>20</v>
      </c>
      <c r="E3087" s="3" t="s">
        <v>21</v>
      </c>
      <c r="F3087" s="3" t="s">
        <v>21</v>
      </c>
      <c r="G3087" s="3" t="s">
        <v>42</v>
      </c>
      <c r="H3087" s="3" t="s">
        <v>43</v>
      </c>
      <c r="I3087" s="3" t="s">
        <v>24</v>
      </c>
      <c r="J3087" s="3" t="s">
        <v>24</v>
      </c>
      <c r="K3087" s="3" t="s">
        <v>25</v>
      </c>
      <c r="L3087" s="4">
        <v>0</v>
      </c>
      <c r="M3087" s="3" t="s">
        <v>26</v>
      </c>
      <c r="N3087" s="3" t="s">
        <v>24</v>
      </c>
      <c r="O3087" s="4">
        <v>1</v>
      </c>
      <c r="P3087" s="4">
        <v>8</v>
      </c>
      <c r="Q3087" s="4">
        <v>1</v>
      </c>
    </row>
    <row r="3088" spans="1:17" x14ac:dyDescent="0.25">
      <c r="A3088" s="3" t="s">
        <v>18</v>
      </c>
      <c r="B3088" s="3">
        <v>18720110</v>
      </c>
      <c r="C3088" s="3" t="s">
        <v>3099</v>
      </c>
      <c r="D3088" s="3" t="s">
        <v>20</v>
      </c>
      <c r="E3088" s="3" t="s">
        <v>21</v>
      </c>
      <c r="F3088" s="3" t="s">
        <v>21</v>
      </c>
      <c r="G3088" s="3" t="s">
        <v>487</v>
      </c>
      <c r="H3088" s="3" t="s">
        <v>488</v>
      </c>
      <c r="I3088" s="3" t="s">
        <v>24</v>
      </c>
      <c r="J3088" s="3" t="s">
        <v>24</v>
      </c>
      <c r="K3088" s="3" t="s">
        <v>25</v>
      </c>
      <c r="L3088" s="4">
        <v>0</v>
      </c>
      <c r="M3088" s="3" t="s">
        <v>26</v>
      </c>
      <c r="N3088" s="3" t="s">
        <v>24</v>
      </c>
      <c r="O3088" s="4">
        <v>1</v>
      </c>
      <c r="P3088" s="4">
        <v>2</v>
      </c>
      <c r="Q3088" s="4">
        <v>1</v>
      </c>
    </row>
    <row r="3089" spans="1:17" x14ac:dyDescent="0.25">
      <c r="A3089" s="3" t="s">
        <v>18</v>
      </c>
      <c r="B3089" s="3">
        <v>18744446</v>
      </c>
      <c r="C3089" s="3" t="s">
        <v>3100</v>
      </c>
      <c r="D3089" s="3" t="s">
        <v>20</v>
      </c>
      <c r="E3089" s="3" t="s">
        <v>21</v>
      </c>
      <c r="F3089" s="3" t="s">
        <v>21</v>
      </c>
      <c r="G3089" s="3" t="s">
        <v>487</v>
      </c>
      <c r="H3089" s="3" t="s">
        <v>488</v>
      </c>
      <c r="I3089" s="3" t="s">
        <v>24</v>
      </c>
      <c r="J3089" s="3" t="s">
        <v>24</v>
      </c>
      <c r="K3089" s="3" t="s">
        <v>25</v>
      </c>
      <c r="L3089" s="4">
        <v>0</v>
      </c>
      <c r="M3089" s="3" t="s">
        <v>26</v>
      </c>
      <c r="N3089" s="3" t="s">
        <v>24</v>
      </c>
      <c r="O3089" s="4">
        <v>1</v>
      </c>
      <c r="P3089" s="4">
        <v>2</v>
      </c>
      <c r="Q3089" s="4">
        <v>1</v>
      </c>
    </row>
    <row r="3090" spans="1:17" x14ac:dyDescent="0.25">
      <c r="A3090" s="3" t="s">
        <v>18</v>
      </c>
      <c r="B3090" s="3">
        <v>18744447</v>
      </c>
      <c r="C3090" s="3" t="s">
        <v>3101</v>
      </c>
      <c r="D3090" s="3" t="s">
        <v>20</v>
      </c>
      <c r="E3090" s="3" t="s">
        <v>21</v>
      </c>
      <c r="F3090" s="3" t="s">
        <v>21</v>
      </c>
      <c r="G3090" s="3" t="s">
        <v>487</v>
      </c>
      <c r="H3090" s="3" t="s">
        <v>488</v>
      </c>
      <c r="I3090" s="3" t="s">
        <v>24</v>
      </c>
      <c r="J3090" s="3" t="s">
        <v>24</v>
      </c>
      <c r="K3090" s="3" t="s">
        <v>25</v>
      </c>
      <c r="L3090" s="4">
        <v>0</v>
      </c>
      <c r="M3090" s="3" t="s">
        <v>26</v>
      </c>
      <c r="N3090" s="3" t="s">
        <v>24</v>
      </c>
      <c r="O3090" s="4">
        <v>1</v>
      </c>
      <c r="P3090" s="4">
        <v>1</v>
      </c>
      <c r="Q3090" s="4">
        <v>1</v>
      </c>
    </row>
    <row r="3091" spans="1:17" x14ac:dyDescent="0.25">
      <c r="A3091" s="3" t="s">
        <v>18</v>
      </c>
      <c r="B3091" s="3">
        <v>18747817</v>
      </c>
      <c r="C3091" s="3" t="s">
        <v>3102</v>
      </c>
      <c r="D3091" s="3" t="s">
        <v>1360</v>
      </c>
      <c r="E3091" s="3" t="s">
        <v>21</v>
      </c>
      <c r="F3091" s="3" t="s">
        <v>21</v>
      </c>
      <c r="G3091" s="3" t="s">
        <v>487</v>
      </c>
      <c r="H3091" s="3" t="s">
        <v>488</v>
      </c>
      <c r="I3091" s="3" t="s">
        <v>24</v>
      </c>
      <c r="J3091" s="3" t="s">
        <v>24</v>
      </c>
      <c r="K3091" s="3" t="s">
        <v>25</v>
      </c>
      <c r="L3091" s="4">
        <v>0</v>
      </c>
      <c r="M3091" s="3" t="s">
        <v>26</v>
      </c>
      <c r="N3091" s="3" t="s">
        <v>24</v>
      </c>
      <c r="O3091" s="4">
        <v>1</v>
      </c>
      <c r="P3091" s="4">
        <v>2</v>
      </c>
      <c r="Q3091" s="4">
        <v>1</v>
      </c>
    </row>
    <row r="3092" spans="1:17" x14ac:dyDescent="0.25">
      <c r="A3092" s="3" t="s">
        <v>18</v>
      </c>
      <c r="B3092" s="3">
        <v>18747979</v>
      </c>
      <c r="C3092" s="3" t="s">
        <v>3103</v>
      </c>
      <c r="D3092" s="3" t="s">
        <v>1360</v>
      </c>
      <c r="E3092" s="3" t="s">
        <v>21</v>
      </c>
      <c r="F3092" s="3" t="s">
        <v>21</v>
      </c>
      <c r="G3092" s="3" t="s">
        <v>487</v>
      </c>
      <c r="H3092" s="3" t="s">
        <v>488</v>
      </c>
      <c r="I3092" s="3" t="s">
        <v>24</v>
      </c>
      <c r="J3092" s="3" t="s">
        <v>24</v>
      </c>
      <c r="K3092" s="3" t="s">
        <v>25</v>
      </c>
      <c r="L3092" s="4">
        <v>0</v>
      </c>
      <c r="M3092" s="3" t="s">
        <v>26</v>
      </c>
      <c r="N3092" s="3" t="s">
        <v>24</v>
      </c>
      <c r="O3092" s="4">
        <v>1</v>
      </c>
      <c r="P3092" s="4">
        <v>1</v>
      </c>
      <c r="Q3092" s="4">
        <v>1</v>
      </c>
    </row>
    <row r="3093" spans="1:17" x14ac:dyDescent="0.25">
      <c r="A3093" s="3" t="s">
        <v>18</v>
      </c>
      <c r="B3093" s="3">
        <v>18756598</v>
      </c>
      <c r="C3093" s="3" t="s">
        <v>3104</v>
      </c>
      <c r="D3093" s="3" t="s">
        <v>20</v>
      </c>
      <c r="E3093" s="3" t="s">
        <v>21</v>
      </c>
      <c r="F3093" s="3" t="s">
        <v>21</v>
      </c>
      <c r="G3093" s="3" t="s">
        <v>362</v>
      </c>
      <c r="H3093" s="3" t="s">
        <v>363</v>
      </c>
      <c r="I3093" s="3" t="s">
        <v>24</v>
      </c>
      <c r="J3093" s="3" t="s">
        <v>24</v>
      </c>
      <c r="K3093" s="3" t="s">
        <v>25</v>
      </c>
      <c r="L3093" s="4">
        <v>0</v>
      </c>
      <c r="M3093" s="3" t="s">
        <v>26</v>
      </c>
      <c r="N3093" s="3" t="s">
        <v>24</v>
      </c>
      <c r="O3093" s="4">
        <v>1</v>
      </c>
      <c r="P3093" s="4">
        <v>1</v>
      </c>
      <c r="Q3093" s="4">
        <v>1</v>
      </c>
    </row>
    <row r="3094" spans="1:17" x14ac:dyDescent="0.25">
      <c r="A3094" s="3" t="s">
        <v>18</v>
      </c>
      <c r="B3094" s="3">
        <v>18775867</v>
      </c>
      <c r="C3094" s="3" t="s">
        <v>3105</v>
      </c>
      <c r="D3094" s="3" t="s">
        <v>20</v>
      </c>
      <c r="E3094" s="3" t="s">
        <v>21</v>
      </c>
      <c r="F3094" s="3" t="s">
        <v>21</v>
      </c>
      <c r="G3094" s="3" t="s">
        <v>22</v>
      </c>
      <c r="H3094" s="3" t="s">
        <v>23</v>
      </c>
      <c r="I3094" s="3" t="s">
        <v>24</v>
      </c>
      <c r="J3094" s="3" t="s">
        <v>24</v>
      </c>
      <c r="K3094" s="3" t="s">
        <v>25</v>
      </c>
      <c r="L3094" s="4">
        <v>0</v>
      </c>
      <c r="M3094" s="3" t="s">
        <v>26</v>
      </c>
      <c r="N3094" s="3" t="s">
        <v>24</v>
      </c>
      <c r="O3094" s="4">
        <v>1</v>
      </c>
      <c r="P3094" s="4">
        <v>4</v>
      </c>
      <c r="Q3094" s="4">
        <v>1</v>
      </c>
    </row>
    <row r="3095" spans="1:17" x14ac:dyDescent="0.25">
      <c r="A3095" s="3" t="s">
        <v>18</v>
      </c>
      <c r="B3095" s="3">
        <v>18821520</v>
      </c>
      <c r="C3095" s="3" t="s">
        <v>3106</v>
      </c>
      <c r="D3095" s="3" t="s">
        <v>20</v>
      </c>
      <c r="E3095" s="3" t="s">
        <v>21</v>
      </c>
      <c r="F3095" s="3" t="s">
        <v>21</v>
      </c>
      <c r="G3095" s="3" t="s">
        <v>36</v>
      </c>
      <c r="H3095" s="3" t="s">
        <v>37</v>
      </c>
      <c r="I3095" s="3" t="s">
        <v>24</v>
      </c>
      <c r="J3095" s="3" t="s">
        <v>24</v>
      </c>
      <c r="K3095" s="3" t="s">
        <v>25</v>
      </c>
      <c r="L3095" s="4">
        <v>0</v>
      </c>
      <c r="M3095" s="3" t="s">
        <v>26</v>
      </c>
      <c r="N3095" s="3" t="s">
        <v>24</v>
      </c>
      <c r="O3095" s="4">
        <v>1</v>
      </c>
      <c r="P3095" s="4">
        <v>3</v>
      </c>
      <c r="Q3095" s="4">
        <v>1</v>
      </c>
    </row>
    <row r="3096" spans="1:17" x14ac:dyDescent="0.25">
      <c r="A3096" s="3" t="s">
        <v>18</v>
      </c>
      <c r="B3096" s="3">
        <v>18821951</v>
      </c>
      <c r="C3096" s="3" t="s">
        <v>3107</v>
      </c>
      <c r="D3096" s="3" t="s">
        <v>20</v>
      </c>
      <c r="E3096" s="3" t="s">
        <v>21</v>
      </c>
      <c r="F3096" s="3" t="s">
        <v>21</v>
      </c>
      <c r="G3096" s="3" t="s">
        <v>487</v>
      </c>
      <c r="H3096" s="3" t="s">
        <v>488</v>
      </c>
      <c r="I3096" s="3" t="s">
        <v>24</v>
      </c>
      <c r="J3096" s="3" t="s">
        <v>24</v>
      </c>
      <c r="K3096" s="3" t="s">
        <v>25</v>
      </c>
      <c r="L3096" s="4">
        <v>0</v>
      </c>
      <c r="M3096" s="3" t="s">
        <v>26</v>
      </c>
      <c r="N3096" s="3" t="s">
        <v>24</v>
      </c>
      <c r="O3096" s="4">
        <v>1</v>
      </c>
      <c r="P3096" s="4">
        <v>2</v>
      </c>
      <c r="Q3096" s="4">
        <v>1</v>
      </c>
    </row>
    <row r="3097" spans="1:17" x14ac:dyDescent="0.25">
      <c r="A3097" s="3" t="s">
        <v>18</v>
      </c>
      <c r="B3097" s="3">
        <v>18828557</v>
      </c>
      <c r="C3097" s="3" t="s">
        <v>3108</v>
      </c>
      <c r="D3097" s="3" t="s">
        <v>1360</v>
      </c>
      <c r="E3097" s="3" t="s">
        <v>21</v>
      </c>
      <c r="F3097" s="3" t="s">
        <v>21</v>
      </c>
      <c r="G3097" s="3" t="s">
        <v>487</v>
      </c>
      <c r="H3097" s="3" t="s">
        <v>488</v>
      </c>
      <c r="I3097" s="3" t="s">
        <v>24</v>
      </c>
      <c r="J3097" s="3" t="s">
        <v>24</v>
      </c>
      <c r="K3097" s="3" t="s">
        <v>25</v>
      </c>
      <c r="L3097" s="4">
        <v>0</v>
      </c>
      <c r="M3097" s="3" t="s">
        <v>26</v>
      </c>
      <c r="N3097" s="3" t="s">
        <v>24</v>
      </c>
      <c r="O3097" s="4">
        <v>1</v>
      </c>
      <c r="P3097" s="4">
        <v>2</v>
      </c>
      <c r="Q3097" s="4">
        <v>1</v>
      </c>
    </row>
    <row r="3098" spans="1:17" x14ac:dyDescent="0.25">
      <c r="A3098" s="3" t="s">
        <v>18</v>
      </c>
      <c r="B3098" s="3">
        <v>18898077</v>
      </c>
      <c r="C3098" s="3" t="s">
        <v>3109</v>
      </c>
      <c r="D3098" s="3" t="s">
        <v>20</v>
      </c>
      <c r="E3098" s="3" t="s">
        <v>21</v>
      </c>
      <c r="F3098" s="3" t="s">
        <v>21</v>
      </c>
      <c r="G3098" s="3" t="s">
        <v>42</v>
      </c>
      <c r="H3098" s="3" t="s">
        <v>43</v>
      </c>
      <c r="I3098" s="3" t="s">
        <v>24</v>
      </c>
      <c r="J3098" s="3" t="s">
        <v>24</v>
      </c>
      <c r="K3098" s="3" t="s">
        <v>25</v>
      </c>
      <c r="L3098" s="4">
        <v>0</v>
      </c>
      <c r="M3098" s="3" t="s">
        <v>26</v>
      </c>
      <c r="N3098" s="3" t="s">
        <v>24</v>
      </c>
      <c r="O3098" s="4">
        <v>1</v>
      </c>
      <c r="P3098" s="4">
        <v>8</v>
      </c>
      <c r="Q3098" s="4">
        <v>1</v>
      </c>
    </row>
    <row r="3099" spans="1:17" x14ac:dyDescent="0.25">
      <c r="A3099" s="3" t="s">
        <v>18</v>
      </c>
      <c r="B3099" s="3">
        <v>18898218</v>
      </c>
      <c r="C3099" s="3" t="s">
        <v>3110</v>
      </c>
      <c r="D3099" s="3" t="s">
        <v>20</v>
      </c>
      <c r="E3099" s="3" t="s">
        <v>21</v>
      </c>
      <c r="F3099" s="3" t="s">
        <v>21</v>
      </c>
      <c r="G3099" s="3" t="s">
        <v>22</v>
      </c>
      <c r="H3099" s="3" t="s">
        <v>23</v>
      </c>
      <c r="I3099" s="3" t="s">
        <v>24</v>
      </c>
      <c r="J3099" s="3" t="s">
        <v>24</v>
      </c>
      <c r="K3099" s="3" t="s">
        <v>25</v>
      </c>
      <c r="L3099" s="4">
        <v>0</v>
      </c>
      <c r="M3099" s="3" t="s">
        <v>26</v>
      </c>
      <c r="N3099" s="3" t="s">
        <v>24</v>
      </c>
      <c r="O3099" s="4">
        <v>1</v>
      </c>
      <c r="P3099" s="4">
        <v>4</v>
      </c>
      <c r="Q3099" s="4">
        <v>1</v>
      </c>
    </row>
    <row r="3100" spans="1:17" x14ac:dyDescent="0.25">
      <c r="A3100" s="3" t="s">
        <v>18</v>
      </c>
      <c r="B3100" s="3">
        <v>18904002</v>
      </c>
      <c r="C3100" s="3" t="s">
        <v>3111</v>
      </c>
      <c r="D3100" s="3" t="s">
        <v>20</v>
      </c>
      <c r="E3100" s="3" t="s">
        <v>21</v>
      </c>
      <c r="F3100" s="3" t="s">
        <v>21</v>
      </c>
      <c r="G3100" s="3" t="s">
        <v>36</v>
      </c>
      <c r="H3100" s="3" t="s">
        <v>37</v>
      </c>
      <c r="I3100" s="3" t="s">
        <v>24</v>
      </c>
      <c r="J3100" s="3" t="s">
        <v>24</v>
      </c>
      <c r="K3100" s="3" t="s">
        <v>25</v>
      </c>
      <c r="L3100" s="4">
        <v>0</v>
      </c>
      <c r="M3100" s="3" t="s">
        <v>26</v>
      </c>
      <c r="N3100" s="3" t="s">
        <v>24</v>
      </c>
      <c r="O3100" s="4">
        <v>1</v>
      </c>
      <c r="P3100" s="4">
        <v>3</v>
      </c>
      <c r="Q3100" s="4">
        <v>1</v>
      </c>
    </row>
    <row r="3101" spans="1:17" x14ac:dyDescent="0.25">
      <c r="A3101" s="3" t="s">
        <v>18</v>
      </c>
      <c r="B3101" s="3">
        <v>18949393</v>
      </c>
      <c r="C3101" s="3" t="s">
        <v>3112</v>
      </c>
      <c r="D3101" s="3" t="s">
        <v>20</v>
      </c>
      <c r="E3101" s="3" t="s">
        <v>21</v>
      </c>
      <c r="F3101" s="3" t="s">
        <v>21</v>
      </c>
      <c r="G3101" s="3" t="s">
        <v>477</v>
      </c>
      <c r="H3101" s="3" t="s">
        <v>478</v>
      </c>
      <c r="I3101" s="3" t="s">
        <v>24</v>
      </c>
      <c r="J3101" s="3" t="s">
        <v>24</v>
      </c>
      <c r="K3101" s="3" t="s">
        <v>25</v>
      </c>
      <c r="L3101" s="4">
        <v>0</v>
      </c>
      <c r="M3101" s="3" t="s">
        <v>26</v>
      </c>
      <c r="N3101" s="3" t="s">
        <v>24</v>
      </c>
      <c r="O3101" s="4">
        <v>1</v>
      </c>
      <c r="P3101" s="4">
        <v>2</v>
      </c>
      <c r="Q3101" s="4">
        <v>1</v>
      </c>
    </row>
    <row r="3102" spans="1:17" x14ac:dyDescent="0.25">
      <c r="A3102" s="3" t="s">
        <v>18</v>
      </c>
      <c r="B3102" s="3">
        <v>18949394</v>
      </c>
      <c r="C3102" s="3" t="s">
        <v>3113</v>
      </c>
      <c r="D3102" s="3" t="s">
        <v>20</v>
      </c>
      <c r="E3102" s="3" t="s">
        <v>21</v>
      </c>
      <c r="F3102" s="3" t="s">
        <v>21</v>
      </c>
      <c r="G3102" s="3" t="s">
        <v>477</v>
      </c>
      <c r="H3102" s="3" t="s">
        <v>478</v>
      </c>
      <c r="I3102" s="3" t="s">
        <v>24</v>
      </c>
      <c r="J3102" s="3" t="s">
        <v>24</v>
      </c>
      <c r="K3102" s="3" t="s">
        <v>25</v>
      </c>
      <c r="L3102" s="4">
        <v>0</v>
      </c>
      <c r="M3102" s="3" t="s">
        <v>26</v>
      </c>
      <c r="N3102" s="3" t="s">
        <v>24</v>
      </c>
      <c r="O3102" s="4">
        <v>1</v>
      </c>
      <c r="P3102" s="4">
        <v>2</v>
      </c>
      <c r="Q3102" s="4">
        <v>1</v>
      </c>
    </row>
    <row r="3103" spans="1:17" x14ac:dyDescent="0.25">
      <c r="A3103" s="3" t="s">
        <v>18</v>
      </c>
      <c r="B3103" s="3">
        <v>18949395</v>
      </c>
      <c r="C3103" s="3" t="s">
        <v>3114</v>
      </c>
      <c r="D3103" s="3" t="s">
        <v>20</v>
      </c>
      <c r="E3103" s="3" t="s">
        <v>21</v>
      </c>
      <c r="F3103" s="3" t="s">
        <v>21</v>
      </c>
      <c r="G3103" s="3" t="s">
        <v>477</v>
      </c>
      <c r="H3103" s="3" t="s">
        <v>478</v>
      </c>
      <c r="I3103" s="3" t="s">
        <v>24</v>
      </c>
      <c r="J3103" s="3" t="s">
        <v>24</v>
      </c>
      <c r="K3103" s="3" t="s">
        <v>25</v>
      </c>
      <c r="L3103" s="4">
        <v>0</v>
      </c>
      <c r="M3103" s="3" t="s">
        <v>26</v>
      </c>
      <c r="N3103" s="3" t="s">
        <v>24</v>
      </c>
      <c r="O3103" s="4">
        <v>1</v>
      </c>
      <c r="P3103" s="4">
        <v>2</v>
      </c>
      <c r="Q3103" s="4">
        <v>1</v>
      </c>
    </row>
    <row r="3104" spans="1:17" x14ac:dyDescent="0.25">
      <c r="A3104" s="3" t="s">
        <v>18</v>
      </c>
      <c r="B3104" s="3">
        <v>18949397</v>
      </c>
      <c r="C3104" s="3" t="s">
        <v>3115</v>
      </c>
      <c r="D3104" s="3" t="s">
        <v>20</v>
      </c>
      <c r="E3104" s="3" t="s">
        <v>21</v>
      </c>
      <c r="F3104" s="3" t="s">
        <v>21</v>
      </c>
      <c r="G3104" s="3" t="s">
        <v>477</v>
      </c>
      <c r="H3104" s="3" t="s">
        <v>478</v>
      </c>
      <c r="I3104" s="3" t="s">
        <v>24</v>
      </c>
      <c r="J3104" s="3" t="s">
        <v>24</v>
      </c>
      <c r="K3104" s="3" t="s">
        <v>25</v>
      </c>
      <c r="L3104" s="4">
        <v>0</v>
      </c>
      <c r="M3104" s="3" t="s">
        <v>26</v>
      </c>
      <c r="N3104" s="3" t="s">
        <v>24</v>
      </c>
      <c r="O3104" s="4">
        <v>1</v>
      </c>
      <c r="P3104" s="4">
        <v>1</v>
      </c>
      <c r="Q3104" s="4">
        <v>1</v>
      </c>
    </row>
    <row r="3105" spans="1:17" x14ac:dyDescent="0.25">
      <c r="A3105" s="3" t="s">
        <v>18</v>
      </c>
      <c r="B3105" s="3">
        <v>18949648</v>
      </c>
      <c r="C3105" s="3" t="s">
        <v>3116</v>
      </c>
      <c r="D3105" s="3" t="s">
        <v>20</v>
      </c>
      <c r="E3105" s="3" t="s">
        <v>21</v>
      </c>
      <c r="F3105" s="3" t="s">
        <v>21</v>
      </c>
      <c r="G3105" s="3" t="s">
        <v>477</v>
      </c>
      <c r="H3105" s="3" t="s">
        <v>478</v>
      </c>
      <c r="I3105" s="3" t="s">
        <v>24</v>
      </c>
      <c r="J3105" s="3" t="s">
        <v>24</v>
      </c>
      <c r="K3105" s="3" t="s">
        <v>25</v>
      </c>
      <c r="L3105" s="4">
        <v>0</v>
      </c>
      <c r="M3105" s="3" t="s">
        <v>26</v>
      </c>
      <c r="N3105" s="3" t="s">
        <v>24</v>
      </c>
      <c r="O3105" s="4">
        <v>1</v>
      </c>
      <c r="P3105" s="4">
        <v>1</v>
      </c>
      <c r="Q3105" s="4">
        <v>1</v>
      </c>
    </row>
    <row r="3106" spans="1:17" x14ac:dyDescent="0.25">
      <c r="A3106" s="3" t="s">
        <v>18</v>
      </c>
      <c r="B3106" s="3">
        <v>18949848</v>
      </c>
      <c r="C3106" s="3" t="s">
        <v>3117</v>
      </c>
      <c r="D3106" s="3" t="s">
        <v>1360</v>
      </c>
      <c r="E3106" s="3" t="s">
        <v>21</v>
      </c>
      <c r="F3106" s="3" t="s">
        <v>21</v>
      </c>
      <c r="G3106" s="3" t="s">
        <v>487</v>
      </c>
      <c r="H3106" s="3" t="s">
        <v>488</v>
      </c>
      <c r="I3106" s="3" t="s">
        <v>24</v>
      </c>
      <c r="J3106" s="3" t="s">
        <v>24</v>
      </c>
      <c r="K3106" s="3" t="s">
        <v>25</v>
      </c>
      <c r="L3106" s="4">
        <v>0</v>
      </c>
      <c r="M3106" s="3" t="s">
        <v>26</v>
      </c>
      <c r="N3106" s="3" t="s">
        <v>24</v>
      </c>
      <c r="O3106" s="4">
        <v>1</v>
      </c>
      <c r="P3106" s="4">
        <v>2</v>
      </c>
      <c r="Q3106" s="4">
        <v>1</v>
      </c>
    </row>
    <row r="3107" spans="1:17" x14ac:dyDescent="0.25">
      <c r="A3107" s="3" t="s">
        <v>18</v>
      </c>
      <c r="B3107" s="3">
        <v>18949849</v>
      </c>
      <c r="C3107" s="3" t="s">
        <v>3118</v>
      </c>
      <c r="D3107" s="3" t="s">
        <v>1360</v>
      </c>
      <c r="E3107" s="3" t="s">
        <v>21</v>
      </c>
      <c r="F3107" s="3" t="s">
        <v>21</v>
      </c>
      <c r="G3107" s="3" t="s">
        <v>487</v>
      </c>
      <c r="H3107" s="3" t="s">
        <v>488</v>
      </c>
      <c r="I3107" s="3" t="s">
        <v>24</v>
      </c>
      <c r="J3107" s="3" t="s">
        <v>24</v>
      </c>
      <c r="K3107" s="3" t="s">
        <v>25</v>
      </c>
      <c r="L3107" s="4">
        <v>0</v>
      </c>
      <c r="M3107" s="3" t="s">
        <v>26</v>
      </c>
      <c r="N3107" s="3" t="s">
        <v>24</v>
      </c>
      <c r="O3107" s="4">
        <v>1</v>
      </c>
      <c r="P3107" s="4">
        <v>2</v>
      </c>
      <c r="Q3107" s="4">
        <v>1</v>
      </c>
    </row>
    <row r="3108" spans="1:17" x14ac:dyDescent="0.25">
      <c r="A3108" s="3" t="s">
        <v>18</v>
      </c>
      <c r="B3108" s="3">
        <v>18949850</v>
      </c>
      <c r="C3108" s="3" t="s">
        <v>3119</v>
      </c>
      <c r="D3108" s="3" t="s">
        <v>1360</v>
      </c>
      <c r="E3108" s="3" t="s">
        <v>21</v>
      </c>
      <c r="F3108" s="3" t="s">
        <v>21</v>
      </c>
      <c r="G3108" s="3" t="s">
        <v>487</v>
      </c>
      <c r="H3108" s="3" t="s">
        <v>488</v>
      </c>
      <c r="I3108" s="3" t="s">
        <v>24</v>
      </c>
      <c r="J3108" s="3" t="s">
        <v>24</v>
      </c>
      <c r="K3108" s="3" t="s">
        <v>25</v>
      </c>
      <c r="L3108" s="4">
        <v>0</v>
      </c>
      <c r="M3108" s="3" t="s">
        <v>26</v>
      </c>
      <c r="N3108" s="3" t="s">
        <v>24</v>
      </c>
      <c r="O3108" s="4">
        <v>1</v>
      </c>
      <c r="P3108" s="4">
        <v>2</v>
      </c>
      <c r="Q3108" s="4">
        <v>1</v>
      </c>
    </row>
    <row r="3109" spans="1:17" x14ac:dyDescent="0.25">
      <c r="A3109" s="3" t="s">
        <v>18</v>
      </c>
      <c r="B3109" s="3">
        <v>18949851</v>
      </c>
      <c r="C3109" s="3" t="s">
        <v>3120</v>
      </c>
      <c r="D3109" s="3" t="s">
        <v>1360</v>
      </c>
      <c r="E3109" s="3" t="s">
        <v>21</v>
      </c>
      <c r="F3109" s="3" t="s">
        <v>21</v>
      </c>
      <c r="G3109" s="3" t="s">
        <v>477</v>
      </c>
      <c r="H3109" s="3" t="s">
        <v>478</v>
      </c>
      <c r="I3109" s="3" t="s">
        <v>24</v>
      </c>
      <c r="J3109" s="3" t="s">
        <v>24</v>
      </c>
      <c r="K3109" s="3" t="s">
        <v>25</v>
      </c>
      <c r="L3109" s="4">
        <v>0</v>
      </c>
      <c r="M3109" s="3" t="s">
        <v>26</v>
      </c>
      <c r="N3109" s="3" t="s">
        <v>24</v>
      </c>
      <c r="O3109" s="4">
        <v>1</v>
      </c>
      <c r="P3109" s="4">
        <v>2</v>
      </c>
      <c r="Q3109" s="4">
        <v>1</v>
      </c>
    </row>
    <row r="3110" spans="1:17" x14ac:dyDescent="0.25">
      <c r="A3110" s="3" t="s">
        <v>18</v>
      </c>
      <c r="B3110" s="3">
        <v>18949852</v>
      </c>
      <c r="C3110" s="3" t="s">
        <v>3121</v>
      </c>
      <c r="D3110" s="3" t="s">
        <v>1360</v>
      </c>
      <c r="E3110" s="3" t="s">
        <v>21</v>
      </c>
      <c r="F3110" s="3" t="s">
        <v>21</v>
      </c>
      <c r="G3110" s="3" t="s">
        <v>477</v>
      </c>
      <c r="H3110" s="3" t="s">
        <v>478</v>
      </c>
      <c r="I3110" s="3" t="s">
        <v>24</v>
      </c>
      <c r="J3110" s="3" t="s">
        <v>24</v>
      </c>
      <c r="K3110" s="3" t="s">
        <v>25</v>
      </c>
      <c r="L3110" s="4">
        <v>0</v>
      </c>
      <c r="M3110" s="3" t="s">
        <v>26</v>
      </c>
      <c r="N3110" s="3" t="s">
        <v>24</v>
      </c>
      <c r="O3110" s="4">
        <v>1</v>
      </c>
      <c r="P3110" s="4">
        <v>2</v>
      </c>
      <c r="Q3110" s="4">
        <v>1</v>
      </c>
    </row>
    <row r="3111" spans="1:17" x14ac:dyDescent="0.25">
      <c r="A3111" s="3" t="s">
        <v>18</v>
      </c>
      <c r="B3111" s="3">
        <v>18966442</v>
      </c>
      <c r="C3111" s="3" t="s">
        <v>3122</v>
      </c>
      <c r="D3111" s="3" t="s">
        <v>20</v>
      </c>
      <c r="E3111" s="3" t="s">
        <v>21</v>
      </c>
      <c r="F3111" s="3" t="s">
        <v>21</v>
      </c>
      <c r="G3111" s="3" t="s">
        <v>36</v>
      </c>
      <c r="H3111" s="3" t="s">
        <v>37</v>
      </c>
      <c r="I3111" s="3" t="s">
        <v>24</v>
      </c>
      <c r="J3111" s="3" t="s">
        <v>24</v>
      </c>
      <c r="K3111" s="3" t="s">
        <v>25</v>
      </c>
      <c r="L3111" s="4">
        <v>0</v>
      </c>
      <c r="M3111" s="3" t="s">
        <v>26</v>
      </c>
      <c r="N3111" s="3" t="s">
        <v>24</v>
      </c>
      <c r="O3111" s="4">
        <v>1</v>
      </c>
      <c r="P3111" s="4">
        <v>10</v>
      </c>
      <c r="Q3111" s="4">
        <v>1</v>
      </c>
    </row>
    <row r="3112" spans="1:17" x14ac:dyDescent="0.25">
      <c r="A3112" s="3" t="s">
        <v>18</v>
      </c>
      <c r="B3112" s="3">
        <v>18966444</v>
      </c>
      <c r="C3112" s="3" t="s">
        <v>3123</v>
      </c>
      <c r="D3112" s="3" t="s">
        <v>20</v>
      </c>
      <c r="E3112" s="3" t="s">
        <v>21</v>
      </c>
      <c r="F3112" s="3" t="s">
        <v>21</v>
      </c>
      <c r="G3112" s="3" t="s">
        <v>36</v>
      </c>
      <c r="H3112" s="3" t="s">
        <v>37</v>
      </c>
      <c r="I3112" s="3" t="s">
        <v>24</v>
      </c>
      <c r="J3112" s="3" t="s">
        <v>24</v>
      </c>
      <c r="K3112" s="3" t="s">
        <v>25</v>
      </c>
      <c r="L3112" s="4">
        <v>0</v>
      </c>
      <c r="M3112" s="3" t="s">
        <v>26</v>
      </c>
      <c r="N3112" s="3" t="s">
        <v>24</v>
      </c>
      <c r="O3112" s="4">
        <v>1</v>
      </c>
      <c r="P3112" s="4">
        <v>10</v>
      </c>
      <c r="Q3112" s="4">
        <v>1</v>
      </c>
    </row>
    <row r="3113" spans="1:17" x14ac:dyDescent="0.25">
      <c r="A3113" s="3" t="s">
        <v>18</v>
      </c>
      <c r="B3113" s="3">
        <v>18968438</v>
      </c>
      <c r="C3113" s="3" t="s">
        <v>3124</v>
      </c>
      <c r="D3113" s="3" t="s">
        <v>20</v>
      </c>
      <c r="E3113" s="3" t="s">
        <v>21</v>
      </c>
      <c r="F3113" s="3" t="s">
        <v>21</v>
      </c>
      <c r="G3113" s="3" t="s">
        <v>36</v>
      </c>
      <c r="H3113" s="3" t="s">
        <v>37</v>
      </c>
      <c r="I3113" s="3" t="s">
        <v>24</v>
      </c>
      <c r="J3113" s="3" t="s">
        <v>24</v>
      </c>
      <c r="K3113" s="3" t="s">
        <v>25</v>
      </c>
      <c r="L3113" s="4">
        <v>0</v>
      </c>
      <c r="M3113" s="3" t="s">
        <v>26</v>
      </c>
      <c r="N3113" s="3" t="s">
        <v>24</v>
      </c>
      <c r="O3113" s="4">
        <v>1</v>
      </c>
      <c r="P3113" s="4">
        <v>10</v>
      </c>
      <c r="Q3113" s="4">
        <v>1</v>
      </c>
    </row>
    <row r="3114" spans="1:17" x14ac:dyDescent="0.25">
      <c r="A3114" s="3" t="s">
        <v>18</v>
      </c>
      <c r="B3114" s="3">
        <v>18968440</v>
      </c>
      <c r="C3114" s="3" t="s">
        <v>3125</v>
      </c>
      <c r="D3114" s="3" t="s">
        <v>20</v>
      </c>
      <c r="E3114" s="3" t="s">
        <v>21</v>
      </c>
      <c r="F3114" s="3" t="s">
        <v>21</v>
      </c>
      <c r="G3114" s="3" t="s">
        <v>36</v>
      </c>
      <c r="H3114" s="3" t="s">
        <v>37</v>
      </c>
      <c r="I3114" s="3" t="s">
        <v>24</v>
      </c>
      <c r="J3114" s="3" t="s">
        <v>24</v>
      </c>
      <c r="K3114" s="3" t="s">
        <v>25</v>
      </c>
      <c r="L3114" s="4">
        <v>0</v>
      </c>
      <c r="M3114" s="3" t="s">
        <v>26</v>
      </c>
      <c r="N3114" s="3" t="s">
        <v>24</v>
      </c>
      <c r="O3114" s="4">
        <v>1</v>
      </c>
      <c r="P3114" s="4">
        <v>10</v>
      </c>
      <c r="Q3114" s="4">
        <v>1</v>
      </c>
    </row>
    <row r="3115" spans="1:17" x14ac:dyDescent="0.25">
      <c r="A3115" s="3" t="s">
        <v>18</v>
      </c>
      <c r="B3115" s="3">
        <v>18968441</v>
      </c>
      <c r="C3115" s="3" t="s">
        <v>3126</v>
      </c>
      <c r="D3115" s="3" t="s">
        <v>20</v>
      </c>
      <c r="E3115" s="3" t="s">
        <v>21</v>
      </c>
      <c r="F3115" s="3" t="s">
        <v>21</v>
      </c>
      <c r="G3115" s="3" t="s">
        <v>36</v>
      </c>
      <c r="H3115" s="3" t="s">
        <v>37</v>
      </c>
      <c r="I3115" s="3" t="s">
        <v>24</v>
      </c>
      <c r="J3115" s="3" t="s">
        <v>24</v>
      </c>
      <c r="K3115" s="3" t="s">
        <v>25</v>
      </c>
      <c r="L3115" s="4">
        <v>0</v>
      </c>
      <c r="M3115" s="3" t="s">
        <v>26</v>
      </c>
      <c r="N3115" s="3" t="s">
        <v>24</v>
      </c>
      <c r="O3115" s="4">
        <v>1</v>
      </c>
      <c r="P3115" s="4">
        <v>10</v>
      </c>
      <c r="Q3115" s="4">
        <v>1</v>
      </c>
    </row>
    <row r="3116" spans="1:17" x14ac:dyDescent="0.25">
      <c r="A3116" s="3" t="s">
        <v>18</v>
      </c>
      <c r="B3116" s="3">
        <v>18968442</v>
      </c>
      <c r="C3116" s="3" t="s">
        <v>3127</v>
      </c>
      <c r="D3116" s="3" t="s">
        <v>20</v>
      </c>
      <c r="E3116" s="3" t="s">
        <v>21</v>
      </c>
      <c r="F3116" s="3" t="s">
        <v>21</v>
      </c>
      <c r="G3116" s="3" t="s">
        <v>36</v>
      </c>
      <c r="H3116" s="3" t="s">
        <v>37</v>
      </c>
      <c r="I3116" s="3" t="s">
        <v>24</v>
      </c>
      <c r="J3116" s="3" t="s">
        <v>24</v>
      </c>
      <c r="K3116" s="3" t="s">
        <v>25</v>
      </c>
      <c r="L3116" s="4">
        <v>0</v>
      </c>
      <c r="M3116" s="3" t="s">
        <v>26</v>
      </c>
      <c r="N3116" s="3" t="s">
        <v>24</v>
      </c>
      <c r="O3116" s="4">
        <v>1</v>
      </c>
      <c r="P3116" s="4">
        <v>10</v>
      </c>
      <c r="Q3116" s="4">
        <v>1</v>
      </c>
    </row>
    <row r="3117" spans="1:17" x14ac:dyDescent="0.25">
      <c r="A3117" s="3" t="s">
        <v>18</v>
      </c>
      <c r="B3117" s="3">
        <v>18968444</v>
      </c>
      <c r="C3117" s="3" t="s">
        <v>3128</v>
      </c>
      <c r="D3117" s="3" t="s">
        <v>20</v>
      </c>
      <c r="E3117" s="3" t="s">
        <v>21</v>
      </c>
      <c r="F3117" s="3" t="s">
        <v>21</v>
      </c>
      <c r="G3117" s="3" t="s">
        <v>36</v>
      </c>
      <c r="H3117" s="3" t="s">
        <v>37</v>
      </c>
      <c r="I3117" s="3" t="s">
        <v>24</v>
      </c>
      <c r="J3117" s="3" t="s">
        <v>24</v>
      </c>
      <c r="K3117" s="3" t="s">
        <v>25</v>
      </c>
      <c r="L3117" s="4">
        <v>0</v>
      </c>
      <c r="M3117" s="3" t="s">
        <v>26</v>
      </c>
      <c r="N3117" s="3" t="s">
        <v>24</v>
      </c>
      <c r="O3117" s="4">
        <v>1</v>
      </c>
      <c r="P3117" s="4">
        <v>10</v>
      </c>
      <c r="Q3117" s="4">
        <v>1</v>
      </c>
    </row>
    <row r="3118" spans="1:17" x14ac:dyDescent="0.25">
      <c r="A3118" s="3" t="s">
        <v>18</v>
      </c>
      <c r="B3118" s="3">
        <v>18968446</v>
      </c>
      <c r="C3118" s="3" t="s">
        <v>3129</v>
      </c>
      <c r="D3118" s="3" t="s">
        <v>20</v>
      </c>
      <c r="E3118" s="3" t="s">
        <v>21</v>
      </c>
      <c r="F3118" s="3" t="s">
        <v>21</v>
      </c>
      <c r="G3118" s="3" t="s">
        <v>36</v>
      </c>
      <c r="H3118" s="3" t="s">
        <v>37</v>
      </c>
      <c r="I3118" s="3" t="s">
        <v>24</v>
      </c>
      <c r="J3118" s="3" t="s">
        <v>24</v>
      </c>
      <c r="K3118" s="3" t="s">
        <v>25</v>
      </c>
      <c r="L3118" s="4">
        <v>0</v>
      </c>
      <c r="M3118" s="3" t="s">
        <v>26</v>
      </c>
      <c r="N3118" s="3" t="s">
        <v>24</v>
      </c>
      <c r="O3118" s="4">
        <v>1</v>
      </c>
      <c r="P3118" s="4">
        <v>10</v>
      </c>
      <c r="Q3118" s="4">
        <v>1</v>
      </c>
    </row>
    <row r="3119" spans="1:17" x14ac:dyDescent="0.25">
      <c r="A3119" s="3" t="s">
        <v>18</v>
      </c>
      <c r="B3119" s="3">
        <v>18968528</v>
      </c>
      <c r="C3119" s="3" t="s">
        <v>3130</v>
      </c>
      <c r="D3119" s="3" t="s">
        <v>20</v>
      </c>
      <c r="E3119" s="3" t="s">
        <v>21</v>
      </c>
      <c r="F3119" s="3" t="s">
        <v>21</v>
      </c>
      <c r="G3119" s="3" t="s">
        <v>233</v>
      </c>
      <c r="H3119" s="3" t="s">
        <v>234</v>
      </c>
      <c r="I3119" s="3" t="s">
        <v>24</v>
      </c>
      <c r="J3119" s="3" t="s">
        <v>24</v>
      </c>
      <c r="K3119" s="3" t="s">
        <v>25</v>
      </c>
      <c r="L3119" s="4">
        <v>0</v>
      </c>
      <c r="M3119" s="3" t="s">
        <v>26</v>
      </c>
      <c r="N3119" s="3" t="s">
        <v>24</v>
      </c>
      <c r="O3119" s="4">
        <v>1</v>
      </c>
      <c r="P3119" s="4">
        <v>1</v>
      </c>
      <c r="Q3119" s="4">
        <v>1</v>
      </c>
    </row>
    <row r="3120" spans="1:17" x14ac:dyDescent="0.25">
      <c r="A3120" s="3" t="s">
        <v>18</v>
      </c>
      <c r="B3120" s="3">
        <v>18968530</v>
      </c>
      <c r="C3120" s="3" t="s">
        <v>3131</v>
      </c>
      <c r="D3120" s="3" t="s">
        <v>20</v>
      </c>
      <c r="E3120" s="3" t="s">
        <v>21</v>
      </c>
      <c r="F3120" s="3" t="s">
        <v>21</v>
      </c>
      <c r="G3120" s="3" t="s">
        <v>233</v>
      </c>
      <c r="H3120" s="3" t="s">
        <v>234</v>
      </c>
      <c r="I3120" s="3" t="s">
        <v>24</v>
      </c>
      <c r="J3120" s="3" t="s">
        <v>24</v>
      </c>
      <c r="K3120" s="3" t="s">
        <v>25</v>
      </c>
      <c r="L3120" s="4">
        <v>0</v>
      </c>
      <c r="M3120" s="3" t="s">
        <v>26</v>
      </c>
      <c r="N3120" s="3" t="s">
        <v>24</v>
      </c>
      <c r="O3120" s="4">
        <v>1</v>
      </c>
      <c r="P3120" s="4">
        <v>2</v>
      </c>
      <c r="Q3120" s="4">
        <v>1</v>
      </c>
    </row>
    <row r="3121" spans="1:17" x14ac:dyDescent="0.25">
      <c r="A3121" s="3" t="s">
        <v>18</v>
      </c>
      <c r="B3121" s="3">
        <v>18968532</v>
      </c>
      <c r="C3121" s="3" t="s">
        <v>3132</v>
      </c>
      <c r="D3121" s="3" t="s">
        <v>20</v>
      </c>
      <c r="E3121" s="3" t="s">
        <v>21</v>
      </c>
      <c r="F3121" s="3" t="s">
        <v>21</v>
      </c>
      <c r="G3121" s="3" t="s">
        <v>233</v>
      </c>
      <c r="H3121" s="3" t="s">
        <v>234</v>
      </c>
      <c r="I3121" s="3" t="s">
        <v>24</v>
      </c>
      <c r="J3121" s="3" t="s">
        <v>24</v>
      </c>
      <c r="K3121" s="3" t="s">
        <v>25</v>
      </c>
      <c r="L3121" s="4">
        <v>0</v>
      </c>
      <c r="M3121" s="3" t="s">
        <v>26</v>
      </c>
      <c r="N3121" s="3" t="s">
        <v>24</v>
      </c>
      <c r="O3121" s="4">
        <v>1</v>
      </c>
      <c r="P3121" s="4">
        <v>2</v>
      </c>
      <c r="Q3121" s="4">
        <v>1</v>
      </c>
    </row>
    <row r="3122" spans="1:17" x14ac:dyDescent="0.25">
      <c r="A3122" s="3" t="s">
        <v>18</v>
      </c>
      <c r="B3122" s="3">
        <v>18993192</v>
      </c>
      <c r="C3122" s="3" t="s">
        <v>3133</v>
      </c>
      <c r="D3122" s="3" t="s">
        <v>1360</v>
      </c>
      <c r="E3122" s="3" t="s">
        <v>21</v>
      </c>
      <c r="F3122" s="3" t="s">
        <v>21</v>
      </c>
      <c r="G3122" s="3" t="s">
        <v>233</v>
      </c>
      <c r="H3122" s="3" t="s">
        <v>234</v>
      </c>
      <c r="I3122" s="3" t="s">
        <v>24</v>
      </c>
      <c r="J3122" s="3" t="s">
        <v>24</v>
      </c>
      <c r="K3122" s="3" t="s">
        <v>25</v>
      </c>
      <c r="L3122" s="4">
        <v>0</v>
      </c>
      <c r="M3122" s="3" t="s">
        <v>26</v>
      </c>
      <c r="N3122" s="3" t="s">
        <v>24</v>
      </c>
      <c r="O3122" s="4">
        <v>1</v>
      </c>
      <c r="P3122" s="4">
        <v>3</v>
      </c>
      <c r="Q3122" s="4">
        <v>1</v>
      </c>
    </row>
    <row r="3123" spans="1:17" x14ac:dyDescent="0.25">
      <c r="A3123" s="3" t="s">
        <v>18</v>
      </c>
      <c r="B3123" s="3">
        <v>18993196</v>
      </c>
      <c r="C3123" s="3" t="s">
        <v>3134</v>
      </c>
      <c r="D3123" s="3" t="s">
        <v>1360</v>
      </c>
      <c r="E3123" s="3" t="s">
        <v>21</v>
      </c>
      <c r="F3123" s="3" t="s">
        <v>21</v>
      </c>
      <c r="G3123" s="3" t="s">
        <v>233</v>
      </c>
      <c r="H3123" s="3" t="s">
        <v>234</v>
      </c>
      <c r="I3123" s="3" t="s">
        <v>24</v>
      </c>
      <c r="J3123" s="3" t="s">
        <v>24</v>
      </c>
      <c r="K3123" s="3" t="s">
        <v>25</v>
      </c>
      <c r="L3123" s="4">
        <v>0</v>
      </c>
      <c r="M3123" s="3" t="s">
        <v>26</v>
      </c>
      <c r="N3123" s="3" t="s">
        <v>24</v>
      </c>
      <c r="O3123" s="4">
        <v>1</v>
      </c>
      <c r="P3123" s="4">
        <v>2</v>
      </c>
      <c r="Q3123" s="4">
        <v>1</v>
      </c>
    </row>
    <row r="3124" spans="1:17" x14ac:dyDescent="0.25">
      <c r="A3124" s="3" t="s">
        <v>18</v>
      </c>
      <c r="B3124" s="3">
        <v>18993279</v>
      </c>
      <c r="C3124" s="3" t="s">
        <v>3135</v>
      </c>
      <c r="D3124" s="3" t="s">
        <v>1360</v>
      </c>
      <c r="E3124" s="3" t="s">
        <v>21</v>
      </c>
      <c r="F3124" s="3" t="s">
        <v>21</v>
      </c>
      <c r="G3124" s="3" t="s">
        <v>233</v>
      </c>
      <c r="H3124" s="3" t="s">
        <v>234</v>
      </c>
      <c r="I3124" s="3" t="s">
        <v>24</v>
      </c>
      <c r="J3124" s="3" t="s">
        <v>24</v>
      </c>
      <c r="K3124" s="3" t="s">
        <v>25</v>
      </c>
      <c r="L3124" s="4">
        <v>0</v>
      </c>
      <c r="M3124" s="3" t="s">
        <v>26</v>
      </c>
      <c r="N3124" s="3" t="s">
        <v>24</v>
      </c>
      <c r="O3124" s="4">
        <v>1</v>
      </c>
      <c r="P3124" s="4">
        <v>2</v>
      </c>
      <c r="Q3124" s="4">
        <v>1</v>
      </c>
    </row>
    <row r="3125" spans="1:17" x14ac:dyDescent="0.25">
      <c r="A3125" s="3" t="s">
        <v>18</v>
      </c>
      <c r="B3125" s="3">
        <v>18993284</v>
      </c>
      <c r="C3125" s="3" t="s">
        <v>3136</v>
      </c>
      <c r="D3125" s="3" t="s">
        <v>1360</v>
      </c>
      <c r="E3125" s="3" t="s">
        <v>21</v>
      </c>
      <c r="F3125" s="3" t="s">
        <v>21</v>
      </c>
      <c r="G3125" s="3" t="s">
        <v>233</v>
      </c>
      <c r="H3125" s="3" t="s">
        <v>234</v>
      </c>
      <c r="I3125" s="3" t="s">
        <v>24</v>
      </c>
      <c r="J3125" s="3" t="s">
        <v>24</v>
      </c>
      <c r="K3125" s="3" t="s">
        <v>25</v>
      </c>
      <c r="L3125" s="4">
        <v>0</v>
      </c>
      <c r="M3125" s="3" t="s">
        <v>26</v>
      </c>
      <c r="N3125" s="3" t="s">
        <v>24</v>
      </c>
      <c r="O3125" s="4">
        <v>1</v>
      </c>
      <c r="P3125" s="4">
        <v>3</v>
      </c>
      <c r="Q3125" s="4">
        <v>1</v>
      </c>
    </row>
    <row r="3126" spans="1:17" x14ac:dyDescent="0.25">
      <c r="A3126" s="3" t="s">
        <v>18</v>
      </c>
      <c r="B3126" s="3">
        <v>18993287</v>
      </c>
      <c r="C3126" s="3" t="s">
        <v>3137</v>
      </c>
      <c r="D3126" s="3" t="s">
        <v>1360</v>
      </c>
      <c r="E3126" s="3" t="s">
        <v>21</v>
      </c>
      <c r="F3126" s="3" t="s">
        <v>21</v>
      </c>
      <c r="G3126" s="3" t="s">
        <v>233</v>
      </c>
      <c r="H3126" s="3" t="s">
        <v>234</v>
      </c>
      <c r="I3126" s="3" t="s">
        <v>24</v>
      </c>
      <c r="J3126" s="3" t="s">
        <v>24</v>
      </c>
      <c r="K3126" s="3" t="s">
        <v>25</v>
      </c>
      <c r="L3126" s="4">
        <v>0</v>
      </c>
      <c r="M3126" s="3" t="s">
        <v>26</v>
      </c>
      <c r="N3126" s="3" t="s">
        <v>24</v>
      </c>
      <c r="O3126" s="4">
        <v>1</v>
      </c>
      <c r="P3126" s="4">
        <v>2</v>
      </c>
      <c r="Q3126" s="4">
        <v>1</v>
      </c>
    </row>
    <row r="3127" spans="1:17" x14ac:dyDescent="0.25">
      <c r="A3127" s="3" t="s">
        <v>18</v>
      </c>
      <c r="B3127" s="3">
        <v>18997067</v>
      </c>
      <c r="C3127" s="3" t="s">
        <v>3138</v>
      </c>
      <c r="D3127" s="3" t="s">
        <v>1360</v>
      </c>
      <c r="E3127" s="3" t="s">
        <v>21</v>
      </c>
      <c r="F3127" s="3" t="s">
        <v>21</v>
      </c>
      <c r="G3127" s="3" t="s">
        <v>36</v>
      </c>
      <c r="H3127" s="3" t="s">
        <v>37</v>
      </c>
      <c r="I3127" s="3" t="s">
        <v>24</v>
      </c>
      <c r="J3127" s="3" t="s">
        <v>24</v>
      </c>
      <c r="K3127" s="3" t="s">
        <v>25</v>
      </c>
      <c r="L3127" s="4">
        <v>0</v>
      </c>
      <c r="M3127" s="3" t="s">
        <v>26</v>
      </c>
      <c r="N3127" s="3" t="s">
        <v>24</v>
      </c>
      <c r="O3127" s="4">
        <v>1</v>
      </c>
      <c r="P3127" s="4">
        <v>10</v>
      </c>
      <c r="Q3127" s="4">
        <v>1</v>
      </c>
    </row>
    <row r="3128" spans="1:17" x14ac:dyDescent="0.25">
      <c r="A3128" s="3" t="s">
        <v>18</v>
      </c>
      <c r="B3128" s="3">
        <v>18997150</v>
      </c>
      <c r="C3128" s="3" t="s">
        <v>3139</v>
      </c>
      <c r="D3128" s="3" t="s">
        <v>1360</v>
      </c>
      <c r="E3128" s="3" t="s">
        <v>21</v>
      </c>
      <c r="F3128" s="3" t="s">
        <v>21</v>
      </c>
      <c r="G3128" s="3" t="s">
        <v>36</v>
      </c>
      <c r="H3128" s="3" t="s">
        <v>37</v>
      </c>
      <c r="I3128" s="3" t="s">
        <v>24</v>
      </c>
      <c r="J3128" s="3" t="s">
        <v>24</v>
      </c>
      <c r="K3128" s="3" t="s">
        <v>25</v>
      </c>
      <c r="L3128" s="4">
        <v>0</v>
      </c>
      <c r="M3128" s="3" t="s">
        <v>26</v>
      </c>
      <c r="N3128" s="3" t="s">
        <v>24</v>
      </c>
      <c r="O3128" s="4">
        <v>1</v>
      </c>
      <c r="P3128" s="4">
        <v>10</v>
      </c>
      <c r="Q3128" s="4">
        <v>1</v>
      </c>
    </row>
    <row r="3129" spans="1:17" x14ac:dyDescent="0.25">
      <c r="A3129" s="3" t="s">
        <v>18</v>
      </c>
      <c r="B3129" s="3">
        <v>18997152</v>
      </c>
      <c r="C3129" s="3" t="s">
        <v>3140</v>
      </c>
      <c r="D3129" s="3" t="s">
        <v>1360</v>
      </c>
      <c r="E3129" s="3" t="s">
        <v>21</v>
      </c>
      <c r="F3129" s="3" t="s">
        <v>21</v>
      </c>
      <c r="G3129" s="3" t="s">
        <v>36</v>
      </c>
      <c r="H3129" s="3" t="s">
        <v>37</v>
      </c>
      <c r="I3129" s="3" t="s">
        <v>24</v>
      </c>
      <c r="J3129" s="3" t="s">
        <v>24</v>
      </c>
      <c r="K3129" s="3" t="s">
        <v>25</v>
      </c>
      <c r="L3129" s="4">
        <v>0</v>
      </c>
      <c r="M3129" s="3" t="s">
        <v>26</v>
      </c>
      <c r="N3129" s="3" t="s">
        <v>24</v>
      </c>
      <c r="O3129" s="4">
        <v>1</v>
      </c>
      <c r="P3129" s="4">
        <v>10</v>
      </c>
      <c r="Q3129" s="4">
        <v>1</v>
      </c>
    </row>
    <row r="3130" spans="1:17" x14ac:dyDescent="0.25">
      <c r="A3130" s="3" t="s">
        <v>18</v>
      </c>
      <c r="B3130" s="3">
        <v>18997277</v>
      </c>
      <c r="C3130" s="3" t="s">
        <v>3141</v>
      </c>
      <c r="D3130" s="3" t="s">
        <v>1360</v>
      </c>
      <c r="E3130" s="3" t="s">
        <v>21</v>
      </c>
      <c r="F3130" s="3" t="s">
        <v>21</v>
      </c>
      <c r="G3130" s="3" t="s">
        <v>36</v>
      </c>
      <c r="H3130" s="3" t="s">
        <v>37</v>
      </c>
      <c r="I3130" s="3" t="s">
        <v>24</v>
      </c>
      <c r="J3130" s="3" t="s">
        <v>24</v>
      </c>
      <c r="K3130" s="3" t="s">
        <v>25</v>
      </c>
      <c r="L3130" s="4">
        <v>0</v>
      </c>
      <c r="M3130" s="3" t="s">
        <v>26</v>
      </c>
      <c r="N3130" s="3" t="s">
        <v>24</v>
      </c>
      <c r="O3130" s="4">
        <v>1</v>
      </c>
      <c r="P3130" s="4">
        <v>10</v>
      </c>
      <c r="Q3130" s="4">
        <v>1</v>
      </c>
    </row>
    <row r="3131" spans="1:17" x14ac:dyDescent="0.25">
      <c r="A3131" s="3" t="s">
        <v>18</v>
      </c>
      <c r="B3131" s="3">
        <v>18997463</v>
      </c>
      <c r="C3131" s="3" t="s">
        <v>3142</v>
      </c>
      <c r="D3131" s="3" t="s">
        <v>1360</v>
      </c>
      <c r="E3131" s="3" t="s">
        <v>21</v>
      </c>
      <c r="F3131" s="3" t="s">
        <v>21</v>
      </c>
      <c r="G3131" s="3" t="s">
        <v>36</v>
      </c>
      <c r="H3131" s="3" t="s">
        <v>37</v>
      </c>
      <c r="I3131" s="3" t="s">
        <v>24</v>
      </c>
      <c r="J3131" s="3" t="s">
        <v>24</v>
      </c>
      <c r="K3131" s="3" t="s">
        <v>25</v>
      </c>
      <c r="L3131" s="4">
        <v>0</v>
      </c>
      <c r="M3131" s="3" t="s">
        <v>26</v>
      </c>
      <c r="N3131" s="3" t="s">
        <v>24</v>
      </c>
      <c r="O3131" s="4">
        <v>1</v>
      </c>
      <c r="P3131" s="4">
        <v>10</v>
      </c>
      <c r="Q3131" s="4">
        <v>1</v>
      </c>
    </row>
    <row r="3132" spans="1:17" x14ac:dyDescent="0.25">
      <c r="A3132" s="3" t="s">
        <v>18</v>
      </c>
      <c r="B3132" s="3">
        <v>18997464</v>
      </c>
      <c r="C3132" s="3" t="s">
        <v>3143</v>
      </c>
      <c r="D3132" s="3" t="s">
        <v>1360</v>
      </c>
      <c r="E3132" s="3" t="s">
        <v>21</v>
      </c>
      <c r="F3132" s="3" t="s">
        <v>21</v>
      </c>
      <c r="G3132" s="3" t="s">
        <v>36</v>
      </c>
      <c r="H3132" s="3" t="s">
        <v>37</v>
      </c>
      <c r="I3132" s="3" t="s">
        <v>24</v>
      </c>
      <c r="J3132" s="3" t="s">
        <v>24</v>
      </c>
      <c r="K3132" s="3" t="s">
        <v>25</v>
      </c>
      <c r="L3132" s="4">
        <v>0</v>
      </c>
      <c r="M3132" s="3" t="s">
        <v>26</v>
      </c>
      <c r="N3132" s="3" t="s">
        <v>24</v>
      </c>
      <c r="O3132" s="4">
        <v>1</v>
      </c>
      <c r="P3132" s="4">
        <v>10</v>
      </c>
      <c r="Q3132" s="4">
        <v>1</v>
      </c>
    </row>
    <row r="3133" spans="1:17" x14ac:dyDescent="0.25">
      <c r="A3133" s="3" t="s">
        <v>18</v>
      </c>
      <c r="B3133" s="3">
        <v>18997465</v>
      </c>
      <c r="C3133" s="3" t="s">
        <v>3144</v>
      </c>
      <c r="D3133" s="3" t="s">
        <v>1360</v>
      </c>
      <c r="E3133" s="3" t="s">
        <v>21</v>
      </c>
      <c r="F3133" s="3" t="s">
        <v>21</v>
      </c>
      <c r="G3133" s="3" t="s">
        <v>36</v>
      </c>
      <c r="H3133" s="3" t="s">
        <v>37</v>
      </c>
      <c r="I3133" s="3" t="s">
        <v>24</v>
      </c>
      <c r="J3133" s="3" t="s">
        <v>24</v>
      </c>
      <c r="K3133" s="3" t="s">
        <v>25</v>
      </c>
      <c r="L3133" s="4">
        <v>0</v>
      </c>
      <c r="M3133" s="3" t="s">
        <v>26</v>
      </c>
      <c r="N3133" s="3" t="s">
        <v>24</v>
      </c>
      <c r="O3133" s="4">
        <v>1</v>
      </c>
      <c r="P3133" s="4">
        <v>10</v>
      </c>
      <c r="Q3133" s="4">
        <v>1</v>
      </c>
    </row>
    <row r="3134" spans="1:17" x14ac:dyDescent="0.25">
      <c r="A3134" s="3" t="s">
        <v>18</v>
      </c>
      <c r="B3134" s="3">
        <v>18997467</v>
      </c>
      <c r="C3134" s="3" t="s">
        <v>3145</v>
      </c>
      <c r="D3134" s="3" t="s">
        <v>1360</v>
      </c>
      <c r="E3134" s="3" t="s">
        <v>21</v>
      </c>
      <c r="F3134" s="3" t="s">
        <v>21</v>
      </c>
      <c r="G3134" s="3" t="s">
        <v>36</v>
      </c>
      <c r="H3134" s="3" t="s">
        <v>37</v>
      </c>
      <c r="I3134" s="3" t="s">
        <v>24</v>
      </c>
      <c r="J3134" s="3" t="s">
        <v>24</v>
      </c>
      <c r="K3134" s="3" t="s">
        <v>25</v>
      </c>
      <c r="L3134" s="4">
        <v>0</v>
      </c>
      <c r="M3134" s="3" t="s">
        <v>26</v>
      </c>
      <c r="N3134" s="3" t="s">
        <v>24</v>
      </c>
      <c r="O3134" s="4">
        <v>1</v>
      </c>
      <c r="P3134" s="4">
        <v>10</v>
      </c>
      <c r="Q3134" s="4">
        <v>1</v>
      </c>
    </row>
    <row r="3135" spans="1:17" x14ac:dyDescent="0.25">
      <c r="A3135" s="3" t="s">
        <v>18</v>
      </c>
      <c r="B3135" s="3">
        <v>19000859</v>
      </c>
      <c r="C3135" s="3" t="s">
        <v>3146</v>
      </c>
      <c r="D3135" s="3" t="s">
        <v>20</v>
      </c>
      <c r="E3135" s="3" t="s">
        <v>21</v>
      </c>
      <c r="F3135" s="3" t="s">
        <v>21</v>
      </c>
      <c r="G3135" s="3" t="s">
        <v>233</v>
      </c>
      <c r="H3135" s="3" t="s">
        <v>234</v>
      </c>
      <c r="I3135" s="3" t="s">
        <v>24</v>
      </c>
      <c r="J3135" s="3" t="s">
        <v>24</v>
      </c>
      <c r="K3135" s="3" t="s">
        <v>25</v>
      </c>
      <c r="L3135" s="4">
        <v>0</v>
      </c>
      <c r="M3135" s="3" t="s">
        <v>26</v>
      </c>
      <c r="N3135" s="3" t="s">
        <v>24</v>
      </c>
      <c r="O3135" s="4">
        <v>1</v>
      </c>
      <c r="P3135" s="4">
        <v>2</v>
      </c>
      <c r="Q3135" s="4">
        <v>1</v>
      </c>
    </row>
    <row r="3136" spans="1:17" x14ac:dyDescent="0.25">
      <c r="A3136" s="3" t="s">
        <v>18</v>
      </c>
      <c r="B3136" s="3">
        <v>19042564</v>
      </c>
      <c r="C3136" s="3" t="s">
        <v>3147</v>
      </c>
      <c r="D3136" s="3" t="s">
        <v>20</v>
      </c>
      <c r="E3136" s="3" t="s">
        <v>21</v>
      </c>
      <c r="F3136" s="3" t="s">
        <v>21</v>
      </c>
      <c r="G3136" s="3" t="s">
        <v>233</v>
      </c>
      <c r="H3136" s="3" t="s">
        <v>234</v>
      </c>
      <c r="I3136" s="3" t="s">
        <v>24</v>
      </c>
      <c r="J3136" s="3" t="s">
        <v>24</v>
      </c>
      <c r="K3136" s="3" t="s">
        <v>25</v>
      </c>
      <c r="L3136" s="4">
        <v>0</v>
      </c>
      <c r="M3136" s="3" t="s">
        <v>26</v>
      </c>
      <c r="N3136" s="3" t="s">
        <v>24</v>
      </c>
      <c r="O3136" s="4">
        <v>1</v>
      </c>
      <c r="P3136" s="4">
        <v>2</v>
      </c>
      <c r="Q3136" s="4">
        <v>1</v>
      </c>
    </row>
    <row r="3137" spans="1:17" x14ac:dyDescent="0.25">
      <c r="A3137" s="3" t="s">
        <v>18</v>
      </c>
      <c r="B3137" s="3">
        <v>19054845</v>
      </c>
      <c r="C3137" s="3" t="s">
        <v>3148</v>
      </c>
      <c r="D3137" s="3" t="s">
        <v>1360</v>
      </c>
      <c r="E3137" s="3" t="s">
        <v>21</v>
      </c>
      <c r="F3137" s="3" t="s">
        <v>21</v>
      </c>
      <c r="G3137" s="3" t="s">
        <v>233</v>
      </c>
      <c r="H3137" s="3" t="s">
        <v>234</v>
      </c>
      <c r="I3137" s="3" t="s">
        <v>24</v>
      </c>
      <c r="J3137" s="3" t="s">
        <v>24</v>
      </c>
      <c r="K3137" s="3" t="s">
        <v>25</v>
      </c>
      <c r="L3137" s="4">
        <v>0</v>
      </c>
      <c r="M3137" s="3" t="s">
        <v>26</v>
      </c>
      <c r="N3137" s="3" t="s">
        <v>24</v>
      </c>
      <c r="O3137" s="4">
        <v>1</v>
      </c>
      <c r="P3137" s="4">
        <v>2</v>
      </c>
      <c r="Q3137" s="4">
        <v>1</v>
      </c>
    </row>
    <row r="3138" spans="1:17" x14ac:dyDescent="0.25">
      <c r="A3138" s="3" t="s">
        <v>18</v>
      </c>
      <c r="B3138" s="3">
        <v>19082154</v>
      </c>
      <c r="C3138" s="3" t="s">
        <v>3149</v>
      </c>
      <c r="D3138" s="3" t="s">
        <v>20</v>
      </c>
      <c r="E3138" s="3" t="s">
        <v>21</v>
      </c>
      <c r="F3138" s="3" t="s">
        <v>21</v>
      </c>
      <c r="G3138" s="3" t="s">
        <v>233</v>
      </c>
      <c r="H3138" s="3" t="s">
        <v>234</v>
      </c>
      <c r="I3138" s="3" t="s">
        <v>24</v>
      </c>
      <c r="J3138" s="3" t="s">
        <v>24</v>
      </c>
      <c r="K3138" s="3" t="s">
        <v>25</v>
      </c>
      <c r="L3138" s="4">
        <v>0</v>
      </c>
      <c r="M3138" s="3" t="s">
        <v>26</v>
      </c>
      <c r="N3138" s="3" t="s">
        <v>24</v>
      </c>
      <c r="O3138" s="4">
        <v>1</v>
      </c>
      <c r="P3138" s="4">
        <v>3</v>
      </c>
      <c r="Q3138" s="4">
        <v>1</v>
      </c>
    </row>
    <row r="3139" spans="1:17" x14ac:dyDescent="0.25">
      <c r="A3139" s="3" t="s">
        <v>18</v>
      </c>
      <c r="B3139" s="3">
        <v>19096854</v>
      </c>
      <c r="C3139" s="3" t="s">
        <v>3150</v>
      </c>
      <c r="D3139" s="3" t="s">
        <v>20</v>
      </c>
      <c r="E3139" s="3" t="s">
        <v>21</v>
      </c>
      <c r="F3139" s="3" t="s">
        <v>21</v>
      </c>
      <c r="G3139" s="3" t="s">
        <v>233</v>
      </c>
      <c r="H3139" s="3" t="s">
        <v>234</v>
      </c>
      <c r="I3139" s="3" t="s">
        <v>24</v>
      </c>
      <c r="J3139" s="3" t="s">
        <v>24</v>
      </c>
      <c r="K3139" s="3" t="s">
        <v>25</v>
      </c>
      <c r="L3139" s="4">
        <v>0</v>
      </c>
      <c r="M3139" s="3" t="s">
        <v>26</v>
      </c>
      <c r="N3139" s="3" t="s">
        <v>24</v>
      </c>
      <c r="O3139" s="4">
        <v>1</v>
      </c>
      <c r="P3139" s="4">
        <v>3</v>
      </c>
      <c r="Q3139" s="4">
        <v>1</v>
      </c>
    </row>
    <row r="3140" spans="1:17" x14ac:dyDescent="0.25">
      <c r="A3140" s="3" t="s">
        <v>18</v>
      </c>
      <c r="B3140" s="3">
        <v>19097000</v>
      </c>
      <c r="C3140" s="3" t="s">
        <v>3151</v>
      </c>
      <c r="D3140" s="3" t="s">
        <v>20</v>
      </c>
      <c r="E3140" s="3" t="s">
        <v>21</v>
      </c>
      <c r="F3140" s="3" t="s">
        <v>21</v>
      </c>
      <c r="G3140" s="3" t="s">
        <v>233</v>
      </c>
      <c r="H3140" s="3" t="s">
        <v>234</v>
      </c>
      <c r="I3140" s="3" t="s">
        <v>24</v>
      </c>
      <c r="J3140" s="3" t="s">
        <v>24</v>
      </c>
      <c r="K3140" s="3" t="s">
        <v>25</v>
      </c>
      <c r="L3140" s="4">
        <v>0</v>
      </c>
      <c r="M3140" s="3" t="s">
        <v>26</v>
      </c>
      <c r="N3140" s="3" t="s">
        <v>24</v>
      </c>
      <c r="O3140" s="4">
        <v>1</v>
      </c>
      <c r="P3140" s="4">
        <v>4</v>
      </c>
      <c r="Q3140" s="4">
        <v>1</v>
      </c>
    </row>
    <row r="3141" spans="1:17" x14ac:dyDescent="0.25">
      <c r="A3141" s="3" t="s">
        <v>18</v>
      </c>
      <c r="B3141" s="3">
        <v>19097004</v>
      </c>
      <c r="C3141" s="3" t="s">
        <v>3152</v>
      </c>
      <c r="D3141" s="3" t="s">
        <v>20</v>
      </c>
      <c r="E3141" s="3" t="s">
        <v>21</v>
      </c>
      <c r="F3141" s="3" t="s">
        <v>21</v>
      </c>
      <c r="G3141" s="3" t="s">
        <v>233</v>
      </c>
      <c r="H3141" s="3" t="s">
        <v>234</v>
      </c>
      <c r="I3141" s="3" t="s">
        <v>24</v>
      </c>
      <c r="J3141" s="3" t="s">
        <v>24</v>
      </c>
      <c r="K3141" s="3" t="s">
        <v>25</v>
      </c>
      <c r="L3141" s="4">
        <v>0</v>
      </c>
      <c r="M3141" s="3" t="s">
        <v>26</v>
      </c>
      <c r="N3141" s="3" t="s">
        <v>24</v>
      </c>
      <c r="O3141" s="4">
        <v>1</v>
      </c>
      <c r="P3141" s="4">
        <v>3</v>
      </c>
      <c r="Q3141" s="4">
        <v>1</v>
      </c>
    </row>
    <row r="3142" spans="1:17" x14ac:dyDescent="0.25">
      <c r="A3142" s="3" t="s">
        <v>18</v>
      </c>
      <c r="B3142" s="3">
        <v>19108549</v>
      </c>
      <c r="C3142" s="3" t="s">
        <v>3153</v>
      </c>
      <c r="D3142" s="3" t="s">
        <v>20</v>
      </c>
      <c r="E3142" s="3" t="s">
        <v>21</v>
      </c>
      <c r="F3142" s="3" t="s">
        <v>21</v>
      </c>
      <c r="G3142" s="3" t="s">
        <v>233</v>
      </c>
      <c r="H3142" s="3" t="s">
        <v>234</v>
      </c>
      <c r="I3142" s="3" t="s">
        <v>24</v>
      </c>
      <c r="J3142" s="3" t="s">
        <v>24</v>
      </c>
      <c r="K3142" s="3" t="s">
        <v>25</v>
      </c>
      <c r="L3142" s="4">
        <v>0</v>
      </c>
      <c r="M3142" s="3" t="s">
        <v>26</v>
      </c>
      <c r="N3142" s="3" t="s">
        <v>24</v>
      </c>
      <c r="O3142" s="4">
        <v>1</v>
      </c>
      <c r="P3142" s="4">
        <v>4</v>
      </c>
      <c r="Q3142" s="4">
        <v>1</v>
      </c>
    </row>
    <row r="3143" spans="1:17" x14ac:dyDescent="0.25">
      <c r="A3143" s="3" t="s">
        <v>18</v>
      </c>
      <c r="B3143" s="3">
        <v>19108550</v>
      </c>
      <c r="C3143" s="3" t="s">
        <v>3154</v>
      </c>
      <c r="D3143" s="3" t="s">
        <v>20</v>
      </c>
      <c r="E3143" s="3" t="s">
        <v>21</v>
      </c>
      <c r="F3143" s="3" t="s">
        <v>21</v>
      </c>
      <c r="G3143" s="3" t="s">
        <v>233</v>
      </c>
      <c r="H3143" s="3" t="s">
        <v>234</v>
      </c>
      <c r="I3143" s="3" t="s">
        <v>24</v>
      </c>
      <c r="J3143" s="3" t="s">
        <v>24</v>
      </c>
      <c r="K3143" s="3" t="s">
        <v>25</v>
      </c>
      <c r="L3143" s="4">
        <v>0</v>
      </c>
      <c r="M3143" s="3" t="s">
        <v>26</v>
      </c>
      <c r="N3143" s="3" t="s">
        <v>24</v>
      </c>
      <c r="O3143" s="4">
        <v>1</v>
      </c>
      <c r="P3143" s="4">
        <v>3</v>
      </c>
      <c r="Q3143" s="4">
        <v>1</v>
      </c>
    </row>
    <row r="3144" spans="1:17" x14ac:dyDescent="0.25">
      <c r="A3144" s="3" t="s">
        <v>18</v>
      </c>
      <c r="B3144" s="3">
        <v>19163605</v>
      </c>
      <c r="C3144" s="3" t="s">
        <v>3155</v>
      </c>
      <c r="D3144" s="3" t="s">
        <v>20</v>
      </c>
      <c r="E3144" s="3" t="s">
        <v>21</v>
      </c>
      <c r="F3144" s="3" t="s">
        <v>21</v>
      </c>
      <c r="G3144" s="3" t="s">
        <v>30</v>
      </c>
      <c r="H3144" s="3" t="s">
        <v>31</v>
      </c>
      <c r="I3144" s="3" t="s">
        <v>24</v>
      </c>
      <c r="J3144" s="3" t="s">
        <v>24</v>
      </c>
      <c r="K3144" s="3" t="s">
        <v>25</v>
      </c>
      <c r="L3144" s="4">
        <v>0</v>
      </c>
      <c r="M3144" s="3" t="s">
        <v>26</v>
      </c>
      <c r="N3144" s="3" t="s">
        <v>24</v>
      </c>
      <c r="O3144" s="4">
        <v>1</v>
      </c>
      <c r="P3144" s="4">
        <v>8</v>
      </c>
      <c r="Q3144" s="4">
        <v>1</v>
      </c>
    </row>
    <row r="3145" spans="1:17" x14ac:dyDescent="0.25">
      <c r="A3145" s="3" t="s">
        <v>18</v>
      </c>
      <c r="B3145" s="3">
        <v>19163701</v>
      </c>
      <c r="C3145" s="3" t="s">
        <v>3156</v>
      </c>
      <c r="D3145" s="3" t="s">
        <v>20</v>
      </c>
      <c r="E3145" s="3" t="s">
        <v>21</v>
      </c>
      <c r="F3145" s="3" t="s">
        <v>21</v>
      </c>
      <c r="G3145" s="3" t="s">
        <v>42</v>
      </c>
      <c r="H3145" s="3" t="s">
        <v>43</v>
      </c>
      <c r="I3145" s="3" t="s">
        <v>24</v>
      </c>
      <c r="J3145" s="3" t="s">
        <v>24</v>
      </c>
      <c r="K3145" s="3" t="s">
        <v>25</v>
      </c>
      <c r="L3145" s="4">
        <v>0</v>
      </c>
      <c r="M3145" s="3" t="s">
        <v>26</v>
      </c>
      <c r="N3145" s="3" t="s">
        <v>24</v>
      </c>
      <c r="O3145" s="4">
        <v>1</v>
      </c>
      <c r="P3145" s="4">
        <v>8</v>
      </c>
      <c r="Q3145" s="4">
        <v>1</v>
      </c>
    </row>
    <row r="3146" spans="1:17" x14ac:dyDescent="0.25">
      <c r="A3146" s="3" t="s">
        <v>18</v>
      </c>
      <c r="B3146" s="3">
        <v>19163706</v>
      </c>
      <c r="C3146" s="3" t="s">
        <v>3157</v>
      </c>
      <c r="D3146" s="3" t="s">
        <v>20</v>
      </c>
      <c r="E3146" s="3" t="s">
        <v>21</v>
      </c>
      <c r="F3146" s="3" t="s">
        <v>21</v>
      </c>
      <c r="G3146" s="3" t="s">
        <v>22</v>
      </c>
      <c r="H3146" s="3" t="s">
        <v>23</v>
      </c>
      <c r="I3146" s="3" t="s">
        <v>24</v>
      </c>
      <c r="J3146" s="3" t="s">
        <v>24</v>
      </c>
      <c r="K3146" s="3" t="s">
        <v>25</v>
      </c>
      <c r="L3146" s="4">
        <v>0</v>
      </c>
      <c r="M3146" s="3" t="s">
        <v>26</v>
      </c>
      <c r="N3146" s="3" t="s">
        <v>24</v>
      </c>
      <c r="O3146" s="4">
        <v>1</v>
      </c>
      <c r="P3146" s="4">
        <v>4</v>
      </c>
      <c r="Q3146" s="4">
        <v>1</v>
      </c>
    </row>
    <row r="3147" spans="1:17" x14ac:dyDescent="0.25">
      <c r="A3147" s="3" t="s">
        <v>18</v>
      </c>
      <c r="B3147" s="3">
        <v>19163995</v>
      </c>
      <c r="C3147" s="3" t="s">
        <v>3158</v>
      </c>
      <c r="D3147" s="3" t="s">
        <v>20</v>
      </c>
      <c r="E3147" s="3" t="s">
        <v>21</v>
      </c>
      <c r="F3147" s="3" t="s">
        <v>21</v>
      </c>
      <c r="G3147" s="3" t="s">
        <v>233</v>
      </c>
      <c r="H3147" s="3" t="s">
        <v>234</v>
      </c>
      <c r="I3147" s="3" t="s">
        <v>24</v>
      </c>
      <c r="J3147" s="3" t="s">
        <v>24</v>
      </c>
      <c r="K3147" s="3" t="s">
        <v>25</v>
      </c>
      <c r="L3147" s="4">
        <v>0</v>
      </c>
      <c r="M3147" s="3" t="s">
        <v>26</v>
      </c>
      <c r="N3147" s="3" t="s">
        <v>24</v>
      </c>
      <c r="O3147" s="4">
        <v>1</v>
      </c>
      <c r="P3147" s="4">
        <v>4</v>
      </c>
      <c r="Q3147" s="4">
        <v>1</v>
      </c>
    </row>
    <row r="3148" spans="1:17" x14ac:dyDescent="0.25">
      <c r="A3148" s="3" t="s">
        <v>18</v>
      </c>
      <c r="B3148" s="3">
        <v>19186309</v>
      </c>
      <c r="C3148" s="3" t="s">
        <v>3159</v>
      </c>
      <c r="D3148" s="3" t="s">
        <v>20</v>
      </c>
      <c r="E3148" s="3" t="s">
        <v>21</v>
      </c>
      <c r="F3148" s="3" t="s">
        <v>21</v>
      </c>
      <c r="G3148" s="3" t="s">
        <v>233</v>
      </c>
      <c r="H3148" s="3" t="s">
        <v>234</v>
      </c>
      <c r="I3148" s="3" t="s">
        <v>24</v>
      </c>
      <c r="J3148" s="3" t="s">
        <v>24</v>
      </c>
      <c r="K3148" s="3" t="s">
        <v>25</v>
      </c>
      <c r="L3148" s="4">
        <v>0</v>
      </c>
      <c r="M3148" s="3" t="s">
        <v>26</v>
      </c>
      <c r="N3148" s="3" t="s">
        <v>24</v>
      </c>
      <c r="O3148" s="4">
        <v>1</v>
      </c>
      <c r="P3148" s="4">
        <v>2</v>
      </c>
      <c r="Q3148" s="4">
        <v>1</v>
      </c>
    </row>
    <row r="3149" spans="1:17" x14ac:dyDescent="0.25">
      <c r="A3149" s="3" t="s">
        <v>18</v>
      </c>
      <c r="B3149" s="3">
        <v>19285650</v>
      </c>
      <c r="C3149" s="3" t="s">
        <v>3160</v>
      </c>
      <c r="D3149" s="3" t="s">
        <v>20</v>
      </c>
      <c r="E3149" s="3" t="s">
        <v>21</v>
      </c>
      <c r="F3149" s="3" t="s">
        <v>21</v>
      </c>
      <c r="G3149" s="3" t="s">
        <v>477</v>
      </c>
      <c r="H3149" s="3" t="s">
        <v>478</v>
      </c>
      <c r="I3149" s="3" t="s">
        <v>24</v>
      </c>
      <c r="J3149" s="3" t="s">
        <v>24</v>
      </c>
      <c r="K3149" s="3" t="s">
        <v>25</v>
      </c>
      <c r="L3149" s="4">
        <v>0</v>
      </c>
      <c r="M3149" s="3" t="s">
        <v>26</v>
      </c>
      <c r="N3149" s="3" t="s">
        <v>24</v>
      </c>
      <c r="O3149" s="4">
        <v>1</v>
      </c>
      <c r="P3149" s="4">
        <v>2</v>
      </c>
      <c r="Q3149" s="4">
        <v>1</v>
      </c>
    </row>
    <row r="3150" spans="1:17" x14ac:dyDescent="0.25">
      <c r="A3150" s="3" t="s">
        <v>18</v>
      </c>
      <c r="B3150" s="3">
        <v>19292036</v>
      </c>
      <c r="C3150" s="3" t="s">
        <v>3161</v>
      </c>
      <c r="D3150" s="3" t="s">
        <v>20</v>
      </c>
      <c r="E3150" s="3" t="s">
        <v>21</v>
      </c>
      <c r="F3150" s="3" t="s">
        <v>21</v>
      </c>
      <c r="G3150" s="3" t="s">
        <v>233</v>
      </c>
      <c r="H3150" s="3" t="s">
        <v>234</v>
      </c>
      <c r="I3150" s="3" t="s">
        <v>24</v>
      </c>
      <c r="J3150" s="3" t="s">
        <v>24</v>
      </c>
      <c r="K3150" s="3" t="s">
        <v>25</v>
      </c>
      <c r="L3150" s="4">
        <v>0</v>
      </c>
      <c r="M3150" s="3" t="s">
        <v>26</v>
      </c>
      <c r="N3150" s="3" t="s">
        <v>24</v>
      </c>
      <c r="O3150" s="4">
        <v>1</v>
      </c>
      <c r="P3150" s="4">
        <v>2</v>
      </c>
      <c r="Q3150" s="4">
        <v>1</v>
      </c>
    </row>
    <row r="3151" spans="1:17" x14ac:dyDescent="0.25">
      <c r="A3151" s="3" t="s">
        <v>18</v>
      </c>
      <c r="B3151" s="3">
        <v>19292655</v>
      </c>
      <c r="C3151" s="3" t="s">
        <v>3162</v>
      </c>
      <c r="D3151" s="3" t="s">
        <v>1360</v>
      </c>
      <c r="E3151" s="3" t="s">
        <v>21</v>
      </c>
      <c r="F3151" s="3" t="s">
        <v>21</v>
      </c>
      <c r="G3151" s="3" t="s">
        <v>233</v>
      </c>
      <c r="H3151" s="3" t="s">
        <v>234</v>
      </c>
      <c r="I3151" s="3" t="s">
        <v>24</v>
      </c>
      <c r="J3151" s="3" t="s">
        <v>24</v>
      </c>
      <c r="K3151" s="3" t="s">
        <v>25</v>
      </c>
      <c r="L3151" s="4">
        <v>0</v>
      </c>
      <c r="M3151" s="3" t="s">
        <v>26</v>
      </c>
      <c r="N3151" s="3" t="s">
        <v>24</v>
      </c>
      <c r="O3151" s="4">
        <v>1</v>
      </c>
      <c r="P3151" s="4">
        <v>2</v>
      </c>
      <c r="Q3151" s="4">
        <v>1</v>
      </c>
    </row>
    <row r="3152" spans="1:17" x14ac:dyDescent="0.25">
      <c r="A3152" s="3" t="s">
        <v>18</v>
      </c>
      <c r="B3152" s="3">
        <v>19300160</v>
      </c>
      <c r="C3152" s="3" t="s">
        <v>3163</v>
      </c>
      <c r="D3152" s="3" t="s">
        <v>20</v>
      </c>
      <c r="E3152" s="3" t="s">
        <v>21</v>
      </c>
      <c r="F3152" s="3" t="s">
        <v>21</v>
      </c>
      <c r="G3152" s="3" t="s">
        <v>3164</v>
      </c>
      <c r="H3152" s="3" t="s">
        <v>3165</v>
      </c>
      <c r="I3152" s="3" t="s">
        <v>24</v>
      </c>
      <c r="J3152" s="3" t="s">
        <v>24</v>
      </c>
      <c r="K3152" s="3" t="s">
        <v>25</v>
      </c>
      <c r="L3152" s="4">
        <v>0</v>
      </c>
      <c r="M3152" s="3" t="s">
        <v>26</v>
      </c>
      <c r="N3152" s="3" t="s">
        <v>24</v>
      </c>
      <c r="O3152" s="4">
        <v>0</v>
      </c>
      <c r="P3152" s="4">
        <v>99999999</v>
      </c>
      <c r="Q3152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Storto Dela Bandera</dc:creator>
  <cp:lastModifiedBy>Aluizio Augusto Kleine Kirschner</cp:lastModifiedBy>
  <dcterms:created xsi:type="dcterms:W3CDTF">2026-04-08T12:11:33Z</dcterms:created>
  <dcterms:modified xsi:type="dcterms:W3CDTF">2026-04-09T14:04:21Z</dcterms:modified>
</cp:coreProperties>
</file>